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763125" documentId="114_{E47FFB45-1E57-4E4B-AA59-D4BC55DAC61C}" xr6:coauthVersionLast="45" xr6:coauthVersionMax="45" xr10:uidLastSave="{BB2B3304-E64E-45B8-B110-A1C0DB3E5D9A}"/>
  <bookViews>
    <workbookView xWindow="-120" yWindow="-120" windowWidth="27930" windowHeight="18240" xr2:uid="{2AFCDE7C-57C4-4CF6-8D68-85BA7869C158}"/>
  </bookViews>
  <sheets>
    <sheet name="TLR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  <c r="AF10" i="1" l="1"/>
  <c r="AE10" i="1"/>
  <c r="BD364" i="1"/>
  <c r="BW376" i="1"/>
  <c r="BF363" i="1"/>
  <c r="BG363" i="1" s="1"/>
  <c r="BE364" i="1"/>
  <c r="BC364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0" i="1"/>
  <c r="BW101" i="1"/>
  <c r="BW102" i="1"/>
  <c r="BW103" i="1"/>
  <c r="BW104" i="1"/>
  <c r="BW105" i="1"/>
  <c r="BW106" i="1"/>
  <c r="BW107" i="1"/>
  <c r="BW108" i="1"/>
  <c r="BW109" i="1"/>
  <c r="BW110" i="1"/>
  <c r="BW111" i="1"/>
  <c r="BW112" i="1"/>
  <c r="BW113" i="1"/>
  <c r="BW114" i="1"/>
  <c r="BW115" i="1"/>
  <c r="BW116" i="1"/>
  <c r="BW117" i="1"/>
  <c r="BW118" i="1"/>
  <c r="BW119" i="1"/>
  <c r="BW120" i="1"/>
  <c r="BW121" i="1"/>
  <c r="BW122" i="1"/>
  <c r="BW123" i="1"/>
  <c r="BW124" i="1"/>
  <c r="BW125" i="1"/>
  <c r="BW126" i="1"/>
  <c r="BW127" i="1"/>
  <c r="BW128" i="1"/>
  <c r="BW129" i="1"/>
  <c r="BW130" i="1"/>
  <c r="BW131" i="1"/>
  <c r="BW132" i="1"/>
  <c r="BW133" i="1"/>
  <c r="BW134" i="1"/>
  <c r="BW135" i="1"/>
  <c r="BW136" i="1"/>
  <c r="BW137" i="1"/>
  <c r="BW138" i="1"/>
  <c r="BW139" i="1"/>
  <c r="BW140" i="1"/>
  <c r="BW141" i="1"/>
  <c r="BW142" i="1"/>
  <c r="BW143" i="1"/>
  <c r="BW144" i="1"/>
  <c r="BW145" i="1"/>
  <c r="BW146" i="1"/>
  <c r="BW147" i="1"/>
  <c r="BW148" i="1"/>
  <c r="BW149" i="1"/>
  <c r="BW150" i="1"/>
  <c r="BW151" i="1"/>
  <c r="BW152" i="1"/>
  <c r="BW153" i="1"/>
  <c r="BW154" i="1"/>
  <c r="BW155" i="1"/>
  <c r="BW156" i="1"/>
  <c r="BW157" i="1"/>
  <c r="BW158" i="1"/>
  <c r="BW159" i="1"/>
  <c r="BW160" i="1"/>
  <c r="BW161" i="1"/>
  <c r="BW162" i="1"/>
  <c r="BW163" i="1"/>
  <c r="BW164" i="1"/>
  <c r="BW165" i="1"/>
  <c r="BW166" i="1"/>
  <c r="BW167" i="1"/>
  <c r="BW168" i="1"/>
  <c r="BW169" i="1"/>
  <c r="BW170" i="1"/>
  <c r="BW171" i="1"/>
  <c r="BW172" i="1"/>
  <c r="BW173" i="1"/>
  <c r="BW174" i="1"/>
  <c r="BW175" i="1"/>
  <c r="BW176" i="1"/>
  <c r="BW177" i="1"/>
  <c r="BW178" i="1"/>
  <c r="BW179" i="1"/>
  <c r="BW180" i="1"/>
  <c r="BW181" i="1"/>
  <c r="BW182" i="1"/>
  <c r="BW183" i="1"/>
  <c r="BW184" i="1"/>
  <c r="BW185" i="1"/>
  <c r="BW186" i="1"/>
  <c r="BW187" i="1"/>
  <c r="BW188" i="1"/>
  <c r="BW189" i="1"/>
  <c r="BW190" i="1"/>
  <c r="BW191" i="1"/>
  <c r="BW192" i="1"/>
  <c r="BW193" i="1"/>
  <c r="BW194" i="1"/>
  <c r="BW195" i="1"/>
  <c r="BW196" i="1"/>
  <c r="BW197" i="1"/>
  <c r="BW198" i="1"/>
  <c r="BW199" i="1"/>
  <c r="BW200" i="1"/>
  <c r="BW201" i="1"/>
  <c r="BW202" i="1"/>
  <c r="BW203" i="1"/>
  <c r="BW204" i="1"/>
  <c r="BW205" i="1"/>
  <c r="BW206" i="1"/>
  <c r="BW207" i="1"/>
  <c r="BW208" i="1"/>
  <c r="BW209" i="1"/>
  <c r="BW210" i="1"/>
  <c r="BW211" i="1"/>
  <c r="BW212" i="1"/>
  <c r="BW213" i="1"/>
  <c r="BW214" i="1"/>
  <c r="BW215" i="1"/>
  <c r="BW216" i="1"/>
  <c r="BW217" i="1"/>
  <c r="BW218" i="1"/>
  <c r="BW219" i="1"/>
  <c r="BW220" i="1"/>
  <c r="BW221" i="1"/>
  <c r="BW222" i="1"/>
  <c r="BW223" i="1"/>
  <c r="BW224" i="1"/>
  <c r="BW225" i="1"/>
  <c r="BW226" i="1"/>
  <c r="BW227" i="1"/>
  <c r="BW228" i="1"/>
  <c r="BW229" i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75" i="1"/>
  <c r="BW276" i="1"/>
  <c r="BW277" i="1"/>
  <c r="BW278" i="1"/>
  <c r="BW279" i="1"/>
  <c r="BW280" i="1"/>
  <c r="BW281" i="1"/>
  <c r="BW282" i="1"/>
  <c r="BW283" i="1"/>
  <c r="BW284" i="1"/>
  <c r="BW285" i="1"/>
  <c r="BW286" i="1"/>
  <c r="BW287" i="1"/>
  <c r="BW288" i="1"/>
  <c r="BW289" i="1"/>
  <c r="BW290" i="1"/>
  <c r="BW291" i="1"/>
  <c r="BW292" i="1"/>
  <c r="BW293" i="1"/>
  <c r="BW294" i="1"/>
  <c r="BW295" i="1"/>
  <c r="BW296" i="1"/>
  <c r="BW297" i="1"/>
  <c r="BW298" i="1"/>
  <c r="BW299" i="1"/>
  <c r="BW300" i="1"/>
  <c r="BW301" i="1"/>
  <c r="BW302" i="1"/>
  <c r="BW303" i="1"/>
  <c r="BW304" i="1"/>
  <c r="BW305" i="1"/>
  <c r="BW306" i="1"/>
  <c r="BW307" i="1"/>
  <c r="BW308" i="1"/>
  <c r="BW309" i="1"/>
  <c r="BW310" i="1"/>
  <c r="BW311" i="1"/>
  <c r="BW312" i="1"/>
  <c r="BW313" i="1"/>
  <c r="BW314" i="1"/>
  <c r="BW315" i="1"/>
  <c r="BW316" i="1"/>
  <c r="BW317" i="1"/>
  <c r="BW318" i="1"/>
  <c r="BW319" i="1"/>
  <c r="BW320" i="1"/>
  <c r="BW321" i="1"/>
  <c r="BW322" i="1"/>
  <c r="BW323" i="1"/>
  <c r="BW324" i="1"/>
  <c r="BW325" i="1"/>
  <c r="BW326" i="1"/>
  <c r="BW327" i="1"/>
  <c r="BW328" i="1"/>
  <c r="BW329" i="1"/>
  <c r="BW330" i="1"/>
  <c r="BW331" i="1"/>
  <c r="BW332" i="1"/>
  <c r="BW333" i="1"/>
  <c r="BW334" i="1"/>
  <c r="BW335" i="1"/>
  <c r="BW336" i="1"/>
  <c r="BW337" i="1"/>
  <c r="BW338" i="1"/>
  <c r="BW339" i="1"/>
  <c r="BW340" i="1"/>
  <c r="BW341" i="1"/>
  <c r="BW342" i="1"/>
  <c r="BW343" i="1"/>
  <c r="BW344" i="1"/>
  <c r="BW345" i="1"/>
  <c r="BW346" i="1"/>
  <c r="BW347" i="1"/>
  <c r="BW348" i="1"/>
  <c r="BW349" i="1"/>
  <c r="BW350" i="1"/>
  <c r="BW351" i="1"/>
  <c r="BW352" i="1"/>
  <c r="BW353" i="1"/>
  <c r="BW354" i="1"/>
  <c r="BW355" i="1"/>
  <c r="BW356" i="1"/>
  <c r="BW357" i="1"/>
  <c r="BW358" i="1"/>
  <c r="BW359" i="1"/>
  <c r="BW360" i="1"/>
  <c r="BW361" i="1"/>
  <c r="BW362" i="1"/>
  <c r="BW363" i="1"/>
  <c r="BW364" i="1"/>
  <c r="BW365" i="1"/>
  <c r="BW366" i="1"/>
  <c r="BW367" i="1"/>
  <c r="BW368" i="1"/>
  <c r="BW369" i="1"/>
  <c r="BW370" i="1"/>
  <c r="BW371" i="1"/>
  <c r="BW372" i="1"/>
  <c r="BW373" i="1"/>
  <c r="BW374" i="1"/>
  <c r="BW375" i="1"/>
  <c r="BW15" i="1"/>
  <c r="BE365" i="1" l="1"/>
  <c r="BD365" i="1"/>
  <c r="CD8" i="1" l="1"/>
  <c r="BX6" i="1"/>
  <c r="CE376" i="1" s="1"/>
  <c r="BW6" i="1"/>
  <c r="CD376" i="1" s="1"/>
  <c r="CF376" i="1" l="1"/>
  <c r="CE15" i="1"/>
  <c r="CE17" i="1"/>
  <c r="CE19" i="1"/>
  <c r="CE21" i="1"/>
  <c r="CE23" i="1"/>
  <c r="CE25" i="1"/>
  <c r="CE27" i="1"/>
  <c r="CE29" i="1"/>
  <c r="CE31" i="1"/>
  <c r="CE33" i="1"/>
  <c r="CE35" i="1"/>
  <c r="CE37" i="1"/>
  <c r="CE39" i="1"/>
  <c r="CE41" i="1"/>
  <c r="CE43" i="1"/>
  <c r="CE45" i="1"/>
  <c r="CE47" i="1"/>
  <c r="CE49" i="1"/>
  <c r="CE51" i="1"/>
  <c r="CE53" i="1"/>
  <c r="CE55" i="1"/>
  <c r="CE57" i="1"/>
  <c r="CE59" i="1"/>
  <c r="CE61" i="1"/>
  <c r="CE63" i="1"/>
  <c r="CE65" i="1"/>
  <c r="CE67" i="1"/>
  <c r="CE69" i="1"/>
  <c r="CE71" i="1"/>
  <c r="CE73" i="1"/>
  <c r="CE75" i="1"/>
  <c r="CE77" i="1"/>
  <c r="CE79" i="1"/>
  <c r="CE81" i="1"/>
  <c r="CE83" i="1"/>
  <c r="CE85" i="1"/>
  <c r="CE87" i="1"/>
  <c r="CE89" i="1"/>
  <c r="CE91" i="1"/>
  <c r="CE93" i="1"/>
  <c r="CE95" i="1"/>
  <c r="CE97" i="1"/>
  <c r="CE99" i="1"/>
  <c r="CE101" i="1"/>
  <c r="CE103" i="1"/>
  <c r="CE105" i="1"/>
  <c r="CE107" i="1"/>
  <c r="CE109" i="1"/>
  <c r="CE111" i="1"/>
  <c r="CE113" i="1"/>
  <c r="CE115" i="1"/>
  <c r="CE117" i="1"/>
  <c r="CE119" i="1"/>
  <c r="CE121" i="1"/>
  <c r="CE123" i="1"/>
  <c r="CE125" i="1"/>
  <c r="CE127" i="1"/>
  <c r="CE129" i="1"/>
  <c r="CE131" i="1"/>
  <c r="CE133" i="1"/>
  <c r="CE135" i="1"/>
  <c r="CE137" i="1"/>
  <c r="CE139" i="1"/>
  <c r="CE141" i="1"/>
  <c r="CE143" i="1"/>
  <c r="CE145" i="1"/>
  <c r="CE147" i="1"/>
  <c r="CE149" i="1"/>
  <c r="CE151" i="1"/>
  <c r="CE153" i="1"/>
  <c r="CE155" i="1"/>
  <c r="CE157" i="1"/>
  <c r="CE159" i="1"/>
  <c r="CE161" i="1"/>
  <c r="CE163" i="1"/>
  <c r="CE165" i="1"/>
  <c r="CE167" i="1"/>
  <c r="CE169" i="1"/>
  <c r="CE171" i="1"/>
  <c r="CE173" i="1"/>
  <c r="CE175" i="1"/>
  <c r="CE177" i="1"/>
  <c r="CE179" i="1"/>
  <c r="CE181" i="1"/>
  <c r="CE183" i="1"/>
  <c r="CE16" i="1"/>
  <c r="CE18" i="1"/>
  <c r="CE20" i="1"/>
  <c r="CE22" i="1"/>
  <c r="CE24" i="1"/>
  <c r="CE26" i="1"/>
  <c r="CE28" i="1"/>
  <c r="CE30" i="1"/>
  <c r="CE32" i="1"/>
  <c r="CE34" i="1"/>
  <c r="CE36" i="1"/>
  <c r="CE38" i="1"/>
  <c r="CE40" i="1"/>
  <c r="CE42" i="1"/>
  <c r="CE44" i="1"/>
  <c r="CE46" i="1"/>
  <c r="CE48" i="1"/>
  <c r="CE50" i="1"/>
  <c r="CE52" i="1"/>
  <c r="CE54" i="1"/>
  <c r="CE56" i="1"/>
  <c r="CE58" i="1"/>
  <c r="CE60" i="1"/>
  <c r="CE62" i="1"/>
  <c r="CE64" i="1"/>
  <c r="CE66" i="1"/>
  <c r="CE68" i="1"/>
  <c r="CE70" i="1"/>
  <c r="CE72" i="1"/>
  <c r="CE74" i="1"/>
  <c r="CE76" i="1"/>
  <c r="CE78" i="1"/>
  <c r="CE80" i="1"/>
  <c r="CE82" i="1"/>
  <c r="CE84" i="1"/>
  <c r="CE86" i="1"/>
  <c r="CE88" i="1"/>
  <c r="CE90" i="1"/>
  <c r="CE92" i="1"/>
  <c r="CE94" i="1"/>
  <c r="CE96" i="1"/>
  <c r="CE98" i="1"/>
  <c r="CE100" i="1"/>
  <c r="CE102" i="1"/>
  <c r="CE104" i="1"/>
  <c r="CE106" i="1"/>
  <c r="CE108" i="1"/>
  <c r="CE110" i="1"/>
  <c r="CE112" i="1"/>
  <c r="CE114" i="1"/>
  <c r="CE116" i="1"/>
  <c r="CE118" i="1"/>
  <c r="CE120" i="1"/>
  <c r="CE122" i="1"/>
  <c r="CE124" i="1"/>
  <c r="CE126" i="1"/>
  <c r="CE128" i="1"/>
  <c r="CE130" i="1"/>
  <c r="CE132" i="1"/>
  <c r="CE134" i="1"/>
  <c r="CE136" i="1"/>
  <c r="CE138" i="1"/>
  <c r="CE140" i="1"/>
  <c r="CE142" i="1"/>
  <c r="CE144" i="1"/>
  <c r="CE146" i="1"/>
  <c r="CE148" i="1"/>
  <c r="CE150" i="1"/>
  <c r="CE152" i="1"/>
  <c r="CE154" i="1"/>
  <c r="CE156" i="1"/>
  <c r="CE158" i="1"/>
  <c r="CE160" i="1"/>
  <c r="CE162" i="1"/>
  <c r="CE164" i="1"/>
  <c r="CE166" i="1"/>
  <c r="CE168" i="1"/>
  <c r="CE170" i="1"/>
  <c r="CE172" i="1"/>
  <c r="CE174" i="1"/>
  <c r="CE176" i="1"/>
  <c r="CE178" i="1"/>
  <c r="CE180" i="1"/>
  <c r="CE182" i="1"/>
  <c r="CE184" i="1"/>
  <c r="CE185" i="1"/>
  <c r="CE187" i="1"/>
  <c r="CE189" i="1"/>
  <c r="CE191" i="1"/>
  <c r="CE193" i="1"/>
  <c r="CE195" i="1"/>
  <c r="CE197" i="1"/>
  <c r="CE199" i="1"/>
  <c r="CE201" i="1"/>
  <c r="CE203" i="1"/>
  <c r="CE205" i="1"/>
  <c r="CE207" i="1"/>
  <c r="CE209" i="1"/>
  <c r="CE211" i="1"/>
  <c r="CE213" i="1"/>
  <c r="CE215" i="1"/>
  <c r="CE217" i="1"/>
  <c r="CE219" i="1"/>
  <c r="CE221" i="1"/>
  <c r="CE223" i="1"/>
  <c r="CE225" i="1"/>
  <c r="CE227" i="1"/>
  <c r="CE229" i="1"/>
  <c r="CE231" i="1"/>
  <c r="CE233" i="1"/>
  <c r="CE235" i="1"/>
  <c r="CE237" i="1"/>
  <c r="CE239" i="1"/>
  <c r="CE241" i="1"/>
  <c r="CE243" i="1"/>
  <c r="CE245" i="1"/>
  <c r="CE247" i="1"/>
  <c r="CE249" i="1"/>
  <c r="CE251" i="1"/>
  <c r="CE253" i="1"/>
  <c r="CE255" i="1"/>
  <c r="CE257" i="1"/>
  <c r="CE259" i="1"/>
  <c r="CE261" i="1"/>
  <c r="CE263" i="1"/>
  <c r="CE265" i="1"/>
  <c r="CE267" i="1"/>
  <c r="CE269" i="1"/>
  <c r="CE271" i="1"/>
  <c r="CE273" i="1"/>
  <c r="CE275" i="1"/>
  <c r="CE277" i="1"/>
  <c r="CE279" i="1"/>
  <c r="CE281" i="1"/>
  <c r="CE283" i="1"/>
  <c r="CE285" i="1"/>
  <c r="CE287" i="1"/>
  <c r="CE289" i="1"/>
  <c r="CE291" i="1"/>
  <c r="CE293" i="1"/>
  <c r="CE295" i="1"/>
  <c r="CE297" i="1"/>
  <c r="CE299" i="1"/>
  <c r="CE301" i="1"/>
  <c r="CE303" i="1"/>
  <c r="CE305" i="1"/>
  <c r="CE307" i="1"/>
  <c r="CE309" i="1"/>
  <c r="CE311" i="1"/>
  <c r="CE313" i="1"/>
  <c r="CE315" i="1"/>
  <c r="CE317" i="1"/>
  <c r="CE319" i="1"/>
  <c r="CE321" i="1"/>
  <c r="CE323" i="1"/>
  <c r="CE325" i="1"/>
  <c r="CE327" i="1"/>
  <c r="CE329" i="1"/>
  <c r="CE331" i="1"/>
  <c r="CE333" i="1"/>
  <c r="CE335" i="1"/>
  <c r="CE337" i="1"/>
  <c r="CE339" i="1"/>
  <c r="CE341" i="1"/>
  <c r="CE343" i="1"/>
  <c r="CE345" i="1"/>
  <c r="CE347" i="1"/>
  <c r="CE349" i="1"/>
  <c r="CE351" i="1"/>
  <c r="CE353" i="1"/>
  <c r="CE355" i="1"/>
  <c r="CE186" i="1"/>
  <c r="CE188" i="1"/>
  <c r="CE190" i="1"/>
  <c r="CE192" i="1"/>
  <c r="CE194" i="1"/>
  <c r="CE196" i="1"/>
  <c r="CE198" i="1"/>
  <c r="CE200" i="1"/>
  <c r="CE202" i="1"/>
  <c r="CE204" i="1"/>
  <c r="CE206" i="1"/>
  <c r="CE208" i="1"/>
  <c r="CE210" i="1"/>
  <c r="CE212" i="1"/>
  <c r="CE214" i="1"/>
  <c r="CE216" i="1"/>
  <c r="CE218" i="1"/>
  <c r="CE220" i="1"/>
  <c r="CE222" i="1"/>
  <c r="CE224" i="1"/>
  <c r="CE226" i="1"/>
  <c r="CE228" i="1"/>
  <c r="CE230" i="1"/>
  <c r="CE232" i="1"/>
  <c r="CE234" i="1"/>
  <c r="CE236" i="1"/>
  <c r="CE238" i="1"/>
  <c r="CE240" i="1"/>
  <c r="CE242" i="1"/>
  <c r="CE244" i="1"/>
  <c r="CE246" i="1"/>
  <c r="CE248" i="1"/>
  <c r="CE250" i="1"/>
  <c r="CE252" i="1"/>
  <c r="CE254" i="1"/>
  <c r="CE256" i="1"/>
  <c r="CE258" i="1"/>
  <c r="CE260" i="1"/>
  <c r="CE262" i="1"/>
  <c r="CE264" i="1"/>
  <c r="CE266" i="1"/>
  <c r="CE268" i="1"/>
  <c r="CE270" i="1"/>
  <c r="CE272" i="1"/>
  <c r="CE274" i="1"/>
  <c r="CE276" i="1"/>
  <c r="CE278" i="1"/>
  <c r="CE280" i="1"/>
  <c r="CE282" i="1"/>
  <c r="CE284" i="1"/>
  <c r="CE286" i="1"/>
  <c r="CE288" i="1"/>
  <c r="CE290" i="1"/>
  <c r="CE292" i="1"/>
  <c r="CE294" i="1"/>
  <c r="CE296" i="1"/>
  <c r="CE298" i="1"/>
  <c r="CE300" i="1"/>
  <c r="CE302" i="1"/>
  <c r="CE304" i="1"/>
  <c r="CE306" i="1"/>
  <c r="CE308" i="1"/>
  <c r="CE310" i="1"/>
  <c r="CE312" i="1"/>
  <c r="CE314" i="1"/>
  <c r="CE316" i="1"/>
  <c r="CE318" i="1"/>
  <c r="CE320" i="1"/>
  <c r="CE322" i="1"/>
  <c r="CE324" i="1"/>
  <c r="CE326" i="1"/>
  <c r="CE328" i="1"/>
  <c r="CE330" i="1"/>
  <c r="CE332" i="1"/>
  <c r="CE334" i="1"/>
  <c r="CE336" i="1"/>
  <c r="CE338" i="1"/>
  <c r="CE340" i="1"/>
  <c r="CE342" i="1"/>
  <c r="CE344" i="1"/>
  <c r="CE346" i="1"/>
  <c r="CE348" i="1"/>
  <c r="CE350" i="1"/>
  <c r="CE352" i="1"/>
  <c r="CE354" i="1"/>
  <c r="CE356" i="1"/>
  <c r="CE358" i="1"/>
  <c r="CE360" i="1"/>
  <c r="CE362" i="1"/>
  <c r="CE364" i="1"/>
  <c r="CE366" i="1"/>
  <c r="CE368" i="1"/>
  <c r="CE370" i="1"/>
  <c r="CE372" i="1"/>
  <c r="CE374" i="1"/>
  <c r="CE371" i="1"/>
  <c r="CE375" i="1"/>
  <c r="CE357" i="1"/>
  <c r="CE359" i="1"/>
  <c r="CE361" i="1"/>
  <c r="CE363" i="1"/>
  <c r="CE365" i="1"/>
  <c r="CE367" i="1"/>
  <c r="CE369" i="1"/>
  <c r="CE373" i="1"/>
  <c r="CD16" i="1"/>
  <c r="CD18" i="1"/>
  <c r="CD20" i="1"/>
  <c r="CD22" i="1"/>
  <c r="CD24" i="1"/>
  <c r="CF24" i="1" s="1"/>
  <c r="CD26" i="1"/>
  <c r="CF26" i="1" s="1"/>
  <c r="CD28" i="1"/>
  <c r="CD30" i="1"/>
  <c r="CD32" i="1"/>
  <c r="CD34" i="1"/>
  <c r="CD36" i="1"/>
  <c r="CD38" i="1"/>
  <c r="CD40" i="1"/>
  <c r="CF40" i="1" s="1"/>
  <c r="CD42" i="1"/>
  <c r="CF42" i="1" s="1"/>
  <c r="CD44" i="1"/>
  <c r="CD46" i="1"/>
  <c r="CD48" i="1"/>
  <c r="CD50" i="1"/>
  <c r="CD52" i="1"/>
  <c r="CD54" i="1"/>
  <c r="CD56" i="1"/>
  <c r="CD58" i="1"/>
  <c r="CF58" i="1" s="1"/>
  <c r="CD60" i="1"/>
  <c r="CD62" i="1"/>
  <c r="CD64" i="1"/>
  <c r="CD66" i="1"/>
  <c r="CD68" i="1"/>
  <c r="CD70" i="1"/>
  <c r="CD72" i="1"/>
  <c r="CD74" i="1"/>
  <c r="CF74" i="1" s="1"/>
  <c r="CD76" i="1"/>
  <c r="CD78" i="1"/>
  <c r="CD80" i="1"/>
  <c r="CD82" i="1"/>
  <c r="CD84" i="1"/>
  <c r="CD86" i="1"/>
  <c r="CD88" i="1"/>
  <c r="CD90" i="1"/>
  <c r="CF90" i="1" s="1"/>
  <c r="CD92" i="1"/>
  <c r="CD94" i="1"/>
  <c r="CD96" i="1"/>
  <c r="CD98" i="1"/>
  <c r="CD100" i="1"/>
  <c r="CD102" i="1"/>
  <c r="CD104" i="1"/>
  <c r="CD106" i="1"/>
  <c r="CD108" i="1"/>
  <c r="CD110" i="1"/>
  <c r="CD112" i="1"/>
  <c r="CD114" i="1"/>
  <c r="CD116" i="1"/>
  <c r="CD118" i="1"/>
  <c r="CD120" i="1"/>
  <c r="CD122" i="1"/>
  <c r="CF122" i="1" s="1"/>
  <c r="CD124" i="1"/>
  <c r="CD126" i="1"/>
  <c r="CD128" i="1"/>
  <c r="CD130" i="1"/>
  <c r="CD132" i="1"/>
  <c r="CD134" i="1"/>
  <c r="CD136" i="1"/>
  <c r="CD138" i="1"/>
  <c r="CF138" i="1" s="1"/>
  <c r="CD140" i="1"/>
  <c r="CD142" i="1"/>
  <c r="CD144" i="1"/>
  <c r="CD146" i="1"/>
  <c r="CD148" i="1"/>
  <c r="CD150" i="1"/>
  <c r="CD152" i="1"/>
  <c r="CD154" i="1"/>
  <c r="CD156" i="1"/>
  <c r="CD158" i="1"/>
  <c r="CD160" i="1"/>
  <c r="CD162" i="1"/>
  <c r="CD164" i="1"/>
  <c r="CD166" i="1"/>
  <c r="CD168" i="1"/>
  <c r="CD170" i="1"/>
  <c r="CF170" i="1" s="1"/>
  <c r="CD172" i="1"/>
  <c r="CD174" i="1"/>
  <c r="CD176" i="1"/>
  <c r="CD178" i="1"/>
  <c r="CD180" i="1"/>
  <c r="CD182" i="1"/>
  <c r="CD184" i="1"/>
  <c r="CD17" i="1"/>
  <c r="CF17" i="1" s="1"/>
  <c r="CD21" i="1"/>
  <c r="CD25" i="1"/>
  <c r="CD29" i="1"/>
  <c r="CD33" i="1"/>
  <c r="CD37" i="1"/>
  <c r="CF37" i="1" s="1"/>
  <c r="CD41" i="1"/>
  <c r="CD45" i="1"/>
  <c r="CD49" i="1"/>
  <c r="CD53" i="1"/>
  <c r="CD57" i="1"/>
  <c r="CD61" i="1"/>
  <c r="CD65" i="1"/>
  <c r="CD69" i="1"/>
  <c r="CF69" i="1" s="1"/>
  <c r="CD73" i="1"/>
  <c r="CD77" i="1"/>
  <c r="CD81" i="1"/>
  <c r="CF81" i="1" s="1"/>
  <c r="CD85" i="1"/>
  <c r="CD89" i="1"/>
  <c r="CD93" i="1"/>
  <c r="CD97" i="1"/>
  <c r="CD101" i="1"/>
  <c r="CF101" i="1" s="1"/>
  <c r="CD105" i="1"/>
  <c r="CD109" i="1"/>
  <c r="CD113" i="1"/>
  <c r="CF113" i="1" s="1"/>
  <c r="CD117" i="1"/>
  <c r="CD121" i="1"/>
  <c r="CD125" i="1"/>
  <c r="CD129" i="1"/>
  <c r="CD133" i="1"/>
  <c r="CF133" i="1" s="1"/>
  <c r="CD137" i="1"/>
  <c r="CD141" i="1"/>
  <c r="CD145" i="1"/>
  <c r="CF145" i="1" s="1"/>
  <c r="CD149" i="1"/>
  <c r="CD153" i="1"/>
  <c r="CD157" i="1"/>
  <c r="CD161" i="1"/>
  <c r="CD165" i="1"/>
  <c r="CF165" i="1" s="1"/>
  <c r="CD169" i="1"/>
  <c r="CD173" i="1"/>
  <c r="CD177" i="1"/>
  <c r="CF177" i="1" s="1"/>
  <c r="CD181" i="1"/>
  <c r="CD185" i="1"/>
  <c r="CD187" i="1"/>
  <c r="CD189" i="1"/>
  <c r="CD191" i="1"/>
  <c r="CD193" i="1"/>
  <c r="CD195" i="1"/>
  <c r="CD197" i="1"/>
  <c r="CD199" i="1"/>
  <c r="CD201" i="1"/>
  <c r="CD203" i="1"/>
  <c r="CD205" i="1"/>
  <c r="CD207" i="1"/>
  <c r="CD209" i="1"/>
  <c r="CD211" i="1"/>
  <c r="CD213" i="1"/>
  <c r="CD215" i="1"/>
  <c r="CD217" i="1"/>
  <c r="CD219" i="1"/>
  <c r="CD221" i="1"/>
  <c r="CD223" i="1"/>
  <c r="CD225" i="1"/>
  <c r="CD227" i="1"/>
  <c r="CD229" i="1"/>
  <c r="CD231" i="1"/>
  <c r="CD233" i="1"/>
  <c r="CD235" i="1"/>
  <c r="CD237" i="1"/>
  <c r="CD239" i="1"/>
  <c r="CD241" i="1"/>
  <c r="CD243" i="1"/>
  <c r="CD245" i="1"/>
  <c r="CD247" i="1"/>
  <c r="CD249" i="1"/>
  <c r="CD251" i="1"/>
  <c r="CD253" i="1"/>
  <c r="CD255" i="1"/>
  <c r="CD257" i="1"/>
  <c r="CD259" i="1"/>
  <c r="CD261" i="1"/>
  <c r="CD263" i="1"/>
  <c r="CD265" i="1"/>
  <c r="CD267" i="1"/>
  <c r="CD269" i="1"/>
  <c r="CD271" i="1"/>
  <c r="CD273" i="1"/>
  <c r="CD275" i="1"/>
  <c r="CD277" i="1"/>
  <c r="CD279" i="1"/>
  <c r="CD281" i="1"/>
  <c r="CD283" i="1"/>
  <c r="CD285" i="1"/>
  <c r="CD287" i="1"/>
  <c r="CD289" i="1"/>
  <c r="CD291" i="1"/>
  <c r="CD293" i="1"/>
  <c r="CD295" i="1"/>
  <c r="CD297" i="1"/>
  <c r="CD299" i="1"/>
  <c r="CD301" i="1"/>
  <c r="CD303" i="1"/>
  <c r="CD305" i="1"/>
  <c r="CD307" i="1"/>
  <c r="CD309" i="1"/>
  <c r="CD311" i="1"/>
  <c r="CD313" i="1"/>
  <c r="CD315" i="1"/>
  <c r="CD317" i="1"/>
  <c r="CD319" i="1"/>
  <c r="CD321" i="1"/>
  <c r="CD323" i="1"/>
  <c r="CD325" i="1"/>
  <c r="CD327" i="1"/>
  <c r="CD329" i="1"/>
  <c r="CD331" i="1"/>
  <c r="CD333" i="1"/>
  <c r="CD335" i="1"/>
  <c r="CD337" i="1"/>
  <c r="CD339" i="1"/>
  <c r="CD341" i="1"/>
  <c r="CD343" i="1"/>
  <c r="CD345" i="1"/>
  <c r="CD347" i="1"/>
  <c r="CD349" i="1"/>
  <c r="CD351" i="1"/>
  <c r="CD353" i="1"/>
  <c r="CD355" i="1"/>
  <c r="CD357" i="1"/>
  <c r="CD359" i="1"/>
  <c r="CD361" i="1"/>
  <c r="CD363" i="1"/>
  <c r="CD365" i="1"/>
  <c r="CD367" i="1"/>
  <c r="CD369" i="1"/>
  <c r="CD371" i="1"/>
  <c r="CD373" i="1"/>
  <c r="CD375" i="1"/>
  <c r="CD19" i="1"/>
  <c r="CF19" i="1" s="1"/>
  <c r="CD23" i="1"/>
  <c r="CD27" i="1"/>
  <c r="CD31" i="1"/>
  <c r="CD35" i="1"/>
  <c r="CD39" i="1"/>
  <c r="CD43" i="1"/>
  <c r="CD47" i="1"/>
  <c r="CD51" i="1"/>
  <c r="CD55" i="1"/>
  <c r="CD59" i="1"/>
  <c r="CD63" i="1"/>
  <c r="CD67" i="1"/>
  <c r="CD71" i="1"/>
  <c r="CD75" i="1"/>
  <c r="CD79" i="1"/>
  <c r="CD83" i="1"/>
  <c r="CD87" i="1"/>
  <c r="CD91" i="1"/>
  <c r="CD95" i="1"/>
  <c r="CD99" i="1"/>
  <c r="CD103" i="1"/>
  <c r="CD107" i="1"/>
  <c r="CF107" i="1" s="1"/>
  <c r="CD111" i="1"/>
  <c r="CD115" i="1"/>
  <c r="CD119" i="1"/>
  <c r="CD123" i="1"/>
  <c r="CD127" i="1"/>
  <c r="CD131" i="1"/>
  <c r="CD135" i="1"/>
  <c r="CD139" i="1"/>
  <c r="CD143" i="1"/>
  <c r="CD147" i="1"/>
  <c r="CD155" i="1"/>
  <c r="CD163" i="1"/>
  <c r="CF163" i="1" s="1"/>
  <c r="CD171" i="1"/>
  <c r="CD179" i="1"/>
  <c r="CD186" i="1"/>
  <c r="CD190" i="1"/>
  <c r="CF190" i="1" s="1"/>
  <c r="CD194" i="1"/>
  <c r="CD198" i="1"/>
  <c r="CD202" i="1"/>
  <c r="CD206" i="1"/>
  <c r="CF206" i="1" s="1"/>
  <c r="CD210" i="1"/>
  <c r="CD214" i="1"/>
  <c r="CD218" i="1"/>
  <c r="CD222" i="1"/>
  <c r="CF222" i="1" s="1"/>
  <c r="CD226" i="1"/>
  <c r="CD230" i="1"/>
  <c r="CD234" i="1"/>
  <c r="CD238" i="1"/>
  <c r="CF238" i="1" s="1"/>
  <c r="CD242" i="1"/>
  <c r="CD246" i="1"/>
  <c r="CD250" i="1"/>
  <c r="CD254" i="1"/>
  <c r="CF254" i="1" s="1"/>
  <c r="CD258" i="1"/>
  <c r="CD262" i="1"/>
  <c r="CD266" i="1"/>
  <c r="CD270" i="1"/>
  <c r="CF270" i="1" s="1"/>
  <c r="CD274" i="1"/>
  <c r="CD278" i="1"/>
  <c r="CD282" i="1"/>
  <c r="CD286" i="1"/>
  <c r="CF286" i="1" s="1"/>
  <c r="CD290" i="1"/>
  <c r="CD294" i="1"/>
  <c r="CD298" i="1"/>
  <c r="CD302" i="1"/>
  <c r="CD306" i="1"/>
  <c r="CD310" i="1"/>
  <c r="CD314" i="1"/>
  <c r="CD318" i="1"/>
  <c r="CD322" i="1"/>
  <c r="CD326" i="1"/>
  <c r="CD330" i="1"/>
  <c r="CD334" i="1"/>
  <c r="CD338" i="1"/>
  <c r="CD342" i="1"/>
  <c r="CD346" i="1"/>
  <c r="CD350" i="1"/>
  <c r="CD354" i="1"/>
  <c r="CD358" i="1"/>
  <c r="CD362" i="1"/>
  <c r="CD366" i="1"/>
  <c r="CD370" i="1"/>
  <c r="CD374" i="1"/>
  <c r="CD151" i="1"/>
  <c r="CD159" i="1"/>
  <c r="CD167" i="1"/>
  <c r="CD175" i="1"/>
  <c r="CF175" i="1" s="1"/>
  <c r="CD183" i="1"/>
  <c r="CD188" i="1"/>
  <c r="CD192" i="1"/>
  <c r="CF192" i="1" s="1"/>
  <c r="CD196" i="1"/>
  <c r="CD200" i="1"/>
  <c r="CD204" i="1"/>
  <c r="CF204" i="1" s="1"/>
  <c r="CD208" i="1"/>
  <c r="CD212" i="1"/>
  <c r="CD216" i="1"/>
  <c r="CD220" i="1"/>
  <c r="CD224" i="1"/>
  <c r="CF224" i="1" s="1"/>
  <c r="CD228" i="1"/>
  <c r="CD232" i="1"/>
  <c r="CD236" i="1"/>
  <c r="CF236" i="1" s="1"/>
  <c r="CD240" i="1"/>
  <c r="CD244" i="1"/>
  <c r="CD248" i="1"/>
  <c r="CD252" i="1"/>
  <c r="CD256" i="1"/>
  <c r="CF256" i="1" s="1"/>
  <c r="CD260" i="1"/>
  <c r="CD264" i="1"/>
  <c r="CD268" i="1"/>
  <c r="CF268" i="1" s="1"/>
  <c r="CD272" i="1"/>
  <c r="CD276" i="1"/>
  <c r="CD280" i="1"/>
  <c r="CD284" i="1"/>
  <c r="CD288" i="1"/>
  <c r="CF288" i="1" s="1"/>
  <c r="CD292" i="1"/>
  <c r="CD296" i="1"/>
  <c r="CD300" i="1"/>
  <c r="CD304" i="1"/>
  <c r="CD308" i="1"/>
  <c r="CD312" i="1"/>
  <c r="CD316" i="1"/>
  <c r="CD320" i="1"/>
  <c r="CF320" i="1" s="1"/>
  <c r="CD324" i="1"/>
  <c r="CD328" i="1"/>
  <c r="CD332" i="1"/>
  <c r="CD336" i="1"/>
  <c r="CD340" i="1"/>
  <c r="CD344" i="1"/>
  <c r="CD348" i="1"/>
  <c r="CD352" i="1"/>
  <c r="CF352" i="1" s="1"/>
  <c r="CD356" i="1"/>
  <c r="CD360" i="1"/>
  <c r="CD364" i="1"/>
  <c r="CD368" i="1"/>
  <c r="CD372" i="1"/>
  <c r="CD15" i="1"/>
  <c r="CF6" i="1"/>
  <c r="CE6" i="1"/>
  <c r="CF33" i="1"/>
  <c r="BY6" i="1"/>
  <c r="CA6" i="1" s="1"/>
  <c r="I2" i="1"/>
  <c r="CF94" i="1" l="1"/>
  <c r="CF139" i="1"/>
  <c r="CF106" i="1"/>
  <c r="CF373" i="1"/>
  <c r="CF341" i="1"/>
  <c r="CF309" i="1"/>
  <c r="CF293" i="1"/>
  <c r="CF277" i="1"/>
  <c r="CF159" i="1"/>
  <c r="CF346" i="1"/>
  <c r="CF282" i="1"/>
  <c r="CF250" i="1"/>
  <c r="CF218" i="1"/>
  <c r="CF134" i="1"/>
  <c r="CF118" i="1"/>
  <c r="CF102" i="1"/>
  <c r="CF86" i="1"/>
  <c r="CF70" i="1"/>
  <c r="CF54" i="1"/>
  <c r="CF38" i="1"/>
  <c r="CF127" i="1"/>
  <c r="CF95" i="1"/>
  <c r="CF63" i="1"/>
  <c r="CF31" i="1"/>
  <c r="CF15" i="1"/>
  <c r="CF330" i="1"/>
  <c r="CF266" i="1"/>
  <c r="CF234" i="1"/>
  <c r="CF202" i="1"/>
  <c r="CF143" i="1"/>
  <c r="CF111" i="1"/>
  <c r="CF79" i="1"/>
  <c r="CF375" i="1"/>
  <c r="CF47" i="1"/>
  <c r="CF161" i="1"/>
  <c r="CF129" i="1"/>
  <c r="CF97" i="1"/>
  <c r="CF65" i="1"/>
  <c r="CF329" i="1"/>
  <c r="CF185" i="1"/>
  <c r="CF361" i="1"/>
  <c r="CF343" i="1"/>
  <c r="CF327" i="1"/>
  <c r="CF311" i="1"/>
  <c r="CF279" i="1"/>
  <c r="CF179" i="1"/>
  <c r="CF131" i="1"/>
  <c r="CF99" i="1"/>
  <c r="CF67" i="1"/>
  <c r="CF35" i="1"/>
  <c r="CF347" i="1"/>
  <c r="CF331" i="1"/>
  <c r="CF315" i="1"/>
  <c r="CF299" i="1"/>
  <c r="CF147" i="1"/>
  <c r="CF336" i="1"/>
  <c r="CF240" i="1"/>
  <c r="CF208" i="1"/>
  <c r="CF53" i="1"/>
  <c r="CF368" i="1"/>
  <c r="CF304" i="1"/>
  <c r="CF301" i="1"/>
  <c r="CF297" i="1"/>
  <c r="CF295" i="1"/>
  <c r="CF272" i="1"/>
  <c r="CF181" i="1"/>
  <c r="CF154" i="1"/>
  <c r="CF149" i="1"/>
  <c r="CF140" i="1"/>
  <c r="CF124" i="1"/>
  <c r="CF117" i="1"/>
  <c r="CF115" i="1"/>
  <c r="CF108" i="1"/>
  <c r="CF92" i="1"/>
  <c r="CF85" i="1"/>
  <c r="CF76" i="1"/>
  <c r="CF60" i="1"/>
  <c r="CF51" i="1"/>
  <c r="CF44" i="1"/>
  <c r="CF28" i="1"/>
  <c r="CF21" i="1"/>
  <c r="CF144" i="1"/>
  <c r="CF83" i="1"/>
  <c r="CF345" i="1"/>
  <c r="CF313" i="1"/>
  <c r="CF359" i="1"/>
  <c r="CF357" i="1"/>
  <c r="CF168" i="1"/>
  <c r="CF152" i="1"/>
  <c r="CF136" i="1"/>
  <c r="CF120" i="1"/>
  <c r="CF104" i="1"/>
  <c r="CF88" i="1"/>
  <c r="CF56" i="1"/>
  <c r="CF284" i="1"/>
  <c r="CF252" i="1"/>
  <c r="CF220" i="1"/>
  <c r="CF22" i="1"/>
  <c r="CF298" i="1"/>
  <c r="CF186" i="1"/>
  <c r="CF153" i="1"/>
  <c r="CF57" i="1"/>
  <c r="CF89" i="1"/>
  <c r="CF41" i="1"/>
  <c r="CF25" i="1"/>
  <c r="CF335" i="1"/>
  <c r="CF325" i="1"/>
  <c r="CF184" i="1"/>
  <c r="CF49" i="1"/>
  <c r="CF212" i="1"/>
  <c r="CF303" i="1"/>
  <c r="CF365" i="1"/>
  <c r="CF351" i="1"/>
  <c r="CF242" i="1"/>
  <c r="CF176" i="1"/>
  <c r="CF160" i="1"/>
  <c r="CF121" i="1"/>
  <c r="CF260" i="1"/>
  <c r="CF228" i="1"/>
  <c r="CF196" i="1"/>
  <c r="CF169" i="1"/>
  <c r="CF137" i="1"/>
  <c r="CF105" i="1"/>
  <c r="CF73" i="1"/>
  <c r="CF319" i="1"/>
  <c r="CF287" i="1"/>
  <c r="CF271" i="1"/>
  <c r="CF128" i="1"/>
  <c r="CF112" i="1"/>
  <c r="CF96" i="1"/>
  <c r="CF80" i="1"/>
  <c r="CF64" i="1"/>
  <c r="CF48" i="1"/>
  <c r="CF32" i="1"/>
  <c r="CF16" i="1"/>
  <c r="CF276" i="1"/>
  <c r="CF244" i="1"/>
  <c r="CF72" i="1"/>
  <c r="CF362" i="1"/>
  <c r="CF349" i="1"/>
  <c r="CF333" i="1"/>
  <c r="CF317" i="1"/>
  <c r="CF285" i="1"/>
  <c r="CF269" i="1"/>
  <c r="CF188" i="1"/>
  <c r="CF126" i="1"/>
  <c r="CF110" i="1"/>
  <c r="CF78" i="1"/>
  <c r="CF62" i="1"/>
  <c r="CF30" i="1"/>
  <c r="CF167" i="1"/>
  <c r="CF354" i="1"/>
  <c r="CF322" i="1"/>
  <c r="CF290" i="1"/>
  <c r="CF258" i="1"/>
  <c r="CF226" i="1"/>
  <c r="CF194" i="1"/>
  <c r="CF262" i="1"/>
  <c r="CF230" i="1"/>
  <c r="CF198" i="1"/>
  <c r="CF353" i="1"/>
  <c r="CF337" i="1"/>
  <c r="CF321" i="1"/>
  <c r="CF305" i="1"/>
  <c r="CF178" i="1"/>
  <c r="CF162" i="1"/>
  <c r="CF146" i="1"/>
  <c r="CF130" i="1"/>
  <c r="CF114" i="1"/>
  <c r="CF98" i="1"/>
  <c r="CF123" i="1"/>
  <c r="CF91" i="1"/>
  <c r="CF151" i="1"/>
  <c r="CF135" i="1"/>
  <c r="CF103" i="1"/>
  <c r="CF71" i="1"/>
  <c r="CF39" i="1"/>
  <c r="CF306" i="1"/>
  <c r="CF370" i="1"/>
  <c r="CF338" i="1"/>
  <c r="CF274" i="1"/>
  <c r="CF210" i="1"/>
  <c r="CF183" i="1"/>
  <c r="CF119" i="1"/>
  <c r="CF87" i="1"/>
  <c r="CF55" i="1"/>
  <c r="CF23" i="1"/>
  <c r="CF363" i="1"/>
  <c r="CF46" i="1"/>
  <c r="CF82" i="1"/>
  <c r="CF66" i="1"/>
  <c r="CF59" i="1"/>
  <c r="CF50" i="1"/>
  <c r="CF34" i="1"/>
  <c r="CF27" i="1"/>
  <c r="CF18" i="1"/>
  <c r="CF75" i="1"/>
  <c r="CF43" i="1"/>
  <c r="CF278" i="1"/>
  <c r="CF246" i="1"/>
  <c r="CF214" i="1"/>
  <c r="CF171" i="1"/>
  <c r="CF155" i="1"/>
  <c r="CF314" i="1"/>
  <c r="CF369" i="1"/>
  <c r="CF367" i="1"/>
  <c r="CF339" i="1"/>
  <c r="CF323" i="1"/>
  <c r="CF307" i="1"/>
  <c r="CF173" i="1"/>
  <c r="CF157" i="1"/>
  <c r="CF296" i="1"/>
  <c r="CF232" i="1"/>
  <c r="CF371" i="1"/>
  <c r="CF355" i="1"/>
  <c r="CF141" i="1"/>
  <c r="CF109" i="1"/>
  <c r="CF77" i="1"/>
  <c r="CF45" i="1"/>
  <c r="CF360" i="1"/>
  <c r="CF328" i="1"/>
  <c r="CF264" i="1"/>
  <c r="CF200" i="1"/>
  <c r="CF132" i="1"/>
  <c r="CF116" i="1"/>
  <c r="CF100" i="1"/>
  <c r="CF84" i="1"/>
  <c r="CF68" i="1"/>
  <c r="CF52" i="1"/>
  <c r="CF36" i="1"/>
  <c r="CF20" i="1"/>
  <c r="CF312" i="1"/>
  <c r="CF280" i="1"/>
  <c r="CF216" i="1"/>
  <c r="CF125" i="1"/>
  <c r="CF93" i="1"/>
  <c r="CF61" i="1"/>
  <c r="CF29" i="1"/>
  <c r="CF344" i="1"/>
  <c r="CF248" i="1"/>
  <c r="CF273" i="1"/>
  <c r="CF281" i="1"/>
  <c r="CF289" i="1"/>
  <c r="CF294" i="1"/>
  <c r="CF302" i="1"/>
  <c r="CF310" i="1"/>
  <c r="CF318" i="1"/>
  <c r="CF326" i="1"/>
  <c r="CF334" i="1"/>
  <c r="CF342" i="1"/>
  <c r="CF350" i="1"/>
  <c r="CF358" i="1"/>
  <c r="CF366" i="1"/>
  <c r="CF374" i="1"/>
  <c r="CF265" i="1"/>
  <c r="CF261" i="1"/>
  <c r="CF257" i="1"/>
  <c r="CF253" i="1"/>
  <c r="CF249" i="1"/>
  <c r="CF245" i="1"/>
  <c r="CF241" i="1"/>
  <c r="CF237" i="1"/>
  <c r="CF233" i="1"/>
  <c r="CF229" i="1"/>
  <c r="CF225" i="1"/>
  <c r="CF221" i="1"/>
  <c r="CF217" i="1"/>
  <c r="CF213" i="1"/>
  <c r="CF209" i="1"/>
  <c r="CF205" i="1"/>
  <c r="CF201" i="1"/>
  <c r="CF197" i="1"/>
  <c r="CF193" i="1"/>
  <c r="CF189" i="1"/>
  <c r="CF182" i="1"/>
  <c r="CF174" i="1"/>
  <c r="CF166" i="1"/>
  <c r="CF158" i="1"/>
  <c r="CF150" i="1"/>
  <c r="CF142" i="1"/>
  <c r="CF275" i="1"/>
  <c r="CF283" i="1"/>
  <c r="CF291" i="1"/>
  <c r="CF300" i="1"/>
  <c r="CF308" i="1"/>
  <c r="CF316" i="1"/>
  <c r="CF324" i="1"/>
  <c r="CF332" i="1"/>
  <c r="CF340" i="1"/>
  <c r="CF348" i="1"/>
  <c r="CF356" i="1"/>
  <c r="CF364" i="1"/>
  <c r="CF372" i="1"/>
  <c r="CF267" i="1"/>
  <c r="CF263" i="1"/>
  <c r="CF259" i="1"/>
  <c r="CF255" i="1"/>
  <c r="CF251" i="1"/>
  <c r="CF247" i="1"/>
  <c r="CF243" i="1"/>
  <c r="CF239" i="1"/>
  <c r="CF235" i="1"/>
  <c r="CF231" i="1"/>
  <c r="CF227" i="1"/>
  <c r="CF223" i="1"/>
  <c r="CF219" i="1"/>
  <c r="CF215" i="1"/>
  <c r="CF211" i="1"/>
  <c r="CF207" i="1"/>
  <c r="CF203" i="1"/>
  <c r="CF199" i="1"/>
  <c r="CF195" i="1"/>
  <c r="CF191" i="1"/>
  <c r="CF187" i="1"/>
  <c r="CF292" i="1"/>
  <c r="CF180" i="1"/>
  <c r="CF172" i="1"/>
  <c r="CF164" i="1"/>
  <c r="CF156" i="1"/>
  <c r="CF148" i="1"/>
  <c r="BZ6" i="1"/>
  <c r="CB6" i="1" s="1"/>
  <c r="CG6" i="1"/>
  <c r="AB17" i="1"/>
  <c r="AA17" i="1"/>
  <c r="Z17" i="1"/>
  <c r="ED4" i="1" l="1"/>
  <c r="ED6" i="1" s="1"/>
  <c r="EC4" i="1"/>
  <c r="EC6" i="1" s="1"/>
  <c r="EB4" i="1"/>
  <c r="DV4" i="1"/>
  <c r="DV5" i="1"/>
  <c r="DW3" i="1"/>
  <c r="DX3" i="1"/>
  <c r="DY3" i="1"/>
  <c r="EG4" i="1" l="1"/>
  <c r="EJ4" i="1" s="1"/>
  <c r="EF6" i="1"/>
  <c r="EF4" i="1"/>
  <c r="EH4" i="1" l="1"/>
  <c r="EI4" i="1"/>
  <c r="B184" i="1" l="1"/>
  <c r="C184" i="1"/>
  <c r="D184" i="1"/>
  <c r="E184" i="1"/>
  <c r="B185" i="1"/>
  <c r="D185" i="1"/>
  <c r="E185" i="1"/>
  <c r="B186" i="1"/>
  <c r="D186" i="1"/>
  <c r="E186" i="1"/>
  <c r="B187" i="1"/>
  <c r="D187" i="1"/>
  <c r="E187" i="1"/>
  <c r="B188" i="1"/>
  <c r="D188" i="1"/>
  <c r="E188" i="1"/>
  <c r="B189" i="1"/>
  <c r="D189" i="1"/>
  <c r="E189" i="1"/>
  <c r="B190" i="1"/>
  <c r="D190" i="1"/>
  <c r="E190" i="1"/>
  <c r="B191" i="1"/>
  <c r="D191" i="1"/>
  <c r="E191" i="1"/>
  <c r="B192" i="1"/>
  <c r="D192" i="1"/>
  <c r="E192" i="1"/>
  <c r="B193" i="1"/>
  <c r="D193" i="1"/>
  <c r="E193" i="1"/>
  <c r="B194" i="1"/>
  <c r="D194" i="1"/>
  <c r="E194" i="1"/>
  <c r="A185" i="1"/>
  <c r="A186" i="1"/>
  <c r="A187" i="1"/>
  <c r="A188" i="1"/>
  <c r="A189" i="1"/>
  <c r="A190" i="1"/>
  <c r="A191" i="1"/>
  <c r="A192" i="1"/>
  <c r="A193" i="1"/>
  <c r="A194" i="1"/>
  <c r="A184" i="1"/>
  <c r="BF156" i="1"/>
  <c r="BG156" i="1" s="1"/>
  <c r="BF157" i="1"/>
  <c r="BG157" i="1" s="1"/>
  <c r="B143" i="1" l="1"/>
  <c r="A168" i="1"/>
  <c r="A169" i="1"/>
  <c r="A170" i="1"/>
  <c r="A171" i="1"/>
  <c r="A172" i="1"/>
  <c r="A173" i="1"/>
  <c r="A174" i="1"/>
  <c r="A175" i="1"/>
  <c r="C156" i="1"/>
  <c r="C167" i="1" s="1"/>
  <c r="D156" i="1"/>
  <c r="D167" i="1" s="1"/>
  <c r="E156" i="1"/>
  <c r="E167" i="1" s="1"/>
  <c r="B156" i="1"/>
  <c r="B167" i="1" s="1"/>
  <c r="B150" i="1"/>
  <c r="L175" i="1" l="1"/>
  <c r="M175" i="1" s="1"/>
  <c r="L173" i="1"/>
  <c r="M173" i="1" s="1"/>
  <c r="L169" i="1"/>
  <c r="M169" i="1" s="1"/>
  <c r="L168" i="1"/>
  <c r="M168" i="1" s="1"/>
  <c r="L170" i="1"/>
  <c r="M170" i="1" s="1"/>
  <c r="L171" i="1"/>
  <c r="M171" i="1" s="1"/>
  <c r="L172" i="1"/>
  <c r="M172" i="1" s="1"/>
  <c r="L174" i="1"/>
  <c r="M174" i="1" s="1"/>
  <c r="AC53" i="1"/>
  <c r="AC52" i="1"/>
  <c r="AC50" i="1"/>
  <c r="AC51" i="1" s="1"/>
  <c r="AD49" i="1"/>
  <c r="AD53" i="1" s="1"/>
  <c r="AD50" i="1" l="1"/>
  <c r="AD51" i="1" s="1"/>
  <c r="AD52" i="1" s="1"/>
  <c r="AE37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G34" i="1" s="1"/>
  <c r="BF35" i="1"/>
  <c r="BF36" i="1"/>
  <c r="BF37" i="1"/>
  <c r="BF38" i="1"/>
  <c r="BF39" i="1"/>
  <c r="BF40" i="1"/>
  <c r="BF41" i="1"/>
  <c r="BF42" i="1"/>
  <c r="BG42" i="1" s="1"/>
  <c r="BF43" i="1"/>
  <c r="BF44" i="1"/>
  <c r="BF45" i="1"/>
  <c r="BF46" i="1"/>
  <c r="BF47" i="1"/>
  <c r="BF48" i="1"/>
  <c r="BF49" i="1"/>
  <c r="BF50" i="1"/>
  <c r="BG50" i="1" s="1"/>
  <c r="BF51" i="1"/>
  <c r="BF52" i="1"/>
  <c r="BF53" i="1"/>
  <c r="BF54" i="1"/>
  <c r="BF55" i="1"/>
  <c r="BF56" i="1"/>
  <c r="BF57" i="1"/>
  <c r="BF58" i="1"/>
  <c r="BG58" i="1" s="1"/>
  <c r="BF59" i="1"/>
  <c r="BF60" i="1"/>
  <c r="BF61" i="1"/>
  <c r="BF62" i="1"/>
  <c r="BF63" i="1"/>
  <c r="BF64" i="1"/>
  <c r="BF65" i="1"/>
  <c r="BF66" i="1"/>
  <c r="BG66" i="1" s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G106" i="1" s="1"/>
  <c r="BF107" i="1"/>
  <c r="BF108" i="1"/>
  <c r="BF109" i="1"/>
  <c r="BF110" i="1"/>
  <c r="BF111" i="1"/>
  <c r="BF112" i="1"/>
  <c r="BF113" i="1"/>
  <c r="BF114" i="1"/>
  <c r="BG114" i="1" s="1"/>
  <c r="BF115" i="1"/>
  <c r="BF116" i="1"/>
  <c r="BF117" i="1"/>
  <c r="BF118" i="1"/>
  <c r="BF119" i="1"/>
  <c r="BF120" i="1"/>
  <c r="BF121" i="1"/>
  <c r="BF122" i="1"/>
  <c r="BG122" i="1" s="1"/>
  <c r="BF123" i="1"/>
  <c r="BF124" i="1"/>
  <c r="BF125" i="1"/>
  <c r="BF126" i="1"/>
  <c r="BF127" i="1"/>
  <c r="BF128" i="1"/>
  <c r="BF129" i="1"/>
  <c r="BF130" i="1"/>
  <c r="BG130" i="1" s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8" i="1"/>
  <c r="BF159" i="1"/>
  <c r="BF160" i="1"/>
  <c r="BF161" i="1"/>
  <c r="BF162" i="1"/>
  <c r="BG162" i="1" s="1"/>
  <c r="BF163" i="1"/>
  <c r="BF164" i="1"/>
  <c r="BF165" i="1"/>
  <c r="BF166" i="1"/>
  <c r="BF167" i="1"/>
  <c r="BF168" i="1"/>
  <c r="BF169" i="1"/>
  <c r="BF170" i="1"/>
  <c r="BG170" i="1" s="1"/>
  <c r="BF171" i="1"/>
  <c r="BF172" i="1"/>
  <c r="BF173" i="1"/>
  <c r="BF174" i="1"/>
  <c r="BF175" i="1"/>
  <c r="BF176" i="1"/>
  <c r="BF177" i="1"/>
  <c r="BF178" i="1"/>
  <c r="BG178" i="1" s="1"/>
  <c r="BF179" i="1"/>
  <c r="BF180" i="1"/>
  <c r="BF181" i="1"/>
  <c r="BF182" i="1"/>
  <c r="BF183" i="1"/>
  <c r="BF184" i="1"/>
  <c r="BF185" i="1"/>
  <c r="BF186" i="1"/>
  <c r="BG186" i="1" s="1"/>
  <c r="BF187" i="1"/>
  <c r="BF188" i="1"/>
  <c r="BF189" i="1"/>
  <c r="BF190" i="1"/>
  <c r="BF191" i="1"/>
  <c r="BF192" i="1"/>
  <c r="BF193" i="1"/>
  <c r="BF194" i="1"/>
  <c r="BG194" i="1" s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G226" i="1" s="1"/>
  <c r="BF227" i="1"/>
  <c r="BF228" i="1"/>
  <c r="BF229" i="1"/>
  <c r="BF230" i="1"/>
  <c r="BF231" i="1"/>
  <c r="BF232" i="1"/>
  <c r="BF233" i="1"/>
  <c r="BF234" i="1"/>
  <c r="BG234" i="1" s="1"/>
  <c r="BF235" i="1"/>
  <c r="BF236" i="1"/>
  <c r="BF237" i="1"/>
  <c r="BF238" i="1"/>
  <c r="BF239" i="1"/>
  <c r="BF240" i="1"/>
  <c r="BF241" i="1"/>
  <c r="BF242" i="1"/>
  <c r="BG242" i="1" s="1"/>
  <c r="BF243" i="1"/>
  <c r="BF244" i="1"/>
  <c r="BF245" i="1"/>
  <c r="BF246" i="1"/>
  <c r="BF247" i="1"/>
  <c r="BF248" i="1"/>
  <c r="BF249" i="1"/>
  <c r="BF250" i="1"/>
  <c r="BG250" i="1" s="1"/>
  <c r="BF251" i="1"/>
  <c r="BF252" i="1"/>
  <c r="BF253" i="1"/>
  <c r="BF254" i="1"/>
  <c r="BF255" i="1"/>
  <c r="BF256" i="1"/>
  <c r="BF257" i="1"/>
  <c r="BF258" i="1"/>
  <c r="BG258" i="1" s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G290" i="1" s="1"/>
  <c r="BF291" i="1"/>
  <c r="BF292" i="1"/>
  <c r="BF293" i="1"/>
  <c r="BF294" i="1"/>
  <c r="BF295" i="1"/>
  <c r="BF296" i="1"/>
  <c r="BF297" i="1"/>
  <c r="BF298" i="1"/>
  <c r="BG298" i="1" s="1"/>
  <c r="BF299" i="1"/>
  <c r="BF300" i="1"/>
  <c r="BF301" i="1"/>
  <c r="BF302" i="1"/>
  <c r="BF303" i="1"/>
  <c r="BF304" i="1"/>
  <c r="BF305" i="1"/>
  <c r="BF306" i="1"/>
  <c r="BG306" i="1" s="1"/>
  <c r="BF307" i="1"/>
  <c r="BF308" i="1"/>
  <c r="BF309" i="1"/>
  <c r="BF310" i="1"/>
  <c r="BF311" i="1"/>
  <c r="BF312" i="1"/>
  <c r="BF313" i="1"/>
  <c r="BF314" i="1"/>
  <c r="BG314" i="1" s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2" i="1"/>
  <c r="U13" i="1"/>
  <c r="I3" i="1"/>
  <c r="BH363" i="1" l="1"/>
  <c r="BI363" i="1" s="1"/>
  <c r="W14" i="1"/>
  <c r="AD46" i="1"/>
  <c r="AD45" i="1"/>
  <c r="F189" i="1"/>
  <c r="F190" i="1"/>
  <c r="F192" i="1"/>
  <c r="F194" i="1"/>
  <c r="F188" i="1"/>
  <c r="F186" i="1"/>
  <c r="F193" i="1"/>
  <c r="F185" i="1"/>
  <c r="F191" i="1"/>
  <c r="F187" i="1"/>
  <c r="G186" i="1"/>
  <c r="G191" i="1"/>
  <c r="G190" i="1"/>
  <c r="G192" i="1"/>
  <c r="G189" i="1"/>
  <c r="G194" i="1"/>
  <c r="G188" i="1"/>
  <c r="G185" i="1"/>
  <c r="G187" i="1"/>
  <c r="G193" i="1"/>
  <c r="BH3" i="1"/>
  <c r="BH157" i="1"/>
  <c r="BI157" i="1" s="1"/>
  <c r="BH156" i="1"/>
  <c r="BI156" i="1" s="1"/>
  <c r="BH362" i="1"/>
  <c r="BH354" i="1"/>
  <c r="BH346" i="1"/>
  <c r="BH338" i="1"/>
  <c r="BH330" i="1"/>
  <c r="BH322" i="1"/>
  <c r="BH314" i="1"/>
  <c r="BH306" i="1"/>
  <c r="BH298" i="1"/>
  <c r="BH290" i="1"/>
  <c r="BH282" i="1"/>
  <c r="BH274" i="1"/>
  <c r="BH266" i="1"/>
  <c r="BH258" i="1"/>
  <c r="BH250" i="1"/>
  <c r="BH242" i="1"/>
  <c r="BH234" i="1"/>
  <c r="BH226" i="1"/>
  <c r="BH218" i="1"/>
  <c r="BH210" i="1"/>
  <c r="BH202" i="1"/>
  <c r="BH194" i="1"/>
  <c r="BH186" i="1"/>
  <c r="BH178" i="1"/>
  <c r="BH170" i="1"/>
  <c r="BH162" i="1"/>
  <c r="BH154" i="1"/>
  <c r="BH146" i="1"/>
  <c r="BH138" i="1"/>
  <c r="BH130" i="1"/>
  <c r="BH122" i="1"/>
  <c r="BH114" i="1"/>
  <c r="BH106" i="1"/>
  <c r="BH98" i="1"/>
  <c r="BH90" i="1"/>
  <c r="BH82" i="1"/>
  <c r="BH74" i="1"/>
  <c r="BH66" i="1"/>
  <c r="BH58" i="1"/>
  <c r="BH50" i="1"/>
  <c r="BH42" i="1"/>
  <c r="BH34" i="1"/>
  <c r="BH26" i="1"/>
  <c r="BH18" i="1"/>
  <c r="BH10" i="1"/>
  <c r="BH361" i="1"/>
  <c r="BH353" i="1"/>
  <c r="BH345" i="1"/>
  <c r="BH337" i="1"/>
  <c r="BH329" i="1"/>
  <c r="BH321" i="1"/>
  <c r="BH313" i="1"/>
  <c r="BH305" i="1"/>
  <c r="BH297" i="1"/>
  <c r="BH289" i="1"/>
  <c r="BH281" i="1"/>
  <c r="BH273" i="1"/>
  <c r="BH265" i="1"/>
  <c r="BH257" i="1"/>
  <c r="BH249" i="1"/>
  <c r="BH241" i="1"/>
  <c r="BH233" i="1"/>
  <c r="BH225" i="1"/>
  <c r="BH217" i="1"/>
  <c r="BH209" i="1"/>
  <c r="BH201" i="1"/>
  <c r="BH193" i="1"/>
  <c r="BH185" i="1"/>
  <c r="BH177" i="1"/>
  <c r="BH169" i="1"/>
  <c r="BH161" i="1"/>
  <c r="BH153" i="1"/>
  <c r="BH145" i="1"/>
  <c r="BH137" i="1"/>
  <c r="BH129" i="1"/>
  <c r="BH121" i="1"/>
  <c r="BH113" i="1"/>
  <c r="BH105" i="1"/>
  <c r="BH97" i="1"/>
  <c r="BH89" i="1"/>
  <c r="BH81" i="1"/>
  <c r="BH73" i="1"/>
  <c r="BH65" i="1"/>
  <c r="BH57" i="1"/>
  <c r="BH49" i="1"/>
  <c r="BH41" i="1"/>
  <c r="BH33" i="1"/>
  <c r="BH25" i="1"/>
  <c r="BH17" i="1"/>
  <c r="BH9" i="1"/>
  <c r="BH360" i="1"/>
  <c r="BH352" i="1"/>
  <c r="BH344" i="1"/>
  <c r="BH336" i="1"/>
  <c r="BH328" i="1"/>
  <c r="BH320" i="1"/>
  <c r="BH312" i="1"/>
  <c r="BH304" i="1"/>
  <c r="BH296" i="1"/>
  <c r="BH288" i="1"/>
  <c r="BH280" i="1"/>
  <c r="BH272" i="1"/>
  <c r="BH264" i="1"/>
  <c r="BH256" i="1"/>
  <c r="BH248" i="1"/>
  <c r="BH240" i="1"/>
  <c r="BH232" i="1"/>
  <c r="BH224" i="1"/>
  <c r="BH216" i="1"/>
  <c r="BH208" i="1"/>
  <c r="BH200" i="1"/>
  <c r="BH192" i="1"/>
  <c r="BH184" i="1"/>
  <c r="BH176" i="1"/>
  <c r="BH168" i="1"/>
  <c r="BH160" i="1"/>
  <c r="BH152" i="1"/>
  <c r="BH144" i="1"/>
  <c r="BH136" i="1"/>
  <c r="BH128" i="1"/>
  <c r="BH120" i="1"/>
  <c r="BH112" i="1"/>
  <c r="BH104" i="1"/>
  <c r="BH96" i="1"/>
  <c r="BH88" i="1"/>
  <c r="BH80" i="1"/>
  <c r="BH72" i="1"/>
  <c r="BH64" i="1"/>
  <c r="BH56" i="1"/>
  <c r="BH48" i="1"/>
  <c r="BH40" i="1"/>
  <c r="BH32" i="1"/>
  <c r="BH24" i="1"/>
  <c r="BH16" i="1"/>
  <c r="BH8" i="1"/>
  <c r="BH359" i="1"/>
  <c r="BH351" i="1"/>
  <c r="BH343" i="1"/>
  <c r="BH335" i="1"/>
  <c r="BH327" i="1"/>
  <c r="BH319" i="1"/>
  <c r="BH311" i="1"/>
  <c r="BH303" i="1"/>
  <c r="BH295" i="1"/>
  <c r="BH287" i="1"/>
  <c r="BH279" i="1"/>
  <c r="BH271" i="1"/>
  <c r="BH263" i="1"/>
  <c r="BH255" i="1"/>
  <c r="BH247" i="1"/>
  <c r="BH239" i="1"/>
  <c r="BH231" i="1"/>
  <c r="BH223" i="1"/>
  <c r="BH215" i="1"/>
  <c r="BH207" i="1"/>
  <c r="BH199" i="1"/>
  <c r="BH191" i="1"/>
  <c r="BH183" i="1"/>
  <c r="BH175" i="1"/>
  <c r="BH167" i="1"/>
  <c r="BH159" i="1"/>
  <c r="BH151" i="1"/>
  <c r="BH143" i="1"/>
  <c r="BH135" i="1"/>
  <c r="BH127" i="1"/>
  <c r="BH119" i="1"/>
  <c r="BH111" i="1"/>
  <c r="BH103" i="1"/>
  <c r="BH95" i="1"/>
  <c r="BH87" i="1"/>
  <c r="BH79" i="1"/>
  <c r="BH71" i="1"/>
  <c r="BH63" i="1"/>
  <c r="BH55" i="1"/>
  <c r="BH47" i="1"/>
  <c r="BH39" i="1"/>
  <c r="BH31" i="1"/>
  <c r="BH23" i="1"/>
  <c r="BH15" i="1"/>
  <c r="BH7" i="1"/>
  <c r="BH358" i="1"/>
  <c r="BH350" i="1"/>
  <c r="BH342" i="1"/>
  <c r="BH334" i="1"/>
  <c r="BH326" i="1"/>
  <c r="BH318" i="1"/>
  <c r="BH310" i="1"/>
  <c r="BH302" i="1"/>
  <c r="BH294" i="1"/>
  <c r="BH286" i="1"/>
  <c r="BH278" i="1"/>
  <c r="BH270" i="1"/>
  <c r="BH262" i="1"/>
  <c r="BH254" i="1"/>
  <c r="BH246" i="1"/>
  <c r="BH238" i="1"/>
  <c r="BH230" i="1"/>
  <c r="BH222" i="1"/>
  <c r="BH214" i="1"/>
  <c r="BH206" i="1"/>
  <c r="BH198" i="1"/>
  <c r="BH190" i="1"/>
  <c r="BH182" i="1"/>
  <c r="BH174" i="1"/>
  <c r="BH166" i="1"/>
  <c r="BH158" i="1"/>
  <c r="BH150" i="1"/>
  <c r="BH142" i="1"/>
  <c r="BH134" i="1"/>
  <c r="BH126" i="1"/>
  <c r="BH118" i="1"/>
  <c r="BH110" i="1"/>
  <c r="BH102" i="1"/>
  <c r="BH94" i="1"/>
  <c r="BH86" i="1"/>
  <c r="BH78" i="1"/>
  <c r="BH70" i="1"/>
  <c r="BH62" i="1"/>
  <c r="BH54" i="1"/>
  <c r="BH46" i="1"/>
  <c r="BH38" i="1"/>
  <c r="BH30" i="1"/>
  <c r="BH22" i="1"/>
  <c r="BH14" i="1"/>
  <c r="BH6" i="1"/>
  <c r="BH357" i="1"/>
  <c r="BH349" i="1"/>
  <c r="BH341" i="1"/>
  <c r="BH333" i="1"/>
  <c r="BH325" i="1"/>
  <c r="BH317" i="1"/>
  <c r="BH309" i="1"/>
  <c r="BH301" i="1"/>
  <c r="BH293" i="1"/>
  <c r="BH285" i="1"/>
  <c r="BH277" i="1"/>
  <c r="BH269" i="1"/>
  <c r="BH261" i="1"/>
  <c r="BH253" i="1"/>
  <c r="BH245" i="1"/>
  <c r="BH237" i="1"/>
  <c r="BH229" i="1"/>
  <c r="BH221" i="1"/>
  <c r="BH213" i="1"/>
  <c r="BH205" i="1"/>
  <c r="BH197" i="1"/>
  <c r="BH189" i="1"/>
  <c r="BH181" i="1"/>
  <c r="BH173" i="1"/>
  <c r="BH165" i="1"/>
  <c r="BH149" i="1"/>
  <c r="BH141" i="1"/>
  <c r="BH133" i="1"/>
  <c r="BH125" i="1"/>
  <c r="BH117" i="1"/>
  <c r="BH109" i="1"/>
  <c r="BH101" i="1"/>
  <c r="BH93" i="1"/>
  <c r="BH85" i="1"/>
  <c r="BH77" i="1"/>
  <c r="BH69" i="1"/>
  <c r="BH61" i="1"/>
  <c r="BH53" i="1"/>
  <c r="BH45" i="1"/>
  <c r="BH37" i="1"/>
  <c r="BH29" i="1"/>
  <c r="BH21" i="1"/>
  <c r="BH13" i="1"/>
  <c r="BH5" i="1"/>
  <c r="BH356" i="1"/>
  <c r="BH348" i="1"/>
  <c r="BH340" i="1"/>
  <c r="BH332" i="1"/>
  <c r="BH324" i="1"/>
  <c r="BH316" i="1"/>
  <c r="BH308" i="1"/>
  <c r="BH300" i="1"/>
  <c r="BH292" i="1"/>
  <c r="BH284" i="1"/>
  <c r="BH276" i="1"/>
  <c r="BH268" i="1"/>
  <c r="BH260" i="1"/>
  <c r="BH252" i="1"/>
  <c r="BH244" i="1"/>
  <c r="BH236" i="1"/>
  <c r="BH228" i="1"/>
  <c r="BH220" i="1"/>
  <c r="BH212" i="1"/>
  <c r="BH204" i="1"/>
  <c r="BH196" i="1"/>
  <c r="BH188" i="1"/>
  <c r="BH180" i="1"/>
  <c r="BH172" i="1"/>
  <c r="BH164" i="1"/>
  <c r="BH148" i="1"/>
  <c r="BH140" i="1"/>
  <c r="BH132" i="1"/>
  <c r="BH124" i="1"/>
  <c r="BH116" i="1"/>
  <c r="BH108" i="1"/>
  <c r="BH100" i="1"/>
  <c r="BH92" i="1"/>
  <c r="BH84" i="1"/>
  <c r="BH76" i="1"/>
  <c r="BH68" i="1"/>
  <c r="BH60" i="1"/>
  <c r="BH52" i="1"/>
  <c r="BH44" i="1"/>
  <c r="BH36" i="1"/>
  <c r="BH28" i="1"/>
  <c r="BH20" i="1"/>
  <c r="BH12" i="1"/>
  <c r="BH4" i="1"/>
  <c r="BH2" i="1"/>
  <c r="BH355" i="1"/>
  <c r="BH347" i="1"/>
  <c r="BH339" i="1"/>
  <c r="BH331" i="1"/>
  <c r="BH323" i="1"/>
  <c r="BH315" i="1"/>
  <c r="BH307" i="1"/>
  <c r="BH299" i="1"/>
  <c r="BH291" i="1"/>
  <c r="BH283" i="1"/>
  <c r="BH275" i="1"/>
  <c r="BH267" i="1"/>
  <c r="BH259" i="1"/>
  <c r="BH251" i="1"/>
  <c r="BH243" i="1"/>
  <c r="BH235" i="1"/>
  <c r="BH227" i="1"/>
  <c r="BH219" i="1"/>
  <c r="BH211" i="1"/>
  <c r="BH203" i="1"/>
  <c r="BH195" i="1"/>
  <c r="BH187" i="1"/>
  <c r="BH179" i="1"/>
  <c r="BH171" i="1"/>
  <c r="BH163" i="1"/>
  <c r="BH155" i="1"/>
  <c r="BH147" i="1"/>
  <c r="BH139" i="1"/>
  <c r="BH131" i="1"/>
  <c r="BH123" i="1"/>
  <c r="BH115" i="1"/>
  <c r="BH107" i="1"/>
  <c r="BH99" i="1"/>
  <c r="BH91" i="1"/>
  <c r="BH83" i="1"/>
  <c r="BH75" i="1"/>
  <c r="BH67" i="1"/>
  <c r="BH59" i="1"/>
  <c r="BH51" i="1"/>
  <c r="BH43" i="1"/>
  <c r="BH35" i="1"/>
  <c r="BH27" i="1"/>
  <c r="BH19" i="1"/>
  <c r="BH11" i="1"/>
  <c r="BG274" i="1"/>
  <c r="BG210" i="1"/>
  <c r="BG146" i="1"/>
  <c r="BG82" i="1"/>
  <c r="BG18" i="1"/>
  <c r="BG263" i="1"/>
  <c r="BG199" i="1"/>
  <c r="BG135" i="1"/>
  <c r="BG87" i="1"/>
  <c r="BG7" i="1"/>
  <c r="BG320" i="1"/>
  <c r="BG312" i="1"/>
  <c r="BG304" i="1"/>
  <c r="BG296" i="1"/>
  <c r="BG288" i="1"/>
  <c r="BG280" i="1"/>
  <c r="BG272" i="1"/>
  <c r="BG264" i="1"/>
  <c r="BG256" i="1"/>
  <c r="BG248" i="1"/>
  <c r="BG240" i="1"/>
  <c r="BG232" i="1"/>
  <c r="BG224" i="1"/>
  <c r="BG216" i="1"/>
  <c r="BG208" i="1"/>
  <c r="BG200" i="1"/>
  <c r="BG192" i="1"/>
  <c r="BG184" i="1"/>
  <c r="BG176" i="1"/>
  <c r="BG168" i="1"/>
  <c r="BG160" i="1"/>
  <c r="BG152" i="1"/>
  <c r="BG144" i="1"/>
  <c r="BG136" i="1"/>
  <c r="BG128" i="1"/>
  <c r="BG120" i="1"/>
  <c r="BG112" i="1"/>
  <c r="BG104" i="1"/>
  <c r="BG96" i="1"/>
  <c r="BG88" i="1"/>
  <c r="BG80" i="1"/>
  <c r="BG72" i="1"/>
  <c r="BG64" i="1"/>
  <c r="BG56" i="1"/>
  <c r="BG48" i="1"/>
  <c r="BG40" i="1"/>
  <c r="BG32" i="1"/>
  <c r="BG24" i="1"/>
  <c r="BG16" i="1"/>
  <c r="BG8" i="1"/>
  <c r="BG362" i="1"/>
  <c r="BG354" i="1"/>
  <c r="BG346" i="1"/>
  <c r="BG338" i="1"/>
  <c r="BG330" i="1"/>
  <c r="BG322" i="1"/>
  <c r="BG282" i="1"/>
  <c r="BG218" i="1"/>
  <c r="BG154" i="1"/>
  <c r="BG90" i="1"/>
  <c r="BG26" i="1"/>
  <c r="BG239" i="1"/>
  <c r="BG175" i="1"/>
  <c r="BG111" i="1"/>
  <c r="BG71" i="1"/>
  <c r="BG15" i="1"/>
  <c r="BG361" i="1"/>
  <c r="BG353" i="1"/>
  <c r="BG345" i="1"/>
  <c r="BG337" i="1"/>
  <c r="BG329" i="1"/>
  <c r="BG319" i="1"/>
  <c r="BG295" i="1"/>
  <c r="BG231" i="1"/>
  <c r="BG159" i="1"/>
  <c r="BG55" i="1"/>
  <c r="BG318" i="1"/>
  <c r="BG310" i="1"/>
  <c r="BG302" i="1"/>
  <c r="BG294" i="1"/>
  <c r="BG286" i="1"/>
  <c r="BG278" i="1"/>
  <c r="BG270" i="1"/>
  <c r="BG262" i="1"/>
  <c r="BG254" i="1"/>
  <c r="BG246" i="1"/>
  <c r="BG238" i="1"/>
  <c r="BG230" i="1"/>
  <c r="BG222" i="1"/>
  <c r="BG214" i="1"/>
  <c r="BG206" i="1"/>
  <c r="BG198" i="1"/>
  <c r="BG190" i="1"/>
  <c r="BG182" i="1"/>
  <c r="BG174" i="1"/>
  <c r="BG166" i="1"/>
  <c r="BG158" i="1"/>
  <c r="BG150" i="1"/>
  <c r="BG142" i="1"/>
  <c r="BG134" i="1"/>
  <c r="BG126" i="1"/>
  <c r="BG118" i="1"/>
  <c r="BG110" i="1"/>
  <c r="BG102" i="1"/>
  <c r="BG94" i="1"/>
  <c r="BG86" i="1"/>
  <c r="BG78" i="1"/>
  <c r="BG70" i="1"/>
  <c r="BG62" i="1"/>
  <c r="BG54" i="1"/>
  <c r="BG46" i="1"/>
  <c r="BG38" i="1"/>
  <c r="BG30" i="1"/>
  <c r="BG22" i="1"/>
  <c r="BG14" i="1"/>
  <c r="BG6" i="1"/>
  <c r="BG360" i="1"/>
  <c r="BG352" i="1"/>
  <c r="BG344" i="1"/>
  <c r="BG336" i="1"/>
  <c r="BG328" i="1"/>
  <c r="BG266" i="1"/>
  <c r="BG202" i="1"/>
  <c r="BG138" i="1"/>
  <c r="BG74" i="1"/>
  <c r="BG10" i="1"/>
  <c r="BG271" i="1"/>
  <c r="BG207" i="1"/>
  <c r="BG143" i="1"/>
  <c r="BG95" i="1"/>
  <c r="BG23" i="1"/>
  <c r="BG317" i="1"/>
  <c r="BG309" i="1"/>
  <c r="BG301" i="1"/>
  <c r="BG293" i="1"/>
  <c r="BG285" i="1"/>
  <c r="BG277" i="1"/>
  <c r="BG269" i="1"/>
  <c r="BG261" i="1"/>
  <c r="BG253" i="1"/>
  <c r="BG245" i="1"/>
  <c r="BG237" i="1"/>
  <c r="BG229" i="1"/>
  <c r="BG221" i="1"/>
  <c r="BG213" i="1"/>
  <c r="BG205" i="1"/>
  <c r="BG197" i="1"/>
  <c r="BG189" i="1"/>
  <c r="BG181" i="1"/>
  <c r="BG173" i="1"/>
  <c r="BG165" i="1"/>
  <c r="BG149" i="1"/>
  <c r="BG141" i="1"/>
  <c r="BG133" i="1"/>
  <c r="BG125" i="1"/>
  <c r="BG117" i="1"/>
  <c r="BG109" i="1"/>
  <c r="BG101" i="1"/>
  <c r="BG93" i="1"/>
  <c r="BG85" i="1"/>
  <c r="BG77" i="1"/>
  <c r="BG69" i="1"/>
  <c r="BG61" i="1"/>
  <c r="BG53" i="1"/>
  <c r="BG45" i="1"/>
  <c r="BG37" i="1"/>
  <c r="BG29" i="1"/>
  <c r="BG21" i="1"/>
  <c r="BG13" i="1"/>
  <c r="BG5" i="1"/>
  <c r="BG359" i="1"/>
  <c r="BG351" i="1"/>
  <c r="BG343" i="1"/>
  <c r="BG335" i="1"/>
  <c r="BG327" i="1"/>
  <c r="BG311" i="1"/>
  <c r="BG279" i="1"/>
  <c r="BG215" i="1"/>
  <c r="BG167" i="1"/>
  <c r="BG103" i="1"/>
  <c r="BG31" i="1"/>
  <c r="BG316" i="1"/>
  <c r="BG308" i="1"/>
  <c r="BG300" i="1"/>
  <c r="BG292" i="1"/>
  <c r="BG284" i="1"/>
  <c r="BG276" i="1"/>
  <c r="BG268" i="1"/>
  <c r="BG260" i="1"/>
  <c r="BG252" i="1"/>
  <c r="BG244" i="1"/>
  <c r="BG236" i="1"/>
  <c r="BG228" i="1"/>
  <c r="BG220" i="1"/>
  <c r="BG212" i="1"/>
  <c r="BG204" i="1"/>
  <c r="BG196" i="1"/>
  <c r="BG188" i="1"/>
  <c r="BG180" i="1"/>
  <c r="BG172" i="1"/>
  <c r="BG164" i="1"/>
  <c r="BG148" i="1"/>
  <c r="BG140" i="1"/>
  <c r="BG132" i="1"/>
  <c r="BG124" i="1"/>
  <c r="BG116" i="1"/>
  <c r="BG108" i="1"/>
  <c r="BG100" i="1"/>
  <c r="BG92" i="1"/>
  <c r="BG84" i="1"/>
  <c r="BG76" i="1"/>
  <c r="BG68" i="1"/>
  <c r="BG60" i="1"/>
  <c r="BG52" i="1"/>
  <c r="BG44" i="1"/>
  <c r="BG36" i="1"/>
  <c r="BG28" i="1"/>
  <c r="BG20" i="1"/>
  <c r="BG12" i="1"/>
  <c r="BG4" i="1"/>
  <c r="BG358" i="1"/>
  <c r="BG350" i="1"/>
  <c r="BG342" i="1"/>
  <c r="BG334" i="1"/>
  <c r="BG326" i="1"/>
  <c r="BG287" i="1"/>
  <c r="BG223" i="1"/>
  <c r="BG151" i="1"/>
  <c r="BG47" i="1"/>
  <c r="BG315" i="1"/>
  <c r="BG307" i="1"/>
  <c r="BG299" i="1"/>
  <c r="BG291" i="1"/>
  <c r="BG283" i="1"/>
  <c r="BG275" i="1"/>
  <c r="BG267" i="1"/>
  <c r="BG259" i="1"/>
  <c r="BG251" i="1"/>
  <c r="BG243" i="1"/>
  <c r="BG235" i="1"/>
  <c r="BG227" i="1"/>
  <c r="BG219" i="1"/>
  <c r="BG211" i="1"/>
  <c r="BG203" i="1"/>
  <c r="BG195" i="1"/>
  <c r="BG187" i="1"/>
  <c r="BG179" i="1"/>
  <c r="BG171" i="1"/>
  <c r="BG163" i="1"/>
  <c r="BG155" i="1"/>
  <c r="BG147" i="1"/>
  <c r="BG139" i="1"/>
  <c r="BG131" i="1"/>
  <c r="BG123" i="1"/>
  <c r="BG115" i="1"/>
  <c r="BG107" i="1"/>
  <c r="BG99" i="1"/>
  <c r="BG91" i="1"/>
  <c r="BG83" i="1"/>
  <c r="BG75" i="1"/>
  <c r="BG67" i="1"/>
  <c r="BG59" i="1"/>
  <c r="BG51" i="1"/>
  <c r="BG43" i="1"/>
  <c r="BG35" i="1"/>
  <c r="BG27" i="1"/>
  <c r="BG19" i="1"/>
  <c r="BG11" i="1"/>
  <c r="BG3" i="1"/>
  <c r="BG357" i="1"/>
  <c r="BG349" i="1"/>
  <c r="BG341" i="1"/>
  <c r="BG333" i="1"/>
  <c r="BG325" i="1"/>
  <c r="BG303" i="1"/>
  <c r="BG255" i="1"/>
  <c r="BG183" i="1"/>
  <c r="BG119" i="1"/>
  <c r="BG79" i="1"/>
  <c r="BG39" i="1"/>
  <c r="BG2" i="1"/>
  <c r="BG356" i="1"/>
  <c r="BG348" i="1"/>
  <c r="BG340" i="1"/>
  <c r="BG332" i="1"/>
  <c r="BG324" i="1"/>
  <c r="BG247" i="1"/>
  <c r="BG191" i="1"/>
  <c r="BG127" i="1"/>
  <c r="BG63" i="1"/>
  <c r="BG321" i="1"/>
  <c r="BG313" i="1"/>
  <c r="BG305" i="1"/>
  <c r="BG297" i="1"/>
  <c r="BG289" i="1"/>
  <c r="BG281" i="1"/>
  <c r="BG273" i="1"/>
  <c r="BG265" i="1"/>
  <c r="BG257" i="1"/>
  <c r="BG249" i="1"/>
  <c r="BG241" i="1"/>
  <c r="BG233" i="1"/>
  <c r="BG225" i="1"/>
  <c r="BG217" i="1"/>
  <c r="BG209" i="1"/>
  <c r="BG201" i="1"/>
  <c r="BG193" i="1"/>
  <c r="BG185" i="1"/>
  <c r="BG177" i="1"/>
  <c r="BG169" i="1"/>
  <c r="BG161" i="1"/>
  <c r="BG153" i="1"/>
  <c r="BG145" i="1"/>
  <c r="BG137" i="1"/>
  <c r="BG129" i="1"/>
  <c r="BG121" i="1"/>
  <c r="BG113" i="1"/>
  <c r="BG105" i="1"/>
  <c r="BG97" i="1"/>
  <c r="BG89" i="1"/>
  <c r="BG81" i="1"/>
  <c r="BG73" i="1"/>
  <c r="BG65" i="1"/>
  <c r="BG57" i="1"/>
  <c r="BG49" i="1"/>
  <c r="BG41" i="1"/>
  <c r="BG33" i="1"/>
  <c r="BG25" i="1"/>
  <c r="BG17" i="1"/>
  <c r="BG9" i="1"/>
  <c r="BG355" i="1"/>
  <c r="BG347" i="1"/>
  <c r="BG339" i="1"/>
  <c r="BG331" i="1"/>
  <c r="BG323" i="1"/>
  <c r="BG98" i="1"/>
  <c r="I185" i="1" l="1"/>
  <c r="H185" i="1"/>
  <c r="I188" i="1"/>
  <c r="H188" i="1"/>
  <c r="I194" i="1"/>
  <c r="H194" i="1"/>
  <c r="H189" i="1"/>
  <c r="I189" i="1"/>
  <c r="I192" i="1"/>
  <c r="H192" i="1"/>
  <c r="H190" i="1"/>
  <c r="I190" i="1"/>
  <c r="I193" i="1"/>
  <c r="H193" i="1"/>
  <c r="H191" i="1"/>
  <c r="I191" i="1"/>
  <c r="I187" i="1"/>
  <c r="H187" i="1"/>
  <c r="H186" i="1"/>
  <c r="I186" i="1"/>
  <c r="D112" i="1" l="1"/>
  <c r="D110" i="1"/>
  <c r="D105" i="1"/>
  <c r="D113" i="1"/>
  <c r="A90" i="1"/>
  <c r="D111" i="1"/>
  <c r="D106" i="1"/>
  <c r="D109" i="1"/>
  <c r="D107" i="1"/>
  <c r="D104" i="1"/>
  <c r="A97" i="1"/>
  <c r="A98" i="1"/>
  <c r="D108" i="1"/>
  <c r="E105" i="1"/>
  <c r="E113" i="1"/>
  <c r="B90" i="1"/>
  <c r="B98" i="1"/>
  <c r="E106" i="1"/>
  <c r="B91" i="1"/>
  <c r="E107" i="1"/>
  <c r="E104" i="1"/>
  <c r="E108" i="1"/>
  <c r="E109" i="1"/>
  <c r="E112" i="1"/>
  <c r="E110" i="1"/>
  <c r="E111" i="1"/>
  <c r="B130" i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41" i="1" l="1"/>
  <c r="AE38" i="1"/>
  <c r="AD38" i="1"/>
  <c r="AD39" i="1" s="1"/>
  <c r="BI3" i="1" l="1"/>
  <c r="AE40" i="1"/>
  <c r="AD40" i="1"/>
  <c r="AD41" i="1" s="1"/>
  <c r="BI328" i="1"/>
  <c r="BI264" i="1"/>
  <c r="BI200" i="1"/>
  <c r="BI136" i="1"/>
  <c r="BI72" i="1"/>
  <c r="BI360" i="1"/>
  <c r="BI320" i="1"/>
  <c r="BI256" i="1"/>
  <c r="BI192" i="1"/>
  <c r="BI128" i="1"/>
  <c r="BI64" i="1"/>
  <c r="BI359" i="1"/>
  <c r="BI312" i="1"/>
  <c r="BI248" i="1"/>
  <c r="BI184" i="1"/>
  <c r="BI120" i="1"/>
  <c r="BI56" i="1"/>
  <c r="BI352" i="1"/>
  <c r="BI304" i="1"/>
  <c r="BI240" i="1"/>
  <c r="BI176" i="1"/>
  <c r="BI112" i="1"/>
  <c r="BI48" i="1"/>
  <c r="BI351" i="1"/>
  <c r="BI296" i="1"/>
  <c r="BI232" i="1"/>
  <c r="BI168" i="1"/>
  <c r="BI104" i="1"/>
  <c r="BI40" i="1"/>
  <c r="BI344" i="1"/>
  <c r="BI288" i="1"/>
  <c r="BI224" i="1"/>
  <c r="BI160" i="1"/>
  <c r="BI96" i="1"/>
  <c r="BI32" i="1"/>
  <c r="BI336" i="1"/>
  <c r="BI280" i="1"/>
  <c r="BI216" i="1"/>
  <c r="BI152" i="1"/>
  <c r="BI88" i="1"/>
  <c r="BI24" i="1"/>
  <c r="BI335" i="1"/>
  <c r="BI272" i="1"/>
  <c r="BI208" i="1"/>
  <c r="BI144" i="1"/>
  <c r="BI80" i="1"/>
  <c r="BI16" i="1"/>
  <c r="BI287" i="1"/>
  <c r="BI239" i="1"/>
  <c r="BI207" i="1"/>
  <c r="BI167" i="1"/>
  <c r="BI151" i="1"/>
  <c r="BI119" i="1"/>
  <c r="BI95" i="1"/>
  <c r="BI63" i="1"/>
  <c r="BI47" i="1"/>
  <c r="BI362" i="1"/>
  <c r="BI354" i="1"/>
  <c r="BI346" i="1"/>
  <c r="BI338" i="1"/>
  <c r="BI330" i="1"/>
  <c r="BI322" i="1"/>
  <c r="BI314" i="1"/>
  <c r="BI306" i="1"/>
  <c r="BI298" i="1"/>
  <c r="BI290" i="1"/>
  <c r="BI282" i="1"/>
  <c r="BI274" i="1"/>
  <c r="BI266" i="1"/>
  <c r="BI258" i="1"/>
  <c r="BI250" i="1"/>
  <c r="BI242" i="1"/>
  <c r="BI234" i="1"/>
  <c r="BI226" i="1"/>
  <c r="BI218" i="1"/>
  <c r="BI210" i="1"/>
  <c r="BI202" i="1"/>
  <c r="BI194" i="1"/>
  <c r="BI186" i="1"/>
  <c r="BI178" i="1"/>
  <c r="BI170" i="1"/>
  <c r="BI162" i="1"/>
  <c r="BI154" i="1"/>
  <c r="BI146" i="1"/>
  <c r="BI138" i="1"/>
  <c r="BI130" i="1"/>
  <c r="BI122" i="1"/>
  <c r="BI114" i="1"/>
  <c r="BI106" i="1"/>
  <c r="BI98" i="1"/>
  <c r="BI90" i="1"/>
  <c r="BI82" i="1"/>
  <c r="BI74" i="1"/>
  <c r="BI66" i="1"/>
  <c r="BI58" i="1"/>
  <c r="BI50" i="1"/>
  <c r="BI42" i="1"/>
  <c r="BI34" i="1"/>
  <c r="BI26" i="1"/>
  <c r="BI18" i="1"/>
  <c r="BI10" i="1"/>
  <c r="BI311" i="1"/>
  <c r="BI295" i="1"/>
  <c r="BI247" i="1"/>
  <c r="BI215" i="1"/>
  <c r="BI175" i="1"/>
  <c r="BI143" i="1"/>
  <c r="BI111" i="1"/>
  <c r="BI87" i="1"/>
  <c r="BI55" i="1"/>
  <c r="BI39" i="1"/>
  <c r="BI361" i="1"/>
  <c r="BI353" i="1"/>
  <c r="BI345" i="1"/>
  <c r="BI337" i="1"/>
  <c r="BI329" i="1"/>
  <c r="BI321" i="1"/>
  <c r="BI313" i="1"/>
  <c r="BI305" i="1"/>
  <c r="BI297" i="1"/>
  <c r="BI289" i="1"/>
  <c r="BI281" i="1"/>
  <c r="BI273" i="1"/>
  <c r="BI265" i="1"/>
  <c r="BI257" i="1"/>
  <c r="BI249" i="1"/>
  <c r="BI241" i="1"/>
  <c r="BI233" i="1"/>
  <c r="BI225" i="1"/>
  <c r="BI217" i="1"/>
  <c r="BI209" i="1"/>
  <c r="BI201" i="1"/>
  <c r="BI193" i="1"/>
  <c r="BI185" i="1"/>
  <c r="BI177" i="1"/>
  <c r="BI169" i="1"/>
  <c r="BI161" i="1"/>
  <c r="BI153" i="1"/>
  <c r="BI145" i="1"/>
  <c r="BI137" i="1"/>
  <c r="BI129" i="1"/>
  <c r="BI121" i="1"/>
  <c r="BI113" i="1"/>
  <c r="BI105" i="1"/>
  <c r="BI97" i="1"/>
  <c r="BI89" i="1"/>
  <c r="BI81" i="1"/>
  <c r="BI73" i="1"/>
  <c r="BI65" i="1"/>
  <c r="BI57" i="1"/>
  <c r="BI49" i="1"/>
  <c r="BI41" i="1"/>
  <c r="BI33" i="1"/>
  <c r="BI25" i="1"/>
  <c r="BI17" i="1"/>
  <c r="BI9" i="1"/>
  <c r="BI8" i="1"/>
  <c r="BI7" i="1"/>
  <c r="BI327" i="1"/>
  <c r="BI271" i="1"/>
  <c r="BI231" i="1"/>
  <c r="BI183" i="1"/>
  <c r="BI127" i="1"/>
  <c r="BI71" i="1"/>
  <c r="BI23" i="1"/>
  <c r="BI358" i="1"/>
  <c r="BI350" i="1"/>
  <c r="BI342" i="1"/>
  <c r="BI334" i="1"/>
  <c r="BI326" i="1"/>
  <c r="BI318" i="1"/>
  <c r="BI310" i="1"/>
  <c r="BI302" i="1"/>
  <c r="BI294" i="1"/>
  <c r="BI286" i="1"/>
  <c r="BI278" i="1"/>
  <c r="BI270" i="1"/>
  <c r="BI262" i="1"/>
  <c r="BI254" i="1"/>
  <c r="BI246" i="1"/>
  <c r="BI238" i="1"/>
  <c r="BI230" i="1"/>
  <c r="BI222" i="1"/>
  <c r="BI214" i="1"/>
  <c r="BI206" i="1"/>
  <c r="BI198" i="1"/>
  <c r="BI190" i="1"/>
  <c r="BI182" i="1"/>
  <c r="BI174" i="1"/>
  <c r="BI166" i="1"/>
  <c r="BI158" i="1"/>
  <c r="BI150" i="1"/>
  <c r="BI142" i="1"/>
  <c r="BI134" i="1"/>
  <c r="BI126" i="1"/>
  <c r="BI118" i="1"/>
  <c r="BI110" i="1"/>
  <c r="BI102" i="1"/>
  <c r="BI94" i="1"/>
  <c r="BI86" i="1"/>
  <c r="BI78" i="1"/>
  <c r="BI70" i="1"/>
  <c r="BI62" i="1"/>
  <c r="BI54" i="1"/>
  <c r="BI46" i="1"/>
  <c r="BI38" i="1"/>
  <c r="BI30" i="1"/>
  <c r="BI22" i="1"/>
  <c r="BI14" i="1"/>
  <c r="BI6" i="1"/>
  <c r="BI343" i="1"/>
  <c r="BI303" i="1"/>
  <c r="BI279" i="1"/>
  <c r="BI255" i="1"/>
  <c r="BI199" i="1"/>
  <c r="BI135" i="1"/>
  <c r="BI79" i="1"/>
  <c r="BI31" i="1"/>
  <c r="BI357" i="1"/>
  <c r="BI349" i="1"/>
  <c r="BI341" i="1"/>
  <c r="BI333" i="1"/>
  <c r="BI325" i="1"/>
  <c r="BI317" i="1"/>
  <c r="BI309" i="1"/>
  <c r="BI301" i="1"/>
  <c r="BI293" i="1"/>
  <c r="BI285" i="1"/>
  <c r="BI277" i="1"/>
  <c r="BI269" i="1"/>
  <c r="BI261" i="1"/>
  <c r="BI253" i="1"/>
  <c r="BI245" i="1"/>
  <c r="BI237" i="1"/>
  <c r="BI229" i="1"/>
  <c r="BI221" i="1"/>
  <c r="BI213" i="1"/>
  <c r="BI205" i="1"/>
  <c r="BI197" i="1"/>
  <c r="BI189" i="1"/>
  <c r="BI181" i="1"/>
  <c r="BI173" i="1"/>
  <c r="BI165" i="1"/>
  <c r="BI149" i="1"/>
  <c r="BI141" i="1"/>
  <c r="BI133" i="1"/>
  <c r="BI125" i="1"/>
  <c r="BI117" i="1"/>
  <c r="BI109" i="1"/>
  <c r="BI101" i="1"/>
  <c r="BI93" i="1"/>
  <c r="BI85" i="1"/>
  <c r="BI77" i="1"/>
  <c r="BI69" i="1"/>
  <c r="BI61" i="1"/>
  <c r="BI53" i="1"/>
  <c r="BI45" i="1"/>
  <c r="BI37" i="1"/>
  <c r="BI29" i="1"/>
  <c r="BI21" i="1"/>
  <c r="BI13" i="1"/>
  <c r="BI5" i="1"/>
  <c r="BI319" i="1"/>
  <c r="BI263" i="1"/>
  <c r="BI223" i="1"/>
  <c r="BI191" i="1"/>
  <c r="BI159" i="1"/>
  <c r="BI103" i="1"/>
  <c r="BI15" i="1"/>
  <c r="BI356" i="1"/>
  <c r="BI348" i="1"/>
  <c r="BI340" i="1"/>
  <c r="BI332" i="1"/>
  <c r="BI324" i="1"/>
  <c r="BI316" i="1"/>
  <c r="BI308" i="1"/>
  <c r="BI300" i="1"/>
  <c r="BI292" i="1"/>
  <c r="BI284" i="1"/>
  <c r="BI276" i="1"/>
  <c r="BI268" i="1"/>
  <c r="BI260" i="1"/>
  <c r="BI252" i="1"/>
  <c r="BI244" i="1"/>
  <c r="BI236" i="1"/>
  <c r="BI228" i="1"/>
  <c r="BI220" i="1"/>
  <c r="BI212" i="1"/>
  <c r="BI204" i="1"/>
  <c r="BI196" i="1"/>
  <c r="BI188" i="1"/>
  <c r="BI180" i="1"/>
  <c r="BI172" i="1"/>
  <c r="BI164" i="1"/>
  <c r="BI148" i="1"/>
  <c r="BI140" i="1"/>
  <c r="BI132" i="1"/>
  <c r="BI124" i="1"/>
  <c r="BI116" i="1"/>
  <c r="BI108" i="1"/>
  <c r="BI100" i="1"/>
  <c r="BI92" i="1"/>
  <c r="BI84" i="1"/>
  <c r="BI76" i="1"/>
  <c r="BI68" i="1"/>
  <c r="BI60" i="1"/>
  <c r="BI52" i="1"/>
  <c r="BI44" i="1"/>
  <c r="BI36" i="1"/>
  <c r="BI28" i="1"/>
  <c r="BI20" i="1"/>
  <c r="BI12" i="1"/>
  <c r="BI4" i="1"/>
  <c r="BI2" i="1"/>
  <c r="BI355" i="1"/>
  <c r="BI347" i="1"/>
  <c r="BI339" i="1"/>
  <c r="BI331" i="1"/>
  <c r="BI323" i="1"/>
  <c r="BI315" i="1"/>
  <c r="BI307" i="1"/>
  <c r="BI299" i="1"/>
  <c r="BI291" i="1"/>
  <c r="BI283" i="1"/>
  <c r="BI275" i="1"/>
  <c r="BI267" i="1"/>
  <c r="BI259" i="1"/>
  <c r="BI251" i="1"/>
  <c r="BI243" i="1"/>
  <c r="BI235" i="1"/>
  <c r="BI227" i="1"/>
  <c r="BI219" i="1"/>
  <c r="BI211" i="1"/>
  <c r="BI203" i="1"/>
  <c r="BI195" i="1"/>
  <c r="BI187" i="1"/>
  <c r="BI179" i="1"/>
  <c r="BI171" i="1"/>
  <c r="BI163" i="1"/>
  <c r="BI155" i="1"/>
  <c r="BI147" i="1"/>
  <c r="BI139" i="1"/>
  <c r="BI131" i="1"/>
  <c r="BI123" i="1"/>
  <c r="BI115" i="1"/>
  <c r="BI107" i="1"/>
  <c r="BI99" i="1"/>
  <c r="BI91" i="1"/>
  <c r="BI83" i="1"/>
  <c r="BI75" i="1"/>
  <c r="BI67" i="1"/>
  <c r="BI59" i="1"/>
  <c r="BI51" i="1"/>
  <c r="BI43" i="1"/>
  <c r="BI35" i="1"/>
  <c r="BI27" i="1"/>
  <c r="BI19" i="1"/>
  <c r="BI11" i="1"/>
  <c r="AB6" i="1"/>
  <c r="U14" i="1"/>
  <c r="AA6" i="1" s="1"/>
  <c r="U15" i="1" l="1"/>
  <c r="U16" i="1" s="1"/>
  <c r="W16" i="1" l="1"/>
  <c r="V16" i="1"/>
  <c r="W12" i="1"/>
  <c r="W11" i="1"/>
  <c r="W10" i="1"/>
  <c r="E6" i="1" l="1"/>
  <c r="A93" i="1" s="1"/>
  <c r="F27" i="1" l="1" a="1"/>
  <c r="F27" i="1" s="1"/>
  <c r="I26" i="1" l="1"/>
  <c r="C16" i="1" s="1"/>
  <c r="F28" i="1"/>
  <c r="I27" i="1" s="1"/>
  <c r="C17" i="1"/>
  <c r="C18" i="1"/>
  <c r="C20" i="1"/>
  <c r="C21" i="1"/>
  <c r="C22" i="1"/>
  <c r="C192" i="1" s="1"/>
  <c r="C23" i="1"/>
  <c r="C24" i="1"/>
  <c r="C19" i="1" l="1"/>
  <c r="C108" i="1" s="1"/>
  <c r="J108" i="1" s="1"/>
  <c r="L108" i="1" s="1"/>
  <c r="C110" i="1"/>
  <c r="J110" i="1" s="1"/>
  <c r="L110" i="1" s="1"/>
  <c r="C191" i="1"/>
  <c r="C109" i="1"/>
  <c r="J109" i="1" s="1"/>
  <c r="L109" i="1" s="1"/>
  <c r="C190" i="1"/>
  <c r="C107" i="1"/>
  <c r="J107" i="1" s="1"/>
  <c r="L107" i="1" s="1"/>
  <c r="C188" i="1"/>
  <c r="C106" i="1"/>
  <c r="J106" i="1" s="1"/>
  <c r="L106" i="1" s="1"/>
  <c r="C187" i="1"/>
  <c r="C113" i="1"/>
  <c r="J113" i="1" s="1"/>
  <c r="L113" i="1" s="1"/>
  <c r="C194" i="1"/>
  <c r="C112" i="1"/>
  <c r="J112" i="1" s="1"/>
  <c r="L112" i="1" s="1"/>
  <c r="C193" i="1"/>
  <c r="C105" i="1"/>
  <c r="J105" i="1" s="1"/>
  <c r="L105" i="1" s="1"/>
  <c r="C186" i="1"/>
  <c r="C111" i="1"/>
  <c r="J111" i="1" s="1"/>
  <c r="L111" i="1" s="1"/>
  <c r="B82" i="1"/>
  <c r="C189" i="1" l="1"/>
  <c r="K110" i="1"/>
  <c r="K109" i="1"/>
  <c r="K106" i="1"/>
  <c r="K105" i="1"/>
  <c r="K107" i="1"/>
  <c r="K113" i="1"/>
  <c r="K112" i="1"/>
  <c r="K108" i="1"/>
  <c r="K111" i="1"/>
  <c r="E61" i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H108" i="1" s="1"/>
  <c r="F105" i="1"/>
  <c r="H105" i="1" s="1"/>
  <c r="F107" i="1"/>
  <c r="H107" i="1" s="1"/>
  <c r="F106" i="1"/>
  <c r="H106" i="1" s="1"/>
  <c r="F113" i="1"/>
  <c r="H113" i="1" s="1"/>
  <c r="F112" i="1"/>
  <c r="H112" i="1" s="1"/>
  <c r="F109" i="1"/>
  <c r="H109" i="1" s="1"/>
  <c r="F111" i="1"/>
  <c r="H111" i="1" s="1"/>
  <c r="F110" i="1"/>
  <c r="H110" i="1" s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B94" i="1" s="1"/>
  <c r="F5" i="1"/>
  <c r="B92" i="1" s="1"/>
  <c r="E4" i="1"/>
  <c r="A91" i="1" s="1"/>
  <c r="B4" i="1"/>
  <c r="B29" i="1" s="1"/>
  <c r="B144" i="1"/>
  <c r="B145" i="1" s="1"/>
  <c r="B151" i="1" l="1"/>
  <c r="B147" i="1"/>
  <c r="G112" i="1"/>
  <c r="G113" i="1"/>
  <c r="G106" i="1"/>
  <c r="F8" i="1"/>
  <c r="B95" i="1" s="1"/>
  <c r="G107" i="1"/>
  <c r="G105" i="1"/>
  <c r="G109" i="1"/>
  <c r="D91" i="1"/>
  <c r="C91" i="1"/>
  <c r="E91" i="1"/>
  <c r="G110" i="1"/>
  <c r="G108" i="1"/>
  <c r="G111" i="1"/>
  <c r="E5" i="1"/>
  <c r="A92" i="1" s="1"/>
  <c r="E92" i="1" s="1"/>
  <c r="G4" i="1"/>
  <c r="F6" i="1"/>
  <c r="B93" i="1" s="1"/>
  <c r="E7" i="1"/>
  <c r="A94" i="1" s="1"/>
  <c r="G5" i="1" l="1"/>
  <c r="E8" i="1"/>
  <c r="F9" i="1"/>
  <c r="B96" i="1" s="1"/>
  <c r="E93" i="1"/>
  <c r="C94" i="1"/>
  <c r="D92" i="1"/>
  <c r="C92" i="1"/>
  <c r="G7" i="1"/>
  <c r="G6" i="1"/>
  <c r="A95" i="1" l="1"/>
  <c r="E95" i="1" s="1"/>
  <c r="E94" i="1"/>
  <c r="G8" i="1"/>
  <c r="E9" i="1"/>
  <c r="A96" i="1" s="1"/>
  <c r="D93" i="1"/>
  <c r="C93" i="1"/>
  <c r="F10" i="1"/>
  <c r="B97" i="1" s="1"/>
  <c r="D94" i="1"/>
  <c r="C95" i="1" l="1"/>
  <c r="D95" i="1"/>
  <c r="X4" i="1" a="1"/>
  <c r="X4" i="1" s="1"/>
  <c r="G9" i="1"/>
  <c r="E96" i="1"/>
  <c r="D96" i="1"/>
  <c r="D97" i="1"/>
  <c r="G11" i="1"/>
  <c r="C96" i="1"/>
  <c r="G10" i="1"/>
  <c r="G12" i="1" l="1"/>
  <c r="E97" i="1"/>
  <c r="E98" i="1"/>
  <c r="D98" i="1"/>
  <c r="C98" i="1"/>
  <c r="C97" i="1"/>
  <c r="Y4" i="1"/>
  <c r="X5" i="1"/>
  <c r="C15" i="1"/>
  <c r="C104" i="1" l="1"/>
  <c r="J104" i="1" s="1"/>
  <c r="C185" i="1"/>
  <c r="C99" i="1"/>
  <c r="B100" i="1" s="1"/>
  <c r="Y5" i="1"/>
  <c r="Y6" i="1" s="1"/>
  <c r="X6" i="1"/>
  <c r="C62" i="1"/>
  <c r="C25" i="1"/>
  <c r="D25" i="1" s="1"/>
  <c r="F104" i="1" l="1"/>
  <c r="F114" i="1" s="1"/>
  <c r="J114" i="1"/>
  <c r="J115" i="1" s="1"/>
  <c r="L104" i="1"/>
  <c r="L114" i="1" s="1"/>
  <c r="J117" i="1" s="1"/>
  <c r="D99" i="1"/>
  <c r="B102" i="1" s="1"/>
  <c r="E99" i="1"/>
  <c r="B101" i="1" s="1"/>
  <c r="K104" i="1"/>
  <c r="K114" i="1" s="1"/>
  <c r="J116" i="1" s="1"/>
  <c r="D127" i="1" l="1"/>
  <c r="Z16" i="1"/>
  <c r="B115" i="1"/>
  <c r="G104" i="1"/>
  <c r="G114" i="1" s="1"/>
  <c r="B116" i="1" s="1"/>
  <c r="H104" i="1"/>
  <c r="H114" i="1" s="1"/>
  <c r="B117" i="1" s="1"/>
  <c r="D126" i="1"/>
  <c r="K117" i="1"/>
  <c r="AB16" i="1" s="1"/>
  <c r="D125" i="1"/>
  <c r="K116" i="1"/>
  <c r="AA16" i="1" s="1"/>
  <c r="J119" i="1"/>
  <c r="J120" i="1"/>
  <c r="DY5" i="1" l="1"/>
  <c r="DY8" i="1" s="1"/>
  <c r="AE16" i="1"/>
  <c r="DX5" i="1"/>
  <c r="DX8" i="1" s="1"/>
  <c r="AD16" i="1"/>
  <c r="DW5" i="1"/>
  <c r="DW8" i="1" s="1"/>
  <c r="AC16" i="1"/>
  <c r="B127" i="1"/>
  <c r="Z15" i="1"/>
  <c r="Z13" i="1" s="1"/>
  <c r="F127" i="1"/>
  <c r="F126" i="1"/>
  <c r="C117" i="1"/>
  <c r="AB15" i="1" s="1"/>
  <c r="B125" i="1"/>
  <c r="C116" i="1"/>
  <c r="AA15" i="1" s="1"/>
  <c r="F125" i="1"/>
  <c r="B120" i="1"/>
  <c r="B119" i="1"/>
  <c r="B126" i="1"/>
  <c r="DX4" i="1" l="1"/>
  <c r="DX10" i="1" s="1"/>
  <c r="AD15" i="1"/>
  <c r="DY4" i="1"/>
  <c r="DY10" i="1" s="1"/>
  <c r="AE15" i="1"/>
  <c r="DW4" i="1"/>
  <c r="DW10" i="1" s="1"/>
  <c r="AC15" i="1"/>
  <c r="DW11" i="1"/>
  <c r="EB10" i="1"/>
  <c r="DY11" i="1"/>
  <c r="ED10" i="1"/>
  <c r="DX11" i="1"/>
  <c r="EC10" i="1"/>
  <c r="B131" i="1"/>
  <c r="B132" i="1" s="1"/>
  <c r="BW5" i="1" s="1"/>
  <c r="G71" i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BX376" i="1" l="1"/>
  <c r="CE5" i="1"/>
  <c r="CE7" i="1"/>
  <c r="BX17" i="1"/>
  <c r="BX19" i="1"/>
  <c r="BX21" i="1"/>
  <c r="BX23" i="1"/>
  <c r="BX25" i="1"/>
  <c r="BX27" i="1"/>
  <c r="BX29" i="1"/>
  <c r="BX31" i="1"/>
  <c r="BX33" i="1"/>
  <c r="BX35" i="1"/>
  <c r="BX37" i="1"/>
  <c r="BX39" i="1"/>
  <c r="BX41" i="1"/>
  <c r="BX43" i="1"/>
  <c r="BX45" i="1"/>
  <c r="BX47" i="1"/>
  <c r="BX49" i="1"/>
  <c r="BX51" i="1"/>
  <c r="BX53" i="1"/>
  <c r="BX55" i="1"/>
  <c r="BX57" i="1"/>
  <c r="BX59" i="1"/>
  <c r="BX61" i="1"/>
  <c r="BX63" i="1"/>
  <c r="BX65" i="1"/>
  <c r="BX67" i="1"/>
  <c r="BX69" i="1"/>
  <c r="BX71" i="1"/>
  <c r="BX73" i="1"/>
  <c r="BX75" i="1"/>
  <c r="BX77" i="1"/>
  <c r="BX79" i="1"/>
  <c r="BX81" i="1"/>
  <c r="BX83" i="1"/>
  <c r="BX85" i="1"/>
  <c r="BX87" i="1"/>
  <c r="BX89" i="1"/>
  <c r="BX91" i="1"/>
  <c r="BX93" i="1"/>
  <c r="BX95" i="1"/>
  <c r="BX97" i="1"/>
  <c r="BX99" i="1"/>
  <c r="BX102" i="1"/>
  <c r="BX104" i="1"/>
  <c r="BX106" i="1"/>
  <c r="BX108" i="1"/>
  <c r="BX16" i="1"/>
  <c r="BX18" i="1"/>
  <c r="BX20" i="1"/>
  <c r="BX22" i="1"/>
  <c r="BX24" i="1"/>
  <c r="BX26" i="1"/>
  <c r="BX28" i="1"/>
  <c r="BX30" i="1"/>
  <c r="BX32" i="1"/>
  <c r="BX34" i="1"/>
  <c r="BX36" i="1"/>
  <c r="BX38" i="1"/>
  <c r="BX40" i="1"/>
  <c r="BX42" i="1"/>
  <c r="BX44" i="1"/>
  <c r="BX46" i="1"/>
  <c r="BX48" i="1"/>
  <c r="BX50" i="1"/>
  <c r="BX52" i="1"/>
  <c r="BX54" i="1"/>
  <c r="BX56" i="1"/>
  <c r="BX58" i="1"/>
  <c r="BX60" i="1"/>
  <c r="BX62" i="1"/>
  <c r="BX64" i="1"/>
  <c r="BX66" i="1"/>
  <c r="BX68" i="1"/>
  <c r="BX70" i="1"/>
  <c r="BX72" i="1"/>
  <c r="BX74" i="1"/>
  <c r="BX76" i="1"/>
  <c r="BX78" i="1"/>
  <c r="BX80" i="1"/>
  <c r="BX82" i="1"/>
  <c r="BX84" i="1"/>
  <c r="BX86" i="1"/>
  <c r="BX88" i="1"/>
  <c r="BX90" i="1"/>
  <c r="BX92" i="1"/>
  <c r="BX94" i="1"/>
  <c r="BX96" i="1"/>
  <c r="BX98" i="1"/>
  <c r="BX100" i="1"/>
  <c r="BX101" i="1"/>
  <c r="BX103" i="1"/>
  <c r="BX105" i="1"/>
  <c r="BX107" i="1"/>
  <c r="BX109" i="1"/>
  <c r="BX111" i="1"/>
  <c r="BX113" i="1"/>
  <c r="BX115" i="1"/>
  <c r="BX117" i="1"/>
  <c r="BX119" i="1"/>
  <c r="BX121" i="1"/>
  <c r="BX123" i="1"/>
  <c r="BX125" i="1"/>
  <c r="BX127" i="1"/>
  <c r="BX129" i="1"/>
  <c r="BX131" i="1"/>
  <c r="BX133" i="1"/>
  <c r="BX135" i="1"/>
  <c r="BX137" i="1"/>
  <c r="BX139" i="1"/>
  <c r="BX141" i="1"/>
  <c r="BX143" i="1"/>
  <c r="BX145" i="1"/>
  <c r="BX147" i="1"/>
  <c r="BX149" i="1"/>
  <c r="BX151" i="1"/>
  <c r="BX153" i="1"/>
  <c r="BX155" i="1"/>
  <c r="BX157" i="1"/>
  <c r="BX159" i="1"/>
  <c r="BX161" i="1"/>
  <c r="BX163" i="1"/>
  <c r="BX165" i="1"/>
  <c r="BX167" i="1"/>
  <c r="BX169" i="1"/>
  <c r="BX171" i="1"/>
  <c r="BX173" i="1"/>
  <c r="BX175" i="1"/>
  <c r="BX177" i="1"/>
  <c r="BX179" i="1"/>
  <c r="BX181" i="1"/>
  <c r="BX183" i="1"/>
  <c r="BX185" i="1"/>
  <c r="BX187" i="1"/>
  <c r="BX189" i="1"/>
  <c r="BX191" i="1"/>
  <c r="BX193" i="1"/>
  <c r="BX195" i="1"/>
  <c r="BX197" i="1"/>
  <c r="BX199" i="1"/>
  <c r="BX201" i="1"/>
  <c r="BX203" i="1"/>
  <c r="BX205" i="1"/>
  <c r="BX207" i="1"/>
  <c r="BX209" i="1"/>
  <c r="BX211" i="1"/>
  <c r="BX213" i="1"/>
  <c r="BX215" i="1"/>
  <c r="BX217" i="1"/>
  <c r="BX219" i="1"/>
  <c r="BX221" i="1"/>
  <c r="BX223" i="1"/>
  <c r="BX225" i="1"/>
  <c r="BX227" i="1"/>
  <c r="BX229" i="1"/>
  <c r="BX231" i="1"/>
  <c r="BX233" i="1"/>
  <c r="BX235" i="1"/>
  <c r="BX237" i="1"/>
  <c r="BX239" i="1"/>
  <c r="BX241" i="1"/>
  <c r="BX243" i="1"/>
  <c r="BX245" i="1"/>
  <c r="BX247" i="1"/>
  <c r="BX249" i="1"/>
  <c r="BX251" i="1"/>
  <c r="BX253" i="1"/>
  <c r="BX255" i="1"/>
  <c r="BX257" i="1"/>
  <c r="BX259" i="1"/>
  <c r="BX261" i="1"/>
  <c r="BX263" i="1"/>
  <c r="BX265" i="1"/>
  <c r="BX267" i="1"/>
  <c r="BX269" i="1"/>
  <c r="BX110" i="1"/>
  <c r="BX112" i="1"/>
  <c r="BX114" i="1"/>
  <c r="BX116" i="1"/>
  <c r="BX118" i="1"/>
  <c r="BX120" i="1"/>
  <c r="BX122" i="1"/>
  <c r="BX124" i="1"/>
  <c r="BX126" i="1"/>
  <c r="BX128" i="1"/>
  <c r="BX130" i="1"/>
  <c r="BX132" i="1"/>
  <c r="BX134" i="1"/>
  <c r="BX136" i="1"/>
  <c r="BX138" i="1"/>
  <c r="BX140" i="1"/>
  <c r="BX142" i="1"/>
  <c r="BX144" i="1"/>
  <c r="BX146" i="1"/>
  <c r="BX148" i="1"/>
  <c r="BX150" i="1"/>
  <c r="BX152" i="1"/>
  <c r="BX154" i="1"/>
  <c r="BX156" i="1"/>
  <c r="BX158" i="1"/>
  <c r="BX160" i="1"/>
  <c r="BX162" i="1"/>
  <c r="BX164" i="1"/>
  <c r="BX166" i="1"/>
  <c r="BX168" i="1"/>
  <c r="BX170" i="1"/>
  <c r="BX172" i="1"/>
  <c r="BX174" i="1"/>
  <c r="BX176" i="1"/>
  <c r="BX178" i="1"/>
  <c r="BX180" i="1"/>
  <c r="BX182" i="1"/>
  <c r="BX184" i="1"/>
  <c r="BX186" i="1"/>
  <c r="BX188" i="1"/>
  <c r="BX190" i="1"/>
  <c r="BX192" i="1"/>
  <c r="BX194" i="1"/>
  <c r="BX196" i="1"/>
  <c r="BX198" i="1"/>
  <c r="BX200" i="1"/>
  <c r="BX202" i="1"/>
  <c r="BX204" i="1"/>
  <c r="BX206" i="1"/>
  <c r="BX208" i="1"/>
  <c r="BX210" i="1"/>
  <c r="BX212" i="1"/>
  <c r="BX214" i="1"/>
  <c r="BX216" i="1"/>
  <c r="BX218" i="1"/>
  <c r="BX220" i="1"/>
  <c r="BX222" i="1"/>
  <c r="BX224" i="1"/>
  <c r="BX226" i="1"/>
  <c r="BX228" i="1"/>
  <c r="BX230" i="1"/>
  <c r="BX232" i="1"/>
  <c r="BX234" i="1"/>
  <c r="BX236" i="1"/>
  <c r="BX238" i="1"/>
  <c r="BX240" i="1"/>
  <c r="BX242" i="1"/>
  <c r="BX244" i="1"/>
  <c r="BX246" i="1"/>
  <c r="BX248" i="1"/>
  <c r="BX250" i="1"/>
  <c r="BX252" i="1"/>
  <c r="BX254" i="1"/>
  <c r="BX256" i="1"/>
  <c r="BX258" i="1"/>
  <c r="BX260" i="1"/>
  <c r="BX262" i="1"/>
  <c r="BX264" i="1"/>
  <c r="BX266" i="1"/>
  <c r="BX268" i="1"/>
  <c r="BX270" i="1"/>
  <c r="BX271" i="1"/>
  <c r="BX272" i="1"/>
  <c r="BX274" i="1"/>
  <c r="BX276" i="1"/>
  <c r="BX278" i="1"/>
  <c r="BX280" i="1"/>
  <c r="BX282" i="1"/>
  <c r="BX284" i="1"/>
  <c r="BX286" i="1"/>
  <c r="BX288" i="1"/>
  <c r="BX290" i="1"/>
  <c r="BX292" i="1"/>
  <c r="BX294" i="1"/>
  <c r="BX296" i="1"/>
  <c r="BX298" i="1"/>
  <c r="BX300" i="1"/>
  <c r="BX302" i="1"/>
  <c r="BX304" i="1"/>
  <c r="BX306" i="1"/>
  <c r="BX308" i="1"/>
  <c r="BX310" i="1"/>
  <c r="BX312" i="1"/>
  <c r="BX314" i="1"/>
  <c r="BX316" i="1"/>
  <c r="BX318" i="1"/>
  <c r="BX320" i="1"/>
  <c r="BX322" i="1"/>
  <c r="BX324" i="1"/>
  <c r="BX326" i="1"/>
  <c r="BX328" i="1"/>
  <c r="BX330" i="1"/>
  <c r="BX332" i="1"/>
  <c r="BX334" i="1"/>
  <c r="BX336" i="1"/>
  <c r="BX338" i="1"/>
  <c r="BX340" i="1"/>
  <c r="BX342" i="1"/>
  <c r="BX344" i="1"/>
  <c r="BX346" i="1"/>
  <c r="BX348" i="1"/>
  <c r="BX350" i="1"/>
  <c r="BX352" i="1"/>
  <c r="BX354" i="1"/>
  <c r="BX356" i="1"/>
  <c r="BX358" i="1"/>
  <c r="BX360" i="1"/>
  <c r="BX362" i="1"/>
  <c r="BX364" i="1"/>
  <c r="BX366" i="1"/>
  <c r="BX368" i="1"/>
  <c r="BX370" i="1"/>
  <c r="BX372" i="1"/>
  <c r="BX374" i="1"/>
  <c r="BX273" i="1"/>
  <c r="BX275" i="1"/>
  <c r="BX277" i="1"/>
  <c r="BX279" i="1"/>
  <c r="BX281" i="1"/>
  <c r="BX283" i="1"/>
  <c r="BX285" i="1"/>
  <c r="BX287" i="1"/>
  <c r="BX289" i="1"/>
  <c r="BX291" i="1"/>
  <c r="BX293" i="1"/>
  <c r="BX295" i="1"/>
  <c r="BX297" i="1"/>
  <c r="BX299" i="1"/>
  <c r="BX301" i="1"/>
  <c r="BX303" i="1"/>
  <c r="BX305" i="1"/>
  <c r="BX307" i="1"/>
  <c r="BX311" i="1"/>
  <c r="BX313" i="1"/>
  <c r="BX315" i="1"/>
  <c r="BX317" i="1"/>
  <c r="BX319" i="1"/>
  <c r="BX323" i="1"/>
  <c r="BX325" i="1"/>
  <c r="BX327" i="1"/>
  <c r="BX329" i="1"/>
  <c r="BX333" i="1"/>
  <c r="BX337" i="1"/>
  <c r="BX343" i="1"/>
  <c r="BX345" i="1"/>
  <c r="BX347" i="1"/>
  <c r="BX351" i="1"/>
  <c r="BX355" i="1"/>
  <c r="BX359" i="1"/>
  <c r="BX365" i="1"/>
  <c r="BX369" i="1"/>
  <c r="BX371" i="1"/>
  <c r="BX375" i="1"/>
  <c r="BX309" i="1"/>
  <c r="BX321" i="1"/>
  <c r="BX331" i="1"/>
  <c r="BX335" i="1"/>
  <c r="BX339" i="1"/>
  <c r="BX341" i="1"/>
  <c r="BX349" i="1"/>
  <c r="BX353" i="1"/>
  <c r="BX357" i="1"/>
  <c r="BX361" i="1"/>
  <c r="BX363" i="1"/>
  <c r="BX367" i="1"/>
  <c r="BX373" i="1"/>
  <c r="BX15" i="1"/>
  <c r="DW14" i="1"/>
  <c r="DX18" i="1" s="1"/>
  <c r="EG10" i="1"/>
  <c r="EH10" i="1" s="1"/>
  <c r="EC12" i="1"/>
  <c r="EF10" i="1"/>
  <c r="B133" i="1"/>
  <c r="BX5" i="1" s="1"/>
  <c r="F65" i="1"/>
  <c r="I65" i="1" s="1"/>
  <c r="R65" i="1" s="1"/>
  <c r="A45" i="1"/>
  <c r="C45" i="1" s="1"/>
  <c r="D56" i="1" s="1"/>
  <c r="D164" i="1" s="1"/>
  <c r="D175" i="1" s="1"/>
  <c r="F62" i="1"/>
  <c r="H62" i="1" s="1"/>
  <c r="Q62" i="1" s="1"/>
  <c r="A44" i="1"/>
  <c r="D44" i="1" s="1"/>
  <c r="E55" i="1" s="1"/>
  <c r="F68" i="1"/>
  <c r="H68" i="1" s="1"/>
  <c r="Q68" i="1" s="1"/>
  <c r="F70" i="1"/>
  <c r="H70" i="1" s="1"/>
  <c r="Q70" i="1" s="1"/>
  <c r="A37" i="1"/>
  <c r="C37" i="1" s="1"/>
  <c r="B49" i="1" s="1"/>
  <c r="B157" i="1" s="1"/>
  <c r="B168" i="1" s="1"/>
  <c r="F71" i="1"/>
  <c r="I71" i="1" s="1"/>
  <c r="A38" i="1"/>
  <c r="D38" i="1" s="1"/>
  <c r="E49" i="1" s="1"/>
  <c r="F63" i="1"/>
  <c r="I63" i="1" s="1"/>
  <c r="R63" i="1" s="1"/>
  <c r="F67" i="1"/>
  <c r="A41" i="1"/>
  <c r="C41" i="1" s="1"/>
  <c r="D52" i="1" s="1"/>
  <c r="F64" i="1"/>
  <c r="I64" i="1" s="1"/>
  <c r="R64" i="1" s="1"/>
  <c r="G67" i="1"/>
  <c r="I66" i="1"/>
  <c r="R66" i="1" s="1"/>
  <c r="H69" i="1"/>
  <c r="Q69" i="1" s="1"/>
  <c r="D39" i="1"/>
  <c r="E50" i="1" s="1"/>
  <c r="C40" i="1"/>
  <c r="D51" i="1" s="1"/>
  <c r="C43" i="1"/>
  <c r="D54" i="1" s="1"/>
  <c r="D40" i="1"/>
  <c r="E51" i="1" s="1"/>
  <c r="C42" i="1"/>
  <c r="D53" i="1" s="1"/>
  <c r="C39" i="1"/>
  <c r="D50" i="1" s="1"/>
  <c r="D42" i="1"/>
  <c r="E53" i="1" s="1"/>
  <c r="H66" i="1"/>
  <c r="Q66" i="1" s="1"/>
  <c r="I69" i="1"/>
  <c r="D43" i="1"/>
  <c r="E54" i="1" s="1"/>
  <c r="R71" i="1" l="1"/>
  <c r="R69" i="1"/>
  <c r="BY376" i="1"/>
  <c r="BZ376" i="1"/>
  <c r="BZ15" i="1"/>
  <c r="BZ367" i="1"/>
  <c r="BZ361" i="1"/>
  <c r="BZ353" i="1"/>
  <c r="BZ341" i="1"/>
  <c r="BZ335" i="1"/>
  <c r="BZ321" i="1"/>
  <c r="BZ375" i="1"/>
  <c r="BZ369" i="1"/>
  <c r="BZ359" i="1"/>
  <c r="BZ351" i="1"/>
  <c r="BZ345" i="1"/>
  <c r="BZ337" i="1"/>
  <c r="BZ329" i="1"/>
  <c r="BZ325" i="1"/>
  <c r="BZ319" i="1"/>
  <c r="BZ315" i="1"/>
  <c r="BZ311" i="1"/>
  <c r="BZ305" i="1"/>
  <c r="BZ301" i="1"/>
  <c r="BZ297" i="1"/>
  <c r="BZ293" i="1"/>
  <c r="BZ289" i="1"/>
  <c r="BZ285" i="1"/>
  <c r="BZ281" i="1"/>
  <c r="BZ277" i="1"/>
  <c r="BZ273" i="1"/>
  <c r="BZ372" i="1"/>
  <c r="BZ368" i="1"/>
  <c r="BZ364" i="1"/>
  <c r="BZ360" i="1"/>
  <c r="BZ356" i="1"/>
  <c r="BZ352" i="1"/>
  <c r="BZ348" i="1"/>
  <c r="BZ344" i="1"/>
  <c r="BZ340" i="1"/>
  <c r="BZ336" i="1"/>
  <c r="BZ332" i="1"/>
  <c r="BZ328" i="1"/>
  <c r="BZ324" i="1"/>
  <c r="BZ320" i="1"/>
  <c r="BZ316" i="1"/>
  <c r="BZ312" i="1"/>
  <c r="BZ308" i="1"/>
  <c r="BZ304" i="1"/>
  <c r="BZ300" i="1"/>
  <c r="BZ296" i="1"/>
  <c r="BZ292" i="1"/>
  <c r="BZ288" i="1"/>
  <c r="BZ284" i="1"/>
  <c r="BZ280" i="1"/>
  <c r="BZ276" i="1"/>
  <c r="BZ272" i="1"/>
  <c r="BZ270" i="1"/>
  <c r="BZ266" i="1"/>
  <c r="BZ262" i="1"/>
  <c r="BZ258" i="1"/>
  <c r="BZ254" i="1"/>
  <c r="BZ250" i="1"/>
  <c r="BZ246" i="1"/>
  <c r="BZ242" i="1"/>
  <c r="BZ238" i="1"/>
  <c r="BZ234" i="1"/>
  <c r="BZ230" i="1"/>
  <c r="BZ226" i="1"/>
  <c r="BZ222" i="1"/>
  <c r="BZ218" i="1"/>
  <c r="BZ214" i="1"/>
  <c r="BZ210" i="1"/>
  <c r="BZ206" i="1"/>
  <c r="BZ202" i="1"/>
  <c r="BZ198" i="1"/>
  <c r="BZ194" i="1"/>
  <c r="BZ190" i="1"/>
  <c r="BZ186" i="1"/>
  <c r="BZ182" i="1"/>
  <c r="BZ178" i="1"/>
  <c r="BZ174" i="1"/>
  <c r="BZ170" i="1"/>
  <c r="BZ166" i="1"/>
  <c r="BZ162" i="1"/>
  <c r="BZ158" i="1"/>
  <c r="BZ154" i="1"/>
  <c r="BZ150" i="1"/>
  <c r="BZ146" i="1"/>
  <c r="BZ142" i="1"/>
  <c r="BZ138" i="1"/>
  <c r="BZ134" i="1"/>
  <c r="BZ130" i="1"/>
  <c r="BZ126" i="1"/>
  <c r="BZ122" i="1"/>
  <c r="BZ118" i="1"/>
  <c r="BZ114" i="1"/>
  <c r="BZ110" i="1"/>
  <c r="BZ267" i="1"/>
  <c r="BZ263" i="1"/>
  <c r="BZ259" i="1"/>
  <c r="BZ255" i="1"/>
  <c r="BZ251" i="1"/>
  <c r="BZ247" i="1"/>
  <c r="BZ243" i="1"/>
  <c r="BZ239" i="1"/>
  <c r="BZ235" i="1"/>
  <c r="BZ231" i="1"/>
  <c r="BZ227" i="1"/>
  <c r="BZ223" i="1"/>
  <c r="BZ219" i="1"/>
  <c r="BZ215" i="1"/>
  <c r="BZ211" i="1"/>
  <c r="BZ207" i="1"/>
  <c r="BZ203" i="1"/>
  <c r="BZ199" i="1"/>
  <c r="BZ195" i="1"/>
  <c r="BZ191" i="1"/>
  <c r="BZ187" i="1"/>
  <c r="BZ183" i="1"/>
  <c r="BZ179" i="1"/>
  <c r="BZ175" i="1"/>
  <c r="BZ171" i="1"/>
  <c r="BZ167" i="1"/>
  <c r="BZ163" i="1"/>
  <c r="BZ159" i="1"/>
  <c r="BZ155" i="1"/>
  <c r="BZ151" i="1"/>
  <c r="BZ147" i="1"/>
  <c r="BZ143" i="1"/>
  <c r="BZ139" i="1"/>
  <c r="BZ135" i="1"/>
  <c r="BZ131" i="1"/>
  <c r="BZ127" i="1"/>
  <c r="BZ123" i="1"/>
  <c r="BZ119" i="1"/>
  <c r="BZ115" i="1"/>
  <c r="BZ111" i="1"/>
  <c r="BZ107" i="1"/>
  <c r="BZ103" i="1"/>
  <c r="BZ100" i="1"/>
  <c r="BZ96" i="1"/>
  <c r="BZ92" i="1"/>
  <c r="BZ88" i="1"/>
  <c r="BZ84" i="1"/>
  <c r="BZ80" i="1"/>
  <c r="BZ76" i="1"/>
  <c r="BZ72" i="1"/>
  <c r="BZ68" i="1"/>
  <c r="BZ64" i="1"/>
  <c r="BZ60" i="1"/>
  <c r="BZ56" i="1"/>
  <c r="BZ52" i="1"/>
  <c r="BZ48" i="1"/>
  <c r="BZ44" i="1"/>
  <c r="BZ40" i="1"/>
  <c r="BZ36" i="1"/>
  <c r="BZ32" i="1"/>
  <c r="BZ28" i="1"/>
  <c r="BZ24" i="1"/>
  <c r="BZ20" i="1"/>
  <c r="BZ16" i="1"/>
  <c r="BZ106" i="1"/>
  <c r="BZ102" i="1"/>
  <c r="BZ97" i="1"/>
  <c r="BZ93" i="1"/>
  <c r="BZ89" i="1"/>
  <c r="BZ85" i="1"/>
  <c r="BZ81" i="1"/>
  <c r="BZ77" i="1"/>
  <c r="BZ73" i="1"/>
  <c r="BZ69" i="1"/>
  <c r="BZ65" i="1"/>
  <c r="BZ61" i="1"/>
  <c r="BZ57" i="1"/>
  <c r="BZ53" i="1"/>
  <c r="BZ49" i="1"/>
  <c r="BZ45" i="1"/>
  <c r="BZ41" i="1"/>
  <c r="BZ37" i="1"/>
  <c r="BZ33" i="1"/>
  <c r="BZ29" i="1"/>
  <c r="BZ25" i="1"/>
  <c r="BZ21" i="1"/>
  <c r="BZ17" i="1"/>
  <c r="BZ373" i="1"/>
  <c r="BZ363" i="1"/>
  <c r="BZ357" i="1"/>
  <c r="BZ349" i="1"/>
  <c r="BZ339" i="1"/>
  <c r="BZ331" i="1"/>
  <c r="BZ309" i="1"/>
  <c r="BZ371" i="1"/>
  <c r="BZ365" i="1"/>
  <c r="BZ355" i="1"/>
  <c r="BZ347" i="1"/>
  <c r="BZ343" i="1"/>
  <c r="BZ333" i="1"/>
  <c r="BZ327" i="1"/>
  <c r="BZ323" i="1"/>
  <c r="BZ317" i="1"/>
  <c r="BZ313" i="1"/>
  <c r="BZ307" i="1"/>
  <c r="BZ303" i="1"/>
  <c r="BZ299" i="1"/>
  <c r="BZ295" i="1"/>
  <c r="BZ291" i="1"/>
  <c r="BZ287" i="1"/>
  <c r="BZ283" i="1"/>
  <c r="BZ279" i="1"/>
  <c r="BZ275" i="1"/>
  <c r="BZ374" i="1"/>
  <c r="BZ370" i="1"/>
  <c r="BZ366" i="1"/>
  <c r="BZ362" i="1"/>
  <c r="BZ358" i="1"/>
  <c r="BZ354" i="1"/>
  <c r="BZ350" i="1"/>
  <c r="BZ346" i="1"/>
  <c r="BZ342" i="1"/>
  <c r="BZ338" i="1"/>
  <c r="BZ334" i="1"/>
  <c r="BZ330" i="1"/>
  <c r="BZ326" i="1"/>
  <c r="BZ322" i="1"/>
  <c r="BZ318" i="1"/>
  <c r="BZ314" i="1"/>
  <c r="BZ310" i="1"/>
  <c r="BZ306" i="1"/>
  <c r="BZ302" i="1"/>
  <c r="BZ298" i="1"/>
  <c r="BZ294" i="1"/>
  <c r="BZ290" i="1"/>
  <c r="BZ286" i="1"/>
  <c r="BZ282" i="1"/>
  <c r="BZ278" i="1"/>
  <c r="BZ274" i="1"/>
  <c r="BZ271" i="1"/>
  <c r="BZ268" i="1"/>
  <c r="BZ264" i="1"/>
  <c r="BZ260" i="1"/>
  <c r="BZ256" i="1"/>
  <c r="BZ252" i="1"/>
  <c r="BZ248" i="1"/>
  <c r="BZ244" i="1"/>
  <c r="BZ240" i="1"/>
  <c r="BZ236" i="1"/>
  <c r="BZ232" i="1"/>
  <c r="BZ228" i="1"/>
  <c r="BZ224" i="1"/>
  <c r="BZ220" i="1"/>
  <c r="BZ216" i="1"/>
  <c r="BZ212" i="1"/>
  <c r="BZ208" i="1"/>
  <c r="BZ204" i="1"/>
  <c r="BZ200" i="1"/>
  <c r="BZ196" i="1"/>
  <c r="BZ192" i="1"/>
  <c r="BZ188" i="1"/>
  <c r="BZ184" i="1"/>
  <c r="BZ180" i="1"/>
  <c r="BZ176" i="1"/>
  <c r="BZ172" i="1"/>
  <c r="BZ168" i="1"/>
  <c r="BZ164" i="1"/>
  <c r="BZ160" i="1"/>
  <c r="BZ156" i="1"/>
  <c r="BZ152" i="1"/>
  <c r="BZ148" i="1"/>
  <c r="BZ144" i="1"/>
  <c r="BZ140" i="1"/>
  <c r="BZ136" i="1"/>
  <c r="BZ132" i="1"/>
  <c r="BZ128" i="1"/>
  <c r="BZ124" i="1"/>
  <c r="BZ120" i="1"/>
  <c r="BZ116" i="1"/>
  <c r="BZ112" i="1"/>
  <c r="BZ269" i="1"/>
  <c r="BZ265" i="1"/>
  <c r="BZ261" i="1"/>
  <c r="BZ257" i="1"/>
  <c r="BZ253" i="1"/>
  <c r="BZ249" i="1"/>
  <c r="BZ245" i="1"/>
  <c r="BZ241" i="1"/>
  <c r="BZ237" i="1"/>
  <c r="BZ233" i="1"/>
  <c r="BZ229" i="1"/>
  <c r="BZ225" i="1"/>
  <c r="BZ221" i="1"/>
  <c r="BZ217" i="1"/>
  <c r="BZ213" i="1"/>
  <c r="BZ209" i="1"/>
  <c r="BZ205" i="1"/>
  <c r="BZ201" i="1"/>
  <c r="BZ197" i="1"/>
  <c r="BZ193" i="1"/>
  <c r="BZ189" i="1"/>
  <c r="BZ185" i="1"/>
  <c r="BZ181" i="1"/>
  <c r="BZ177" i="1"/>
  <c r="BZ173" i="1"/>
  <c r="BZ169" i="1"/>
  <c r="BZ165" i="1"/>
  <c r="BZ161" i="1"/>
  <c r="BZ157" i="1"/>
  <c r="BZ153" i="1"/>
  <c r="BZ149" i="1"/>
  <c r="BZ145" i="1"/>
  <c r="BZ141" i="1"/>
  <c r="BZ137" i="1"/>
  <c r="BZ133" i="1"/>
  <c r="BZ129" i="1"/>
  <c r="BZ125" i="1"/>
  <c r="BZ121" i="1"/>
  <c r="BZ117" i="1"/>
  <c r="BZ113" i="1"/>
  <c r="BZ109" i="1"/>
  <c r="BZ105" i="1"/>
  <c r="BZ101" i="1"/>
  <c r="BZ98" i="1"/>
  <c r="BZ94" i="1"/>
  <c r="BZ90" i="1"/>
  <c r="BZ86" i="1"/>
  <c r="BZ82" i="1"/>
  <c r="BZ78" i="1"/>
  <c r="BZ74" i="1"/>
  <c r="BZ70" i="1"/>
  <c r="BZ66" i="1"/>
  <c r="BZ62" i="1"/>
  <c r="BZ58" i="1"/>
  <c r="BZ54" i="1"/>
  <c r="BZ50" i="1"/>
  <c r="BZ46" i="1"/>
  <c r="BZ42" i="1"/>
  <c r="BZ38" i="1"/>
  <c r="BZ34" i="1"/>
  <c r="BZ30" i="1"/>
  <c r="BZ26" i="1"/>
  <c r="BZ22" i="1"/>
  <c r="BZ18" i="1"/>
  <c r="BZ108" i="1"/>
  <c r="BZ104" i="1"/>
  <c r="BZ99" i="1"/>
  <c r="BZ95" i="1"/>
  <c r="BZ91" i="1"/>
  <c r="BZ87" i="1"/>
  <c r="BZ83" i="1"/>
  <c r="BZ79" i="1"/>
  <c r="BZ75" i="1"/>
  <c r="BZ71" i="1"/>
  <c r="BZ67" i="1"/>
  <c r="BZ63" i="1"/>
  <c r="BZ59" i="1"/>
  <c r="BZ55" i="1"/>
  <c r="BZ51" i="1"/>
  <c r="BZ47" i="1"/>
  <c r="BZ43" i="1"/>
  <c r="BZ39" i="1"/>
  <c r="BZ35" i="1"/>
  <c r="BZ31" i="1"/>
  <c r="BZ27" i="1"/>
  <c r="BZ23" i="1"/>
  <c r="BZ19" i="1"/>
  <c r="CF5" i="1"/>
  <c r="CF7" i="1"/>
  <c r="BY16" i="1"/>
  <c r="BY18" i="1"/>
  <c r="BY20" i="1"/>
  <c r="BY22" i="1"/>
  <c r="BY24" i="1"/>
  <c r="BY26" i="1"/>
  <c r="BY28" i="1"/>
  <c r="BY30" i="1"/>
  <c r="BY32" i="1"/>
  <c r="BY34" i="1"/>
  <c r="BY36" i="1"/>
  <c r="BY38" i="1"/>
  <c r="BY40" i="1"/>
  <c r="BY42" i="1"/>
  <c r="BY44" i="1"/>
  <c r="BY46" i="1"/>
  <c r="BY48" i="1"/>
  <c r="BY50" i="1"/>
  <c r="BY52" i="1"/>
  <c r="BY54" i="1"/>
  <c r="BY56" i="1"/>
  <c r="BY58" i="1"/>
  <c r="BY60" i="1"/>
  <c r="BY62" i="1"/>
  <c r="BY64" i="1"/>
  <c r="BY66" i="1"/>
  <c r="BY68" i="1"/>
  <c r="BY70" i="1"/>
  <c r="BY72" i="1"/>
  <c r="BY74" i="1"/>
  <c r="BY76" i="1"/>
  <c r="BY78" i="1"/>
  <c r="BY80" i="1"/>
  <c r="BY82" i="1"/>
  <c r="BY84" i="1"/>
  <c r="BY86" i="1"/>
  <c r="BY88" i="1"/>
  <c r="BY90" i="1"/>
  <c r="BY92" i="1"/>
  <c r="BY94" i="1"/>
  <c r="BY96" i="1"/>
  <c r="BY98" i="1"/>
  <c r="BY100" i="1"/>
  <c r="BY101" i="1"/>
  <c r="BY103" i="1"/>
  <c r="BY105" i="1"/>
  <c r="BY107" i="1"/>
  <c r="BY17" i="1"/>
  <c r="BY19" i="1"/>
  <c r="BY21" i="1"/>
  <c r="BY23" i="1"/>
  <c r="BY25" i="1"/>
  <c r="BY27" i="1"/>
  <c r="BY29" i="1"/>
  <c r="BY31" i="1"/>
  <c r="BY33" i="1"/>
  <c r="BY35" i="1"/>
  <c r="BY37" i="1"/>
  <c r="BY39" i="1"/>
  <c r="BY41" i="1"/>
  <c r="BY43" i="1"/>
  <c r="BY45" i="1"/>
  <c r="BY47" i="1"/>
  <c r="BY49" i="1"/>
  <c r="BY51" i="1"/>
  <c r="BY53" i="1"/>
  <c r="BY55" i="1"/>
  <c r="BY57" i="1"/>
  <c r="BY59" i="1"/>
  <c r="BY61" i="1"/>
  <c r="BY63" i="1"/>
  <c r="BY65" i="1"/>
  <c r="BY67" i="1"/>
  <c r="BY69" i="1"/>
  <c r="BY71" i="1"/>
  <c r="BY73" i="1"/>
  <c r="BY75" i="1"/>
  <c r="BY77" i="1"/>
  <c r="BY79" i="1"/>
  <c r="BY81" i="1"/>
  <c r="BY83" i="1"/>
  <c r="BY85" i="1"/>
  <c r="BY87" i="1"/>
  <c r="BY89" i="1"/>
  <c r="BY91" i="1"/>
  <c r="BY93" i="1"/>
  <c r="BY95" i="1"/>
  <c r="BY97" i="1"/>
  <c r="BY99" i="1"/>
  <c r="BY102" i="1"/>
  <c r="BY104" i="1"/>
  <c r="BY106" i="1"/>
  <c r="BY108" i="1"/>
  <c r="BY110" i="1"/>
  <c r="BY112" i="1"/>
  <c r="BY114" i="1"/>
  <c r="BY116" i="1"/>
  <c r="BY118" i="1"/>
  <c r="BY120" i="1"/>
  <c r="BY122" i="1"/>
  <c r="BY124" i="1"/>
  <c r="BY126" i="1"/>
  <c r="BY128" i="1"/>
  <c r="BY130" i="1"/>
  <c r="BY132" i="1"/>
  <c r="BY134" i="1"/>
  <c r="BY136" i="1"/>
  <c r="BY138" i="1"/>
  <c r="BY140" i="1"/>
  <c r="BY142" i="1"/>
  <c r="BY144" i="1"/>
  <c r="BY146" i="1"/>
  <c r="BY148" i="1"/>
  <c r="BY150" i="1"/>
  <c r="BY152" i="1"/>
  <c r="BY154" i="1"/>
  <c r="BY156" i="1"/>
  <c r="BY158" i="1"/>
  <c r="BY160" i="1"/>
  <c r="BY162" i="1"/>
  <c r="BY164" i="1"/>
  <c r="BY166" i="1"/>
  <c r="BY168" i="1"/>
  <c r="BY170" i="1"/>
  <c r="BY172" i="1"/>
  <c r="BY174" i="1"/>
  <c r="BY176" i="1"/>
  <c r="BY178" i="1"/>
  <c r="BY180" i="1"/>
  <c r="BY182" i="1"/>
  <c r="BY184" i="1"/>
  <c r="BY186" i="1"/>
  <c r="BY188" i="1"/>
  <c r="BY190" i="1"/>
  <c r="BY192" i="1"/>
  <c r="BY194" i="1"/>
  <c r="BY196" i="1"/>
  <c r="BY198" i="1"/>
  <c r="BY200" i="1"/>
  <c r="BY202" i="1"/>
  <c r="BY204" i="1"/>
  <c r="BY206" i="1"/>
  <c r="BY208" i="1"/>
  <c r="BY210" i="1"/>
  <c r="BY212" i="1"/>
  <c r="BY214" i="1"/>
  <c r="BY216" i="1"/>
  <c r="BY218" i="1"/>
  <c r="BY220" i="1"/>
  <c r="BY222" i="1"/>
  <c r="BY224" i="1"/>
  <c r="BY226" i="1"/>
  <c r="BY228" i="1"/>
  <c r="BY230" i="1"/>
  <c r="BY232" i="1"/>
  <c r="BY234" i="1"/>
  <c r="BY236" i="1"/>
  <c r="BY238" i="1"/>
  <c r="BY240" i="1"/>
  <c r="BY242" i="1"/>
  <c r="BY244" i="1"/>
  <c r="BY246" i="1"/>
  <c r="BY248" i="1"/>
  <c r="BY250" i="1"/>
  <c r="BY252" i="1"/>
  <c r="BY254" i="1"/>
  <c r="BY256" i="1"/>
  <c r="BY258" i="1"/>
  <c r="BY260" i="1"/>
  <c r="BY262" i="1"/>
  <c r="BY264" i="1"/>
  <c r="BY266" i="1"/>
  <c r="BY268" i="1"/>
  <c r="BY270" i="1"/>
  <c r="BY109" i="1"/>
  <c r="BY111" i="1"/>
  <c r="BY113" i="1"/>
  <c r="BY115" i="1"/>
  <c r="BY117" i="1"/>
  <c r="BY119" i="1"/>
  <c r="BY121" i="1"/>
  <c r="BY123" i="1"/>
  <c r="BY125" i="1"/>
  <c r="BY127" i="1"/>
  <c r="BY129" i="1"/>
  <c r="BY131" i="1"/>
  <c r="BY133" i="1"/>
  <c r="BY135" i="1"/>
  <c r="BY137" i="1"/>
  <c r="BY139" i="1"/>
  <c r="BY141" i="1"/>
  <c r="BY143" i="1"/>
  <c r="BY145" i="1"/>
  <c r="BY147" i="1"/>
  <c r="BY149" i="1"/>
  <c r="BY151" i="1"/>
  <c r="BY153" i="1"/>
  <c r="BY155" i="1"/>
  <c r="BY157" i="1"/>
  <c r="BY159" i="1"/>
  <c r="BY161" i="1"/>
  <c r="BY163" i="1"/>
  <c r="BY165" i="1"/>
  <c r="BY167" i="1"/>
  <c r="BY169" i="1"/>
  <c r="BY171" i="1"/>
  <c r="BY173" i="1"/>
  <c r="BY175" i="1"/>
  <c r="BY177" i="1"/>
  <c r="BY179" i="1"/>
  <c r="BY181" i="1"/>
  <c r="BY183" i="1"/>
  <c r="BY185" i="1"/>
  <c r="BY187" i="1"/>
  <c r="BY189" i="1"/>
  <c r="BY191" i="1"/>
  <c r="BY193" i="1"/>
  <c r="BY195" i="1"/>
  <c r="BY197" i="1"/>
  <c r="BY199" i="1"/>
  <c r="BY201" i="1"/>
  <c r="BY203" i="1"/>
  <c r="BY205" i="1"/>
  <c r="BY207" i="1"/>
  <c r="BY209" i="1"/>
  <c r="BY211" i="1"/>
  <c r="BY213" i="1"/>
  <c r="BY215" i="1"/>
  <c r="BY217" i="1"/>
  <c r="BY219" i="1"/>
  <c r="BY221" i="1"/>
  <c r="BY223" i="1"/>
  <c r="BY225" i="1"/>
  <c r="BY227" i="1"/>
  <c r="BY229" i="1"/>
  <c r="BY231" i="1"/>
  <c r="BY233" i="1"/>
  <c r="BY235" i="1"/>
  <c r="BY237" i="1"/>
  <c r="BY239" i="1"/>
  <c r="BY241" i="1"/>
  <c r="BY243" i="1"/>
  <c r="BY245" i="1"/>
  <c r="BY247" i="1"/>
  <c r="BY249" i="1"/>
  <c r="BY251" i="1"/>
  <c r="BY253" i="1"/>
  <c r="BY255" i="1"/>
  <c r="BY257" i="1"/>
  <c r="BY259" i="1"/>
  <c r="BY261" i="1"/>
  <c r="BY263" i="1"/>
  <c r="BY265" i="1"/>
  <c r="BY267" i="1"/>
  <c r="BY269" i="1"/>
  <c r="BY271" i="1"/>
  <c r="BY273" i="1"/>
  <c r="BY275" i="1"/>
  <c r="BY277" i="1"/>
  <c r="BY279" i="1"/>
  <c r="BY281" i="1"/>
  <c r="BY283" i="1"/>
  <c r="BY285" i="1"/>
  <c r="BY287" i="1"/>
  <c r="BY289" i="1"/>
  <c r="BY291" i="1"/>
  <c r="BY293" i="1"/>
  <c r="BY295" i="1"/>
  <c r="BY297" i="1"/>
  <c r="BY299" i="1"/>
  <c r="BY301" i="1"/>
  <c r="BY303" i="1"/>
  <c r="BY305" i="1"/>
  <c r="BY307" i="1"/>
  <c r="BY309" i="1"/>
  <c r="BY311" i="1"/>
  <c r="BY313" i="1"/>
  <c r="BY315" i="1"/>
  <c r="BY317" i="1"/>
  <c r="BY319" i="1"/>
  <c r="BY321" i="1"/>
  <c r="BY323" i="1"/>
  <c r="BY325" i="1"/>
  <c r="BY327" i="1"/>
  <c r="BY329" i="1"/>
  <c r="BY331" i="1"/>
  <c r="BY333" i="1"/>
  <c r="BY335" i="1"/>
  <c r="BY337" i="1"/>
  <c r="BY339" i="1"/>
  <c r="BY341" i="1"/>
  <c r="BY343" i="1"/>
  <c r="BY345" i="1"/>
  <c r="BY347" i="1"/>
  <c r="BY349" i="1"/>
  <c r="BY351" i="1"/>
  <c r="BY353" i="1"/>
  <c r="BY355" i="1"/>
  <c r="BY357" i="1"/>
  <c r="BY359" i="1"/>
  <c r="BY361" i="1"/>
  <c r="BY363" i="1"/>
  <c r="BY365" i="1"/>
  <c r="BY367" i="1"/>
  <c r="BY369" i="1"/>
  <c r="BY371" i="1"/>
  <c r="BY373" i="1"/>
  <c r="BY375" i="1"/>
  <c r="BY272" i="1"/>
  <c r="BY274" i="1"/>
  <c r="BY276" i="1"/>
  <c r="BY278" i="1"/>
  <c r="BY280" i="1"/>
  <c r="BY282" i="1"/>
  <c r="BY284" i="1"/>
  <c r="BY286" i="1"/>
  <c r="BY288" i="1"/>
  <c r="BY290" i="1"/>
  <c r="BY292" i="1"/>
  <c r="BY294" i="1"/>
  <c r="BY296" i="1"/>
  <c r="BY298" i="1"/>
  <c r="BY300" i="1"/>
  <c r="BY302" i="1"/>
  <c r="BY304" i="1"/>
  <c r="BY306" i="1"/>
  <c r="BY308" i="1"/>
  <c r="BY310" i="1"/>
  <c r="BY312" i="1"/>
  <c r="BY314" i="1"/>
  <c r="BY316" i="1"/>
  <c r="BY318" i="1"/>
  <c r="BY320" i="1"/>
  <c r="BY322" i="1"/>
  <c r="BY324" i="1"/>
  <c r="BY330" i="1"/>
  <c r="BY334" i="1"/>
  <c r="BY338" i="1"/>
  <c r="BY340" i="1"/>
  <c r="BY344" i="1"/>
  <c r="BY346" i="1"/>
  <c r="BY348" i="1"/>
  <c r="BY352" i="1"/>
  <c r="BY356" i="1"/>
  <c r="BY360" i="1"/>
  <c r="BY366" i="1"/>
  <c r="BY372" i="1"/>
  <c r="BY326" i="1"/>
  <c r="BY328" i="1"/>
  <c r="BY332" i="1"/>
  <c r="BY336" i="1"/>
  <c r="BY342" i="1"/>
  <c r="BY350" i="1"/>
  <c r="BY354" i="1"/>
  <c r="BY358" i="1"/>
  <c r="BY362" i="1"/>
  <c r="BY364" i="1"/>
  <c r="BY368" i="1"/>
  <c r="BY370" i="1"/>
  <c r="BY374" i="1"/>
  <c r="BY15" i="1"/>
  <c r="DY17" i="1"/>
  <c r="DW18" i="1"/>
  <c r="DW16" i="1"/>
  <c r="DY18" i="1"/>
  <c r="DX16" i="1"/>
  <c r="DY16" i="1"/>
  <c r="DW17" i="1"/>
  <c r="DX17" i="1"/>
  <c r="EJ10" i="1"/>
  <c r="EI10" i="1"/>
  <c r="ED12" i="1"/>
  <c r="C52" i="1"/>
  <c r="C160" i="1" s="1"/>
  <c r="C171" i="1" s="1"/>
  <c r="E159" i="1"/>
  <c r="B53" i="1"/>
  <c r="B161" i="1" s="1"/>
  <c r="B172" i="1" s="1"/>
  <c r="D160" i="1"/>
  <c r="D171" i="1" s="1"/>
  <c r="B55" i="1"/>
  <c r="B163" i="1" s="1"/>
  <c r="B174" i="1" s="1"/>
  <c r="D162" i="1"/>
  <c r="D173" i="1" s="1"/>
  <c r="B52" i="1"/>
  <c r="B160" i="1" s="1"/>
  <c r="B171" i="1" s="1"/>
  <c r="D159" i="1"/>
  <c r="D170" i="1" s="1"/>
  <c r="C51" i="1"/>
  <c r="C159" i="1" s="1"/>
  <c r="C170" i="1" s="1"/>
  <c r="E158" i="1"/>
  <c r="C50" i="1"/>
  <c r="C158" i="1" s="1"/>
  <c r="C169" i="1" s="1"/>
  <c r="E157" i="1"/>
  <c r="C54" i="1"/>
  <c r="C162" i="1" s="1"/>
  <c r="C173" i="1" s="1"/>
  <c r="E161" i="1"/>
  <c r="C56" i="1"/>
  <c r="C164" i="1" s="1"/>
  <c r="C175" i="1" s="1"/>
  <c r="E163" i="1"/>
  <c r="C55" i="1"/>
  <c r="C163" i="1" s="1"/>
  <c r="C174" i="1" s="1"/>
  <c r="E162" i="1"/>
  <c r="B51" i="1"/>
  <c r="B159" i="1" s="1"/>
  <c r="B170" i="1" s="1"/>
  <c r="D158" i="1"/>
  <c r="D169" i="1" s="1"/>
  <c r="B54" i="1"/>
  <c r="B162" i="1" s="1"/>
  <c r="B173" i="1" s="1"/>
  <c r="D161" i="1"/>
  <c r="D172" i="1" s="1"/>
  <c r="H65" i="1"/>
  <c r="Q65" i="1" s="1"/>
  <c r="D45" i="1"/>
  <c r="E56" i="1" s="1"/>
  <c r="E164" i="1" s="1"/>
  <c r="C44" i="1"/>
  <c r="D55" i="1" s="1"/>
  <c r="I62" i="1"/>
  <c r="R62" i="1" s="1"/>
  <c r="D37" i="1"/>
  <c r="C49" i="1" s="1"/>
  <c r="C157" i="1" s="1"/>
  <c r="C38" i="1"/>
  <c r="D49" i="1" s="1"/>
  <c r="I68" i="1"/>
  <c r="I70" i="1"/>
  <c r="H71" i="1"/>
  <c r="Q71" i="1" s="1"/>
  <c r="H64" i="1"/>
  <c r="Q64" i="1" s="1"/>
  <c r="I67" i="1"/>
  <c r="H63" i="1"/>
  <c r="Q63" i="1" s="1"/>
  <c r="D41" i="1"/>
  <c r="E52" i="1" s="1"/>
  <c r="H67" i="1"/>
  <c r="Q67" i="1" s="1"/>
  <c r="R70" i="1" l="1"/>
  <c r="R68" i="1"/>
  <c r="R67" i="1"/>
  <c r="CA376" i="1"/>
  <c r="CB376" i="1" s="1"/>
  <c r="CC376" i="1" s="1"/>
  <c r="CA370" i="1"/>
  <c r="CB370" i="1" s="1"/>
  <c r="CC370" i="1" s="1"/>
  <c r="CA276" i="1"/>
  <c r="CB276" i="1" s="1"/>
  <c r="CC276" i="1" s="1"/>
  <c r="CA317" i="1"/>
  <c r="CB317" i="1" s="1"/>
  <c r="CC317" i="1" s="1"/>
  <c r="CA237" i="1"/>
  <c r="CB237" i="1" s="1"/>
  <c r="CC237" i="1" s="1"/>
  <c r="CA301" i="1"/>
  <c r="CB301" i="1" s="1"/>
  <c r="CC301" i="1" s="1"/>
  <c r="CA205" i="1"/>
  <c r="CB205" i="1" s="1"/>
  <c r="CC205" i="1" s="1"/>
  <c r="CA352" i="1"/>
  <c r="CB352" i="1" s="1"/>
  <c r="CC352" i="1" s="1"/>
  <c r="CA349" i="1"/>
  <c r="CB349" i="1" s="1"/>
  <c r="CC349" i="1" s="1"/>
  <c r="CA269" i="1"/>
  <c r="CB269" i="1" s="1"/>
  <c r="CC269" i="1" s="1"/>
  <c r="CA173" i="1"/>
  <c r="CB173" i="1" s="1"/>
  <c r="CC173" i="1" s="1"/>
  <c r="CA308" i="1"/>
  <c r="CB308" i="1" s="1"/>
  <c r="CC308" i="1" s="1"/>
  <c r="CA253" i="1"/>
  <c r="CB253" i="1" s="1"/>
  <c r="CC253" i="1" s="1"/>
  <c r="CA336" i="1"/>
  <c r="CB336" i="1" s="1"/>
  <c r="CC336" i="1" s="1"/>
  <c r="CA292" i="1"/>
  <c r="CB292" i="1" s="1"/>
  <c r="CC292" i="1" s="1"/>
  <c r="CA333" i="1"/>
  <c r="CB333" i="1" s="1"/>
  <c r="CC333" i="1" s="1"/>
  <c r="CA221" i="1"/>
  <c r="CB221" i="1" s="1"/>
  <c r="CC221" i="1" s="1"/>
  <c r="CA324" i="1"/>
  <c r="CB324" i="1" s="1"/>
  <c r="CC324" i="1" s="1"/>
  <c r="CA365" i="1"/>
  <c r="CB365" i="1" s="1"/>
  <c r="CC365" i="1" s="1"/>
  <c r="CA285" i="1"/>
  <c r="CB285" i="1" s="1"/>
  <c r="CC285" i="1" s="1"/>
  <c r="CA189" i="1"/>
  <c r="CB189" i="1" s="1"/>
  <c r="CC189" i="1" s="1"/>
  <c r="CA157" i="1"/>
  <c r="CB157" i="1" s="1"/>
  <c r="CC157" i="1" s="1"/>
  <c r="CA256" i="1"/>
  <c r="CB256" i="1" s="1"/>
  <c r="CC256" i="1" s="1"/>
  <c r="CA224" i="1"/>
  <c r="CB224" i="1" s="1"/>
  <c r="CC224" i="1" s="1"/>
  <c r="CA125" i="1"/>
  <c r="CB125" i="1" s="1"/>
  <c r="CC125" i="1" s="1"/>
  <c r="CA208" i="1"/>
  <c r="CB208" i="1" s="1"/>
  <c r="CC208" i="1" s="1"/>
  <c r="CA109" i="1"/>
  <c r="CB109" i="1" s="1"/>
  <c r="CC109" i="1" s="1"/>
  <c r="CA192" i="1"/>
  <c r="CB192" i="1" s="1"/>
  <c r="CC192" i="1" s="1"/>
  <c r="CA141" i="1"/>
  <c r="CB141" i="1" s="1"/>
  <c r="CC141" i="1" s="1"/>
  <c r="CA240" i="1"/>
  <c r="CB240" i="1" s="1"/>
  <c r="CC240" i="1" s="1"/>
  <c r="CA176" i="1"/>
  <c r="CB176" i="1" s="1"/>
  <c r="CC176" i="1" s="1"/>
  <c r="CA160" i="1"/>
  <c r="CB160" i="1" s="1"/>
  <c r="CC160" i="1" s="1"/>
  <c r="CA144" i="1"/>
  <c r="CB144" i="1" s="1"/>
  <c r="CC144" i="1" s="1"/>
  <c r="CA76" i="1"/>
  <c r="CB76" i="1" s="1"/>
  <c r="CC76" i="1" s="1"/>
  <c r="CA112" i="1"/>
  <c r="CB112" i="1" s="1"/>
  <c r="CC112" i="1" s="1"/>
  <c r="CA92" i="1"/>
  <c r="CB92" i="1" s="1"/>
  <c r="CC92" i="1" s="1"/>
  <c r="CA47" i="1"/>
  <c r="CB47" i="1" s="1"/>
  <c r="CC47" i="1" s="1"/>
  <c r="CA31" i="1"/>
  <c r="CB31" i="1" s="1"/>
  <c r="CC31" i="1" s="1"/>
  <c r="CA128" i="1"/>
  <c r="CB128" i="1" s="1"/>
  <c r="CC128" i="1" s="1"/>
  <c r="CA79" i="1"/>
  <c r="CB79" i="1" s="1"/>
  <c r="CC79" i="1" s="1"/>
  <c r="CA107" i="1"/>
  <c r="CB107" i="1" s="1"/>
  <c r="CC107" i="1" s="1"/>
  <c r="CA95" i="1"/>
  <c r="CB95" i="1" s="1"/>
  <c r="CC95" i="1" s="1"/>
  <c r="CA63" i="1"/>
  <c r="CB63" i="1" s="1"/>
  <c r="CC63" i="1" s="1"/>
  <c r="CA328" i="1"/>
  <c r="CB328" i="1" s="1"/>
  <c r="CC328" i="1" s="1"/>
  <c r="CA320" i="1"/>
  <c r="CB320" i="1" s="1"/>
  <c r="CC320" i="1" s="1"/>
  <c r="CA288" i="1"/>
  <c r="CB288" i="1" s="1"/>
  <c r="CC288" i="1" s="1"/>
  <c r="CA361" i="1"/>
  <c r="CB361" i="1" s="1"/>
  <c r="CC361" i="1" s="1"/>
  <c r="CA345" i="1"/>
  <c r="CB345" i="1" s="1"/>
  <c r="CC345" i="1" s="1"/>
  <c r="CA313" i="1"/>
  <c r="CB313" i="1" s="1"/>
  <c r="CC313" i="1" s="1"/>
  <c r="CA297" i="1"/>
  <c r="CB297" i="1" s="1"/>
  <c r="CC297" i="1" s="1"/>
  <c r="CA281" i="1"/>
  <c r="CB281" i="1" s="1"/>
  <c r="CC281" i="1" s="1"/>
  <c r="CA265" i="1"/>
  <c r="CB265" i="1" s="1"/>
  <c r="CC265" i="1" s="1"/>
  <c r="CA249" i="1"/>
  <c r="CB249" i="1" s="1"/>
  <c r="CC249" i="1" s="1"/>
  <c r="CA233" i="1"/>
  <c r="CB233" i="1" s="1"/>
  <c r="CC233" i="1" s="1"/>
  <c r="CA217" i="1"/>
  <c r="CB217" i="1" s="1"/>
  <c r="CC217" i="1" s="1"/>
  <c r="CA201" i="1"/>
  <c r="CB201" i="1" s="1"/>
  <c r="CC201" i="1" s="1"/>
  <c r="CA185" i="1"/>
  <c r="CB185" i="1" s="1"/>
  <c r="CC185" i="1" s="1"/>
  <c r="CA169" i="1"/>
  <c r="CB169" i="1" s="1"/>
  <c r="CC169" i="1" s="1"/>
  <c r="CA153" i="1"/>
  <c r="CB153" i="1" s="1"/>
  <c r="CC153" i="1" s="1"/>
  <c r="CA137" i="1"/>
  <c r="CB137" i="1" s="1"/>
  <c r="CC137" i="1" s="1"/>
  <c r="CA121" i="1"/>
  <c r="CB121" i="1" s="1"/>
  <c r="CC121" i="1" s="1"/>
  <c r="CA268" i="1"/>
  <c r="CB268" i="1" s="1"/>
  <c r="CC268" i="1" s="1"/>
  <c r="CA252" i="1"/>
  <c r="CB252" i="1" s="1"/>
  <c r="CC252" i="1" s="1"/>
  <c r="CA236" i="1"/>
  <c r="CB236" i="1" s="1"/>
  <c r="CC236" i="1" s="1"/>
  <c r="CA364" i="1"/>
  <c r="CB364" i="1" s="1"/>
  <c r="CC364" i="1" s="1"/>
  <c r="CA346" i="1"/>
  <c r="CB346" i="1" s="1"/>
  <c r="CC346" i="1" s="1"/>
  <c r="CA304" i="1"/>
  <c r="CB304" i="1" s="1"/>
  <c r="CC304" i="1" s="1"/>
  <c r="CA272" i="1"/>
  <c r="CB272" i="1" s="1"/>
  <c r="CC272" i="1" s="1"/>
  <c r="CA329" i="1"/>
  <c r="CB329" i="1" s="1"/>
  <c r="CC329" i="1" s="1"/>
  <c r="CA316" i="1"/>
  <c r="CB316" i="1" s="1"/>
  <c r="CC316" i="1" s="1"/>
  <c r="CA284" i="1"/>
  <c r="CB284" i="1" s="1"/>
  <c r="CC284" i="1" s="1"/>
  <c r="CA341" i="1"/>
  <c r="CB341" i="1" s="1"/>
  <c r="CC341" i="1" s="1"/>
  <c r="CA325" i="1"/>
  <c r="CB325" i="1" s="1"/>
  <c r="CC325" i="1" s="1"/>
  <c r="CA309" i="1"/>
  <c r="CB309" i="1" s="1"/>
  <c r="CC309" i="1" s="1"/>
  <c r="CA261" i="1"/>
  <c r="CB261" i="1" s="1"/>
  <c r="CC261" i="1" s="1"/>
  <c r="CA245" i="1"/>
  <c r="CB245" i="1" s="1"/>
  <c r="CC245" i="1" s="1"/>
  <c r="CA229" i="1"/>
  <c r="CB229" i="1" s="1"/>
  <c r="CC229" i="1" s="1"/>
  <c r="CA213" i="1"/>
  <c r="CB213" i="1" s="1"/>
  <c r="CC213" i="1" s="1"/>
  <c r="CA197" i="1"/>
  <c r="CB197" i="1" s="1"/>
  <c r="CC197" i="1" s="1"/>
  <c r="CA181" i="1"/>
  <c r="CB181" i="1" s="1"/>
  <c r="CC181" i="1" s="1"/>
  <c r="CA165" i="1"/>
  <c r="CB165" i="1" s="1"/>
  <c r="CC165" i="1" s="1"/>
  <c r="CA149" i="1"/>
  <c r="CB149" i="1" s="1"/>
  <c r="CC149" i="1" s="1"/>
  <c r="CA133" i="1"/>
  <c r="CB133" i="1" s="1"/>
  <c r="CC133" i="1" s="1"/>
  <c r="CA117" i="1"/>
  <c r="CB117" i="1" s="1"/>
  <c r="CC117" i="1" s="1"/>
  <c r="CA264" i="1"/>
  <c r="CB264" i="1" s="1"/>
  <c r="CC264" i="1" s="1"/>
  <c r="CA248" i="1"/>
  <c r="CB248" i="1" s="1"/>
  <c r="CC248" i="1" s="1"/>
  <c r="CA232" i="1"/>
  <c r="CB232" i="1" s="1"/>
  <c r="CC232" i="1" s="1"/>
  <c r="CA216" i="1"/>
  <c r="CB216" i="1" s="1"/>
  <c r="CC216" i="1" s="1"/>
  <c r="CA200" i="1"/>
  <c r="CB200" i="1" s="1"/>
  <c r="CC200" i="1" s="1"/>
  <c r="CA184" i="1"/>
  <c r="CB184" i="1" s="1"/>
  <c r="CC184" i="1" s="1"/>
  <c r="CA168" i="1"/>
  <c r="CB168" i="1" s="1"/>
  <c r="CC168" i="1" s="1"/>
  <c r="CA358" i="1"/>
  <c r="CB358" i="1" s="1"/>
  <c r="CC358" i="1" s="1"/>
  <c r="CA340" i="1"/>
  <c r="CB340" i="1" s="1"/>
  <c r="CC340" i="1" s="1"/>
  <c r="CA373" i="1"/>
  <c r="CB373" i="1" s="1"/>
  <c r="CC373" i="1" s="1"/>
  <c r="CA293" i="1"/>
  <c r="CB293" i="1" s="1"/>
  <c r="CC293" i="1" s="1"/>
  <c r="CA372" i="1"/>
  <c r="CB372" i="1" s="1"/>
  <c r="CC372" i="1" s="1"/>
  <c r="CA300" i="1"/>
  <c r="CB300" i="1" s="1"/>
  <c r="CC300" i="1" s="1"/>
  <c r="CA357" i="1"/>
  <c r="CB357" i="1" s="1"/>
  <c r="CC357" i="1" s="1"/>
  <c r="CA277" i="1"/>
  <c r="CB277" i="1" s="1"/>
  <c r="CC277" i="1" s="1"/>
  <c r="CA15" i="1"/>
  <c r="CB15" i="1" s="1"/>
  <c r="CC15" i="1" s="1"/>
  <c r="CA350" i="1"/>
  <c r="CB350" i="1" s="1"/>
  <c r="CC350" i="1" s="1"/>
  <c r="CA360" i="1"/>
  <c r="CB360" i="1" s="1"/>
  <c r="CC360" i="1" s="1"/>
  <c r="CA334" i="1"/>
  <c r="CB334" i="1" s="1"/>
  <c r="CC334" i="1" s="1"/>
  <c r="CA312" i="1"/>
  <c r="CB312" i="1" s="1"/>
  <c r="CC312" i="1" s="1"/>
  <c r="CA296" i="1"/>
  <c r="CB296" i="1" s="1"/>
  <c r="CC296" i="1" s="1"/>
  <c r="CA280" i="1"/>
  <c r="CB280" i="1" s="1"/>
  <c r="CC280" i="1" s="1"/>
  <c r="CA369" i="1"/>
  <c r="CB369" i="1" s="1"/>
  <c r="CC369" i="1" s="1"/>
  <c r="CA353" i="1"/>
  <c r="CB353" i="1" s="1"/>
  <c r="CC353" i="1" s="1"/>
  <c r="CA337" i="1"/>
  <c r="CB337" i="1" s="1"/>
  <c r="CC337" i="1" s="1"/>
  <c r="CA321" i="1"/>
  <c r="CB321" i="1" s="1"/>
  <c r="CC321" i="1" s="1"/>
  <c r="CA305" i="1"/>
  <c r="CB305" i="1" s="1"/>
  <c r="CC305" i="1" s="1"/>
  <c r="CA289" i="1"/>
  <c r="CB289" i="1" s="1"/>
  <c r="CC289" i="1" s="1"/>
  <c r="CA273" i="1"/>
  <c r="CB273" i="1" s="1"/>
  <c r="CC273" i="1" s="1"/>
  <c r="CA257" i="1"/>
  <c r="CB257" i="1" s="1"/>
  <c r="CC257" i="1" s="1"/>
  <c r="CA241" i="1"/>
  <c r="CB241" i="1" s="1"/>
  <c r="CC241" i="1" s="1"/>
  <c r="CA225" i="1"/>
  <c r="CB225" i="1" s="1"/>
  <c r="CC225" i="1" s="1"/>
  <c r="CA209" i="1"/>
  <c r="CB209" i="1" s="1"/>
  <c r="CC209" i="1" s="1"/>
  <c r="CA193" i="1"/>
  <c r="CB193" i="1" s="1"/>
  <c r="CC193" i="1" s="1"/>
  <c r="CA177" i="1"/>
  <c r="CB177" i="1" s="1"/>
  <c r="CC177" i="1" s="1"/>
  <c r="CA161" i="1"/>
  <c r="CB161" i="1" s="1"/>
  <c r="CC161" i="1" s="1"/>
  <c r="CA145" i="1"/>
  <c r="CB145" i="1" s="1"/>
  <c r="CC145" i="1" s="1"/>
  <c r="CA129" i="1"/>
  <c r="CB129" i="1" s="1"/>
  <c r="CC129" i="1" s="1"/>
  <c r="CA113" i="1"/>
  <c r="CB113" i="1" s="1"/>
  <c r="CC113" i="1" s="1"/>
  <c r="CA220" i="1"/>
  <c r="CB220" i="1" s="1"/>
  <c r="CC220" i="1" s="1"/>
  <c r="CA204" i="1"/>
  <c r="CB204" i="1" s="1"/>
  <c r="CC204" i="1" s="1"/>
  <c r="CA188" i="1"/>
  <c r="CB188" i="1" s="1"/>
  <c r="CC188" i="1" s="1"/>
  <c r="CA260" i="1"/>
  <c r="CB260" i="1" s="1"/>
  <c r="CC260" i="1" s="1"/>
  <c r="CA152" i="1"/>
  <c r="CB152" i="1" s="1"/>
  <c r="CC152" i="1" s="1"/>
  <c r="CA172" i="1"/>
  <c r="CB172" i="1" s="1"/>
  <c r="CC172" i="1" s="1"/>
  <c r="CA156" i="1"/>
  <c r="CB156" i="1" s="1"/>
  <c r="CC156" i="1" s="1"/>
  <c r="CA140" i="1"/>
  <c r="CB140" i="1" s="1"/>
  <c r="CC140" i="1" s="1"/>
  <c r="CA124" i="1"/>
  <c r="CB124" i="1" s="1"/>
  <c r="CC124" i="1" s="1"/>
  <c r="CA108" i="1"/>
  <c r="CB108" i="1" s="1"/>
  <c r="CC108" i="1" s="1"/>
  <c r="CA91" i="1"/>
  <c r="CB91" i="1" s="1"/>
  <c r="CC91" i="1" s="1"/>
  <c r="CA136" i="1"/>
  <c r="CB136" i="1" s="1"/>
  <c r="CC136" i="1" s="1"/>
  <c r="CA120" i="1"/>
  <c r="CB120" i="1" s="1"/>
  <c r="CC120" i="1" s="1"/>
  <c r="CA104" i="1"/>
  <c r="CB104" i="1" s="1"/>
  <c r="CC104" i="1" s="1"/>
  <c r="CA87" i="1"/>
  <c r="CB87" i="1" s="1"/>
  <c r="CC87" i="1" s="1"/>
  <c r="CA244" i="1"/>
  <c r="CB244" i="1" s="1"/>
  <c r="CC244" i="1" s="1"/>
  <c r="CA228" i="1"/>
  <c r="CB228" i="1" s="1"/>
  <c r="CC228" i="1" s="1"/>
  <c r="CA71" i="1"/>
  <c r="CB71" i="1" s="1"/>
  <c r="CC71" i="1" s="1"/>
  <c r="CA55" i="1"/>
  <c r="CB55" i="1" s="1"/>
  <c r="CC55" i="1" s="1"/>
  <c r="CA39" i="1"/>
  <c r="CB39" i="1" s="1"/>
  <c r="CC39" i="1" s="1"/>
  <c r="CA23" i="1"/>
  <c r="CB23" i="1" s="1"/>
  <c r="CC23" i="1" s="1"/>
  <c r="CA100" i="1"/>
  <c r="CB100" i="1" s="1"/>
  <c r="CC100" i="1" s="1"/>
  <c r="CA212" i="1"/>
  <c r="CB212" i="1" s="1"/>
  <c r="CC212" i="1" s="1"/>
  <c r="CA196" i="1"/>
  <c r="CB196" i="1" s="1"/>
  <c r="CC196" i="1" s="1"/>
  <c r="CA180" i="1"/>
  <c r="CB180" i="1" s="1"/>
  <c r="CC180" i="1" s="1"/>
  <c r="CA75" i="1"/>
  <c r="CB75" i="1" s="1"/>
  <c r="CC75" i="1" s="1"/>
  <c r="CA59" i="1"/>
  <c r="CB59" i="1" s="1"/>
  <c r="CC59" i="1" s="1"/>
  <c r="CA43" i="1"/>
  <c r="CB43" i="1" s="1"/>
  <c r="CC43" i="1" s="1"/>
  <c r="CA27" i="1"/>
  <c r="CB27" i="1" s="1"/>
  <c r="CC27" i="1" s="1"/>
  <c r="CA103" i="1"/>
  <c r="CB103" i="1" s="1"/>
  <c r="CC103" i="1" s="1"/>
  <c r="CA88" i="1"/>
  <c r="CB88" i="1" s="1"/>
  <c r="CC88" i="1" s="1"/>
  <c r="CA72" i="1"/>
  <c r="CB72" i="1" s="1"/>
  <c r="CC72" i="1" s="1"/>
  <c r="CA84" i="1"/>
  <c r="CB84" i="1" s="1"/>
  <c r="CC84" i="1" s="1"/>
  <c r="CA68" i="1"/>
  <c r="CB68" i="1" s="1"/>
  <c r="CC68" i="1" s="1"/>
  <c r="CA164" i="1"/>
  <c r="CB164" i="1" s="1"/>
  <c r="CC164" i="1" s="1"/>
  <c r="CA148" i="1"/>
  <c r="CB148" i="1" s="1"/>
  <c r="CC148" i="1" s="1"/>
  <c r="CA132" i="1"/>
  <c r="CB132" i="1" s="1"/>
  <c r="CC132" i="1" s="1"/>
  <c r="CA116" i="1"/>
  <c r="CB116" i="1" s="1"/>
  <c r="CC116" i="1" s="1"/>
  <c r="CA99" i="1"/>
  <c r="CB99" i="1" s="1"/>
  <c r="CC99" i="1" s="1"/>
  <c r="CA83" i="1"/>
  <c r="CB83" i="1" s="1"/>
  <c r="CC83" i="1" s="1"/>
  <c r="CA67" i="1"/>
  <c r="CB67" i="1" s="1"/>
  <c r="CC67" i="1" s="1"/>
  <c r="CA51" i="1"/>
  <c r="CB51" i="1" s="1"/>
  <c r="CC51" i="1" s="1"/>
  <c r="CA35" i="1"/>
  <c r="CB35" i="1" s="1"/>
  <c r="CC35" i="1" s="1"/>
  <c r="CA19" i="1"/>
  <c r="CB19" i="1" s="1"/>
  <c r="CC19" i="1" s="1"/>
  <c r="CA96" i="1"/>
  <c r="CB96" i="1" s="1"/>
  <c r="CC96" i="1" s="1"/>
  <c r="CA80" i="1"/>
  <c r="CB80" i="1" s="1"/>
  <c r="CC80" i="1" s="1"/>
  <c r="CA64" i="1"/>
  <c r="CB64" i="1" s="1"/>
  <c r="CC64" i="1" s="1"/>
  <c r="CA60" i="1"/>
  <c r="CB60" i="1" s="1"/>
  <c r="CC60" i="1" s="1"/>
  <c r="CA56" i="1"/>
  <c r="CB56" i="1" s="1"/>
  <c r="CC56" i="1" s="1"/>
  <c r="CA52" i="1"/>
  <c r="CB52" i="1" s="1"/>
  <c r="CC52" i="1" s="1"/>
  <c r="CA48" i="1"/>
  <c r="CB48" i="1" s="1"/>
  <c r="CC48" i="1" s="1"/>
  <c r="CA44" i="1"/>
  <c r="CB44" i="1" s="1"/>
  <c r="CC44" i="1" s="1"/>
  <c r="CA40" i="1"/>
  <c r="CB40" i="1" s="1"/>
  <c r="CC40" i="1" s="1"/>
  <c r="CA36" i="1"/>
  <c r="CB36" i="1" s="1"/>
  <c r="CC36" i="1" s="1"/>
  <c r="CA32" i="1"/>
  <c r="CB32" i="1" s="1"/>
  <c r="CC32" i="1" s="1"/>
  <c r="CA28" i="1"/>
  <c r="CB28" i="1" s="1"/>
  <c r="CC28" i="1" s="1"/>
  <c r="CA24" i="1"/>
  <c r="CB24" i="1" s="1"/>
  <c r="CC24" i="1" s="1"/>
  <c r="CA20" i="1"/>
  <c r="CB20" i="1" s="1"/>
  <c r="CC20" i="1" s="1"/>
  <c r="CA16" i="1"/>
  <c r="CB16" i="1" s="1"/>
  <c r="CC16" i="1" s="1"/>
  <c r="CA374" i="1"/>
  <c r="CB374" i="1" s="1"/>
  <c r="CC374" i="1" s="1"/>
  <c r="CA368" i="1"/>
  <c r="CB368" i="1" s="1"/>
  <c r="CC368" i="1" s="1"/>
  <c r="CA362" i="1"/>
  <c r="CB362" i="1" s="1"/>
  <c r="CC362" i="1" s="1"/>
  <c r="CA354" i="1"/>
  <c r="CB354" i="1" s="1"/>
  <c r="CC354" i="1" s="1"/>
  <c r="CA342" i="1"/>
  <c r="CB342" i="1" s="1"/>
  <c r="CC342" i="1" s="1"/>
  <c r="CA332" i="1"/>
  <c r="CB332" i="1" s="1"/>
  <c r="CC332" i="1" s="1"/>
  <c r="CA326" i="1"/>
  <c r="CB326" i="1" s="1"/>
  <c r="CC326" i="1" s="1"/>
  <c r="CA366" i="1"/>
  <c r="CB366" i="1" s="1"/>
  <c r="CC366" i="1" s="1"/>
  <c r="CA356" i="1"/>
  <c r="CB356" i="1" s="1"/>
  <c r="CC356" i="1" s="1"/>
  <c r="CA348" i="1"/>
  <c r="CB348" i="1" s="1"/>
  <c r="CC348" i="1" s="1"/>
  <c r="CA344" i="1"/>
  <c r="CB344" i="1" s="1"/>
  <c r="CC344" i="1" s="1"/>
  <c r="CA338" i="1"/>
  <c r="CB338" i="1" s="1"/>
  <c r="CC338" i="1" s="1"/>
  <c r="CA330" i="1"/>
  <c r="CB330" i="1" s="1"/>
  <c r="CC330" i="1" s="1"/>
  <c r="CA322" i="1"/>
  <c r="CB322" i="1" s="1"/>
  <c r="CC322" i="1" s="1"/>
  <c r="CA318" i="1"/>
  <c r="CB318" i="1" s="1"/>
  <c r="CC318" i="1" s="1"/>
  <c r="CA314" i="1"/>
  <c r="CB314" i="1" s="1"/>
  <c r="CC314" i="1" s="1"/>
  <c r="CA310" i="1"/>
  <c r="CB310" i="1" s="1"/>
  <c r="CC310" i="1" s="1"/>
  <c r="CA306" i="1"/>
  <c r="CB306" i="1" s="1"/>
  <c r="CC306" i="1" s="1"/>
  <c r="CA302" i="1"/>
  <c r="CB302" i="1" s="1"/>
  <c r="CC302" i="1" s="1"/>
  <c r="CA298" i="1"/>
  <c r="CB298" i="1" s="1"/>
  <c r="CC298" i="1" s="1"/>
  <c r="CA294" i="1"/>
  <c r="CB294" i="1" s="1"/>
  <c r="CC294" i="1" s="1"/>
  <c r="CA290" i="1"/>
  <c r="CB290" i="1" s="1"/>
  <c r="CC290" i="1" s="1"/>
  <c r="CA286" i="1"/>
  <c r="CB286" i="1" s="1"/>
  <c r="CC286" i="1" s="1"/>
  <c r="CA282" i="1"/>
  <c r="CB282" i="1" s="1"/>
  <c r="CC282" i="1" s="1"/>
  <c r="CA278" i="1"/>
  <c r="CB278" i="1" s="1"/>
  <c r="CC278" i="1" s="1"/>
  <c r="CA274" i="1"/>
  <c r="CB274" i="1" s="1"/>
  <c r="CC274" i="1" s="1"/>
  <c r="CA375" i="1"/>
  <c r="CB375" i="1" s="1"/>
  <c r="CC375" i="1" s="1"/>
  <c r="CA371" i="1"/>
  <c r="CB371" i="1" s="1"/>
  <c r="CC371" i="1" s="1"/>
  <c r="CA367" i="1"/>
  <c r="CB367" i="1" s="1"/>
  <c r="CC367" i="1" s="1"/>
  <c r="CA363" i="1"/>
  <c r="CB363" i="1" s="1"/>
  <c r="CC363" i="1" s="1"/>
  <c r="CA359" i="1"/>
  <c r="CB359" i="1" s="1"/>
  <c r="CC359" i="1" s="1"/>
  <c r="CA355" i="1"/>
  <c r="CB355" i="1" s="1"/>
  <c r="CC355" i="1" s="1"/>
  <c r="CA351" i="1"/>
  <c r="CB351" i="1" s="1"/>
  <c r="CC351" i="1" s="1"/>
  <c r="CA347" i="1"/>
  <c r="CB347" i="1" s="1"/>
  <c r="CC347" i="1" s="1"/>
  <c r="CA343" i="1"/>
  <c r="CB343" i="1" s="1"/>
  <c r="CC343" i="1" s="1"/>
  <c r="CA339" i="1"/>
  <c r="CB339" i="1" s="1"/>
  <c r="CC339" i="1" s="1"/>
  <c r="CA335" i="1"/>
  <c r="CB335" i="1" s="1"/>
  <c r="CC335" i="1" s="1"/>
  <c r="CA331" i="1"/>
  <c r="CB331" i="1" s="1"/>
  <c r="CC331" i="1" s="1"/>
  <c r="CA327" i="1"/>
  <c r="CB327" i="1" s="1"/>
  <c r="CC327" i="1" s="1"/>
  <c r="CA323" i="1"/>
  <c r="CB323" i="1" s="1"/>
  <c r="CC323" i="1" s="1"/>
  <c r="CA319" i="1"/>
  <c r="CB319" i="1" s="1"/>
  <c r="CC319" i="1" s="1"/>
  <c r="CA315" i="1"/>
  <c r="CB315" i="1" s="1"/>
  <c r="CC315" i="1" s="1"/>
  <c r="CA311" i="1"/>
  <c r="CB311" i="1" s="1"/>
  <c r="CC311" i="1" s="1"/>
  <c r="CA307" i="1"/>
  <c r="CB307" i="1" s="1"/>
  <c r="CC307" i="1" s="1"/>
  <c r="CA303" i="1"/>
  <c r="CB303" i="1" s="1"/>
  <c r="CC303" i="1" s="1"/>
  <c r="CA299" i="1"/>
  <c r="CB299" i="1" s="1"/>
  <c r="CC299" i="1" s="1"/>
  <c r="CA295" i="1"/>
  <c r="CB295" i="1" s="1"/>
  <c r="CC295" i="1" s="1"/>
  <c r="CA291" i="1"/>
  <c r="CB291" i="1" s="1"/>
  <c r="CC291" i="1" s="1"/>
  <c r="CA287" i="1"/>
  <c r="CB287" i="1" s="1"/>
  <c r="CC287" i="1" s="1"/>
  <c r="CA283" i="1"/>
  <c r="CB283" i="1" s="1"/>
  <c r="CC283" i="1" s="1"/>
  <c r="CA279" i="1"/>
  <c r="CB279" i="1" s="1"/>
  <c r="CC279" i="1" s="1"/>
  <c r="CA275" i="1"/>
  <c r="CB275" i="1" s="1"/>
  <c r="CC275" i="1" s="1"/>
  <c r="CA271" i="1"/>
  <c r="CB271" i="1" s="1"/>
  <c r="CC271" i="1" s="1"/>
  <c r="CA267" i="1"/>
  <c r="CB267" i="1" s="1"/>
  <c r="CC267" i="1" s="1"/>
  <c r="CA263" i="1"/>
  <c r="CB263" i="1" s="1"/>
  <c r="CC263" i="1" s="1"/>
  <c r="CA259" i="1"/>
  <c r="CB259" i="1" s="1"/>
  <c r="CC259" i="1" s="1"/>
  <c r="CA255" i="1"/>
  <c r="CB255" i="1" s="1"/>
  <c r="CC255" i="1" s="1"/>
  <c r="CA251" i="1"/>
  <c r="CB251" i="1" s="1"/>
  <c r="CC251" i="1" s="1"/>
  <c r="CA247" i="1"/>
  <c r="CB247" i="1" s="1"/>
  <c r="CC247" i="1" s="1"/>
  <c r="CA243" i="1"/>
  <c r="CB243" i="1" s="1"/>
  <c r="CC243" i="1" s="1"/>
  <c r="CA239" i="1"/>
  <c r="CB239" i="1" s="1"/>
  <c r="CC239" i="1" s="1"/>
  <c r="CA235" i="1"/>
  <c r="CB235" i="1" s="1"/>
  <c r="CC235" i="1" s="1"/>
  <c r="CA231" i="1"/>
  <c r="CB231" i="1" s="1"/>
  <c r="CC231" i="1" s="1"/>
  <c r="CA227" i="1"/>
  <c r="CB227" i="1" s="1"/>
  <c r="CC227" i="1" s="1"/>
  <c r="CA223" i="1"/>
  <c r="CB223" i="1" s="1"/>
  <c r="CC223" i="1" s="1"/>
  <c r="CA219" i="1"/>
  <c r="CB219" i="1" s="1"/>
  <c r="CC219" i="1" s="1"/>
  <c r="CA215" i="1"/>
  <c r="CB215" i="1" s="1"/>
  <c r="CC215" i="1" s="1"/>
  <c r="CA211" i="1"/>
  <c r="CB211" i="1" s="1"/>
  <c r="CC211" i="1" s="1"/>
  <c r="CA207" i="1"/>
  <c r="CB207" i="1" s="1"/>
  <c r="CC207" i="1" s="1"/>
  <c r="CA203" i="1"/>
  <c r="CB203" i="1" s="1"/>
  <c r="CC203" i="1" s="1"/>
  <c r="CA199" i="1"/>
  <c r="CB199" i="1" s="1"/>
  <c r="CC199" i="1" s="1"/>
  <c r="CA195" i="1"/>
  <c r="CB195" i="1" s="1"/>
  <c r="CC195" i="1" s="1"/>
  <c r="CA191" i="1"/>
  <c r="CB191" i="1" s="1"/>
  <c r="CC191" i="1" s="1"/>
  <c r="CA187" i="1"/>
  <c r="CB187" i="1" s="1"/>
  <c r="CC187" i="1" s="1"/>
  <c r="CA183" i="1"/>
  <c r="CB183" i="1" s="1"/>
  <c r="CC183" i="1" s="1"/>
  <c r="CA179" i="1"/>
  <c r="CB179" i="1" s="1"/>
  <c r="CC179" i="1" s="1"/>
  <c r="CA175" i="1"/>
  <c r="CB175" i="1" s="1"/>
  <c r="CC175" i="1" s="1"/>
  <c r="CA171" i="1"/>
  <c r="CB171" i="1" s="1"/>
  <c r="CC171" i="1" s="1"/>
  <c r="CA167" i="1"/>
  <c r="CB167" i="1" s="1"/>
  <c r="CC167" i="1" s="1"/>
  <c r="CA163" i="1"/>
  <c r="CB163" i="1" s="1"/>
  <c r="CC163" i="1" s="1"/>
  <c r="CA159" i="1"/>
  <c r="CB159" i="1" s="1"/>
  <c r="CC159" i="1" s="1"/>
  <c r="CA155" i="1"/>
  <c r="CB155" i="1" s="1"/>
  <c r="CC155" i="1" s="1"/>
  <c r="CA151" i="1"/>
  <c r="CB151" i="1" s="1"/>
  <c r="CC151" i="1" s="1"/>
  <c r="CA147" i="1"/>
  <c r="CB147" i="1" s="1"/>
  <c r="CC147" i="1" s="1"/>
  <c r="CA143" i="1"/>
  <c r="CB143" i="1" s="1"/>
  <c r="CC143" i="1" s="1"/>
  <c r="CA139" i="1"/>
  <c r="CB139" i="1" s="1"/>
  <c r="CC139" i="1" s="1"/>
  <c r="CA135" i="1"/>
  <c r="CB135" i="1" s="1"/>
  <c r="CC135" i="1" s="1"/>
  <c r="CA131" i="1"/>
  <c r="CB131" i="1" s="1"/>
  <c r="CC131" i="1" s="1"/>
  <c r="CA127" i="1"/>
  <c r="CB127" i="1" s="1"/>
  <c r="CC127" i="1" s="1"/>
  <c r="CA123" i="1"/>
  <c r="CB123" i="1" s="1"/>
  <c r="CC123" i="1" s="1"/>
  <c r="CA119" i="1"/>
  <c r="CB119" i="1" s="1"/>
  <c r="CC119" i="1" s="1"/>
  <c r="CA115" i="1"/>
  <c r="CB115" i="1" s="1"/>
  <c r="CC115" i="1" s="1"/>
  <c r="CA111" i="1"/>
  <c r="CB111" i="1" s="1"/>
  <c r="CC111" i="1" s="1"/>
  <c r="CA270" i="1"/>
  <c r="CB270" i="1" s="1"/>
  <c r="CC270" i="1" s="1"/>
  <c r="CA266" i="1"/>
  <c r="CB266" i="1" s="1"/>
  <c r="CC266" i="1" s="1"/>
  <c r="CA262" i="1"/>
  <c r="CB262" i="1" s="1"/>
  <c r="CC262" i="1" s="1"/>
  <c r="CA258" i="1"/>
  <c r="CB258" i="1" s="1"/>
  <c r="CC258" i="1" s="1"/>
  <c r="CA254" i="1"/>
  <c r="CB254" i="1" s="1"/>
  <c r="CC254" i="1" s="1"/>
  <c r="CA250" i="1"/>
  <c r="CB250" i="1" s="1"/>
  <c r="CC250" i="1" s="1"/>
  <c r="CA246" i="1"/>
  <c r="CB246" i="1" s="1"/>
  <c r="CC246" i="1" s="1"/>
  <c r="CA242" i="1"/>
  <c r="CB242" i="1" s="1"/>
  <c r="CC242" i="1" s="1"/>
  <c r="CA238" i="1"/>
  <c r="CB238" i="1" s="1"/>
  <c r="CC238" i="1" s="1"/>
  <c r="CA234" i="1"/>
  <c r="CB234" i="1" s="1"/>
  <c r="CC234" i="1" s="1"/>
  <c r="CA230" i="1"/>
  <c r="CB230" i="1" s="1"/>
  <c r="CC230" i="1" s="1"/>
  <c r="CA226" i="1"/>
  <c r="CB226" i="1" s="1"/>
  <c r="CC226" i="1" s="1"/>
  <c r="CA222" i="1"/>
  <c r="CB222" i="1" s="1"/>
  <c r="CC222" i="1" s="1"/>
  <c r="CA218" i="1"/>
  <c r="CB218" i="1" s="1"/>
  <c r="CC218" i="1" s="1"/>
  <c r="CA214" i="1"/>
  <c r="CB214" i="1" s="1"/>
  <c r="CC214" i="1" s="1"/>
  <c r="CA210" i="1"/>
  <c r="CB210" i="1" s="1"/>
  <c r="CC210" i="1" s="1"/>
  <c r="CA206" i="1"/>
  <c r="CB206" i="1" s="1"/>
  <c r="CC206" i="1" s="1"/>
  <c r="CA202" i="1"/>
  <c r="CB202" i="1" s="1"/>
  <c r="CC202" i="1" s="1"/>
  <c r="CA198" i="1"/>
  <c r="CB198" i="1" s="1"/>
  <c r="CC198" i="1" s="1"/>
  <c r="CA194" i="1"/>
  <c r="CB194" i="1" s="1"/>
  <c r="CC194" i="1" s="1"/>
  <c r="CA190" i="1"/>
  <c r="CB190" i="1" s="1"/>
  <c r="CC190" i="1" s="1"/>
  <c r="CA186" i="1"/>
  <c r="CB186" i="1" s="1"/>
  <c r="CC186" i="1" s="1"/>
  <c r="CA182" i="1"/>
  <c r="CB182" i="1" s="1"/>
  <c r="CC182" i="1" s="1"/>
  <c r="CA178" i="1"/>
  <c r="CB178" i="1" s="1"/>
  <c r="CC178" i="1" s="1"/>
  <c r="CA174" i="1"/>
  <c r="CB174" i="1" s="1"/>
  <c r="CC174" i="1" s="1"/>
  <c r="CA170" i="1"/>
  <c r="CB170" i="1" s="1"/>
  <c r="CC170" i="1" s="1"/>
  <c r="CA166" i="1"/>
  <c r="CB166" i="1" s="1"/>
  <c r="CC166" i="1" s="1"/>
  <c r="CA162" i="1"/>
  <c r="CB162" i="1" s="1"/>
  <c r="CC162" i="1" s="1"/>
  <c r="CA158" i="1"/>
  <c r="CB158" i="1" s="1"/>
  <c r="CC158" i="1" s="1"/>
  <c r="CA154" i="1"/>
  <c r="CB154" i="1" s="1"/>
  <c r="CC154" i="1" s="1"/>
  <c r="CA150" i="1"/>
  <c r="CB150" i="1" s="1"/>
  <c r="CC150" i="1" s="1"/>
  <c r="CA146" i="1"/>
  <c r="CB146" i="1" s="1"/>
  <c r="CC146" i="1" s="1"/>
  <c r="CA142" i="1"/>
  <c r="CB142" i="1" s="1"/>
  <c r="CC142" i="1" s="1"/>
  <c r="CA138" i="1"/>
  <c r="CB138" i="1" s="1"/>
  <c r="CC138" i="1" s="1"/>
  <c r="CA134" i="1"/>
  <c r="CB134" i="1" s="1"/>
  <c r="CC134" i="1" s="1"/>
  <c r="CA130" i="1"/>
  <c r="CB130" i="1" s="1"/>
  <c r="CC130" i="1" s="1"/>
  <c r="CA126" i="1"/>
  <c r="CB126" i="1" s="1"/>
  <c r="CC126" i="1" s="1"/>
  <c r="CA122" i="1"/>
  <c r="CB122" i="1" s="1"/>
  <c r="CC122" i="1" s="1"/>
  <c r="CA118" i="1"/>
  <c r="CB118" i="1" s="1"/>
  <c r="CC118" i="1" s="1"/>
  <c r="CA114" i="1"/>
  <c r="CB114" i="1" s="1"/>
  <c r="CC114" i="1" s="1"/>
  <c r="CA110" i="1"/>
  <c r="CB110" i="1" s="1"/>
  <c r="CC110" i="1" s="1"/>
  <c r="CA106" i="1"/>
  <c r="CB106" i="1" s="1"/>
  <c r="CC106" i="1" s="1"/>
  <c r="CA102" i="1"/>
  <c r="CB102" i="1" s="1"/>
  <c r="CC102" i="1" s="1"/>
  <c r="CA97" i="1"/>
  <c r="CB97" i="1" s="1"/>
  <c r="CC97" i="1" s="1"/>
  <c r="CA93" i="1"/>
  <c r="CB93" i="1" s="1"/>
  <c r="CC93" i="1" s="1"/>
  <c r="CA89" i="1"/>
  <c r="CB89" i="1" s="1"/>
  <c r="CC89" i="1" s="1"/>
  <c r="CA85" i="1"/>
  <c r="CB85" i="1" s="1"/>
  <c r="CC85" i="1" s="1"/>
  <c r="CA81" i="1"/>
  <c r="CB81" i="1" s="1"/>
  <c r="CC81" i="1" s="1"/>
  <c r="CA77" i="1"/>
  <c r="CB77" i="1" s="1"/>
  <c r="CC77" i="1" s="1"/>
  <c r="CA73" i="1"/>
  <c r="CB73" i="1" s="1"/>
  <c r="CC73" i="1" s="1"/>
  <c r="CA69" i="1"/>
  <c r="CB69" i="1" s="1"/>
  <c r="CC69" i="1" s="1"/>
  <c r="CA65" i="1"/>
  <c r="CB65" i="1" s="1"/>
  <c r="CC65" i="1" s="1"/>
  <c r="CA61" i="1"/>
  <c r="CB61" i="1" s="1"/>
  <c r="CC61" i="1" s="1"/>
  <c r="CA57" i="1"/>
  <c r="CB57" i="1" s="1"/>
  <c r="CC57" i="1" s="1"/>
  <c r="CA53" i="1"/>
  <c r="CB53" i="1" s="1"/>
  <c r="CC53" i="1" s="1"/>
  <c r="CA49" i="1"/>
  <c r="CB49" i="1" s="1"/>
  <c r="CC49" i="1" s="1"/>
  <c r="CA45" i="1"/>
  <c r="CB45" i="1" s="1"/>
  <c r="CC45" i="1" s="1"/>
  <c r="CA41" i="1"/>
  <c r="CB41" i="1" s="1"/>
  <c r="CC41" i="1" s="1"/>
  <c r="CA37" i="1"/>
  <c r="CB37" i="1" s="1"/>
  <c r="CC37" i="1" s="1"/>
  <c r="CA33" i="1"/>
  <c r="CB33" i="1" s="1"/>
  <c r="CC33" i="1" s="1"/>
  <c r="CA29" i="1"/>
  <c r="CB29" i="1" s="1"/>
  <c r="CC29" i="1" s="1"/>
  <c r="CA25" i="1"/>
  <c r="CB25" i="1" s="1"/>
  <c r="CC25" i="1" s="1"/>
  <c r="CA21" i="1"/>
  <c r="CB21" i="1" s="1"/>
  <c r="CC21" i="1" s="1"/>
  <c r="CA17" i="1"/>
  <c r="CB17" i="1" s="1"/>
  <c r="CC17" i="1" s="1"/>
  <c r="CA105" i="1"/>
  <c r="CB105" i="1" s="1"/>
  <c r="CC105" i="1" s="1"/>
  <c r="CA101" i="1"/>
  <c r="CB101" i="1" s="1"/>
  <c r="CC101" i="1" s="1"/>
  <c r="CA98" i="1"/>
  <c r="CB98" i="1" s="1"/>
  <c r="CC98" i="1" s="1"/>
  <c r="CA94" i="1"/>
  <c r="CB94" i="1" s="1"/>
  <c r="CC94" i="1" s="1"/>
  <c r="CA90" i="1"/>
  <c r="CB90" i="1" s="1"/>
  <c r="CC90" i="1" s="1"/>
  <c r="CA86" i="1"/>
  <c r="CB86" i="1" s="1"/>
  <c r="CC86" i="1" s="1"/>
  <c r="CA82" i="1"/>
  <c r="CB82" i="1" s="1"/>
  <c r="CC82" i="1" s="1"/>
  <c r="CA78" i="1"/>
  <c r="CB78" i="1" s="1"/>
  <c r="CC78" i="1" s="1"/>
  <c r="CA74" i="1"/>
  <c r="CB74" i="1" s="1"/>
  <c r="CC74" i="1" s="1"/>
  <c r="CA70" i="1"/>
  <c r="CB70" i="1" s="1"/>
  <c r="CC70" i="1" s="1"/>
  <c r="CA66" i="1"/>
  <c r="CB66" i="1" s="1"/>
  <c r="CC66" i="1" s="1"/>
  <c r="CA62" i="1"/>
  <c r="CB62" i="1" s="1"/>
  <c r="CC62" i="1" s="1"/>
  <c r="CA58" i="1"/>
  <c r="CB58" i="1" s="1"/>
  <c r="CC58" i="1" s="1"/>
  <c r="CA54" i="1"/>
  <c r="CB54" i="1" s="1"/>
  <c r="CC54" i="1" s="1"/>
  <c r="CA50" i="1"/>
  <c r="CB50" i="1" s="1"/>
  <c r="CC50" i="1" s="1"/>
  <c r="CA46" i="1"/>
  <c r="CB46" i="1" s="1"/>
  <c r="CC46" i="1" s="1"/>
  <c r="CA42" i="1"/>
  <c r="CB42" i="1" s="1"/>
  <c r="CC42" i="1" s="1"/>
  <c r="CA38" i="1"/>
  <c r="CB38" i="1" s="1"/>
  <c r="CC38" i="1" s="1"/>
  <c r="CA34" i="1"/>
  <c r="CB34" i="1" s="1"/>
  <c r="CC34" i="1" s="1"/>
  <c r="CA30" i="1"/>
  <c r="CB30" i="1" s="1"/>
  <c r="CC30" i="1" s="1"/>
  <c r="CA26" i="1"/>
  <c r="CB26" i="1" s="1"/>
  <c r="CC26" i="1" s="1"/>
  <c r="CA22" i="1"/>
  <c r="CB22" i="1" s="1"/>
  <c r="CC22" i="1" s="1"/>
  <c r="CA18" i="1"/>
  <c r="CB18" i="1" s="1"/>
  <c r="CC18" i="1" s="1"/>
  <c r="BY5" i="1"/>
  <c r="BZ5" i="1" s="1"/>
  <c r="DW20" i="1" a="1"/>
  <c r="DW20" i="1" s="1"/>
  <c r="DW21" i="1" a="1"/>
  <c r="DW21" i="1" s="1"/>
  <c r="EB20" i="1" a="1"/>
  <c r="EB20" i="1" s="1"/>
  <c r="EF12" i="1"/>
  <c r="F54" i="1"/>
  <c r="G54" i="1" s="1"/>
  <c r="F51" i="1"/>
  <c r="G51" i="1" s="1"/>
  <c r="C168" i="1"/>
  <c r="E174" i="1"/>
  <c r="B56" i="1"/>
  <c r="B164" i="1" s="1"/>
  <c r="B175" i="1" s="1"/>
  <c r="D163" i="1"/>
  <c r="D174" i="1" s="1"/>
  <c r="E175" i="1"/>
  <c r="E172" i="1"/>
  <c r="E168" i="1"/>
  <c r="B50" i="1"/>
  <c r="D157" i="1"/>
  <c r="D168" i="1" s="1"/>
  <c r="E173" i="1"/>
  <c r="E169" i="1"/>
  <c r="E170" i="1"/>
  <c r="C53" i="1"/>
  <c r="E160" i="1"/>
  <c r="F55" i="1"/>
  <c r="G55" i="1" s="1"/>
  <c r="J38" i="1"/>
  <c r="N38" i="1" s="1"/>
  <c r="F49" i="1"/>
  <c r="G49" i="1" s="1"/>
  <c r="J39" i="1"/>
  <c r="N39" i="1" s="1"/>
  <c r="F52" i="1"/>
  <c r="G52" i="1" s="1"/>
  <c r="G38" i="1"/>
  <c r="J68" i="1" s="1"/>
  <c r="G37" i="1"/>
  <c r="J67" i="1" l="1"/>
  <c r="K67" i="1" s="1"/>
  <c r="L67" i="1" s="1"/>
  <c r="M67" i="1" s="1"/>
  <c r="O67" i="1" s="1"/>
  <c r="J191" i="1"/>
  <c r="K191" i="1" s="1"/>
  <c r="J193" i="1"/>
  <c r="J194" i="1"/>
  <c r="J192" i="1"/>
  <c r="J71" i="1"/>
  <c r="J69" i="1"/>
  <c r="J70" i="1"/>
  <c r="J189" i="1"/>
  <c r="K189" i="1" s="1"/>
  <c r="L189" i="1" s="1"/>
  <c r="M189" i="1" s="1"/>
  <c r="N189" i="1" s="1"/>
  <c r="J190" i="1"/>
  <c r="K190" i="1" s="1"/>
  <c r="L190" i="1" s="1"/>
  <c r="M190" i="1" s="1"/>
  <c r="N190" i="1" s="1"/>
  <c r="J66" i="1"/>
  <c r="K66" i="1" s="1"/>
  <c r="L66" i="1" s="1"/>
  <c r="M66" i="1" s="1"/>
  <c r="N66" i="1" s="1"/>
  <c r="J186" i="1"/>
  <c r="K186" i="1" s="1"/>
  <c r="J187" i="1"/>
  <c r="K187" i="1" s="1"/>
  <c r="J185" i="1"/>
  <c r="K185" i="1" s="1"/>
  <c r="J188" i="1"/>
  <c r="K188" i="1" s="1"/>
  <c r="L188" i="1" s="1"/>
  <c r="M188" i="1" s="1"/>
  <c r="N188" i="1" s="1"/>
  <c r="J63" i="1"/>
  <c r="K63" i="1" s="1"/>
  <c r="L63" i="1" s="1"/>
  <c r="M63" i="1" s="1"/>
  <c r="O63" i="1" s="1"/>
  <c r="J64" i="1"/>
  <c r="K64" i="1" s="1"/>
  <c r="L64" i="1" s="1"/>
  <c r="M64" i="1" s="1"/>
  <c r="O64" i="1" s="1"/>
  <c r="J62" i="1"/>
  <c r="K62" i="1" s="1"/>
  <c r="L62" i="1" s="1"/>
  <c r="M62" i="1" s="1"/>
  <c r="N62" i="1" s="1"/>
  <c r="J65" i="1"/>
  <c r="K65" i="1" s="1"/>
  <c r="L65" i="1" s="1"/>
  <c r="M65" i="1" s="1"/>
  <c r="O65" i="1" s="1"/>
  <c r="CA5" i="1"/>
  <c r="DZ21" i="1"/>
  <c r="DX21" i="1"/>
  <c r="DY20" i="1"/>
  <c r="DZ20" i="1"/>
  <c r="DX20" i="1"/>
  <c r="DW24" i="1" s="1"/>
  <c r="DY21" i="1"/>
  <c r="ED20" i="1"/>
  <c r="EE20" i="1"/>
  <c r="EC20" i="1"/>
  <c r="K192" i="1"/>
  <c r="K193" i="1"/>
  <c r="K194" i="1"/>
  <c r="F56" i="1"/>
  <c r="G56" i="1" s="1"/>
  <c r="E171" i="1"/>
  <c r="F53" i="1"/>
  <c r="G53" i="1" s="1"/>
  <c r="C161" i="1"/>
  <c r="B148" i="1"/>
  <c r="F170" i="1" s="1"/>
  <c r="F50" i="1"/>
  <c r="G50" i="1" s="1"/>
  <c r="B158" i="1"/>
  <c r="B169" i="1" s="1"/>
  <c r="G41" i="1"/>
  <c r="O38" i="1" s="1"/>
  <c r="O33" i="1" s="1"/>
  <c r="K68" i="1"/>
  <c r="L68" i="1" s="1"/>
  <c r="M68" i="1" s="1"/>
  <c r="G40" i="1"/>
  <c r="K38" i="1" s="1"/>
  <c r="K39" i="1" s="1"/>
  <c r="J34" i="1" s="1"/>
  <c r="J72" i="1" l="1"/>
  <c r="CE8" i="1"/>
  <c r="CG7" i="1"/>
  <c r="CB5" i="1"/>
  <c r="L194" i="1"/>
  <c r="M194" i="1" s="1"/>
  <c r="N194" i="1" s="1"/>
  <c r="L193" i="1"/>
  <c r="M193" i="1" s="1"/>
  <c r="N193" i="1" s="1"/>
  <c r="DY28" i="1"/>
  <c r="DW26" i="1"/>
  <c r="DX28" i="1"/>
  <c r="DX26" i="1"/>
  <c r="DW28" i="1"/>
  <c r="DW27" i="1"/>
  <c r="DY27" i="1"/>
  <c r="DY26" i="1"/>
  <c r="DX27" i="1"/>
  <c r="L192" i="1"/>
  <c r="M192" i="1" s="1"/>
  <c r="N192" i="1" s="1"/>
  <c r="L191" i="1"/>
  <c r="M191" i="1" s="1"/>
  <c r="N191" i="1" s="1"/>
  <c r="O189" i="1"/>
  <c r="P189" i="1"/>
  <c r="O190" i="1"/>
  <c r="P190" i="1"/>
  <c r="P188" i="1"/>
  <c r="O188" i="1"/>
  <c r="N33" i="1"/>
  <c r="AC158" i="1"/>
  <c r="AC160" i="1"/>
  <c r="AJ162" i="1"/>
  <c r="AC159" i="1"/>
  <c r="AC162" i="1"/>
  <c r="AC164" i="1"/>
  <c r="AJ157" i="1"/>
  <c r="AQ160" i="1"/>
  <c r="AQ161" i="1"/>
  <c r="AC163" i="1"/>
  <c r="AQ164" i="1"/>
  <c r="AJ159" i="1"/>
  <c r="AQ159" i="1"/>
  <c r="AQ158" i="1"/>
  <c r="AJ161" i="1"/>
  <c r="AQ163" i="1"/>
  <c r="AJ164" i="1"/>
  <c r="AJ160" i="1"/>
  <c r="AQ162" i="1"/>
  <c r="AJ158" i="1"/>
  <c r="AC161" i="1"/>
  <c r="AJ163" i="1"/>
  <c r="AQ157" i="1"/>
  <c r="L186" i="1"/>
  <c r="M186" i="1" s="1"/>
  <c r="N186" i="1" s="1"/>
  <c r="L185" i="1"/>
  <c r="M185" i="1" s="1"/>
  <c r="N185" i="1" s="1"/>
  <c r="K195" i="1"/>
  <c r="L187" i="1"/>
  <c r="M187" i="1" s="1"/>
  <c r="N187" i="1" s="1"/>
  <c r="F173" i="1"/>
  <c r="AC157" i="1"/>
  <c r="N64" i="1"/>
  <c r="B153" i="1"/>
  <c r="B152" i="1"/>
  <c r="F171" i="1"/>
  <c r="F174" i="1"/>
  <c r="F168" i="1"/>
  <c r="F175" i="1"/>
  <c r="C172" i="1"/>
  <c r="F169" i="1"/>
  <c r="K71" i="1"/>
  <c r="L71" i="1" s="1"/>
  <c r="M71" i="1" s="1"/>
  <c r="K70" i="1"/>
  <c r="L70" i="1" s="1"/>
  <c r="M70" i="1" s="1"/>
  <c r="K69" i="1"/>
  <c r="L69" i="1" s="1"/>
  <c r="M69" i="1" s="1"/>
  <c r="H54" i="1"/>
  <c r="J52" i="1"/>
  <c r="K50" i="1"/>
  <c r="J55" i="1"/>
  <c r="O39" i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G35" i="1" s="1"/>
  <c r="N67" i="1"/>
  <c r="N63" i="1"/>
  <c r="O62" i="1"/>
  <c r="N65" i="1"/>
  <c r="J33" i="1"/>
  <c r="K33" i="1"/>
  <c r="K34" i="1"/>
  <c r="N68" i="1"/>
  <c r="O68" i="1"/>
  <c r="CG5" i="1" l="1"/>
  <c r="CF8" i="1"/>
  <c r="CG8" i="1" s="1"/>
  <c r="O193" i="1"/>
  <c r="P193" i="1"/>
  <c r="P194" i="1"/>
  <c r="O194" i="1"/>
  <c r="DW40" i="1" a="1"/>
  <c r="DW31" i="1" a="1"/>
  <c r="DX31" i="1" s="1"/>
  <c r="EB30" i="1" a="1"/>
  <c r="EB30" i="1" s="1"/>
  <c r="DW30" i="1" a="1"/>
  <c r="DW30" i="1" s="1"/>
  <c r="P191" i="1"/>
  <c r="O191" i="1"/>
  <c r="P192" i="1"/>
  <c r="O192" i="1"/>
  <c r="O34" i="1"/>
  <c r="N34" i="1"/>
  <c r="G171" i="1"/>
  <c r="K171" i="1" s="1"/>
  <c r="F159" i="1"/>
  <c r="G170" i="1"/>
  <c r="G161" i="1"/>
  <c r="G159" i="1"/>
  <c r="P185" i="1"/>
  <c r="O185" i="1"/>
  <c r="N195" i="1"/>
  <c r="O186" i="1"/>
  <c r="P186" i="1"/>
  <c r="P187" i="1"/>
  <c r="O187" i="1"/>
  <c r="F161" i="1"/>
  <c r="F163" i="1"/>
  <c r="F162" i="1"/>
  <c r="F164" i="1"/>
  <c r="F157" i="1"/>
  <c r="F158" i="1"/>
  <c r="G169" i="1"/>
  <c r="H169" i="1" s="1"/>
  <c r="G173" i="1"/>
  <c r="G175" i="1"/>
  <c r="H175" i="1" s="1"/>
  <c r="F160" i="1"/>
  <c r="G168" i="1"/>
  <c r="H168" i="1" s="1"/>
  <c r="G174" i="1"/>
  <c r="I174" i="1" s="1"/>
  <c r="G163" i="1"/>
  <c r="G162" i="1"/>
  <c r="G157" i="1"/>
  <c r="G158" i="1"/>
  <c r="G164" i="1"/>
  <c r="G160" i="1"/>
  <c r="G172" i="1"/>
  <c r="F172" i="1"/>
  <c r="K72" i="1"/>
  <c r="U3" i="1" s="1"/>
  <c r="N71" i="1"/>
  <c r="O71" i="1"/>
  <c r="N70" i="1"/>
  <c r="O70" i="1"/>
  <c r="N69" i="1"/>
  <c r="O69" i="1"/>
  <c r="M72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B196" i="1" l="1"/>
  <c r="AC17" i="1"/>
  <c r="L72" i="1"/>
  <c r="DX41" i="1"/>
  <c r="DY41" i="1"/>
  <c r="DY43" i="1"/>
  <c r="DZ41" i="1"/>
  <c r="DZ43" i="1"/>
  <c r="DW40" i="1"/>
  <c r="DW42" i="1"/>
  <c r="DX40" i="1"/>
  <c r="DX42" i="1"/>
  <c r="DY40" i="1"/>
  <c r="DY42" i="1"/>
  <c r="DZ40" i="1"/>
  <c r="DZ42" i="1"/>
  <c r="DW41" i="1"/>
  <c r="DW43" i="1"/>
  <c r="DX43" i="1"/>
  <c r="DW31" i="1"/>
  <c r="DY31" i="1"/>
  <c r="EE30" i="1"/>
  <c r="ED30" i="1"/>
  <c r="EC30" i="1"/>
  <c r="DX30" i="1"/>
  <c r="DZ30" i="1"/>
  <c r="DY30" i="1"/>
  <c r="I171" i="1"/>
  <c r="H171" i="1"/>
  <c r="J171" i="1"/>
  <c r="H161" i="1"/>
  <c r="J170" i="1"/>
  <c r="K170" i="1"/>
  <c r="I170" i="1"/>
  <c r="H170" i="1"/>
  <c r="H159" i="1"/>
  <c r="I159" i="1"/>
  <c r="K159" i="1"/>
  <c r="J159" i="1"/>
  <c r="O195" i="1"/>
  <c r="P195" i="1"/>
  <c r="P196" i="1" s="1"/>
  <c r="K161" i="1"/>
  <c r="I161" i="1"/>
  <c r="J161" i="1"/>
  <c r="K168" i="1"/>
  <c r="I168" i="1"/>
  <c r="J168" i="1"/>
  <c r="K174" i="1"/>
  <c r="J174" i="1"/>
  <c r="H174" i="1"/>
  <c r="K175" i="1"/>
  <c r="K169" i="1"/>
  <c r="I169" i="1"/>
  <c r="J169" i="1"/>
  <c r="J172" i="1"/>
  <c r="I172" i="1"/>
  <c r="K172" i="1"/>
  <c r="H172" i="1"/>
  <c r="H173" i="1"/>
  <c r="I173" i="1"/>
  <c r="J173" i="1"/>
  <c r="K173" i="1"/>
  <c r="J158" i="1"/>
  <c r="K158" i="1"/>
  <c r="H158" i="1"/>
  <c r="I158" i="1"/>
  <c r="J175" i="1"/>
  <c r="K157" i="1"/>
  <c r="H157" i="1"/>
  <c r="J157" i="1"/>
  <c r="I157" i="1"/>
  <c r="I175" i="1"/>
  <c r="H164" i="1"/>
  <c r="I164" i="1"/>
  <c r="K164" i="1"/>
  <c r="J164" i="1"/>
  <c r="J162" i="1"/>
  <c r="H162" i="1"/>
  <c r="K162" i="1"/>
  <c r="I162" i="1"/>
  <c r="H160" i="1"/>
  <c r="J160" i="1"/>
  <c r="I160" i="1"/>
  <c r="K160" i="1"/>
  <c r="J163" i="1"/>
  <c r="H163" i="1"/>
  <c r="I163" i="1"/>
  <c r="K163" i="1"/>
  <c r="O72" i="1"/>
  <c r="O73" i="1" s="1"/>
  <c r="N72" i="1"/>
  <c r="N73" i="1" s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R73" i="1" l="1"/>
  <c r="B198" i="1"/>
  <c r="B197" i="1"/>
  <c r="O196" i="1"/>
  <c r="AE17" i="1"/>
  <c r="AD17" i="1"/>
  <c r="DW44" i="1" a="1"/>
  <c r="EF30" i="1"/>
  <c r="DZ31" i="1"/>
  <c r="N171" i="1"/>
  <c r="P171" i="1"/>
  <c r="O171" i="1"/>
  <c r="AM159" i="1"/>
  <c r="AD159" i="1"/>
  <c r="AF159" i="1"/>
  <c r="AR159" i="1"/>
  <c r="AT159" i="1"/>
  <c r="W159" i="1"/>
  <c r="AK159" i="1"/>
  <c r="R159" i="1"/>
  <c r="AB159" i="1"/>
  <c r="U159" i="1"/>
  <c r="AL159" i="1"/>
  <c r="S159" i="1"/>
  <c r="AP159" i="1"/>
  <c r="V159" i="1"/>
  <c r="M159" i="1"/>
  <c r="Q159" i="1"/>
  <c r="AE159" i="1"/>
  <c r="AI159" i="1"/>
  <c r="X159" i="1"/>
  <c r="AS159" i="1"/>
  <c r="P159" i="1"/>
  <c r="P170" i="1"/>
  <c r="N170" i="1"/>
  <c r="O170" i="1"/>
  <c r="AK163" i="1"/>
  <c r="AD163" i="1"/>
  <c r="AM163" i="1"/>
  <c r="AF163" i="1"/>
  <c r="AR163" i="1"/>
  <c r="AT163" i="1"/>
  <c r="N172" i="1"/>
  <c r="O172" i="1"/>
  <c r="P172" i="1"/>
  <c r="P173" i="1"/>
  <c r="N173" i="1"/>
  <c r="O173" i="1"/>
  <c r="AT162" i="1"/>
  <c r="AK162" i="1"/>
  <c r="AD162" i="1"/>
  <c r="AR162" i="1"/>
  <c r="AM162" i="1"/>
  <c r="AF162" i="1"/>
  <c r="AM160" i="1"/>
  <c r="AD160" i="1"/>
  <c r="AF160" i="1"/>
  <c r="AR160" i="1"/>
  <c r="AK160" i="1"/>
  <c r="AT160" i="1"/>
  <c r="O168" i="1"/>
  <c r="N168" i="1"/>
  <c r="P168" i="1"/>
  <c r="AK158" i="1"/>
  <c r="AD158" i="1"/>
  <c r="AM158" i="1"/>
  <c r="AF158" i="1"/>
  <c r="AR158" i="1"/>
  <c r="AT158" i="1"/>
  <c r="N174" i="1"/>
  <c r="O174" i="1"/>
  <c r="P174" i="1"/>
  <c r="AS157" i="1"/>
  <c r="AP157" i="1"/>
  <c r="AI157" i="1"/>
  <c r="AL157" i="1"/>
  <c r="AP160" i="1"/>
  <c r="AE160" i="1"/>
  <c r="AI160" i="1"/>
  <c r="AS160" i="1"/>
  <c r="AB160" i="1"/>
  <c r="AL160" i="1"/>
  <c r="Q160" i="1"/>
  <c r="AD157" i="1"/>
  <c r="AM157" i="1"/>
  <c r="AT157" i="1"/>
  <c r="AF157" i="1"/>
  <c r="AR157" i="1"/>
  <c r="AK157" i="1"/>
  <c r="N169" i="1"/>
  <c r="O169" i="1"/>
  <c r="P169" i="1"/>
  <c r="AB162" i="1"/>
  <c r="Q162" i="1"/>
  <c r="AL162" i="1"/>
  <c r="AE162" i="1"/>
  <c r="AP162" i="1"/>
  <c r="AI162" i="1"/>
  <c r="AS162" i="1"/>
  <c r="AM164" i="1"/>
  <c r="AR164" i="1"/>
  <c r="AD164" i="1"/>
  <c r="AF164" i="1"/>
  <c r="AT164" i="1"/>
  <c r="AK164" i="1"/>
  <c r="N175" i="1"/>
  <c r="P175" i="1"/>
  <c r="O175" i="1"/>
  <c r="S161" i="1"/>
  <c r="Q161" i="1"/>
  <c r="AE161" i="1"/>
  <c r="AP161" i="1"/>
  <c r="AL161" i="1"/>
  <c r="AI161" i="1"/>
  <c r="AB161" i="1"/>
  <c r="AS161" i="1"/>
  <c r="AI163" i="1"/>
  <c r="AB163" i="1"/>
  <c r="AL163" i="1"/>
  <c r="Q163" i="1"/>
  <c r="AP163" i="1"/>
  <c r="AS163" i="1"/>
  <c r="AE163" i="1"/>
  <c r="AB164" i="1"/>
  <c r="AL164" i="1"/>
  <c r="AP164" i="1"/>
  <c r="AE164" i="1"/>
  <c r="Q164" i="1"/>
  <c r="AI164" i="1"/>
  <c r="AS164" i="1"/>
  <c r="AL158" i="1"/>
  <c r="AE158" i="1"/>
  <c r="AP158" i="1"/>
  <c r="Q158" i="1"/>
  <c r="AI158" i="1"/>
  <c r="AS158" i="1"/>
  <c r="AB158" i="1"/>
  <c r="W161" i="1"/>
  <c r="AD161" i="1"/>
  <c r="AR161" i="1"/>
  <c r="AF161" i="1"/>
  <c r="AK161" i="1"/>
  <c r="AT161" i="1"/>
  <c r="AM161" i="1"/>
  <c r="AB157" i="1"/>
  <c r="AE157" i="1"/>
  <c r="P161" i="1"/>
  <c r="R161" i="1"/>
  <c r="X161" i="1"/>
  <c r="U161" i="1"/>
  <c r="V161" i="1"/>
  <c r="M161" i="1"/>
  <c r="W163" i="1"/>
  <c r="R163" i="1"/>
  <c r="X164" i="1"/>
  <c r="P164" i="1"/>
  <c r="S164" i="1"/>
  <c r="M164" i="1"/>
  <c r="U164" i="1"/>
  <c r="V164" i="1"/>
  <c r="U158" i="1"/>
  <c r="M158" i="1"/>
  <c r="V158" i="1"/>
  <c r="S158" i="1"/>
  <c r="P158" i="1"/>
  <c r="X158" i="1"/>
  <c r="U163" i="1"/>
  <c r="V163" i="1"/>
  <c r="X163" i="1"/>
  <c r="P163" i="1"/>
  <c r="M163" i="1"/>
  <c r="S163" i="1"/>
  <c r="P162" i="1"/>
  <c r="S162" i="1"/>
  <c r="U162" i="1"/>
  <c r="V162" i="1"/>
  <c r="M162" i="1"/>
  <c r="X162" i="1"/>
  <c r="R160" i="1"/>
  <c r="W160" i="1"/>
  <c r="R162" i="1"/>
  <c r="W162" i="1"/>
  <c r="R158" i="1"/>
  <c r="W158" i="1"/>
  <c r="P160" i="1"/>
  <c r="U160" i="1"/>
  <c r="S160" i="1"/>
  <c r="V160" i="1"/>
  <c r="M160" i="1"/>
  <c r="X160" i="1"/>
  <c r="P157" i="1"/>
  <c r="M157" i="1"/>
  <c r="X157" i="1"/>
  <c r="V157" i="1"/>
  <c r="S157" i="1"/>
  <c r="Q157" i="1"/>
  <c r="U157" i="1"/>
  <c r="R164" i="1"/>
  <c r="W164" i="1"/>
  <c r="W157" i="1"/>
  <c r="R157" i="1"/>
  <c r="P57" i="1"/>
  <c r="N57" i="1"/>
  <c r="O57" i="1"/>
  <c r="E76" i="1" l="1"/>
  <c r="F76" i="1"/>
  <c r="S73" i="1"/>
  <c r="R75" i="1" s="1"/>
  <c r="T196" i="1"/>
  <c r="S196" i="1"/>
  <c r="B75" i="1"/>
  <c r="DW44" i="1"/>
  <c r="DZ44" i="1"/>
  <c r="DX44" i="1"/>
  <c r="DY44" i="1"/>
  <c r="AU159" i="1"/>
  <c r="AV159" i="1" s="1"/>
  <c r="Y159" i="1"/>
  <c r="T159" i="1"/>
  <c r="AN159" i="1"/>
  <c r="AO159" i="1" s="1"/>
  <c r="AG159" i="1"/>
  <c r="AH159" i="1" s="1"/>
  <c r="AU163" i="1"/>
  <c r="AV163" i="1" s="1"/>
  <c r="T160" i="1"/>
  <c r="T161" i="1"/>
  <c r="T163" i="1"/>
  <c r="AN161" i="1"/>
  <c r="AO161" i="1" s="1"/>
  <c r="M165" i="1"/>
  <c r="T157" i="1"/>
  <c r="AN158" i="1"/>
  <c r="AO158" i="1" s="1"/>
  <c r="P176" i="1"/>
  <c r="T162" i="1"/>
  <c r="T158" i="1"/>
  <c r="AU158" i="1"/>
  <c r="AV158" i="1" s="1"/>
  <c r="AG161" i="1"/>
  <c r="AH161" i="1" s="1"/>
  <c r="N176" i="1"/>
  <c r="AU164" i="1"/>
  <c r="AV164" i="1" s="1"/>
  <c r="AG160" i="1"/>
  <c r="AH160" i="1" s="1"/>
  <c r="O176" i="1"/>
  <c r="AG158" i="1"/>
  <c r="AH158" i="1" s="1"/>
  <c r="AU161" i="1"/>
  <c r="AV161" i="1" s="1"/>
  <c r="AG164" i="1"/>
  <c r="AH164" i="1" s="1"/>
  <c r="AG162" i="1"/>
  <c r="AH162" i="1" s="1"/>
  <c r="AN157" i="1"/>
  <c r="AO157" i="1" s="1"/>
  <c r="AN164" i="1"/>
  <c r="AO164" i="1" s="1"/>
  <c r="AG163" i="1"/>
  <c r="AH163" i="1" s="1"/>
  <c r="AN162" i="1"/>
  <c r="AO162" i="1" s="1"/>
  <c r="AU160" i="1"/>
  <c r="AV160" i="1" s="1"/>
  <c r="AU157" i="1"/>
  <c r="AV157" i="1" s="1"/>
  <c r="T164" i="1"/>
  <c r="AN163" i="1"/>
  <c r="AO163" i="1" s="1"/>
  <c r="AU162" i="1"/>
  <c r="AV162" i="1" s="1"/>
  <c r="AN160" i="1"/>
  <c r="AO160" i="1" s="1"/>
  <c r="AG157" i="1"/>
  <c r="Y161" i="1"/>
  <c r="Y158" i="1"/>
  <c r="Y157" i="1"/>
  <c r="Y162" i="1"/>
  <c r="Y164" i="1"/>
  <c r="Y163" i="1"/>
  <c r="Y160" i="1"/>
  <c r="B77" i="1"/>
  <c r="P59" i="1"/>
  <c r="B76" i="1"/>
  <c r="O59" i="1"/>
  <c r="O58" i="1"/>
  <c r="P58" i="1"/>
  <c r="Q36" i="1" l="1"/>
  <c r="S198" i="1"/>
  <c r="Q35" i="1" s="1"/>
  <c r="S58" i="1"/>
  <c r="R36" i="1"/>
  <c r="Z159" i="1"/>
  <c r="N159" i="1" s="1"/>
  <c r="AW159" i="1"/>
  <c r="O159" i="1" s="1"/>
  <c r="AW163" i="1"/>
  <c r="O163" i="1" s="1"/>
  <c r="B178" i="1"/>
  <c r="AW158" i="1"/>
  <c r="O158" i="1" s="1"/>
  <c r="AW164" i="1"/>
  <c r="O164" i="1" s="1"/>
  <c r="AW160" i="1"/>
  <c r="O160" i="1" s="1"/>
  <c r="AW162" i="1"/>
  <c r="O162" i="1" s="1"/>
  <c r="AW161" i="1"/>
  <c r="O161" i="1" s="1"/>
  <c r="AH157" i="1"/>
  <c r="AW157" i="1" s="1"/>
  <c r="O157" i="1" s="1"/>
  <c r="Z158" i="1"/>
  <c r="N158" i="1" s="1"/>
  <c r="Z161" i="1"/>
  <c r="N161" i="1" s="1"/>
  <c r="Z157" i="1"/>
  <c r="N157" i="1" s="1"/>
  <c r="Z163" i="1"/>
  <c r="N163" i="1" s="1"/>
  <c r="Z162" i="1"/>
  <c r="N162" i="1" s="1"/>
  <c r="Z164" i="1"/>
  <c r="N164" i="1" s="1"/>
  <c r="Z160" i="1"/>
  <c r="N160" i="1" s="1"/>
  <c r="B79" i="1"/>
  <c r="B80" i="1"/>
  <c r="F75" i="1"/>
  <c r="E75" i="1"/>
  <c r="T58" i="1"/>
  <c r="S60" i="1" l="1"/>
  <c r="B200" i="1"/>
  <c r="U4" i="1" s="1"/>
  <c r="Z18" i="1" s="1"/>
  <c r="AC18" i="1" s="1"/>
  <c r="O165" i="1"/>
  <c r="B180" i="1" s="1"/>
  <c r="F178" i="1" s="1"/>
  <c r="N165" i="1"/>
  <c r="B179" i="1" s="1"/>
  <c r="B83" i="1"/>
  <c r="AB7" i="1" l="1"/>
  <c r="EB5" i="1"/>
  <c r="EB6" i="1" s="1"/>
  <c r="W4" i="1"/>
  <c r="B201" i="1"/>
  <c r="E178" i="1"/>
  <c r="B202" i="1"/>
  <c r="EB11" i="1" l="1"/>
  <c r="B205" i="1"/>
  <c r="U6" i="1" s="1"/>
  <c r="B204" i="1"/>
  <c r="U5" i="1" s="1"/>
  <c r="G178" i="1"/>
  <c r="H178" i="1"/>
  <c r="R33" i="1" s="1"/>
  <c r="EB12" i="1"/>
  <c r="EB22" i="1" s="1" a="1"/>
  <c r="EB22" i="1" s="1"/>
  <c r="EG6" i="1"/>
  <c r="AE11" i="1" l="1"/>
  <c r="W5" i="1"/>
  <c r="AF11" i="1"/>
  <c r="W6" i="1"/>
  <c r="Q33" i="1"/>
  <c r="J178" i="1"/>
  <c r="Q32" i="1" s="1"/>
  <c r="AB9" i="1"/>
  <c r="ED5" i="1"/>
  <c r="ED11" i="1" s="1"/>
  <c r="AB18" i="1"/>
  <c r="AE18" i="1" s="1"/>
  <c r="BX7" i="1"/>
  <c r="CJ9" i="1" s="1"/>
  <c r="U18" i="1"/>
  <c r="U19" i="1" s="1"/>
  <c r="U21" i="1" s="1"/>
  <c r="AA18" i="1"/>
  <c r="AD18" i="1" s="1"/>
  <c r="AA9" i="1"/>
  <c r="U7" i="1"/>
  <c r="W7" i="1" s="1"/>
  <c r="Y8" i="1" s="1"/>
  <c r="U8" i="1"/>
  <c r="AA7" i="1" s="1"/>
  <c r="EC5" i="1"/>
  <c r="BW7" i="1"/>
  <c r="CI9" i="1" s="1"/>
  <c r="EG12" i="1"/>
  <c r="EI12" i="1" s="1"/>
  <c r="EJ6" i="1"/>
  <c r="EI6" i="1"/>
  <c r="EH6" i="1"/>
  <c r="ED22" i="1"/>
  <c r="EC22" i="1"/>
  <c r="EE22" i="1"/>
  <c r="CJ7" i="1" l="1"/>
  <c r="CJ10" i="1" s="1"/>
  <c r="W19" i="1"/>
  <c r="W21" i="1" s="1"/>
  <c r="V19" i="1"/>
  <c r="V21" i="1" s="1"/>
  <c r="EF5" i="1"/>
  <c r="AC9" i="1"/>
  <c r="CJ6" i="1"/>
  <c r="CK9" i="1"/>
  <c r="X8" i="1"/>
  <c r="CI7" i="1"/>
  <c r="CI10" i="1" s="1"/>
  <c r="W8" i="1"/>
  <c r="X7" i="1"/>
  <c r="EC11" i="1"/>
  <c r="EG11" i="1" s="1"/>
  <c r="CI6" i="1"/>
  <c r="EG5" i="1"/>
  <c r="EH5" i="1" s="1"/>
  <c r="BY7" i="1"/>
  <c r="CA7" i="1" s="1"/>
  <c r="EH12" i="1"/>
  <c r="EJ12" i="1"/>
  <c r="EB32" i="1" a="1"/>
  <c r="CK10" i="1" l="1"/>
  <c r="CK11" i="1" s="1"/>
  <c r="CJ8" i="1"/>
  <c r="U23" i="1"/>
  <c r="V23" i="1" s="1"/>
  <c r="CK6" i="1"/>
  <c r="CK7" i="1"/>
  <c r="BZ7" i="1"/>
  <c r="CI8" i="1" s="1"/>
  <c r="EF11" i="1"/>
  <c r="EB21" i="1" a="1"/>
  <c r="EC21" i="1" s="1"/>
  <c r="EI5" i="1"/>
  <c r="EJ5" i="1"/>
  <c r="EH11" i="1"/>
  <c r="EJ11" i="1"/>
  <c r="EI11" i="1"/>
  <c r="EB32" i="1"/>
  <c r="EB36" i="1" s="1"/>
  <c r="ED32" i="1"/>
  <c r="ED36" i="1" s="1"/>
  <c r="EC32" i="1"/>
  <c r="EC36" i="1" s="1"/>
  <c r="EE32" i="1"/>
  <c r="CK8" i="1" l="1"/>
  <c r="CL8" i="1" s="1"/>
  <c r="CB7" i="1"/>
  <c r="EE21" i="1"/>
  <c r="EB21" i="1"/>
  <c r="ED21" i="1"/>
  <c r="EE36" i="1"/>
  <c r="EF36" i="1" s="1"/>
  <c r="EB31" i="1" l="1" a="1"/>
  <c r="EB31" i="1" s="1"/>
  <c r="EB37" i="1" s="1"/>
  <c r="EH36" i="1"/>
  <c r="EG36" i="1"/>
  <c r="EC31" i="1" l="1"/>
  <c r="EC37" i="1" s="1"/>
  <c r="ED31" i="1"/>
  <c r="ED37" i="1" s="1"/>
  <c r="EE31" i="1"/>
  <c r="EE37" i="1" l="1"/>
  <c r="EF37" i="1" s="1"/>
  <c r="EF38" i="1" s="1"/>
  <c r="EF31" i="1"/>
  <c r="EF32" i="1" s="1"/>
  <c r="EG37" i="1" l="1"/>
  <c r="EG38" i="1" s="1"/>
  <c r="EH37" i="1"/>
  <c r="EH3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<sst xmlns="http://schemas.openxmlformats.org/spreadsheetml/2006/main" count="413" uniqueCount="249">
  <si>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</si>
  <si>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</si>
  <si>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</si>
  <si>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</si>
  <si>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</si>
  <si>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</si>
  <si>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</si>
  <si>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</si>
  <si>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</si>
  <si>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</si>
  <si>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</si>
  <si>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</si>
  <si>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</si>
  <si>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</si>
  <si>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</si>
  <si>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</si>
  <si>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</si>
  <si>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</si>
  <si>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</si>
  <si>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</si>
  <si>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</si>
  <si>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</si>
  <si>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</si>
  <si>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</si>
  <si>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</si>
  <si>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</si>
  <si>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</si>
  <si>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</si>
  <si>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</si>
  <si>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</si>
  <si>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</si>
  <si>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</si>
  <si>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</si>
  <si>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</si>
  <si>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</si>
  <si>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</si>
  <si>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</si>
  <si>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</si>
  <si>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</si>
  <si>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</si>
  <si>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</si>
  <si>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</si>
  <si>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</si>
  <si>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</si>
  <si>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</si>
  <si>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</si>
  <si>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</si>
  <si>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</si>
  <si>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</si>
  <si>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</si>
  <si>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</si>
  <si>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</si>
  <si>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</si>
  <si>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</si>
  <si>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</si>
  <si>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</si>
  <si>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</si>
  <si>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</si>
  <si>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</si>
  <si>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</si>
  <si>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</si>
  <si>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</si>
  <si>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</si>
  <si>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</si>
  <si>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</si>
  <si>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</si>
  <si>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</si>
  <si>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</si>
  <si>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</si>
  <si>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</si>
  <si>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</si>
  <si>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</si>
  <si>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</si>
  <si>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</si>
  <si>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</si>
  <si>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</si>
  <si>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</si>
  <si>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</si>
  <si>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</si>
  <si>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</si>
  <si>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</si>
  <si>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</si>
  <si>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</si>
  <si>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</si>
  <si>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</si>
  <si>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</si>
  <si>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</si>
  <si>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</si>
  <si>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</si>
  <si>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</si>
  <si>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</si>
  <si>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</si>
  <si>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</si>
  <si>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</si>
  <si>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</si>
  <si>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</si>
  <si>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</si>
  <si>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</si>
  <si>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</si>
  <si>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</si>
  <si>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</si>
  <si>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</si>
  <si>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</si>
  <si>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</si>
  <si>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</si>
  <si>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</si>
  <si>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</si>
  <si>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</si>
  <si>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</si>
  <si>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</si>
  <si>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</si>
  <si>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</si>
  <si>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</si>
  <si>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</si>
  <si>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</si>
  <si>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</si>
  <si>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</si>
  <si>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</si>
  <si>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</si>
  <si>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</si>
  <si>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</si>
  <si>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</si>
  <si>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</si>
  <si>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</si>
  <si>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</si>
  <si>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</si>
  <si>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</si>
  <si>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</si>
  <si>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</si>
  <si>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</si>
  <si>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</si>
  <si>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</si>
  <si>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</si>
  <si>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</si>
  <si>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</si>
  <si>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</si>
  <si>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</si>
  <si>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</si>
  <si>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</si>
  <si>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adelt</t>
  </si>
  <si>
    <t>amk</t>
  </si>
  <si>
    <t>Newton-Raphson Steps</t>
  </si>
  <si>
    <t>Newton_Raphson Relax Factor:</t>
  </si>
  <si>
    <t>Abs(Alpha - Tan-1)</t>
  </si>
  <si>
    <t>Tan-1 - User Tan-1</t>
  </si>
  <si>
    <t>abs(Tan-1 - User Tan-1)</t>
  </si>
  <si>
    <t>Try Working with a guess center point of Mx vs My instead of 0,0</t>
  </si>
  <si>
    <t>2D Vectors from Guess to Mx v My Plot</t>
  </si>
  <si>
    <t>Ux</t>
  </si>
  <si>
    <t>Uy</t>
  </si>
  <si>
    <t>Tan-1 Ux/Uy</t>
  </si>
  <si>
    <t>delta</t>
  </si>
  <si>
    <t>Screen Update:</t>
  </si>
  <si>
    <t># of Points:</t>
  </si>
  <si>
    <t>Concrete Force  and Moment by Line Integrals - PCA Parabolic Stress Block</t>
  </si>
  <si>
    <t>PCA Parabolic Strain-Strain Curve Formulas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</si>
  <si>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</si>
  <si>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</si>
  <si>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</si>
  <si>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</si>
  <si>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</si>
  <si>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</si>
  <si>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</si>
  <si>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</si>
  <si>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</si>
  <si>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</si>
  <si>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</si>
  <si>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</si>
  <si>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</si>
  <si>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</si>
  <si>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</si>
  <si>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</si>
  <si>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</si>
  <si>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</si>
  <si>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</si>
  <si>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</si>
  <si>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</si>
  <si>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</si>
  <si>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Parabolic Region</t>
  </si>
  <si>
    <t>xi'</t>
  </si>
  <si>
    <t>yi'</t>
  </si>
  <si>
    <t>xj'</t>
  </si>
  <si>
    <t>yj'</t>
  </si>
  <si>
    <t>Constant Stress Region</t>
  </si>
  <si>
    <t>tj</t>
  </si>
  <si>
    <t>ti</t>
  </si>
  <si>
    <t>Mx sub calcs:</t>
  </si>
  <si>
    <t>My sub calcs:</t>
  </si>
  <si>
    <t>Cc</t>
  </si>
  <si>
    <t>Conc Stress</t>
  </si>
  <si>
    <t>Ts</t>
  </si>
  <si>
    <t>Stress Block:</t>
  </si>
  <si>
    <t>Solver Log</t>
  </si>
  <si>
    <t>Max</t>
  </si>
  <si>
    <t>Min</t>
  </si>
  <si>
    <t>3D Coordinate Transformation</t>
  </si>
  <si>
    <t>Translation</t>
  </si>
  <si>
    <t>angle</t>
  </si>
  <si>
    <t>unit v</t>
  </si>
  <si>
    <t xml:space="preserve"> t matrix</t>
  </si>
  <si>
    <t>z</t>
  </si>
  <si>
    <t>Rotation to align with Z Axis</t>
  </si>
  <si>
    <t>|V|</t>
  </si>
  <si>
    <t>User</t>
  </si>
  <si>
    <t>Result</t>
  </si>
  <si>
    <t>Tan-1</t>
  </si>
  <si>
    <t>Vector From Guess to User Point to Establish the proper cut plane</t>
  </si>
  <si>
    <t>user+5</t>
  </si>
  <si>
    <t>Rotation to Y axis</t>
  </si>
  <si>
    <t>Pn</t>
  </si>
  <si>
    <t>Mxn</t>
  </si>
  <si>
    <t>Myn</t>
  </si>
  <si>
    <t>vector</t>
  </si>
  <si>
    <t>ak-1</t>
  </si>
  <si>
    <t>amk-1</t>
  </si>
  <si>
    <t>amo-amk</t>
  </si>
  <si>
    <t>f_x</t>
  </si>
  <si>
    <t>alpha+h</t>
  </si>
  <si>
    <t xml:space="preserve">h = </t>
  </si>
  <si>
    <t>f_x_p</t>
  </si>
  <si>
    <t>alpha-h</t>
  </si>
  <si>
    <t>f_x_m</t>
  </si>
  <si>
    <t>f_prime_x</t>
  </si>
  <si>
    <t>alpha j</t>
  </si>
  <si>
    <t>alpha i</t>
  </si>
  <si>
    <t>Net Steel Stress</t>
  </si>
  <si>
    <t>Tan -1 Ux/Uy</t>
  </si>
  <si>
    <t>User Point</t>
  </si>
  <si>
    <t>Calc Point</t>
  </si>
  <si>
    <t>Vector</t>
  </si>
  <si>
    <t>G0</t>
  </si>
  <si>
    <t>0U</t>
  </si>
  <si>
    <t>GU</t>
  </si>
  <si>
    <t>dMx</t>
  </si>
  <si>
    <t>dMy</t>
  </si>
  <si>
    <t>GC</t>
  </si>
  <si>
    <t>0C</t>
  </si>
  <si>
    <t xml:space="preserve">Guess - Point inside Mx/My Slice </t>
  </si>
  <si>
    <t>GC-GU</t>
  </si>
  <si>
    <t>CU</t>
  </si>
  <si>
    <t>GC-G0</t>
  </si>
  <si>
    <t>parametric</t>
  </si>
  <si>
    <t>NA Angle Iters</t>
  </si>
  <si>
    <t>Total Iters</t>
  </si>
  <si>
    <t>Whitney</t>
  </si>
  <si>
    <t>Ec Calc:</t>
  </si>
  <si>
    <t>Simple</t>
  </si>
  <si>
    <t>Mx_My runtime:</t>
  </si>
  <si>
    <t>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</si>
</sst>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1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11" fontId="0" fillId="2" borderId="0" xfId="0" applyNumberFormat="1" applyFill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168" fontId="0" fillId="0" borderId="8" xfId="0" applyNumberFormat="1" applyBorder="1" applyAlignment="1">
      <alignment horizontal="center"/>
    </xf>
    <xf numFmtId="168" fontId="0" fillId="0" borderId="9" xfId="0" applyNumberFormat="1" applyBorder="1" applyAlignment="1">
      <alignment horizontal="center"/>
    </xf>
    <xf numFmtId="168" fontId="0" fillId="0" borderId="7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0" fontId="10" fillId="0" borderId="0" xfId="0" applyFont="1"/>
    <xf numFmtId="167" fontId="0" fillId="4" borderId="11" xfId="0" applyNumberForma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TLR_Section_Capacity!$E$3:$E$11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24</c:v>
                </c:pt>
                <c:pt idx="4">
                  <c:v>24</c:v>
                </c:pt>
                <c:pt idx="5">
                  <c:v>-24</c:v>
                </c:pt>
                <c:pt idx="6">
                  <c:v>-24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TLR_Section_Capacity!$F$3:$F$11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TLR_Section_Capacity!$K$15:$K$24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TLR_Section_Capacity!$L$15:$L$24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TLR_Section_Capacity!$X$4:$X$6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-34</c:v>
                </c:pt>
              </c:numCache>
            </c:numRef>
          </c:xVal>
          <c:yVal>
            <c:numRef>
              <c:f>TLR_Section_Capacity!$Y$4:$Y$6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TLR_Section_Capacity!$J$33:$J$34</c:f>
              <c:numCache>
                <c:formatCode>General</c:formatCode>
                <c:ptCount val="2"/>
                <c:pt idx="0">
                  <c:v>-25.016421883856427</c:v>
                </c:pt>
                <c:pt idx="1">
                  <c:v>25.460643407392645</c:v>
                </c:pt>
              </c:numCache>
            </c:numRef>
          </c:xVal>
          <c:yVal>
            <c:numRef>
              <c:f>TLR_Section_Capacity!$K$33:$K$34</c:f>
              <c:numCache>
                <c:formatCode>General</c:formatCode>
                <c:ptCount val="2"/>
                <c:pt idx="0">
                  <c:v>23.676486317617471</c:v>
                </c:pt>
                <c:pt idx="1">
                  <c:v>21.288694223499363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TLR_Section_Capacity!$N$33:$N$34</c:f>
              <c:numCache>
                <c:formatCode>General</c:formatCode>
                <c:ptCount val="2"/>
                <c:pt idx="0">
                  <c:v>-24.991480007253063</c:v>
                </c:pt>
                <c:pt idx="1">
                  <c:v>25.485585283996009</c:v>
                </c:pt>
              </c:numCache>
            </c:numRef>
          </c:xVal>
          <c:yVal>
            <c:numRef>
              <c:f>TLR_Section_Capacity!$O$33:$O$34</c:f>
              <c:numCache>
                <c:formatCode>General</c:formatCode>
                <c:ptCount val="2"/>
                <c:pt idx="0">
                  <c:v>24.203748610216344</c:v>
                </c:pt>
                <c:pt idx="1">
                  <c:v>21.81595651609824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TLR_Section_Capacity!$I$2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TLR_Section_Capacity!$I$3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strRef>
              <c:f>TLR_Section_Capacity!$Q$32</c:f>
              <c:strCache>
                <c:ptCount val="1"/>
                <c:pt idx="0">
                  <c:v>Cc = 200.7111 kips
 @ ( 9.1052 , 23.2954 )</c:v>
                </c:pt>
              </c:strCache>
            </c:strRef>
          </c:tx>
          <c:spPr>
            <a:ln>
              <a:noFill/>
            </a:ln>
          </c:spPr>
          <c:marker>
            <c:symbol val="plus"/>
            <c:size val="8"/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TLR_Section_Capacity!$Q$33</c:f>
              <c:numCache>
                <c:formatCode>General</c:formatCode>
                <c:ptCount val="1"/>
                <c:pt idx="0">
                  <c:v>9.1052307551676765</c:v>
                </c:pt>
              </c:numCache>
            </c:numRef>
          </c:xVal>
          <c:yVal>
            <c:numRef>
              <c:f>TLR_Section_Capacity!$R$33</c:f>
              <c:numCache>
                <c:formatCode>General</c:formatCode>
                <c:ptCount val="1"/>
                <c:pt idx="0">
                  <c:v>23.295410459357868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8.0967177709097962E-2"/>
          <c:y val="0.87789643482064739"/>
          <c:w val="0.83275477730811442"/>
          <c:h val="0.10821467629046369"/>
        </c:manualLayout>
      </c:layout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TLR_Section_Capacity!$C$37:$C$45</c:f>
              <c:numCache>
                <c:formatCode>0.000</c:formatCode>
                <c:ptCount val="9"/>
                <c:pt idx="0">
                  <c:v>-5.426278217100533</c:v>
                </c:pt>
                <c:pt idx="1">
                  <c:v>6.5603179825140696</c:v>
                </c:pt>
                <c:pt idx="2">
                  <c:v>5.8042914722383783</c:v>
                </c:pt>
                <c:pt idx="3">
                  <c:v>17.790887671852982</c:v>
                </c:pt>
                <c:pt idx="4">
                  <c:v>17.412874416715137</c:v>
                </c:pt>
                <c:pt idx="5">
                  <c:v>-30.53351038174327</c:v>
                </c:pt>
                <c:pt idx="6">
                  <c:v>-30.155497126605425</c:v>
                </c:pt>
                <c:pt idx="7">
                  <c:v>-6.1823047273762244</c:v>
                </c:pt>
                <c:pt idx="8">
                  <c:v>-5.426278217100533</c:v>
                </c:pt>
              </c:numCache>
            </c:numRef>
          </c:xVal>
          <c:yVal>
            <c:numRef>
              <c:f>TLR_Section_Capacity!$D$37:$D$45</c:f>
              <c:numCache>
                <c:formatCode>0.000</c:formatCode>
                <c:ptCount val="9"/>
                <c:pt idx="0">
                  <c:v>-12.270106140967986</c:v>
                </c:pt>
                <c:pt idx="1">
                  <c:v>-11.703086258261219</c:v>
                </c:pt>
                <c:pt idx="2">
                  <c:v>4.2790420078915847</c:v>
                </c:pt>
                <c:pt idx="3">
                  <c:v>4.846061890598353</c:v>
                </c:pt>
                <c:pt idx="4">
                  <c:v>12.837126023674754</c:v>
                </c:pt>
                <c:pt idx="5">
                  <c:v>10.569046492847683</c:v>
                </c:pt>
                <c:pt idx="6">
                  <c:v>2.5779823597712808</c:v>
                </c:pt>
                <c:pt idx="7">
                  <c:v>3.7120221251848164</c:v>
                </c:pt>
                <c:pt idx="8">
                  <c:v>-12.270106140967986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TLR_Section_Capacity!$Q$62:$Q$71</c:f>
              <c:numCache>
                <c:formatCode>General</c:formatCode>
                <c:ptCount val="10"/>
                <c:pt idx="0">
                  <c:v>-3.5230154976158938</c:v>
                </c:pt>
                <c:pt idx="1">
                  <c:v>-3.6175188114003554</c:v>
                </c:pt>
                <c:pt idx="2">
                  <c:v>-1.5252494643467935</c:v>
                </c:pt>
                <c:pt idx="3">
                  <c:v>-1.6197527781312551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TLR_Section_Capacity!$R$62:$R$71</c:f>
              <c:numCache>
                <c:formatCode>General</c:formatCode>
                <c:ptCount val="10"/>
                <c:pt idx="0">
                  <c:v>-10.177836793914423</c:v>
                </c:pt>
                <c:pt idx="1">
                  <c:v>-8.1800707606453233</c:v>
                </c:pt>
                <c:pt idx="2">
                  <c:v>-10.083333480129962</c:v>
                </c:pt>
                <c:pt idx="3">
                  <c:v>-8.0855674468608623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TLR_Section_Capacity!$J$38:$J$39</c:f>
              <c:numCache>
                <c:formatCode>0.000</c:formatCode>
                <c:ptCount val="2"/>
                <c:pt idx="0">
                  <c:v>-31.53351038174327</c:v>
                </c:pt>
                <c:pt idx="1">
                  <c:v>19</c:v>
                </c:pt>
              </c:numCache>
            </c:numRef>
          </c:xVal>
          <c:yVal>
            <c:numRef>
              <c:f>TLR_Section_Capacity!$K$38:$K$39</c:f>
              <c:numCache>
                <c:formatCode>0.000</c:formatCode>
                <c:ptCount val="2"/>
                <c:pt idx="0">
                  <c:v>10.19786655175313</c:v>
                </c:pt>
                <c:pt idx="1">
                  <c:v>10.19786655175313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TLR_Section_Capacity!$N$38:$N$39</c:f>
              <c:numCache>
                <c:formatCode>0.000</c:formatCode>
                <c:ptCount val="2"/>
                <c:pt idx="0">
                  <c:v>-31.53351038174327</c:v>
                </c:pt>
                <c:pt idx="1">
                  <c:v>19</c:v>
                </c:pt>
              </c:numCache>
            </c:numRef>
          </c:xVal>
          <c:yVal>
            <c:numRef>
              <c:f>TLR_Section_Capacity!$O$38:$O$39</c:f>
              <c:numCache>
                <c:formatCode>0.000</c:formatCode>
                <c:ptCount val="2"/>
                <c:pt idx="0">
                  <c:v>10.725718446137455</c:v>
                </c:pt>
                <c:pt idx="1">
                  <c:v>10.725718446137455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TLR_Section_Capacity!$S$49:$S$56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17.512753486387965</c:v>
                </c:pt>
                <c:pt idx="4">
                  <c:v>17.412874416715137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TLR_Section_Capacity!$T$49:$T$56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10.725718446137455</c:v>
                </c:pt>
                <c:pt idx="4">
                  <c:v>12.837126023674754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TLR_Section_Capacity!$V$49:$V$56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17.412874416715137</c:v>
                </c:pt>
                <c:pt idx="4">
                  <c:v>-27.221521689345767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TLR_Section_Capacity!$W$49:$W$56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12.837126023674754</c:v>
                </c:pt>
                <c:pt idx="4">
                  <c:v>10.725718446137455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99249114108941E-2"/>
          <c:y val="9.5394347156804546E-2"/>
          <c:w val="0.84232733481796163"/>
          <c:h val="0.75111090356007637"/>
        </c:manualLayout>
      </c:layout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TLR_Section_Capacity!$AA$5:$AA$6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104.4030650891055</c:v>
                </c:pt>
              </c:numCache>
            </c:numRef>
          </c:xVal>
          <c:yVal>
            <c:numRef>
              <c:f>TLR_Section_Capacity!$AB$5:$AB$6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(TLR_Section_Capacity!$AA$5,TLR_Section_Capacity!$AA$7)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311.13531062962591</c:v>
                </c:pt>
              </c:numCache>
            </c:numRef>
          </c:xVal>
          <c:yVal>
            <c:numRef>
              <c:f>(TLR_Section_Capacity!$AB$5,TLR_Section_Capacity!$AB$7)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9.9999999999685656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TLR_Section_Capacity!$AA$6:$AA$7</c:f>
              <c:numCache>
                <c:formatCode>General</c:formatCode>
                <c:ptCount val="2"/>
                <c:pt idx="0">
                  <c:v>104.4030650891055</c:v>
                </c:pt>
                <c:pt idx="1">
                  <c:v>311.13531062962591</c:v>
                </c:pt>
              </c:numCache>
            </c:numRef>
          </c:xVal>
          <c:yVal>
            <c:numRef>
              <c:f>TLR_Section_Capacity!$AB$6:$AB$7</c:f>
              <c:numCache>
                <c:formatCode>0.000</c:formatCode>
                <c:ptCount val="2"/>
                <c:pt idx="0" formatCode="General">
                  <c:v>10</c:v>
                </c:pt>
                <c:pt idx="1">
                  <c:v>9.9999999999685656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TLR_Section_Capacity!$BD$2:$BD$363</c:f>
              <c:numCache>
                <c:formatCode>General</c:formatCode>
                <c:ptCount val="362"/>
                <c:pt idx="0">
                  <c:v>301.21467828612936</c:v>
                </c:pt>
                <c:pt idx="1">
                  <c:v>300.76716534255638</c:v>
                </c:pt>
                <c:pt idx="2">
                  <c:v>299.4235352297128</c:v>
                </c:pt>
                <c:pt idx="3">
                  <c:v>297.45611014821992</c:v>
                </c:pt>
                <c:pt idx="4">
                  <c:v>295.7244601308347</c:v>
                </c:pt>
                <c:pt idx="5">
                  <c:v>294.19573955750525</c:v>
                </c:pt>
                <c:pt idx="6">
                  <c:v>292.81014916107813</c:v>
                </c:pt>
                <c:pt idx="7">
                  <c:v>291.53206651236343</c:v>
                </c:pt>
                <c:pt idx="8">
                  <c:v>290.33820105404067</c:v>
                </c:pt>
                <c:pt idx="9">
                  <c:v>289.2123066588361</c:v>
                </c:pt>
                <c:pt idx="10">
                  <c:v>288.14249457248081</c:v>
                </c:pt>
                <c:pt idx="11">
                  <c:v>287.11973571201287</c:v>
                </c:pt>
                <c:pt idx="12">
                  <c:v>286.13696573649378</c:v>
                </c:pt>
                <c:pt idx="13">
                  <c:v>285.18852034841916</c:v>
                </c:pt>
                <c:pt idx="14">
                  <c:v>284.26976295597143</c:v>
                </c:pt>
                <c:pt idx="15">
                  <c:v>283.37683009484448</c:v>
                </c:pt>
                <c:pt idx="16">
                  <c:v>282.50645196431327</c:v>
                </c:pt>
                <c:pt idx="17">
                  <c:v>281.65582256185968</c:v>
                </c:pt>
                <c:pt idx="18">
                  <c:v>280.8225035485616</c:v>
                </c:pt>
                <c:pt idx="19">
                  <c:v>280.00435164478023</c:v>
                </c:pt>
                <c:pt idx="20">
                  <c:v>279.19946280731807</c:v>
                </c:pt>
                <c:pt idx="21">
                  <c:v>278.40612860852229</c:v>
                </c:pt>
                <c:pt idx="22">
                  <c:v>277.6228016393087</c:v>
                </c:pt>
                <c:pt idx="23">
                  <c:v>276.84806768590863</c:v>
                </c:pt>
                <c:pt idx="24">
                  <c:v>276.08062305784705</c:v>
                </c:pt>
                <c:pt idx="25">
                  <c:v>275.31925587764698</c:v>
                </c:pt>
                <c:pt idx="26">
                  <c:v>274.56283044665321</c:v>
                </c:pt>
                <c:pt idx="27">
                  <c:v>273.81027401802396</c:v>
                </c:pt>
                <c:pt idx="28">
                  <c:v>273.06056546453067</c:v>
                </c:pt>
                <c:pt idx="29">
                  <c:v>272.31272544339384</c:v>
                </c:pt>
                <c:pt idx="30">
                  <c:v>271.56580774512639</c:v>
                </c:pt>
                <c:pt idx="31">
                  <c:v>270.81889157659066</c:v>
                </c:pt>
                <c:pt idx="32">
                  <c:v>270.07107457568316</c:v>
                </c:pt>
                <c:pt idx="33">
                  <c:v>269.32146639169093</c:v>
                </c:pt>
                <c:pt idx="34">
                  <c:v>268.56918269074947</c:v>
                </c:pt>
                <c:pt idx="35">
                  <c:v>267.82947955835942</c:v>
                </c:pt>
                <c:pt idx="36">
                  <c:v>267.12546078507461</c:v>
                </c:pt>
                <c:pt idx="37">
                  <c:v>266.45447624070431</c:v>
                </c:pt>
                <c:pt idx="38">
                  <c:v>265.81387286449245</c:v>
                </c:pt>
                <c:pt idx="39">
                  <c:v>265.20126799554367</c:v>
                </c:pt>
                <c:pt idx="40">
                  <c:v>264.61451552594787</c:v>
                </c:pt>
                <c:pt idx="41">
                  <c:v>264.0516770048726</c:v>
                </c:pt>
                <c:pt idx="42">
                  <c:v>263.51099686834374</c:v>
                </c:pt>
                <c:pt idx="43">
                  <c:v>262.99088112300234</c:v>
                </c:pt>
                <c:pt idx="44">
                  <c:v>262.48987893421844</c:v>
                </c:pt>
                <c:pt idx="45">
                  <c:v>262.00666666666677</c:v>
                </c:pt>
                <c:pt idx="46">
                  <c:v>261.54003400404298</c:v>
                </c:pt>
                <c:pt idx="47">
                  <c:v>261.08887183813874</c:v>
                </c:pt>
                <c:pt idx="48">
                  <c:v>260.65216166911722</c:v>
                </c:pt>
                <c:pt idx="49">
                  <c:v>260.22896630096739</c:v>
                </c:pt>
                <c:pt idx="50">
                  <c:v>259.81842165067758</c:v>
                </c:pt>
                <c:pt idx="51">
                  <c:v>259.41972951811886</c:v>
                </c:pt>
                <c:pt idx="52">
                  <c:v>259.03215118715804</c:v>
                </c:pt>
                <c:pt idx="53">
                  <c:v>258.65500174806465</c:v>
                </c:pt>
                <c:pt idx="54">
                  <c:v>258.28764504753968</c:v>
                </c:pt>
                <c:pt idx="55">
                  <c:v>257.92948918631868</c:v>
                </c:pt>
                <c:pt idx="56">
                  <c:v>257.5799824957237</c:v>
                </c:pt>
                <c:pt idx="57">
                  <c:v>257.23860993415275</c:v>
                </c:pt>
                <c:pt idx="58">
                  <c:v>256.90488985263352</c:v>
                </c:pt>
                <c:pt idx="59">
                  <c:v>256.5783710854414</c:v>
                </c:pt>
                <c:pt idx="60">
                  <c:v>256.25863032764551</c:v>
                </c:pt>
                <c:pt idx="61">
                  <c:v>255.9452697664243</c:v>
                </c:pt>
                <c:pt idx="62">
                  <c:v>255.63791493726279</c:v>
                </c:pt>
                <c:pt idx="63">
                  <c:v>255.33621277979088</c:v>
                </c:pt>
                <c:pt idx="64">
                  <c:v>255.0398298711624</c:v>
                </c:pt>
                <c:pt idx="65">
                  <c:v>254.74845081757454</c:v>
                </c:pt>
                <c:pt idx="66">
                  <c:v>254.46177678686277</c:v>
                </c:pt>
                <c:pt idx="67">
                  <c:v>254.17952416711722</c:v>
                </c:pt>
                <c:pt idx="68">
                  <c:v>253.90142333802481</c:v>
                </c:pt>
                <c:pt idx="69">
                  <c:v>253.62721754314833</c:v>
                </c:pt>
                <c:pt idx="70">
                  <c:v>253.35666185268695</c:v>
                </c:pt>
                <c:pt idx="71">
                  <c:v>253.08952220740605</c:v>
                </c:pt>
                <c:pt idx="72">
                  <c:v>252.82557453543416</c:v>
                </c:pt>
                <c:pt idx="73">
                  <c:v>252.5646039345045</c:v>
                </c:pt>
                <c:pt idx="74">
                  <c:v>252.30640391298644</c:v>
                </c:pt>
                <c:pt idx="75">
                  <c:v>252.05077568372994</c:v>
                </c:pt>
                <c:pt idx="76">
                  <c:v>251.79752750533393</c:v>
                </c:pt>
                <c:pt idx="77">
                  <c:v>251.54647406597431</c:v>
                </c:pt>
                <c:pt idx="78">
                  <c:v>251.2974359053789</c:v>
                </c:pt>
                <c:pt idx="79">
                  <c:v>251.05023887093967</c:v>
                </c:pt>
                <c:pt idx="80">
                  <c:v>250.80471360430175</c:v>
                </c:pt>
                <c:pt idx="81">
                  <c:v>250.56069505508034</c:v>
                </c:pt>
                <c:pt idx="82">
                  <c:v>250.31802201861908</c:v>
                </c:pt>
                <c:pt idx="83">
                  <c:v>250.07653669494613</c:v>
                </c:pt>
                <c:pt idx="84">
                  <c:v>249.83608426627984</c:v>
                </c:pt>
                <c:pt idx="85">
                  <c:v>249.59651249061915</c:v>
                </c:pt>
                <c:pt idx="86">
                  <c:v>249.35767130909829</c:v>
                </c:pt>
                <c:pt idx="87">
                  <c:v>249.11941246491611</c:v>
                </c:pt>
                <c:pt idx="88">
                  <c:v>248.88158913175445</c:v>
                </c:pt>
                <c:pt idx="89">
                  <c:v>248.64405554969048</c:v>
                </c:pt>
                <c:pt idx="90">
                  <c:v>248.40666666666667</c:v>
                </c:pt>
                <c:pt idx="91">
                  <c:v>248.16927778364288</c:v>
                </c:pt>
                <c:pt idx="92">
                  <c:v>247.93174420157897</c:v>
                </c:pt>
                <c:pt idx="93">
                  <c:v>247.69392086841725</c:v>
                </c:pt>
                <c:pt idx="94">
                  <c:v>247.45566202423484</c:v>
                </c:pt>
                <c:pt idx="95">
                  <c:v>247.21682084271404</c:v>
                </c:pt>
                <c:pt idx="96">
                  <c:v>246.97724906705346</c:v>
                </c:pt>
                <c:pt idx="97">
                  <c:v>246.73679663838723</c:v>
                </c:pt>
                <c:pt idx="98">
                  <c:v>246.49531131471412</c:v>
                </c:pt>
                <c:pt idx="99">
                  <c:v>246.2526382782529</c:v>
                </c:pt>
                <c:pt idx="100">
                  <c:v>246.00861972903155</c:v>
                </c:pt>
                <c:pt idx="101">
                  <c:v>245.76309446239358</c:v>
                </c:pt>
                <c:pt idx="102">
                  <c:v>245.51589742795446</c:v>
                </c:pt>
                <c:pt idx="103">
                  <c:v>245.26685926735911</c:v>
                </c:pt>
                <c:pt idx="104">
                  <c:v>245.01580582799932</c:v>
                </c:pt>
                <c:pt idx="105">
                  <c:v>244.76255764960348</c:v>
                </c:pt>
                <c:pt idx="106">
                  <c:v>244.50692942034681</c:v>
                </c:pt>
                <c:pt idx="107">
                  <c:v>244.2487293988288</c:v>
                </c:pt>
                <c:pt idx="108">
                  <c:v>243.9877587978992</c:v>
                </c:pt>
                <c:pt idx="109">
                  <c:v>240.72655447807236</c:v>
                </c:pt>
                <c:pt idx="110">
                  <c:v>236.81857203887915</c:v>
                </c:pt>
                <c:pt idx="111">
                  <c:v>232.95138479501173</c:v>
                </c:pt>
                <c:pt idx="112">
                  <c:v>229.12213640723846</c:v>
                </c:pt>
                <c:pt idx="113">
                  <c:v>225.32807324046931</c:v>
                </c:pt>
                <c:pt idx="114">
                  <c:v>221.56653598057488</c:v>
                </c:pt>
                <c:pt idx="115">
                  <c:v>217.83495180683136</c:v>
                </c:pt>
                <c:pt idx="116">
                  <c:v>214.13082706945133</c:v>
                </c:pt>
                <c:pt idx="117">
                  <c:v>210.45174042684098</c:v>
                </c:pt>
                <c:pt idx="118">
                  <c:v>206.79533640207598</c:v>
                </c:pt>
                <c:pt idx="119">
                  <c:v>203.15931932237041</c:v>
                </c:pt>
                <c:pt idx="120">
                  <c:v>199.54144760939417</c:v>
                </c:pt>
                <c:pt idx="121">
                  <c:v>195.59747698564124</c:v>
                </c:pt>
                <c:pt idx="122">
                  <c:v>190.40124891819522</c:v>
                </c:pt>
                <c:pt idx="123">
                  <c:v>185.18179080853454</c:v>
                </c:pt>
                <c:pt idx="124">
                  <c:v>179.93772928785322</c:v>
                </c:pt>
                <c:pt idx="125">
                  <c:v>174.137594500929</c:v>
                </c:pt>
                <c:pt idx="126">
                  <c:v>168.15069143751853</c:v>
                </c:pt>
                <c:pt idx="127">
                  <c:v>161.40232114518301</c:v>
                </c:pt>
                <c:pt idx="128">
                  <c:v>154.47780117449003</c:v>
                </c:pt>
                <c:pt idx="129">
                  <c:v>147.42182676019067</c:v>
                </c:pt>
                <c:pt idx="130">
                  <c:v>140.22704534188381</c:v>
                </c:pt>
                <c:pt idx="131">
                  <c:v>132.88572886925652</c:v>
                </c:pt>
                <c:pt idx="132">
                  <c:v>125.3897472137093</c:v>
                </c:pt>
                <c:pt idx="133">
                  <c:v>117.40437025021303</c:v>
                </c:pt>
                <c:pt idx="134">
                  <c:v>109.96148429873642</c:v>
                </c:pt>
                <c:pt idx="135">
                  <c:v>102.40311446336879</c:v>
                </c:pt>
                <c:pt idx="136">
                  <c:v>94.740522251655605</c:v>
                </c:pt>
                <c:pt idx="137">
                  <c:v>86.796118707948395</c:v>
                </c:pt>
                <c:pt idx="138">
                  <c:v>78.643391620456271</c:v>
                </c:pt>
                <c:pt idx="139">
                  <c:v>70.364371489116451</c:v>
                </c:pt>
                <c:pt idx="140">
                  <c:v>62.033086819750537</c:v>
                </c:pt>
                <c:pt idx="141">
                  <c:v>53.717643858496167</c:v>
                </c:pt>
                <c:pt idx="142">
                  <c:v>45.48192359217947</c:v>
                </c:pt>
                <c:pt idx="143">
                  <c:v>37.386873762465086</c:v>
                </c:pt>
                <c:pt idx="144">
                  <c:v>29.491278860374603</c:v>
                </c:pt>
                <c:pt idx="145">
                  <c:v>21.851725146281748</c:v>
                </c:pt>
                <c:pt idx="146">
                  <c:v>14.521159903895677</c:v>
                </c:pt>
                <c:pt idx="147">
                  <c:v>7.1334645664263654</c:v>
                </c:pt>
                <c:pt idx="148">
                  <c:v>-0.16730571817649556</c:v>
                </c:pt>
                <c:pt idx="149">
                  <c:v>-6.1819972275591146</c:v>
                </c:pt>
                <c:pt idx="150">
                  <c:v>-10.823640272487401</c:v>
                </c:pt>
                <c:pt idx="151">
                  <c:v>-13.962566660712978</c:v>
                </c:pt>
                <c:pt idx="152">
                  <c:v>-15.416097055506253</c:v>
                </c:pt>
                <c:pt idx="153">
                  <c:v>-15.604105904125593</c:v>
                </c:pt>
                <c:pt idx="154">
                  <c:v>-15.760171340483756</c:v>
                </c:pt>
                <c:pt idx="155">
                  <c:v>-15.923549969346256</c:v>
                </c:pt>
                <c:pt idx="156">
                  <c:v>-16.095124555731058</c:v>
                </c:pt>
                <c:pt idx="157">
                  <c:v>-16.275909309115605</c:v>
                </c:pt>
                <c:pt idx="158">
                  <c:v>-16.467077689285034</c:v>
                </c:pt>
                <c:pt idx="159">
                  <c:v>-16.669997482410086</c:v>
                </c:pt>
                <c:pt idx="160">
                  <c:v>-16.886275512844996</c:v>
                </c:pt>
                <c:pt idx="161">
                  <c:v>-17.117815282587646</c:v>
                </c:pt>
                <c:pt idx="162">
                  <c:v>-17.366892189182654</c:v>
                </c:pt>
                <c:pt idx="163">
                  <c:v>-17.636253003918156</c:v>
                </c:pt>
                <c:pt idx="164">
                  <c:v>-17.929249383662981</c:v>
                </c:pt>
                <c:pt idx="165">
                  <c:v>-18.250020009331948</c:v>
                </c:pt>
                <c:pt idx="166">
                  <c:v>-18.603743632318661</c:v>
                </c:pt>
                <c:pt idx="167">
                  <c:v>-18.996997926151792</c:v>
                </c:pt>
                <c:pt idx="168">
                  <c:v>-19.43828038913578</c:v>
                </c:pt>
                <c:pt idx="169">
                  <c:v>-19.917164850683029</c:v>
                </c:pt>
                <c:pt idx="170">
                  <c:v>-20.384481408271899</c:v>
                </c:pt>
                <c:pt idx="171">
                  <c:v>-20.837951316720673</c:v>
                </c:pt>
                <c:pt idx="172">
                  <c:v>-21.425136326093309</c:v>
                </c:pt>
                <c:pt idx="173">
                  <c:v>-21.857229971431259</c:v>
                </c:pt>
                <c:pt idx="174">
                  <c:v>-22.276518711944973</c:v>
                </c:pt>
                <c:pt idx="175">
                  <c:v>-22.683336021499159</c:v>
                </c:pt>
                <c:pt idx="176">
                  <c:v>-23.077994955824138</c:v>
                </c:pt>
                <c:pt idx="177">
                  <c:v>-23.528627543875871</c:v>
                </c:pt>
                <c:pt idx="178">
                  <c:v>-23.983201437009193</c:v>
                </c:pt>
                <c:pt idx="179">
                  <c:v>-24.363854589437395</c:v>
                </c:pt>
                <c:pt idx="180">
                  <c:v>-24.6275996367131</c:v>
                </c:pt>
                <c:pt idx="181">
                  <c:v>-24.369007837808834</c:v>
                </c:pt>
                <c:pt idx="182">
                  <c:v>-24.013600762760301</c:v>
                </c:pt>
                <c:pt idx="183">
                  <c:v>-23.619634837108361</c:v>
                </c:pt>
                <c:pt idx="184">
                  <c:v>-23.26347853476187</c:v>
                </c:pt>
                <c:pt idx="185">
                  <c:v>-22.977015762709364</c:v>
                </c:pt>
                <c:pt idx="186">
                  <c:v>-22.697788461378369</c:v>
                </c:pt>
                <c:pt idx="187">
                  <c:v>-22.423583226938785</c:v>
                </c:pt>
                <c:pt idx="188">
                  <c:v>-22.152471897368063</c:v>
                </c:pt>
                <c:pt idx="189">
                  <c:v>-21.88275381545402</c:v>
                </c:pt>
                <c:pt idx="190">
                  <c:v>-21.612909925419515</c:v>
                </c:pt>
                <c:pt idx="191">
                  <c:v>-21.341565842311422</c:v>
                </c:pt>
                <c:pt idx="192">
                  <c:v>-21.06746178097465</c:v>
                </c:pt>
                <c:pt idx="193">
                  <c:v>-20.789427764453901</c:v>
                </c:pt>
                <c:pt idx="194">
                  <c:v>-20.506362916072277</c:v>
                </c:pt>
                <c:pt idx="195">
                  <c:v>-20.217217919586094</c:v>
                </c:pt>
                <c:pt idx="196">
                  <c:v>-19.920979937887157</c:v>
                </c:pt>
                <c:pt idx="197">
                  <c:v>-19.619949773207725</c:v>
                </c:pt>
                <c:pt idx="198">
                  <c:v>-19.333828514640341</c:v>
                </c:pt>
                <c:pt idx="199">
                  <c:v>-19.063413917732916</c:v>
                </c:pt>
                <c:pt idx="200">
                  <c:v>-18.805990114479414</c:v>
                </c:pt>
                <c:pt idx="201">
                  <c:v>-18.559277402574974</c:v>
                </c:pt>
                <c:pt idx="202">
                  <c:v>-18.321337632015613</c:v>
                </c:pt>
                <c:pt idx="203">
                  <c:v>-18.090502436132116</c:v>
                </c:pt>
                <c:pt idx="204">
                  <c:v>-17.865317975520327</c:v>
                </c:pt>
                <c:pt idx="205">
                  <c:v>-17.644501789873857</c:v>
                </c:pt>
                <c:pt idx="206">
                  <c:v>-17.426908639784326</c:v>
                </c:pt>
                <c:pt idx="207">
                  <c:v>-17.211503096028753</c:v>
                </c:pt>
                <c:pt idx="208">
                  <c:v>-16.997337239048736</c:v>
                </c:pt>
                <c:pt idx="209">
                  <c:v>-16.783532255808094</c:v>
                </c:pt>
                <c:pt idx="210">
                  <c:v>-16.56926302284505</c:v>
                </c:pt>
                <c:pt idx="211">
                  <c:v>-16.353744981072136</c:v>
                </c:pt>
                <c:pt idx="212">
                  <c:v>-16.136222765108762</c:v>
                </c:pt>
                <c:pt idx="213">
                  <c:v>-15.915960164781366</c:v>
                </c:pt>
                <c:pt idx="214">
                  <c:v>-15.692231080672263</c:v>
                </c:pt>
                <c:pt idx="215">
                  <c:v>-15.464311197371021</c:v>
                </c:pt>
                <c:pt idx="216">
                  <c:v>-15.2314701430653</c:v>
                </c:pt>
                <c:pt idx="217">
                  <c:v>-14.992963936269829</c:v>
                </c:pt>
                <c:pt idx="218">
                  <c:v>-14.748027542770819</c:v>
                </c:pt>
                <c:pt idx="219">
                  <c:v>-14.495867379506088</c:v>
                </c:pt>
                <c:pt idx="220">
                  <c:v>-13.864244156066341</c:v>
                </c:pt>
                <c:pt idx="221">
                  <c:v>-12.409004084443882</c:v>
                </c:pt>
                <c:pt idx="222">
                  <c:v>-10.176013401634314</c:v>
                </c:pt>
                <c:pt idx="223">
                  <c:v>-7.2005918098690351</c:v>
                </c:pt>
                <c:pt idx="224">
                  <c:v>-3.5070399497782319</c:v>
                </c:pt>
                <c:pt idx="225">
                  <c:v>0.8902353865886754</c:v>
                </c:pt>
                <c:pt idx="226">
                  <c:v>5.985910581954883</c:v>
                </c:pt>
                <c:pt idx="227">
                  <c:v>11.783210391668256</c:v>
                </c:pt>
                <c:pt idx="228">
                  <c:v>18.422065727112628</c:v>
                </c:pt>
                <c:pt idx="229">
                  <c:v>25.892879900735959</c:v>
                </c:pt>
                <c:pt idx="230">
                  <c:v>34.224700878742752</c:v>
                </c:pt>
                <c:pt idx="231">
                  <c:v>43.56400856934151</c:v>
                </c:pt>
                <c:pt idx="232">
                  <c:v>54.019174644584922</c:v>
                </c:pt>
                <c:pt idx="233">
                  <c:v>65.720131379673816</c:v>
                </c:pt>
                <c:pt idx="234">
                  <c:v>74.426874702742879</c:v>
                </c:pt>
                <c:pt idx="235">
                  <c:v>82.907596074829755</c:v>
                </c:pt>
                <c:pt idx="236">
                  <c:v>91.135730890731139</c:v>
                </c:pt>
                <c:pt idx="237">
                  <c:v>99.02346736464969</c:v>
                </c:pt>
                <c:pt idx="238">
                  <c:v>106.72631379479644</c:v>
                </c:pt>
                <c:pt idx="239">
                  <c:v>114.25686613480678</c:v>
                </c:pt>
                <c:pt idx="240">
                  <c:v>121.62649126906445</c:v>
                </c:pt>
                <c:pt idx="241">
                  <c:v>128.84541504918496</c:v>
                </c:pt>
                <c:pt idx="242">
                  <c:v>135.92276360140684</c:v>
                </c:pt>
                <c:pt idx="243">
                  <c:v>142.86655319178089</c:v>
                </c:pt>
                <c:pt idx="244">
                  <c:v>149.6836174497063</c:v>
                </c:pt>
                <c:pt idx="245">
                  <c:v>156.37945149324179</c:v>
                </c:pt>
                <c:pt idx="246">
                  <c:v>162.95793815808889</c:v>
                </c:pt>
                <c:pt idx="247">
                  <c:v>169.33987160774902</c:v>
                </c:pt>
                <c:pt idx="248">
                  <c:v>175.57104199012429</c:v>
                </c:pt>
                <c:pt idx="249">
                  <c:v>181.6712258275183</c:v>
                </c:pt>
                <c:pt idx="250">
                  <c:v>187.62228771714294</c:v>
                </c:pt>
                <c:pt idx="251">
                  <c:v>193.39202889057319</c:v>
                </c:pt>
                <c:pt idx="252">
                  <c:v>198.53850429770245</c:v>
                </c:pt>
                <c:pt idx="253">
                  <c:v>202.73484594670884</c:v>
                </c:pt>
                <c:pt idx="254">
                  <c:v>206.23416530102548</c:v>
                </c:pt>
                <c:pt idx="255">
                  <c:v>209.74624785775057</c:v>
                </c:pt>
                <c:pt idx="256">
                  <c:v>213.30765783258326</c:v>
                </c:pt>
                <c:pt idx="257">
                  <c:v>216.92155317428274</c:v>
                </c:pt>
                <c:pt idx="258">
                  <c:v>220.59124988601053</c:v>
                </c:pt>
                <c:pt idx="259">
                  <c:v>224.32023532221001</c:v>
                </c:pt>
                <c:pt idx="260">
                  <c:v>228.11218267810165</c:v>
                </c:pt>
                <c:pt idx="261">
                  <c:v>231.97096680517657</c:v>
                </c:pt>
                <c:pt idx="262">
                  <c:v>235.90068150322995</c:v>
                </c:pt>
                <c:pt idx="263">
                  <c:v>239.90565845912269</c:v>
                </c:pt>
                <c:pt idx="264">
                  <c:v>243.9904880251284</c:v>
                </c:pt>
                <c:pt idx="265">
                  <c:v>247.21682084271373</c:v>
                </c:pt>
                <c:pt idx="266">
                  <c:v>247.45566202423458</c:v>
                </c:pt>
                <c:pt idx="267">
                  <c:v>247.69392086841705</c:v>
                </c:pt>
                <c:pt idx="268">
                  <c:v>247.93174420157854</c:v>
                </c:pt>
                <c:pt idx="269">
                  <c:v>248.16927778364251</c:v>
                </c:pt>
                <c:pt idx="270">
                  <c:v>248.40666666666627</c:v>
                </c:pt>
                <c:pt idx="271">
                  <c:v>248.64405554969002</c:v>
                </c:pt>
                <c:pt idx="272">
                  <c:v>248.88158913175408</c:v>
                </c:pt>
                <c:pt idx="273">
                  <c:v>249.11941246491571</c:v>
                </c:pt>
                <c:pt idx="274">
                  <c:v>249.35767130909798</c:v>
                </c:pt>
                <c:pt idx="275">
                  <c:v>249.59651249061881</c:v>
                </c:pt>
                <c:pt idx="276">
                  <c:v>249.83608426627947</c:v>
                </c:pt>
                <c:pt idx="277">
                  <c:v>250.07653669494582</c:v>
                </c:pt>
                <c:pt idx="278">
                  <c:v>250.31802201861868</c:v>
                </c:pt>
                <c:pt idx="279">
                  <c:v>250.56069505507995</c:v>
                </c:pt>
                <c:pt idx="280">
                  <c:v>250.80471360430136</c:v>
                </c:pt>
                <c:pt idx="281">
                  <c:v>251.05023887093924</c:v>
                </c:pt>
                <c:pt idx="282">
                  <c:v>251.29743590537859</c:v>
                </c:pt>
                <c:pt idx="283">
                  <c:v>251.54647406597391</c:v>
                </c:pt>
                <c:pt idx="284">
                  <c:v>251.79752750533342</c:v>
                </c:pt>
                <c:pt idx="285">
                  <c:v>252.05077568372951</c:v>
                </c:pt>
                <c:pt idx="286">
                  <c:v>252.30640391298604</c:v>
                </c:pt>
                <c:pt idx="287">
                  <c:v>252.56460393450399</c:v>
                </c:pt>
                <c:pt idx="288">
                  <c:v>252.82557453543376</c:v>
                </c:pt>
                <c:pt idx="289">
                  <c:v>253.08952220740571</c:v>
                </c:pt>
                <c:pt idx="290">
                  <c:v>253.35666185268656</c:v>
                </c:pt>
                <c:pt idx="291">
                  <c:v>253.62721754314782</c:v>
                </c:pt>
                <c:pt idx="292">
                  <c:v>253.9014233380243</c:v>
                </c:pt>
                <c:pt idx="293">
                  <c:v>254.17952416711682</c:v>
                </c:pt>
                <c:pt idx="294">
                  <c:v>254.46177678686226</c:v>
                </c:pt>
                <c:pt idx="295">
                  <c:v>254.74845081757408</c:v>
                </c:pt>
                <c:pt idx="296">
                  <c:v>255.03982987116183</c:v>
                </c:pt>
                <c:pt idx="297">
                  <c:v>255.33621277979037</c:v>
                </c:pt>
                <c:pt idx="298">
                  <c:v>255.63791493726211</c:v>
                </c:pt>
                <c:pt idx="299">
                  <c:v>255.94526976642376</c:v>
                </c:pt>
                <c:pt idx="300">
                  <c:v>256.25863032764499</c:v>
                </c:pt>
                <c:pt idx="301">
                  <c:v>256.57837108544078</c:v>
                </c:pt>
                <c:pt idx="302">
                  <c:v>256.90488985263295</c:v>
                </c:pt>
                <c:pt idx="303">
                  <c:v>257.23860993415218</c:v>
                </c:pt>
                <c:pt idx="304">
                  <c:v>257.57998249572307</c:v>
                </c:pt>
                <c:pt idx="305">
                  <c:v>257.92948918631799</c:v>
                </c:pt>
                <c:pt idx="306">
                  <c:v>258.28764504753883</c:v>
                </c:pt>
                <c:pt idx="307">
                  <c:v>258.65500174806391</c:v>
                </c:pt>
                <c:pt idx="308">
                  <c:v>259.0321511871573</c:v>
                </c:pt>
                <c:pt idx="309">
                  <c:v>259.41972951811795</c:v>
                </c:pt>
                <c:pt idx="310">
                  <c:v>259.8184216506769</c:v>
                </c:pt>
                <c:pt idx="311">
                  <c:v>260.22896630096653</c:v>
                </c:pt>
                <c:pt idx="312">
                  <c:v>260.65216166911642</c:v>
                </c:pt>
                <c:pt idx="313">
                  <c:v>261.088871838138</c:v>
                </c:pt>
                <c:pt idx="314">
                  <c:v>261.5400340040419</c:v>
                </c:pt>
                <c:pt idx="315">
                  <c:v>262.00666666666569</c:v>
                </c:pt>
                <c:pt idx="316">
                  <c:v>262.48987893421742</c:v>
                </c:pt>
                <c:pt idx="317">
                  <c:v>262.99088112300126</c:v>
                </c:pt>
                <c:pt idx="318">
                  <c:v>263.51099686834249</c:v>
                </c:pt>
                <c:pt idx="319">
                  <c:v>264.05167700487124</c:v>
                </c:pt>
                <c:pt idx="320">
                  <c:v>264.61451552594667</c:v>
                </c:pt>
                <c:pt idx="321">
                  <c:v>265.20126799554197</c:v>
                </c:pt>
                <c:pt idx="322">
                  <c:v>265.81387286449126</c:v>
                </c:pt>
                <c:pt idx="323">
                  <c:v>266.45447624070272</c:v>
                </c:pt>
                <c:pt idx="324">
                  <c:v>267.12546078507319</c:v>
                </c:pt>
                <c:pt idx="325">
                  <c:v>267.82947955835789</c:v>
                </c:pt>
                <c:pt idx="326">
                  <c:v>268.56918269074646</c:v>
                </c:pt>
                <c:pt idx="327">
                  <c:v>269.32146639168428</c:v>
                </c:pt>
                <c:pt idx="328">
                  <c:v>270.07107457566741</c:v>
                </c:pt>
                <c:pt idx="329">
                  <c:v>270.81889157655451</c:v>
                </c:pt>
                <c:pt idx="330">
                  <c:v>271.56580774512526</c:v>
                </c:pt>
                <c:pt idx="331">
                  <c:v>272.31272544339367</c:v>
                </c:pt>
                <c:pt idx="332">
                  <c:v>273.06056546453215</c:v>
                </c:pt>
                <c:pt idx="333">
                  <c:v>273.81027401802857</c:v>
                </c:pt>
                <c:pt idx="334">
                  <c:v>274.56283044666344</c:v>
                </c:pt>
                <c:pt idx="335">
                  <c:v>275.31925587766716</c:v>
                </c:pt>
                <c:pt idx="336">
                  <c:v>276.08062305788462</c:v>
                </c:pt>
                <c:pt idx="337">
                  <c:v>276.84806768597929</c:v>
                </c:pt>
                <c:pt idx="338">
                  <c:v>277.62280163930677</c:v>
                </c:pt>
                <c:pt idx="339">
                  <c:v>278.40612860852065</c:v>
                </c:pt>
                <c:pt idx="340">
                  <c:v>279.19946280731631</c:v>
                </c:pt>
                <c:pt idx="341">
                  <c:v>280.00435164477841</c:v>
                </c:pt>
                <c:pt idx="342">
                  <c:v>280.82250354855955</c:v>
                </c:pt>
                <c:pt idx="343">
                  <c:v>281.65582256185763</c:v>
                </c:pt>
                <c:pt idx="344">
                  <c:v>282.50645196431117</c:v>
                </c:pt>
                <c:pt idx="345">
                  <c:v>283.37683009484272</c:v>
                </c:pt>
                <c:pt idx="346">
                  <c:v>284.26976295596995</c:v>
                </c:pt>
                <c:pt idx="347">
                  <c:v>285.18852034841871</c:v>
                </c:pt>
                <c:pt idx="348">
                  <c:v>286.13696573649651</c:v>
                </c:pt>
                <c:pt idx="349">
                  <c:v>287.11973571202651</c:v>
                </c:pt>
                <c:pt idx="350">
                  <c:v>288.14249457253425</c:v>
                </c:pt>
                <c:pt idx="351">
                  <c:v>289.21230665876959</c:v>
                </c:pt>
                <c:pt idx="352">
                  <c:v>290.33820105403737</c:v>
                </c:pt>
                <c:pt idx="353">
                  <c:v>291.5320665123603</c:v>
                </c:pt>
                <c:pt idx="354">
                  <c:v>292.81014916107461</c:v>
                </c:pt>
                <c:pt idx="355">
                  <c:v>294.19573955750155</c:v>
                </c:pt>
                <c:pt idx="356">
                  <c:v>295.72446013083072</c:v>
                </c:pt>
                <c:pt idx="357">
                  <c:v>297.45611014821492</c:v>
                </c:pt>
                <c:pt idx="358">
                  <c:v>299.42353522970814</c:v>
                </c:pt>
                <c:pt idx="359">
                  <c:v>300.76716534255382</c:v>
                </c:pt>
                <c:pt idx="360">
                  <c:v>301.21467828612936</c:v>
                </c:pt>
                <c:pt idx="361" formatCode="0.000">
                  <c:v>301.21467828612936</c:v>
                </c:pt>
              </c:numCache>
            </c:numRef>
          </c:xVal>
          <c:yVal>
            <c:numRef>
              <c:f>TLR_Section_Capacity!$BE$2:$BE$363</c:f>
              <c:numCache>
                <c:formatCode>General</c:formatCode>
                <c:ptCount val="362"/>
                <c:pt idx="0">
                  <c:v>47.660000000000046</c:v>
                </c:pt>
                <c:pt idx="1">
                  <c:v>98.93599873313201</c:v>
                </c:pt>
                <c:pt idx="2">
                  <c:v>150.24325245895824</c:v>
                </c:pt>
                <c:pt idx="3">
                  <c:v>195.92029177144141</c:v>
                </c:pt>
                <c:pt idx="4">
                  <c:v>224.52518813094625</c:v>
                </c:pt>
                <c:pt idx="5">
                  <c:v>244.06994871363494</c:v>
                </c:pt>
                <c:pt idx="6">
                  <c:v>258.51931715160043</c:v>
                </c:pt>
                <c:pt idx="7">
                  <c:v>269.76994993849956</c:v>
                </c:pt>
                <c:pt idx="8">
                  <c:v>278.85824130920389</c:v>
                </c:pt>
                <c:pt idx="9">
                  <c:v>286.40464677087823</c:v>
                </c:pt>
                <c:pt idx="10">
                  <c:v>292.80629575804824</c:v>
                </c:pt>
                <c:pt idx="11">
                  <c:v>298.33072901287284</c:v>
                </c:pt>
                <c:pt idx="12">
                  <c:v>303.16564005148859</c:v>
                </c:pt>
                <c:pt idx="13">
                  <c:v>307.44711119040181</c:v>
                </c:pt>
                <c:pt idx="14">
                  <c:v>311.27653353673344</c:v>
                </c:pt>
                <c:pt idx="15">
                  <c:v>314.73120736986647</c:v>
                </c:pt>
                <c:pt idx="16">
                  <c:v>317.87123540041262</c:v>
                </c:pt>
                <c:pt idx="17">
                  <c:v>320.74414962118777</c:v>
                </c:pt>
                <c:pt idx="18">
                  <c:v>323.38810279672066</c:v>
                </c:pt>
                <c:pt idx="19">
                  <c:v>325.83412277502447</c:v>
                </c:pt>
                <c:pt idx="20">
                  <c:v>328.10773839488132</c:v>
                </c:pt>
                <c:pt idx="21">
                  <c:v>330.23017403599681</c:v>
                </c:pt>
                <c:pt idx="22">
                  <c:v>332.21924184471595</c:v>
                </c:pt>
                <c:pt idx="23">
                  <c:v>334.09001809105564</c:v>
                </c:pt>
                <c:pt idx="24">
                  <c:v>335.85536278799395</c:v>
                </c:pt>
                <c:pt idx="25">
                  <c:v>337.5263237714961</c:v>
                </c:pt>
                <c:pt idx="26">
                  <c:v>339.11245443145572</c:v>
                </c:pt>
                <c:pt idx="27">
                  <c:v>340.62206609401818</c:v>
                </c:pt>
                <c:pt idx="28">
                  <c:v>342.06243037639234</c:v>
                </c:pt>
                <c:pt idx="29">
                  <c:v>343.43994283613131</c:v>
                </c:pt>
                <c:pt idx="30">
                  <c:v>344.76025638113367</c:v>
                </c:pt>
                <c:pt idx="31">
                  <c:v>346.02839084085474</c:v>
                </c:pt>
                <c:pt idx="32">
                  <c:v>347.24882358605629</c:v>
                </c:pt>
                <c:pt idx="33">
                  <c:v>348.4255649672819</c:v>
                </c:pt>
                <c:pt idx="34">
                  <c:v>349.56222150027315</c:v>
                </c:pt>
                <c:pt idx="35">
                  <c:v>350.63874395847751</c:v>
                </c:pt>
                <c:pt idx="36">
                  <c:v>351.62596481797613</c:v>
                </c:pt>
                <c:pt idx="37">
                  <c:v>352.53294359836661</c:v>
                </c:pt>
                <c:pt idx="38">
                  <c:v>353.36796576039217</c:v>
                </c:pt>
                <c:pt idx="39">
                  <c:v>354.1382670036914</c:v>
                </c:pt>
                <c:pt idx="40">
                  <c:v>354.8501886636397</c:v>
                </c:pt>
                <c:pt idx="41">
                  <c:v>355.50930690491697</c:v>
                </c:pt>
                <c:pt idx="42">
                  <c:v>356.12054064172816</c:v>
                </c:pt>
                <c:pt idx="43">
                  <c:v>356.68824209514372</c:v>
                </c:pt>
                <c:pt idx="44">
                  <c:v>357.21627310747715</c:v>
                </c:pt>
                <c:pt idx="45">
                  <c:v>357.70806971677558</c:v>
                </c:pt>
                <c:pt idx="46">
                  <c:v>358.16669701021482</c:v>
                </c:pt>
                <c:pt idx="47">
                  <c:v>358.59489589283015</c:v>
                </c:pt>
                <c:pt idx="48">
                  <c:v>358.99512310445783</c:v>
                </c:pt>
                <c:pt idx="49">
                  <c:v>359.36958557548223</c:v>
                </c:pt>
                <c:pt idx="50">
                  <c:v>359.72027001769084</c:v>
                </c:pt>
                <c:pt idx="51">
                  <c:v>360.04896848993633</c:v>
                </c:pt>
                <c:pt idx="52">
                  <c:v>360.35730055151089</c:v>
                </c:pt>
                <c:pt idx="53">
                  <c:v>360.64673251307659</c:v>
                </c:pt>
                <c:pt idx="54">
                  <c:v>360.91859421077299</c:v>
                </c:pt>
                <c:pt idx="55">
                  <c:v>361.17409366012879</c:v>
                </c:pt>
                <c:pt idx="56">
                  <c:v>361.41432988958326</c:v>
                </c:pt>
                <c:pt idx="57">
                  <c:v>361.64030420647794</c:v>
                </c:pt>
                <c:pt idx="58">
                  <c:v>361.85293010947771</c:v>
                </c:pt>
                <c:pt idx="59">
                  <c:v>362.05304202898782</c:v>
                </c:pt>
                <c:pt idx="60">
                  <c:v>362.24140305010872</c:v>
                </c:pt>
                <c:pt idx="61">
                  <c:v>362.41871175002285</c:v>
                </c:pt>
                <c:pt idx="62">
                  <c:v>362.5856082626949</c:v>
                </c:pt>
                <c:pt idx="63">
                  <c:v>362.74267966773454</c:v>
                </c:pt>
                <c:pt idx="64">
                  <c:v>362.89046478672134</c:v>
                </c:pt>
                <c:pt idx="65">
                  <c:v>363.02945845880828</c:v>
                </c:pt>
                <c:pt idx="66">
                  <c:v>363.16011535766899</c:v>
                </c:pt>
                <c:pt idx="67">
                  <c:v>363.28285340352164</c:v>
                </c:pt>
                <c:pt idx="68">
                  <c:v>363.39805681686983</c:v>
                </c:pt>
                <c:pt idx="69">
                  <c:v>363.50607885449864</c:v>
                </c:pt>
                <c:pt idx="70">
                  <c:v>363.60724426303921</c:v>
                </c:pt>
                <c:pt idx="71">
                  <c:v>363.701851480914</c:v>
                </c:pt>
                <c:pt idx="72">
                  <c:v>363.79017461557493</c:v>
                </c:pt>
                <c:pt idx="73">
                  <c:v>363.87246521959651</c:v>
                </c:pt>
                <c:pt idx="74">
                  <c:v>363.9489538862486</c:v>
                </c:pt>
                <c:pt idx="75">
                  <c:v>364.01985168264906</c:v>
                </c:pt>
                <c:pt idx="76">
                  <c:v>364.08535143636368</c:v>
                </c:pt>
                <c:pt idx="77">
                  <c:v>364.14562888939531</c:v>
                </c:pt>
                <c:pt idx="78">
                  <c:v>364.20084373179441</c:v>
                </c:pt>
                <c:pt idx="79">
                  <c:v>364.25114052562839</c:v>
                </c:pt>
                <c:pt idx="80">
                  <c:v>364.29664952872025</c:v>
                </c:pt>
                <c:pt idx="81">
                  <c:v>364.33748742640449</c:v>
                </c:pt>
                <c:pt idx="82">
                  <c:v>364.37375797848728</c:v>
                </c:pt>
                <c:pt idx="83">
                  <c:v>364.40555258768194</c:v>
                </c:pt>
                <c:pt idx="84">
                  <c:v>364.43295079493436</c:v>
                </c:pt>
                <c:pt idx="85">
                  <c:v>364.45602070630565</c:v>
                </c:pt>
                <c:pt idx="86">
                  <c:v>364.47481935538099</c:v>
                </c:pt>
                <c:pt idx="87">
                  <c:v>364.489393004536</c:v>
                </c:pt>
                <c:pt idx="88">
                  <c:v>364.49977738781081</c:v>
                </c:pt>
                <c:pt idx="89">
                  <c:v>364.50599789759269</c:v>
                </c:pt>
                <c:pt idx="90">
                  <c:v>364.50806971677537</c:v>
                </c:pt>
                <c:pt idx="91">
                  <c:v>364.50599789759241</c:v>
                </c:pt>
                <c:pt idx="92">
                  <c:v>364.49977738781098</c:v>
                </c:pt>
                <c:pt idx="93">
                  <c:v>364.48939300453577</c:v>
                </c:pt>
                <c:pt idx="94">
                  <c:v>364.4748193553811</c:v>
                </c:pt>
                <c:pt idx="95">
                  <c:v>364.45602070630611</c:v>
                </c:pt>
                <c:pt idx="96">
                  <c:v>364.43295079493458</c:v>
                </c:pt>
                <c:pt idx="97">
                  <c:v>364.40555258768211</c:v>
                </c:pt>
                <c:pt idx="98">
                  <c:v>364.37375797848767</c:v>
                </c:pt>
                <c:pt idx="99">
                  <c:v>364.33748742640421</c:v>
                </c:pt>
                <c:pt idx="100">
                  <c:v>364.29664952872042</c:v>
                </c:pt>
                <c:pt idx="101">
                  <c:v>364.25114052562827</c:v>
                </c:pt>
                <c:pt idx="102">
                  <c:v>364.20084373179429</c:v>
                </c:pt>
                <c:pt idx="103">
                  <c:v>364.14562888939531</c:v>
                </c:pt>
                <c:pt idx="104">
                  <c:v>364.08535143636357</c:v>
                </c:pt>
                <c:pt idx="105">
                  <c:v>364.01985168264918</c:v>
                </c:pt>
                <c:pt idx="106">
                  <c:v>363.94895388624843</c:v>
                </c:pt>
                <c:pt idx="107">
                  <c:v>363.87246521959679</c:v>
                </c:pt>
                <c:pt idx="108">
                  <c:v>363.79017461557493</c:v>
                </c:pt>
                <c:pt idx="109">
                  <c:v>359.35721854912435</c:v>
                </c:pt>
                <c:pt idx="110">
                  <c:v>353.97681230821723</c:v>
                </c:pt>
                <c:pt idx="111">
                  <c:v>348.64501632461696</c:v>
                </c:pt>
                <c:pt idx="112">
                  <c:v>343.35792314240882</c:v>
                </c:pt>
                <c:pt idx="113">
                  <c:v>338.11174767807574</c:v>
                </c:pt>
                <c:pt idx="114">
                  <c:v>332.90281581716948</c:v>
                </c:pt>
                <c:pt idx="115">
                  <c:v>327.72755367775045</c:v>
                </c:pt>
                <c:pt idx="116">
                  <c:v>322.58247747232531</c:v>
                </c:pt>
                <c:pt idx="117">
                  <c:v>317.46418390735749</c:v>
                </c:pt>
                <c:pt idx="118">
                  <c:v>312.36934106404846</c:v>
                </c:pt>
                <c:pt idx="119">
                  <c:v>307.29467971047137</c:v>
                </c:pt>
                <c:pt idx="120">
                  <c:v>302.23698499945584</c:v>
                </c:pt>
                <c:pt idx="121">
                  <c:v>296.90215089281503</c:v>
                </c:pt>
                <c:pt idx="122">
                  <c:v>290.48004678730007</c:v>
                </c:pt>
                <c:pt idx="123">
                  <c:v>284.00099748819025</c:v>
                </c:pt>
                <c:pt idx="124">
                  <c:v>277.46229954725209</c:v>
                </c:pt>
                <c:pt idx="125">
                  <c:v>270.22291914191794</c:v>
                </c:pt>
                <c:pt idx="126">
                  <c:v>262.71486602536891</c:v>
                </c:pt>
                <c:pt idx="127">
                  <c:v>254.26920943612868</c:v>
                </c:pt>
                <c:pt idx="128">
                  <c:v>245.54843276664519</c:v>
                </c:pt>
                <c:pt idx="129">
                  <c:v>236.59905211674845</c:v>
                </c:pt>
                <c:pt idx="130">
                  <c:v>227.4070015642904</c:v>
                </c:pt>
                <c:pt idx="131">
                  <c:v>217.95719992600681</c:v>
                </c:pt>
                <c:pt idx="132">
                  <c:v>208.23344882671722</c:v>
                </c:pt>
                <c:pt idx="133">
                  <c:v>197.63358745691514</c:v>
                </c:pt>
                <c:pt idx="134">
                  <c:v>187.84593819379805</c:v>
                </c:pt>
                <c:pt idx="135">
                  <c:v>177.8470104785936</c:v>
                </c:pt>
                <c:pt idx="136">
                  <c:v>167.65955048581552</c:v>
                </c:pt>
                <c:pt idx="137">
                  <c:v>157.20977528250401</c:v>
                </c:pt>
                <c:pt idx="138">
                  <c:v>146.52422581760391</c:v>
                </c:pt>
                <c:pt idx="139">
                  <c:v>135.64492954488296</c:v>
                </c:pt>
                <c:pt idx="140">
                  <c:v>124.61870967433535</c:v>
                </c:pt>
                <c:pt idx="141">
                  <c:v>113.49874201507272</c:v>
                </c:pt>
                <c:pt idx="142">
                  <c:v>102.34648430267259</c:v>
                </c:pt>
                <c:pt idx="143">
                  <c:v>91.234032957325923</c:v>
                </c:pt>
                <c:pt idx="144">
                  <c:v>80.246971211013005</c:v>
                </c:pt>
                <c:pt idx="145">
                  <c:v>69.487777131476477</c:v>
                </c:pt>
                <c:pt idx="146">
                  <c:v>59.079871311091665</c:v>
                </c:pt>
                <c:pt idx="147">
                  <c:v>46.820673992164949</c:v>
                </c:pt>
                <c:pt idx="148">
                  <c:v>34.302554638768477</c:v>
                </c:pt>
                <c:pt idx="149">
                  <c:v>23.64991309917751</c:v>
                </c:pt>
                <c:pt idx="150">
                  <c:v>15.158065840977905</c:v>
                </c:pt>
                <c:pt idx="151">
                  <c:v>9.2402237057716885</c:v>
                </c:pt>
                <c:pt idx="152">
                  <c:v>6.4697565478687995</c:v>
                </c:pt>
                <c:pt idx="153">
                  <c:v>6.2251080080745433</c:v>
                </c:pt>
                <c:pt idx="154">
                  <c:v>6.048810361976674</c:v>
                </c:pt>
                <c:pt idx="155">
                  <c:v>5.8601377686053358</c:v>
                </c:pt>
                <c:pt idx="156">
                  <c:v>5.6570496138060387</c:v>
                </c:pt>
                <c:pt idx="157">
                  <c:v>5.437093742207022</c:v>
                </c:pt>
                <c:pt idx="158">
                  <c:v>5.1972991356845331</c:v>
                </c:pt>
                <c:pt idx="159">
                  <c:v>4.9340345244939599</c:v>
                </c:pt>
                <c:pt idx="160">
                  <c:v>4.6428199144988138</c:v>
                </c:pt>
                <c:pt idx="161">
                  <c:v>4.3180721178019459</c:v>
                </c:pt>
                <c:pt idx="162">
                  <c:v>3.9527563399222299</c:v>
                </c:pt>
                <c:pt idx="163">
                  <c:v>3.537901756426578</c:v>
                </c:pt>
                <c:pt idx="164">
                  <c:v>3.0619164511145915</c:v>
                </c:pt>
                <c:pt idx="165">
                  <c:v>2.5096001572564641</c:v>
                </c:pt>
                <c:pt idx="166">
                  <c:v>1.860691128190159</c:v>
                </c:pt>
                <c:pt idx="167">
                  <c:v>1.0876757730174211</c:v>
                </c:pt>
                <c:pt idx="168">
                  <c:v>0.15239647276840707</c:v>
                </c:pt>
                <c:pt idx="169">
                  <c:v>-0.93228228176213634</c:v>
                </c:pt>
                <c:pt idx="170">
                  <c:v>-2.0265074722488432</c:v>
                </c:pt>
                <c:pt idx="171">
                  <c:v>-3.1229835545018672</c:v>
                </c:pt>
                <c:pt idx="172">
                  <c:v>-3.8934452367520027</c:v>
                </c:pt>
                <c:pt idx="173">
                  <c:v>-5.0006372641882297</c:v>
                </c:pt>
                <c:pt idx="174">
                  <c:v>-6.1124083511257314</c:v>
                </c:pt>
                <c:pt idx="175">
                  <c:v>-7.2295712922036346</c:v>
                </c:pt>
                <c:pt idx="176">
                  <c:v>-8.3529603842967131</c:v>
                </c:pt>
                <c:pt idx="177">
                  <c:v>-9.5320326992350228</c:v>
                </c:pt>
                <c:pt idx="178">
                  <c:v>-10.750524017986731</c:v>
                </c:pt>
                <c:pt idx="179">
                  <c:v>-11.991709652391068</c:v>
                </c:pt>
                <c:pt idx="180">
                  <c:v>-13.120480752691879</c:v>
                </c:pt>
                <c:pt idx="181">
                  <c:v>-13.706057541543739</c:v>
                </c:pt>
                <c:pt idx="182">
                  <c:v>-14.335785374649133</c:v>
                </c:pt>
                <c:pt idx="183">
                  <c:v>-14.877673376898281</c:v>
                </c:pt>
                <c:pt idx="184">
                  <c:v>-15.43141146850901</c:v>
                </c:pt>
                <c:pt idx="185">
                  <c:v>-16.043391586559267</c:v>
                </c:pt>
                <c:pt idx="186">
                  <c:v>-16.652173448583266</c:v>
                </c:pt>
                <c:pt idx="187">
                  <c:v>-17.258762581314492</c:v>
                </c:pt>
                <c:pt idx="188">
                  <c:v>-17.864068423764376</c:v>
                </c:pt>
                <c:pt idx="189">
                  <c:v>-18.468924028399563</c:v>
                </c:pt>
                <c:pt idx="190">
                  <c:v>-19.074101815618029</c:v>
                </c:pt>
                <c:pt idx="191">
                  <c:v>-19.680326335925901</c:v>
                </c:pt>
                <c:pt idx="192">
                  <c:v>-20.288284744961647</c:v>
                </c:pt>
                <c:pt idx="193">
                  <c:v>-20.898635518806422</c:v>
                </c:pt>
                <c:pt idx="194">
                  <c:v>-21.512015808831258</c:v>
                </c:pt>
                <c:pt idx="195">
                  <c:v>-22.129047741880175</c:v>
                </c:pt>
                <c:pt idx="196">
                  <c:v>-22.750343902810211</c:v>
                </c:pt>
                <c:pt idx="197">
                  <c:v>-23.371734335687787</c:v>
                </c:pt>
                <c:pt idx="198">
                  <c:v>-23.965330888817547</c:v>
                </c:pt>
                <c:pt idx="199">
                  <c:v>-24.532585814693665</c:v>
                </c:pt>
                <c:pt idx="200">
                  <c:v>-25.079332630297763</c:v>
                </c:pt>
                <c:pt idx="201">
                  <c:v>-25.610125737204147</c:v>
                </c:pt>
                <c:pt idx="202">
                  <c:v>-26.128578281043833</c:v>
                </c:pt>
                <c:pt idx="203">
                  <c:v>-26.637601903744489</c:v>
                </c:pt>
                <c:pt idx="204">
                  <c:v>-27.139579629440806</c:v>
                </c:pt>
                <c:pt idx="205">
                  <c:v>-27.636492395822586</c:v>
                </c:pt>
                <c:pt idx="206">
                  <c:v>-28.130012952989887</c:v>
                </c:pt>
                <c:pt idx="207">
                  <c:v>-28.621576468207039</c:v>
                </c:pt>
                <c:pt idx="208">
                  <c:v>-29.11243429253518</c:v>
                </c:pt>
                <c:pt idx="209">
                  <c:v>-29.603695418141815</c:v>
                </c:pt>
                <c:pt idx="210">
                  <c:v>-30.096358846710125</c:v>
                </c:pt>
                <c:pt idx="211">
                  <c:v>-30.591339188557509</c:v>
                </c:pt>
                <c:pt idx="212">
                  <c:v>-31.089487183844462</c:v>
                </c:pt>
                <c:pt idx="213">
                  <c:v>-31.591606393967755</c:v>
                </c:pt>
                <c:pt idx="214">
                  <c:v>-32.098466995116603</c:v>
                </c:pt>
                <c:pt idx="215">
                  <c:v>-32.610817378433111</c:v>
                </c:pt>
                <c:pt idx="216">
                  <c:v>-33.129394096136267</c:v>
                </c:pt>
                <c:pt idx="217">
                  <c:v>-33.654930572461502</c:v>
                </c:pt>
                <c:pt idx="218">
                  <c:v>-34.188164909949272</c:v>
                </c:pt>
                <c:pt idx="219">
                  <c:v>-34.729847056943733</c:v>
                </c:pt>
                <c:pt idx="220">
                  <c:v>-35.822293944487861</c:v>
                </c:pt>
                <c:pt idx="221">
                  <c:v>-38.064424004920582</c:v>
                </c:pt>
                <c:pt idx="222">
                  <c:v>-41.321661804591635</c:v>
                </c:pt>
                <c:pt idx="223">
                  <c:v>-45.485645936925891</c:v>
                </c:pt>
                <c:pt idx="224">
                  <c:v>-50.471590779781927</c:v>
                </c:pt>
                <c:pt idx="225">
                  <c:v>-56.214023434548388</c:v>
                </c:pt>
                <c:pt idx="226">
                  <c:v>-62.663517743766675</c:v>
                </c:pt>
                <c:pt idx="227">
                  <c:v>-69.784200024416748</c:v>
                </c:pt>
                <c:pt idx="228">
                  <c:v>-77.968798619427545</c:v>
                </c:pt>
                <c:pt idx="229">
                  <c:v>-86.917508294131807</c:v>
                </c:pt>
                <c:pt idx="230">
                  <c:v>-96.528902126149106</c:v>
                </c:pt>
                <c:pt idx="231">
                  <c:v>-107.04036975016194</c:v>
                </c:pt>
                <c:pt idx="232">
                  <c:v>-118.52722190410682</c:v>
                </c:pt>
                <c:pt idx="233">
                  <c:v>-131.08145975110264</c:v>
                </c:pt>
                <c:pt idx="234">
                  <c:v>-138.51382782222973</c:v>
                </c:pt>
                <c:pt idx="235">
                  <c:v>-145.26251352192594</c:v>
                </c:pt>
                <c:pt idx="236">
                  <c:v>-151.59812892361541</c:v>
                </c:pt>
                <c:pt idx="237">
                  <c:v>-157.43567359827586</c:v>
                </c:pt>
                <c:pt idx="238">
                  <c:v>-162.9782142378352</c:v>
                </c:pt>
                <c:pt idx="239">
                  <c:v>-168.2486544866623</c:v>
                </c:pt>
                <c:pt idx="240">
                  <c:v>-173.26835921105422</c:v>
                </c:pt>
                <c:pt idx="241">
                  <c:v>-178.05747731200086</c:v>
                </c:pt>
                <c:pt idx="242">
                  <c:v>-182.63525936617012</c:v>
                </c:pt>
                <c:pt idx="243">
                  <c:v>-187.02038742566941</c:v>
                </c:pt>
                <c:pt idx="244">
                  <c:v>-191.23133783973853</c:v>
                </c:pt>
                <c:pt idx="245">
                  <c:v>-195.28680460933563</c:v>
                </c:pt>
                <c:pt idx="246">
                  <c:v>-199.20622223800305</c:v>
                </c:pt>
                <c:pt idx="247">
                  <c:v>-202.88670309025079</c:v>
                </c:pt>
                <c:pt idx="248">
                  <c:v>-206.43031473956754</c:v>
                </c:pt>
                <c:pt idx="249">
                  <c:v>-209.91046066974317</c:v>
                </c:pt>
                <c:pt idx="250">
                  <c:v>-213.36228146673241</c:v>
                </c:pt>
                <c:pt idx="251">
                  <c:v>-216.83260086794985</c:v>
                </c:pt>
                <c:pt idx="252">
                  <c:v>-220.14266946952191</c:v>
                </c:pt>
                <c:pt idx="253">
                  <c:v>-223.43241082131934</c:v>
                </c:pt>
                <c:pt idx="254">
                  <c:v>-227.01968594893992</c:v>
                </c:pt>
                <c:pt idx="255">
                  <c:v>-230.66175879806991</c:v>
                </c:pt>
                <c:pt idx="256">
                  <c:v>-234.34913074409025</c:v>
                </c:pt>
                <c:pt idx="257">
                  <c:v>-238.0849701518255</c:v>
                </c:pt>
                <c:pt idx="258">
                  <c:v>-241.87259248497958</c:v>
                </c:pt>
                <c:pt idx="259">
                  <c:v>-245.71547324520949</c:v>
                </c:pt>
                <c:pt idx="260">
                  <c:v>-249.61726203174408</c:v>
                </c:pt>
                <c:pt idx="261">
                  <c:v>-253.58179784882012</c:v>
                </c:pt>
                <c:pt idx="262">
                  <c:v>-257.61312580440239</c:v>
                </c:pt>
                <c:pt idx="263">
                  <c:v>-261.71551536222137</c:v>
                </c:pt>
                <c:pt idx="264">
                  <c:v>-265.89348033048111</c:v>
                </c:pt>
                <c:pt idx="265">
                  <c:v>-269.13602070630583</c:v>
                </c:pt>
                <c:pt idx="266">
                  <c:v>-269.15481935538116</c:v>
                </c:pt>
                <c:pt idx="267">
                  <c:v>-269.16939300453583</c:v>
                </c:pt>
                <c:pt idx="268">
                  <c:v>-269.17977738781076</c:v>
                </c:pt>
                <c:pt idx="269">
                  <c:v>-269.18599789759247</c:v>
                </c:pt>
                <c:pt idx="270">
                  <c:v>-269.18806971677554</c:v>
                </c:pt>
                <c:pt idx="271">
                  <c:v>-269.1859978975923</c:v>
                </c:pt>
                <c:pt idx="272">
                  <c:v>-269.17977738781076</c:v>
                </c:pt>
                <c:pt idx="273">
                  <c:v>-269.16939300453589</c:v>
                </c:pt>
                <c:pt idx="274">
                  <c:v>-269.15481935538139</c:v>
                </c:pt>
                <c:pt idx="275">
                  <c:v>-269.13602070630577</c:v>
                </c:pt>
                <c:pt idx="276">
                  <c:v>-269.11295079493431</c:v>
                </c:pt>
                <c:pt idx="277">
                  <c:v>-269.08555258768206</c:v>
                </c:pt>
                <c:pt idx="278">
                  <c:v>-269.0537579784874</c:v>
                </c:pt>
                <c:pt idx="279">
                  <c:v>-269.01748742640467</c:v>
                </c:pt>
                <c:pt idx="280">
                  <c:v>-268.97664952872054</c:v>
                </c:pt>
                <c:pt idx="281">
                  <c:v>-268.93114052562845</c:v>
                </c:pt>
                <c:pt idx="282">
                  <c:v>-268.88084373179476</c:v>
                </c:pt>
                <c:pt idx="283">
                  <c:v>-268.82562888939532</c:v>
                </c:pt>
                <c:pt idx="284">
                  <c:v>-268.76535143636363</c:v>
                </c:pt>
                <c:pt idx="285">
                  <c:v>-268.69985168264918</c:v>
                </c:pt>
                <c:pt idx="286">
                  <c:v>-268.62895388624884</c:v>
                </c:pt>
                <c:pt idx="287">
                  <c:v>-268.55246521959657</c:v>
                </c:pt>
                <c:pt idx="288">
                  <c:v>-268.47017461557522</c:v>
                </c:pt>
                <c:pt idx="289">
                  <c:v>-268.38185148091424</c:v>
                </c:pt>
                <c:pt idx="290">
                  <c:v>-268.28724426303961</c:v>
                </c:pt>
                <c:pt idx="291">
                  <c:v>-268.18607885449887</c:v>
                </c:pt>
                <c:pt idx="292">
                  <c:v>-268.07805681687012</c:v>
                </c:pt>
                <c:pt idx="293">
                  <c:v>-267.96285340352193</c:v>
                </c:pt>
                <c:pt idx="294">
                  <c:v>-267.84011535766916</c:v>
                </c:pt>
                <c:pt idx="295">
                  <c:v>-267.70945845880874</c:v>
                </c:pt>
                <c:pt idx="296">
                  <c:v>-267.57046478672163</c:v>
                </c:pt>
                <c:pt idx="297">
                  <c:v>-267.42267966773494</c:v>
                </c:pt>
                <c:pt idx="298">
                  <c:v>-267.26560826269497</c:v>
                </c:pt>
                <c:pt idx="299">
                  <c:v>-267.0987117500232</c:v>
                </c:pt>
                <c:pt idx="300">
                  <c:v>-266.92140305010923</c:v>
                </c:pt>
                <c:pt idx="301">
                  <c:v>-266.73304202898828</c:v>
                </c:pt>
                <c:pt idx="302">
                  <c:v>-266.53293010947812</c:v>
                </c:pt>
                <c:pt idx="303">
                  <c:v>-266.32030420647845</c:v>
                </c:pt>
                <c:pt idx="304">
                  <c:v>-266.09432988958395</c:v>
                </c:pt>
                <c:pt idx="305">
                  <c:v>-265.85409366012931</c:v>
                </c:pt>
                <c:pt idx="306">
                  <c:v>-265.59859421077323</c:v>
                </c:pt>
                <c:pt idx="307">
                  <c:v>-265.32673251307716</c:v>
                </c:pt>
                <c:pt idx="308">
                  <c:v>-265.03730055151152</c:v>
                </c:pt>
                <c:pt idx="309">
                  <c:v>-264.72896848993679</c:v>
                </c:pt>
                <c:pt idx="310">
                  <c:v>-264.40027001769181</c:v>
                </c:pt>
                <c:pt idx="311">
                  <c:v>-264.04958557548287</c:v>
                </c:pt>
                <c:pt idx="312">
                  <c:v>-263.67512310445863</c:v>
                </c:pt>
                <c:pt idx="313">
                  <c:v>-263.27489589283107</c:v>
                </c:pt>
                <c:pt idx="314">
                  <c:v>-262.84669701021556</c:v>
                </c:pt>
                <c:pt idx="315">
                  <c:v>-262.38806971677667</c:v>
                </c:pt>
                <c:pt idx="316">
                  <c:v>-261.89627310747829</c:v>
                </c:pt>
                <c:pt idx="317">
                  <c:v>-261.36824209514481</c:v>
                </c:pt>
                <c:pt idx="318">
                  <c:v>-260.8005406417293</c:v>
                </c:pt>
                <c:pt idx="319">
                  <c:v>-260.18930690491806</c:v>
                </c:pt>
                <c:pt idx="320">
                  <c:v>-259.5301886636409</c:v>
                </c:pt>
                <c:pt idx="321">
                  <c:v>-258.81826700369231</c:v>
                </c:pt>
                <c:pt idx="322">
                  <c:v>-258.04796576039411</c:v>
                </c:pt>
                <c:pt idx="323">
                  <c:v>-257.2129435983685</c:v>
                </c:pt>
                <c:pt idx="324">
                  <c:v>-256.30596481797835</c:v>
                </c:pt>
                <c:pt idx="325">
                  <c:v>-255.31874395847993</c:v>
                </c:pt>
                <c:pt idx="326">
                  <c:v>-254.24222150027131</c:v>
                </c:pt>
                <c:pt idx="327">
                  <c:v>-253.10556496727</c:v>
                </c:pt>
                <c:pt idx="328">
                  <c:v>-251.92882358601753</c:v>
                </c:pt>
                <c:pt idx="329">
                  <c:v>-250.70839084075794</c:v>
                </c:pt>
                <c:pt idx="330">
                  <c:v>-249.44025638113743</c:v>
                </c:pt>
                <c:pt idx="331">
                  <c:v>-248.11994283613669</c:v>
                </c:pt>
                <c:pt idx="332">
                  <c:v>-246.74243037639991</c:v>
                </c:pt>
                <c:pt idx="333">
                  <c:v>-245.3020660940301</c:v>
                </c:pt>
                <c:pt idx="334">
                  <c:v>-243.79245443147465</c:v>
                </c:pt>
                <c:pt idx="335">
                  <c:v>-242.20632377152734</c:v>
                </c:pt>
                <c:pt idx="336">
                  <c:v>-240.53536278804592</c:v>
                </c:pt>
                <c:pt idx="337">
                  <c:v>-238.77001809114631</c:v>
                </c:pt>
                <c:pt idx="338">
                  <c:v>-236.89924184472034</c:v>
                </c:pt>
                <c:pt idx="339">
                  <c:v>-234.91017403600191</c:v>
                </c:pt>
                <c:pt idx="340">
                  <c:v>-232.78773839488713</c:v>
                </c:pt>
                <c:pt idx="341">
                  <c:v>-230.5141227750303</c:v>
                </c:pt>
                <c:pt idx="342">
                  <c:v>-228.06810279672686</c:v>
                </c:pt>
                <c:pt idx="343">
                  <c:v>-225.42414962119452</c:v>
                </c:pt>
                <c:pt idx="344">
                  <c:v>-222.55123540042015</c:v>
                </c:pt>
                <c:pt idx="345">
                  <c:v>-219.41120736987543</c:v>
                </c:pt>
                <c:pt idx="346">
                  <c:v>-215.9565335367439</c:v>
                </c:pt>
                <c:pt idx="347">
                  <c:v>-212.1271111904158</c:v>
                </c:pt>
                <c:pt idx="348">
                  <c:v>-207.84564005151068</c:v>
                </c:pt>
                <c:pt idx="349">
                  <c:v>-203.01072901292034</c:v>
                </c:pt>
                <c:pt idx="350">
                  <c:v>-197.48629575818151</c:v>
                </c:pt>
                <c:pt idx="351">
                  <c:v>-191.08464677085942</c:v>
                </c:pt>
                <c:pt idx="352">
                  <c:v>-183.5382413092247</c:v>
                </c:pt>
                <c:pt idx="353">
                  <c:v>-174.44994993852552</c:v>
                </c:pt>
                <c:pt idx="354">
                  <c:v>-163.19931715163324</c:v>
                </c:pt>
                <c:pt idx="355">
                  <c:v>-148.74994871367821</c:v>
                </c:pt>
                <c:pt idx="356">
                  <c:v>-129.20518813100691</c:v>
                </c:pt>
                <c:pt idx="357">
                  <c:v>-100.6002917715348</c:v>
                </c:pt>
                <c:pt idx="358">
                  <c:v>-54.92325245909354</c:v>
                </c:pt>
                <c:pt idx="359">
                  <c:v>-3.6159987332678227</c:v>
                </c:pt>
                <c:pt idx="360">
                  <c:v>47.659999999863693</c:v>
                </c:pt>
                <c:pt idx="361" formatCode="0.000">
                  <c:v>47.659999999999371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5"/>
          <c:order val="1"/>
          <c:tx>
            <c:v>mx_my_nominal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TLR_Section_Capacity!$BJ$2:$BJ$363</c:f>
              <c:numCache>
                <c:formatCode>General</c:formatCode>
                <c:ptCount val="362"/>
                <c:pt idx="0">
                  <c:v>334.68297587347706</c:v>
                </c:pt>
                <c:pt idx="1">
                  <c:v>334.18573926950711</c:v>
                </c:pt>
                <c:pt idx="2">
                  <c:v>332.6928169219031</c:v>
                </c:pt>
                <c:pt idx="3">
                  <c:v>330.50678905357768</c:v>
                </c:pt>
                <c:pt idx="4">
                  <c:v>328.58273347870522</c:v>
                </c:pt>
                <c:pt idx="5">
                  <c:v>326.8841550638947</c:v>
                </c:pt>
                <c:pt idx="6">
                  <c:v>325.3446101789757</c:v>
                </c:pt>
                <c:pt idx="7">
                  <c:v>323.92451834707049</c:v>
                </c:pt>
                <c:pt idx="8">
                  <c:v>322.59800117115628</c:v>
                </c:pt>
                <c:pt idx="9">
                  <c:v>321.34700739870675</c:v>
                </c:pt>
                <c:pt idx="10">
                  <c:v>320.15832730275645</c:v>
                </c:pt>
                <c:pt idx="11">
                  <c:v>319.02192856890321</c:v>
                </c:pt>
                <c:pt idx="12">
                  <c:v>317.92996192943752</c:v>
                </c:pt>
                <c:pt idx="13">
                  <c:v>316.8761337204657</c:v>
                </c:pt>
                <c:pt idx="14">
                  <c:v>315.85529217330156</c:v>
                </c:pt>
                <c:pt idx="15">
                  <c:v>314.86314454982721</c:v>
                </c:pt>
                <c:pt idx="16">
                  <c:v>313.89605773812588</c:v>
                </c:pt>
                <c:pt idx="17">
                  <c:v>312.95091395762188</c:v>
                </c:pt>
                <c:pt idx="18">
                  <c:v>312.02500394284624</c:v>
                </c:pt>
                <c:pt idx="19">
                  <c:v>311.11594627197803</c:v>
                </c:pt>
                <c:pt idx="20">
                  <c:v>310.22162534146452</c:v>
                </c:pt>
                <c:pt idx="21">
                  <c:v>309.34014289835812</c:v>
                </c:pt>
                <c:pt idx="22">
                  <c:v>308.46977959923191</c:v>
                </c:pt>
                <c:pt idx="23">
                  <c:v>307.60896409545404</c:v>
                </c:pt>
                <c:pt idx="24">
                  <c:v>306.75624784205229</c:v>
                </c:pt>
                <c:pt idx="25">
                  <c:v>305.91028430849661</c:v>
                </c:pt>
                <c:pt idx="26">
                  <c:v>305.06981160739247</c:v>
                </c:pt>
                <c:pt idx="27">
                  <c:v>304.23363779780442</c:v>
                </c:pt>
                <c:pt idx="28">
                  <c:v>303.40062829392298</c:v>
                </c:pt>
                <c:pt idx="29">
                  <c:v>302.56969493710426</c:v>
                </c:pt>
                <c:pt idx="30">
                  <c:v>301.73978638347376</c:v>
                </c:pt>
                <c:pt idx="31">
                  <c:v>300.90987952954515</c:v>
                </c:pt>
                <c:pt idx="32">
                  <c:v>300.07897175075908</c:v>
                </c:pt>
                <c:pt idx="33">
                  <c:v>299.2460737685455</c:v>
                </c:pt>
                <c:pt idx="34">
                  <c:v>298.41020298972165</c:v>
                </c:pt>
                <c:pt idx="35">
                  <c:v>297.58831062039934</c:v>
                </c:pt>
                <c:pt idx="36">
                  <c:v>296.80606753897177</c:v>
                </c:pt>
                <c:pt idx="37">
                  <c:v>296.06052915633813</c:v>
                </c:pt>
                <c:pt idx="38">
                  <c:v>295.34874762721381</c:v>
                </c:pt>
                <c:pt idx="39">
                  <c:v>294.6680755506041</c:v>
                </c:pt>
                <c:pt idx="40">
                  <c:v>294.0161283621643</c:v>
                </c:pt>
                <c:pt idx="41">
                  <c:v>293.3907522276362</c:v>
                </c:pt>
                <c:pt idx="42">
                  <c:v>292.78999652038192</c:v>
                </c:pt>
                <c:pt idx="43">
                  <c:v>292.21209013666925</c:v>
                </c:pt>
                <c:pt idx="44">
                  <c:v>291.65542103802051</c:v>
                </c:pt>
                <c:pt idx="45">
                  <c:v>291.11851851851861</c:v>
                </c:pt>
                <c:pt idx="46">
                  <c:v>290.60003778226996</c:v>
                </c:pt>
                <c:pt idx="47">
                  <c:v>290.0987464868208</c:v>
                </c:pt>
                <c:pt idx="48">
                  <c:v>289.6135129656858</c:v>
                </c:pt>
                <c:pt idx="49">
                  <c:v>289.14329588996378</c:v>
                </c:pt>
                <c:pt idx="50">
                  <c:v>288.68713516741951</c:v>
                </c:pt>
                <c:pt idx="51">
                  <c:v>288.24414390902092</c:v>
                </c:pt>
                <c:pt idx="52">
                  <c:v>287.81350131906447</c:v>
                </c:pt>
                <c:pt idx="53">
                  <c:v>287.39444638673848</c:v>
                </c:pt>
                <c:pt idx="54">
                  <c:v>286.98627227504409</c:v>
                </c:pt>
                <c:pt idx="55">
                  <c:v>286.58832131813188</c:v>
                </c:pt>
                <c:pt idx="56">
                  <c:v>286.19998055080413</c:v>
                </c:pt>
                <c:pt idx="57">
                  <c:v>285.82067770461418</c:v>
                </c:pt>
                <c:pt idx="58">
                  <c:v>285.44987761403723</c:v>
                </c:pt>
                <c:pt idx="59">
                  <c:v>285.0870789838238</c:v>
                </c:pt>
                <c:pt idx="60">
                  <c:v>284.73181147516169</c:v>
                </c:pt>
                <c:pt idx="61">
                  <c:v>284.38363307380479</c:v>
                </c:pt>
                <c:pt idx="62">
                  <c:v>284.04212770806976</c:v>
                </c:pt>
                <c:pt idx="63">
                  <c:v>283.70690308865653</c:v>
                </c:pt>
                <c:pt idx="64">
                  <c:v>283.37758874573598</c:v>
                </c:pt>
                <c:pt idx="65">
                  <c:v>283.05383424174948</c:v>
                </c:pt>
                <c:pt idx="66">
                  <c:v>282.73530754095862</c:v>
                </c:pt>
                <c:pt idx="67">
                  <c:v>282.42169351901913</c:v>
                </c:pt>
                <c:pt idx="68">
                  <c:v>282.11269259780534</c:v>
                </c:pt>
                <c:pt idx="69">
                  <c:v>281.80801949238702</c:v>
                </c:pt>
                <c:pt idx="70">
                  <c:v>281.50740205854106</c:v>
                </c:pt>
                <c:pt idx="71">
                  <c:v>281.21058023045117</c:v>
                </c:pt>
                <c:pt idx="72">
                  <c:v>280.91730503937129</c:v>
                </c:pt>
                <c:pt idx="73">
                  <c:v>280.627337705005</c:v>
                </c:pt>
                <c:pt idx="74">
                  <c:v>280.34044879220716</c:v>
                </c:pt>
                <c:pt idx="75">
                  <c:v>280.05641742636658</c:v>
                </c:pt>
                <c:pt idx="76">
                  <c:v>279.77503056148214</c:v>
                </c:pt>
                <c:pt idx="77">
                  <c:v>279.496082295527</c:v>
                </c:pt>
                <c:pt idx="78">
                  <c:v>279.21937322819878</c:v>
                </c:pt>
                <c:pt idx="79">
                  <c:v>278.94470985659962</c:v>
                </c:pt>
                <c:pt idx="80">
                  <c:v>278.67190400477972</c:v>
                </c:pt>
                <c:pt idx="81">
                  <c:v>278.40077228342261</c:v>
                </c:pt>
                <c:pt idx="82">
                  <c:v>278.13113557624342</c:v>
                </c:pt>
                <c:pt idx="83">
                  <c:v>277.86281854994013</c:v>
                </c:pt>
                <c:pt idx="84">
                  <c:v>277.59564918475536</c:v>
                </c:pt>
                <c:pt idx="85">
                  <c:v>277.32945832291017</c:v>
                </c:pt>
                <c:pt idx="86">
                  <c:v>277.06407923233144</c:v>
                </c:pt>
                <c:pt idx="87">
                  <c:v>276.79934718324012</c:v>
                </c:pt>
                <c:pt idx="88">
                  <c:v>276.53509903528271</c:v>
                </c:pt>
                <c:pt idx="89">
                  <c:v>276.27117283298941</c:v>
                </c:pt>
                <c:pt idx="90">
                  <c:v>276.00740740740741</c:v>
                </c:pt>
                <c:pt idx="91">
                  <c:v>275.74364198182542</c:v>
                </c:pt>
                <c:pt idx="92">
                  <c:v>275.47971577953217</c:v>
                </c:pt>
                <c:pt idx="93">
                  <c:v>275.21546763157471</c:v>
                </c:pt>
                <c:pt idx="94">
                  <c:v>274.95073558248316</c:v>
                </c:pt>
                <c:pt idx="95">
                  <c:v>274.68535649190449</c:v>
                </c:pt>
                <c:pt idx="96">
                  <c:v>274.41916563005941</c:v>
                </c:pt>
                <c:pt idx="97">
                  <c:v>274.1519962648747</c:v>
                </c:pt>
                <c:pt idx="98">
                  <c:v>273.88367923857123</c:v>
                </c:pt>
                <c:pt idx="99">
                  <c:v>273.6140425313921</c:v>
                </c:pt>
                <c:pt idx="100">
                  <c:v>273.34291081003505</c:v>
                </c:pt>
                <c:pt idx="101">
                  <c:v>273.0701049582151</c:v>
                </c:pt>
                <c:pt idx="102">
                  <c:v>272.79544158661605</c:v>
                </c:pt>
                <c:pt idx="103">
                  <c:v>272.51873251928788</c:v>
                </c:pt>
                <c:pt idx="104">
                  <c:v>272.23978425333257</c:v>
                </c:pt>
                <c:pt idx="105">
                  <c:v>271.9583973884483</c:v>
                </c:pt>
                <c:pt idx="106">
                  <c:v>271.67436602260756</c:v>
                </c:pt>
                <c:pt idx="107">
                  <c:v>271.38747710980977</c:v>
                </c:pt>
                <c:pt idx="108">
                  <c:v>271.09750977544354</c:v>
                </c:pt>
                <c:pt idx="109">
                  <c:v>270.89909022709162</c:v>
                </c:pt>
                <c:pt idx="110">
                  <c:v>270.7210590734594</c:v>
                </c:pt>
                <c:pt idx="111">
                  <c:v>270.54182820849053</c:v>
                </c:pt>
                <c:pt idx="112">
                  <c:v>270.36129937791156</c:v>
                </c:pt>
                <c:pt idx="113">
                  <c:v>270.17937306511709</c:v>
                </c:pt>
                <c:pt idx="114">
                  <c:v>269.99594845081231</c:v>
                </c:pt>
                <c:pt idx="115">
                  <c:v>269.81092339518534</c:v>
                </c:pt>
                <c:pt idx="116">
                  <c:v>269.62419444701209</c:v>
                </c:pt>
                <c:pt idx="117">
                  <c:v>269.43565688593787</c:v>
                </c:pt>
                <c:pt idx="118">
                  <c:v>269.24520480431568</c:v>
                </c:pt>
                <c:pt idx="119">
                  <c:v>269.05273123747116</c:v>
                </c:pt>
                <c:pt idx="120">
                  <c:v>268.85812835257303</c:v>
                </c:pt>
                <c:pt idx="121">
                  <c:v>267.83152773274742</c:v>
                </c:pt>
                <c:pt idx="122">
                  <c:v>263.74296575323018</c:v>
                </c:pt>
                <c:pt idx="123">
                  <c:v>259.58241138554843</c:v>
                </c:pt>
                <c:pt idx="124">
                  <c:v>255.34580867462472</c:v>
                </c:pt>
                <c:pt idx="125">
                  <c:v>249.61159616224023</c:v>
                </c:pt>
                <c:pt idx="126">
                  <c:v>243.40836068686477</c:v>
                </c:pt>
                <c:pt idx="127">
                  <c:v>235.48334207045949</c:v>
                </c:pt>
                <c:pt idx="128">
                  <c:v>227.18501337061414</c:v>
                </c:pt>
                <c:pt idx="129">
                  <c:v>218.61254300356961</c:v>
                </c:pt>
                <c:pt idx="130">
                  <c:v>209.74527139786696</c:v>
                </c:pt>
                <c:pt idx="131">
                  <c:v>200.56047106422471</c:v>
                </c:pt>
                <c:pt idx="132">
                  <c:v>191.03305449307393</c:v>
                </c:pt>
                <c:pt idx="133">
                  <c:v>180.35857036192795</c:v>
                </c:pt>
                <c:pt idx="134">
                  <c:v>169.17151430574833</c:v>
                </c:pt>
                <c:pt idx="135">
                  <c:v>157.54325302056736</c:v>
                </c:pt>
                <c:pt idx="136">
                  <c:v>145.7546496179317</c:v>
                </c:pt>
                <c:pt idx="137">
                  <c:v>133.53249031992061</c:v>
                </c:pt>
                <c:pt idx="138">
                  <c:v>120.98983326224041</c:v>
                </c:pt>
                <c:pt idx="139">
                  <c:v>108.2528792140253</c:v>
                </c:pt>
                <c:pt idx="140">
                  <c:v>95.435518184231597</c:v>
                </c:pt>
                <c:pt idx="141">
                  <c:v>82.642529013071027</c:v>
                </c:pt>
                <c:pt idx="142">
                  <c:v>69.972190141814565</c:v>
                </c:pt>
                <c:pt idx="143">
                  <c:v>57.518267326869363</c:v>
                </c:pt>
                <c:pt idx="144">
                  <c:v>45.37119824673016</c:v>
                </c:pt>
                <c:pt idx="145">
                  <c:v>33.618038686587305</c:v>
                </c:pt>
                <c:pt idx="146">
                  <c:v>22.34024600599335</c:v>
                </c:pt>
                <c:pt idx="147">
                  <c:v>10.974560871425178</c:v>
                </c:pt>
                <c:pt idx="148">
                  <c:v>-0.25739341257922393</c:v>
                </c:pt>
                <c:pt idx="149">
                  <c:v>-9.5107649654755608</c:v>
                </c:pt>
                <c:pt idx="150">
                  <c:v>-16.651754265365231</c:v>
                </c:pt>
                <c:pt idx="151">
                  <c:v>-21.480871785712274</c:v>
                </c:pt>
                <c:pt idx="152">
                  <c:v>-23.717072393086543</c:v>
                </c:pt>
                <c:pt idx="153">
                  <c:v>-24.006316775577833</c:v>
                </c:pt>
                <c:pt idx="154">
                  <c:v>-24.246417446898086</c:v>
                </c:pt>
                <c:pt idx="155">
                  <c:v>-24.497769183609623</c:v>
                </c:pt>
                <c:pt idx="156">
                  <c:v>-24.761730085740087</c:v>
                </c:pt>
                <c:pt idx="157">
                  <c:v>-25.039860475562467</c:v>
                </c:pt>
                <c:pt idx="158">
                  <c:v>-25.33396567582313</c:v>
                </c:pt>
                <c:pt idx="159">
                  <c:v>-25.646149972938591</c:v>
                </c:pt>
                <c:pt idx="160">
                  <c:v>-25.978885404376918</c:v>
                </c:pt>
                <c:pt idx="161">
                  <c:v>-26.335100434750224</c:v>
                </c:pt>
                <c:pt idx="162">
                  <c:v>-26.718295675665619</c:v>
                </c:pt>
                <c:pt idx="163">
                  <c:v>-27.132696929104856</c:v>
                </c:pt>
                <c:pt idx="164">
                  <c:v>-27.583460590250738</c:v>
                </c:pt>
                <c:pt idx="165">
                  <c:v>-28.076953860510688</c:v>
                </c:pt>
                <c:pt idx="166">
                  <c:v>-28.621144049721018</c:v>
                </c:pt>
                <c:pt idx="167">
                  <c:v>-29.226150655618142</c:v>
                </c:pt>
                <c:pt idx="168">
                  <c:v>-29.905046752516583</c:v>
                </c:pt>
                <c:pt idx="169">
                  <c:v>-30.641792077973889</c:v>
                </c:pt>
                <c:pt idx="170">
                  <c:v>-31.360740628110612</c:v>
                </c:pt>
                <c:pt idx="171">
                  <c:v>-32.058386641108726</c:v>
                </c:pt>
                <c:pt idx="172">
                  <c:v>-32.961748193989706</c:v>
                </c:pt>
                <c:pt idx="173">
                  <c:v>-33.626507648355783</c:v>
                </c:pt>
                <c:pt idx="174">
                  <c:v>-34.271567249146109</c:v>
                </c:pt>
                <c:pt idx="175">
                  <c:v>-34.897440033075625</c:v>
                </c:pt>
                <c:pt idx="176">
                  <c:v>-35.504607624344828</c:v>
                </c:pt>
                <c:pt idx="177">
                  <c:v>-36.044257546723777</c:v>
                </c:pt>
                <c:pt idx="178">
                  <c:v>-36.533313599131944</c:v>
                </c:pt>
                <c:pt idx="179">
                  <c:v>-36.781040709386041</c:v>
                </c:pt>
                <c:pt idx="180">
                  <c:v>-36.625934135353148</c:v>
                </c:pt>
                <c:pt idx="181">
                  <c:v>-36.838930859403028</c:v>
                </c:pt>
                <c:pt idx="182">
                  <c:v>-36.618804705321566</c:v>
                </c:pt>
                <c:pt idx="183">
                  <c:v>-36.202518473274495</c:v>
                </c:pt>
                <c:pt idx="184">
                  <c:v>-35.78996697655672</c:v>
                </c:pt>
                <c:pt idx="185">
                  <c:v>-35.349255019552864</c:v>
                </c:pt>
                <c:pt idx="186">
                  <c:v>-34.919674555966722</c:v>
                </c:pt>
                <c:pt idx="187">
                  <c:v>-34.497820349136589</c:v>
                </c:pt>
                <c:pt idx="188">
                  <c:v>-34.080725995950864</c:v>
                </c:pt>
                <c:pt idx="189">
                  <c:v>-33.66577510069849</c:v>
                </c:pt>
                <c:pt idx="190">
                  <c:v>-33.250630654491559</c:v>
                </c:pt>
                <c:pt idx="191">
                  <c:v>-32.833178218940645</c:v>
                </c:pt>
                <c:pt idx="192">
                  <c:v>-32.411479663037923</c:v>
                </c:pt>
                <c:pt idx="193">
                  <c:v>-31.983735022236768</c:v>
                </c:pt>
                <c:pt idx="194">
                  <c:v>-31.548250640111196</c:v>
                </c:pt>
                <c:pt idx="195">
                  <c:v>-31.103412183978605</c:v>
                </c:pt>
                <c:pt idx="196">
                  <c:v>-30.647661442903317</c:v>
                </c:pt>
                <c:pt idx="197">
                  <c:v>-30.184538112627269</c:v>
                </c:pt>
                <c:pt idx="198">
                  <c:v>-29.744351560985141</c:v>
                </c:pt>
                <c:pt idx="199">
                  <c:v>-29.328329104204485</c:v>
                </c:pt>
                <c:pt idx="200">
                  <c:v>-28.932292483814482</c:v>
                </c:pt>
                <c:pt idx="201">
                  <c:v>-28.55273446549996</c:v>
                </c:pt>
                <c:pt idx="202">
                  <c:v>-28.186673280024017</c:v>
                </c:pt>
                <c:pt idx="203">
                  <c:v>-27.831542209434023</c:v>
                </c:pt>
                <c:pt idx="204">
                  <c:v>-27.485104577723579</c:v>
                </c:pt>
                <c:pt idx="205">
                  <c:v>-27.145387369036701</c:v>
                </c:pt>
                <c:pt idx="206">
                  <c:v>-26.810628676591271</c:v>
                </c:pt>
                <c:pt idx="207">
                  <c:v>-26.479235532351929</c:v>
                </c:pt>
                <c:pt idx="208">
                  <c:v>-26.149749598536516</c:v>
                </c:pt>
                <c:pt idx="209">
                  <c:v>-25.820818855089374</c:v>
                </c:pt>
                <c:pt idx="210">
                  <c:v>-25.491173881300075</c:v>
                </c:pt>
                <c:pt idx="211">
                  <c:v>-25.159607663187902</c:v>
                </c:pt>
                <c:pt idx="212">
                  <c:v>-24.824958100167326</c:v>
                </c:pt>
                <c:pt idx="213">
                  <c:v>-24.486092561202099</c:v>
                </c:pt>
                <c:pt idx="214">
                  <c:v>-24.14189397026502</c:v>
                </c:pt>
                <c:pt idx="215">
                  <c:v>-23.791247995955416</c:v>
                </c:pt>
                <c:pt idx="216">
                  <c:v>-23.433030989331229</c:v>
                </c:pt>
                <c:pt idx="217">
                  <c:v>-23.066098363492046</c:v>
                </c:pt>
                <c:pt idx="218">
                  <c:v>-22.689273142724335</c:v>
                </c:pt>
                <c:pt idx="219">
                  <c:v>-22.301334430009366</c:v>
                </c:pt>
                <c:pt idx="220">
                  <c:v>-21.329606393948218</c:v>
                </c:pt>
                <c:pt idx="221">
                  <c:v>-19.090775514529049</c:v>
                </c:pt>
                <c:pt idx="222">
                  <c:v>-15.65540523328356</c:v>
                </c:pt>
                <c:pt idx="223">
                  <c:v>-11.07783355364467</c:v>
                </c:pt>
                <c:pt idx="224">
                  <c:v>-5.3954460765818952</c:v>
                </c:pt>
                <c:pt idx="225">
                  <c:v>1.369592902444116</c:v>
                </c:pt>
                <c:pt idx="226">
                  <c:v>9.2090932030075123</c:v>
                </c:pt>
                <c:pt idx="227">
                  <c:v>18.128015987181932</c:v>
                </c:pt>
                <c:pt idx="228">
                  <c:v>28.187087465426725</c:v>
                </c:pt>
                <c:pt idx="229">
                  <c:v>39.152559650131714</c:v>
                </c:pt>
                <c:pt idx="230">
                  <c:v>51.062256706593686</c:v>
                </c:pt>
                <c:pt idx="231">
                  <c:v>64.070846708472232</c:v>
                </c:pt>
                <c:pt idx="232">
                  <c:v>78.241716799781273</c:v>
                </c:pt>
                <c:pt idx="233">
                  <c:v>93.653208657462898</c:v>
                </c:pt>
                <c:pt idx="234">
                  <c:v>105.92811558841963</c:v>
                </c:pt>
                <c:pt idx="235">
                  <c:v>118.03733345583484</c:v>
                </c:pt>
                <c:pt idx="236">
                  <c:v>129.7189774259864</c:v>
                </c:pt>
                <c:pt idx="237">
                  <c:v>140.81858476360222</c:v>
                </c:pt>
                <c:pt idx="238">
                  <c:v>151.61887680306455</c:v>
                </c:pt>
                <c:pt idx="239">
                  <c:v>162.13537071976418</c:v>
                </c:pt>
                <c:pt idx="240">
                  <c:v>172.38152217016309</c:v>
                </c:pt>
                <c:pt idx="241">
                  <c:v>182.36869932632118</c:v>
                </c:pt>
                <c:pt idx="242">
                  <c:v>192.1060756667151</c:v>
                </c:pt>
                <c:pt idx="243">
                  <c:v>201.60042079452197</c:v>
                </c:pt>
                <c:pt idx="244">
                  <c:v>210.85575619817675</c:v>
                </c:pt>
                <c:pt idx="245">
                  <c:v>219.87282406954031</c:v>
                </c:pt>
                <c:pt idx="246">
                  <c:v>228.6482875834802</c:v>
                </c:pt>
                <c:pt idx="247">
                  <c:v>236.90199098382553</c:v>
                </c:pt>
                <c:pt idx="248">
                  <c:v>244.75289276812839</c:v>
                </c:pt>
                <c:pt idx="249">
                  <c:v>252.25420198305645</c:v>
                </c:pt>
                <c:pt idx="250">
                  <c:v>259.34169829043753</c:v>
                </c:pt>
                <c:pt idx="251">
                  <c:v>265.91580277430381</c:v>
                </c:pt>
                <c:pt idx="252">
                  <c:v>270.72858885415803</c:v>
                </c:pt>
                <c:pt idx="253">
                  <c:v>272.86879599628173</c:v>
                </c:pt>
                <c:pt idx="254">
                  <c:v>273.09494782264716</c:v>
                </c:pt>
                <c:pt idx="255">
                  <c:v>273.23563102764467</c:v>
                </c:pt>
                <c:pt idx="256">
                  <c:v>273.37641822421557</c:v>
                </c:pt>
                <c:pt idx="257">
                  <c:v>273.51735487621136</c:v>
                </c:pt>
                <c:pt idx="258">
                  <c:v>273.65848881592763</c:v>
                </c:pt>
                <c:pt idx="259">
                  <c:v>273.79987012867412</c:v>
                </c:pt>
                <c:pt idx="260">
                  <c:v>273.94155106595383</c:v>
                </c:pt>
                <c:pt idx="261">
                  <c:v>274.08358598437871</c:v>
                </c:pt>
                <c:pt idx="262">
                  <c:v>274.22603130791924</c:v>
                </c:pt>
                <c:pt idx="263">
                  <c:v>274.36894551152471</c:v>
                </c:pt>
                <c:pt idx="264">
                  <c:v>274.51238912419001</c:v>
                </c:pt>
                <c:pt idx="265">
                  <c:v>274.68535649190414</c:v>
                </c:pt>
                <c:pt idx="266">
                  <c:v>274.95073558248288</c:v>
                </c:pt>
                <c:pt idx="267">
                  <c:v>275.21546763157448</c:v>
                </c:pt>
                <c:pt idx="268">
                  <c:v>275.47971577953172</c:v>
                </c:pt>
                <c:pt idx="269">
                  <c:v>275.74364198182502</c:v>
                </c:pt>
                <c:pt idx="270">
                  <c:v>276.00740740740696</c:v>
                </c:pt>
                <c:pt idx="271">
                  <c:v>276.2711728329889</c:v>
                </c:pt>
                <c:pt idx="272">
                  <c:v>276.53509903528231</c:v>
                </c:pt>
                <c:pt idx="273">
                  <c:v>276.79934718323966</c:v>
                </c:pt>
                <c:pt idx="274">
                  <c:v>277.0640792323311</c:v>
                </c:pt>
                <c:pt idx="275">
                  <c:v>277.32945832290977</c:v>
                </c:pt>
                <c:pt idx="276">
                  <c:v>277.59564918475496</c:v>
                </c:pt>
                <c:pt idx="277">
                  <c:v>277.86281854993979</c:v>
                </c:pt>
                <c:pt idx="278">
                  <c:v>278.13113557624297</c:v>
                </c:pt>
                <c:pt idx="279">
                  <c:v>278.40077228342216</c:v>
                </c:pt>
                <c:pt idx="280">
                  <c:v>278.67190400477926</c:v>
                </c:pt>
                <c:pt idx="281">
                  <c:v>278.94470985659916</c:v>
                </c:pt>
                <c:pt idx="282">
                  <c:v>279.21937322819844</c:v>
                </c:pt>
                <c:pt idx="283">
                  <c:v>279.49608229552655</c:v>
                </c:pt>
                <c:pt idx="284">
                  <c:v>279.77503056148157</c:v>
                </c:pt>
                <c:pt idx="285">
                  <c:v>280.05641742636612</c:v>
                </c:pt>
                <c:pt idx="286">
                  <c:v>280.3404487922067</c:v>
                </c:pt>
                <c:pt idx="287">
                  <c:v>280.62733770500444</c:v>
                </c:pt>
                <c:pt idx="288">
                  <c:v>280.91730503937083</c:v>
                </c:pt>
                <c:pt idx="289">
                  <c:v>281.21058023045077</c:v>
                </c:pt>
                <c:pt idx="290">
                  <c:v>281.50740205854061</c:v>
                </c:pt>
                <c:pt idx="291">
                  <c:v>281.80801949238645</c:v>
                </c:pt>
                <c:pt idx="292">
                  <c:v>282.11269259780477</c:v>
                </c:pt>
                <c:pt idx="293">
                  <c:v>282.42169351901867</c:v>
                </c:pt>
                <c:pt idx="294">
                  <c:v>282.73530754095805</c:v>
                </c:pt>
                <c:pt idx="295">
                  <c:v>283.05383424174897</c:v>
                </c:pt>
                <c:pt idx="296">
                  <c:v>283.37758874573535</c:v>
                </c:pt>
                <c:pt idx="297">
                  <c:v>283.70690308865596</c:v>
                </c:pt>
                <c:pt idx="298">
                  <c:v>284.04212770806902</c:v>
                </c:pt>
                <c:pt idx="299">
                  <c:v>284.38363307380416</c:v>
                </c:pt>
                <c:pt idx="300">
                  <c:v>284.73181147516112</c:v>
                </c:pt>
                <c:pt idx="301">
                  <c:v>285.08707898382306</c:v>
                </c:pt>
                <c:pt idx="302">
                  <c:v>285.44987761403661</c:v>
                </c:pt>
                <c:pt idx="303">
                  <c:v>285.8206777046135</c:v>
                </c:pt>
                <c:pt idx="304">
                  <c:v>286.19998055080339</c:v>
                </c:pt>
                <c:pt idx="305">
                  <c:v>286.58832131813108</c:v>
                </c:pt>
                <c:pt idx="306">
                  <c:v>286.98627227504312</c:v>
                </c:pt>
                <c:pt idx="307">
                  <c:v>287.39444638673768</c:v>
                </c:pt>
                <c:pt idx="308">
                  <c:v>287.81350131906368</c:v>
                </c:pt>
                <c:pt idx="309">
                  <c:v>288.24414390901995</c:v>
                </c:pt>
                <c:pt idx="310">
                  <c:v>288.68713516741877</c:v>
                </c:pt>
                <c:pt idx="311">
                  <c:v>289.14329588996281</c:v>
                </c:pt>
                <c:pt idx="312">
                  <c:v>289.61351296568489</c:v>
                </c:pt>
                <c:pt idx="313">
                  <c:v>290.09874648682</c:v>
                </c:pt>
                <c:pt idx="314">
                  <c:v>290.60003778226877</c:v>
                </c:pt>
                <c:pt idx="315">
                  <c:v>291.11851851851742</c:v>
                </c:pt>
                <c:pt idx="316">
                  <c:v>291.65542103801937</c:v>
                </c:pt>
                <c:pt idx="317">
                  <c:v>292.21209013666805</c:v>
                </c:pt>
                <c:pt idx="318">
                  <c:v>292.78999652038056</c:v>
                </c:pt>
                <c:pt idx="319">
                  <c:v>293.39075222763472</c:v>
                </c:pt>
                <c:pt idx="320">
                  <c:v>294.01612836216299</c:v>
                </c:pt>
                <c:pt idx="321">
                  <c:v>294.66807555060217</c:v>
                </c:pt>
                <c:pt idx="322">
                  <c:v>295.3487476272125</c:v>
                </c:pt>
                <c:pt idx="323">
                  <c:v>296.06052915633637</c:v>
                </c:pt>
                <c:pt idx="324">
                  <c:v>296.80606753897018</c:v>
                </c:pt>
                <c:pt idx="325">
                  <c:v>297.58831062039764</c:v>
                </c:pt>
                <c:pt idx="326">
                  <c:v>298.4102029897183</c:v>
                </c:pt>
                <c:pt idx="327">
                  <c:v>299.24607376853811</c:v>
                </c:pt>
                <c:pt idx="328">
                  <c:v>300.07897175074157</c:v>
                </c:pt>
                <c:pt idx="329">
                  <c:v>300.90987952950502</c:v>
                </c:pt>
                <c:pt idx="330">
                  <c:v>301.73978638347251</c:v>
                </c:pt>
                <c:pt idx="331">
                  <c:v>302.56969493710409</c:v>
                </c:pt>
                <c:pt idx="332">
                  <c:v>303.40062829392463</c:v>
                </c:pt>
                <c:pt idx="333">
                  <c:v>304.23363779780954</c:v>
                </c:pt>
                <c:pt idx="334">
                  <c:v>305.06981160740384</c:v>
                </c:pt>
                <c:pt idx="335">
                  <c:v>305.91028430851907</c:v>
                </c:pt>
                <c:pt idx="336">
                  <c:v>306.75624784209401</c:v>
                </c:pt>
                <c:pt idx="337">
                  <c:v>307.60896409553254</c:v>
                </c:pt>
                <c:pt idx="338">
                  <c:v>308.46977959922975</c:v>
                </c:pt>
                <c:pt idx="339">
                  <c:v>309.34014289835625</c:v>
                </c:pt>
                <c:pt idx="340">
                  <c:v>310.22162534146258</c:v>
                </c:pt>
                <c:pt idx="341">
                  <c:v>311.11594627197599</c:v>
                </c:pt>
                <c:pt idx="342">
                  <c:v>312.02500394284397</c:v>
                </c:pt>
                <c:pt idx="343">
                  <c:v>312.9509139576196</c:v>
                </c:pt>
                <c:pt idx="344">
                  <c:v>313.89605773812349</c:v>
                </c:pt>
                <c:pt idx="345">
                  <c:v>314.86314454982522</c:v>
                </c:pt>
                <c:pt idx="346">
                  <c:v>315.85529217329992</c:v>
                </c:pt>
                <c:pt idx="347">
                  <c:v>316.87613372046525</c:v>
                </c:pt>
                <c:pt idx="348">
                  <c:v>317.92996192944054</c:v>
                </c:pt>
                <c:pt idx="349">
                  <c:v>319.02192856891833</c:v>
                </c:pt>
                <c:pt idx="350">
                  <c:v>320.15832730281585</c:v>
                </c:pt>
                <c:pt idx="351">
                  <c:v>321.34700739863285</c:v>
                </c:pt>
                <c:pt idx="352">
                  <c:v>322.59800117115265</c:v>
                </c:pt>
                <c:pt idx="353">
                  <c:v>323.92451834706702</c:v>
                </c:pt>
                <c:pt idx="354">
                  <c:v>325.34461017897178</c:v>
                </c:pt>
                <c:pt idx="355">
                  <c:v>326.8841550638906</c:v>
                </c:pt>
                <c:pt idx="356">
                  <c:v>328.58273347870079</c:v>
                </c:pt>
                <c:pt idx="357">
                  <c:v>330.50678905357211</c:v>
                </c:pt>
                <c:pt idx="358">
                  <c:v>332.69281692189793</c:v>
                </c:pt>
                <c:pt idx="359">
                  <c:v>334.18573926950427</c:v>
                </c:pt>
                <c:pt idx="360">
                  <c:v>334.68297587347706</c:v>
                </c:pt>
                <c:pt idx="361">
                  <c:v>334.68297587347706</c:v>
                </c:pt>
              </c:numCache>
            </c:numRef>
          </c:xVal>
          <c:yVal>
            <c:numRef>
              <c:f>TLR_Section_Capacity!$BK$2:$BK$363</c:f>
              <c:numCache>
                <c:formatCode>General</c:formatCode>
                <c:ptCount val="362"/>
                <c:pt idx="0">
                  <c:v>52.955555555555605</c:v>
                </c:pt>
                <c:pt idx="1">
                  <c:v>109.92888748125779</c:v>
                </c:pt>
                <c:pt idx="2">
                  <c:v>166.93694717662027</c:v>
                </c:pt>
                <c:pt idx="3">
                  <c:v>217.68921307937933</c:v>
                </c:pt>
                <c:pt idx="4">
                  <c:v>249.47243125660694</c:v>
                </c:pt>
                <c:pt idx="5">
                  <c:v>271.18883190403881</c:v>
                </c:pt>
                <c:pt idx="6">
                  <c:v>287.2436857240005</c:v>
                </c:pt>
                <c:pt idx="7">
                  <c:v>299.74438882055506</c:v>
                </c:pt>
                <c:pt idx="8">
                  <c:v>309.84249034355986</c:v>
                </c:pt>
                <c:pt idx="9">
                  <c:v>318.22738530097581</c:v>
                </c:pt>
                <c:pt idx="10">
                  <c:v>325.34032862005358</c:v>
                </c:pt>
                <c:pt idx="11">
                  <c:v>331.47858779208093</c:v>
                </c:pt>
                <c:pt idx="12">
                  <c:v>336.85071116832063</c:v>
                </c:pt>
                <c:pt idx="13">
                  <c:v>341.60790132266868</c:v>
                </c:pt>
                <c:pt idx="14">
                  <c:v>345.86281504081495</c:v>
                </c:pt>
                <c:pt idx="15">
                  <c:v>349.70134152207385</c:v>
                </c:pt>
                <c:pt idx="16">
                  <c:v>353.19026155601404</c:v>
                </c:pt>
                <c:pt idx="17">
                  <c:v>356.3823884679864</c:v>
                </c:pt>
                <c:pt idx="18">
                  <c:v>359.32011421857851</c:v>
                </c:pt>
                <c:pt idx="19">
                  <c:v>362.03791419447163</c:v>
                </c:pt>
                <c:pt idx="20">
                  <c:v>364.56415377209038</c:v>
                </c:pt>
                <c:pt idx="21">
                  <c:v>366.92241559555202</c:v>
                </c:pt>
                <c:pt idx="22">
                  <c:v>369.13249093857326</c:v>
                </c:pt>
                <c:pt idx="23">
                  <c:v>371.21113121228404</c:v>
                </c:pt>
                <c:pt idx="24">
                  <c:v>373.1726253199933</c:v>
                </c:pt>
                <c:pt idx="25">
                  <c:v>375.02924863499567</c:v>
                </c:pt>
                <c:pt idx="26">
                  <c:v>376.79161603495078</c:v>
                </c:pt>
                <c:pt idx="27">
                  <c:v>378.46896232668684</c:v>
                </c:pt>
                <c:pt idx="28">
                  <c:v>380.06936708488035</c:v>
                </c:pt>
                <c:pt idx="29">
                  <c:v>381.59993648459033</c:v>
                </c:pt>
                <c:pt idx="30">
                  <c:v>383.06695153459299</c:v>
                </c:pt>
                <c:pt idx="31">
                  <c:v>384.47598982317191</c:v>
                </c:pt>
                <c:pt idx="32">
                  <c:v>385.83202620672921</c:v>
                </c:pt>
                <c:pt idx="33">
                  <c:v>387.13951663031321</c:v>
                </c:pt>
                <c:pt idx="34">
                  <c:v>388.40246833363682</c:v>
                </c:pt>
                <c:pt idx="35">
                  <c:v>389.59860439830834</c:v>
                </c:pt>
                <c:pt idx="36">
                  <c:v>390.69551646441789</c:v>
                </c:pt>
                <c:pt idx="37">
                  <c:v>391.7032706648518</c:v>
                </c:pt>
                <c:pt idx="38">
                  <c:v>392.63107306710242</c:v>
                </c:pt>
                <c:pt idx="39">
                  <c:v>393.48696333743487</c:v>
                </c:pt>
                <c:pt idx="40">
                  <c:v>394.2779874040441</c:v>
                </c:pt>
                <c:pt idx="41">
                  <c:v>395.01034100546326</c:v>
                </c:pt>
                <c:pt idx="42">
                  <c:v>395.68948960192017</c:v>
                </c:pt>
                <c:pt idx="43">
                  <c:v>396.32026899460413</c:v>
                </c:pt>
                <c:pt idx="44">
                  <c:v>396.90697011941904</c:v>
                </c:pt>
                <c:pt idx="45">
                  <c:v>397.4534107964173</c:v>
                </c:pt>
                <c:pt idx="46">
                  <c:v>397.96299667801645</c:v>
                </c:pt>
                <c:pt idx="47">
                  <c:v>398.43877321425572</c:v>
                </c:pt>
                <c:pt idx="48">
                  <c:v>398.88347011606425</c:v>
                </c:pt>
                <c:pt idx="49">
                  <c:v>399.29953952831357</c:v>
                </c:pt>
                <c:pt idx="50">
                  <c:v>399.68918890854536</c:v>
                </c:pt>
                <c:pt idx="51">
                  <c:v>400.05440943326255</c:v>
                </c:pt>
                <c:pt idx="52">
                  <c:v>400.39700061278984</c:v>
                </c:pt>
                <c:pt idx="53">
                  <c:v>400.71859168119619</c:v>
                </c:pt>
                <c:pt idx="54">
                  <c:v>401.02066023419218</c:v>
                </c:pt>
                <c:pt idx="55">
                  <c:v>401.30454851125421</c:v>
                </c:pt>
                <c:pt idx="56">
                  <c:v>401.57147765509251</c:v>
                </c:pt>
                <c:pt idx="57">
                  <c:v>401.82256022941993</c:v>
                </c:pt>
                <c:pt idx="58">
                  <c:v>402.05881123275299</c:v>
                </c:pt>
                <c:pt idx="59">
                  <c:v>402.28115780998644</c:v>
                </c:pt>
                <c:pt idx="60">
                  <c:v>402.49044783345414</c:v>
                </c:pt>
                <c:pt idx="61">
                  <c:v>402.6874575000254</c:v>
                </c:pt>
                <c:pt idx="62">
                  <c:v>402.87289806966101</c:v>
                </c:pt>
                <c:pt idx="63">
                  <c:v>403.04742185303837</c:v>
                </c:pt>
                <c:pt idx="64">
                  <c:v>403.21162754080149</c:v>
                </c:pt>
                <c:pt idx="65">
                  <c:v>403.36606495423143</c:v>
                </c:pt>
                <c:pt idx="66">
                  <c:v>403.51123928629886</c:v>
                </c:pt>
                <c:pt idx="67">
                  <c:v>403.64761489280181</c:v>
                </c:pt>
                <c:pt idx="68">
                  <c:v>403.7756186854109</c:v>
                </c:pt>
                <c:pt idx="69">
                  <c:v>403.89564317166514</c:v>
                </c:pt>
                <c:pt idx="70">
                  <c:v>404.00804918115466</c:v>
                </c:pt>
                <c:pt idx="71">
                  <c:v>404.11316831212667</c:v>
                </c:pt>
                <c:pt idx="72">
                  <c:v>404.2113051284166</c:v>
                </c:pt>
                <c:pt idx="73">
                  <c:v>404.30273913288499</c:v>
                </c:pt>
                <c:pt idx="74">
                  <c:v>404.38772654027622</c:v>
                </c:pt>
                <c:pt idx="75">
                  <c:v>404.46650186961006</c:v>
                </c:pt>
                <c:pt idx="76">
                  <c:v>404.53927937373743</c:v>
                </c:pt>
                <c:pt idx="77">
                  <c:v>404.60625432155035</c:v>
                </c:pt>
                <c:pt idx="78">
                  <c:v>404.66760414643824</c:v>
                </c:pt>
                <c:pt idx="79">
                  <c:v>404.72348947292039</c:v>
                </c:pt>
                <c:pt idx="80">
                  <c:v>404.77405503191136</c:v>
                </c:pt>
                <c:pt idx="81">
                  <c:v>404.81943047378275</c:v>
                </c:pt>
                <c:pt idx="82">
                  <c:v>404.85973108720805</c:v>
                </c:pt>
                <c:pt idx="83">
                  <c:v>404.89505843075767</c:v>
                </c:pt>
                <c:pt idx="84">
                  <c:v>404.92550088326038</c:v>
                </c:pt>
                <c:pt idx="85">
                  <c:v>404.95113411811735</c:v>
                </c:pt>
                <c:pt idx="86">
                  <c:v>404.97202150597889</c:v>
                </c:pt>
                <c:pt idx="87">
                  <c:v>404.98821444948442</c:v>
                </c:pt>
                <c:pt idx="88">
                  <c:v>404.9997526531231</c:v>
                </c:pt>
                <c:pt idx="89">
                  <c:v>405.00666433065851</c:v>
                </c:pt>
                <c:pt idx="90">
                  <c:v>405.00896635197262</c:v>
                </c:pt>
                <c:pt idx="91">
                  <c:v>405.00666433065823</c:v>
                </c:pt>
                <c:pt idx="92">
                  <c:v>404.99975265312332</c:v>
                </c:pt>
                <c:pt idx="93">
                  <c:v>404.98821444948419</c:v>
                </c:pt>
                <c:pt idx="94">
                  <c:v>404.972021505979</c:v>
                </c:pt>
                <c:pt idx="95">
                  <c:v>404.95113411811786</c:v>
                </c:pt>
                <c:pt idx="96">
                  <c:v>404.92550088326061</c:v>
                </c:pt>
                <c:pt idx="97">
                  <c:v>404.8950584307579</c:v>
                </c:pt>
                <c:pt idx="98">
                  <c:v>404.8597310872085</c:v>
                </c:pt>
                <c:pt idx="99">
                  <c:v>404.81943047378246</c:v>
                </c:pt>
                <c:pt idx="100">
                  <c:v>404.77405503191159</c:v>
                </c:pt>
                <c:pt idx="101">
                  <c:v>404.72348947292028</c:v>
                </c:pt>
                <c:pt idx="102">
                  <c:v>404.66760414643807</c:v>
                </c:pt>
                <c:pt idx="103">
                  <c:v>404.60625432155035</c:v>
                </c:pt>
                <c:pt idx="104">
                  <c:v>404.53927937373726</c:v>
                </c:pt>
                <c:pt idx="105">
                  <c:v>404.46650186961017</c:v>
                </c:pt>
                <c:pt idx="106">
                  <c:v>404.38772654027605</c:v>
                </c:pt>
                <c:pt idx="107">
                  <c:v>404.30273913288534</c:v>
                </c:pt>
                <c:pt idx="108">
                  <c:v>404.2113051284166</c:v>
                </c:pt>
                <c:pt idx="109">
                  <c:v>404.39885737808555</c:v>
                </c:pt>
                <c:pt idx="110">
                  <c:v>404.65144557917199</c:v>
                </c:pt>
                <c:pt idx="111">
                  <c:v>404.90448337639879</c:v>
                </c:pt>
                <c:pt idx="112">
                  <c:v>405.15812093985875</c:v>
                </c:pt>
                <c:pt idx="113">
                  <c:v>405.41251118818337</c:v>
                </c:pt>
                <c:pt idx="114">
                  <c:v>405.66781035193378</c:v>
                </c:pt>
                <c:pt idx="115">
                  <c:v>405.92417858751537</c:v>
                </c:pt>
                <c:pt idx="116">
                  <c:v>406.18178065032771</c:v>
                </c:pt>
                <c:pt idx="117">
                  <c:v>406.44078663997493</c:v>
                </c:pt>
                <c:pt idx="118">
                  <c:v>406.70137282909519</c:v>
                </c:pt>
                <c:pt idx="119">
                  <c:v>406.96372259277541</c:v>
                </c:pt>
                <c:pt idx="120">
                  <c:v>407.22802745695236</c:v>
                </c:pt>
                <c:pt idx="121">
                  <c:v>406.54796721431569</c:v>
                </c:pt>
                <c:pt idx="122">
                  <c:v>402.37167280733286</c:v>
                </c:pt>
                <c:pt idx="123">
                  <c:v>398.10428143071977</c:v>
                </c:pt>
                <c:pt idx="124">
                  <c:v>393.74085432229987</c:v>
                </c:pt>
                <c:pt idx="125">
                  <c:v>387.34182793752944</c:v>
                </c:pt>
                <c:pt idx="126">
                  <c:v>380.2957592420355</c:v>
                </c:pt>
                <c:pt idx="127">
                  <c:v>370.97461051860574</c:v>
                </c:pt>
                <c:pt idx="128">
                  <c:v>361.11935538370273</c:v>
                </c:pt>
                <c:pt idx="129">
                  <c:v>350.85388366279381</c:v>
                </c:pt>
                <c:pt idx="130">
                  <c:v>340.1451064207132</c:v>
                </c:pt>
                <c:pt idx="131">
                  <c:v>328.95630750543739</c:v>
                </c:pt>
                <c:pt idx="132">
                  <c:v>317.24660636883209</c:v>
                </c:pt>
                <c:pt idx="133">
                  <c:v>303.60804468574361</c:v>
                </c:pt>
                <c:pt idx="134">
                  <c:v>288.9937510673816</c:v>
                </c:pt>
                <c:pt idx="135">
                  <c:v>273.61078535168247</c:v>
                </c:pt>
                <c:pt idx="136">
                  <c:v>257.9377699781777</c:v>
                </c:pt>
                <c:pt idx="137">
                  <c:v>241.86119274231385</c:v>
                </c:pt>
                <c:pt idx="138">
                  <c:v>225.42188587323676</c:v>
                </c:pt>
                <c:pt idx="139">
                  <c:v>208.68450699212761</c:v>
                </c:pt>
                <c:pt idx="140">
                  <c:v>191.72109180666976</c:v>
                </c:pt>
                <c:pt idx="141">
                  <c:v>174.61344925395804</c:v>
                </c:pt>
                <c:pt idx="142">
                  <c:v>157.45612969641937</c:v>
                </c:pt>
                <c:pt idx="143">
                  <c:v>140.36005070357834</c:v>
                </c:pt>
                <c:pt idx="144">
                  <c:v>123.45687878617385</c:v>
                </c:pt>
                <c:pt idx="145">
                  <c:v>106.9042725099638</c:v>
                </c:pt>
                <c:pt idx="146">
                  <c:v>90.892109709371795</c:v>
                </c:pt>
                <c:pt idx="147">
                  <c:v>72.031806141792231</c:v>
                </c:pt>
                <c:pt idx="148">
                  <c:v>52.773160982720732</c:v>
                </c:pt>
                <c:pt idx="149">
                  <c:v>36.384481691042325</c:v>
                </c:pt>
                <c:pt idx="150">
                  <c:v>23.320101293812161</c:v>
                </c:pt>
                <c:pt idx="151">
                  <c:v>14.215728778110289</c:v>
                </c:pt>
                <c:pt idx="152">
                  <c:v>9.9534716121058455</c:v>
                </c:pt>
                <c:pt idx="153">
                  <c:v>9.5770892431916046</c:v>
                </c:pt>
                <c:pt idx="154">
                  <c:v>9.3058620953487292</c:v>
                </c:pt>
                <c:pt idx="155">
                  <c:v>9.0155965670851312</c:v>
                </c:pt>
                <c:pt idx="156">
                  <c:v>8.7031532520092902</c:v>
                </c:pt>
                <c:pt idx="157">
                  <c:v>8.3647596033954184</c:v>
                </c:pt>
                <c:pt idx="158">
                  <c:v>7.9958448241300504</c:v>
                </c:pt>
                <c:pt idx="159">
                  <c:v>7.5908223453753223</c:v>
                </c:pt>
                <c:pt idx="160">
                  <c:v>7.1427998684597132</c:v>
                </c:pt>
                <c:pt idx="161">
                  <c:v>6.6431878735414553</c:v>
                </c:pt>
                <c:pt idx="162">
                  <c:v>6.0811635998803535</c:v>
                </c:pt>
                <c:pt idx="163">
                  <c:v>5.4429257791178118</c:v>
                </c:pt>
                <c:pt idx="164">
                  <c:v>4.7106406940224481</c:v>
                </c:pt>
                <c:pt idx="165">
                  <c:v>3.8609233188560985</c:v>
                </c:pt>
                <c:pt idx="166">
                  <c:v>2.8626017356771678</c:v>
                </c:pt>
                <c:pt idx="167">
                  <c:v>1.6733473431037247</c:v>
                </c:pt>
                <c:pt idx="168">
                  <c:v>0.23445611195139548</c:v>
                </c:pt>
                <c:pt idx="169">
                  <c:v>-1.4342804334802097</c:v>
                </c:pt>
                <c:pt idx="170">
                  <c:v>-3.1177038034597588</c:v>
                </c:pt>
                <c:pt idx="171">
                  <c:v>-4.8045900838490265</c:v>
                </c:pt>
                <c:pt idx="172">
                  <c:v>-5.9899157488492349</c:v>
                </c:pt>
                <c:pt idx="173">
                  <c:v>-7.6932880987511227</c:v>
                </c:pt>
                <c:pt idx="174">
                  <c:v>-9.4037051555780486</c:v>
                </c:pt>
                <c:pt idx="175">
                  <c:v>-11.122417372620976</c:v>
                </c:pt>
                <c:pt idx="176">
                  <c:v>-12.850708283533404</c:v>
                </c:pt>
                <c:pt idx="177">
                  <c:v>-14.602425955968984</c:v>
                </c:pt>
                <c:pt idx="178">
                  <c:v>-16.376140038503845</c:v>
                </c:pt>
                <c:pt idx="179">
                  <c:v>-18.103357138363155</c:v>
                </c:pt>
                <c:pt idx="180">
                  <c:v>-19.512655352570025</c:v>
                </c:pt>
                <c:pt idx="181">
                  <c:v>-20.719616879294719</c:v>
                </c:pt>
                <c:pt idx="182">
                  <c:v>-21.860916657937267</c:v>
                </c:pt>
                <c:pt idx="183">
                  <c:v>-22.803453524196968</c:v>
                </c:pt>
                <c:pt idx="184">
                  <c:v>-23.740633028475401</c:v>
                </c:pt>
                <c:pt idx="185">
                  <c:v>-24.682140902398871</c:v>
                </c:pt>
                <c:pt idx="186">
                  <c:v>-25.618728382435794</c:v>
                </c:pt>
                <c:pt idx="187">
                  <c:v>-26.551942432791527</c:v>
                </c:pt>
                <c:pt idx="188">
                  <c:v>-27.483182190406733</c:v>
                </c:pt>
                <c:pt idx="189">
                  <c:v>-28.413729274460866</c:v>
                </c:pt>
                <c:pt idx="190">
                  <c:v>-29.344772024027737</c:v>
                </c:pt>
                <c:pt idx="191">
                  <c:v>-30.277425132193692</c:v>
                </c:pt>
                <c:pt idx="192">
                  <c:v>-31.212745761479457</c:v>
                </c:pt>
                <c:pt idx="193">
                  <c:v>-32.15174695200988</c:v>
                </c:pt>
                <c:pt idx="194">
                  <c:v>-33.095408936663475</c:v>
                </c:pt>
                <c:pt idx="195">
                  <c:v>-34.044688833661809</c:v>
                </c:pt>
                <c:pt idx="196">
                  <c:v>-35.000529081246476</c:v>
                </c:pt>
                <c:pt idx="197">
                  <c:v>-35.956514362596593</c:v>
                </c:pt>
                <c:pt idx="198">
                  <c:v>-36.869739828950074</c:v>
                </c:pt>
                <c:pt idx="199">
                  <c:v>-37.742439714913331</c:v>
                </c:pt>
                <c:pt idx="200">
                  <c:v>-38.583588661996558</c:v>
                </c:pt>
                <c:pt idx="201">
                  <c:v>-39.400193441852529</c:v>
                </c:pt>
                <c:pt idx="202">
                  <c:v>-40.197812740067434</c:v>
                </c:pt>
                <c:pt idx="203">
                  <c:v>-40.98092600576075</c:v>
                </c:pt>
                <c:pt idx="204">
                  <c:v>-41.753199429908932</c:v>
                </c:pt>
                <c:pt idx="205">
                  <c:v>-42.517680608957825</c:v>
                </c:pt>
                <c:pt idx="206">
                  <c:v>-43.276943004599822</c:v>
                </c:pt>
                <c:pt idx="207">
                  <c:v>-44.033194566472368</c:v>
                </c:pt>
                <c:pt idx="208">
                  <c:v>-44.788360450054121</c:v>
                </c:pt>
                <c:pt idx="209">
                  <c:v>-45.544146797141252</c:v>
                </c:pt>
                <c:pt idx="210">
                  <c:v>-46.30209053340019</c:v>
                </c:pt>
                <c:pt idx="211">
                  <c:v>-47.063598751626934</c:v>
                </c:pt>
                <c:pt idx="212">
                  <c:v>-47.829980282837631</c:v>
                </c:pt>
                <c:pt idx="213">
                  <c:v>-48.602471375335007</c:v>
                </c:pt>
                <c:pt idx="214">
                  <c:v>-49.382256915564</c:v>
                </c:pt>
                <c:pt idx="215">
                  <c:v>-50.170488274512479</c:v>
                </c:pt>
                <c:pt idx="216">
                  <c:v>-50.96829860944041</c:v>
                </c:pt>
                <c:pt idx="217">
                  <c:v>-51.776816265325387</c:v>
                </c:pt>
                <c:pt idx="218">
                  <c:v>-52.597176784537339</c:v>
                </c:pt>
                <c:pt idx="219">
                  <c:v>-53.430533933759584</c:v>
                </c:pt>
                <c:pt idx="220">
                  <c:v>-55.111221453058242</c:v>
                </c:pt>
                <c:pt idx="221">
                  <c:v>-58.560652315262431</c:v>
                </c:pt>
                <c:pt idx="222">
                  <c:v>-63.571787391679436</c:v>
                </c:pt>
                <c:pt idx="223">
                  <c:v>-69.977916826039831</c:v>
                </c:pt>
                <c:pt idx="224">
                  <c:v>-77.648601199664498</c:v>
                </c:pt>
                <c:pt idx="225">
                  <c:v>-86.483112976228284</c:v>
                </c:pt>
                <c:pt idx="226">
                  <c:v>-96.405411913487185</c:v>
                </c:pt>
                <c:pt idx="227">
                  <c:v>-107.36030772987192</c:v>
                </c:pt>
                <c:pt idx="228">
                  <c:v>-119.29787781755482</c:v>
                </c:pt>
                <c:pt idx="229">
                  <c:v>-131.4277492952836</c:v>
                </c:pt>
                <c:pt idx="230">
                  <c:v>-144.01830997542817</c:v>
                </c:pt>
                <c:pt idx="231">
                  <c:v>-157.42736600936442</c:v>
                </c:pt>
                <c:pt idx="232">
                  <c:v>-171.67558353680982</c:v>
                </c:pt>
                <c:pt idx="233">
                  <c:v>-186.7951119919957</c:v>
                </c:pt>
                <c:pt idx="234">
                  <c:v>-197.13992859096734</c:v>
                </c:pt>
                <c:pt idx="235">
                  <c:v>-206.81337487755036</c:v>
                </c:pt>
                <c:pt idx="236">
                  <c:v>-215.77875188428717</c:v>
                </c:pt>
                <c:pt idx="237">
                  <c:v>-223.88499754077512</c:v>
                </c:pt>
                <c:pt idx="238">
                  <c:v>-231.53215835432133</c:v>
                </c:pt>
                <c:pt idx="239">
                  <c:v>-238.75202332357964</c:v>
                </c:pt>
                <c:pt idx="240">
                  <c:v>-245.57366732427548</c:v>
                </c:pt>
                <c:pt idx="241">
                  <c:v>-252.02379557176917</c:v>
                </c:pt>
                <c:pt idx="242">
                  <c:v>-258.1270570549558</c:v>
                </c:pt>
                <c:pt idx="243">
                  <c:v>-263.90633748654443</c:v>
                </c:pt>
                <c:pt idx="244">
                  <c:v>-269.38304295415196</c:v>
                </c:pt>
                <c:pt idx="245">
                  <c:v>-274.57738739304119</c:v>
                </c:pt>
                <c:pt idx="246">
                  <c:v>-279.50870086798943</c:v>
                </c:pt>
                <c:pt idx="247">
                  <c:v>-283.8331188626297</c:v>
                </c:pt>
                <c:pt idx="248">
                  <c:v>-287.77192477097856</c:v>
                </c:pt>
                <c:pt idx="249">
                  <c:v>-291.46495545978314</c:v>
                </c:pt>
                <c:pt idx="250">
                  <c:v>-294.92091318130173</c:v>
                </c:pt>
                <c:pt idx="251">
                  <c:v>-298.1468029381208</c:v>
                </c:pt>
                <c:pt idx="252">
                  <c:v>-300.18819000824266</c:v>
                </c:pt>
                <c:pt idx="253">
                  <c:v>-300.72646190969095</c:v>
                </c:pt>
                <c:pt idx="254">
                  <c:v>-300.61910061529079</c:v>
                </c:pt>
                <c:pt idx="255">
                  <c:v>-300.482186751109</c:v>
                </c:pt>
                <c:pt idx="256">
                  <c:v>-300.34330050663391</c:v>
                </c:pt>
                <c:pt idx="257">
                  <c:v>-300.20240183043933</c:v>
                </c:pt>
                <c:pt idx="258">
                  <c:v>-300.05944560191676</c:v>
                </c:pt>
                <c:pt idx="259">
                  <c:v>-299.91438162726888</c:v>
                </c:pt>
                <c:pt idx="260">
                  <c:v>-299.76715461228633</c:v>
                </c:pt>
                <c:pt idx="261">
                  <c:v>-299.61770411183818</c:v>
                </c:pt>
                <c:pt idx="262">
                  <c:v>-299.46596445590063</c:v>
                </c:pt>
                <c:pt idx="263">
                  <c:v>-299.31186465188352</c:v>
                </c:pt>
                <c:pt idx="264">
                  <c:v>-299.1553282624235</c:v>
                </c:pt>
                <c:pt idx="265">
                  <c:v>-299.04002300700648</c:v>
                </c:pt>
                <c:pt idx="266">
                  <c:v>-299.06091039486796</c:v>
                </c:pt>
                <c:pt idx="267">
                  <c:v>-299.07710333837315</c:v>
                </c:pt>
                <c:pt idx="268">
                  <c:v>-299.08864154201194</c:v>
                </c:pt>
                <c:pt idx="269">
                  <c:v>-299.09555321954718</c:v>
                </c:pt>
                <c:pt idx="270">
                  <c:v>-299.09785524086169</c:v>
                </c:pt>
                <c:pt idx="271">
                  <c:v>-299.09555321954701</c:v>
                </c:pt>
                <c:pt idx="272">
                  <c:v>-299.08864154201194</c:v>
                </c:pt>
                <c:pt idx="273">
                  <c:v>-299.07710333837321</c:v>
                </c:pt>
                <c:pt idx="274">
                  <c:v>-299.06091039486819</c:v>
                </c:pt>
                <c:pt idx="275">
                  <c:v>-299.04002300700643</c:v>
                </c:pt>
                <c:pt idx="276">
                  <c:v>-299.01438977214923</c:v>
                </c:pt>
                <c:pt idx="277">
                  <c:v>-298.98394731964675</c:v>
                </c:pt>
                <c:pt idx="278">
                  <c:v>-298.94861997609712</c:v>
                </c:pt>
                <c:pt idx="279">
                  <c:v>-298.90831936267188</c:v>
                </c:pt>
                <c:pt idx="280">
                  <c:v>-298.8629439208006</c:v>
                </c:pt>
                <c:pt idx="281">
                  <c:v>-298.81237836180941</c:v>
                </c:pt>
                <c:pt idx="282">
                  <c:v>-298.75649303532748</c:v>
                </c:pt>
                <c:pt idx="283">
                  <c:v>-298.69514321043926</c:v>
                </c:pt>
                <c:pt idx="284">
                  <c:v>-298.62816826262628</c:v>
                </c:pt>
                <c:pt idx="285">
                  <c:v>-298.55539075849907</c:v>
                </c:pt>
                <c:pt idx="286">
                  <c:v>-298.47661542916535</c:v>
                </c:pt>
                <c:pt idx="287">
                  <c:v>-298.39162802177395</c:v>
                </c:pt>
                <c:pt idx="288">
                  <c:v>-298.30019401730578</c:v>
                </c:pt>
                <c:pt idx="289">
                  <c:v>-298.2020572010158</c:v>
                </c:pt>
                <c:pt idx="290">
                  <c:v>-298.09693807004402</c:v>
                </c:pt>
                <c:pt idx="291">
                  <c:v>-297.98453206055427</c:v>
                </c:pt>
                <c:pt idx="292">
                  <c:v>-297.86450757430015</c:v>
                </c:pt>
                <c:pt idx="293">
                  <c:v>-297.73650378169106</c:v>
                </c:pt>
                <c:pt idx="294">
                  <c:v>-297.60012817518793</c:v>
                </c:pt>
                <c:pt idx="295">
                  <c:v>-297.45495384312079</c:v>
                </c:pt>
                <c:pt idx="296">
                  <c:v>-297.30051642969067</c:v>
                </c:pt>
                <c:pt idx="297">
                  <c:v>-297.13631074192773</c:v>
                </c:pt>
                <c:pt idx="298">
                  <c:v>-296.96178695854996</c:v>
                </c:pt>
                <c:pt idx="299">
                  <c:v>-296.77634638891465</c:v>
                </c:pt>
                <c:pt idx="300">
                  <c:v>-296.57933672234361</c:v>
                </c:pt>
                <c:pt idx="301">
                  <c:v>-296.37004669887585</c:v>
                </c:pt>
                <c:pt idx="302">
                  <c:v>-296.14770012164234</c:v>
                </c:pt>
                <c:pt idx="303">
                  <c:v>-295.91144911830941</c:v>
                </c:pt>
                <c:pt idx="304">
                  <c:v>-295.66036654398215</c:v>
                </c:pt>
                <c:pt idx="305">
                  <c:v>-295.39343740014368</c:v>
                </c:pt>
                <c:pt idx="306">
                  <c:v>-295.10954912308136</c:v>
                </c:pt>
                <c:pt idx="307">
                  <c:v>-294.80748057008572</c:v>
                </c:pt>
                <c:pt idx="308">
                  <c:v>-294.48588950167948</c:v>
                </c:pt>
                <c:pt idx="309">
                  <c:v>-294.14329832215196</c:v>
                </c:pt>
                <c:pt idx="310">
                  <c:v>-293.77807779743534</c:v>
                </c:pt>
                <c:pt idx="311">
                  <c:v>-293.38842841720316</c:v>
                </c:pt>
                <c:pt idx="312">
                  <c:v>-292.97235900495406</c:v>
                </c:pt>
                <c:pt idx="313">
                  <c:v>-292.52766210314564</c:v>
                </c:pt>
                <c:pt idx="314">
                  <c:v>-292.05188556690615</c:v>
                </c:pt>
                <c:pt idx="315">
                  <c:v>-291.5422996853074</c:v>
                </c:pt>
                <c:pt idx="316">
                  <c:v>-290.9958590083092</c:v>
                </c:pt>
                <c:pt idx="317">
                  <c:v>-290.40915788349423</c:v>
                </c:pt>
                <c:pt idx="318">
                  <c:v>-289.77837849081033</c:v>
                </c:pt>
                <c:pt idx="319">
                  <c:v>-289.09922989435341</c:v>
                </c:pt>
                <c:pt idx="320">
                  <c:v>-288.36687629293431</c:v>
                </c:pt>
                <c:pt idx="321">
                  <c:v>-287.5758522263248</c:v>
                </c:pt>
                <c:pt idx="322">
                  <c:v>-286.71996195599343</c:v>
                </c:pt>
                <c:pt idx="323">
                  <c:v>-285.79215955374275</c:v>
                </c:pt>
                <c:pt idx="324">
                  <c:v>-284.7844053533093</c:v>
                </c:pt>
                <c:pt idx="325">
                  <c:v>-283.68749328719991</c:v>
                </c:pt>
                <c:pt idx="326">
                  <c:v>-282.49135722252367</c:v>
                </c:pt>
                <c:pt idx="327">
                  <c:v>-281.22840551918887</c:v>
                </c:pt>
                <c:pt idx="328">
                  <c:v>-279.92091509557503</c:v>
                </c:pt>
                <c:pt idx="329">
                  <c:v>-278.56487871195327</c:v>
                </c:pt>
                <c:pt idx="330">
                  <c:v>-277.15584042348604</c:v>
                </c:pt>
                <c:pt idx="331">
                  <c:v>-275.6888253734852</c:v>
                </c:pt>
                <c:pt idx="332">
                  <c:v>-274.15825597377767</c:v>
                </c:pt>
                <c:pt idx="333">
                  <c:v>-272.55785121558898</c:v>
                </c:pt>
                <c:pt idx="334">
                  <c:v>-270.88050492386071</c:v>
                </c:pt>
                <c:pt idx="335">
                  <c:v>-269.11813752391924</c:v>
                </c:pt>
                <c:pt idx="336">
                  <c:v>-267.2615142089399</c:v>
                </c:pt>
                <c:pt idx="337">
                  <c:v>-265.30002010127367</c:v>
                </c:pt>
                <c:pt idx="338">
                  <c:v>-263.22137982746705</c:v>
                </c:pt>
                <c:pt idx="339">
                  <c:v>-261.01130448444655</c:v>
                </c:pt>
                <c:pt idx="340">
                  <c:v>-258.6530426609857</c:v>
                </c:pt>
                <c:pt idx="341">
                  <c:v>-256.12680308336701</c:v>
                </c:pt>
                <c:pt idx="342">
                  <c:v>-253.40900310747429</c:v>
                </c:pt>
                <c:pt idx="343">
                  <c:v>-250.47127735688278</c:v>
                </c:pt>
                <c:pt idx="344">
                  <c:v>-247.27915044491127</c:v>
                </c:pt>
                <c:pt idx="345">
                  <c:v>-243.7902304109727</c:v>
                </c:pt>
                <c:pt idx="346">
                  <c:v>-239.95170392971545</c:v>
                </c:pt>
                <c:pt idx="347">
                  <c:v>-235.6967902115731</c:v>
                </c:pt>
                <c:pt idx="348">
                  <c:v>-230.93960005723409</c:v>
                </c:pt>
                <c:pt idx="349">
                  <c:v>-225.56747668102258</c:v>
                </c:pt>
                <c:pt idx="350">
                  <c:v>-219.42921750909056</c:v>
                </c:pt>
                <c:pt idx="351">
                  <c:v>-212.3162741898438</c:v>
                </c:pt>
                <c:pt idx="352">
                  <c:v>-203.9313792324719</c:v>
                </c:pt>
                <c:pt idx="353">
                  <c:v>-193.83327770947278</c:v>
                </c:pt>
                <c:pt idx="354">
                  <c:v>-181.33257461292581</c:v>
                </c:pt>
                <c:pt idx="355">
                  <c:v>-165.27772079297577</c:v>
                </c:pt>
                <c:pt idx="356">
                  <c:v>-143.56132014556323</c:v>
                </c:pt>
                <c:pt idx="357">
                  <c:v>-111.778101968372</c:v>
                </c:pt>
                <c:pt idx="358">
                  <c:v>-61.02583606565949</c:v>
                </c:pt>
                <c:pt idx="359">
                  <c:v>-4.0177763702975806</c:v>
                </c:pt>
                <c:pt idx="360">
                  <c:v>52.955555555404104</c:v>
                </c:pt>
                <c:pt idx="361">
                  <c:v>52.955555555554852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4-495F-A8F0-947E7B03111A}"/>
            </c:ext>
          </c:extLst>
        </c:ser>
        <c:ser>
          <c:idx val="1"/>
          <c:order val="2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TLR_Section_Capacity!$U$5</c:f>
              <c:numCache>
                <c:formatCode>0.000</c:formatCode>
                <c:ptCount val="1"/>
                <c:pt idx="0">
                  <c:v>298.01357878150418</c:v>
                </c:pt>
              </c:numCache>
            </c:numRef>
          </c:xVal>
          <c:yVal>
            <c:numRef>
              <c:f>TLR_Section_Capacity!$U$6</c:f>
              <c:numCache>
                <c:formatCode>0.000</c:formatCode>
                <c:ptCount val="1"/>
                <c:pt idx="0">
                  <c:v>-89.40407363444929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3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TLR_Section_Capacity!$U$11</c:f>
              <c:numCache>
                <c:formatCode>0.000</c:formatCode>
                <c:ptCount val="1"/>
                <c:pt idx="0">
                  <c:v>100</c:v>
                </c:pt>
              </c:numCache>
            </c:numRef>
          </c:xVal>
          <c:yVal>
            <c:numRef>
              <c:f>TLR_Section_Capacity!$U$12</c:f>
              <c:numCache>
                <c:formatCode>0.000</c:formatCode>
                <c:ptCount val="1"/>
                <c:pt idx="0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ser>
          <c:idx val="4"/>
          <c:order val="4"/>
          <c:tx>
            <c:v>Slice</c:v>
          </c:tx>
          <c:spPr>
            <a:ln w="127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TLR_Section_Capacity!$AE$9:$AE$11</c:f>
              <c:numCache>
                <c:formatCode>0.000</c:formatCode>
                <c:ptCount val="3"/>
                <c:pt idx="0">
                  <c:v>0</c:v>
                </c:pt>
                <c:pt idx="1">
                  <c:v>100</c:v>
                </c:pt>
                <c:pt idx="2">
                  <c:v>298.01357878150418</c:v>
                </c:pt>
              </c:numCache>
            </c:numRef>
          </c:xVal>
          <c:yVal>
            <c:numRef>
              <c:f>TLR_Section_Capacity!$AF$9:$AF$11</c:f>
              <c:numCache>
                <c:formatCode>0.000</c:formatCode>
                <c:ptCount val="3"/>
                <c:pt idx="0">
                  <c:v>0</c:v>
                </c:pt>
                <c:pt idx="1">
                  <c:v>-30</c:v>
                </c:pt>
                <c:pt idx="2">
                  <c:v>-89.40407363444929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60-4AF9-A14F-753F28718B82}"/>
            </c:ext>
          </c:extLst>
        </c:ser>
        <c:ser>
          <c:idx val="3"/>
          <c:order val="5"/>
          <c:tx>
            <c:v>guess_center_from_parametric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TLR_Section_Capacity!$B$132</c:f>
              <c:numCache>
                <c:formatCode>General</c:formatCode>
                <c:ptCount val="1"/>
                <c:pt idx="0">
                  <c:v>158.45365951084304</c:v>
                </c:pt>
              </c:numCache>
            </c:numRef>
          </c:xVal>
          <c:yVal>
            <c:numRef>
              <c:f>TLR_Section_Capacity!$B$133</c:f>
              <c:numCache>
                <c:formatCode>General</c:formatCode>
                <c:ptCount val="1"/>
                <c:pt idx="0">
                  <c:v>15.26566611621873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9-4F4C-9CBB-68A73CE28800}"/>
            </c:ext>
          </c:extLst>
        </c:ser>
        <c:ser>
          <c:idx val="6"/>
          <c:order val="6"/>
          <c:tx>
            <c:v>center_of_Mx_My_points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19050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TLR_Section_Capacity!$BD$365</c:f>
              <c:numCache>
                <c:formatCode>0.000</c:formatCode>
                <c:ptCount val="1"/>
                <c:pt idx="0">
                  <c:v>177.42205681287675</c:v>
                </c:pt>
              </c:numCache>
            </c:numRef>
          </c:xVal>
          <c:yVal>
            <c:numRef>
              <c:f>TLR_Section_Capacity!$BE$365</c:f>
              <c:numCache>
                <c:formatCode>0.000</c:formatCode>
                <c:ptCount val="1"/>
                <c:pt idx="0">
                  <c:v>40.031007159697296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43-488A-8815-A3157AAF4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TLR_Section_Capacity!$BF$2:$BF$362</c:f>
              <c:numCache>
                <c:formatCode>0.000</c:formatCode>
                <c:ptCount val="361"/>
                <c:pt idx="0">
                  <c:v>0.15692508633125207</c:v>
                </c:pt>
                <c:pt idx="1">
                  <c:v>0.3177962992588852</c:v>
                </c:pt>
                <c:pt idx="2">
                  <c:v>0.46506662209204164</c:v>
                </c:pt>
                <c:pt idx="3">
                  <c:v>0.58243398384392475</c:v>
                </c:pt>
                <c:pt idx="4">
                  <c:v>0.64938713221173316</c:v>
                </c:pt>
                <c:pt idx="5">
                  <c:v>0.69254134374669252</c:v>
                </c:pt>
                <c:pt idx="6">
                  <c:v>0.72328155375772141</c:v>
                </c:pt>
                <c:pt idx="7">
                  <c:v>0.7466467930432481</c:v>
                </c:pt>
                <c:pt idx="8">
                  <c:v>0.76523218435074492</c:v>
                </c:pt>
                <c:pt idx="9">
                  <c:v>0.78052054885639066</c:v>
                </c:pt>
                <c:pt idx="10">
                  <c:v>0.79342589506218986</c:v>
                </c:pt>
                <c:pt idx="11">
                  <c:v>0.80454516887474792</c:v>
                </c:pt>
                <c:pt idx="12">
                  <c:v>0.81428644064214706</c:v>
                </c:pt>
                <c:pt idx="13">
                  <c:v>0.82293916183610316</c:v>
                </c:pt>
                <c:pt idx="14">
                  <c:v>0.83071501117772406</c:v>
                </c:pt>
                <c:pt idx="15">
                  <c:v>0.83777281918432944</c:v>
                </c:pt>
                <c:pt idx="16">
                  <c:v>0.84423440481064416</c:v>
                </c:pt>
                <c:pt idx="17">
                  <c:v>0.8501949890176197</c:v>
                </c:pt>
                <c:pt idx="18">
                  <c:v>0.85573024730875646</c:v>
                </c:pt>
                <c:pt idx="19">
                  <c:v>0.86090121005747755</c:v>
                </c:pt>
                <c:pt idx="20">
                  <c:v>0.86575774489115076</c:v>
                </c:pt>
                <c:pt idx="21">
                  <c:v>0.87034108120731113</c:v>
                </c:pt>
                <c:pt idx="22">
                  <c:v>0.87468567310081369</c:v>
                </c:pt>
                <c:pt idx="23">
                  <c:v>0.87882059620161546</c:v>
                </c:pt>
                <c:pt idx="24">
                  <c:v>0.88277061026593417</c:v>
                </c:pt>
                <c:pt idx="25">
                  <c:v>0.88655697819643853</c:v>
                </c:pt>
                <c:pt idx="26">
                  <c:v>0.89019810497278307</c:v>
                </c:pt>
                <c:pt idx="27">
                  <c:v>0.89371004166049794</c:v>
                </c:pt>
                <c:pt idx="28">
                  <c:v>0.89710688711573094</c:v>
                </c:pt>
                <c:pt idx="29">
                  <c:v>0.90040111126327826</c:v>
                </c:pt>
                <c:pt idx="30">
                  <c:v>0.90360381764893138</c:v>
                </c:pt>
                <c:pt idx="31">
                  <c:v>0.90672495854317892</c:v>
                </c:pt>
                <c:pt idx="32">
                  <c:v>0.90977351266427764</c:v>
                </c:pt>
                <c:pt idx="33">
                  <c:v>0.91275763323705961</c:v>
                </c:pt>
                <c:pt idx="34">
                  <c:v>0.91568477235560108</c:v>
                </c:pt>
                <c:pt idx="35">
                  <c:v>0.91850065574396189</c:v>
                </c:pt>
                <c:pt idx="36">
                  <c:v>0.92112469501904848</c:v>
                </c:pt>
                <c:pt idx="37">
                  <c:v>0.9235753473968763</c:v>
                </c:pt>
                <c:pt idx="38">
                  <c:v>0.92586974745817974</c:v>
                </c:pt>
                <c:pt idx="39">
                  <c:v>0.92802289186830367</c:v>
                </c:pt>
                <c:pt idx="40">
                  <c:v>0.93004795907719462</c:v>
                </c:pt>
                <c:pt idx="41">
                  <c:v>0.9319565738079939</c:v>
                </c:pt>
                <c:pt idx="42">
                  <c:v>0.93375902707753577</c:v>
                </c:pt>
                <c:pt idx="43">
                  <c:v>0.93546446017909735</c:v>
                </c:pt>
                <c:pt idx="44">
                  <c:v>0.93708101928817666</c:v>
                </c:pt>
                <c:pt idx="45">
                  <c:v>0.93861598598804952</c:v>
                </c:pt>
                <c:pt idx="46">
                  <c:v>0.9400758879530412</c:v>
                </c:pt>
                <c:pt idx="47">
                  <c:v>0.94146659320003245</c:v>
                </c:pt>
                <c:pt idx="48">
                  <c:v>0.94279339066803125</c:v>
                </c:pt>
                <c:pt idx="49">
                  <c:v>0.9440610593708072</c:v>
                </c:pt>
                <c:pt idx="50">
                  <c:v>0.94527392795795306</c:v>
                </c:pt>
                <c:pt idx="51">
                  <c:v>0.94643592619199013</c:v>
                </c:pt>
                <c:pt idx="52">
                  <c:v>0.94755062958552716</c:v>
                </c:pt>
                <c:pt idx="53">
                  <c:v>0.94862129822946173</c:v>
                </c:pt>
                <c:pt idx="54">
                  <c:v>0.94965091067016782</c:v>
                </c:pt>
                <c:pt idx="55">
                  <c:v>0.95064219355248736</c:v>
                </c:pt>
                <c:pt idx="56">
                  <c:v>0.95159764762968935</c:v>
                </c:pt>
                <c:pt idx="57">
                  <c:v>0.95251957064640436</c:v>
                </c:pt>
                <c:pt idx="58">
                  <c:v>0.95341007752194129</c:v>
                </c:pt>
                <c:pt idx="59">
                  <c:v>0.95427111819622157</c:v>
                </c:pt>
                <c:pt idx="60">
                  <c:v>0.95510449344629977</c:v>
                </c:pt>
                <c:pt idx="61">
                  <c:v>0.95591186893613889</c:v>
                </c:pt>
                <c:pt idx="62">
                  <c:v>0.95669478772432182</c:v>
                </c:pt>
                <c:pt idx="63">
                  <c:v>0.95745468142245471</c:v>
                </c:pt>
                <c:pt idx="64">
                  <c:v>0.95819288017006643</c:v>
                </c:pt>
                <c:pt idx="65">
                  <c:v>0.95891062156901996</c:v>
                </c:pt>
                <c:pt idx="66">
                  <c:v>0.95960905870111102</c:v>
                </c:pt>
                <c:pt idx="67">
                  <c:v>0.96028926733605635</c:v>
                </c:pt>
                <c:pt idx="68">
                  <c:v>0.9609522524230284</c:v>
                </c:pt>
                <c:pt idx="69">
                  <c:v>0.961598953946871</c:v>
                </c:pt>
                <c:pt idx="70">
                  <c:v>0.96223025221980596</c:v>
                </c:pt>
                <c:pt idx="71">
                  <c:v>0.96284697267058095</c:v>
                </c:pt>
                <c:pt idx="72">
                  <c:v>0.96344989018534022</c:v>
                </c:pt>
                <c:pt idx="73">
                  <c:v>0.96403973304790647</c:v>
                </c:pt>
                <c:pt idx="74">
                  <c:v>0.96461718652140949</c:v>
                </c:pt>
                <c:pt idx="75">
                  <c:v>0.96518289610824393</c:v>
                </c:pt>
                <c:pt idx="76">
                  <c:v>0.96573747052098891</c:v>
                </c:pt>
                <c:pt idx="77">
                  <c:v>0.96628148439315387</c:v>
                </c:pt>
                <c:pt idx="78">
                  <c:v>0.96681548075530876</c:v>
                </c:pt>
                <c:pt idx="79">
                  <c:v>0.96733997329925903</c:v>
                </c:pt>
                <c:pt idx="80">
                  <c:v>0.96785544845038185</c:v>
                </c:pt>
                <c:pt idx="81">
                  <c:v>0.96836236726600544</c:v>
                </c:pt>
                <c:pt idx="82">
                  <c:v>0.96886116717572579</c:v>
                </c:pt>
                <c:pt idx="83">
                  <c:v>0.96935226357781634</c:v>
                </c:pt>
                <c:pt idx="84">
                  <c:v>0.96983605130432171</c:v>
                </c:pt>
                <c:pt idx="85">
                  <c:v>0.97031290596604924</c:v>
                </c:pt>
                <c:pt idx="86">
                  <c:v>0.97078318518743889</c:v>
                </c:pt>
                <c:pt idx="87">
                  <c:v>0.97124722974017053</c:v>
                </c:pt>
                <c:pt idx="88">
                  <c:v>0.97170536458338808</c:v>
                </c:pt>
                <c:pt idx="89">
                  <c:v>0.97215789981750333</c:v>
                </c:pt>
                <c:pt idx="90">
                  <c:v>0.97260513155772121</c:v>
                </c:pt>
                <c:pt idx="91">
                  <c:v>0.97304734273268878</c:v>
                </c:pt>
                <c:pt idx="92">
                  <c:v>0.973484803812949</c:v>
                </c:pt>
                <c:pt idx="93">
                  <c:v>0.97391777347327113</c:v>
                </c:pt>
                <c:pt idx="94">
                  <c:v>0.974346499192289</c:v>
                </c:pt>
                <c:pt idx="95">
                  <c:v>0.9747712177923209</c:v>
                </c:pt>
                <c:pt idx="96">
                  <c:v>0.97519215592168584</c:v>
                </c:pt>
                <c:pt idx="97">
                  <c:v>0.97560953048129917</c:v>
                </c:pt>
                <c:pt idx="98">
                  <c:v>0.97602354899678345</c:v>
                </c:pt>
                <c:pt idx="99">
                  <c:v>0.97643440993680941</c:v>
                </c:pt>
                <c:pt idx="100">
                  <c:v>0.97684230297784713</c:v>
                </c:pt>
                <c:pt idx="101">
                  <c:v>0.97724740921491615</c:v>
                </c:pt>
                <c:pt idx="102">
                  <c:v>0.97764990131738083</c:v>
                </c:pt>
                <c:pt idx="103">
                  <c:v>0.97804994362817677</c:v>
                </c:pt>
                <c:pt idx="104">
                  <c:v>0.97844769220419425</c:v>
                </c:pt>
                <c:pt idx="105">
                  <c:v>0.97884329479482723</c:v>
                </c:pt>
                <c:pt idx="106">
                  <c:v>0.97923689075486731</c:v>
                </c:pt>
                <c:pt idx="107">
                  <c:v>0.97962861088703701</c:v>
                </c:pt>
                <c:pt idx="108">
                  <c:v>0.98001857720844809</c:v>
                </c:pt>
                <c:pt idx="109">
                  <c:v>0.98057175107232819</c:v>
                </c:pt>
                <c:pt idx="110">
                  <c:v>0.98116430014880163</c:v>
                </c:pt>
                <c:pt idx="111">
                  <c:v>0.98175914059663927</c:v>
                </c:pt>
                <c:pt idx="112">
                  <c:v>0.98235661042802602</c:v>
                </c:pt>
                <c:pt idx="113">
                  <c:v>0.98295705228416053</c:v>
                </c:pt>
                <c:pt idx="114">
                  <c:v>0.98356081412436691</c:v>
                </c:pt>
                <c:pt idx="115">
                  <c:v>0.98416824992852303</c:v>
                </c:pt>
                <c:pt idx="116">
                  <c:v>0.9847797204145009</c:v>
                </c:pt>
                <c:pt idx="117">
                  <c:v>0.98539559377367669</c:v>
                </c:pt>
                <c:pt idx="118">
                  <c:v>0.98601624642570884</c:v>
                </c:pt>
                <c:pt idx="119">
                  <c:v>0.98664206379543595</c:v>
                </c:pt>
                <c:pt idx="120">
                  <c:v>0.98727344111385695</c:v>
                </c:pt>
                <c:pt idx="121">
                  <c:v>0.9882635673885013</c:v>
                </c:pt>
                <c:pt idx="122">
                  <c:v>0.99058466497234954</c:v>
                </c:pt>
                <c:pt idx="123">
                  <c:v>0.99298394903046527</c:v>
                </c:pt>
                <c:pt idx="124">
                  <c:v>0.99546761337571932</c:v>
                </c:pt>
                <c:pt idx="125">
                  <c:v>0.99835237016634271</c:v>
                </c:pt>
                <c:pt idx="126">
                  <c:v>1.001447553552048</c:v>
                </c:pt>
                <c:pt idx="127">
                  <c:v>1.0052026285312914</c:v>
                </c:pt>
                <c:pt idx="128">
                  <c:v>1.0092445518045219</c:v>
                </c:pt>
                <c:pt idx="129">
                  <c:v>1.013573733790512</c:v>
                </c:pt>
                <c:pt idx="130">
                  <c:v>1.0182351454904397</c:v>
                </c:pt>
                <c:pt idx="131">
                  <c:v>1.0232842699232338</c:v>
                </c:pt>
                <c:pt idx="132">
                  <c:v>1.0287904793689695</c:v>
                </c:pt>
                <c:pt idx="133">
                  <c:v>1.0347627982830188</c:v>
                </c:pt>
                <c:pt idx="134">
                  <c:v>1.0411952840176537</c:v>
                </c:pt>
                <c:pt idx="135">
                  <c:v>1.048366076314043</c:v>
                </c:pt>
                <c:pt idx="136">
                  <c:v>1.0564515715611968</c:v>
                </c:pt>
                <c:pt idx="137">
                  <c:v>1.0663393280013662</c:v>
                </c:pt>
                <c:pt idx="138">
                  <c:v>1.0782012139402957</c:v>
                </c:pt>
                <c:pt idx="139">
                  <c:v>1.0922698203047625</c:v>
                </c:pt>
                <c:pt idx="140">
                  <c:v>1.1089238151564906</c:v>
                </c:pt>
                <c:pt idx="141">
                  <c:v>1.1287453863342298</c:v>
                </c:pt>
                <c:pt idx="142">
                  <c:v>1.1526160795827702</c:v>
                </c:pt>
                <c:pt idx="143">
                  <c:v>1.1818781429913505</c:v>
                </c:pt>
                <c:pt idx="144">
                  <c:v>1.2186114814151339</c:v>
                </c:pt>
                <c:pt idx="145">
                  <c:v>1.2661189921574929</c:v>
                </c:pt>
                <c:pt idx="146">
                  <c:v>1.3297852283055167</c:v>
                </c:pt>
                <c:pt idx="147">
                  <c:v>1.4196018965446024</c:v>
                </c:pt>
                <c:pt idx="148">
                  <c:v>1.5756736425896456</c:v>
                </c:pt>
                <c:pt idx="149">
                  <c:v>1.8264717258543</c:v>
                </c:pt>
                <c:pt idx="150">
                  <c:v>2.190890734920603</c:v>
                </c:pt>
                <c:pt idx="151">
                  <c:v>2.5569769590518927</c:v>
                </c:pt>
                <c:pt idx="152">
                  <c:v>2.7442406288885728</c:v>
                </c:pt>
                <c:pt idx="153">
                  <c:v>2.7620000718084721</c:v>
                </c:pt>
                <c:pt idx="154">
                  <c:v>2.7751261927182354</c:v>
                </c:pt>
                <c:pt idx="155">
                  <c:v>2.7889580382141803</c:v>
                </c:pt>
                <c:pt idx="156">
                  <c:v>2.8036035390544671</c:v>
                </c:pt>
                <c:pt idx="157">
                  <c:v>2.8191902604621388</c:v>
                </c:pt>
                <c:pt idx="158">
                  <c:v>2.8358701003490814</c:v>
                </c:pt>
                <c:pt idx="159">
                  <c:v>2.8538253163884826</c:v>
                </c:pt>
                <c:pt idx="160">
                  <c:v>2.8732763159972046</c:v>
                </c:pt>
                <c:pt idx="161">
                  <c:v>2.8944917982429077</c:v>
                </c:pt>
                <c:pt idx="162">
                  <c:v>2.9178020469505599</c:v>
                </c:pt>
                <c:pt idx="163">
                  <c:v>2.9436164542280001</c:v>
                </c:pt>
                <c:pt idx="164">
                  <c:v>2.9724467119895759</c:v>
                </c:pt>
                <c:pt idx="165">
                  <c:v>3.0049375306310266</c:v>
                </c:pt>
                <c:pt idx="166">
                  <c:v>3.0419071427636086</c:v>
                </c:pt>
                <c:pt idx="167">
                  <c:v>3.0843999546353791</c:v>
                </c:pt>
                <c:pt idx="168">
                  <c:v>3.1337527959769771</c:v>
                </c:pt>
                <c:pt idx="169">
                  <c:v>3.1883664946255772</c:v>
                </c:pt>
                <c:pt idx="170">
                  <c:v>3.2406812997377124</c:v>
                </c:pt>
                <c:pt idx="171">
                  <c:v>3.2903554495857907</c:v>
                </c:pt>
                <c:pt idx="172">
                  <c:v>3.3213542502511846</c:v>
                </c:pt>
                <c:pt idx="173">
                  <c:v>3.366508123629754</c:v>
                </c:pt>
                <c:pt idx="174">
                  <c:v>3.4093897595201983</c:v>
                </c:pt>
                <c:pt idx="175">
                  <c:v>3.4501316002248608</c:v>
                </c:pt>
                <c:pt idx="176">
                  <c:v>3.4888688418570735</c:v>
                </c:pt>
                <c:pt idx="177">
                  <c:v>3.5265092189428651</c:v>
                </c:pt>
                <c:pt idx="178">
                  <c:v>3.5629921995699787</c:v>
                </c:pt>
                <c:pt idx="179">
                  <c:v>3.598974881367115</c:v>
                </c:pt>
                <c:pt idx="180">
                  <c:v>3.6310997358172905</c:v>
                </c:pt>
                <c:pt idx="181">
                  <c:v>3.6539350618423176</c:v>
                </c:pt>
                <c:pt idx="182">
                  <c:v>3.6797930888760355</c:v>
                </c:pt>
                <c:pt idx="183">
                  <c:v>3.7036976648284856</c:v>
                </c:pt>
                <c:pt idx="184">
                  <c:v>3.727283138755245</c:v>
                </c:pt>
                <c:pt idx="185">
                  <c:v>3.7511340953206957</c:v>
                </c:pt>
                <c:pt idx="186">
                  <c:v>3.7745456909104425</c:v>
                </c:pt>
                <c:pt idx="187">
                  <c:v>3.7975642610487332</c:v>
                </c:pt>
                <c:pt idx="188">
                  <c:v>3.8202324886816568</c:v>
                </c:pt>
                <c:pt idx="189">
                  <c:v>3.8425898712122999</c:v>
                </c:pt>
                <c:pt idx="190">
                  <c:v>3.8646731222932305</c:v>
                </c:pt>
                <c:pt idx="191">
                  <c:v>3.8865165192669506</c:v>
                </c:pt>
                <c:pt idx="192">
                  <c:v>3.9081522050801714</c:v>
                </c:pt>
                <c:pt idx="193">
                  <c:v>3.929610451864451</c:v>
                </c:pt>
                <c:pt idx="194">
                  <c:v>3.9509198920756923</c:v>
                </c:pt>
                <c:pt idx="195">
                  <c:v>3.9721077220429053</c:v>
                </c:pt>
                <c:pt idx="196">
                  <c:v>3.9931998819351611</c:v>
                </c:pt>
                <c:pt idx="197">
                  <c:v>4.0140379711905956</c:v>
                </c:pt>
                <c:pt idx="198">
                  <c:v>4.0335508255813739</c:v>
                </c:pt>
                <c:pt idx="199">
                  <c:v>4.0517900772586124</c:v>
                </c:pt>
                <c:pt idx="200">
                  <c:v>4.0689774329911703</c:v>
                </c:pt>
                <c:pt idx="201">
                  <c:v>4.0852872038916308</c:v>
                </c:pt>
                <c:pt idx="202">
                  <c:v>4.1008586513872984</c:v>
                </c:pt>
                <c:pt idx="203">
                  <c:v>4.1158047044968296</c:v>
                </c:pt>
                <c:pt idx="204">
                  <c:v>4.1302182268820804</c:v>
                </c:pt>
                <c:pt idx="205">
                  <c:v>4.1441765973003886</c:v>
                </c:pt>
                <c:pt idx="206">
                  <c:v>4.1577451086351411</c:v>
                </c:pt>
                <c:pt idx="207">
                  <c:v>4.1709795260987903</c:v>
                </c:pt>
                <c:pt idx="208">
                  <c:v>4.1839280382665311</c:v>
                </c:pt>
                <c:pt idx="209">
                  <c:v>4.1966327638262273</c:v>
                </c:pt>
                <c:pt idx="210">
                  <c:v>4.2091309292903478</c:v>
                </c:pt>
                <c:pt idx="211">
                  <c:v>4.2214558003435654</c:v>
                </c:pt>
                <c:pt idx="212">
                  <c:v>4.2336374269062507</c:v>
                </c:pt>
                <c:pt idx="213">
                  <c:v>4.245703246113524</c:v>
                </c:pt>
                <c:pt idx="214">
                  <c:v>4.2576785761097673</c:v>
                </c:pt>
                <c:pt idx="215">
                  <c:v>4.2695870254278381</c:v>
                </c:pt>
                <c:pt idx="216">
                  <c:v>4.2814508368119713</c:v>
                </c:pt>
                <c:pt idx="217">
                  <c:v>4.2932911800082687</c:v>
                </c:pt>
                <c:pt idx="218">
                  <c:v>4.3051284048379888</c:v>
                </c:pt>
                <c:pt idx="219">
                  <c:v>4.3169822634947348</c:v>
                </c:pt>
                <c:pt idx="220">
                  <c:v>4.3431148111234386</c:v>
                </c:pt>
                <c:pt idx="221">
                  <c:v>4.397252837394996</c:v>
                </c:pt>
                <c:pt idx="222">
                  <c:v>4.4709301866434545</c:v>
                </c:pt>
                <c:pt idx="223">
                  <c:v>4.5553871316941965</c:v>
                </c:pt>
                <c:pt idx="224">
                  <c:v>4.6430150626615223</c:v>
                </c:pt>
                <c:pt idx="225">
                  <c:v>4.7282241923291206</c:v>
                </c:pt>
                <c:pt idx="226">
                  <c:v>4.8076246577392041</c:v>
                </c:pt>
                <c:pt idx="227">
                  <c:v>4.87966329213699</c:v>
                </c:pt>
                <c:pt idx="228">
                  <c:v>4.9444087225373501</c:v>
                </c:pt>
                <c:pt idx="229">
                  <c:v>5.0019196868341815</c:v>
                </c:pt>
                <c:pt idx="230">
                  <c:v>5.0531149716959654</c:v>
                </c:pt>
                <c:pt idx="231">
                  <c:v>5.0989038403814817</c:v>
                </c:pt>
                <c:pt idx="232">
                  <c:v>5.1400170553356395</c:v>
                </c:pt>
                <c:pt idx="233">
                  <c:v>5.1771308907348894</c:v>
                </c:pt>
                <c:pt idx="234">
                  <c:v>5.2054484733465767</c:v>
                </c:pt>
                <c:pt idx="235">
                  <c:v>5.2310182996366468</c:v>
                </c:pt>
                <c:pt idx="236">
                  <c:v>5.2536658292303624</c:v>
                </c:pt>
                <c:pt idx="237">
                  <c:v>5.273843276654917</c:v>
                </c:pt>
                <c:pt idx="238">
                  <c:v>5.2921662685806954</c:v>
                </c:pt>
                <c:pt idx="239">
                  <c:v>5.3089467198804039</c:v>
                </c:pt>
                <c:pt idx="240">
                  <c:v>5.3244254346385516</c:v>
                </c:pt>
                <c:pt idx="241">
                  <c:v>5.3387900537570756</c:v>
                </c:pt>
                <c:pt idx="242">
                  <c:v>5.3521874889023149</c:v>
                </c:pt>
                <c:pt idx="243">
                  <c:v>5.3647325685328751</c:v>
                </c:pt>
                <c:pt idx="244">
                  <c:v>5.376513974413796</c:v>
                </c:pt>
                <c:pt idx="245">
                  <c:v>5.3875981258091583</c:v>
                </c:pt>
                <c:pt idx="246">
                  <c:v>5.3980313699144453</c:v>
                </c:pt>
                <c:pt idx="247">
                  <c:v>5.4079052113496164</c:v>
                </c:pt>
                <c:pt idx="248">
                  <c:v>5.4171790373478528</c:v>
                </c:pt>
                <c:pt idx="249">
                  <c:v>5.425795951420703</c:v>
                </c:pt>
                <c:pt idx="250">
                  <c:v>5.4336831157220402</c:v>
                </c:pt>
                <c:pt idx="251">
                  <c:v>5.4407083912842502</c:v>
                </c:pt>
                <c:pt idx="252">
                  <c:v>5.4462323508142827</c:v>
                </c:pt>
                <c:pt idx="253">
                  <c:v>5.4492585104549267</c:v>
                </c:pt>
                <c:pt idx="254">
                  <c:v>5.4498485145881101</c:v>
                </c:pt>
                <c:pt idx="255">
                  <c:v>5.4503315855710133</c:v>
                </c:pt>
                <c:pt idx="256">
                  <c:v>5.4508181307860335</c:v>
                </c:pt>
                <c:pt idx="257">
                  <c:v>5.4513083043701318</c:v>
                </c:pt>
                <c:pt idx="258">
                  <c:v>5.4518022732530129</c:v>
                </c:pt>
                <c:pt idx="259">
                  <c:v>5.4523002169731312</c:v>
                </c:pt>
                <c:pt idx="260">
                  <c:v>5.4528023275856787</c:v>
                </c:pt>
                <c:pt idx="261">
                  <c:v>5.4533088096574946</c:v>
                </c:pt>
                <c:pt idx="262">
                  <c:v>5.4538198803448852</c:v>
                </c:pt>
                <c:pt idx="263">
                  <c:v>5.4543357695513004</c:v>
                </c:pt>
                <c:pt idx="264">
                  <c:v>5.4548567201628657</c:v>
                </c:pt>
                <c:pt idx="265">
                  <c:v>5.4553625725571671</c:v>
                </c:pt>
                <c:pt idx="266">
                  <c:v>5.4558088821808166</c:v>
                </c:pt>
                <c:pt idx="267">
                  <c:v>5.4562614132119123</c:v>
                </c:pt>
                <c:pt idx="268">
                  <c:v>5.4567203986422435</c:v>
                </c:pt>
                <c:pt idx="269">
                  <c:v>5.4571860877489948</c:v>
                </c:pt>
                <c:pt idx="270">
                  <c:v>5.4576587465839026</c:v>
                </c:pt>
                <c:pt idx="271">
                  <c:v>5.4581386585524925</c:v>
                </c:pt>
                <c:pt idx="272">
                  <c:v>5.4586261250858783</c:v>
                </c:pt>
                <c:pt idx="273">
                  <c:v>5.4591214664084395</c:v>
                </c:pt>
                <c:pt idx="274">
                  <c:v>5.459625022405584</c:v>
                </c:pt>
                <c:pt idx="275">
                  <c:v>5.4601371535967331</c:v>
                </c:pt>
                <c:pt idx="276">
                  <c:v>5.4606582422196217</c:v>
                </c:pt>
                <c:pt idx="277">
                  <c:v>5.4611886934330647</c:v>
                </c:pt>
                <c:pt idx="278">
                  <c:v>5.4617289366464599</c:v>
                </c:pt>
                <c:pt idx="279">
                  <c:v>5.4622794269855133</c:v>
                </c:pt>
                <c:pt idx="280">
                  <c:v>5.4628406469050219</c:v>
                </c:pt>
                <c:pt idx="281">
                  <c:v>5.4634131079610189</c:v>
                </c:pt>
                <c:pt idx="282">
                  <c:v>5.4639973527562207</c:v>
                </c:pt>
                <c:pt idx="283">
                  <c:v>5.464593957074551</c:v>
                </c:pt>
                <c:pt idx="284">
                  <c:v>5.4652035322225405</c:v>
                </c:pt>
                <c:pt idx="285">
                  <c:v>5.4658267275977046</c:v>
                </c:pt>
                <c:pt idx="286">
                  <c:v>5.4664642335065796</c:v>
                </c:pt>
                <c:pt idx="287">
                  <c:v>5.4671167842580157</c:v>
                </c:pt>
                <c:pt idx="288">
                  <c:v>5.4677851615606334</c:v>
                </c:pt>
                <c:pt idx="289">
                  <c:v>5.468470198257136</c:v>
                </c:pt>
                <c:pt idx="290">
                  <c:v>5.4691727824324179</c:v>
                </c:pt>
                <c:pt idx="291">
                  <c:v>5.4698938619373658</c:v>
                </c:pt>
                <c:pt idx="292">
                  <c:v>5.4706344493758294</c:v>
                </c:pt>
                <c:pt idx="293">
                  <c:v>5.4713956276087137</c:v>
                </c:pt>
                <c:pt idx="294">
                  <c:v>5.4721785558365612</c:v>
                </c:pt>
                <c:pt idx="295">
                  <c:v>5.4729844763305868</c:v>
                </c:pt>
                <c:pt idx="296">
                  <c:v>5.4738147218920306</c:v>
                </c:pt>
                <c:pt idx="297">
                  <c:v>5.4746707241311974</c:v>
                </c:pt>
                <c:pt idx="298">
                  <c:v>5.4755540226709449</c:v>
                </c:pt>
                <c:pt idx="299">
                  <c:v>5.4764662753949596</c:v>
                </c:pt>
                <c:pt idx="300">
                  <c:v>5.4774092698793684</c:v>
                </c:pt>
                <c:pt idx="301">
                  <c:v>5.4783849361676094</c:v>
                </c:pt>
                <c:pt idx="302">
                  <c:v>5.4793953610735402</c:v>
                </c:pt>
                <c:pt idx="303">
                  <c:v>5.4804428042273425</c:v>
                </c:pt>
                <c:pt idx="304">
                  <c:v>5.481529716113716</c:v>
                </c:pt>
                <c:pt idx="305">
                  <c:v>5.4826587583932431</c:v>
                </c:pt>
                <c:pt idx="306">
                  <c:v>5.4838328268470962</c:v>
                </c:pt>
                <c:pt idx="307">
                  <c:v>5.4850550773439721</c:v>
                </c:pt>
                <c:pt idx="308">
                  <c:v>5.4863289552985091</c:v>
                </c:pt>
                <c:pt idx="309">
                  <c:v>5.4876582291749161</c:v>
                </c:pt>
                <c:pt idx="310">
                  <c:v>5.4890470286914308</c:v>
                </c:pt>
                <c:pt idx="311">
                  <c:v>5.4904998885045124</c:v>
                </c:pt>
                <c:pt idx="312">
                  <c:v>5.4920217983014838</c:v>
                </c:pt>
                <c:pt idx="313">
                  <c:v>5.4936182604131147</c:v>
                </c:pt>
                <c:pt idx="314">
                  <c:v>5.4952953562815541</c:v>
                </c:pt>
                <c:pt idx="315">
                  <c:v>5.4970598233946601</c:v>
                </c:pt>
                <c:pt idx="316">
                  <c:v>5.4989191446385179</c:v>
                </c:pt>
                <c:pt idx="317">
                  <c:v>5.5008816524433763</c:v>
                </c:pt>
                <c:pt idx="318">
                  <c:v>5.5029566506270138</c:v>
                </c:pt>
                <c:pt idx="319">
                  <c:v>5.5051545575034195</c:v>
                </c:pt>
                <c:pt idx="320">
                  <c:v>5.5074870746628681</c:v>
                </c:pt>
                <c:pt idx="321">
                  <c:v>5.5099673868939352</c:v>
                </c:pt>
                <c:pt idx="322">
                  <c:v>5.5126104000781169</c:v>
                </c:pt>
                <c:pt idx="323">
                  <c:v>5.5154330256370265</c:v>
                </c:pt>
                <c:pt idx="324">
                  <c:v>5.5184545223771213</c:v>
                </c:pt>
                <c:pt idx="325">
                  <c:v>5.5216969095309079</c:v>
                </c:pt>
                <c:pt idx="326">
                  <c:v>5.5251839762830839</c:v>
                </c:pt>
                <c:pt idx="327">
                  <c:v>5.5288167339493013</c:v>
                </c:pt>
                <c:pt idx="328">
                  <c:v>5.5325284368191596</c:v>
                </c:pt>
                <c:pt idx="329">
                  <c:v>5.5363288320774187</c:v>
                </c:pt>
                <c:pt idx="330">
                  <c:v>5.5402286171732307</c:v>
                </c:pt>
                <c:pt idx="331">
                  <c:v>5.5442396058641421</c:v>
                </c:pt>
                <c:pt idx="332">
                  <c:v>5.5483749261011592</c:v>
                </c:pt>
                <c:pt idx="333">
                  <c:v>5.5526492577370394</c:v>
                </c:pt>
                <c:pt idx="334">
                  <c:v>5.5570791203684502</c:v>
                </c:pt>
                <c:pt idx="335">
                  <c:v>5.5616832247602401</c:v>
                </c:pt>
                <c:pt idx="336">
                  <c:v>5.5664829055722889</c:v>
                </c:pt>
                <c:pt idx="337">
                  <c:v>5.5715026589927028</c:v>
                </c:pt>
                <c:pt idx="338">
                  <c:v>5.5767708170832675</c:v>
                </c:pt>
                <c:pt idx="339">
                  <c:v>5.5823204022306729</c:v>
                </c:pt>
                <c:pt idx="340">
                  <c:v>5.5881902217095245</c:v>
                </c:pt>
                <c:pt idx="341">
                  <c:v>5.594426286550739</c:v>
                </c:pt>
                <c:pt idx="342">
                  <c:v>5.6010836747509307</c:v>
                </c:pt>
                <c:pt idx="343">
                  <c:v>5.6082290129727124</c:v>
                </c:pt>
                <c:pt idx="344">
                  <c:v>5.6159438343194914</c:v>
                </c:pt>
                <c:pt idx="345">
                  <c:v>5.624329201409763</c:v>
                </c:pt>
                <c:pt idx="346">
                  <c:v>5.6335121970946931</c:v>
                </c:pt>
                <c:pt idx="347">
                  <c:v>5.6436552402828077</c:v>
                </c:pt>
                <c:pt idx="348">
                  <c:v>5.6549697956476139</c:v>
                </c:pt>
                <c:pt idx="349">
                  <c:v>5.6677371380210637</c:v>
                </c:pt>
                <c:pt idx="350">
                  <c:v>5.6823408677899003</c:v>
                </c:pt>
                <c:pt idx="351">
                  <c:v>5.6993198598154997</c:v>
                </c:pt>
                <c:pt idx="352">
                  <c:v>5.7194586014115876</c:v>
                </c:pt>
                <c:pt idx="353">
                  <c:v>5.7439502777249487</c:v>
                </c:pt>
                <c:pt idx="354">
                  <c:v>5.7747125026210835</c:v>
                </c:pt>
                <c:pt idx="355">
                  <c:v>5.8150553347997853</c:v>
                </c:pt>
                <c:pt idx="356">
                  <c:v>5.8712695775941048</c:v>
                </c:pt>
                <c:pt idx="357">
                  <c:v>5.957059249527088</c:v>
                </c:pt>
                <c:pt idx="358">
                  <c:v>6.101772032486438</c:v>
                </c:pt>
                <c:pt idx="359">
                  <c:v>6.2711633016445996</c:v>
                </c:pt>
                <c:pt idx="360">
                  <c:v>0.15692508633081045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TLR_Section_Capacity!$B$27</c:f>
              <c:numCache>
                <c:formatCode>0.0000</c:formatCode>
                <c:ptCount val="1"/>
                <c:pt idx="0">
                  <c:v>-4.7269257861390475E-2</c:v>
                </c:pt>
              </c:numCache>
            </c:numRef>
          </c:xVal>
          <c:yVal>
            <c:numRef>
              <c:f>TLR_Section_Capacity!$U$7</c:f>
              <c:numCache>
                <c:formatCode>0.000E+00</c:formatCode>
                <c:ptCount val="1"/>
                <c:pt idx="0">
                  <c:v>5.9917285127017248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2*pi bounding box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TLR_Section_Capacity!$AD$37:$AD$41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TLR_Section_Capacity!$AE$37:$AE$41</c:f>
              <c:numCache>
                <c:formatCode>General</c:formatCode>
                <c:ptCount val="5"/>
                <c:pt idx="0">
                  <c:v>6.2831853071795862</c:v>
                </c:pt>
                <c:pt idx="1">
                  <c:v>6.2831853071795862</c:v>
                </c:pt>
                <c:pt idx="2">
                  <c:v>0</c:v>
                </c:pt>
                <c:pt idx="3">
                  <c:v>0</c:v>
                </c:pt>
                <c:pt idx="4">
                  <c:v>6.2831853071795862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alphavtan-interior reference 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TLR_Section_Capacity!$CB$15:$CB$375</c:f>
              <c:numCache>
                <c:formatCode>0.000</c:formatCode>
                <c:ptCount val="361"/>
                <c:pt idx="0">
                  <c:v>0.15692508633125207</c:v>
                </c:pt>
                <c:pt idx="1">
                  <c:v>0.3177962992588852</c:v>
                </c:pt>
                <c:pt idx="2">
                  <c:v>0.46506662209204164</c:v>
                </c:pt>
                <c:pt idx="3">
                  <c:v>0.58243398384392475</c:v>
                </c:pt>
                <c:pt idx="4">
                  <c:v>0.64938713221173316</c:v>
                </c:pt>
                <c:pt idx="5">
                  <c:v>0.69254134374669252</c:v>
                </c:pt>
                <c:pt idx="6">
                  <c:v>0.72328155375772141</c:v>
                </c:pt>
                <c:pt idx="7">
                  <c:v>0.7466467930432481</c:v>
                </c:pt>
                <c:pt idx="8">
                  <c:v>0.76523218435074492</c:v>
                </c:pt>
                <c:pt idx="9">
                  <c:v>0.78052054885639066</c:v>
                </c:pt>
                <c:pt idx="10">
                  <c:v>0.79342589506218986</c:v>
                </c:pt>
                <c:pt idx="11">
                  <c:v>0.80454516887474792</c:v>
                </c:pt>
                <c:pt idx="12">
                  <c:v>0.81428644064214706</c:v>
                </c:pt>
                <c:pt idx="13">
                  <c:v>0.82293916183610316</c:v>
                </c:pt>
                <c:pt idx="14">
                  <c:v>0.83071501117772406</c:v>
                </c:pt>
                <c:pt idx="15">
                  <c:v>0.83777281918432944</c:v>
                </c:pt>
                <c:pt idx="16">
                  <c:v>0.84423440481064416</c:v>
                </c:pt>
                <c:pt idx="17">
                  <c:v>0.8501949890176197</c:v>
                </c:pt>
                <c:pt idx="18">
                  <c:v>0.85573024730875646</c:v>
                </c:pt>
                <c:pt idx="19">
                  <c:v>0.86090121005747755</c:v>
                </c:pt>
                <c:pt idx="20">
                  <c:v>0.86575774489115076</c:v>
                </c:pt>
                <c:pt idx="21">
                  <c:v>0.87034108120731113</c:v>
                </c:pt>
                <c:pt idx="22">
                  <c:v>0.87468567310081369</c:v>
                </c:pt>
                <c:pt idx="23">
                  <c:v>0.87882059620161546</c:v>
                </c:pt>
                <c:pt idx="24">
                  <c:v>0.88277061026593417</c:v>
                </c:pt>
                <c:pt idx="25">
                  <c:v>0.88655697819643853</c:v>
                </c:pt>
                <c:pt idx="26">
                  <c:v>0.89019810497278307</c:v>
                </c:pt>
                <c:pt idx="27">
                  <c:v>0.89371004166049794</c:v>
                </c:pt>
                <c:pt idx="28">
                  <c:v>0.89710688711573094</c:v>
                </c:pt>
                <c:pt idx="29">
                  <c:v>0.90040111126327826</c:v>
                </c:pt>
                <c:pt idx="30">
                  <c:v>0.90360381764893138</c:v>
                </c:pt>
                <c:pt idx="31">
                  <c:v>0.90672495854317892</c:v>
                </c:pt>
                <c:pt idx="32">
                  <c:v>0.90977351266427764</c:v>
                </c:pt>
                <c:pt idx="33">
                  <c:v>0.91275763323705961</c:v>
                </c:pt>
                <c:pt idx="34">
                  <c:v>0.91568477235560108</c:v>
                </c:pt>
                <c:pt idx="35">
                  <c:v>0.91850065574396189</c:v>
                </c:pt>
                <c:pt idx="36">
                  <c:v>0.92112469501904848</c:v>
                </c:pt>
                <c:pt idx="37">
                  <c:v>0.9235753473968763</c:v>
                </c:pt>
                <c:pt idx="38">
                  <c:v>0.92586974745817974</c:v>
                </c:pt>
                <c:pt idx="39">
                  <c:v>0.92802289186830367</c:v>
                </c:pt>
                <c:pt idx="40">
                  <c:v>0.93004795907719462</c:v>
                </c:pt>
                <c:pt idx="41">
                  <c:v>0.9319565738079939</c:v>
                </c:pt>
                <c:pt idx="42">
                  <c:v>0.93375902707753577</c:v>
                </c:pt>
                <c:pt idx="43">
                  <c:v>0.93546446017909735</c:v>
                </c:pt>
                <c:pt idx="44">
                  <c:v>0.93708101928817666</c:v>
                </c:pt>
                <c:pt idx="45">
                  <c:v>0.93861598598804952</c:v>
                </c:pt>
                <c:pt idx="46">
                  <c:v>0.9400758879530412</c:v>
                </c:pt>
                <c:pt idx="47">
                  <c:v>0.94146659320003245</c:v>
                </c:pt>
                <c:pt idx="48">
                  <c:v>0.94279339066803125</c:v>
                </c:pt>
                <c:pt idx="49">
                  <c:v>0.9440610593708072</c:v>
                </c:pt>
                <c:pt idx="50">
                  <c:v>0.94527392795795306</c:v>
                </c:pt>
                <c:pt idx="51">
                  <c:v>0.94643592619199013</c:v>
                </c:pt>
                <c:pt idx="52">
                  <c:v>0.94755062958552716</c:v>
                </c:pt>
                <c:pt idx="53">
                  <c:v>0.94862129822946173</c:v>
                </c:pt>
                <c:pt idx="54">
                  <c:v>0.94965091067016782</c:v>
                </c:pt>
                <c:pt idx="55">
                  <c:v>0.95064219355248736</c:v>
                </c:pt>
                <c:pt idx="56">
                  <c:v>0.95159764762968935</c:v>
                </c:pt>
                <c:pt idx="57">
                  <c:v>0.95251957064640436</c:v>
                </c:pt>
                <c:pt idx="58">
                  <c:v>0.95341007752194129</c:v>
                </c:pt>
                <c:pt idx="59">
                  <c:v>0.95427111819622157</c:v>
                </c:pt>
                <c:pt idx="60">
                  <c:v>0.95510449344629977</c:v>
                </c:pt>
                <c:pt idx="61">
                  <c:v>0.95591186893613889</c:v>
                </c:pt>
                <c:pt idx="62">
                  <c:v>0.95669478772432182</c:v>
                </c:pt>
                <c:pt idx="63">
                  <c:v>0.95745468142245471</c:v>
                </c:pt>
                <c:pt idx="64">
                  <c:v>0.95819288017006643</c:v>
                </c:pt>
                <c:pt idx="65">
                  <c:v>0.95891062156901996</c:v>
                </c:pt>
                <c:pt idx="66">
                  <c:v>0.95960905870111102</c:v>
                </c:pt>
                <c:pt idx="67">
                  <c:v>0.96028926733605635</c:v>
                </c:pt>
                <c:pt idx="68">
                  <c:v>0.9609522524230284</c:v>
                </c:pt>
                <c:pt idx="69">
                  <c:v>0.961598953946871</c:v>
                </c:pt>
                <c:pt idx="70">
                  <c:v>0.96223025221980596</c:v>
                </c:pt>
                <c:pt idx="71">
                  <c:v>0.96284697267058095</c:v>
                </c:pt>
                <c:pt idx="72">
                  <c:v>0.96344989018534022</c:v>
                </c:pt>
                <c:pt idx="73">
                  <c:v>0.96403973304790647</c:v>
                </c:pt>
                <c:pt idx="74">
                  <c:v>0.96461718652140949</c:v>
                </c:pt>
                <c:pt idx="75">
                  <c:v>0.96518289610824393</c:v>
                </c:pt>
                <c:pt idx="76">
                  <c:v>0.96573747052098891</c:v>
                </c:pt>
                <c:pt idx="77">
                  <c:v>0.96628148439315387</c:v>
                </c:pt>
                <c:pt idx="78">
                  <c:v>0.96681548075530876</c:v>
                </c:pt>
                <c:pt idx="79">
                  <c:v>0.96733997329925903</c:v>
                </c:pt>
                <c:pt idx="80">
                  <c:v>0.96785544845038185</c:v>
                </c:pt>
                <c:pt idx="81">
                  <c:v>0.96836236726600544</c:v>
                </c:pt>
                <c:pt idx="82">
                  <c:v>0.96886116717572579</c:v>
                </c:pt>
                <c:pt idx="83">
                  <c:v>0.96935226357781634</c:v>
                </c:pt>
                <c:pt idx="84">
                  <c:v>0.96983605130432171</c:v>
                </c:pt>
                <c:pt idx="85">
                  <c:v>0.97031290596604924</c:v>
                </c:pt>
                <c:pt idx="86">
                  <c:v>0.97078318518743889</c:v>
                </c:pt>
                <c:pt idx="87">
                  <c:v>0.97124722974017053</c:v>
                </c:pt>
                <c:pt idx="88">
                  <c:v>0.97170536458338808</c:v>
                </c:pt>
                <c:pt idx="89">
                  <c:v>0.97215789981750333</c:v>
                </c:pt>
                <c:pt idx="90">
                  <c:v>0.97260513155772121</c:v>
                </c:pt>
                <c:pt idx="91">
                  <c:v>0.97304734273268878</c:v>
                </c:pt>
                <c:pt idx="92">
                  <c:v>0.973484803812949</c:v>
                </c:pt>
                <c:pt idx="93">
                  <c:v>0.97391777347327113</c:v>
                </c:pt>
                <c:pt idx="94">
                  <c:v>0.974346499192289</c:v>
                </c:pt>
                <c:pt idx="95">
                  <c:v>0.9747712177923209</c:v>
                </c:pt>
                <c:pt idx="96">
                  <c:v>0.97519215592168584</c:v>
                </c:pt>
                <c:pt idx="97">
                  <c:v>0.97560953048129917</c:v>
                </c:pt>
                <c:pt idx="98">
                  <c:v>0.97602354899678345</c:v>
                </c:pt>
                <c:pt idx="99">
                  <c:v>0.97643440993680941</c:v>
                </c:pt>
                <c:pt idx="100">
                  <c:v>0.97684230297784713</c:v>
                </c:pt>
                <c:pt idx="101">
                  <c:v>0.97724740921491615</c:v>
                </c:pt>
                <c:pt idx="102">
                  <c:v>0.97764990131738083</c:v>
                </c:pt>
                <c:pt idx="103">
                  <c:v>0.97804994362817677</c:v>
                </c:pt>
                <c:pt idx="104">
                  <c:v>0.97844769220419425</c:v>
                </c:pt>
                <c:pt idx="105">
                  <c:v>0.97884329479482723</c:v>
                </c:pt>
                <c:pt idx="106">
                  <c:v>0.97923689075486731</c:v>
                </c:pt>
                <c:pt idx="107">
                  <c:v>0.97962861088703701</c:v>
                </c:pt>
                <c:pt idx="108">
                  <c:v>0.98001857720844809</c:v>
                </c:pt>
                <c:pt idx="109">
                  <c:v>0.98057175107232819</c:v>
                </c:pt>
                <c:pt idx="110">
                  <c:v>0.98116430014880163</c:v>
                </c:pt>
                <c:pt idx="111">
                  <c:v>0.98175914059663927</c:v>
                </c:pt>
                <c:pt idx="112">
                  <c:v>0.98235661042802602</c:v>
                </c:pt>
                <c:pt idx="113">
                  <c:v>0.98295705228416053</c:v>
                </c:pt>
                <c:pt idx="114">
                  <c:v>0.98356081412436691</c:v>
                </c:pt>
                <c:pt idx="115">
                  <c:v>0.98416824992852303</c:v>
                </c:pt>
                <c:pt idx="116">
                  <c:v>0.9847797204145009</c:v>
                </c:pt>
                <c:pt idx="117">
                  <c:v>0.98539559377367669</c:v>
                </c:pt>
                <c:pt idx="118">
                  <c:v>0.98601624642570884</c:v>
                </c:pt>
                <c:pt idx="119">
                  <c:v>0.98664206379543595</c:v>
                </c:pt>
                <c:pt idx="120">
                  <c:v>0.98727344111385695</c:v>
                </c:pt>
                <c:pt idx="121">
                  <c:v>0.9882635673885013</c:v>
                </c:pt>
                <c:pt idx="122">
                  <c:v>0.99058466497234954</c:v>
                </c:pt>
                <c:pt idx="123">
                  <c:v>0.99298394903046527</c:v>
                </c:pt>
                <c:pt idx="124">
                  <c:v>0.99546761337571932</c:v>
                </c:pt>
                <c:pt idx="125">
                  <c:v>0.99835237016634271</c:v>
                </c:pt>
                <c:pt idx="126">
                  <c:v>1.001447553552048</c:v>
                </c:pt>
                <c:pt idx="127">
                  <c:v>1.0052026285312914</c:v>
                </c:pt>
                <c:pt idx="128">
                  <c:v>1.0092445518045219</c:v>
                </c:pt>
                <c:pt idx="129">
                  <c:v>1.013573733790512</c:v>
                </c:pt>
                <c:pt idx="130">
                  <c:v>1.0182351454904397</c:v>
                </c:pt>
                <c:pt idx="131">
                  <c:v>1.0232842699232338</c:v>
                </c:pt>
                <c:pt idx="132">
                  <c:v>1.0287904793689695</c:v>
                </c:pt>
                <c:pt idx="133">
                  <c:v>1.0347627982830188</c:v>
                </c:pt>
                <c:pt idx="134">
                  <c:v>1.0411952840176537</c:v>
                </c:pt>
                <c:pt idx="135">
                  <c:v>1.048366076314043</c:v>
                </c:pt>
                <c:pt idx="136">
                  <c:v>1.0564515715611968</c:v>
                </c:pt>
                <c:pt idx="137">
                  <c:v>1.0663393280013662</c:v>
                </c:pt>
                <c:pt idx="138">
                  <c:v>1.0782012139402957</c:v>
                </c:pt>
                <c:pt idx="139">
                  <c:v>1.0922698203047625</c:v>
                </c:pt>
                <c:pt idx="140">
                  <c:v>1.1089238151564906</c:v>
                </c:pt>
                <c:pt idx="141">
                  <c:v>1.1287453863342298</c:v>
                </c:pt>
                <c:pt idx="142">
                  <c:v>1.1526160795827702</c:v>
                </c:pt>
                <c:pt idx="143">
                  <c:v>1.1818781429913505</c:v>
                </c:pt>
                <c:pt idx="144">
                  <c:v>1.2186114814151341</c:v>
                </c:pt>
                <c:pt idx="145">
                  <c:v>1.2661189921574929</c:v>
                </c:pt>
                <c:pt idx="146">
                  <c:v>1.3297852283055169</c:v>
                </c:pt>
                <c:pt idx="147">
                  <c:v>1.4196018965446024</c:v>
                </c:pt>
                <c:pt idx="148">
                  <c:v>1.5756736425896454</c:v>
                </c:pt>
                <c:pt idx="149">
                  <c:v>1.8264717258543002</c:v>
                </c:pt>
                <c:pt idx="150">
                  <c:v>2.1908907349206039</c:v>
                </c:pt>
                <c:pt idx="151">
                  <c:v>2.5569769590518927</c:v>
                </c:pt>
                <c:pt idx="152">
                  <c:v>2.7442406288885723</c:v>
                </c:pt>
                <c:pt idx="153">
                  <c:v>2.7620000718084721</c:v>
                </c:pt>
                <c:pt idx="154">
                  <c:v>2.7751261927182354</c:v>
                </c:pt>
                <c:pt idx="155">
                  <c:v>2.7889580382141803</c:v>
                </c:pt>
                <c:pt idx="156">
                  <c:v>2.8036035390544667</c:v>
                </c:pt>
                <c:pt idx="157">
                  <c:v>2.8191902604621388</c:v>
                </c:pt>
                <c:pt idx="158">
                  <c:v>2.8358701003490814</c:v>
                </c:pt>
                <c:pt idx="159">
                  <c:v>2.8538253163884826</c:v>
                </c:pt>
                <c:pt idx="160">
                  <c:v>2.8732763159972046</c:v>
                </c:pt>
                <c:pt idx="161">
                  <c:v>2.8944917982429077</c:v>
                </c:pt>
                <c:pt idx="162">
                  <c:v>2.9178020469505603</c:v>
                </c:pt>
                <c:pt idx="163">
                  <c:v>2.9436164542280001</c:v>
                </c:pt>
                <c:pt idx="164">
                  <c:v>2.9724467119895759</c:v>
                </c:pt>
                <c:pt idx="165">
                  <c:v>3.0049375306310266</c:v>
                </c:pt>
                <c:pt idx="166">
                  <c:v>3.0419071427636086</c:v>
                </c:pt>
                <c:pt idx="167">
                  <c:v>3.0843999546353791</c:v>
                </c:pt>
                <c:pt idx="168">
                  <c:v>3.1337527959769771</c:v>
                </c:pt>
                <c:pt idx="169">
                  <c:v>-3.094818812554009</c:v>
                </c:pt>
                <c:pt idx="170">
                  <c:v>-3.0425040074418743</c:v>
                </c:pt>
                <c:pt idx="171">
                  <c:v>-2.9928298575937955</c:v>
                </c:pt>
                <c:pt idx="172">
                  <c:v>-2.9618310569284017</c:v>
                </c:pt>
                <c:pt idx="173">
                  <c:v>-2.9166771835498322</c:v>
                </c:pt>
                <c:pt idx="174">
                  <c:v>-2.8737955476593879</c:v>
                </c:pt>
                <c:pt idx="175">
                  <c:v>-2.8330537069547255</c:v>
                </c:pt>
                <c:pt idx="176">
                  <c:v>-2.7943164653225132</c:v>
                </c:pt>
                <c:pt idx="177">
                  <c:v>-2.7566760882367212</c:v>
                </c:pt>
                <c:pt idx="178">
                  <c:v>-2.720193107609608</c:v>
                </c:pt>
                <c:pt idx="179">
                  <c:v>-2.6842104258124717</c:v>
                </c:pt>
                <c:pt idx="180">
                  <c:v>-2.6520855713622953</c:v>
                </c:pt>
                <c:pt idx="181">
                  <c:v>-2.6292502453372681</c:v>
                </c:pt>
                <c:pt idx="182">
                  <c:v>-2.6033922183035507</c:v>
                </c:pt>
                <c:pt idx="183">
                  <c:v>-2.5794876423511006</c:v>
                </c:pt>
                <c:pt idx="184">
                  <c:v>-2.5559021684243413</c:v>
                </c:pt>
                <c:pt idx="185">
                  <c:v>-2.53205121185889</c:v>
                </c:pt>
                <c:pt idx="186">
                  <c:v>-2.5086396162691438</c:v>
                </c:pt>
                <c:pt idx="187">
                  <c:v>-2.4856210461308526</c:v>
                </c:pt>
                <c:pt idx="188">
                  <c:v>-2.4629528184979295</c:v>
                </c:pt>
                <c:pt idx="189">
                  <c:v>-2.4405954359672859</c:v>
                </c:pt>
                <c:pt idx="190">
                  <c:v>-2.4185121848863558</c:v>
                </c:pt>
                <c:pt idx="191">
                  <c:v>-2.3966687879126356</c:v>
                </c:pt>
                <c:pt idx="192">
                  <c:v>-2.3750331020994149</c:v>
                </c:pt>
                <c:pt idx="193">
                  <c:v>-2.3535748553151352</c:v>
                </c:pt>
                <c:pt idx="194">
                  <c:v>-2.332265415103894</c:v>
                </c:pt>
                <c:pt idx="195">
                  <c:v>-2.3110775851366809</c:v>
                </c:pt>
                <c:pt idx="196">
                  <c:v>-2.2899854252444252</c:v>
                </c:pt>
                <c:pt idx="197">
                  <c:v>-2.2691473359889911</c:v>
                </c:pt>
                <c:pt idx="198">
                  <c:v>-2.2496344815982123</c:v>
                </c:pt>
                <c:pt idx="199">
                  <c:v>-2.2313952299209729</c:v>
                </c:pt>
                <c:pt idx="200">
                  <c:v>-2.2142078741884155</c:v>
                </c:pt>
                <c:pt idx="201">
                  <c:v>-2.197898103287955</c:v>
                </c:pt>
                <c:pt idx="202">
                  <c:v>-2.1823266557922882</c:v>
                </c:pt>
                <c:pt idx="203">
                  <c:v>-2.1673806026827567</c:v>
                </c:pt>
                <c:pt idx="204">
                  <c:v>-2.1529670802975058</c:v>
                </c:pt>
                <c:pt idx="205">
                  <c:v>-2.1390087098791977</c:v>
                </c:pt>
                <c:pt idx="206">
                  <c:v>-2.1254401985444451</c:v>
                </c:pt>
                <c:pt idx="207">
                  <c:v>-2.1122057810807959</c:v>
                </c:pt>
                <c:pt idx="208">
                  <c:v>-2.0992572689130555</c:v>
                </c:pt>
                <c:pt idx="209">
                  <c:v>-2.0865525433533589</c:v>
                </c:pt>
                <c:pt idx="210">
                  <c:v>-2.074054377889238</c:v>
                </c:pt>
                <c:pt idx="211">
                  <c:v>-2.0617295068360209</c:v>
                </c:pt>
                <c:pt idx="212">
                  <c:v>-2.0495478802733356</c:v>
                </c:pt>
                <c:pt idx="213">
                  <c:v>-2.0374820610660622</c:v>
                </c:pt>
                <c:pt idx="214">
                  <c:v>-2.0255067310698189</c:v>
                </c:pt>
                <c:pt idx="215">
                  <c:v>-2.0135982817517482</c:v>
                </c:pt>
                <c:pt idx="216">
                  <c:v>-2.001734470367615</c:v>
                </c:pt>
                <c:pt idx="217">
                  <c:v>-1.9898941271713175</c:v>
                </c:pt>
                <c:pt idx="218">
                  <c:v>-1.9780569023415975</c:v>
                </c:pt>
                <c:pt idx="219">
                  <c:v>-1.9662030436848508</c:v>
                </c:pt>
                <c:pt idx="220">
                  <c:v>-1.9400704960561483</c:v>
                </c:pt>
                <c:pt idx="221">
                  <c:v>-1.8859324697845901</c:v>
                </c:pt>
                <c:pt idx="222">
                  <c:v>-1.8122551205361317</c:v>
                </c:pt>
                <c:pt idx="223">
                  <c:v>-1.7277981754853895</c:v>
                </c:pt>
                <c:pt idx="224">
                  <c:v>-1.6401702445180639</c:v>
                </c:pt>
                <c:pt idx="225">
                  <c:v>-1.5549611148504656</c:v>
                </c:pt>
                <c:pt idx="226">
                  <c:v>-1.4755606494403821</c:v>
                </c:pt>
                <c:pt idx="227">
                  <c:v>-1.403522015042596</c:v>
                </c:pt>
                <c:pt idx="228">
                  <c:v>-1.3387765846422361</c:v>
                </c:pt>
                <c:pt idx="229">
                  <c:v>-1.2812656203454054</c:v>
                </c:pt>
                <c:pt idx="230">
                  <c:v>-1.2300703354836207</c:v>
                </c:pt>
                <c:pt idx="231">
                  <c:v>-1.1842814667981041</c:v>
                </c:pt>
                <c:pt idx="232">
                  <c:v>-1.1431682518439465</c:v>
                </c:pt>
                <c:pt idx="233">
                  <c:v>-1.1060544164446968</c:v>
                </c:pt>
                <c:pt idx="234">
                  <c:v>-1.0777368338330096</c:v>
                </c:pt>
                <c:pt idx="235">
                  <c:v>-1.0521670075429395</c:v>
                </c:pt>
                <c:pt idx="236">
                  <c:v>-1.029519477949224</c:v>
                </c:pt>
                <c:pt idx="237">
                  <c:v>-1.0093420305246688</c:v>
                </c:pt>
                <c:pt idx="238">
                  <c:v>-0.9910190385988904</c:v>
                </c:pt>
                <c:pt idx="239">
                  <c:v>-0.974238587299182</c:v>
                </c:pt>
                <c:pt idx="240">
                  <c:v>-0.95875987254103434</c:v>
                </c:pt>
                <c:pt idx="241">
                  <c:v>-0.94439525342251063</c:v>
                </c:pt>
                <c:pt idx="242">
                  <c:v>-0.93099781827727102</c:v>
                </c:pt>
                <c:pt idx="243">
                  <c:v>-0.91845273864671129</c:v>
                </c:pt>
                <c:pt idx="244">
                  <c:v>-0.90667133276579059</c:v>
                </c:pt>
                <c:pt idx="245">
                  <c:v>-0.89558718137042814</c:v>
                </c:pt>
                <c:pt idx="246">
                  <c:v>-0.88515393726514091</c:v>
                </c:pt>
                <c:pt idx="247">
                  <c:v>-0.87528009582997013</c:v>
                </c:pt>
                <c:pt idx="248">
                  <c:v>-0.86600626983173379</c:v>
                </c:pt>
                <c:pt idx="249">
                  <c:v>-0.8573893557588832</c:v>
                </c:pt>
                <c:pt idx="250">
                  <c:v>-0.8495021914575458</c:v>
                </c:pt>
                <c:pt idx="251">
                  <c:v>-0.8424769158953358</c:v>
                </c:pt>
                <c:pt idx="252">
                  <c:v>-0.83695295636530309</c:v>
                </c:pt>
                <c:pt idx="253">
                  <c:v>-0.8339267967246593</c:v>
                </c:pt>
                <c:pt idx="254">
                  <c:v>-0.83333679259147586</c:v>
                </c:pt>
                <c:pt idx="255">
                  <c:v>-0.83285372160857329</c:v>
                </c:pt>
                <c:pt idx="256">
                  <c:v>-0.83236717639355295</c:v>
                </c:pt>
                <c:pt idx="257">
                  <c:v>-0.83187700280945442</c:v>
                </c:pt>
                <c:pt idx="258">
                  <c:v>-0.83138303392657331</c:v>
                </c:pt>
                <c:pt idx="259">
                  <c:v>-0.8308850902064554</c:v>
                </c:pt>
                <c:pt idx="260">
                  <c:v>-0.83038297959390761</c:v>
                </c:pt>
                <c:pt idx="261">
                  <c:v>-0.82987649752209192</c:v>
                </c:pt>
                <c:pt idx="262">
                  <c:v>-0.82936542683470083</c:v>
                </c:pt>
                <c:pt idx="263">
                  <c:v>-0.82884953762828595</c:v>
                </c:pt>
                <c:pt idx="264">
                  <c:v>-0.82832858701672052</c:v>
                </c:pt>
                <c:pt idx="265">
                  <c:v>-0.82782273462241929</c:v>
                </c:pt>
                <c:pt idx="266">
                  <c:v>-0.82737642499876951</c:v>
                </c:pt>
                <c:pt idx="267">
                  <c:v>-0.82692389396767385</c:v>
                </c:pt>
                <c:pt idx="268">
                  <c:v>-0.826464908537343</c:v>
                </c:pt>
                <c:pt idx="269">
                  <c:v>-0.82599921943059162</c:v>
                </c:pt>
                <c:pt idx="270">
                  <c:v>-0.82552656059568397</c:v>
                </c:pt>
                <c:pt idx="271">
                  <c:v>-0.82504664862709409</c:v>
                </c:pt>
                <c:pt idx="272">
                  <c:v>-0.82455918209370815</c:v>
                </c:pt>
                <c:pt idx="273">
                  <c:v>-0.82406384077114703</c:v>
                </c:pt>
                <c:pt idx="274">
                  <c:v>-0.82356028477400245</c:v>
                </c:pt>
                <c:pt idx="275">
                  <c:v>-0.82304815358285266</c:v>
                </c:pt>
                <c:pt idx="276">
                  <c:v>-0.82252706495996442</c:v>
                </c:pt>
                <c:pt idx="277">
                  <c:v>-0.82199661374652166</c:v>
                </c:pt>
                <c:pt idx="278">
                  <c:v>-0.8214563705331267</c:v>
                </c:pt>
                <c:pt idx="279">
                  <c:v>-0.82090588019407329</c:v>
                </c:pt>
                <c:pt idx="280">
                  <c:v>-0.82034466027456421</c:v>
                </c:pt>
                <c:pt idx="281">
                  <c:v>-0.81977219921856703</c:v>
                </c:pt>
                <c:pt idx="282">
                  <c:v>-0.81918795442336545</c:v>
                </c:pt>
                <c:pt idx="283">
                  <c:v>-0.81859135010503536</c:v>
                </c:pt>
                <c:pt idx="284">
                  <c:v>-0.81798177495704605</c:v>
                </c:pt>
                <c:pt idx="285">
                  <c:v>-0.81735857958188174</c:v>
                </c:pt>
                <c:pt idx="286">
                  <c:v>-0.81672107367300628</c:v>
                </c:pt>
                <c:pt idx="287">
                  <c:v>-0.81606852292157084</c:v>
                </c:pt>
                <c:pt idx="288">
                  <c:v>-0.81540014561895258</c:v>
                </c:pt>
                <c:pt idx="289">
                  <c:v>-0.81471510892245014</c:v>
                </c:pt>
                <c:pt idx="290">
                  <c:v>-0.81401252474716856</c:v>
                </c:pt>
                <c:pt idx="291">
                  <c:v>-0.81329144524222075</c:v>
                </c:pt>
                <c:pt idx="292">
                  <c:v>-0.81255085780375635</c:v>
                </c:pt>
                <c:pt idx="293">
                  <c:v>-0.81178967957087267</c:v>
                </c:pt>
                <c:pt idx="294">
                  <c:v>-0.81100675134302525</c:v>
                </c:pt>
                <c:pt idx="295">
                  <c:v>-0.81020083084899919</c:v>
                </c:pt>
                <c:pt idx="296">
                  <c:v>-0.80937058528755534</c:v>
                </c:pt>
                <c:pt idx="297">
                  <c:v>-0.80851458304838908</c:v>
                </c:pt>
                <c:pt idx="298">
                  <c:v>-0.80763128450864141</c:v>
                </c:pt>
                <c:pt idx="299">
                  <c:v>-0.80671903178462689</c:v>
                </c:pt>
                <c:pt idx="300">
                  <c:v>-0.80577603730021752</c:v>
                </c:pt>
                <c:pt idx="301">
                  <c:v>-0.80480037101197655</c:v>
                </c:pt>
                <c:pt idx="302">
                  <c:v>-0.80378994610604626</c:v>
                </c:pt>
                <c:pt idx="303">
                  <c:v>-0.80274250295224336</c:v>
                </c:pt>
                <c:pt idx="304">
                  <c:v>-0.80165559106587025</c:v>
                </c:pt>
                <c:pt idx="305">
                  <c:v>-0.80052654878634288</c:v>
                </c:pt>
                <c:pt idx="306">
                  <c:v>-0.79935248033248985</c:v>
                </c:pt>
                <c:pt idx="307">
                  <c:v>-0.79813022983561421</c:v>
                </c:pt>
                <c:pt idx="308">
                  <c:v>-0.7968563518810774</c:v>
                </c:pt>
                <c:pt idx="309">
                  <c:v>-0.79552707800467037</c:v>
                </c:pt>
                <c:pt idx="310">
                  <c:v>-0.79413827848815544</c:v>
                </c:pt>
                <c:pt idx="311">
                  <c:v>-0.79268541867507403</c:v>
                </c:pt>
                <c:pt idx="312">
                  <c:v>-0.79116350887810216</c:v>
                </c:pt>
                <c:pt idx="313">
                  <c:v>-0.78956704676647183</c:v>
                </c:pt>
                <c:pt idx="314">
                  <c:v>-0.78788995089803249</c:v>
                </c:pt>
                <c:pt idx="315">
                  <c:v>-0.78612548378492575</c:v>
                </c:pt>
                <c:pt idx="316">
                  <c:v>-0.78426616254106807</c:v>
                </c:pt>
                <c:pt idx="317">
                  <c:v>-0.78230365473620955</c:v>
                </c:pt>
                <c:pt idx="318">
                  <c:v>-0.78022865655257212</c:v>
                </c:pt>
                <c:pt idx="319">
                  <c:v>-0.77803074967616703</c:v>
                </c:pt>
                <c:pt idx="320">
                  <c:v>-0.77569823251671788</c:v>
                </c:pt>
                <c:pt idx="321">
                  <c:v>-0.77321792028565117</c:v>
                </c:pt>
                <c:pt idx="322">
                  <c:v>-0.7705749071014697</c:v>
                </c:pt>
                <c:pt idx="323">
                  <c:v>-0.76775228154256003</c:v>
                </c:pt>
                <c:pt idx="324">
                  <c:v>-0.76473078480246481</c:v>
                </c:pt>
                <c:pt idx="325">
                  <c:v>-0.76148839764867837</c:v>
                </c:pt>
                <c:pt idx="326">
                  <c:v>-0.75800133089650223</c:v>
                </c:pt>
                <c:pt idx="327">
                  <c:v>-0.75436857323028506</c:v>
                </c:pt>
                <c:pt idx="328">
                  <c:v>-0.75065687036042628</c:v>
                </c:pt>
                <c:pt idx="329">
                  <c:v>-0.74685647510216724</c:v>
                </c:pt>
                <c:pt idx="330">
                  <c:v>-0.74295669000635534</c:v>
                </c:pt>
                <c:pt idx="331">
                  <c:v>-0.73894570131544446</c:v>
                </c:pt>
                <c:pt idx="332">
                  <c:v>-0.73481038107842722</c:v>
                </c:pt>
                <c:pt idx="333">
                  <c:v>-0.73053604944254691</c:v>
                </c:pt>
                <c:pt idx="334">
                  <c:v>-0.72610618681113581</c:v>
                </c:pt>
                <c:pt idx="335">
                  <c:v>-0.72150208241934621</c:v>
                </c:pt>
                <c:pt idx="336">
                  <c:v>-0.71670240160729715</c:v>
                </c:pt>
                <c:pt idx="337">
                  <c:v>-0.71168264818688298</c:v>
                </c:pt>
                <c:pt idx="338">
                  <c:v>-0.70641449009631874</c:v>
                </c:pt>
                <c:pt idx="339">
                  <c:v>-0.70086490494891296</c:v>
                </c:pt>
                <c:pt idx="340">
                  <c:v>-0.69499508547006128</c:v>
                </c:pt>
                <c:pt idx="341">
                  <c:v>-0.68875902062884709</c:v>
                </c:pt>
                <c:pt idx="342">
                  <c:v>-0.68210163242865518</c:v>
                </c:pt>
                <c:pt idx="343">
                  <c:v>-0.67495629420687431</c:v>
                </c:pt>
                <c:pt idx="344">
                  <c:v>-0.66724147286009439</c:v>
                </c:pt>
                <c:pt idx="345">
                  <c:v>-0.65885610576982334</c:v>
                </c:pt>
                <c:pt idx="346">
                  <c:v>-0.64967311008489292</c:v>
                </c:pt>
                <c:pt idx="347">
                  <c:v>-0.63953006689677871</c:v>
                </c:pt>
                <c:pt idx="348">
                  <c:v>-0.62821551153197264</c:v>
                </c:pt>
                <c:pt idx="349">
                  <c:v>-0.61544816915852285</c:v>
                </c:pt>
                <c:pt idx="350">
                  <c:v>-0.60084443938968635</c:v>
                </c:pt>
                <c:pt idx="351">
                  <c:v>-0.58386544736408696</c:v>
                </c:pt>
                <c:pt idx="352">
                  <c:v>-0.56372670576799855</c:v>
                </c:pt>
                <c:pt idx="353">
                  <c:v>-0.53923502945463742</c:v>
                </c:pt>
                <c:pt idx="354">
                  <c:v>-0.50847280455850252</c:v>
                </c:pt>
                <c:pt idx="355">
                  <c:v>-0.46812997237980136</c:v>
                </c:pt>
                <c:pt idx="356">
                  <c:v>-0.41191572958548112</c:v>
                </c:pt>
                <c:pt idx="357">
                  <c:v>-0.32612605765249791</c:v>
                </c:pt>
                <c:pt idx="358">
                  <c:v>-0.18141327469314864</c:v>
                </c:pt>
                <c:pt idx="359">
                  <c:v>-1.2022005534986988E-2</c:v>
                </c:pt>
                <c:pt idx="360">
                  <c:v>0.15692508633081045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B7-4D85-BC30-76F07C687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1"/>
          <c:order val="0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TLR_Section_Capacity!$BH$2:$BH$362</c:f>
              <c:numCache>
                <c:formatCode>0.000</c:formatCode>
                <c:ptCount val="361"/>
                <c:pt idx="0">
                  <c:v>-0.44838188080911873</c:v>
                </c:pt>
                <c:pt idx="1">
                  <c:v>-0.60925309373675274</c:v>
                </c:pt>
                <c:pt idx="2">
                  <c:v>-0.75652341656990907</c:v>
                </c:pt>
                <c:pt idx="3">
                  <c:v>-0.87389077832179152</c:v>
                </c:pt>
                <c:pt idx="4">
                  <c:v>-0.94084392668960015</c:v>
                </c:pt>
                <c:pt idx="5">
                  <c:v>-0.98399813822455973</c:v>
                </c:pt>
                <c:pt idx="6">
                  <c:v>-1.0147383482355885</c:v>
                </c:pt>
                <c:pt idx="7">
                  <c:v>-1.0381035875211151</c:v>
                </c:pt>
                <c:pt idx="8">
                  <c:v>-1.0566889788286116</c:v>
                </c:pt>
                <c:pt idx="9">
                  <c:v>-1.0719773433342576</c:v>
                </c:pt>
                <c:pt idx="10">
                  <c:v>-1.0848826895400567</c:v>
                </c:pt>
                <c:pt idx="11">
                  <c:v>-1.096001963352615</c:v>
                </c:pt>
                <c:pt idx="12">
                  <c:v>-1.1057432351200138</c:v>
                </c:pt>
                <c:pt idx="13">
                  <c:v>-1.1143959563139705</c:v>
                </c:pt>
                <c:pt idx="14">
                  <c:v>-1.1221718056555912</c:v>
                </c:pt>
                <c:pt idx="15">
                  <c:v>-1.1292296136621964</c:v>
                </c:pt>
                <c:pt idx="16">
                  <c:v>-1.1356911992885108</c:v>
                </c:pt>
                <c:pt idx="17">
                  <c:v>-1.1416517834954869</c:v>
                </c:pt>
                <c:pt idx="18">
                  <c:v>-1.147187041786623</c:v>
                </c:pt>
                <c:pt idx="19">
                  <c:v>-1.1523580045353443</c:v>
                </c:pt>
                <c:pt idx="20">
                  <c:v>-1.1572145393690179</c:v>
                </c:pt>
                <c:pt idx="21">
                  <c:v>-1.1617978756851779</c:v>
                </c:pt>
                <c:pt idx="22">
                  <c:v>-1.1661424675786807</c:v>
                </c:pt>
                <c:pt idx="23">
                  <c:v>-1.1702773906794823</c:v>
                </c:pt>
                <c:pt idx="24">
                  <c:v>-1.1742274047438015</c:v>
                </c:pt>
                <c:pt idx="25">
                  <c:v>-1.1780137726743052</c:v>
                </c:pt>
                <c:pt idx="26">
                  <c:v>-1.1816548994506502</c:v>
                </c:pt>
                <c:pt idx="27">
                  <c:v>-1.1851668361383647</c:v>
                </c:pt>
                <c:pt idx="28">
                  <c:v>-1.188563681593598</c:v>
                </c:pt>
                <c:pt idx="29">
                  <c:v>-1.1918579057411451</c:v>
                </c:pt>
                <c:pt idx="30">
                  <c:v>-1.1950606121267981</c:v>
                </c:pt>
                <c:pt idx="31">
                  <c:v>-1.1981817530210457</c:v>
                </c:pt>
                <c:pt idx="32">
                  <c:v>-1.2012303071421446</c:v>
                </c:pt>
                <c:pt idx="33">
                  <c:v>-1.2042144277149263</c:v>
                </c:pt>
                <c:pt idx="34">
                  <c:v>-1.2071415668334684</c:v>
                </c:pt>
                <c:pt idx="35">
                  <c:v>-1.2099574502218291</c:v>
                </c:pt>
                <c:pt idx="36">
                  <c:v>-1.2125814894969154</c:v>
                </c:pt>
                <c:pt idx="37">
                  <c:v>-1.2150321418747432</c:v>
                </c:pt>
                <c:pt idx="38">
                  <c:v>-1.2173265419360464</c:v>
                </c:pt>
                <c:pt idx="39">
                  <c:v>-1.219479686346171</c:v>
                </c:pt>
                <c:pt idx="40">
                  <c:v>-1.2215047535550616</c:v>
                </c:pt>
                <c:pt idx="41">
                  <c:v>-1.2234133682858606</c:v>
                </c:pt>
                <c:pt idx="42">
                  <c:v>-1.225215821555403</c:v>
                </c:pt>
                <c:pt idx="43">
                  <c:v>-1.2269212546569641</c:v>
                </c:pt>
                <c:pt idx="44">
                  <c:v>-1.2285378137660434</c:v>
                </c:pt>
                <c:pt idx="45">
                  <c:v>-1.2300727804659168</c:v>
                </c:pt>
                <c:pt idx="46">
                  <c:v>-1.2315326824309081</c:v>
                </c:pt>
                <c:pt idx="47">
                  <c:v>-1.2329233876778993</c:v>
                </c:pt>
                <c:pt idx="48">
                  <c:v>-1.2342501851458982</c:v>
                </c:pt>
                <c:pt idx="49">
                  <c:v>-1.2355178538486744</c:v>
                </c:pt>
                <c:pt idx="50">
                  <c:v>-1.2367307224358204</c:v>
                </c:pt>
                <c:pt idx="51">
                  <c:v>-1.2378927206698569</c:v>
                </c:pt>
                <c:pt idx="52">
                  <c:v>-1.2390074240633944</c:v>
                </c:pt>
                <c:pt idx="53">
                  <c:v>-1.2400780927073287</c:v>
                </c:pt>
                <c:pt idx="54">
                  <c:v>-1.2411077051480348</c:v>
                </c:pt>
                <c:pt idx="55">
                  <c:v>-1.2420989880303541</c:v>
                </c:pt>
                <c:pt idx="56">
                  <c:v>-1.243054442107556</c:v>
                </c:pt>
                <c:pt idx="57">
                  <c:v>-1.2439763651242715</c:v>
                </c:pt>
                <c:pt idx="58">
                  <c:v>-1.2448668719998086</c:v>
                </c:pt>
                <c:pt idx="59">
                  <c:v>-1.2457279126740881</c:v>
                </c:pt>
                <c:pt idx="60">
                  <c:v>-1.2465612879241663</c:v>
                </c:pt>
                <c:pt idx="61">
                  <c:v>-1.2473686634140055</c:v>
                </c:pt>
                <c:pt idx="62">
                  <c:v>-1.2481515822021889</c:v>
                </c:pt>
                <c:pt idx="63">
                  <c:v>-1.2489114759003217</c:v>
                </c:pt>
                <c:pt idx="64">
                  <c:v>-1.2496496746479331</c:v>
                </c:pt>
                <c:pt idx="65">
                  <c:v>-1.2503674160468867</c:v>
                </c:pt>
                <c:pt idx="66">
                  <c:v>-1.251065853178978</c:v>
                </c:pt>
                <c:pt idx="67">
                  <c:v>-1.2517460618139238</c:v>
                </c:pt>
                <c:pt idx="68">
                  <c:v>-1.2524090469008951</c:v>
                </c:pt>
                <c:pt idx="69">
                  <c:v>-1.2530557484247382</c:v>
                </c:pt>
                <c:pt idx="70">
                  <c:v>-1.2536870466976728</c:v>
                </c:pt>
                <c:pt idx="71">
                  <c:v>-1.2543037671484483</c:v>
                </c:pt>
                <c:pt idx="72">
                  <c:v>-1.2549066846632073</c:v>
                </c:pt>
                <c:pt idx="73">
                  <c:v>-1.2554965275257735</c:v>
                </c:pt>
                <c:pt idx="74">
                  <c:v>-1.2560739809992765</c:v>
                </c:pt>
                <c:pt idx="75">
                  <c:v>-1.256639690586111</c:v>
                </c:pt>
                <c:pt idx="76">
                  <c:v>-1.2571942649988561</c:v>
                </c:pt>
                <c:pt idx="77">
                  <c:v>-1.2577382788710205</c:v>
                </c:pt>
                <c:pt idx="78">
                  <c:v>-1.2582722752331759</c:v>
                </c:pt>
                <c:pt idx="79">
                  <c:v>-1.2587967677771259</c:v>
                </c:pt>
                <c:pt idx="80">
                  <c:v>-1.2593122429282488</c:v>
                </c:pt>
                <c:pt idx="81">
                  <c:v>-1.2598191617438721</c:v>
                </c:pt>
                <c:pt idx="82">
                  <c:v>-1.2603179616535931</c:v>
                </c:pt>
                <c:pt idx="83">
                  <c:v>-1.2608090580556832</c:v>
                </c:pt>
                <c:pt idx="84">
                  <c:v>-1.2612928457821886</c:v>
                </c:pt>
                <c:pt idx="85">
                  <c:v>-1.2617697004439166</c:v>
                </c:pt>
                <c:pt idx="86">
                  <c:v>-1.2622399796653057</c:v>
                </c:pt>
                <c:pt idx="87">
                  <c:v>-1.2627040242180378</c:v>
                </c:pt>
                <c:pt idx="88">
                  <c:v>-1.2631621590612554</c:v>
                </c:pt>
                <c:pt idx="89">
                  <c:v>-1.2636146942953703</c:v>
                </c:pt>
                <c:pt idx="90">
                  <c:v>-1.2640619260355879</c:v>
                </c:pt>
                <c:pt idx="91">
                  <c:v>-1.2645041372105557</c:v>
                </c:pt>
                <c:pt idx="92">
                  <c:v>-1.2649415982908156</c:v>
                </c:pt>
                <c:pt idx="93">
                  <c:v>-1.2653745679511383</c:v>
                </c:pt>
                <c:pt idx="94">
                  <c:v>-1.265803293670156</c:v>
                </c:pt>
                <c:pt idx="95">
                  <c:v>-1.2662280122701877</c:v>
                </c:pt>
                <c:pt idx="96">
                  <c:v>-1.2666489503995531</c:v>
                </c:pt>
                <c:pt idx="97">
                  <c:v>-1.2670663249591663</c:v>
                </c:pt>
                <c:pt idx="98">
                  <c:v>-1.2674803434746507</c:v>
                </c:pt>
                <c:pt idx="99">
                  <c:v>-1.2678912044146762</c:v>
                </c:pt>
                <c:pt idx="100">
                  <c:v>-1.2682990974557138</c:v>
                </c:pt>
                <c:pt idx="101">
                  <c:v>-1.2687042036927834</c:v>
                </c:pt>
                <c:pt idx="102">
                  <c:v>-1.2691066957952482</c:v>
                </c:pt>
                <c:pt idx="103">
                  <c:v>-1.2695067381060439</c:v>
                </c:pt>
                <c:pt idx="104">
                  <c:v>-1.2699044866820615</c:v>
                </c:pt>
                <c:pt idx="105">
                  <c:v>-1.2703000892726941</c:v>
                </c:pt>
                <c:pt idx="106">
                  <c:v>-1.2706936852327344</c:v>
                </c:pt>
                <c:pt idx="107">
                  <c:v>-1.2710854053649039</c:v>
                </c:pt>
                <c:pt idx="108">
                  <c:v>-1.2714753716863154</c:v>
                </c:pt>
                <c:pt idx="109">
                  <c:v>-1.2720285455501952</c:v>
                </c:pt>
                <c:pt idx="110">
                  <c:v>-1.2726210946266685</c:v>
                </c:pt>
                <c:pt idx="111">
                  <c:v>-1.2732159350745065</c:v>
                </c:pt>
                <c:pt idx="112">
                  <c:v>-1.2738134049058927</c:v>
                </c:pt>
                <c:pt idx="113">
                  <c:v>-1.2744138467620278</c:v>
                </c:pt>
                <c:pt idx="114">
                  <c:v>-1.2750176086022338</c:v>
                </c:pt>
                <c:pt idx="115">
                  <c:v>-1.2756250444063897</c:v>
                </c:pt>
                <c:pt idx="116">
                  <c:v>-1.276236514892368</c:v>
                </c:pt>
                <c:pt idx="117">
                  <c:v>-1.2768523882515439</c:v>
                </c:pt>
                <c:pt idx="118">
                  <c:v>-1.2774730409035755</c:v>
                </c:pt>
                <c:pt idx="119">
                  <c:v>-1.2780988582733033</c:v>
                </c:pt>
                <c:pt idx="120">
                  <c:v>-1.2787302355917236</c:v>
                </c:pt>
                <c:pt idx="121">
                  <c:v>-1.2797203618663684</c:v>
                </c:pt>
                <c:pt idx="122">
                  <c:v>-1.2820414594502163</c:v>
                </c:pt>
                <c:pt idx="123">
                  <c:v>-1.2844407435083325</c:v>
                </c:pt>
                <c:pt idx="124">
                  <c:v>-1.2869244078535866</c:v>
                </c:pt>
                <c:pt idx="125">
                  <c:v>-1.2898091646442096</c:v>
                </c:pt>
                <c:pt idx="126">
                  <c:v>-1.2929043480299145</c:v>
                </c:pt>
                <c:pt idx="127">
                  <c:v>-1.2966594230091586</c:v>
                </c:pt>
                <c:pt idx="128">
                  <c:v>-1.3007013462823889</c:v>
                </c:pt>
                <c:pt idx="129">
                  <c:v>-1.305030528268379</c:v>
                </c:pt>
                <c:pt idx="130">
                  <c:v>-1.3096919399683069</c:v>
                </c:pt>
                <c:pt idx="131">
                  <c:v>-1.3147410644011013</c:v>
                </c:pt>
                <c:pt idx="132">
                  <c:v>-1.3202472738468363</c:v>
                </c:pt>
                <c:pt idx="133">
                  <c:v>-1.326219592760886</c:v>
                </c:pt>
                <c:pt idx="134">
                  <c:v>-1.3326520784955209</c:v>
                </c:pt>
                <c:pt idx="135">
                  <c:v>-1.3398228707919098</c:v>
                </c:pt>
                <c:pt idx="136">
                  <c:v>-1.3479083660390636</c:v>
                </c:pt>
                <c:pt idx="137">
                  <c:v>-1.3577961224792328</c:v>
                </c:pt>
                <c:pt idx="138">
                  <c:v>-1.3696580084181627</c:v>
                </c:pt>
                <c:pt idx="139">
                  <c:v>-1.3837266147826297</c:v>
                </c:pt>
                <c:pt idx="140">
                  <c:v>-1.4003806096343576</c:v>
                </c:pt>
                <c:pt idx="141">
                  <c:v>-1.4202021808120968</c:v>
                </c:pt>
                <c:pt idx="142">
                  <c:v>-1.4440728740606377</c:v>
                </c:pt>
                <c:pt idx="143">
                  <c:v>-1.4733349374692175</c:v>
                </c:pt>
                <c:pt idx="144">
                  <c:v>-1.5100682758930006</c:v>
                </c:pt>
                <c:pt idx="145">
                  <c:v>-1.5575757866353597</c:v>
                </c:pt>
                <c:pt idx="146">
                  <c:v>-1.6212420227833839</c:v>
                </c:pt>
                <c:pt idx="147">
                  <c:v>-1.7110586910224692</c:v>
                </c:pt>
                <c:pt idx="148">
                  <c:v>-1.8671304370675126</c:v>
                </c:pt>
                <c:pt idx="149">
                  <c:v>-2.1179285203321667</c:v>
                </c:pt>
                <c:pt idx="150">
                  <c:v>-2.4823475293984698</c:v>
                </c:pt>
                <c:pt idx="151">
                  <c:v>-2.8484337535297595</c:v>
                </c:pt>
                <c:pt idx="152">
                  <c:v>-3.0356974233664396</c:v>
                </c:pt>
                <c:pt idx="153">
                  <c:v>-3.0534568662863388</c:v>
                </c:pt>
                <c:pt idx="154">
                  <c:v>-3.0665829871961021</c:v>
                </c:pt>
                <c:pt idx="155">
                  <c:v>-3.0804148326920471</c:v>
                </c:pt>
                <c:pt idx="156">
                  <c:v>-3.0950603335323339</c:v>
                </c:pt>
                <c:pt idx="157">
                  <c:v>-3.1106470549400056</c:v>
                </c:pt>
                <c:pt idx="158">
                  <c:v>-3.1273268948269481</c:v>
                </c:pt>
                <c:pt idx="159">
                  <c:v>3.1379031963132369</c:v>
                </c:pt>
                <c:pt idx="160">
                  <c:v>3.1184521967045149</c:v>
                </c:pt>
                <c:pt idx="161">
                  <c:v>3.0972367144588118</c:v>
                </c:pt>
                <c:pt idx="162">
                  <c:v>3.0739264657511596</c:v>
                </c:pt>
                <c:pt idx="163">
                  <c:v>3.0481120584737194</c:v>
                </c:pt>
                <c:pt idx="164">
                  <c:v>3.0192818007121436</c:v>
                </c:pt>
                <c:pt idx="165">
                  <c:v>2.9867909820706928</c:v>
                </c:pt>
                <c:pt idx="166">
                  <c:v>2.9498213699381108</c:v>
                </c:pt>
                <c:pt idx="167">
                  <c:v>2.9073285580663404</c:v>
                </c:pt>
                <c:pt idx="168">
                  <c:v>2.8579757167247424</c:v>
                </c:pt>
                <c:pt idx="169">
                  <c:v>2.8033620180761423</c:v>
                </c:pt>
                <c:pt idx="170">
                  <c:v>2.7510472129640071</c:v>
                </c:pt>
                <c:pt idx="171">
                  <c:v>2.7013730631159287</c:v>
                </c:pt>
                <c:pt idx="172">
                  <c:v>2.6703742624505349</c:v>
                </c:pt>
                <c:pt idx="173">
                  <c:v>2.6252203890719654</c:v>
                </c:pt>
                <c:pt idx="174">
                  <c:v>2.5823387531815212</c:v>
                </c:pt>
                <c:pt idx="175">
                  <c:v>2.5415969124768587</c:v>
                </c:pt>
                <c:pt idx="176">
                  <c:v>2.502859670844646</c:v>
                </c:pt>
                <c:pt idx="177">
                  <c:v>2.4652192937588544</c:v>
                </c:pt>
                <c:pt idx="178">
                  <c:v>2.4287363131317408</c:v>
                </c:pt>
                <c:pt idx="179">
                  <c:v>2.3927536313346045</c:v>
                </c:pt>
                <c:pt idx="180">
                  <c:v>2.360628776884429</c:v>
                </c:pt>
                <c:pt idx="181">
                  <c:v>2.3377934508594018</c:v>
                </c:pt>
                <c:pt idx="182">
                  <c:v>2.311935423825684</c:v>
                </c:pt>
                <c:pt idx="183">
                  <c:v>2.2880308478732339</c:v>
                </c:pt>
                <c:pt idx="184">
                  <c:v>2.2644453739464745</c:v>
                </c:pt>
                <c:pt idx="185">
                  <c:v>2.2405944173810237</c:v>
                </c:pt>
                <c:pt idx="186">
                  <c:v>2.217182821791277</c:v>
                </c:pt>
                <c:pt idx="187">
                  <c:v>2.1941642516529862</c:v>
                </c:pt>
                <c:pt idx="188">
                  <c:v>2.1714960240200627</c:v>
                </c:pt>
                <c:pt idx="189">
                  <c:v>2.1491386414894196</c:v>
                </c:pt>
                <c:pt idx="190">
                  <c:v>2.127055390408489</c:v>
                </c:pt>
                <c:pt idx="191">
                  <c:v>2.1052119934347688</c:v>
                </c:pt>
                <c:pt idx="192">
                  <c:v>2.0835763076215477</c:v>
                </c:pt>
                <c:pt idx="193">
                  <c:v>2.0621180608372685</c:v>
                </c:pt>
                <c:pt idx="194">
                  <c:v>2.0408086206260272</c:v>
                </c:pt>
                <c:pt idx="195">
                  <c:v>2.0196207906588137</c:v>
                </c:pt>
                <c:pt idx="196">
                  <c:v>1.9985286307665584</c:v>
                </c:pt>
                <c:pt idx="197">
                  <c:v>1.9776905415111239</c:v>
                </c:pt>
                <c:pt idx="198">
                  <c:v>1.9581776871203456</c:v>
                </c:pt>
                <c:pt idx="199">
                  <c:v>1.9399384354431068</c:v>
                </c:pt>
                <c:pt idx="200">
                  <c:v>1.9227510797105489</c:v>
                </c:pt>
                <c:pt idx="201">
                  <c:v>1.9064413088100884</c:v>
                </c:pt>
                <c:pt idx="202">
                  <c:v>1.8908698613144208</c:v>
                </c:pt>
                <c:pt idx="203">
                  <c:v>1.8759238082048897</c:v>
                </c:pt>
                <c:pt idx="204">
                  <c:v>1.8615102858196391</c:v>
                </c:pt>
                <c:pt idx="205">
                  <c:v>1.8475519154013307</c:v>
                </c:pt>
                <c:pt idx="206">
                  <c:v>1.8339834040665781</c:v>
                </c:pt>
                <c:pt idx="207">
                  <c:v>1.8207489866029289</c:v>
                </c:pt>
                <c:pt idx="208">
                  <c:v>1.8078004744351883</c:v>
                </c:pt>
                <c:pt idx="209">
                  <c:v>1.7950957488754919</c:v>
                </c:pt>
                <c:pt idx="210">
                  <c:v>1.7825975834113714</c:v>
                </c:pt>
                <c:pt idx="211">
                  <c:v>1.7702727123581539</c:v>
                </c:pt>
                <c:pt idx="212">
                  <c:v>1.7580910857954686</c:v>
                </c:pt>
                <c:pt idx="213">
                  <c:v>1.7460252665881952</c:v>
                </c:pt>
                <c:pt idx="214">
                  <c:v>1.7340499365919522</c:v>
                </c:pt>
                <c:pt idx="215">
                  <c:v>1.7221414872738812</c:v>
                </c:pt>
                <c:pt idx="216">
                  <c:v>1.710277675889748</c:v>
                </c:pt>
                <c:pt idx="217">
                  <c:v>1.6984373326934505</c:v>
                </c:pt>
                <c:pt idx="218">
                  <c:v>1.6866001078637305</c:v>
                </c:pt>
                <c:pt idx="219">
                  <c:v>1.6747462492069844</c:v>
                </c:pt>
                <c:pt idx="220">
                  <c:v>1.6486137015782807</c:v>
                </c:pt>
                <c:pt idx="221">
                  <c:v>1.5944756753067233</c:v>
                </c:pt>
                <c:pt idx="222">
                  <c:v>1.5207983260582649</c:v>
                </c:pt>
                <c:pt idx="223">
                  <c:v>1.436341381007523</c:v>
                </c:pt>
                <c:pt idx="224">
                  <c:v>1.3487134500401972</c:v>
                </c:pt>
                <c:pt idx="225">
                  <c:v>1.2635043203725989</c:v>
                </c:pt>
                <c:pt idx="226">
                  <c:v>1.1841038549625154</c:v>
                </c:pt>
                <c:pt idx="227">
                  <c:v>1.1120652205647295</c:v>
                </c:pt>
                <c:pt idx="228">
                  <c:v>1.0473197901643694</c:v>
                </c:pt>
                <c:pt idx="229">
                  <c:v>0.98980882586753793</c:v>
                </c:pt>
                <c:pt idx="230">
                  <c:v>0.93861354100575412</c:v>
                </c:pt>
                <c:pt idx="231">
                  <c:v>0.89282467232023777</c:v>
                </c:pt>
                <c:pt idx="232">
                  <c:v>0.85171145736608</c:v>
                </c:pt>
                <c:pt idx="233">
                  <c:v>0.81459762196683005</c:v>
                </c:pt>
                <c:pt idx="234">
                  <c:v>0.78628003935514279</c:v>
                </c:pt>
                <c:pt idx="235">
                  <c:v>0.76071021306507269</c:v>
                </c:pt>
                <c:pt idx="236">
                  <c:v>0.73806268347135706</c:v>
                </c:pt>
                <c:pt idx="237">
                  <c:v>0.71788523604680243</c:v>
                </c:pt>
                <c:pt idx="238">
                  <c:v>0.69956224412102408</c:v>
                </c:pt>
                <c:pt idx="239">
                  <c:v>0.68278179282131557</c:v>
                </c:pt>
                <c:pt idx="240">
                  <c:v>0.66730307806316791</c:v>
                </c:pt>
                <c:pt idx="241">
                  <c:v>0.65293845894464386</c:v>
                </c:pt>
                <c:pt idx="242">
                  <c:v>0.63954102379940458</c:v>
                </c:pt>
                <c:pt idx="243">
                  <c:v>0.62699594416884441</c:v>
                </c:pt>
                <c:pt idx="244">
                  <c:v>0.6152145382879235</c:v>
                </c:pt>
                <c:pt idx="245">
                  <c:v>0.60413038689256116</c:v>
                </c:pt>
                <c:pt idx="246">
                  <c:v>0.59369714278727415</c:v>
                </c:pt>
                <c:pt idx="247">
                  <c:v>0.58382330135210303</c:v>
                </c:pt>
                <c:pt idx="248">
                  <c:v>0.5745494753538668</c:v>
                </c:pt>
                <c:pt idx="249">
                  <c:v>0.56593256128101643</c:v>
                </c:pt>
                <c:pt idx="250">
                  <c:v>0.55804539697967914</c:v>
                </c:pt>
                <c:pt idx="251">
                  <c:v>0.55102012141746926</c:v>
                </c:pt>
                <c:pt idx="252">
                  <c:v>0.54549616188743677</c:v>
                </c:pt>
                <c:pt idx="253">
                  <c:v>0.54247000224679265</c:v>
                </c:pt>
                <c:pt idx="254">
                  <c:v>0.54187999811360943</c:v>
                </c:pt>
                <c:pt idx="255">
                  <c:v>0.5413969271307062</c:v>
                </c:pt>
                <c:pt idx="256">
                  <c:v>0.54091038191568597</c:v>
                </c:pt>
                <c:pt idx="257">
                  <c:v>0.54042020833158766</c:v>
                </c:pt>
                <c:pt idx="258">
                  <c:v>0.53992623944870655</c:v>
                </c:pt>
                <c:pt idx="259">
                  <c:v>0.5394282957285883</c:v>
                </c:pt>
                <c:pt idx="260">
                  <c:v>0.53892618511604073</c:v>
                </c:pt>
                <c:pt idx="261">
                  <c:v>0.53841970304422482</c:v>
                </c:pt>
                <c:pt idx="262">
                  <c:v>0.53790863235683417</c:v>
                </c:pt>
                <c:pt idx="263">
                  <c:v>0.53739274315041907</c:v>
                </c:pt>
                <c:pt idx="264">
                  <c:v>0.53687179253885375</c:v>
                </c:pt>
                <c:pt idx="265">
                  <c:v>0.53636594014455241</c:v>
                </c:pt>
                <c:pt idx="266">
                  <c:v>0.53591963052090286</c:v>
                </c:pt>
                <c:pt idx="267">
                  <c:v>0.5354670994898072</c:v>
                </c:pt>
                <c:pt idx="268">
                  <c:v>0.5350081140594759</c:v>
                </c:pt>
                <c:pt idx="269">
                  <c:v>0.53454242495272464</c:v>
                </c:pt>
                <c:pt idx="270">
                  <c:v>0.53406976611781687</c:v>
                </c:pt>
                <c:pt idx="271">
                  <c:v>0.53358985414922711</c:v>
                </c:pt>
                <c:pt idx="272">
                  <c:v>0.53310238761584117</c:v>
                </c:pt>
                <c:pt idx="273">
                  <c:v>0.53260704629328004</c:v>
                </c:pt>
                <c:pt idx="274">
                  <c:v>0.53210349029613546</c:v>
                </c:pt>
                <c:pt idx="275">
                  <c:v>0.53159135910498634</c:v>
                </c:pt>
                <c:pt idx="276">
                  <c:v>0.53107027048209765</c:v>
                </c:pt>
                <c:pt idx="277">
                  <c:v>0.53053981926865479</c:v>
                </c:pt>
                <c:pt idx="278">
                  <c:v>0.5299995760552596</c:v>
                </c:pt>
                <c:pt idx="279">
                  <c:v>0.52944908571620619</c:v>
                </c:pt>
                <c:pt idx="280">
                  <c:v>0.52888786579669755</c:v>
                </c:pt>
                <c:pt idx="281">
                  <c:v>0.5283154047407006</c:v>
                </c:pt>
                <c:pt idx="282">
                  <c:v>0.5277311599454988</c:v>
                </c:pt>
                <c:pt idx="283">
                  <c:v>0.52713455562716849</c:v>
                </c:pt>
                <c:pt idx="284">
                  <c:v>0.52652498047917895</c:v>
                </c:pt>
                <c:pt idx="285">
                  <c:v>0.52590178510401486</c:v>
                </c:pt>
                <c:pt idx="286">
                  <c:v>0.52526427919513996</c:v>
                </c:pt>
                <c:pt idx="287">
                  <c:v>0.52461172844370374</c:v>
                </c:pt>
                <c:pt idx="288">
                  <c:v>0.52394335114108603</c:v>
                </c:pt>
                <c:pt idx="289">
                  <c:v>0.52325831444458348</c:v>
                </c:pt>
                <c:pt idx="290">
                  <c:v>0.52255573026930158</c:v>
                </c:pt>
                <c:pt idx="291">
                  <c:v>0.52183465076435365</c:v>
                </c:pt>
                <c:pt idx="292">
                  <c:v>0.52109406332589003</c:v>
                </c:pt>
                <c:pt idx="293">
                  <c:v>0.52033288509300579</c:v>
                </c:pt>
                <c:pt idx="294">
                  <c:v>0.51954995686515826</c:v>
                </c:pt>
                <c:pt idx="295">
                  <c:v>0.51874403637113264</c:v>
                </c:pt>
                <c:pt idx="296">
                  <c:v>0.51791379080968902</c:v>
                </c:pt>
                <c:pt idx="297">
                  <c:v>0.51705778857052209</c:v>
                </c:pt>
                <c:pt idx="298">
                  <c:v>0.51617449003077454</c:v>
                </c:pt>
                <c:pt idx="299">
                  <c:v>0.51526223730675991</c:v>
                </c:pt>
                <c:pt idx="300">
                  <c:v>0.51431924282235109</c:v>
                </c:pt>
                <c:pt idx="301">
                  <c:v>0.51334357653411011</c:v>
                </c:pt>
                <c:pt idx="302">
                  <c:v>0.51233315162817927</c:v>
                </c:pt>
                <c:pt idx="303">
                  <c:v>0.51128570847437693</c:v>
                </c:pt>
                <c:pt idx="304">
                  <c:v>0.51019879658800349</c:v>
                </c:pt>
                <c:pt idx="305">
                  <c:v>0.50906975430847634</c:v>
                </c:pt>
                <c:pt idx="306">
                  <c:v>0.5078956858546233</c:v>
                </c:pt>
                <c:pt idx="307">
                  <c:v>0.50667343535774734</c:v>
                </c:pt>
                <c:pt idx="308">
                  <c:v>0.50539955740321041</c:v>
                </c:pt>
                <c:pt idx="309">
                  <c:v>0.50407028352680339</c:v>
                </c:pt>
                <c:pt idx="310">
                  <c:v>0.50268148401028867</c:v>
                </c:pt>
                <c:pt idx="311">
                  <c:v>0.50122862419720704</c:v>
                </c:pt>
                <c:pt idx="312">
                  <c:v>0.49970671440023567</c:v>
                </c:pt>
                <c:pt idx="313">
                  <c:v>0.49811025228860467</c:v>
                </c:pt>
                <c:pt idx="314">
                  <c:v>0.49643315642016539</c:v>
                </c:pt>
                <c:pt idx="315">
                  <c:v>0.49466868930705932</c:v>
                </c:pt>
                <c:pt idx="316">
                  <c:v>0.49280936806320152</c:v>
                </c:pt>
                <c:pt idx="317">
                  <c:v>0.49084686025834312</c:v>
                </c:pt>
                <c:pt idx="318">
                  <c:v>0.48877186207470563</c:v>
                </c:pt>
                <c:pt idx="319">
                  <c:v>0.48657395519829993</c:v>
                </c:pt>
                <c:pt idx="320">
                  <c:v>0.48424143803885134</c:v>
                </c:pt>
                <c:pt idx="321">
                  <c:v>0.4817611258077843</c:v>
                </c:pt>
                <c:pt idx="322">
                  <c:v>0.47911811262360265</c:v>
                </c:pt>
                <c:pt idx="323">
                  <c:v>0.47629548706469288</c:v>
                </c:pt>
                <c:pt idx="324">
                  <c:v>0.47327399032459821</c:v>
                </c:pt>
                <c:pt idx="325">
                  <c:v>0.47003160317081161</c:v>
                </c:pt>
                <c:pt idx="326">
                  <c:v>0.46654453641863558</c:v>
                </c:pt>
                <c:pt idx="327">
                  <c:v>0.46291177875241818</c:v>
                </c:pt>
                <c:pt idx="328">
                  <c:v>0.45920007588255984</c:v>
                </c:pt>
                <c:pt idx="329">
                  <c:v>0.45539968062430086</c:v>
                </c:pt>
                <c:pt idx="330">
                  <c:v>0.45149989552848879</c:v>
                </c:pt>
                <c:pt idx="331">
                  <c:v>0.44748890683757736</c:v>
                </c:pt>
                <c:pt idx="332">
                  <c:v>0.44335358660056029</c:v>
                </c:pt>
                <c:pt idx="333">
                  <c:v>0.43907925496467998</c:v>
                </c:pt>
                <c:pt idx="334">
                  <c:v>0.43464939233326921</c:v>
                </c:pt>
                <c:pt idx="335">
                  <c:v>0.43004528794147934</c:v>
                </c:pt>
                <c:pt idx="336">
                  <c:v>0.4252456071294306</c:v>
                </c:pt>
                <c:pt idx="337">
                  <c:v>0.42022585370901672</c:v>
                </c:pt>
                <c:pt idx="338">
                  <c:v>0.41495769561845197</c:v>
                </c:pt>
                <c:pt idx="339">
                  <c:v>0.40940811047104647</c:v>
                </c:pt>
                <c:pt idx="340">
                  <c:v>0.40353829099219496</c:v>
                </c:pt>
                <c:pt idx="341">
                  <c:v>0.39730222615098049</c:v>
                </c:pt>
                <c:pt idx="342">
                  <c:v>0.3906448379507888</c:v>
                </c:pt>
                <c:pt idx="343">
                  <c:v>0.38349949972900715</c:v>
                </c:pt>
                <c:pt idx="344">
                  <c:v>0.37578467838222807</c:v>
                </c:pt>
                <c:pt idx="345">
                  <c:v>0.36739931129195647</c:v>
                </c:pt>
                <c:pt idx="346">
                  <c:v>0.35821631560702638</c:v>
                </c:pt>
                <c:pt idx="347">
                  <c:v>0.34807327241891173</c:v>
                </c:pt>
                <c:pt idx="348">
                  <c:v>0.33675871705410554</c:v>
                </c:pt>
                <c:pt idx="349">
                  <c:v>0.32399137468065575</c:v>
                </c:pt>
                <c:pt idx="350">
                  <c:v>0.30938764491181908</c:v>
                </c:pt>
                <c:pt idx="351">
                  <c:v>0.29240865288621976</c:v>
                </c:pt>
                <c:pt idx="352">
                  <c:v>0.27226991129013189</c:v>
                </c:pt>
                <c:pt idx="353">
                  <c:v>0.24777823497677071</c:v>
                </c:pt>
                <c:pt idx="354">
                  <c:v>0.21701601008063598</c:v>
                </c:pt>
                <c:pt idx="355">
                  <c:v>0.17667317790193415</c:v>
                </c:pt>
                <c:pt idx="356">
                  <c:v>0.12045893510761464</c:v>
                </c:pt>
                <c:pt idx="357">
                  <c:v>3.4669263174631482E-2</c:v>
                </c:pt>
                <c:pt idx="358">
                  <c:v>-0.11004351978471849</c:v>
                </c:pt>
                <c:pt idx="359">
                  <c:v>-0.2794347889428801</c:v>
                </c:pt>
                <c:pt idx="360">
                  <c:v>-0.44838188080867725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1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TLR_Section_Capacity!$B$27</c:f>
              <c:numCache>
                <c:formatCode>0.0000</c:formatCode>
                <c:ptCount val="1"/>
                <c:pt idx="0">
                  <c:v>-4.7269257861390475E-2</c:v>
                </c:pt>
              </c:numCache>
            </c:numRef>
          </c:xVal>
          <c:yVal>
            <c:numRef>
              <c:f>TLR_Section_Capacity!$W$7</c:f>
              <c:numCache>
                <c:formatCode>0.000E+00</c:formatCode>
                <c:ptCount val="1"/>
                <c:pt idx="0">
                  <c:v>-5.3290705182007514E-15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2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TLR_Section_Capacity!$U$13</c:f>
              <c:numCache>
                <c:formatCode>0.000E+00</c:formatCode>
                <c:ptCount val="1"/>
                <c:pt idx="0">
                  <c:v>5.9917285127017195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3"/>
          <c:tx>
            <c:v>User+/-pi/2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TLR_Section_Capacity!$AD$45:$AD$46</c:f>
              <c:numCache>
                <c:formatCode>0.000E+00</c:formatCode>
                <c:ptCount val="2"/>
                <c:pt idx="0">
                  <c:v>7.562524839496616</c:v>
                </c:pt>
                <c:pt idx="1">
                  <c:v>4.4209321859068229</c:v>
                </c:pt>
              </c:numCache>
            </c:numRef>
          </c:xVal>
          <c:yVal>
            <c:numRef>
              <c:f>TLR_Section_Capacity!$AE$45:$AE$46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4"/>
          <c:tx>
            <c:v>2*pi box</c:v>
          </c:tx>
          <c:spPr>
            <a:ln w="158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TLR_Section_Capacity!$AC$49:$AC$53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TLR_Section_Capacity!$AD$49:$AD$53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C8-4CF1-8E8A-41825DE61A6A}"/>
            </c:ext>
          </c:extLst>
        </c:ser>
        <c:ser>
          <c:idx val="0"/>
          <c:order val="5"/>
          <c:tx>
            <c:v>new reference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TLR_Section_Capacity!$CC$15:$CC$375</c:f>
              <c:numCache>
                <c:formatCode>0.000</c:formatCode>
                <c:ptCount val="361"/>
                <c:pt idx="0">
                  <c:v>2.1141602477300752</c:v>
                </c:pt>
                <c:pt idx="1">
                  <c:v>2.5308778566125341</c:v>
                </c:pt>
                <c:pt idx="2">
                  <c:v>2.6985572567183382</c:v>
                </c:pt>
                <c:pt idx="3">
                  <c:v>2.7009454118022713</c:v>
                </c:pt>
                <c:pt idx="4">
                  <c:v>2.6587192158749948</c:v>
                </c:pt>
                <c:pt idx="5">
                  <c:v>2.6180533583654633</c:v>
                </c:pt>
                <c:pt idx="6">
                  <c:v>2.5839976795434461</c:v>
                </c:pt>
                <c:pt idx="7">
                  <c:v>2.5559566792115151</c:v>
                </c:pt>
                <c:pt idx="8">
                  <c:v>2.5327160660075974</c:v>
                </c:pt>
                <c:pt idx="9">
                  <c:v>2.5132274424081702</c:v>
                </c:pt>
                <c:pt idx="10">
                  <c:v>2.496686007574783</c:v>
                </c:pt>
                <c:pt idx="11">
                  <c:v>2.4824879165767602</c:v>
                </c:pt>
                <c:pt idx="12">
                  <c:v>2.4701788388822377</c:v>
                </c:pt>
                <c:pt idx="13">
                  <c:v>2.4594131562905472</c:v>
                </c:pt>
                <c:pt idx="14">
                  <c:v>2.4499243949836234</c:v>
                </c:pt>
                <c:pt idx="15">
                  <c:v>2.4415042712631285</c:v>
                </c:pt>
                <c:pt idx="16">
                  <c:v>2.4339878400263424</c:v>
                </c:pt>
                <c:pt idx="17">
                  <c:v>2.4272428765667304</c:v>
                </c:pt>
                <c:pt idx="18">
                  <c:v>2.4211621930788363</c:v>
                </c:pt>
                <c:pt idx="19">
                  <c:v>2.415658005409369</c:v>
                </c:pt>
                <c:pt idx="20">
                  <c:v>2.4106577483373934</c:v>
                </c:pt>
                <c:pt idx="21">
                  <c:v>2.4061009271876421</c:v>
                </c:pt>
                <c:pt idx="22">
                  <c:v>2.4019367204425701</c:v>
                </c:pt>
                <c:pt idx="23">
                  <c:v>2.3981221334675116</c:v>
                </c:pt>
                <c:pt idx="24">
                  <c:v>2.3946205615821334</c:v>
                </c:pt>
                <c:pt idx="25">
                  <c:v>2.3914006606919171</c:v>
                </c:pt>
                <c:pt idx="26">
                  <c:v>2.3884354515254893</c:v>
                </c:pt>
                <c:pt idx="27">
                  <c:v>2.3857016031312961</c:v>
                </c:pt>
                <c:pt idx="28">
                  <c:v>2.3831788552628144</c:v>
                </c:pt>
                <c:pt idx="29">
                  <c:v>2.3808495493560491</c:v>
                </c:pt>
                <c:pt idx="30">
                  <c:v>2.3786982451440504</c:v>
                </c:pt>
                <c:pt idx="31">
                  <c:v>2.3767114053574812</c:v>
                </c:pt>
                <c:pt idx="32">
                  <c:v>2.3748771349826621</c:v>
                </c:pt>
                <c:pt idx="33">
                  <c:v>2.3731849645507754</c:v>
                </c:pt>
                <c:pt idx="34">
                  <c:v>2.3716256692401059</c:v>
                </c:pt>
                <c:pt idx="35">
                  <c:v>2.3702214160725692</c:v>
                </c:pt>
                <c:pt idx="36">
                  <c:v>2.3690032471737119</c:v>
                </c:pt>
                <c:pt idx="37">
                  <c:v>2.367951034048529</c:v>
                </c:pt>
                <c:pt idx="38">
                  <c:v>2.3670467178857177</c:v>
                </c:pt>
                <c:pt idx="39">
                  <c:v>2.3662745395738707</c:v>
                </c:pt>
                <c:pt idx="40">
                  <c:v>2.3656207128684144</c:v>
                </c:pt>
                <c:pt idx="41">
                  <c:v>2.3650731487132512</c:v>
                </c:pt>
                <c:pt idx="42">
                  <c:v>2.3646212221368823</c:v>
                </c:pt>
                <c:pt idx="43">
                  <c:v>2.3642555746398441</c:v>
                </c:pt>
                <c:pt idx="44">
                  <c:v>2.3639679462283696</c:v>
                </c:pt>
                <c:pt idx="45">
                  <c:v>2.3637510322677526</c:v>
                </c:pt>
                <c:pt idx="46">
                  <c:v>2.3635983611653875</c:v>
                </c:pt>
                <c:pt idx="47">
                  <c:v>2.363504189579281</c:v>
                </c:pt>
                <c:pt idx="48">
                  <c:v>2.3634634124103626</c:v>
                </c:pt>
                <c:pt idx="49">
                  <c:v>2.363471485298938</c:v>
                </c:pt>
                <c:pt idx="50">
                  <c:v>2.3635243577249385</c:v>
                </c:pt>
                <c:pt idx="51">
                  <c:v>2.3636184151242463</c:v>
                </c:pt>
                <c:pt idx="52">
                  <c:v>2.3637504286913096</c:v>
                </c:pt>
                <c:pt idx="53">
                  <c:v>2.3639175117510725</c:v>
                </c:pt>
                <c:pt idx="54">
                  <c:v>2.3641170817602686</c:v>
                </c:pt>
                <c:pt idx="55">
                  <c:v>2.3643468271445212</c:v>
                </c:pt>
                <c:pt idx="56">
                  <c:v>2.3646046782999699</c:v>
                </c:pt>
                <c:pt idx="57">
                  <c:v>2.3648887821901674</c:v>
                </c:pt>
                <c:pt idx="58">
                  <c:v>2.365197480054241</c:v>
                </c:pt>
                <c:pt idx="59">
                  <c:v>2.3655292878139211</c:v>
                </c:pt>
                <c:pt idx="60">
                  <c:v>2.3658828788272652</c:v>
                </c:pt>
                <c:pt idx="61">
                  <c:v>2.366257068687708</c:v>
                </c:pt>
                <c:pt idx="62">
                  <c:v>2.3666508018098766</c:v>
                </c:pt>
                <c:pt idx="63">
                  <c:v>2.3670631395800523</c:v>
                </c:pt>
                <c:pt idx="64">
                  <c:v>2.3674932498799963</c:v>
                </c:pt>
                <c:pt idx="65">
                  <c:v>2.367940397819186</c:v>
                </c:pt>
                <c:pt idx="66">
                  <c:v>2.3684039375328791</c:v>
                </c:pt>
                <c:pt idx="67">
                  <c:v>2.3688833049227154</c:v>
                </c:pt>
                <c:pt idx="68">
                  <c:v>2.3693780112329308</c:v>
                </c:pt>
                <c:pt idx="69">
                  <c:v>2.3698876373695166</c:v>
                </c:pt>
                <c:pt idx="70">
                  <c:v>2.3704118288818057</c:v>
                </c:pt>
                <c:pt idx="71">
                  <c:v>2.3709502915365057</c:v>
                </c:pt>
                <c:pt idx="72">
                  <c:v>2.3715027874234238</c:v>
                </c:pt>
                <c:pt idx="73">
                  <c:v>2.3720691315399423</c:v>
                </c:pt>
                <c:pt idx="74">
                  <c:v>2.3726491888084222</c:v>
                </c:pt>
                <c:pt idx="75">
                  <c:v>2.3732428714865552</c:v>
                </c:pt>
                <c:pt idx="76">
                  <c:v>2.3738501369362264</c:v>
                </c:pt>
                <c:pt idx="77">
                  <c:v>2.3744709857209898</c:v>
                </c:pt>
                <c:pt idx="78">
                  <c:v>2.3751054600064849</c:v>
                </c:pt>
                <c:pt idx="79">
                  <c:v>2.3757536422418166</c:v>
                </c:pt>
                <c:pt idx="80">
                  <c:v>2.3764156541032833</c:v>
                </c:pt>
                <c:pt idx="81">
                  <c:v>2.3770916556846942</c:v>
                </c:pt>
                <c:pt idx="82">
                  <c:v>2.3777818449214263</c:v>
                </c:pt>
                <c:pt idx="83">
                  <c:v>2.3784864572376732</c:v>
                </c:pt>
                <c:pt idx="84">
                  <c:v>2.3792057654088019</c:v>
                </c:pt>
                <c:pt idx="85">
                  <c:v>2.3799400796327506</c:v>
                </c:pt>
                <c:pt idx="86">
                  <c:v>2.3806897478065325</c:v>
                </c:pt>
                <c:pt idx="87">
                  <c:v>2.381455156005817</c:v>
                </c:pt>
                <c:pt idx="88">
                  <c:v>2.3822367291674675</c:v>
                </c:pt>
                <c:pt idx="89">
                  <c:v>2.383034931976713</c:v>
                </c:pt>
                <c:pt idx="90">
                  <c:v>2.3838502699626387</c:v>
                </c:pt>
                <c:pt idx="91">
                  <c:v>2.3846832908073536</c:v>
                </c:pt>
                <c:pt idx="92">
                  <c:v>2.3855345858763135</c:v>
                </c:pt>
                <c:pt idx="93">
                  <c:v>2.3864047919791065</c:v>
                </c:pt>
                <c:pt idx="94">
                  <c:v>2.3872945933722383</c:v>
                </c:pt>
                <c:pt idx="95">
                  <c:v>2.3882047240175952</c:v>
                </c:pt>
                <c:pt idx="96">
                  <c:v>2.3891359701127408</c:v>
                </c:pt>
                <c:pt idx="97">
                  <c:v>2.3900891729116438</c:v>
                </c:pt>
                <c:pt idx="98">
                  <c:v>2.3910652318574432</c:v>
                </c:pt>
                <c:pt idx="99">
                  <c:v>2.3920651080518374</c:v>
                </c:pt>
                <c:pt idx="100">
                  <c:v>2.3930898280890824</c:v>
                </c:pt>
                <c:pt idx="101">
                  <c:v>2.3941404882865469</c:v>
                </c:pt>
                <c:pt idx="102">
                  <c:v>2.3952182593478035</c:v>
                </c:pt>
                <c:pt idx="103">
                  <c:v>2.3963243914992063</c:v>
                </c:pt>
                <c:pt idx="104">
                  <c:v>2.3974602201461099</c:v>
                </c:pt>
                <c:pt idx="105">
                  <c:v>2.3986271721009857</c:v>
                </c:pt>
                <c:pt idx="106">
                  <c:v>2.3998267724425868</c:v>
                </c:pt>
                <c:pt idx="107">
                  <c:v>2.4010606520729896</c:v>
                </c:pt>
                <c:pt idx="108">
                  <c:v>2.4023305560483168</c:v>
                </c:pt>
                <c:pt idx="109">
                  <c:v>2.4340096857236531</c:v>
                </c:pt>
                <c:pt idx="110">
                  <c:v>2.473381557661761</c:v>
                </c:pt>
                <c:pt idx="111">
                  <c:v>2.5136130622463626</c:v>
                </c:pt>
                <c:pt idx="112">
                  <c:v>2.5547562944810802</c:v>
                </c:pt>
                <c:pt idx="113">
                  <c:v>2.5968667137072234</c:v>
                </c:pt>
                <c:pt idx="114">
                  <c:v>2.6400034458769053</c:v>
                </c:pt>
                <c:pt idx="115">
                  <c:v>2.6842296169616766</c:v>
                </c:pt>
                <c:pt idx="116">
                  <c:v>2.7296127213056112</c:v>
                </c:pt>
                <c:pt idx="117">
                  <c:v>2.7762250292509338</c:v>
                </c:pt>
                <c:pt idx="118">
                  <c:v>2.8241440389745263</c:v>
                </c:pt>
                <c:pt idx="119">
                  <c:v>2.8734529781656888</c:v>
                </c:pt>
                <c:pt idx="120">
                  <c:v>2.9242413619854837</c:v>
                </c:pt>
                <c:pt idx="121">
                  <c:v>2.9803113312509542</c:v>
                </c:pt>
                <c:pt idx="122">
                  <c:v>3.0527453290023376</c:v>
                </c:pt>
                <c:pt idx="123">
                  <c:v>3.1290908573477267</c:v>
                </c:pt>
                <c:pt idx="124">
                  <c:v>3.2096817542552616</c:v>
                </c:pt>
                <c:pt idx="125">
                  <c:v>3.3034564383184826</c:v>
                </c:pt>
                <c:pt idx="126">
                  <c:v>3.4060107805022199</c:v>
                </c:pt>
                <c:pt idx="127">
                  <c:v>3.5286133979577179</c:v>
                </c:pt>
                <c:pt idx="128">
                  <c:v>3.6636217640797764</c:v>
                </c:pt>
                <c:pt idx="129">
                  <c:v>3.8118683347313009</c:v>
                </c:pt>
                <c:pt idx="130">
                  <c:v>3.9753712973735627</c:v>
                </c:pt>
                <c:pt idx="131">
                  <c:v>4.1565494372783025</c:v>
                </c:pt>
                <c:pt idx="132">
                  <c:v>4.3583154860955897</c:v>
                </c:pt>
                <c:pt idx="133">
                  <c:v>4.5972416332523913</c:v>
                </c:pt>
                <c:pt idx="134">
                  <c:v>4.8390567658377259</c:v>
                </c:pt>
                <c:pt idx="135">
                  <c:v>5.1086882660038864</c:v>
                </c:pt>
                <c:pt idx="136">
                  <c:v>5.4094724916281978</c:v>
                </c:pt>
                <c:pt idx="137">
                  <c:v>5.7487026816455398</c:v>
                </c:pt>
                <c:pt idx="138">
                  <c:v>6.1299396527018724</c:v>
                </c:pt>
                <c:pt idx="139">
                  <c:v>6.5556400295063373</c:v>
                </c:pt>
                <c:pt idx="140">
                  <c:v>7.02660337056159</c:v>
                </c:pt>
                <c:pt idx="141">
                  <c:v>7.5404533932237054</c:v>
                </c:pt>
                <c:pt idx="142">
                  <c:v>8.0893241968733172</c:v>
                </c:pt>
                <c:pt idx="143">
                  <c:v>8.6565080679984554</c:v>
                </c:pt>
                <c:pt idx="144">
                  <c:v>9.2118047438278143</c:v>
                </c:pt>
                <c:pt idx="145">
                  <c:v>9.7051795685574067</c:v>
                </c:pt>
                <c:pt idx="146">
                  <c:v>10.057828463592813</c:v>
                </c:pt>
                <c:pt idx="147">
                  <c:v>10.308736525939024</c:v>
                </c:pt>
                <c:pt idx="148">
                  <c:v>9.952225935105707</c:v>
                </c:pt>
                <c:pt idx="149">
                  <c:v>8.4727119862151863</c:v>
                </c:pt>
                <c:pt idx="150">
                  <c:v>5.637666606465209</c:v>
                </c:pt>
                <c:pt idx="151">
                  <c:v>2.5300497920543297</c:v>
                </c:pt>
                <c:pt idx="152">
                  <c:v>0.9129535848908743</c:v>
                </c:pt>
                <c:pt idx="153">
                  <c:v>0.75929101473143135</c:v>
                </c:pt>
                <c:pt idx="154">
                  <c:v>0.64575434011219901</c:v>
                </c:pt>
                <c:pt idx="155">
                  <c:v>0.52628461999257858</c:v>
                </c:pt>
                <c:pt idx="156">
                  <c:v>0.39998004874016058</c:v>
                </c:pt>
                <c:pt idx="157">
                  <c:v>0.26577697267248013</c:v>
                </c:pt>
                <c:pt idx="158">
                  <c:v>0.12241173748115396</c:v>
                </c:pt>
                <c:pt idx="159">
                  <c:v>-3.1627989629332554E-2</c:v>
                </c:pt>
                <c:pt idx="160">
                  <c:v>-0.19816571739142308</c:v>
                </c:pt>
                <c:pt idx="161">
                  <c:v>-0.37941682037691216</c:v>
                </c:pt>
                <c:pt idx="162">
                  <c:v>-0.57809317626154499</c:v>
                </c:pt>
                <c:pt idx="163">
                  <c:v>-0.79753918021669978</c:v>
                </c:pt>
                <c:pt idx="164">
                  <c:v>-1.0419083556653197</c:v>
                </c:pt>
                <c:pt idx="165">
                  <c:v>-1.316391063937701</c:v>
                </c:pt>
                <c:pt idx="166">
                  <c:v>-1.6275028792826118</c:v>
                </c:pt>
                <c:pt idx="167">
                  <c:v>-1.9834357242362</c:v>
                </c:pt>
                <c:pt idx="168">
                  <c:v>-2.3944494983401872</c:v>
                </c:pt>
                <c:pt idx="169">
                  <c:v>-2.8458527235901103</c:v>
                </c:pt>
                <c:pt idx="170">
                  <c:v>-3.2740482593041453</c:v>
                </c:pt>
                <c:pt idx="171">
                  <c:v>-3.6762209165698789</c:v>
                </c:pt>
                <c:pt idx="172">
                  <c:v>-3.9153894099698521</c:v>
                </c:pt>
                <c:pt idx="173">
                  <c:v>-4.2726078517391937</c:v>
                </c:pt>
                <c:pt idx="174">
                  <c:v>-4.6072442275104404</c:v>
                </c:pt>
                <c:pt idx="175">
                  <c:v>-4.9205395910282972</c:v>
                </c:pt>
                <c:pt idx="176">
                  <c:v>-5.2137622293661874</c:v>
                </c:pt>
                <c:pt idx="177">
                  <c:v>-5.4911883268264852</c:v>
                </c:pt>
                <c:pt idx="178">
                  <c:v>-5.7542850853470568</c:v>
                </c:pt>
                <c:pt idx="179">
                  <c:v>-6.0118594575215329</c:v>
                </c:pt>
                <c:pt idx="180">
                  <c:v>-6.2412757186511261</c:v>
                </c:pt>
                <c:pt idx="181">
                  <c:v>-6.4261333424073825</c:v>
                </c:pt>
                <c:pt idx="182">
                  <c:v>-6.6384551747380645</c:v>
                </c:pt>
                <c:pt idx="183">
                  <c:v>-6.8382972002543632</c:v>
                </c:pt>
                <c:pt idx="184">
                  <c:v>-7.0333534905427459</c:v>
                </c:pt>
                <c:pt idx="185">
                  <c:v>-7.2254749690319127</c:v>
                </c:pt>
                <c:pt idx="186">
                  <c:v>-7.4131312102093556</c:v>
                </c:pt>
                <c:pt idx="187">
                  <c:v>-7.5967328855996303</c:v>
                </c:pt>
                <c:pt idx="188">
                  <c:v>-7.7766555873109784</c:v>
                </c:pt>
                <c:pt idx="189">
                  <c:v>-7.9532439363582892</c:v>
                </c:pt>
                <c:pt idx="190">
                  <c:v>-8.126815115765746</c:v>
                </c:pt>
                <c:pt idx="191">
                  <c:v>-8.2976619161348388</c:v>
                </c:pt>
                <c:pt idx="192">
                  <c:v>-8.466055365621818</c:v>
                </c:pt>
                <c:pt idx="193">
                  <c:v>-8.6322470034132905</c:v>
                </c:pt>
                <c:pt idx="194">
                  <c:v>-8.7964708452486224</c:v>
                </c:pt>
                <c:pt idx="195">
                  <c:v>-8.9589450808452682</c:v>
                </c:pt>
                <c:pt idx="196">
                  <c:v>-9.1198735358527401</c:v>
                </c:pt>
                <c:pt idx="197">
                  <c:v>-9.2779974949051649</c:v>
                </c:pt>
                <c:pt idx="198">
                  <c:v>-9.4248477399780324</c:v>
                </c:pt>
                <c:pt idx="199">
                  <c:v>-9.5608537431098579</c:v>
                </c:pt>
                <c:pt idx="200">
                  <c:v>-9.6877879144870978</c:v>
                </c:pt>
                <c:pt idx="201">
                  <c:v>-9.8070447356765751</c:v>
                </c:pt>
                <c:pt idx="202">
                  <c:v>-9.9197388583600894</c:v>
                </c:pt>
                <c:pt idx="203">
                  <c:v>-10.026774212759817</c:v>
                </c:pt>
                <c:pt idx="204">
                  <c:v>-10.128893606209763</c:v>
                </c:pt>
                <c:pt idx="205">
                  <c:v>-10.226714927274651</c:v>
                </c:pt>
                <c:pt idx="206">
                  <c:v>-10.32075798503323</c:v>
                </c:pt>
                <c:pt idx="207">
                  <c:v>-10.41146469092409</c:v>
                </c:pt>
                <c:pt idx="208">
                  <c:v>-10.499214434912522</c:v>
                </c:pt>
                <c:pt idx="209">
                  <c:v>-10.584335943429332</c:v>
                </c:pt>
                <c:pt idx="210">
                  <c:v>-10.667116527790075</c:v>
                </c:pt>
                <c:pt idx="211">
                  <c:v>-10.747809373462388</c:v>
                </c:pt>
                <c:pt idx="212">
                  <c:v>-10.826639341658876</c:v>
                </c:pt>
                <c:pt idx="213">
                  <c:v>-10.903807629113832</c:v>
                </c:pt>
                <c:pt idx="214">
                  <c:v>-10.979495542517119</c:v>
                </c:pt>
                <c:pt idx="215">
                  <c:v>-11.053867579676355</c:v>
                </c:pt>
                <c:pt idx="216">
                  <c:v>-11.127073962515436</c:v>
                </c:pt>
                <c:pt idx="217">
                  <c:v>-11.19925273236686</c:v>
                </c:pt>
                <c:pt idx="218">
                  <c:v>-11.270531492104556</c:v>
                </c:pt>
                <c:pt idx="219">
                  <c:v>-11.341028860194273</c:v>
                </c:pt>
                <c:pt idx="220">
                  <c:v>-11.504330073472044</c:v>
                </c:pt>
                <c:pt idx="221">
                  <c:v>-11.840410899044576</c:v>
                </c:pt>
                <c:pt idx="222">
                  <c:v>-12.269371881634758</c:v>
                </c:pt>
                <c:pt idx="223">
                  <c:v>-12.703320171100206</c:v>
                </c:pt>
                <c:pt idx="224">
                  <c:v>-13.061626666944694</c:v>
                </c:pt>
                <c:pt idx="225">
                  <c:v>-13.280578603482605</c:v>
                </c:pt>
                <c:pt idx="226">
                  <c:v>-13.316466257722652</c:v>
                </c:pt>
                <c:pt idx="227">
                  <c:v>-13.144002316095211</c:v>
                </c:pt>
                <c:pt idx="228">
                  <c:v>-12.712579615387657</c:v>
                </c:pt>
                <c:pt idx="229">
                  <c:v>-12.053776011176616</c:v>
                </c:pt>
                <c:pt idx="230">
                  <c:v>-11.20428229349492</c:v>
                </c:pt>
                <c:pt idx="231">
                  <c:v>-10.187546908474626</c:v>
                </c:pt>
                <c:pt idx="232">
                  <c:v>-9.0667305767144306</c:v>
                </c:pt>
                <c:pt idx="233">
                  <c:v>-7.9170136520324563</c:v>
                </c:pt>
                <c:pt idx="234">
                  <c:v>-7.2450342620545882</c:v>
                </c:pt>
                <c:pt idx="235">
                  <c:v>-6.6584754504946853</c:v>
                </c:pt>
                <c:pt idx="236">
                  <c:v>-6.1404620070676108</c:v>
                </c:pt>
                <c:pt idx="237">
                  <c:v>-5.6911709189262076</c:v>
                </c:pt>
                <c:pt idx="238">
                  <c:v>-5.2923828753738356</c:v>
                </c:pt>
                <c:pt idx="239">
                  <c:v>-4.9379618314531086</c:v>
                </c:pt>
                <c:pt idx="240">
                  <c:v>-4.6221663715527725</c:v>
                </c:pt>
                <c:pt idx="241">
                  <c:v>-4.3398562929883084</c:v>
                </c:pt>
                <c:pt idx="242">
                  <c:v>-4.086545478153111</c:v>
                </c:pt>
                <c:pt idx="243">
                  <c:v>-3.8583778495460557</c:v>
                </c:pt>
                <c:pt idx="244">
                  <c:v>-3.6520698461680006</c:v>
                </c:pt>
                <c:pt idx="245">
                  <c:v>-3.4648428934399189</c:v>
                </c:pt>
                <c:pt idx="246">
                  <c:v>-3.2943579853881144</c:v>
                </c:pt>
                <c:pt idx="247">
                  <c:v>-3.1408677603731929</c:v>
                </c:pt>
                <c:pt idx="248">
                  <c:v>-3.0009916360784312</c:v>
                </c:pt>
                <c:pt idx="249">
                  <c:v>-2.8726906208203018</c:v>
                </c:pt>
                <c:pt idx="250">
                  <c:v>-2.7551138532081887</c:v>
                </c:pt>
                <c:pt idx="251">
                  <c:v>-2.6477573581401281</c:v>
                </c:pt>
                <c:pt idx="252">
                  <c:v>-2.5571474819744622</c:v>
                </c:pt>
                <c:pt idx="253">
                  <c:v>-2.4864090650329285</c:v>
                </c:pt>
                <c:pt idx="254">
                  <c:v>-2.429413399939651</c:v>
                </c:pt>
                <c:pt idx="255">
                  <c:v>-2.3746592990010171</c:v>
                </c:pt>
                <c:pt idx="256">
                  <c:v>-2.3215233983342376</c:v>
                </c:pt>
                <c:pt idx="257">
                  <c:v>-2.2699084956379068</c:v>
                </c:pt>
                <c:pt idx="258">
                  <c:v>-2.2197242577532861</c:v>
                </c:pt>
                <c:pt idx="259">
                  <c:v>-2.1708866115889678</c:v>
                </c:pt>
                <c:pt idx="260">
                  <c:v>-2.1233171968810947</c:v>
                </c:pt>
                <c:pt idx="261">
                  <c:v>-2.0769428736756126</c:v>
                </c:pt>
                <c:pt idx="262">
                  <c:v>-2.031695278320651</c:v>
                </c:pt>
                <c:pt idx="263">
                  <c:v>-1.9875104225349383</c:v>
                </c:pt>
                <c:pt idx="264">
                  <c:v>-1.9443283307891848</c:v>
                </c:pt>
                <c:pt idx="265">
                  <c:v>-1.9114818976420056</c:v>
                </c:pt>
                <c:pt idx="266">
                  <c:v>-1.9090566431884637</c:v>
                </c:pt>
                <c:pt idx="267">
                  <c:v>-1.906639185174076</c:v>
                </c:pt>
                <c:pt idx="268">
                  <c:v>-1.9042278792622125</c:v>
                </c:pt>
                <c:pt idx="269">
                  <c:v>-1.9018210965880855</c:v>
                </c:pt>
                <c:pt idx="270">
                  <c:v>-1.8994172191999539</c:v>
                </c:pt>
                <c:pt idx="271">
                  <c:v>-1.8970146355558279</c:v>
                </c:pt>
                <c:pt idx="272">
                  <c:v>-1.8946117360484682</c:v>
                </c:pt>
                <c:pt idx="273">
                  <c:v>-1.8922069085315052</c:v>
                </c:pt>
                <c:pt idx="274">
                  <c:v>-1.8897985338195087</c:v>
                </c:pt>
                <c:pt idx="275">
                  <c:v>-1.8873849811344254</c:v>
                </c:pt>
                <c:pt idx="276">
                  <c:v>-1.8849646034701173</c:v>
                </c:pt>
                <c:pt idx="277">
                  <c:v>-1.882535732845726</c:v>
                </c:pt>
                <c:pt idx="278">
                  <c:v>-1.8800966754173254</c:v>
                </c:pt>
                <c:pt idx="279">
                  <c:v>-1.8776457064155461</c:v>
                </c:pt>
                <c:pt idx="280">
                  <c:v>-1.8751810648749681</c:v>
                </c:pt>
                <c:pt idx="281">
                  <c:v>-1.8727009481183809</c:v>
                </c:pt>
                <c:pt idx="282">
                  <c:v>-1.8702035059562994</c:v>
                </c:pt>
                <c:pt idx="283">
                  <c:v>-1.8676868345584696</c:v>
                </c:pt>
                <c:pt idx="284">
                  <c:v>-1.8651489699501778</c:v>
                </c:pt>
                <c:pt idx="285">
                  <c:v>-1.8625878810813801</c:v>
                </c:pt>
                <c:pt idx="286">
                  <c:v>-1.8600014624112704</c:v>
                </c:pt>
                <c:pt idx="287">
                  <c:v>-1.857387525944473</c:v>
                </c:pt>
                <c:pt idx="288">
                  <c:v>-1.8547437926477617</c:v>
                </c:pt>
                <c:pt idx="289">
                  <c:v>-1.8520678831677073</c:v>
                </c:pt>
                <c:pt idx="290">
                  <c:v>-1.8493573077597467</c:v>
                </c:pt>
                <c:pt idx="291">
                  <c:v>-1.8466094553278123</c:v>
                </c:pt>
                <c:pt idx="292">
                  <c:v>-1.8438215814603809</c:v>
                </c:pt>
                <c:pt idx="293">
                  <c:v>-1.8409907953334104</c:v>
                </c:pt>
                <c:pt idx="294">
                  <c:v>-1.8381140453327258</c:v>
                </c:pt>
                <c:pt idx="295">
                  <c:v>-1.8351881032274631</c:v>
                </c:pt>
                <c:pt idx="296">
                  <c:v>-1.8322095467017965</c:v>
                </c:pt>
                <c:pt idx="297">
                  <c:v>-1.8291747400235114</c:v>
                </c:pt>
                <c:pt idx="298">
                  <c:v>-1.826079812594309</c:v>
                </c:pt>
                <c:pt idx="299">
                  <c:v>-1.822920635087153</c:v>
                </c:pt>
                <c:pt idx="300">
                  <c:v>-1.8196927928291473</c:v>
                </c:pt>
                <c:pt idx="301">
                  <c:v>-1.8163915560329502</c:v>
                </c:pt>
                <c:pt idx="302">
                  <c:v>-1.8130118464138489</c:v>
                </c:pt>
                <c:pt idx="303">
                  <c:v>-1.8095481996511253</c:v>
                </c:pt>
                <c:pt idx="304">
                  <c:v>-1.8059947230581885</c:v>
                </c:pt>
                <c:pt idx="305">
                  <c:v>-1.8023450477133518</c:v>
                </c:pt>
                <c:pt idx="306">
                  <c:v>-1.7985922741669746</c:v>
                </c:pt>
                <c:pt idx="307">
                  <c:v>-1.7947289106764761</c:v>
                </c:pt>
                <c:pt idx="308">
                  <c:v>-1.7907468027209361</c:v>
                </c:pt>
                <c:pt idx="309">
                  <c:v>-1.7866370523036523</c:v>
                </c:pt>
                <c:pt idx="310">
                  <c:v>-1.7823899252529651</c:v>
                </c:pt>
                <c:pt idx="311">
                  <c:v>-1.7779947443649591</c:v>
                </c:pt>
                <c:pt idx="312">
                  <c:v>-1.773439765778565</c:v>
                </c:pt>
                <c:pt idx="313">
                  <c:v>-1.7687120354110031</c:v>
                </c:pt>
                <c:pt idx="314">
                  <c:v>-1.7637972215791331</c:v>
                </c:pt>
                <c:pt idx="315">
                  <c:v>-1.758679419051248</c:v>
                </c:pt>
                <c:pt idx="316">
                  <c:v>-1.753340918662101</c:v>
                </c:pt>
                <c:pt idx="317">
                  <c:v>-1.7477619352132434</c:v>
                </c:pt>
                <c:pt idx="318">
                  <c:v>-1.7419202845798121</c:v>
                </c:pt>
                <c:pt idx="319">
                  <c:v>-1.7357909986311626</c:v>
                </c:pt>
                <c:pt idx="320">
                  <c:v>-1.7293458635805015</c:v>
                </c:pt>
                <c:pt idx="321">
                  <c:v>-1.7225528634821496</c:v>
                </c:pt>
                <c:pt idx="322">
                  <c:v>-1.7153755054837727</c:v>
                </c:pt>
                <c:pt idx="323">
                  <c:v>-1.7077719966850913</c:v>
                </c:pt>
                <c:pt idx="324">
                  <c:v>-1.699694233452683</c:v>
                </c:pt>
                <c:pt idx="325">
                  <c:v>-1.6910865519450413</c:v>
                </c:pt>
                <c:pt idx="326">
                  <c:v>-1.6818880998715158</c:v>
                </c:pt>
                <c:pt idx="327">
                  <c:v>-1.6723601312282954</c:v>
                </c:pt>
                <c:pt idx="328">
                  <c:v>-1.6626778318592439</c:v>
                </c:pt>
                <c:pt idx="329">
                  <c:v>-1.6528148495611772</c:v>
                </c:pt>
                <c:pt idx="330">
                  <c:v>-1.6427422223224786</c:v>
                </c:pt>
                <c:pt idx="331">
                  <c:v>-1.6324278631483193</c:v>
                </c:pt>
                <c:pt idx="332">
                  <c:v>-1.6218359385343395</c:v>
                </c:pt>
                <c:pt idx="333">
                  <c:v>-1.6109261117328355</c:v>
                </c:pt>
                <c:pt idx="334">
                  <c:v>-1.5996526129235864</c:v>
                </c:pt>
                <c:pt idx="335">
                  <c:v>-1.5879630860184324</c:v>
                </c:pt>
                <c:pt idx="336">
                  <c:v>-1.5757971446618069</c:v>
                </c:pt>
                <c:pt idx="337">
                  <c:v>-1.5630845459008316</c:v>
                </c:pt>
                <c:pt idx="338">
                  <c:v>-1.5497428557538251</c:v>
                </c:pt>
                <c:pt idx="339">
                  <c:v>-1.5356744315182635</c:v>
                </c:pt>
                <c:pt idx="340">
                  <c:v>-1.5207624733590599</c:v>
                </c:pt>
                <c:pt idx="341">
                  <c:v>-1.5048657900056772</c:v>
                </c:pt>
                <c:pt idx="342">
                  <c:v>-1.4878117600719853</c:v>
                </c:pt>
                <c:pt idx="343">
                  <c:v>-1.4693867177422693</c:v>
                </c:pt>
                <c:pt idx="344">
                  <c:v>-1.4493225916911889</c:v>
                </c:pt>
                <c:pt idx="345">
                  <c:v>-1.4272779778297884</c:v>
                </c:pt>
                <c:pt idx="346">
                  <c:v>-1.4028107465892004</c:v>
                </c:pt>
                <c:pt idx="347">
                  <c:v>-1.3753374312303923</c:v>
                </c:pt>
                <c:pt idx="348">
                  <c:v>-1.3440713494085788</c:v>
                </c:pt>
                <c:pt idx="349">
                  <c:v>-1.3079253271350189</c:v>
                </c:pt>
                <c:pt idx="350">
                  <c:v>-1.2653531553538122</c:v>
                </c:pt>
                <c:pt idx="351">
                  <c:v>-1.2140800774075191</c:v>
                </c:pt>
                <c:pt idx="352">
                  <c:v>-1.1506212872973165</c:v>
                </c:pt>
                <c:pt idx="353">
                  <c:v>-1.069369013880378</c:v>
                </c:pt>
                <c:pt idx="354">
                  <c:v>-0.9607323747992047</c:v>
                </c:pt>
                <c:pt idx="355">
                  <c:v>-0.80699731065611124</c:v>
                </c:pt>
                <c:pt idx="356">
                  <c:v>-0.57205978697647264</c:v>
                </c:pt>
                <c:pt idx="357">
                  <c:v>-0.17258291665602388</c:v>
                </c:pt>
                <c:pt idx="358">
                  <c:v>0.57081433445094909</c:v>
                </c:pt>
                <c:pt idx="359">
                  <c:v>1.426891430107565</c:v>
                </c:pt>
                <c:pt idx="360">
                  <c:v>2.1141602477285928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39-4C29-979B-E30241554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2"/>
          <c:order val="0"/>
          <c:tx>
            <c:v>@ alpha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TLR_Section_Capacity!$B$27</c:f>
              <c:numCache>
                <c:formatCode>0.0000</c:formatCode>
                <c:ptCount val="1"/>
                <c:pt idx="0">
                  <c:v>-4.7269257861390475E-2</c:v>
                </c:pt>
              </c:numCache>
            </c:numRef>
          </c:xVal>
          <c:yVal>
            <c:numRef>
              <c:f>TLR_Section_Capacity!$CK$11</c:f>
              <c:numCache>
                <c:formatCode>0.000E+00</c:formatCode>
                <c:ptCount val="1"/>
                <c:pt idx="0">
                  <c:v>3.0531133177191805E-14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88-49DE-9AA4-65C22ACBA318}"/>
            </c:ext>
          </c:extLst>
        </c:ser>
        <c:ser>
          <c:idx val="3"/>
          <c:order val="1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TLR_Section_Capacity!$U$13</c:f>
              <c:numCache>
                <c:formatCode>0.000E+00</c:formatCode>
                <c:ptCount val="1"/>
                <c:pt idx="0">
                  <c:v>5.9917285127017195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588-49DE-9AA4-65C22ACBA318}"/>
            </c:ext>
          </c:extLst>
        </c:ser>
        <c:ser>
          <c:idx val="4"/>
          <c:order val="2"/>
          <c:tx>
            <c:v>User+/-pi/2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TLR_Section_Capacity!$AD$45:$AD$46</c:f>
              <c:numCache>
                <c:formatCode>0.000E+00</c:formatCode>
                <c:ptCount val="2"/>
                <c:pt idx="0">
                  <c:v>7.562524839496616</c:v>
                </c:pt>
                <c:pt idx="1">
                  <c:v>4.4209321859068229</c:v>
                </c:pt>
              </c:numCache>
            </c:numRef>
          </c:xVal>
          <c:yVal>
            <c:numRef>
              <c:f>TLR_Section_Capacity!$AE$45:$AE$46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88-49DE-9AA4-65C22ACBA318}"/>
            </c:ext>
          </c:extLst>
        </c:ser>
        <c:ser>
          <c:idx val="0"/>
          <c:order val="3"/>
          <c:tx>
            <c:v>new reference point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TLR_Section_Capacity!$BW$15:$BW$375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TLR_Section_Capacity!$CC$15:$CC$375</c:f>
              <c:numCache>
                <c:formatCode>0.000</c:formatCode>
                <c:ptCount val="361"/>
                <c:pt idx="0">
                  <c:v>2.1141602477300752</c:v>
                </c:pt>
                <c:pt idx="1">
                  <c:v>2.5308778566125341</c:v>
                </c:pt>
                <c:pt idx="2">
                  <c:v>2.6985572567183382</c:v>
                </c:pt>
                <c:pt idx="3">
                  <c:v>2.7009454118022713</c:v>
                </c:pt>
                <c:pt idx="4">
                  <c:v>2.6587192158749948</c:v>
                </c:pt>
                <c:pt idx="5">
                  <c:v>2.6180533583654633</c:v>
                </c:pt>
                <c:pt idx="6">
                  <c:v>2.5839976795434461</c:v>
                </c:pt>
                <c:pt idx="7">
                  <c:v>2.5559566792115151</c:v>
                </c:pt>
                <c:pt idx="8">
                  <c:v>2.5327160660075974</c:v>
                </c:pt>
                <c:pt idx="9">
                  <c:v>2.5132274424081702</c:v>
                </c:pt>
                <c:pt idx="10">
                  <c:v>2.496686007574783</c:v>
                </c:pt>
                <c:pt idx="11">
                  <c:v>2.4824879165767602</c:v>
                </c:pt>
                <c:pt idx="12">
                  <c:v>2.4701788388822377</c:v>
                </c:pt>
                <c:pt idx="13">
                  <c:v>2.4594131562905472</c:v>
                </c:pt>
                <c:pt idx="14">
                  <c:v>2.4499243949836234</c:v>
                </c:pt>
                <c:pt idx="15">
                  <c:v>2.4415042712631285</c:v>
                </c:pt>
                <c:pt idx="16">
                  <c:v>2.4339878400263424</c:v>
                </c:pt>
                <c:pt idx="17">
                  <c:v>2.4272428765667304</c:v>
                </c:pt>
                <c:pt idx="18">
                  <c:v>2.4211621930788363</c:v>
                </c:pt>
                <c:pt idx="19">
                  <c:v>2.415658005409369</c:v>
                </c:pt>
                <c:pt idx="20">
                  <c:v>2.4106577483373934</c:v>
                </c:pt>
                <c:pt idx="21">
                  <c:v>2.4061009271876421</c:v>
                </c:pt>
                <c:pt idx="22">
                  <c:v>2.4019367204425701</c:v>
                </c:pt>
                <c:pt idx="23">
                  <c:v>2.3981221334675116</c:v>
                </c:pt>
                <c:pt idx="24">
                  <c:v>2.3946205615821334</c:v>
                </c:pt>
                <c:pt idx="25">
                  <c:v>2.3914006606919171</c:v>
                </c:pt>
                <c:pt idx="26">
                  <c:v>2.3884354515254893</c:v>
                </c:pt>
                <c:pt idx="27">
                  <c:v>2.3857016031312961</c:v>
                </c:pt>
                <c:pt idx="28">
                  <c:v>2.3831788552628144</c:v>
                </c:pt>
                <c:pt idx="29">
                  <c:v>2.3808495493560491</c:v>
                </c:pt>
                <c:pt idx="30">
                  <c:v>2.3786982451440504</c:v>
                </c:pt>
                <c:pt idx="31">
                  <c:v>2.3767114053574812</c:v>
                </c:pt>
                <c:pt idx="32">
                  <c:v>2.3748771349826621</c:v>
                </c:pt>
                <c:pt idx="33">
                  <c:v>2.3731849645507754</c:v>
                </c:pt>
                <c:pt idx="34">
                  <c:v>2.3716256692401059</c:v>
                </c:pt>
                <c:pt idx="35">
                  <c:v>2.3702214160725692</c:v>
                </c:pt>
                <c:pt idx="36">
                  <c:v>2.3690032471737119</c:v>
                </c:pt>
                <c:pt idx="37">
                  <c:v>2.367951034048529</c:v>
                </c:pt>
                <c:pt idx="38">
                  <c:v>2.3670467178857177</c:v>
                </c:pt>
                <c:pt idx="39">
                  <c:v>2.3662745395738707</c:v>
                </c:pt>
                <c:pt idx="40">
                  <c:v>2.3656207128684144</c:v>
                </c:pt>
                <c:pt idx="41">
                  <c:v>2.3650731487132512</c:v>
                </c:pt>
                <c:pt idx="42">
                  <c:v>2.3646212221368823</c:v>
                </c:pt>
                <c:pt idx="43">
                  <c:v>2.3642555746398441</c:v>
                </c:pt>
                <c:pt idx="44">
                  <c:v>2.3639679462283696</c:v>
                </c:pt>
                <c:pt idx="45">
                  <c:v>2.3637510322677526</c:v>
                </c:pt>
                <c:pt idx="46">
                  <c:v>2.3635983611653875</c:v>
                </c:pt>
                <c:pt idx="47">
                  <c:v>2.363504189579281</c:v>
                </c:pt>
                <c:pt idx="48">
                  <c:v>2.3634634124103626</c:v>
                </c:pt>
                <c:pt idx="49">
                  <c:v>2.363471485298938</c:v>
                </c:pt>
                <c:pt idx="50">
                  <c:v>2.3635243577249385</c:v>
                </c:pt>
                <c:pt idx="51">
                  <c:v>2.3636184151242463</c:v>
                </c:pt>
                <c:pt idx="52">
                  <c:v>2.3637504286913096</c:v>
                </c:pt>
                <c:pt idx="53">
                  <c:v>2.3639175117510725</c:v>
                </c:pt>
                <c:pt idx="54">
                  <c:v>2.3641170817602686</c:v>
                </c:pt>
                <c:pt idx="55">
                  <c:v>2.3643468271445212</c:v>
                </c:pt>
                <c:pt idx="56">
                  <c:v>2.3646046782999699</c:v>
                </c:pt>
                <c:pt idx="57">
                  <c:v>2.3648887821901674</c:v>
                </c:pt>
                <c:pt idx="58">
                  <c:v>2.365197480054241</c:v>
                </c:pt>
                <c:pt idx="59">
                  <c:v>2.3655292878139211</c:v>
                </c:pt>
                <c:pt idx="60">
                  <c:v>2.3658828788272652</c:v>
                </c:pt>
                <c:pt idx="61">
                  <c:v>2.366257068687708</c:v>
                </c:pt>
                <c:pt idx="62">
                  <c:v>2.3666508018098766</c:v>
                </c:pt>
                <c:pt idx="63">
                  <c:v>2.3670631395800523</c:v>
                </c:pt>
                <c:pt idx="64">
                  <c:v>2.3674932498799963</c:v>
                </c:pt>
                <c:pt idx="65">
                  <c:v>2.367940397819186</c:v>
                </c:pt>
                <c:pt idx="66">
                  <c:v>2.3684039375328791</c:v>
                </c:pt>
                <c:pt idx="67">
                  <c:v>2.3688833049227154</c:v>
                </c:pt>
                <c:pt idx="68">
                  <c:v>2.3693780112329308</c:v>
                </c:pt>
                <c:pt idx="69">
                  <c:v>2.3698876373695166</c:v>
                </c:pt>
                <c:pt idx="70">
                  <c:v>2.3704118288818057</c:v>
                </c:pt>
                <c:pt idx="71">
                  <c:v>2.3709502915365057</c:v>
                </c:pt>
                <c:pt idx="72">
                  <c:v>2.3715027874234238</c:v>
                </c:pt>
                <c:pt idx="73">
                  <c:v>2.3720691315399423</c:v>
                </c:pt>
                <c:pt idx="74">
                  <c:v>2.3726491888084222</c:v>
                </c:pt>
                <c:pt idx="75">
                  <c:v>2.3732428714865552</c:v>
                </c:pt>
                <c:pt idx="76">
                  <c:v>2.3738501369362264</c:v>
                </c:pt>
                <c:pt idx="77">
                  <c:v>2.3744709857209898</c:v>
                </c:pt>
                <c:pt idx="78">
                  <c:v>2.3751054600064849</c:v>
                </c:pt>
                <c:pt idx="79">
                  <c:v>2.3757536422418166</c:v>
                </c:pt>
                <c:pt idx="80">
                  <c:v>2.3764156541032833</c:v>
                </c:pt>
                <c:pt idx="81">
                  <c:v>2.3770916556846942</c:v>
                </c:pt>
                <c:pt idx="82">
                  <c:v>2.3777818449214263</c:v>
                </c:pt>
                <c:pt idx="83">
                  <c:v>2.3784864572376732</c:v>
                </c:pt>
                <c:pt idx="84">
                  <c:v>2.3792057654088019</c:v>
                </c:pt>
                <c:pt idx="85">
                  <c:v>2.3799400796327506</c:v>
                </c:pt>
                <c:pt idx="86">
                  <c:v>2.3806897478065325</c:v>
                </c:pt>
                <c:pt idx="87">
                  <c:v>2.381455156005817</c:v>
                </c:pt>
                <c:pt idx="88">
                  <c:v>2.3822367291674675</c:v>
                </c:pt>
                <c:pt idx="89">
                  <c:v>2.383034931976713</c:v>
                </c:pt>
                <c:pt idx="90">
                  <c:v>2.3838502699626387</c:v>
                </c:pt>
                <c:pt idx="91">
                  <c:v>2.3846832908073536</c:v>
                </c:pt>
                <c:pt idx="92">
                  <c:v>2.3855345858763135</c:v>
                </c:pt>
                <c:pt idx="93">
                  <c:v>2.3864047919791065</c:v>
                </c:pt>
                <c:pt idx="94">
                  <c:v>2.3872945933722383</c:v>
                </c:pt>
                <c:pt idx="95">
                  <c:v>2.3882047240175952</c:v>
                </c:pt>
                <c:pt idx="96">
                  <c:v>2.3891359701127408</c:v>
                </c:pt>
                <c:pt idx="97">
                  <c:v>2.3900891729116438</c:v>
                </c:pt>
                <c:pt idx="98">
                  <c:v>2.3910652318574432</c:v>
                </c:pt>
                <c:pt idx="99">
                  <c:v>2.3920651080518374</c:v>
                </c:pt>
                <c:pt idx="100">
                  <c:v>2.3930898280890824</c:v>
                </c:pt>
                <c:pt idx="101">
                  <c:v>2.3941404882865469</c:v>
                </c:pt>
                <c:pt idx="102">
                  <c:v>2.3952182593478035</c:v>
                </c:pt>
                <c:pt idx="103">
                  <c:v>2.3963243914992063</c:v>
                </c:pt>
                <c:pt idx="104">
                  <c:v>2.3974602201461099</c:v>
                </c:pt>
                <c:pt idx="105">
                  <c:v>2.3986271721009857</c:v>
                </c:pt>
                <c:pt idx="106">
                  <c:v>2.3998267724425868</c:v>
                </c:pt>
                <c:pt idx="107">
                  <c:v>2.4010606520729896</c:v>
                </c:pt>
                <c:pt idx="108">
                  <c:v>2.4023305560483168</c:v>
                </c:pt>
                <c:pt idx="109">
                  <c:v>2.4340096857236531</c:v>
                </c:pt>
                <c:pt idx="110">
                  <c:v>2.473381557661761</c:v>
                </c:pt>
                <c:pt idx="111">
                  <c:v>2.5136130622463626</c:v>
                </c:pt>
                <c:pt idx="112">
                  <c:v>2.5547562944810802</c:v>
                </c:pt>
                <c:pt idx="113">
                  <c:v>2.5968667137072234</c:v>
                </c:pt>
                <c:pt idx="114">
                  <c:v>2.6400034458769053</c:v>
                </c:pt>
                <c:pt idx="115">
                  <c:v>2.6842296169616766</c:v>
                </c:pt>
                <c:pt idx="116">
                  <c:v>2.7296127213056112</c:v>
                </c:pt>
                <c:pt idx="117">
                  <c:v>2.7762250292509338</c:v>
                </c:pt>
                <c:pt idx="118">
                  <c:v>2.8241440389745263</c:v>
                </c:pt>
                <c:pt idx="119">
                  <c:v>2.8734529781656888</c:v>
                </c:pt>
                <c:pt idx="120">
                  <c:v>2.9242413619854837</c:v>
                </c:pt>
                <c:pt idx="121">
                  <c:v>2.9803113312509542</c:v>
                </c:pt>
                <c:pt idx="122">
                  <c:v>3.0527453290023376</c:v>
                </c:pt>
                <c:pt idx="123">
                  <c:v>3.1290908573477267</c:v>
                </c:pt>
                <c:pt idx="124">
                  <c:v>3.2096817542552616</c:v>
                </c:pt>
                <c:pt idx="125">
                  <c:v>3.3034564383184826</c:v>
                </c:pt>
                <c:pt idx="126">
                  <c:v>3.4060107805022199</c:v>
                </c:pt>
                <c:pt idx="127">
                  <c:v>3.5286133979577179</c:v>
                </c:pt>
                <c:pt idx="128">
                  <c:v>3.6636217640797764</c:v>
                </c:pt>
                <c:pt idx="129">
                  <c:v>3.8118683347313009</c:v>
                </c:pt>
                <c:pt idx="130">
                  <c:v>3.9753712973735627</c:v>
                </c:pt>
                <c:pt idx="131">
                  <c:v>4.1565494372783025</c:v>
                </c:pt>
                <c:pt idx="132">
                  <c:v>4.3583154860955897</c:v>
                </c:pt>
                <c:pt idx="133">
                  <c:v>4.5972416332523913</c:v>
                </c:pt>
                <c:pt idx="134">
                  <c:v>4.8390567658377259</c:v>
                </c:pt>
                <c:pt idx="135">
                  <c:v>5.1086882660038864</c:v>
                </c:pt>
                <c:pt idx="136">
                  <c:v>5.4094724916281978</c:v>
                </c:pt>
                <c:pt idx="137">
                  <c:v>5.7487026816455398</c:v>
                </c:pt>
                <c:pt idx="138">
                  <c:v>6.1299396527018724</c:v>
                </c:pt>
                <c:pt idx="139">
                  <c:v>6.5556400295063373</c:v>
                </c:pt>
                <c:pt idx="140">
                  <c:v>7.02660337056159</c:v>
                </c:pt>
                <c:pt idx="141">
                  <c:v>7.5404533932237054</c:v>
                </c:pt>
                <c:pt idx="142">
                  <c:v>8.0893241968733172</c:v>
                </c:pt>
                <c:pt idx="143">
                  <c:v>8.6565080679984554</c:v>
                </c:pt>
                <c:pt idx="144">
                  <c:v>9.2118047438278143</c:v>
                </c:pt>
                <c:pt idx="145">
                  <c:v>9.7051795685574067</c:v>
                </c:pt>
                <c:pt idx="146">
                  <c:v>10.057828463592813</c:v>
                </c:pt>
                <c:pt idx="147">
                  <c:v>10.308736525939024</c:v>
                </c:pt>
                <c:pt idx="148">
                  <c:v>9.952225935105707</c:v>
                </c:pt>
                <c:pt idx="149">
                  <c:v>8.4727119862151863</c:v>
                </c:pt>
                <c:pt idx="150">
                  <c:v>5.637666606465209</c:v>
                </c:pt>
                <c:pt idx="151">
                  <c:v>2.5300497920543297</c:v>
                </c:pt>
                <c:pt idx="152">
                  <c:v>0.9129535848908743</c:v>
                </c:pt>
                <c:pt idx="153">
                  <c:v>0.75929101473143135</c:v>
                </c:pt>
                <c:pt idx="154">
                  <c:v>0.64575434011219901</c:v>
                </c:pt>
                <c:pt idx="155">
                  <c:v>0.52628461999257858</c:v>
                </c:pt>
                <c:pt idx="156">
                  <c:v>0.39998004874016058</c:v>
                </c:pt>
                <c:pt idx="157">
                  <c:v>0.26577697267248013</c:v>
                </c:pt>
                <c:pt idx="158">
                  <c:v>0.12241173748115396</c:v>
                </c:pt>
                <c:pt idx="159">
                  <c:v>-3.1627989629332554E-2</c:v>
                </c:pt>
                <c:pt idx="160">
                  <c:v>-0.19816571739142308</c:v>
                </c:pt>
                <c:pt idx="161">
                  <c:v>-0.37941682037691216</c:v>
                </c:pt>
                <c:pt idx="162">
                  <c:v>-0.57809317626154499</c:v>
                </c:pt>
                <c:pt idx="163">
                  <c:v>-0.79753918021669978</c:v>
                </c:pt>
                <c:pt idx="164">
                  <c:v>-1.0419083556653197</c:v>
                </c:pt>
                <c:pt idx="165">
                  <c:v>-1.316391063937701</c:v>
                </c:pt>
                <c:pt idx="166">
                  <c:v>-1.6275028792826118</c:v>
                </c:pt>
                <c:pt idx="167">
                  <c:v>-1.9834357242362</c:v>
                </c:pt>
                <c:pt idx="168">
                  <c:v>-2.3944494983401872</c:v>
                </c:pt>
                <c:pt idx="169">
                  <c:v>-2.8458527235901103</c:v>
                </c:pt>
                <c:pt idx="170">
                  <c:v>-3.2740482593041453</c:v>
                </c:pt>
                <c:pt idx="171">
                  <c:v>-3.6762209165698789</c:v>
                </c:pt>
                <c:pt idx="172">
                  <c:v>-3.9153894099698521</c:v>
                </c:pt>
                <c:pt idx="173">
                  <c:v>-4.2726078517391937</c:v>
                </c:pt>
                <c:pt idx="174">
                  <c:v>-4.6072442275104404</c:v>
                </c:pt>
                <c:pt idx="175">
                  <c:v>-4.9205395910282972</c:v>
                </c:pt>
                <c:pt idx="176">
                  <c:v>-5.2137622293661874</c:v>
                </c:pt>
                <c:pt idx="177">
                  <c:v>-5.4911883268264852</c:v>
                </c:pt>
                <c:pt idx="178">
                  <c:v>-5.7542850853470568</c:v>
                </c:pt>
                <c:pt idx="179">
                  <c:v>-6.0118594575215329</c:v>
                </c:pt>
                <c:pt idx="180">
                  <c:v>-6.2412757186511261</c:v>
                </c:pt>
                <c:pt idx="181">
                  <c:v>-6.4261333424073825</c:v>
                </c:pt>
                <c:pt idx="182">
                  <c:v>-6.6384551747380645</c:v>
                </c:pt>
                <c:pt idx="183">
                  <c:v>-6.8382972002543632</c:v>
                </c:pt>
                <c:pt idx="184">
                  <c:v>-7.0333534905427459</c:v>
                </c:pt>
                <c:pt idx="185">
                  <c:v>-7.2254749690319127</c:v>
                </c:pt>
                <c:pt idx="186">
                  <c:v>-7.4131312102093556</c:v>
                </c:pt>
                <c:pt idx="187">
                  <c:v>-7.5967328855996303</c:v>
                </c:pt>
                <c:pt idx="188">
                  <c:v>-7.7766555873109784</c:v>
                </c:pt>
                <c:pt idx="189">
                  <c:v>-7.9532439363582892</c:v>
                </c:pt>
                <c:pt idx="190">
                  <c:v>-8.126815115765746</c:v>
                </c:pt>
                <c:pt idx="191">
                  <c:v>-8.2976619161348388</c:v>
                </c:pt>
                <c:pt idx="192">
                  <c:v>-8.466055365621818</c:v>
                </c:pt>
                <c:pt idx="193">
                  <c:v>-8.6322470034132905</c:v>
                </c:pt>
                <c:pt idx="194">
                  <c:v>-8.7964708452486224</c:v>
                </c:pt>
                <c:pt idx="195">
                  <c:v>-8.9589450808452682</c:v>
                </c:pt>
                <c:pt idx="196">
                  <c:v>-9.1198735358527401</c:v>
                </c:pt>
                <c:pt idx="197">
                  <c:v>-9.2779974949051649</c:v>
                </c:pt>
                <c:pt idx="198">
                  <c:v>-9.4248477399780324</c:v>
                </c:pt>
                <c:pt idx="199">
                  <c:v>-9.5608537431098579</c:v>
                </c:pt>
                <c:pt idx="200">
                  <c:v>-9.6877879144870978</c:v>
                </c:pt>
                <c:pt idx="201">
                  <c:v>-9.8070447356765751</c:v>
                </c:pt>
                <c:pt idx="202">
                  <c:v>-9.9197388583600894</c:v>
                </c:pt>
                <c:pt idx="203">
                  <c:v>-10.026774212759817</c:v>
                </c:pt>
                <c:pt idx="204">
                  <c:v>-10.128893606209763</c:v>
                </c:pt>
                <c:pt idx="205">
                  <c:v>-10.226714927274651</c:v>
                </c:pt>
                <c:pt idx="206">
                  <c:v>-10.32075798503323</c:v>
                </c:pt>
                <c:pt idx="207">
                  <c:v>-10.41146469092409</c:v>
                </c:pt>
                <c:pt idx="208">
                  <c:v>-10.499214434912522</c:v>
                </c:pt>
                <c:pt idx="209">
                  <c:v>-10.584335943429332</c:v>
                </c:pt>
                <c:pt idx="210">
                  <c:v>-10.667116527790075</c:v>
                </c:pt>
                <c:pt idx="211">
                  <c:v>-10.747809373462388</c:v>
                </c:pt>
                <c:pt idx="212">
                  <c:v>-10.826639341658876</c:v>
                </c:pt>
                <c:pt idx="213">
                  <c:v>-10.903807629113832</c:v>
                </c:pt>
                <c:pt idx="214">
                  <c:v>-10.979495542517119</c:v>
                </c:pt>
                <c:pt idx="215">
                  <c:v>-11.053867579676355</c:v>
                </c:pt>
                <c:pt idx="216">
                  <c:v>-11.127073962515436</c:v>
                </c:pt>
                <c:pt idx="217">
                  <c:v>-11.19925273236686</c:v>
                </c:pt>
                <c:pt idx="218">
                  <c:v>-11.270531492104556</c:v>
                </c:pt>
                <c:pt idx="219">
                  <c:v>-11.341028860194273</c:v>
                </c:pt>
                <c:pt idx="220">
                  <c:v>-11.504330073472044</c:v>
                </c:pt>
                <c:pt idx="221">
                  <c:v>-11.840410899044576</c:v>
                </c:pt>
                <c:pt idx="222">
                  <c:v>-12.269371881634758</c:v>
                </c:pt>
                <c:pt idx="223">
                  <c:v>-12.703320171100206</c:v>
                </c:pt>
                <c:pt idx="224">
                  <c:v>-13.061626666944694</c:v>
                </c:pt>
                <c:pt idx="225">
                  <c:v>-13.280578603482605</c:v>
                </c:pt>
                <c:pt idx="226">
                  <c:v>-13.316466257722652</c:v>
                </c:pt>
                <c:pt idx="227">
                  <c:v>-13.144002316095211</c:v>
                </c:pt>
                <c:pt idx="228">
                  <c:v>-12.712579615387657</c:v>
                </c:pt>
                <c:pt idx="229">
                  <c:v>-12.053776011176616</c:v>
                </c:pt>
                <c:pt idx="230">
                  <c:v>-11.20428229349492</c:v>
                </c:pt>
                <c:pt idx="231">
                  <c:v>-10.187546908474626</c:v>
                </c:pt>
                <c:pt idx="232">
                  <c:v>-9.0667305767144306</c:v>
                </c:pt>
                <c:pt idx="233">
                  <c:v>-7.9170136520324563</c:v>
                </c:pt>
                <c:pt idx="234">
                  <c:v>-7.2450342620545882</c:v>
                </c:pt>
                <c:pt idx="235">
                  <c:v>-6.6584754504946853</c:v>
                </c:pt>
                <c:pt idx="236">
                  <c:v>-6.1404620070676108</c:v>
                </c:pt>
                <c:pt idx="237">
                  <c:v>-5.6911709189262076</c:v>
                </c:pt>
                <c:pt idx="238">
                  <c:v>-5.2923828753738356</c:v>
                </c:pt>
                <c:pt idx="239">
                  <c:v>-4.9379618314531086</c:v>
                </c:pt>
                <c:pt idx="240">
                  <c:v>-4.6221663715527725</c:v>
                </c:pt>
                <c:pt idx="241">
                  <c:v>-4.3398562929883084</c:v>
                </c:pt>
                <c:pt idx="242">
                  <c:v>-4.086545478153111</c:v>
                </c:pt>
                <c:pt idx="243">
                  <c:v>-3.8583778495460557</c:v>
                </c:pt>
                <c:pt idx="244">
                  <c:v>-3.6520698461680006</c:v>
                </c:pt>
                <c:pt idx="245">
                  <c:v>-3.4648428934399189</c:v>
                </c:pt>
                <c:pt idx="246">
                  <c:v>-3.2943579853881144</c:v>
                </c:pt>
                <c:pt idx="247">
                  <c:v>-3.1408677603731929</c:v>
                </c:pt>
                <c:pt idx="248">
                  <c:v>-3.0009916360784312</c:v>
                </c:pt>
                <c:pt idx="249">
                  <c:v>-2.8726906208203018</c:v>
                </c:pt>
                <c:pt idx="250">
                  <c:v>-2.7551138532081887</c:v>
                </c:pt>
                <c:pt idx="251">
                  <c:v>-2.6477573581401281</c:v>
                </c:pt>
                <c:pt idx="252">
                  <c:v>-2.5571474819744622</c:v>
                </c:pt>
                <c:pt idx="253">
                  <c:v>-2.4864090650329285</c:v>
                </c:pt>
                <c:pt idx="254">
                  <c:v>-2.429413399939651</c:v>
                </c:pt>
                <c:pt idx="255">
                  <c:v>-2.3746592990010171</c:v>
                </c:pt>
                <c:pt idx="256">
                  <c:v>-2.3215233983342376</c:v>
                </c:pt>
                <c:pt idx="257">
                  <c:v>-2.2699084956379068</c:v>
                </c:pt>
                <c:pt idx="258">
                  <c:v>-2.2197242577532861</c:v>
                </c:pt>
                <c:pt idx="259">
                  <c:v>-2.1708866115889678</c:v>
                </c:pt>
                <c:pt idx="260">
                  <c:v>-2.1233171968810947</c:v>
                </c:pt>
                <c:pt idx="261">
                  <c:v>-2.0769428736756126</c:v>
                </c:pt>
                <c:pt idx="262">
                  <c:v>-2.031695278320651</c:v>
                </c:pt>
                <c:pt idx="263">
                  <c:v>-1.9875104225349383</c:v>
                </c:pt>
                <c:pt idx="264">
                  <c:v>-1.9443283307891848</c:v>
                </c:pt>
                <c:pt idx="265">
                  <c:v>-1.9114818976420056</c:v>
                </c:pt>
                <c:pt idx="266">
                  <c:v>-1.9090566431884637</c:v>
                </c:pt>
                <c:pt idx="267">
                  <c:v>-1.906639185174076</c:v>
                </c:pt>
                <c:pt idx="268">
                  <c:v>-1.9042278792622125</c:v>
                </c:pt>
                <c:pt idx="269">
                  <c:v>-1.9018210965880855</c:v>
                </c:pt>
                <c:pt idx="270">
                  <c:v>-1.8994172191999539</c:v>
                </c:pt>
                <c:pt idx="271">
                  <c:v>-1.8970146355558279</c:v>
                </c:pt>
                <c:pt idx="272">
                  <c:v>-1.8946117360484682</c:v>
                </c:pt>
                <c:pt idx="273">
                  <c:v>-1.8922069085315052</c:v>
                </c:pt>
                <c:pt idx="274">
                  <c:v>-1.8897985338195087</c:v>
                </c:pt>
                <c:pt idx="275">
                  <c:v>-1.8873849811344254</c:v>
                </c:pt>
                <c:pt idx="276">
                  <c:v>-1.8849646034701173</c:v>
                </c:pt>
                <c:pt idx="277">
                  <c:v>-1.882535732845726</c:v>
                </c:pt>
                <c:pt idx="278">
                  <c:v>-1.8800966754173254</c:v>
                </c:pt>
                <c:pt idx="279">
                  <c:v>-1.8776457064155461</c:v>
                </c:pt>
                <c:pt idx="280">
                  <c:v>-1.8751810648749681</c:v>
                </c:pt>
                <c:pt idx="281">
                  <c:v>-1.8727009481183809</c:v>
                </c:pt>
                <c:pt idx="282">
                  <c:v>-1.8702035059562994</c:v>
                </c:pt>
                <c:pt idx="283">
                  <c:v>-1.8676868345584696</c:v>
                </c:pt>
                <c:pt idx="284">
                  <c:v>-1.8651489699501778</c:v>
                </c:pt>
                <c:pt idx="285">
                  <c:v>-1.8625878810813801</c:v>
                </c:pt>
                <c:pt idx="286">
                  <c:v>-1.8600014624112704</c:v>
                </c:pt>
                <c:pt idx="287">
                  <c:v>-1.857387525944473</c:v>
                </c:pt>
                <c:pt idx="288">
                  <c:v>-1.8547437926477617</c:v>
                </c:pt>
                <c:pt idx="289">
                  <c:v>-1.8520678831677073</c:v>
                </c:pt>
                <c:pt idx="290">
                  <c:v>-1.8493573077597467</c:v>
                </c:pt>
                <c:pt idx="291">
                  <c:v>-1.8466094553278123</c:v>
                </c:pt>
                <c:pt idx="292">
                  <c:v>-1.8438215814603809</c:v>
                </c:pt>
                <c:pt idx="293">
                  <c:v>-1.8409907953334104</c:v>
                </c:pt>
                <c:pt idx="294">
                  <c:v>-1.8381140453327258</c:v>
                </c:pt>
                <c:pt idx="295">
                  <c:v>-1.8351881032274631</c:v>
                </c:pt>
                <c:pt idx="296">
                  <c:v>-1.8322095467017965</c:v>
                </c:pt>
                <c:pt idx="297">
                  <c:v>-1.8291747400235114</c:v>
                </c:pt>
                <c:pt idx="298">
                  <c:v>-1.826079812594309</c:v>
                </c:pt>
                <c:pt idx="299">
                  <c:v>-1.822920635087153</c:v>
                </c:pt>
                <c:pt idx="300">
                  <c:v>-1.8196927928291473</c:v>
                </c:pt>
                <c:pt idx="301">
                  <c:v>-1.8163915560329502</c:v>
                </c:pt>
                <c:pt idx="302">
                  <c:v>-1.8130118464138489</c:v>
                </c:pt>
                <c:pt idx="303">
                  <c:v>-1.8095481996511253</c:v>
                </c:pt>
                <c:pt idx="304">
                  <c:v>-1.8059947230581885</c:v>
                </c:pt>
                <c:pt idx="305">
                  <c:v>-1.8023450477133518</c:v>
                </c:pt>
                <c:pt idx="306">
                  <c:v>-1.7985922741669746</c:v>
                </c:pt>
                <c:pt idx="307">
                  <c:v>-1.7947289106764761</c:v>
                </c:pt>
                <c:pt idx="308">
                  <c:v>-1.7907468027209361</c:v>
                </c:pt>
                <c:pt idx="309">
                  <c:v>-1.7866370523036523</c:v>
                </c:pt>
                <c:pt idx="310">
                  <c:v>-1.7823899252529651</c:v>
                </c:pt>
                <c:pt idx="311">
                  <c:v>-1.7779947443649591</c:v>
                </c:pt>
                <c:pt idx="312">
                  <c:v>-1.773439765778565</c:v>
                </c:pt>
                <c:pt idx="313">
                  <c:v>-1.7687120354110031</c:v>
                </c:pt>
                <c:pt idx="314">
                  <c:v>-1.7637972215791331</c:v>
                </c:pt>
                <c:pt idx="315">
                  <c:v>-1.758679419051248</c:v>
                </c:pt>
                <c:pt idx="316">
                  <c:v>-1.753340918662101</c:v>
                </c:pt>
                <c:pt idx="317">
                  <c:v>-1.7477619352132434</c:v>
                </c:pt>
                <c:pt idx="318">
                  <c:v>-1.7419202845798121</c:v>
                </c:pt>
                <c:pt idx="319">
                  <c:v>-1.7357909986311626</c:v>
                </c:pt>
                <c:pt idx="320">
                  <c:v>-1.7293458635805015</c:v>
                </c:pt>
                <c:pt idx="321">
                  <c:v>-1.7225528634821496</c:v>
                </c:pt>
                <c:pt idx="322">
                  <c:v>-1.7153755054837727</c:v>
                </c:pt>
                <c:pt idx="323">
                  <c:v>-1.7077719966850913</c:v>
                </c:pt>
                <c:pt idx="324">
                  <c:v>-1.699694233452683</c:v>
                </c:pt>
                <c:pt idx="325">
                  <c:v>-1.6910865519450413</c:v>
                </c:pt>
                <c:pt idx="326">
                  <c:v>-1.6818880998715158</c:v>
                </c:pt>
                <c:pt idx="327">
                  <c:v>-1.6723601312282954</c:v>
                </c:pt>
                <c:pt idx="328">
                  <c:v>-1.6626778318592439</c:v>
                </c:pt>
                <c:pt idx="329">
                  <c:v>-1.6528148495611772</c:v>
                </c:pt>
                <c:pt idx="330">
                  <c:v>-1.6427422223224786</c:v>
                </c:pt>
                <c:pt idx="331">
                  <c:v>-1.6324278631483193</c:v>
                </c:pt>
                <c:pt idx="332">
                  <c:v>-1.6218359385343395</c:v>
                </c:pt>
                <c:pt idx="333">
                  <c:v>-1.6109261117328355</c:v>
                </c:pt>
                <c:pt idx="334">
                  <c:v>-1.5996526129235864</c:v>
                </c:pt>
                <c:pt idx="335">
                  <c:v>-1.5879630860184324</c:v>
                </c:pt>
                <c:pt idx="336">
                  <c:v>-1.5757971446618069</c:v>
                </c:pt>
                <c:pt idx="337">
                  <c:v>-1.5630845459008316</c:v>
                </c:pt>
                <c:pt idx="338">
                  <c:v>-1.5497428557538251</c:v>
                </c:pt>
                <c:pt idx="339">
                  <c:v>-1.5356744315182635</c:v>
                </c:pt>
                <c:pt idx="340">
                  <c:v>-1.5207624733590599</c:v>
                </c:pt>
                <c:pt idx="341">
                  <c:v>-1.5048657900056772</c:v>
                </c:pt>
                <c:pt idx="342">
                  <c:v>-1.4878117600719853</c:v>
                </c:pt>
                <c:pt idx="343">
                  <c:v>-1.4693867177422693</c:v>
                </c:pt>
                <c:pt idx="344">
                  <c:v>-1.4493225916911889</c:v>
                </c:pt>
                <c:pt idx="345">
                  <c:v>-1.4272779778297884</c:v>
                </c:pt>
                <c:pt idx="346">
                  <c:v>-1.4028107465892004</c:v>
                </c:pt>
                <c:pt idx="347">
                  <c:v>-1.3753374312303923</c:v>
                </c:pt>
                <c:pt idx="348">
                  <c:v>-1.3440713494085788</c:v>
                </c:pt>
                <c:pt idx="349">
                  <c:v>-1.3079253271350189</c:v>
                </c:pt>
                <c:pt idx="350">
                  <c:v>-1.2653531553538122</c:v>
                </c:pt>
                <c:pt idx="351">
                  <c:v>-1.2140800774075191</c:v>
                </c:pt>
                <c:pt idx="352">
                  <c:v>-1.1506212872973165</c:v>
                </c:pt>
                <c:pt idx="353">
                  <c:v>-1.069369013880378</c:v>
                </c:pt>
                <c:pt idx="354">
                  <c:v>-0.9607323747992047</c:v>
                </c:pt>
                <c:pt idx="355">
                  <c:v>-0.80699731065611124</c:v>
                </c:pt>
                <c:pt idx="356">
                  <c:v>-0.57205978697647264</c:v>
                </c:pt>
                <c:pt idx="357">
                  <c:v>-0.17258291665602388</c:v>
                </c:pt>
                <c:pt idx="358">
                  <c:v>0.57081433445094909</c:v>
                </c:pt>
                <c:pt idx="359">
                  <c:v>1.426891430107565</c:v>
                </c:pt>
                <c:pt idx="360">
                  <c:v>2.1141602477285928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588-49DE-9AA4-65C22ACBA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364330</xdr:colOff>
      <xdr:row>2</xdr:row>
      <xdr:rowOff>61911</xdr:rowOff>
    </xdr:from>
    <xdr:to>
      <xdr:col>18</xdr:col>
      <xdr:colOff>773905</xdr:colOff>
      <xdr:row>30</xdr:row>
      <xdr:rowOff>119061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971550</xdr:colOff>
      <xdr:row>27</xdr:row>
      <xdr:rowOff>154782</xdr:rowOff>
    </xdr:from>
    <xdr:to>
      <xdr:col>22</xdr:col>
      <xdr:colOff>319087</xdr:colOff>
      <xdr:row>47</xdr:row>
      <xdr:rowOff>2382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23</xdr:row>
          <xdr:rowOff>95250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827087</xdr:colOff>
      <xdr:row>29</xdr:row>
      <xdr:rowOff>79375</xdr:rowOff>
    </xdr:from>
    <xdr:to>
      <xdr:col>37</xdr:col>
      <xdr:colOff>527050</xdr:colOff>
      <xdr:row>58</xdr:row>
      <xdr:rowOff>17462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38102</xdr:colOff>
      <xdr:row>0</xdr:row>
      <xdr:rowOff>85722</xdr:rowOff>
    </xdr:from>
    <xdr:to>
      <xdr:col>37</xdr:col>
      <xdr:colOff>571502</xdr:colOff>
      <xdr:row>28</xdr:row>
      <xdr:rowOff>130966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692943</xdr:colOff>
      <xdr:row>0</xdr:row>
      <xdr:rowOff>73816</xdr:rowOff>
    </xdr:from>
    <xdr:to>
      <xdr:col>43</xdr:col>
      <xdr:colOff>380999</xdr:colOff>
      <xdr:row>28</xdr:row>
      <xdr:rowOff>119060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659605</xdr:colOff>
      <xdr:row>29</xdr:row>
      <xdr:rowOff>90489</xdr:rowOff>
    </xdr:from>
    <xdr:to>
      <xdr:col>43</xdr:col>
      <xdr:colOff>347661</xdr:colOff>
      <xdr:row>58</xdr:row>
      <xdr:rowOff>28576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2</xdr:row>
          <xdr:rowOff>85725</xdr:rowOff>
        </xdr:from>
        <xdr:to>
          <xdr:col>31</xdr:col>
          <xdr:colOff>180975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821532</xdr:colOff>
      <xdr:row>29</xdr:row>
      <xdr:rowOff>83344</xdr:rowOff>
    </xdr:from>
    <xdr:to>
      <xdr:col>49</xdr:col>
      <xdr:colOff>21431</xdr:colOff>
      <xdr:row>58</xdr:row>
      <xdr:rowOff>21431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352425</xdr:colOff>
          <xdr:row>23</xdr:row>
          <xdr:rowOff>19050</xdr:rowOff>
        </xdr:from>
        <xdr:to>
          <xdr:col>22</xdr:col>
          <xdr:colOff>857250</xdr:colOff>
          <xdr:row>27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EXPERIMENTAL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for Solution Using Alternate Reference Point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EK378"/>
  <sheetViews>
    <sheetView tabSelected="1" zoomScale="80" zoomScaleNormal="80" workbookViewId="0">
      <selection activeCell="AB26" sqref="AB26"/>
    </sheetView>
  </sheetViews>
  <sheetFormatPr defaultColWidth="8.85546875" defaultRowHeight="15" x14ac:dyDescent="0.25"/>
  <cols>
    <col min="1" max="1" width="15.28515625" customWidth="1"/>
    <col min="2" max="2" width="16" customWidth="1"/>
    <col min="3" max="3" width="12.42578125" customWidth="1"/>
    <col min="4" max="5" width="11.140625" customWidth="1"/>
    <col min="6" max="7" width="11.42578125" bestFit="1" customWidth="1"/>
    <col min="8" max="8" width="13.140625" bestFit="1" customWidth="1"/>
    <col min="9" max="9" width="12.140625" bestFit="1" customWidth="1"/>
    <col min="10" max="10" width="13.140625" bestFit="1" customWidth="1"/>
    <col min="11" max="11" width="12.140625" bestFit="1" customWidth="1"/>
    <col min="12" max="12" width="12.42578125" customWidth="1"/>
    <col min="13" max="13" width="17.28515625" customWidth="1"/>
    <col min="14" max="15" width="17" bestFit="1" customWidth="1"/>
    <col min="16" max="16" width="15.42578125" bestFit="1" customWidth="1"/>
    <col min="17" max="18" width="16.42578125" bestFit="1" customWidth="1"/>
    <col min="19" max="19" width="14.85546875" bestFit="1" customWidth="1"/>
    <col min="20" max="20" width="16.42578125" customWidth="1"/>
    <col min="21" max="22" width="16.42578125" bestFit="1" customWidth="1"/>
    <col min="23" max="24" width="15.42578125" bestFit="1" customWidth="1"/>
    <col min="25" max="26" width="17.7109375" bestFit="1" customWidth="1"/>
    <col min="27" max="27" width="11" bestFit="1" customWidth="1"/>
    <col min="28" max="28" width="14.42578125" bestFit="1" customWidth="1"/>
    <col min="29" max="29" width="13.42578125" bestFit="1" customWidth="1"/>
    <col min="30" max="30" width="14.42578125" bestFit="1" customWidth="1"/>
    <col min="31" max="31" width="13.42578125" bestFit="1" customWidth="1"/>
    <col min="32" max="32" width="12.42578125" bestFit="1" customWidth="1"/>
    <col min="33" max="33" width="14.85546875" bestFit="1" customWidth="1"/>
    <col min="34" max="34" width="17" bestFit="1" customWidth="1"/>
    <col min="35" max="35" width="14.42578125" bestFit="1" customWidth="1"/>
    <col min="36" max="36" width="13.42578125" bestFit="1" customWidth="1"/>
    <col min="37" max="37" width="14.42578125" bestFit="1" customWidth="1"/>
    <col min="38" max="39" width="13.42578125" bestFit="1" customWidth="1"/>
    <col min="40" max="40" width="14.85546875" bestFit="1" customWidth="1"/>
    <col min="41" max="41" width="17" bestFit="1" customWidth="1"/>
    <col min="42" max="42" width="14.42578125" bestFit="1" customWidth="1"/>
    <col min="43" max="43" width="13.42578125" bestFit="1" customWidth="1"/>
    <col min="44" max="44" width="14.42578125" bestFit="1" customWidth="1"/>
    <col min="45" max="46" width="14" style="6" bestFit="1" customWidth="1"/>
    <col min="47" max="47" width="14.85546875" style="6" bestFit="1" customWidth="1"/>
    <col min="48" max="48" width="17" style="6" bestFit="1" customWidth="1"/>
    <col min="49" max="49" width="19.7109375" style="6" bestFit="1" customWidth="1"/>
    <col min="50" max="50" width="19.140625" style="6" bestFit="1" customWidth="1"/>
    <col min="51" max="51" width="24.28515625" style="6" bestFit="1" customWidth="1"/>
    <col min="52" max="52" width="11" style="48" bestFit="1" customWidth="1"/>
    <col min="53" max="53" width="19.42578125" style="48" bestFit="1" customWidth="1"/>
    <col min="54" max="54" width="19.140625" style="48" bestFit="1" customWidth="1"/>
    <col min="55" max="56" width="24.28515625" style="48" bestFit="1" customWidth="1"/>
    <col min="57" max="57" width="10.7109375" bestFit="1" customWidth="1"/>
    <col min="58" max="58" width="14.42578125" bestFit="1" customWidth="1"/>
    <col min="59" max="59" width="19.42578125" bestFit="1" customWidth="1"/>
    <col min="60" max="60" width="19.140625" bestFit="1" customWidth="1"/>
    <col min="61" max="61" width="24.28515625" bestFit="1" customWidth="1"/>
    <col min="65" max="65" width="13.7109375" bestFit="1" customWidth="1"/>
    <col min="70" max="71" width="13.7109375" bestFit="1" customWidth="1"/>
    <col min="72" max="72" width="11" bestFit="1" customWidth="1"/>
    <col min="73" max="73" width="13" bestFit="1" customWidth="1"/>
    <col min="74" max="74" width="9.85546875" bestFit="1" customWidth="1"/>
    <col min="75" max="75" width="14.140625" customWidth="1"/>
    <col min="78" max="78" width="13" bestFit="1" customWidth="1"/>
    <col min="79" max="79" width="10.28515625" customWidth="1"/>
    <col min="80" max="80" width="12.85546875" bestFit="1" customWidth="1"/>
    <col min="81" max="81" width="14.42578125" customWidth="1"/>
    <col min="83" max="83" width="8.85546875" customWidth="1"/>
    <col min="84" max="84" width="9.28515625" bestFit="1" customWidth="1"/>
    <col min="85" max="85" width="13" bestFit="1" customWidth="1"/>
    <col min="86" max="88" width="13.7109375" bestFit="1" customWidth="1"/>
    <col min="89" max="89" width="12.42578125" bestFit="1" customWidth="1"/>
    <col min="90" max="90" width="13" bestFit="1" customWidth="1"/>
    <col min="91" max="91" width="13.7109375" bestFit="1" customWidth="1"/>
    <col min="92" max="92" width="13" bestFit="1" customWidth="1"/>
    <col min="93" max="93" width="12" bestFit="1" customWidth="1"/>
    <col min="94" max="95" width="13.7109375" bestFit="1" customWidth="1"/>
    <col min="96" max="96" width="10" bestFit="1" customWidth="1"/>
    <col min="106" max="106" width="7" customWidth="1"/>
    <col min="112" max="112" width="10.28515625" bestFit="1" customWidth="1"/>
    <col min="120" max="120" width="9.140625" bestFit="1" customWidth="1"/>
    <col min="121" max="121" width="13.85546875" bestFit="1" customWidth="1"/>
    <col min="122" max="122" width="13" bestFit="1" customWidth="1"/>
    <col min="123" max="123" width="9" bestFit="1" customWidth="1"/>
    <col min="125" max="125" width="13" bestFit="1" customWidth="1"/>
    <col min="126" max="126" width="13.7109375" bestFit="1" customWidth="1"/>
    <col min="127" max="127" width="13.140625" bestFit="1" customWidth="1"/>
    <col min="129" max="129" width="13.7109375" bestFit="1" customWidth="1"/>
  </cols>
  <sheetData>
    <row r="1" spans="1:141" x14ac:dyDescent="0.25">
      <c r="A1" s="8" t="s">
        <v>191</v>
      </c>
      <c r="B1" s="20" t="s">
        <v>244</v>
      </c>
      <c r="D1" s="8" t="s">
        <v>245</v>
      </c>
      <c r="E1" s="20" t="s">
        <v>246</v>
      </c>
      <c r="K1" s="8" t="s">
        <v>71</v>
      </c>
      <c r="L1" s="52">
        <v>1E-10</v>
      </c>
      <c r="M1" s="1" t="s">
        <v>243</v>
      </c>
      <c r="N1" s="1" t="s">
        <v>242</v>
      </c>
      <c r="P1" s="8" t="s">
        <v>142</v>
      </c>
      <c r="Q1" s="4">
        <v>1</v>
      </c>
      <c r="T1" t="s">
        <v>152</v>
      </c>
      <c r="U1" s="4">
        <v>0</v>
      </c>
      <c r="W1" t="s">
        <v>192</v>
      </c>
      <c r="X1" s="4">
        <v>1</v>
      </c>
      <c r="Z1" s="1" t="s">
        <v>212</v>
      </c>
      <c r="AA1" s="4">
        <v>0</v>
      </c>
      <c r="AD1" s="8" t="s">
        <v>247</v>
      </c>
      <c r="AE1" s="1">
        <v>16.53</v>
      </c>
      <c r="AF1" t="s">
        <v>248</v>
      </c>
      <c r="BC1" s="6" t="s">
        <v>111</v>
      </c>
      <c r="BD1" s="6" t="s">
        <v>100</v>
      </c>
      <c r="BE1" s="6" t="s">
        <v>101</v>
      </c>
      <c r="BF1" s="6" t="s">
        <v>112</v>
      </c>
      <c r="BG1" s="6" t="s">
        <v>143</v>
      </c>
      <c r="BH1" s="6" t="s">
        <v>144</v>
      </c>
      <c r="BI1" s="6" t="s">
        <v>145</v>
      </c>
      <c r="BJ1" s="6" t="s">
        <v>210</v>
      </c>
      <c r="BK1" s="6" t="s">
        <v>211</v>
      </c>
      <c r="BW1" s="44" t="s">
        <v>146</v>
      </c>
      <c r="CU1" t="s">
        <v>113</v>
      </c>
      <c r="DC1" t="s">
        <v>136</v>
      </c>
      <c r="DK1" t="s">
        <v>141</v>
      </c>
      <c r="DN1" s="1" t="s">
        <v>218</v>
      </c>
      <c r="DO1">
        <v>1E-10</v>
      </c>
      <c r="DV1" t="s">
        <v>195</v>
      </c>
    </row>
    <row r="2" spans="1:141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75</v>
      </c>
      <c r="M2" s="1">
        <v>304</v>
      </c>
      <c r="N2" s="1">
        <v>13</v>
      </c>
      <c r="O2" s="1">
        <v>1</v>
      </c>
      <c r="AD2" s="8" t="s">
        <v>153</v>
      </c>
      <c r="AE2" s="20">
        <v>360</v>
      </c>
      <c r="BC2">
        <v>0</v>
      </c>
      <c r="BD2">
        <v>301.21467828612936</v>
      </c>
      <c r="BE2">
        <v>47.660000000000046</v>
      </c>
      <c r="BF2" s="6">
        <f t="shared" ref="BF2:BF33" si="0">IF(BC2&lt;&gt;"",IF(AND(BD2=0,BE2=0),0,MOD(ATAN2(BD2,BE2),2*PI())),NA())</f>
        <v>0.15692508633125207</v>
      </c>
      <c r="BG2" s="6">
        <f t="shared" ref="BG2:BG33" si="1">ABS(BC2-BF2)</f>
        <v>0.15692508633125207</v>
      </c>
      <c r="BH2" s="6">
        <f>ATAN2(COS($U$13-BF2),SIN($U$13-BF2))</f>
        <v>-0.44838188080911873</v>
      </c>
      <c r="BI2" s="6">
        <f>ABS(BH2)</f>
        <v>0.44838188080911873</v>
      </c>
      <c r="BJ2">
        <v>334.68297587347706</v>
      </c>
      <c r="BK2">
        <v>52.955555555555605</v>
      </c>
      <c r="BT2">
        <v>0.78539816339744828</v>
      </c>
      <c r="BV2" s="37"/>
      <c r="CU2" s="1" t="s">
        <v>114</v>
      </c>
      <c r="CV2" s="1" t="s">
        <v>33</v>
      </c>
      <c r="CW2" s="1" t="s">
        <v>115</v>
      </c>
      <c r="CX2" s="1" t="s">
        <v>116</v>
      </c>
      <c r="CY2" s="1" t="s">
        <v>117</v>
      </c>
      <c r="CZ2" s="1" t="s">
        <v>118</v>
      </c>
      <c r="DC2" s="1" t="s">
        <v>137</v>
      </c>
      <c r="DD2">
        <v>5.9917285127017195</v>
      </c>
      <c r="DK2" s="1" t="s">
        <v>224</v>
      </c>
      <c r="DL2" s="1" t="s">
        <v>216</v>
      </c>
      <c r="DM2" s="1" t="s">
        <v>217</v>
      </c>
      <c r="DN2" s="1" t="s">
        <v>219</v>
      </c>
      <c r="DO2" s="1" t="s">
        <v>220</v>
      </c>
      <c r="DP2" s="1" t="s">
        <v>221</v>
      </c>
      <c r="DQ2" s="1" t="s">
        <v>222</v>
      </c>
      <c r="DR2" s="1" t="s">
        <v>223</v>
      </c>
    </row>
    <row r="3" spans="1:141" x14ac:dyDescent="0.25">
      <c r="A3" s="8" t="s">
        <v>2</v>
      </c>
      <c r="B3" s="3">
        <f>IF(E1="Density",(POWER(145,1.5)*33*SQRT(1000*B2))/1000,(57000*SQRT(1000*B2))/1000)</f>
        <v>4030.5086527633212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5" t="s">
        <v>78</v>
      </c>
      <c r="U3" s="18">
        <f ca="1">IF(ABS(K72)&lt;0.002,0.65,IF(ABS(K72)&gt;0.005,0.9,0.65+((ABS(K72)-0.002)*(250/3))))</f>
        <v>0.9</v>
      </c>
      <c r="V3" s="15"/>
      <c r="W3" s="29" t="s">
        <v>95</v>
      </c>
      <c r="X3" t="s">
        <v>79</v>
      </c>
      <c r="AA3" t="s">
        <v>110</v>
      </c>
      <c r="BC3">
        <v>1.7453292519943295E-2</v>
      </c>
      <c r="BD3">
        <v>300.76716534255638</v>
      </c>
      <c r="BE3">
        <v>98.93599873313201</v>
      </c>
      <c r="BF3" s="6">
        <f t="shared" si="0"/>
        <v>0.3177962992588852</v>
      </c>
      <c r="BG3" s="6">
        <f t="shared" si="1"/>
        <v>0.30034300673894188</v>
      </c>
      <c r="BH3" s="6">
        <f t="shared" ref="BH3:BH66" si="2">ATAN2(COS($U$13-BF3),SIN($U$13-BF3))</f>
        <v>-0.60925309373675274</v>
      </c>
      <c r="BI3" s="6">
        <f t="shared" ref="BI3:BI66" si="3">ABS(BH3)</f>
        <v>0.60925309373675274</v>
      </c>
      <c r="BJ3">
        <v>334.18573926950711</v>
      </c>
      <c r="BK3">
        <v>109.92888748125779</v>
      </c>
      <c r="BV3" s="37"/>
      <c r="BW3" s="20" t="s">
        <v>241</v>
      </c>
      <c r="CU3">
        <v>7.562524839496616</v>
      </c>
      <c r="CV3">
        <v>4.4209321859068229</v>
      </c>
      <c r="CW3">
        <v>5.9917285127017195</v>
      </c>
      <c r="CX3">
        <v>1.6924280427034291</v>
      </c>
      <c r="CY3">
        <v>-3.0173303707006305</v>
      </c>
      <c r="CZ3">
        <v>-1.1220872572368834</v>
      </c>
      <c r="DC3" s="1" t="s">
        <v>213</v>
      </c>
      <c r="DD3" s="1" t="s">
        <v>214</v>
      </c>
      <c r="DE3" s="1" t="s">
        <v>140</v>
      </c>
      <c r="DF3" s="1" t="s">
        <v>139</v>
      </c>
      <c r="DG3" s="1" t="s">
        <v>138</v>
      </c>
      <c r="DH3" s="1" t="s">
        <v>215</v>
      </c>
      <c r="DK3">
        <v>5.9917285127017195</v>
      </c>
      <c r="DL3">
        <v>0.38124328482067327</v>
      </c>
      <c r="DV3" s="9"/>
      <c r="DW3" s="9" t="str">
        <f t="shared" ref="DW3:DY5" si="4">Z14</f>
        <v>P</v>
      </c>
      <c r="DX3" s="9" t="str">
        <f t="shared" si="4"/>
        <v>Mx</v>
      </c>
      <c r="DY3" s="9" t="str">
        <f t="shared" si="4"/>
        <v>My</v>
      </c>
    </row>
    <row r="4" spans="1:141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6" t="s">
        <v>75</v>
      </c>
      <c r="U4" s="10">
        <f ca="1">U3*IF(B1="PCA_Parabolic",B200,B75)</f>
        <v>9.9999999999685656</v>
      </c>
      <c r="V4" s="16" t="s">
        <v>68</v>
      </c>
      <c r="W4" s="30">
        <f ca="1">U4-U10</f>
        <v>-3.1434410630026832E-11</v>
      </c>
      <c r="X4" cm="1">
        <f t="array" ref="X4">MAX(ABS(E3:F11))+10</f>
        <v>34</v>
      </c>
      <c r="Y4">
        <f>X4</f>
        <v>34</v>
      </c>
      <c r="AA4" t="s">
        <v>8</v>
      </c>
      <c r="AB4" t="s">
        <v>9</v>
      </c>
      <c r="BC4">
        <v>3.4906585039886591E-2</v>
      </c>
      <c r="BD4">
        <v>299.4235352297128</v>
      </c>
      <c r="BE4">
        <v>150.24325245895824</v>
      </c>
      <c r="BF4" s="6">
        <f t="shared" si="0"/>
        <v>0.46506662209204164</v>
      </c>
      <c r="BG4" s="6">
        <f t="shared" si="1"/>
        <v>0.43016003705215505</v>
      </c>
      <c r="BH4" s="6">
        <f t="shared" si="2"/>
        <v>-0.75652341656990907</v>
      </c>
      <c r="BI4" s="6">
        <f t="shared" si="3"/>
        <v>0.75652341656990907</v>
      </c>
      <c r="BJ4">
        <v>332.6928169219031</v>
      </c>
      <c r="BK4">
        <v>166.93694717662027</v>
      </c>
      <c r="BV4" s="37"/>
      <c r="BW4" s="1" t="s">
        <v>100</v>
      </c>
      <c r="BX4" s="1" t="s">
        <v>101</v>
      </c>
      <c r="BY4" s="1" t="s">
        <v>202</v>
      </c>
      <c r="BZ4" s="1" t="s">
        <v>148</v>
      </c>
      <c r="CA4" s="1" t="s">
        <v>149</v>
      </c>
      <c r="CB4" s="1" t="s">
        <v>226</v>
      </c>
      <c r="CD4" s="1" t="s">
        <v>229</v>
      </c>
      <c r="CE4" s="1" t="s">
        <v>233</v>
      </c>
      <c r="CF4" s="1" t="s">
        <v>234</v>
      </c>
      <c r="CG4" s="1" t="s">
        <v>226</v>
      </c>
      <c r="CH4" s="1"/>
      <c r="CI4" s="1"/>
      <c r="CK4" s="1" t="s">
        <v>226</v>
      </c>
      <c r="CU4">
        <v>7.562524839496616</v>
      </c>
      <c r="CV4">
        <v>5.9917285127017195</v>
      </c>
      <c r="CW4">
        <v>6.7771266760991677</v>
      </c>
      <c r="CX4">
        <v>1.6924280427034291</v>
      </c>
      <c r="CY4">
        <v>-1.1220872572368834</v>
      </c>
      <c r="CZ4">
        <v>1.7080081866542365</v>
      </c>
      <c r="DE4">
        <v>5.6104852278810462</v>
      </c>
      <c r="DF4">
        <v>1</v>
      </c>
      <c r="DG4">
        <v>8.9786490342806252E-2</v>
      </c>
      <c r="DH4">
        <v>0.38124328482067327</v>
      </c>
      <c r="DK4">
        <v>5.9917285127017195</v>
      </c>
      <c r="DL4">
        <v>0.38124328482067327</v>
      </c>
      <c r="DM4">
        <v>5.9917285128017195</v>
      </c>
      <c r="DN4">
        <v>0.38124328477718628</v>
      </c>
      <c r="DO4">
        <v>5.9917285126017195</v>
      </c>
      <c r="DP4">
        <v>0.3812432848641612</v>
      </c>
      <c r="DQ4">
        <v>-0.43487463630142997</v>
      </c>
      <c r="DR4">
        <v>0.58521720072938055</v>
      </c>
      <c r="DV4" s="9" t="str">
        <f>Y15</f>
        <v>Max</v>
      </c>
      <c r="DW4" s="9">
        <f t="shared" ca="1" si="4"/>
        <v>1705.7105000000001</v>
      </c>
      <c r="DX4" s="9">
        <f t="shared" ca="1" si="4"/>
        <v>444.51712500000002</v>
      </c>
      <c r="DY4" s="9">
        <f t="shared" ca="1" si="4"/>
        <v>559.02762500000006</v>
      </c>
      <c r="DZ4" s="9"/>
      <c r="EA4" t="s">
        <v>203</v>
      </c>
      <c r="EB4" s="9">
        <f>U10</f>
        <v>10</v>
      </c>
      <c r="EC4" s="9">
        <f>U11</f>
        <v>100</v>
      </c>
      <c r="ED4" s="9">
        <f>U12</f>
        <v>-30</v>
      </c>
      <c r="EF4">
        <f>ATAN2(EC4,ED4)</f>
        <v>-0.2914567944778671</v>
      </c>
      <c r="EG4" s="9">
        <f>SQRT(POWER(EB4,2)+POWER(EC4,2)+POWER(ED4,2))</f>
        <v>104.88088481701516</v>
      </c>
      <c r="EH4">
        <f>EB4/EG4</f>
        <v>9.5346258924559224E-2</v>
      </c>
      <c r="EI4">
        <f>EC4/EG4</f>
        <v>0.95346258924559224</v>
      </c>
      <c r="EJ4">
        <f>ED4/EG4</f>
        <v>-0.28603877677367767</v>
      </c>
      <c r="EK4">
        <v>0</v>
      </c>
    </row>
    <row r="5" spans="1:141" x14ac:dyDescent="0.25">
      <c r="A5" s="8" t="s">
        <v>5</v>
      </c>
      <c r="B5" s="43">
        <v>12</v>
      </c>
      <c r="C5" t="s">
        <v>4</v>
      </c>
      <c r="E5" s="5">
        <f>E4</f>
        <v>12</v>
      </c>
      <c r="F5">
        <f>(B8-B9)</f>
        <v>16</v>
      </c>
      <c r="G5">
        <f t="shared" ref="G5:G11" si="5">((E4*F5)-(E5*F4))*0.5</f>
        <v>96</v>
      </c>
      <c r="T5" s="26" t="s">
        <v>77</v>
      </c>
      <c r="U5" s="10">
        <f ca="1">U3*IF(B1="PCA_Parabolic",B204*(1/12),B79*(1/12))</f>
        <v>298.01357878150418</v>
      </c>
      <c r="V5" s="16" t="s">
        <v>70</v>
      </c>
      <c r="W5" s="74" t="str">
        <f>IF(U11=0,U5,"")</f>
        <v/>
      </c>
      <c r="X5">
        <f>X4</f>
        <v>34</v>
      </c>
      <c r="Y5">
        <f>X5</f>
        <v>34</v>
      </c>
      <c r="AA5">
        <v>0</v>
      </c>
      <c r="AB5">
        <v>0</v>
      </c>
      <c r="BC5">
        <v>5.235987755982989E-2</v>
      </c>
      <c r="BD5">
        <v>297.45611014821992</v>
      </c>
      <c r="BE5">
        <v>195.92029177144141</v>
      </c>
      <c r="BF5" s="6">
        <f t="shared" si="0"/>
        <v>0.58243398384392475</v>
      </c>
      <c r="BG5" s="6">
        <f t="shared" si="1"/>
        <v>0.5300741062840949</v>
      </c>
      <c r="BH5" s="6">
        <f t="shared" si="2"/>
        <v>-0.87389077832179152</v>
      </c>
      <c r="BI5" s="6">
        <f t="shared" si="3"/>
        <v>0.87389077832179152</v>
      </c>
      <c r="BJ5">
        <v>330.50678905357768</v>
      </c>
      <c r="BK5">
        <v>217.68921307937933</v>
      </c>
      <c r="BU5" s="6"/>
      <c r="BV5" s="72" t="s">
        <v>237</v>
      </c>
      <c r="BW5">
        <f ca="1">IF(BW3="parametric",B132,BD365)</f>
        <v>158.45365951084304</v>
      </c>
      <c r="BX5">
        <f ca="1">IF(BW3="parametric",B133,BE365)</f>
        <v>15.26566611621873</v>
      </c>
      <c r="BY5">
        <f ca="1">SQRT(POWER(BW5,2)+POWER(BX5,2))</f>
        <v>159.18731976621143</v>
      </c>
      <c r="BZ5">
        <f ca="1">BW5/BY5</f>
        <v>0.99539121422205068</v>
      </c>
      <c r="CA5">
        <f ca="1">BX5/BY5</f>
        <v>9.5897500747160455E-2</v>
      </c>
      <c r="CB5">
        <f ca="1">ATAN2(BZ5,CA5)</f>
        <v>9.6045096557216825E-2</v>
      </c>
      <c r="CD5" s="1" t="s">
        <v>230</v>
      </c>
      <c r="CE5" s="6">
        <f ca="1">0-BW5</f>
        <v>-158.45365951084304</v>
      </c>
      <c r="CF5" s="6">
        <f ca="1">0-BX5</f>
        <v>-15.26566611621873</v>
      </c>
      <c r="CG5">
        <f ca="1">ATAN2(CE5,CF5)</f>
        <v>-3.0455475570325765</v>
      </c>
      <c r="CH5" s="1"/>
      <c r="CI5" s="6"/>
      <c r="CJ5" s="6"/>
      <c r="CU5">
        <v>6.7771266760991677</v>
      </c>
      <c r="CV5">
        <v>5.9917285127017195</v>
      </c>
      <c r="CW5">
        <v>6.3844275944004441</v>
      </c>
      <c r="CX5">
        <v>1.7080081866542365</v>
      </c>
      <c r="CY5">
        <v>-1.1220872572368834</v>
      </c>
      <c r="CZ5">
        <v>1.9474743557266592</v>
      </c>
      <c r="DC5">
        <v>5.9917285127017195</v>
      </c>
      <c r="DD5">
        <v>5.6104852278810462</v>
      </c>
      <c r="DE5">
        <v>0.69758678919424855</v>
      </c>
      <c r="DF5">
        <v>1.2013156990756935</v>
      </c>
      <c r="DG5">
        <v>0.16653674874439406</v>
      </c>
      <c r="DH5">
        <v>5.2941417235074706</v>
      </c>
      <c r="DK5">
        <v>0.58521720072938055</v>
      </c>
      <c r="DL5">
        <v>-1.2057738517319028</v>
      </c>
      <c r="DM5">
        <v>0.58521720082938056</v>
      </c>
      <c r="DN5">
        <v>-1.2057738517486627</v>
      </c>
      <c r="DO5">
        <v>0.58521720062938054</v>
      </c>
      <c r="DP5">
        <v>-1.2057738517151428</v>
      </c>
      <c r="DQ5">
        <v>-0.16759926779741363</v>
      </c>
      <c r="DR5">
        <v>-0.32598364650661943</v>
      </c>
      <c r="DV5" s="9" t="str">
        <f>Y16</f>
        <v>Min</v>
      </c>
      <c r="DW5" s="9">
        <f t="shared" ca="1" si="4"/>
        <v>-170.64000000000001</v>
      </c>
      <c r="DX5" s="9">
        <f t="shared" ca="1" si="4"/>
        <v>127.98</v>
      </c>
      <c r="DY5" s="9">
        <f t="shared" ca="1" si="4"/>
        <v>-42.660000000000004</v>
      </c>
      <c r="DZ5" s="9"/>
      <c r="EA5" t="s">
        <v>204</v>
      </c>
      <c r="EB5" s="9">
        <f ca="1">U4</f>
        <v>9.9999999999685656</v>
      </c>
      <c r="EC5" s="9">
        <f ca="1">U5</f>
        <v>298.01357878150418</v>
      </c>
      <c r="ED5" s="9">
        <f ca="1">U6</f>
        <v>-89.40407363444929</v>
      </c>
      <c r="EF5">
        <f ca="1">ATAN2(EC5,ED5)</f>
        <v>-0.29145679447786105</v>
      </c>
      <c r="EG5" s="9">
        <f t="shared" ref="EG5:EG6" ca="1" si="6">SQRT(POWER(EB5,2)+POWER(EC5,2)+POWER(ED5,2))</f>
        <v>311.29597093536756</v>
      </c>
      <c r="EH5">
        <f t="shared" ref="EH5:EH6" ca="1" si="7">EB5/EG5</f>
        <v>3.2123769446552854E-2</v>
      </c>
      <c r="EI5">
        <f t="shared" ref="EI5:EI6" ca="1" si="8">EC5/EG5</f>
        <v>0.95733194967492485</v>
      </c>
      <c r="EJ5">
        <f t="shared" ref="EJ5:EJ6" ca="1" si="9">ED5/EG5</f>
        <v>-0.28719958490247116</v>
      </c>
      <c r="EK5">
        <v>0</v>
      </c>
    </row>
    <row r="6" spans="1:141" x14ac:dyDescent="0.25">
      <c r="A6" s="8" t="s">
        <v>92</v>
      </c>
      <c r="B6" s="43">
        <v>24</v>
      </c>
      <c r="C6" t="s">
        <v>4</v>
      </c>
      <c r="E6" s="5">
        <f>B7+B5</f>
        <v>24</v>
      </c>
      <c r="F6">
        <f>F5</f>
        <v>16</v>
      </c>
      <c r="G6">
        <f t="shared" si="5"/>
        <v>-96</v>
      </c>
      <c r="T6" s="26" t="s">
        <v>76</v>
      </c>
      <c r="U6" s="10">
        <f ca="1">U3*IF(B1="PCA_Parabolic",B205*(1/12),B80*(1/12))</f>
        <v>-89.40407363444929</v>
      </c>
      <c r="V6" s="16" t="s">
        <v>70</v>
      </c>
      <c r="W6" s="74" t="str">
        <f>IF(U12=0,U6,"")</f>
        <v/>
      </c>
      <c r="X6">
        <f>IF(B6=0,0,-1*X5)</f>
        <v>-34</v>
      </c>
      <c r="Y6">
        <f>IF(B6=0,0,Y5)</f>
        <v>34</v>
      </c>
      <c r="AA6">
        <f>U14</f>
        <v>104.4030650891055</v>
      </c>
      <c r="AB6">
        <f>U10</f>
        <v>10</v>
      </c>
      <c r="BC6">
        <v>6.9813170079773182E-2</v>
      </c>
      <c r="BD6">
        <v>295.7244601308347</v>
      </c>
      <c r="BE6">
        <v>224.52518813094625</v>
      </c>
      <c r="BF6" s="6">
        <f t="shared" si="0"/>
        <v>0.64938713221173316</v>
      </c>
      <c r="BG6" s="6">
        <f t="shared" si="1"/>
        <v>0.57957396213196</v>
      </c>
      <c r="BH6" s="6">
        <f t="shared" si="2"/>
        <v>-0.94084392668960015</v>
      </c>
      <c r="BI6" s="6">
        <f t="shared" si="3"/>
        <v>0.94084392668960015</v>
      </c>
      <c r="BJ6">
        <v>328.58273347870522</v>
      </c>
      <c r="BK6">
        <v>249.47243125660694</v>
      </c>
      <c r="BV6" s="37" t="s">
        <v>227</v>
      </c>
      <c r="BW6" s="9">
        <f>U11</f>
        <v>100</v>
      </c>
      <c r="BX6" s="9">
        <f>U12</f>
        <v>-30</v>
      </c>
      <c r="BY6">
        <f t="shared" ref="BY6:BY7" si="10">SQRT(POWER(BW6,2)+POWER(BX6,2))</f>
        <v>104.4030650891055</v>
      </c>
      <c r="BZ6">
        <f t="shared" ref="BZ6:BZ7" si="11">BW6/BY6</f>
        <v>0.95782628522115143</v>
      </c>
      <c r="CA6">
        <f t="shared" ref="CA6:CA7" si="12">BX6/BY6</f>
        <v>-0.28734788556634544</v>
      </c>
      <c r="CB6">
        <f t="shared" ref="CB6:CB7" si="13">ATAN2(BZ6,CA6)</f>
        <v>-0.2914567944778671</v>
      </c>
      <c r="CD6" s="1" t="s">
        <v>231</v>
      </c>
      <c r="CE6" s="6">
        <f>BW6-0</f>
        <v>100</v>
      </c>
      <c r="CF6" s="6">
        <f>BX6-0</f>
        <v>-30</v>
      </c>
      <c r="CG6">
        <f t="shared" ref="CG6:CG8" si="14">ATAN2(CE6,CF6)</f>
        <v>-0.2914567944778671</v>
      </c>
      <c r="CH6" s="1" t="s">
        <v>236</v>
      </c>
      <c r="CI6" s="6">
        <f ca="1">BW7</f>
        <v>298.01357878150418</v>
      </c>
      <c r="CJ6" s="6">
        <f ca="1">BX7</f>
        <v>-89.40407363444929</v>
      </c>
      <c r="CK6">
        <f ca="1">ATAN2(CI6,CJ6)</f>
        <v>-0.29145679447786105</v>
      </c>
      <c r="CU6">
        <v>6.3844275944004441</v>
      </c>
      <c r="CV6">
        <v>5.9917285127017195</v>
      </c>
      <c r="CW6">
        <v>6.1880780535510818</v>
      </c>
      <c r="CX6">
        <v>1.9474743557266592</v>
      </c>
      <c r="CY6">
        <v>-1.1220872572368834</v>
      </c>
      <c r="CZ6">
        <v>-0.39436900495102012</v>
      </c>
      <c r="DC6">
        <v>8.9786490342806252E-2</v>
      </c>
      <c r="DD6">
        <v>0.69758678919424855</v>
      </c>
      <c r="DE6">
        <v>0.78776557835206718</v>
      </c>
      <c r="DF6">
        <v>0.85108991946287904</v>
      </c>
      <c r="DG6">
        <v>-1.6876081637517393</v>
      </c>
      <c r="DH6">
        <v>5.2039629343496525</v>
      </c>
      <c r="DK6">
        <v>-0.32598364650661943</v>
      </c>
      <c r="DL6">
        <v>0.39520411038705916</v>
      </c>
      <c r="DM6">
        <v>-0.32598364640661942</v>
      </c>
      <c r="DN6">
        <v>0.39520411034938441</v>
      </c>
      <c r="DO6">
        <v>-0.32598364660661944</v>
      </c>
      <c r="DP6">
        <v>0.39520411042473386</v>
      </c>
      <c r="DQ6">
        <v>-0.37674724451264296</v>
      </c>
      <c r="DR6">
        <v>0.72300640224155865</v>
      </c>
      <c r="DZ6" s="9"/>
      <c r="EA6" t="s">
        <v>207</v>
      </c>
      <c r="EB6" s="9">
        <f ca="1">EB5</f>
        <v>9.9999999999685656</v>
      </c>
      <c r="EC6" s="9">
        <f>EC4+5</f>
        <v>105</v>
      </c>
      <c r="ED6" s="9">
        <f>ED4+5</f>
        <v>-25</v>
      </c>
      <c r="EF6">
        <f>ATAN2(EC6,ED6)</f>
        <v>-0.23374318086890142</v>
      </c>
      <c r="EG6" s="9">
        <f t="shared" ca="1" si="6"/>
        <v>108.39741694339109</v>
      </c>
      <c r="EH6">
        <f t="shared" ca="1" si="7"/>
        <v>9.2253120802600994E-2</v>
      </c>
      <c r="EI6">
        <f t="shared" ca="1" si="8"/>
        <v>0.96865776843035534</v>
      </c>
      <c r="EJ6">
        <f t="shared" ca="1" si="9"/>
        <v>-0.23063280200722744</v>
      </c>
      <c r="EK6">
        <v>0</v>
      </c>
    </row>
    <row r="7" spans="1:141" ht="15.75" thickBot="1" x14ac:dyDescent="0.3">
      <c r="A7" s="8" t="s">
        <v>91</v>
      </c>
      <c r="B7" s="43">
        <v>12</v>
      </c>
      <c r="C7" t="s">
        <v>4</v>
      </c>
      <c r="E7" s="5">
        <f>E6</f>
        <v>24</v>
      </c>
      <c r="F7">
        <f>B8</f>
        <v>24</v>
      </c>
      <c r="G7">
        <f t="shared" si="5"/>
        <v>96</v>
      </c>
      <c r="T7" s="27" t="s">
        <v>96</v>
      </c>
      <c r="U7" s="28">
        <f ca="1">IF(AND(U5=0,U6=0),0,MOD(ATAN2(U5,U6),2*PI()))</f>
        <v>5.9917285127017248</v>
      </c>
      <c r="V7" s="17" t="s">
        <v>97</v>
      </c>
      <c r="W7" s="31">
        <f ca="1">IF((U13-U7)=0,0,ATAN2(COS(U13-U7),SIN(U13-U7)))</f>
        <v>-5.3290705182007514E-15</v>
      </c>
      <c r="X7" s="37">
        <f ca="1">U7+2*PI()</f>
        <v>12.274913819881311</v>
      </c>
      <c r="AA7">
        <f ca="1">U8</f>
        <v>311.13531062962591</v>
      </c>
      <c r="AB7" s="9">
        <f ca="1">U4</f>
        <v>9.9999999999685656</v>
      </c>
      <c r="AE7" s="48"/>
      <c r="AF7" s="48"/>
      <c r="BC7">
        <v>8.7266462599716474E-2</v>
      </c>
      <c r="BD7">
        <v>294.19573955750525</v>
      </c>
      <c r="BE7">
        <v>244.06994871363494</v>
      </c>
      <c r="BF7" s="6">
        <f t="shared" si="0"/>
        <v>0.69254134374669252</v>
      </c>
      <c r="BG7" s="6">
        <f t="shared" si="1"/>
        <v>0.60527488114697603</v>
      </c>
      <c r="BH7" s="6">
        <f t="shared" si="2"/>
        <v>-0.98399813822455973</v>
      </c>
      <c r="BI7" s="6">
        <f t="shared" si="3"/>
        <v>0.98399813822455973</v>
      </c>
      <c r="BJ7">
        <v>326.8841550638947</v>
      </c>
      <c r="BK7">
        <v>271.18883190403881</v>
      </c>
      <c r="BV7" s="37" t="s">
        <v>228</v>
      </c>
      <c r="BW7" s="9">
        <f ca="1">U5</f>
        <v>298.01357878150418</v>
      </c>
      <c r="BX7" s="9">
        <f ca="1">U6</f>
        <v>-89.40407363444929</v>
      </c>
      <c r="BY7">
        <f t="shared" ca="1" si="10"/>
        <v>311.13531062962591</v>
      </c>
      <c r="BZ7">
        <f t="shared" ca="1" si="11"/>
        <v>0.95782628522115321</v>
      </c>
      <c r="CA7">
        <f t="shared" ca="1" si="12"/>
        <v>-0.28734788556633967</v>
      </c>
      <c r="CB7">
        <f t="shared" ca="1" si="13"/>
        <v>-0.29145679447786105</v>
      </c>
      <c r="CD7" s="1" t="s">
        <v>232</v>
      </c>
      <c r="CE7" s="6">
        <f ca="1">BW6-BW5</f>
        <v>-58.453659510843039</v>
      </c>
      <c r="CF7" s="6">
        <f ca="1">BX6-BX5</f>
        <v>-45.265666116218732</v>
      </c>
      <c r="CG7">
        <f t="shared" ca="1" si="14"/>
        <v>-2.4826666145020693</v>
      </c>
      <c r="CH7" s="1" t="s">
        <v>235</v>
      </c>
      <c r="CI7" s="6">
        <f ca="1">BW7-BW5</f>
        <v>139.55991927066114</v>
      </c>
      <c r="CJ7" s="6">
        <f ca="1">BX7-BX5</f>
        <v>-104.66973975066801</v>
      </c>
      <c r="CK7">
        <f t="shared" ref="CK7:CK10" ca="1" si="15">ATAN2(CI7,CJ7)</f>
        <v>-0.64350019298895977</v>
      </c>
      <c r="CU7">
        <v>6.3844275944004441</v>
      </c>
      <c r="CV7">
        <v>6.1880780535510818</v>
      </c>
      <c r="CW7">
        <v>6.2862528239757633</v>
      </c>
      <c r="CX7">
        <v>1.9474743557266592</v>
      </c>
      <c r="CY7">
        <v>-0.39436900495102012</v>
      </c>
      <c r="CZ7">
        <v>1.7672151307192503</v>
      </c>
      <c r="DC7">
        <v>0.16653674874439406</v>
      </c>
      <c r="DD7">
        <v>0.78776557835206718</v>
      </c>
      <c r="DE7">
        <v>5.4544952422287762</v>
      </c>
      <c r="DF7">
        <v>-0.3973114034970418</v>
      </c>
      <c r="DG7">
        <v>-1.9010570684486501</v>
      </c>
      <c r="DH7">
        <v>0.53723327047294323</v>
      </c>
      <c r="DK7">
        <v>0.72300640224155865</v>
      </c>
      <c r="DL7">
        <v>-1.2241922173664446</v>
      </c>
      <c r="DM7">
        <v>0.72300640234155866</v>
      </c>
      <c r="DN7">
        <v>-1.2241922173768132</v>
      </c>
      <c r="DO7">
        <v>0.72300640214155865</v>
      </c>
      <c r="DP7">
        <v>-1.224192217356076</v>
      </c>
      <c r="DQ7">
        <v>-0.10368594871579262</v>
      </c>
      <c r="DR7">
        <v>1.4826449325648814</v>
      </c>
      <c r="DV7" t="s">
        <v>196</v>
      </c>
    </row>
    <row r="8" spans="1:141" ht="15.75" thickBot="1" x14ac:dyDescent="0.3">
      <c r="A8" s="8" t="s">
        <v>6</v>
      </c>
      <c r="B8" s="7">
        <v>24</v>
      </c>
      <c r="C8" t="s">
        <v>4</v>
      </c>
      <c r="E8" s="5">
        <f>E7-(B7+B6+B5)</f>
        <v>-24</v>
      </c>
      <c r="F8">
        <f>F7</f>
        <v>24</v>
      </c>
      <c r="G8">
        <f t="shared" si="5"/>
        <v>576</v>
      </c>
      <c r="T8" s="35" t="s">
        <v>109</v>
      </c>
      <c r="U8" s="6">
        <f ca="1">SQRT(POWER(U5,2)+POWER(U6,2))</f>
        <v>311.13531062962591</v>
      </c>
      <c r="V8" s="39" t="s">
        <v>70</v>
      </c>
      <c r="W8" s="73" t="str">
        <f ca="1">IF((ABS(ABS(W7)-PI()))/10&lt;=L1,"ALT SOLUTION","")</f>
        <v/>
      </c>
      <c r="X8">
        <f ca="1">DEGREES(U7)</f>
        <v>343.30075576600672</v>
      </c>
      <c r="Y8" s="49">
        <f ca="1">DEGREES(W7)</f>
        <v>-3.0533324942049761E-13</v>
      </c>
      <c r="AE8" s="6" t="s">
        <v>8</v>
      </c>
      <c r="AF8" s="6" t="s">
        <v>9</v>
      </c>
      <c r="BC8">
        <v>0.10471975511965977</v>
      </c>
      <c r="BD8">
        <v>292.81014916107813</v>
      </c>
      <c r="BE8">
        <v>258.51931715160043</v>
      </c>
      <c r="BF8" s="6">
        <f t="shared" si="0"/>
        <v>0.72328155375772141</v>
      </c>
      <c r="BG8" s="6">
        <f t="shared" si="1"/>
        <v>0.6185617986380616</v>
      </c>
      <c r="BH8" s="6">
        <f t="shared" si="2"/>
        <v>-1.0147383482355885</v>
      </c>
      <c r="BI8" s="6">
        <f t="shared" si="3"/>
        <v>1.0147383482355885</v>
      </c>
      <c r="BJ8">
        <v>325.3446101789757</v>
      </c>
      <c r="BK8">
        <v>287.2436857240005</v>
      </c>
      <c r="BV8" s="37"/>
      <c r="BW8" s="1"/>
      <c r="BX8" s="1"/>
      <c r="BY8" s="1"/>
      <c r="BZ8" s="1"/>
      <c r="CA8" s="1"/>
      <c r="CB8" s="1"/>
      <c r="CC8" s="1"/>
      <c r="CD8" s="1" t="str">
        <f>"GU-G0"</f>
        <v>GU-G0</v>
      </c>
      <c r="CE8" s="6">
        <f ca="1">CE7-CE5</f>
        <v>100</v>
      </c>
      <c r="CF8" s="6">
        <f ca="1">CF7-CF5</f>
        <v>-30</v>
      </c>
      <c r="CG8">
        <f t="shared" ca="1" si="14"/>
        <v>-0.2914567944778671</v>
      </c>
      <c r="CH8" s="1" t="s">
        <v>238</v>
      </c>
      <c r="CI8" s="6">
        <f ca="1">CI7-CE7</f>
        <v>198.01357878150418</v>
      </c>
      <c r="CJ8" s="6">
        <f ca="1">CJ7-CF7</f>
        <v>-59.404073634449283</v>
      </c>
      <c r="CK8">
        <f t="shared" ca="1" si="15"/>
        <v>-0.29145679447785794</v>
      </c>
      <c r="CL8" s="6">
        <f ca="1">ATAN2(COS($CG$8-CK8),SIN($CG$8-CK8))</f>
        <v>-9.1593399531575415E-15</v>
      </c>
      <c r="CN8" s="1"/>
      <c r="CO8" s="1"/>
      <c r="CP8" s="1"/>
      <c r="CQ8" s="1"/>
      <c r="CU8">
        <v>6.2862528239757633</v>
      </c>
      <c r="CV8">
        <v>6.1880780535510818</v>
      </c>
      <c r="CW8">
        <v>6.237165438763423</v>
      </c>
      <c r="CX8">
        <v>1.7672151307192503</v>
      </c>
      <c r="CY8">
        <v>-0.39436900495102012</v>
      </c>
      <c r="CZ8">
        <v>0.66793264532330787</v>
      </c>
      <c r="DC8">
        <v>-1.6876081637517393</v>
      </c>
      <c r="DD8">
        <v>5.4544952422287762</v>
      </c>
      <c r="DE8">
        <v>5.4412108245418258</v>
      </c>
      <c r="DF8">
        <v>16.067614684126216</v>
      </c>
      <c r="DG8">
        <v>0.6612637145208875</v>
      </c>
      <c r="DH8">
        <v>0.55051768815989366</v>
      </c>
      <c r="DK8">
        <v>1.4826449325648814</v>
      </c>
      <c r="DL8">
        <v>-1.261745683742735</v>
      </c>
      <c r="DM8">
        <v>1.4826449326648814</v>
      </c>
      <c r="DN8">
        <v>-1.2617456837454502</v>
      </c>
      <c r="DO8">
        <v>1.4826449324648814</v>
      </c>
      <c r="DP8">
        <v>-1.2617456837400207</v>
      </c>
      <c r="DQ8">
        <v>-2.7147173398134328E-2</v>
      </c>
      <c r="DR8">
        <v>-1.0130342883551204</v>
      </c>
      <c r="DW8" s="9">
        <f ca="1">DW5</f>
        <v>-170.64000000000001</v>
      </c>
      <c r="DX8" s="9">
        <f ca="1">DX5</f>
        <v>127.98</v>
      </c>
      <c r="DY8" s="9">
        <f ca="1">DY5</f>
        <v>-42.660000000000004</v>
      </c>
    </row>
    <row r="9" spans="1:141" x14ac:dyDescent="0.25">
      <c r="A9" s="8" t="s">
        <v>7</v>
      </c>
      <c r="B9" s="7">
        <v>8</v>
      </c>
      <c r="C9" t="s">
        <v>4</v>
      </c>
      <c r="E9" s="5">
        <f>E8</f>
        <v>-24</v>
      </c>
      <c r="F9">
        <f>F6</f>
        <v>16</v>
      </c>
      <c r="G9">
        <f t="shared" si="5"/>
        <v>96</v>
      </c>
      <c r="T9" s="33" t="s">
        <v>98</v>
      </c>
      <c r="U9" s="34"/>
      <c r="V9" s="15"/>
      <c r="Y9" s="37"/>
      <c r="AA9" s="9">
        <f ca="1">U5-U11</f>
        <v>198.01357878150418</v>
      </c>
      <c r="AB9" s="9">
        <f ca="1">U6-U12</f>
        <v>-59.40407363444929</v>
      </c>
      <c r="AC9" s="9">
        <f ca="1">AA9+AB9</f>
        <v>138.6095051470549</v>
      </c>
      <c r="AE9" s="6">
        <v>0</v>
      </c>
      <c r="AF9" s="6">
        <v>0</v>
      </c>
      <c r="BC9">
        <v>0.12217304763960306</v>
      </c>
      <c r="BD9">
        <v>291.53206651236343</v>
      </c>
      <c r="BE9">
        <v>269.76994993849956</v>
      </c>
      <c r="BF9" s="6">
        <f t="shared" si="0"/>
        <v>0.7466467930432481</v>
      </c>
      <c r="BG9" s="6">
        <f t="shared" si="1"/>
        <v>0.62447374540364509</v>
      </c>
      <c r="BH9" s="6">
        <f t="shared" si="2"/>
        <v>-1.0381035875211151</v>
      </c>
      <c r="BI9" s="6">
        <f t="shared" si="3"/>
        <v>1.0381035875211151</v>
      </c>
      <c r="BJ9">
        <v>323.92451834707049</v>
      </c>
      <c r="BK9">
        <v>299.74438882055506</v>
      </c>
      <c r="BV9" s="37"/>
      <c r="BW9" s="6"/>
      <c r="BX9" s="6"/>
      <c r="BY9" s="1"/>
      <c r="CD9" s="6"/>
      <c r="CF9" s="9"/>
      <c r="CH9" s="1" t="s">
        <v>239</v>
      </c>
      <c r="CI9" s="6">
        <f ca="1">BW7-BW6</f>
        <v>198.01357878150418</v>
      </c>
      <c r="CJ9" s="6">
        <f ca="1">BX7-BX6</f>
        <v>-59.40407363444929</v>
      </c>
      <c r="CK9">
        <f t="shared" ca="1" si="15"/>
        <v>-0.29145679447785799</v>
      </c>
      <c r="CL9" s="1"/>
      <c r="CM9" s="9"/>
      <c r="CR9" s="37"/>
      <c r="CU9">
        <v>6.237165438763423</v>
      </c>
      <c r="CV9">
        <v>6.1880780535510818</v>
      </c>
      <c r="CW9">
        <v>6.2126217461572519</v>
      </c>
      <c r="CX9">
        <v>0.66793264532330787</v>
      </c>
      <c r="CY9">
        <v>-0.39436900495102012</v>
      </c>
      <c r="CZ9">
        <v>1.9239647559893269E-3</v>
      </c>
      <c r="DC9">
        <v>-1.9010570684486501</v>
      </c>
      <c r="DD9">
        <v>5.4412108245418258</v>
      </c>
      <c r="DE9">
        <v>0.92561920832927613</v>
      </c>
      <c r="DF9">
        <v>-0.56743855528695553</v>
      </c>
      <c r="DG9">
        <v>-2.2134420300780149</v>
      </c>
      <c r="DH9">
        <v>5.0661093043724437</v>
      </c>
      <c r="DK9">
        <v>-1.0130342883551204</v>
      </c>
      <c r="DL9">
        <v>0.51237692291332859</v>
      </c>
      <c r="DM9">
        <v>-1.0130342882551204</v>
      </c>
      <c r="DN9">
        <v>0.51237692290744441</v>
      </c>
      <c r="DO9">
        <v>-1.0130342884551204</v>
      </c>
      <c r="DP9">
        <v>0.51237692291921277</v>
      </c>
      <c r="DQ9">
        <v>-5.8841820305133297E-2</v>
      </c>
      <c r="DR9">
        <v>1.4114804765623041</v>
      </c>
      <c r="DW9" s="9" t="s">
        <v>200</v>
      </c>
      <c r="DX9" s="9" t="s">
        <v>8</v>
      </c>
      <c r="DY9" s="9" t="s">
        <v>9</v>
      </c>
      <c r="DZ9" s="9" t="s">
        <v>202</v>
      </c>
    </row>
    <row r="10" spans="1:141" x14ac:dyDescent="0.25">
      <c r="E10">
        <v>0</v>
      </c>
      <c r="F10">
        <f>F9</f>
        <v>16</v>
      </c>
      <c r="G10">
        <f t="shared" si="5"/>
        <v>-192</v>
      </c>
      <c r="T10" s="35" t="s">
        <v>99</v>
      </c>
      <c r="U10" s="46">
        <v>10</v>
      </c>
      <c r="V10" s="16" t="s">
        <v>68</v>
      </c>
      <c r="W10" t="str">
        <f>"+ Compression"</f>
        <v>+ Compression</v>
      </c>
      <c r="AE10" s="6">
        <f>U11</f>
        <v>100</v>
      </c>
      <c r="AF10" s="6">
        <f>U12</f>
        <v>-30</v>
      </c>
      <c r="BC10">
        <v>0.13962634015954636</v>
      </c>
      <c r="BD10">
        <v>290.33820105404067</v>
      </c>
      <c r="BE10">
        <v>278.85824130920389</v>
      </c>
      <c r="BF10" s="6">
        <f t="shared" si="0"/>
        <v>0.76523218435074492</v>
      </c>
      <c r="BG10" s="6">
        <f t="shared" si="1"/>
        <v>0.62560584419119858</v>
      </c>
      <c r="BH10" s="6">
        <f t="shared" si="2"/>
        <v>-1.0566889788286116</v>
      </c>
      <c r="BI10" s="6">
        <f t="shared" si="3"/>
        <v>1.0566889788286116</v>
      </c>
      <c r="BJ10">
        <v>322.59800117115628</v>
      </c>
      <c r="BK10">
        <v>309.84249034355986</v>
      </c>
      <c r="BU10" s="9"/>
      <c r="BV10" s="37"/>
      <c r="BW10" s="9"/>
      <c r="BX10" s="6"/>
      <c r="BY10" s="1"/>
      <c r="CD10" s="1"/>
      <c r="CE10" s="1"/>
      <c r="CH10" s="38" t="s">
        <v>240</v>
      </c>
      <c r="CI10" s="6">
        <f ca="1">CI7-CE5</f>
        <v>298.01357878150418</v>
      </c>
      <c r="CJ10" s="6">
        <f ca="1">CJ7-CF5</f>
        <v>-89.40407363444929</v>
      </c>
      <c r="CK10">
        <f t="shared" ca="1" si="15"/>
        <v>-0.29145679447786105</v>
      </c>
      <c r="CL10" s="1"/>
      <c r="CU10">
        <v>6.2126217461572519</v>
      </c>
      <c r="CV10">
        <v>6.1880780535510818</v>
      </c>
      <c r="CW10">
        <v>6.2003498998541673</v>
      </c>
      <c r="CX10">
        <v>1.9239647559893269E-3</v>
      </c>
      <c r="CY10">
        <v>-0.39436900495102012</v>
      </c>
      <c r="CZ10">
        <v>-0.22614128661057664</v>
      </c>
      <c r="DC10">
        <v>0.6612637145208875</v>
      </c>
      <c r="DD10">
        <v>0.92561920832927613</v>
      </c>
      <c r="DE10">
        <v>5.1830686213824562</v>
      </c>
      <c r="DF10">
        <v>-0.67521782778796213</v>
      </c>
      <c r="DG10">
        <v>-2.7594636053138575</v>
      </c>
      <c r="DH10">
        <v>0.8086598913192633</v>
      </c>
      <c r="DK10">
        <v>1.4114804765623041</v>
      </c>
      <c r="DL10">
        <v>-1.2597546747955335</v>
      </c>
      <c r="DM10">
        <v>1.4114804766623041</v>
      </c>
      <c r="DN10">
        <v>-1.2597546747984201</v>
      </c>
      <c r="DO10">
        <v>1.4114804764623041</v>
      </c>
      <c r="DP10">
        <v>-1.2597546747926469</v>
      </c>
      <c r="DQ10">
        <v>-2.886579864025407E-2</v>
      </c>
      <c r="DR10">
        <v>1.7520031346086016</v>
      </c>
      <c r="DV10" t="s">
        <v>193</v>
      </c>
      <c r="DW10" s="9">
        <f ca="1">DW4-$DW$8</f>
        <v>1876.3505000000002</v>
      </c>
      <c r="DX10" s="9">
        <f ca="1">DX4-$DX$8</f>
        <v>316.537125</v>
      </c>
      <c r="DY10" s="9">
        <f ca="1">DY4-$DY$8</f>
        <v>601.68762500000003</v>
      </c>
      <c r="DZ10" s="9">
        <v>0</v>
      </c>
      <c r="EB10" s="9">
        <f ca="1">EB4-$DW$8</f>
        <v>180.64000000000001</v>
      </c>
      <c r="EC10" s="9">
        <f ca="1">EC4-$DX$8</f>
        <v>-27.980000000000004</v>
      </c>
      <c r="ED10" s="9">
        <f ca="1">ED4-$DY$8</f>
        <v>12.660000000000004</v>
      </c>
      <c r="EE10" s="9">
        <v>0</v>
      </c>
      <c r="EF10">
        <f ca="1">ATAN2(EC10,ED10)</f>
        <v>2.7166898542362952</v>
      </c>
      <c r="EG10" s="9">
        <f ca="1">SQRT(POWER(EB10,2)+POWER(EC10,2)+POWER(ED10,2))</f>
        <v>183.23199938875305</v>
      </c>
      <c r="EH10">
        <f ca="1">EB10/EG10</f>
        <v>0.98585400259016032</v>
      </c>
      <c r="EI10">
        <f ca="1">EC10/EG10</f>
        <v>-0.15270258521076555</v>
      </c>
      <c r="EJ10">
        <f ca="1">ED10/EG10</f>
        <v>6.9092735123956112E-2</v>
      </c>
      <c r="EK10">
        <v>0</v>
      </c>
    </row>
    <row r="11" spans="1:141" x14ac:dyDescent="0.25">
      <c r="A11" t="s">
        <v>10</v>
      </c>
      <c r="E11">
        <v>0</v>
      </c>
      <c r="F11">
        <v>0</v>
      </c>
      <c r="G11">
        <f t="shared" si="5"/>
        <v>0</v>
      </c>
      <c r="T11" s="35" t="s">
        <v>100</v>
      </c>
      <c r="U11" s="46">
        <v>100</v>
      </c>
      <c r="V11" s="16" t="s">
        <v>70</v>
      </c>
      <c r="W11" t="str">
        <f>"+ Puts Top of Section in Compression"</f>
        <v>+ Puts Top of Section in Compression</v>
      </c>
      <c r="AE11" s="6">
        <f ca="1">U5</f>
        <v>298.01357878150418</v>
      </c>
      <c r="AF11" s="6">
        <f ca="1">U6</f>
        <v>-89.40407363444929</v>
      </c>
      <c r="BC11">
        <v>0.15707963267948966</v>
      </c>
      <c r="BD11">
        <v>289.2123066588361</v>
      </c>
      <c r="BE11">
        <v>286.40464677087823</v>
      </c>
      <c r="BF11" s="6">
        <f t="shared" si="0"/>
        <v>0.78052054885639066</v>
      </c>
      <c r="BG11" s="6">
        <f t="shared" si="1"/>
        <v>0.62344091617690101</v>
      </c>
      <c r="BH11" s="6">
        <f t="shared" si="2"/>
        <v>-1.0719773433342576</v>
      </c>
      <c r="BI11" s="6">
        <f t="shared" si="3"/>
        <v>1.0719773433342576</v>
      </c>
      <c r="BJ11">
        <v>321.34700739870675</v>
      </c>
      <c r="BK11">
        <v>318.22738530097581</v>
      </c>
      <c r="BV11" s="37"/>
      <c r="BW11" s="6"/>
      <c r="BX11" s="1"/>
      <c r="BY11" s="1"/>
      <c r="CC11" s="1"/>
      <c r="CD11" s="1"/>
      <c r="CE11" s="1"/>
      <c r="CF11" s="9"/>
      <c r="CH11" s="38"/>
      <c r="CI11" s="1"/>
      <c r="CK11" s="38">
        <f ca="1">ATAN2(COS(CK9-CK10),SIN(CK9-CK10))*10</f>
        <v>3.0531133177191805E-14</v>
      </c>
      <c r="CL11" s="1"/>
      <c r="CM11" s="37"/>
      <c r="CU11">
        <v>6.2126217461572519</v>
      </c>
      <c r="CV11">
        <v>6.2003498998541673</v>
      </c>
      <c r="CW11">
        <v>6.2064858230057096</v>
      </c>
      <c r="CX11">
        <v>1.9239647559893269E-3</v>
      </c>
      <c r="CY11">
        <v>-0.22614128661057664</v>
      </c>
      <c r="CZ11">
        <v>-0.12119371654769671</v>
      </c>
      <c r="DC11">
        <v>-2.2134420300780149</v>
      </c>
      <c r="DD11">
        <v>5.1830686213824562</v>
      </c>
      <c r="DE11">
        <v>4.0992453416731962</v>
      </c>
      <c r="DF11">
        <v>0.50379207151032512</v>
      </c>
      <c r="DG11">
        <v>-1.8060455882829687</v>
      </c>
      <c r="DH11">
        <v>1.8924831710285233</v>
      </c>
      <c r="DK11">
        <v>1.7520031346086016</v>
      </c>
      <c r="DL11">
        <v>-1.2684543236242851</v>
      </c>
      <c r="DM11">
        <v>1.7520031347086016</v>
      </c>
      <c r="DN11">
        <v>-1.2684543236266086</v>
      </c>
      <c r="DO11">
        <v>1.7520031345086016</v>
      </c>
      <c r="DP11">
        <v>-1.2684543236219625</v>
      </c>
      <c r="DQ11">
        <v>-2.3230306567256775E-2</v>
      </c>
      <c r="DR11">
        <v>-2.5859403227972333</v>
      </c>
      <c r="DV11" t="s">
        <v>194</v>
      </c>
      <c r="DW11" s="9">
        <f ca="1">DW5-$DW$8</f>
        <v>0</v>
      </c>
      <c r="DX11" s="9">
        <f ca="1">DX5-$DX$8</f>
        <v>0</v>
      </c>
      <c r="DY11" s="9">
        <f ca="1">DY5-$DY$8</f>
        <v>0</v>
      </c>
      <c r="DZ11" s="9">
        <v>0</v>
      </c>
      <c r="EB11" s="9">
        <f ca="1">EB5-$DW$8</f>
        <v>180.63999999996858</v>
      </c>
      <c r="EC11" s="9">
        <f ca="1">EC5-$DX$8</f>
        <v>170.03357878150416</v>
      </c>
      <c r="ED11" s="9">
        <f ca="1">ED5-$DY$8</f>
        <v>-46.744073634449286</v>
      </c>
      <c r="EE11" s="9">
        <v>0</v>
      </c>
      <c r="EF11">
        <f ca="1">ATAN2(EC11,ED11)</f>
        <v>-0.26828331583389042</v>
      </c>
      <c r="EG11" s="9">
        <f t="shared" ref="EG11:EG12" ca="1" si="16">SQRT(POWER(EB11,2)+POWER(EC11,2)+POWER(ED11,2))</f>
        <v>252.44253986437676</v>
      </c>
      <c r="EH11">
        <f t="shared" ref="EH11:EH12" ca="1" si="17">EB11/EG11</f>
        <v>0.71556877892694448</v>
      </c>
      <c r="EI11">
        <f t="shared" ref="EI11:EI12" ca="1" si="18">EC11/EG11</f>
        <v>0.67355358915677876</v>
      </c>
      <c r="EJ11">
        <f t="shared" ref="EJ11:EJ12" ca="1" si="19">ED11/EG11</f>
        <v>-0.18516718164681065</v>
      </c>
      <c r="EK11">
        <v>0</v>
      </c>
    </row>
    <row r="12" spans="1:141" x14ac:dyDescent="0.25">
      <c r="A12" s="8" t="s">
        <v>11</v>
      </c>
      <c r="B12" s="2">
        <v>60</v>
      </c>
      <c r="C12" t="s">
        <v>1</v>
      </c>
      <c r="G12">
        <f>SUM(G4:G11)</f>
        <v>576</v>
      </c>
      <c r="T12" s="35" t="s">
        <v>101</v>
      </c>
      <c r="U12" s="46">
        <v>-30</v>
      </c>
      <c r="V12" s="16" t="s">
        <v>70</v>
      </c>
      <c r="W12" t="str">
        <f>"+ Puts Left of Section in Compression"</f>
        <v>+ Puts Left of Section in Compression</v>
      </c>
      <c r="BC12">
        <v>0.17453292519943295</v>
      </c>
      <c r="BD12">
        <v>288.14249457248081</v>
      </c>
      <c r="BE12">
        <v>292.80629575804824</v>
      </c>
      <c r="BF12" s="6">
        <f t="shared" si="0"/>
        <v>0.79342589506218986</v>
      </c>
      <c r="BG12" s="6">
        <f t="shared" si="1"/>
        <v>0.61889296986275688</v>
      </c>
      <c r="BH12" s="6">
        <f t="shared" si="2"/>
        <v>-1.0848826895400567</v>
      </c>
      <c r="BI12" s="6">
        <f t="shared" si="3"/>
        <v>1.0848826895400567</v>
      </c>
      <c r="BJ12">
        <v>320.15832730275645</v>
      </c>
      <c r="BK12">
        <v>325.34032862005358</v>
      </c>
      <c r="BV12" s="37"/>
      <c r="CE12" s="9"/>
      <c r="CF12" s="9"/>
      <c r="CG12" s="1"/>
      <c r="CH12" s="37"/>
      <c r="CK12" s="38"/>
      <c r="CN12" s="1"/>
      <c r="CO12" s="1"/>
      <c r="CP12" s="1"/>
      <c r="CQ12" s="1"/>
      <c r="CU12">
        <v>6.2126217461572519</v>
      </c>
      <c r="CV12">
        <v>6.2064858230057096</v>
      </c>
      <c r="CW12">
        <v>6.2095537845814803</v>
      </c>
      <c r="CX12">
        <v>1.9239647559893269E-3</v>
      </c>
      <c r="CY12">
        <v>-0.12119371654769671</v>
      </c>
      <c r="CZ12">
        <v>-6.2148294520678604E-2</v>
      </c>
      <c r="DC12">
        <v>-2.7594636053138575</v>
      </c>
      <c r="DD12">
        <v>4.0992453416731962</v>
      </c>
      <c r="DE12">
        <v>5.4510731512546062</v>
      </c>
      <c r="DF12">
        <v>0.70528066538748913</v>
      </c>
      <c r="DG12">
        <v>-1.4247318152162352</v>
      </c>
      <c r="DH12">
        <v>0.54065536144711324</v>
      </c>
      <c r="DK12">
        <v>-2.5859403227972333</v>
      </c>
      <c r="DL12">
        <v>1.7600737570713372</v>
      </c>
      <c r="DM12">
        <v>-2.5859403226972333</v>
      </c>
      <c r="DN12">
        <v>1.7600737570017893</v>
      </c>
      <c r="DO12">
        <v>-2.5859403228972333</v>
      </c>
      <c r="DP12">
        <v>1.7600737571408869</v>
      </c>
      <c r="DQ12">
        <v>-0.69548811154618306</v>
      </c>
      <c r="DR12">
        <v>-5.5237456923067203E-2</v>
      </c>
      <c r="EB12" s="9">
        <f ca="1">EB6-$DW$8</f>
        <v>180.63999999996858</v>
      </c>
      <c r="EC12" s="9">
        <f ca="1">EC6-$DX$8</f>
        <v>-22.980000000000004</v>
      </c>
      <c r="ED12" s="9">
        <f ca="1">ED6-$DY$8</f>
        <v>17.660000000000004</v>
      </c>
      <c r="EE12" s="9">
        <v>0</v>
      </c>
      <c r="EF12">
        <f ca="1">ATAN2(EC12,ED12)</f>
        <v>2.4863598539235321</v>
      </c>
      <c r="EG12" s="9">
        <f t="shared" ca="1" si="16"/>
        <v>182.95017245137717</v>
      </c>
      <c r="EH12">
        <f t="shared" ca="1" si="17"/>
        <v>0.98737266863182338</v>
      </c>
      <c r="EI12">
        <f t="shared" ca="1" si="18"/>
        <v>-0.12560797124204634</v>
      </c>
      <c r="EJ12">
        <f t="shared" ca="1" si="19"/>
        <v>9.6529015323522135E-2</v>
      </c>
      <c r="EK12">
        <v>0</v>
      </c>
    </row>
    <row r="13" spans="1:141" ht="15.75" thickBot="1" x14ac:dyDescent="0.3">
      <c r="A13" s="8" t="s">
        <v>12</v>
      </c>
      <c r="B13" s="3">
        <v>29000</v>
      </c>
      <c r="C13" t="s">
        <v>1</v>
      </c>
      <c r="T13" s="27" t="s">
        <v>96</v>
      </c>
      <c r="U13" s="28">
        <f>IF(AND(U11=0,U12=0),0,MOD(ATAN2(U11,U12),2*PI()))</f>
        <v>5.9917285127017195</v>
      </c>
      <c r="V13" s="17" t="s">
        <v>97</v>
      </c>
      <c r="X13" s="37"/>
      <c r="Y13" s="9"/>
      <c r="Z13" s="1">
        <f ca="1">Z15*0.8</f>
        <v>1364.5684000000001</v>
      </c>
      <c r="AA13" s="47"/>
      <c r="BC13">
        <v>0.19198621771937624</v>
      </c>
      <c r="BD13">
        <v>287.11973571201287</v>
      </c>
      <c r="BE13">
        <v>298.33072901287284</v>
      </c>
      <c r="BF13" s="6">
        <f t="shared" si="0"/>
        <v>0.80454516887474792</v>
      </c>
      <c r="BG13" s="6">
        <f t="shared" si="1"/>
        <v>0.61255895115537173</v>
      </c>
      <c r="BH13" s="6">
        <f t="shared" si="2"/>
        <v>-1.096001963352615</v>
      </c>
      <c r="BI13" s="6">
        <f t="shared" si="3"/>
        <v>1.096001963352615</v>
      </c>
      <c r="BJ13">
        <v>319.02192856890321</v>
      </c>
      <c r="BK13">
        <v>331.47858779208093</v>
      </c>
      <c r="BV13" s="37"/>
      <c r="BW13" t="s">
        <v>147</v>
      </c>
      <c r="CF13" s="1"/>
      <c r="CG13" s="38"/>
      <c r="CH13" s="1"/>
      <c r="CI13" s="9"/>
      <c r="CJ13" s="9"/>
      <c r="CU13">
        <v>6.2126217461572519</v>
      </c>
      <c r="CV13">
        <v>6.2095537845814803</v>
      </c>
      <c r="CW13">
        <v>6.2110877653693661</v>
      </c>
      <c r="CX13">
        <v>1.9239647559893269E-3</v>
      </c>
      <c r="CY13">
        <v>-6.2148294520678604E-2</v>
      </c>
      <c r="CZ13">
        <v>-3.0773704751989036E-2</v>
      </c>
      <c r="DC13">
        <v>-1.8060455882829687</v>
      </c>
      <c r="DD13">
        <v>5.4510731512546062</v>
      </c>
      <c r="DE13">
        <v>5.4619307837302777</v>
      </c>
      <c r="DF13">
        <v>35.119421653029434</v>
      </c>
      <c r="DG13">
        <v>-1.6680979021895233</v>
      </c>
      <c r="DH13">
        <v>0.52979772897144173</v>
      </c>
      <c r="DK13">
        <v>-5.5237456923067203E-2</v>
      </c>
      <c r="DL13">
        <v>5.1888846573331371E-2</v>
      </c>
      <c r="DM13">
        <v>-5.5237456823067202E-2</v>
      </c>
      <c r="DN13">
        <v>5.1888846000950124E-2</v>
      </c>
      <c r="DO13">
        <v>-5.5237457023067205E-2</v>
      </c>
      <c r="DP13">
        <v>5.1888847145712624E-2</v>
      </c>
      <c r="DQ13">
        <v>-5.7238125003578055</v>
      </c>
      <c r="DR13">
        <v>-4.617202255216709E-2</v>
      </c>
      <c r="DV13" t="s">
        <v>208</v>
      </c>
    </row>
    <row r="14" spans="1:141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0" t="s">
        <v>109</v>
      </c>
      <c r="U14" s="41">
        <f>SQRT(POWER(U11,2)+POWER(U12,2))</f>
        <v>104.4030650891055</v>
      </c>
      <c r="V14" s="42" t="s">
        <v>70</v>
      </c>
      <c r="W14">
        <f>DEGREES(U13)</f>
        <v>343.30075576600638</v>
      </c>
      <c r="Y14" s="53"/>
      <c r="Z14" s="54" t="s">
        <v>99</v>
      </c>
      <c r="AA14" s="55" t="s">
        <v>100</v>
      </c>
      <c r="AB14" s="56" t="s">
        <v>101</v>
      </c>
      <c r="AC14" s="59" t="s">
        <v>209</v>
      </c>
      <c r="AD14" s="54" t="s">
        <v>210</v>
      </c>
      <c r="AE14" s="56" t="s">
        <v>211</v>
      </c>
      <c r="BC14">
        <v>0.20943951023931953</v>
      </c>
      <c r="BD14">
        <v>286.13696573649378</v>
      </c>
      <c r="BE14">
        <v>303.16564005148859</v>
      </c>
      <c r="BF14" s="6">
        <f t="shared" si="0"/>
        <v>0.81428644064214706</v>
      </c>
      <c r="BG14" s="6">
        <f t="shared" si="1"/>
        <v>0.60484693040282755</v>
      </c>
      <c r="BH14" s="6">
        <f t="shared" si="2"/>
        <v>-1.1057432351200138</v>
      </c>
      <c r="BI14" s="6">
        <f t="shared" si="3"/>
        <v>1.1057432351200138</v>
      </c>
      <c r="BJ14">
        <v>317.92996192943752</v>
      </c>
      <c r="BK14">
        <v>336.85071116832063</v>
      </c>
      <c r="BV14" s="37"/>
      <c r="BW14" t="s">
        <v>111</v>
      </c>
      <c r="BX14" s="1" t="s">
        <v>100</v>
      </c>
      <c r="BY14" s="1" t="s">
        <v>101</v>
      </c>
      <c r="BZ14" s="1"/>
      <c r="CA14" s="1"/>
      <c r="CB14" s="1" t="s">
        <v>150</v>
      </c>
      <c r="CC14" s="1" t="s">
        <v>151</v>
      </c>
      <c r="CE14" s="1"/>
      <c r="CF14" s="1" t="s">
        <v>150</v>
      </c>
      <c r="CG14" s="38"/>
      <c r="CH14" s="1"/>
      <c r="CI14" s="1"/>
      <c r="CJ14" s="1"/>
      <c r="CL14" s="1"/>
      <c r="CM14" s="1"/>
      <c r="CN14" s="1"/>
      <c r="CO14" s="1"/>
      <c r="CP14" s="1"/>
      <c r="CU14">
        <v>6.2126217461572519</v>
      </c>
      <c r="CV14">
        <v>6.2110877653693661</v>
      </c>
      <c r="CW14">
        <v>6.2118547557633086</v>
      </c>
      <c r="CX14">
        <v>1.9239647559893269E-3</v>
      </c>
      <c r="CY14">
        <v>-3.0773704751989036E-2</v>
      </c>
      <c r="CZ14">
        <v>-1.4594592665153616E-2</v>
      </c>
      <c r="DC14">
        <v>-1.4247318152162352</v>
      </c>
      <c r="DD14">
        <v>5.4619307837302777</v>
      </c>
      <c r="DE14">
        <v>5.4550797350395399</v>
      </c>
      <c r="DF14">
        <v>35.522457649776051</v>
      </c>
      <c r="DG14">
        <v>-1.454570346419424</v>
      </c>
      <c r="DH14">
        <v>0.53664877766217955</v>
      </c>
      <c r="DK14">
        <v>-4.617202255216709E-2</v>
      </c>
      <c r="DL14">
        <v>-8.2968085333909869E-3</v>
      </c>
      <c r="DM14">
        <v>-4.6172022452167089E-2</v>
      </c>
      <c r="DN14">
        <v>-8.2968093044168967E-3</v>
      </c>
      <c r="DO14">
        <v>-4.6172022652167091E-2</v>
      </c>
      <c r="DP14">
        <v>-8.2968077623668535E-3</v>
      </c>
      <c r="DQ14">
        <v>-7.7102502160641961</v>
      </c>
      <c r="DR14">
        <v>-4.7248097686033004E-2</v>
      </c>
      <c r="DV14" t="s">
        <v>197</v>
      </c>
      <c r="DW14">
        <f ca="1">ATAN2(-1*DX10,-1*DY10)</f>
        <v>-2.0550912870593678</v>
      </c>
      <c r="DX14" t="s">
        <v>97</v>
      </c>
    </row>
    <row r="15" spans="1:141" x14ac:dyDescent="0.25">
      <c r="A15">
        <v>1</v>
      </c>
      <c r="B15" s="19">
        <v>8</v>
      </c>
      <c r="C15" s="6">
        <f ca="1">OFFSET($G$14,MATCH(B15,$G$14:$G$29,0)-1,2)</f>
        <v>0.79</v>
      </c>
      <c r="D15" s="2">
        <v>2</v>
      </c>
      <c r="E15" s="2">
        <v>2</v>
      </c>
      <c r="G15" s="1">
        <v>3</v>
      </c>
      <c r="H15" s="6">
        <v>0.375</v>
      </c>
      <c r="I15" s="6">
        <v>0.11</v>
      </c>
      <c r="K15" s="1">
        <f t="shared" ref="K15:K24" si="20">IF($B15=0,NA(),D15)</f>
        <v>2</v>
      </c>
      <c r="L15" s="1">
        <f t="shared" ref="L15:L24" si="21">IF($B15=0,NA(),E15)</f>
        <v>2</v>
      </c>
      <c r="T15" s="36" t="s">
        <v>103</v>
      </c>
      <c r="U15" s="6">
        <f>SQRT(POWER(U12,2)+POWER(U11,2)+POWER(U10,2))</f>
        <v>104.88088481701516</v>
      </c>
      <c r="Y15" s="57" t="s">
        <v>193</v>
      </c>
      <c r="Z15" s="61">
        <f ca="1">B115</f>
        <v>1705.7105000000001</v>
      </c>
      <c r="AA15" s="61">
        <f ca="1">C116</f>
        <v>444.51712500000002</v>
      </c>
      <c r="AB15" s="62">
        <f ca="1">C117</f>
        <v>559.02762500000006</v>
      </c>
      <c r="AC15" s="63">
        <f ca="1">Z15/0.65</f>
        <v>2624.17</v>
      </c>
      <c r="AD15" s="61">
        <f t="shared" ref="AD15:AE15" ca="1" si="22">AA15/0.65</f>
        <v>683.87250000000006</v>
      </c>
      <c r="AE15" s="62">
        <f t="shared" ca="1" si="22"/>
        <v>860.04250000000002</v>
      </c>
      <c r="BC15">
        <v>0.22689280275926282</v>
      </c>
      <c r="BD15">
        <v>285.18852034841916</v>
      </c>
      <c r="BE15">
        <v>307.44711119040181</v>
      </c>
      <c r="BF15" s="6">
        <f t="shared" si="0"/>
        <v>0.82293916183610316</v>
      </c>
      <c r="BG15" s="6">
        <f t="shared" si="1"/>
        <v>0.59604635907684034</v>
      </c>
      <c r="BH15" s="6">
        <f t="shared" si="2"/>
        <v>-1.1143959563139705</v>
      </c>
      <c r="BI15" s="6">
        <f t="shared" si="3"/>
        <v>1.1143959563139705</v>
      </c>
      <c r="BJ15">
        <v>316.8761337204657</v>
      </c>
      <c r="BK15">
        <v>341.60790132266868</v>
      </c>
      <c r="BV15" s="37"/>
      <c r="BW15" s="6">
        <f>IF(BC2="",NA(),BC2)</f>
        <v>0</v>
      </c>
      <c r="BX15" s="9">
        <f ca="1">BD2-$BW$5</f>
        <v>142.76101877528632</v>
      </c>
      <c r="BY15" s="9">
        <f ca="1">BE2-$BX$5</f>
        <v>32.394333883781314</v>
      </c>
      <c r="BZ15" s="9">
        <f ca="1">BX15-$CE$5</f>
        <v>301.21467828612936</v>
      </c>
      <c r="CA15" s="6">
        <f ca="1">BY15-$CF$5</f>
        <v>47.660000000000046</v>
      </c>
      <c r="CB15" s="6">
        <f ca="1">ATAN2(BZ15,CA15)</f>
        <v>0.15692508633125207</v>
      </c>
      <c r="CC15" s="6">
        <f ca="1">ATAN2(COS(CF15-CB15),SIN(CF15-CB15))*10</f>
        <v>2.1141602477300752</v>
      </c>
      <c r="CD15" s="9">
        <f>BD2-$BW$6</f>
        <v>201.21467828612936</v>
      </c>
      <c r="CE15" s="9">
        <f>BE2-$BX$6</f>
        <v>77.660000000000053</v>
      </c>
      <c r="CF15" s="6">
        <f>ATAN2(CD15,CE15)</f>
        <v>0.3683411111042596</v>
      </c>
      <c r="CG15" s="6"/>
      <c r="CH15" s="6"/>
      <c r="CI15" s="6"/>
      <c r="CJ15" s="1"/>
      <c r="CK15" s="6"/>
      <c r="CL15" s="9"/>
      <c r="CM15" s="9"/>
      <c r="CN15" s="1"/>
      <c r="CO15" s="1"/>
      <c r="CP15" s="1"/>
      <c r="CQ15" s="1"/>
      <c r="CU15">
        <v>6.2126217461572519</v>
      </c>
      <c r="CV15">
        <v>6.2118547557633086</v>
      </c>
      <c r="CW15">
        <v>6.2122382509602803</v>
      </c>
      <c r="CX15">
        <v>1.9239647559893269E-3</v>
      </c>
      <c r="CY15">
        <v>-1.4594592665153616E-2</v>
      </c>
      <c r="CZ15">
        <v>-6.3782988182958791E-3</v>
      </c>
      <c r="DC15">
        <v>-1.6680979021895233</v>
      </c>
      <c r="DD15">
        <v>5.4550797350395399</v>
      </c>
      <c r="DE15">
        <v>5.4610068687562778</v>
      </c>
      <c r="DF15">
        <v>36.025432523499255</v>
      </c>
      <c r="DG15">
        <v>-1.1846494952410793</v>
      </c>
      <c r="DH15">
        <v>0.53072164394544163</v>
      </c>
      <c r="DK15">
        <v>-4.7248097686033004E-2</v>
      </c>
      <c r="DL15">
        <v>-1.569793938287489E-4</v>
      </c>
      <c r="DM15">
        <v>-4.7248097586033003E-2</v>
      </c>
      <c r="DN15">
        <v>-1.5698013596665561E-4</v>
      </c>
      <c r="DO15">
        <v>-4.7248097786033005E-2</v>
      </c>
      <c r="DP15">
        <v>-1.5697865168995406E-4</v>
      </c>
      <c r="DQ15">
        <v>-7.4213835077330259</v>
      </c>
      <c r="DR15">
        <v>-4.726924999458372E-2</v>
      </c>
      <c r="DV15" t="s">
        <v>198</v>
      </c>
      <c r="DW15">
        <v>1</v>
      </c>
      <c r="DX15">
        <v>0</v>
      </c>
      <c r="DY15">
        <v>0</v>
      </c>
    </row>
    <row r="16" spans="1:141" ht="15.75" thickBot="1" x14ac:dyDescent="0.3">
      <c r="A16">
        <v>2</v>
      </c>
      <c r="B16" s="19">
        <v>8</v>
      </c>
      <c r="C16" s="6">
        <f t="shared" ref="C16:C24" ca="1" si="23">OFFSET($G$14,MATCH(B16,$G$14:$G$29,0)-1,2)</f>
        <v>0.79</v>
      </c>
      <c r="D16" s="2">
        <v>2</v>
      </c>
      <c r="E16" s="2">
        <v>4</v>
      </c>
      <c r="G16" s="1">
        <v>4</v>
      </c>
      <c r="H16" s="6">
        <v>0.5</v>
      </c>
      <c r="I16" s="6">
        <v>0.2</v>
      </c>
      <c r="K16" s="1">
        <f t="shared" si="20"/>
        <v>2</v>
      </c>
      <c r="L16" s="1">
        <f t="shared" si="21"/>
        <v>4</v>
      </c>
      <c r="T16" s="36" t="s">
        <v>104</v>
      </c>
      <c r="U16" s="38">
        <f>U10/U15</f>
        <v>9.5346258924559224E-2</v>
      </c>
      <c r="V16" s="38">
        <f>U11/U15</f>
        <v>0.95346258924559224</v>
      </c>
      <c r="W16" s="38">
        <f>U12/U15</f>
        <v>-0.28603877677367767</v>
      </c>
      <c r="X16" s="37"/>
      <c r="Y16" s="58" t="s">
        <v>194</v>
      </c>
      <c r="Z16" s="64">
        <f ca="1">J115</f>
        <v>-170.64000000000001</v>
      </c>
      <c r="AA16" s="64">
        <f ca="1">K116</f>
        <v>127.98</v>
      </c>
      <c r="AB16" s="65">
        <f ca="1">K117</f>
        <v>-42.660000000000004</v>
      </c>
      <c r="AC16" s="66">
        <f ca="1">Z16/0.9</f>
        <v>-189.60000000000002</v>
      </c>
      <c r="AD16" s="64">
        <f t="shared" ref="AD16:AE16" ca="1" si="24">AA16/0.9</f>
        <v>142.19999999999999</v>
      </c>
      <c r="AE16" s="65">
        <f t="shared" ca="1" si="24"/>
        <v>-47.400000000000006</v>
      </c>
      <c r="BC16">
        <v>0.24434609527920612</v>
      </c>
      <c r="BD16">
        <v>284.26976295597143</v>
      </c>
      <c r="BE16">
        <v>311.27653353673344</v>
      </c>
      <c r="BF16" s="6">
        <f t="shared" si="0"/>
        <v>0.83071501117772406</v>
      </c>
      <c r="BG16" s="6">
        <f t="shared" si="1"/>
        <v>0.58636891589851792</v>
      </c>
      <c r="BH16" s="6">
        <f t="shared" si="2"/>
        <v>-1.1221718056555912</v>
      </c>
      <c r="BI16" s="6">
        <f t="shared" si="3"/>
        <v>1.1221718056555912</v>
      </c>
      <c r="BJ16">
        <v>315.85529217330156</v>
      </c>
      <c r="BK16">
        <v>345.86281504081495</v>
      </c>
      <c r="BV16" s="37"/>
      <c r="BW16" s="6">
        <f t="shared" ref="BW16:BW79" si="25">IF(BC3="",NA(),BC3)</f>
        <v>1.7453292519943295E-2</v>
      </c>
      <c r="BX16" s="9">
        <f t="shared" ref="BX16:BX79" ca="1" si="26">BD3-$BW$5</f>
        <v>142.31350583171334</v>
      </c>
      <c r="BY16" s="9">
        <f t="shared" ref="BY16:BY79" ca="1" si="27">BE3-$BX$5</f>
        <v>83.670332616913285</v>
      </c>
      <c r="BZ16" s="9">
        <f t="shared" ref="BZ16:BZ79" ca="1" si="28">BX16-$CE$5</f>
        <v>300.76716534255638</v>
      </c>
      <c r="CA16" s="6">
        <f t="shared" ref="CA16:CA79" ca="1" si="29">BY16-$CF$5</f>
        <v>98.93599873313201</v>
      </c>
      <c r="CB16" s="6">
        <f t="shared" ref="CB16:CB79" ca="1" si="30">ATAN2(BZ16,CA16)</f>
        <v>0.3177962992588852</v>
      </c>
      <c r="CC16" s="6">
        <f t="shared" ref="CC16:CC79" ca="1" si="31">ATAN2(COS(CF16-CB16),SIN(CF16-CB16))*10</f>
        <v>2.5308778566125341</v>
      </c>
      <c r="CD16" s="9">
        <f t="shared" ref="CD16:CD79" si="32">BD3-$BW$6</f>
        <v>200.76716534255638</v>
      </c>
      <c r="CE16" s="9">
        <f t="shared" ref="CE16:CE79" si="33">BE3-$BX$6</f>
        <v>128.93599873313201</v>
      </c>
      <c r="CF16" s="6">
        <f t="shared" ref="CF16:CF79" si="34">ATAN2(CD16,CE16)</f>
        <v>0.57088408492013865</v>
      </c>
      <c r="CG16" s="6"/>
      <c r="CH16" s="6"/>
      <c r="CI16" s="6"/>
      <c r="CJ16" s="1"/>
      <c r="CK16" s="6"/>
      <c r="CU16">
        <v>6.2126217461572519</v>
      </c>
      <c r="CV16">
        <v>6.2122382509602803</v>
      </c>
      <c r="CW16">
        <v>6.2124299985587665</v>
      </c>
      <c r="CX16">
        <v>1.9239647559893269E-3</v>
      </c>
      <c r="CY16">
        <v>-6.3782988182958791E-3</v>
      </c>
      <c r="CZ16">
        <v>-2.2379832732233318E-3</v>
      </c>
      <c r="DC16">
        <v>-1.454570346419424</v>
      </c>
      <c r="DD16">
        <v>5.4610068687562778</v>
      </c>
      <c r="DE16">
        <v>5.470728134010729</v>
      </c>
      <c r="DF16">
        <v>27.766020586132406</v>
      </c>
      <c r="DG16">
        <v>0.71508713051656825</v>
      </c>
      <c r="DH16">
        <v>0.52100037869099047</v>
      </c>
      <c r="DK16">
        <v>-4.726924999458372E-2</v>
      </c>
      <c r="DL16">
        <v>-5.8339234776383364E-8</v>
      </c>
      <c r="DM16">
        <v>-4.7269249894583719E-2</v>
      </c>
      <c r="DN16">
        <v>-5.9080822012447249E-8</v>
      </c>
      <c r="DO16">
        <v>-4.7269250094583722E-2</v>
      </c>
      <c r="DP16">
        <v>-5.7597647540319479E-8</v>
      </c>
      <c r="DQ16">
        <v>-7.4158723606388524</v>
      </c>
      <c r="DR16">
        <v>-4.7269257861390475E-2</v>
      </c>
      <c r="DV16" t="s">
        <v>199</v>
      </c>
      <c r="DW16">
        <f ca="1">(DW15*DW15*(1-COS(DW14)))+COS(DW14)</f>
        <v>1</v>
      </c>
      <c r="DX16">
        <f ca="1">(DX15*DW15*(1-COS(DW14)))-(DY15*SIN(DW14))</f>
        <v>0</v>
      </c>
      <c r="DY16">
        <f ca="1">(DY15*DW15*(1-COS(DW14)))+(DX15*SIN(DW14))</f>
        <v>0</v>
      </c>
      <c r="DZ16">
        <v>0</v>
      </c>
    </row>
    <row r="17" spans="1:136" x14ac:dyDescent="0.25">
      <c r="A17">
        <v>3</v>
      </c>
      <c r="B17" s="19">
        <v>8</v>
      </c>
      <c r="C17" s="6">
        <f t="shared" ca="1" si="23"/>
        <v>0.79</v>
      </c>
      <c r="D17" s="2">
        <v>4</v>
      </c>
      <c r="E17" s="2">
        <v>2</v>
      </c>
      <c r="G17" s="1">
        <v>5</v>
      </c>
      <c r="H17" s="6">
        <v>0.625</v>
      </c>
      <c r="I17" s="6">
        <v>0.31</v>
      </c>
      <c r="K17" s="1">
        <f t="shared" si="20"/>
        <v>4</v>
      </c>
      <c r="L17" s="1">
        <f t="shared" si="21"/>
        <v>2</v>
      </c>
      <c r="Y17" s="59" t="s">
        <v>203</v>
      </c>
      <c r="Z17" s="67">
        <f>U10</f>
        <v>10</v>
      </c>
      <c r="AA17" s="67">
        <f>U11</f>
        <v>100</v>
      </c>
      <c r="AB17" s="68">
        <f>U12</f>
        <v>-30</v>
      </c>
      <c r="AC17" s="69">
        <f ca="1">Z17/$U$3</f>
        <v>11.111111111111111</v>
      </c>
      <c r="AD17" s="67">
        <f t="shared" ref="AD17:AE17" ca="1" si="35">AA17/$U$3</f>
        <v>111.11111111111111</v>
      </c>
      <c r="AE17" s="68">
        <f t="shared" ca="1" si="35"/>
        <v>-33.333333333333336</v>
      </c>
      <c r="BC17">
        <v>0.26179938779914941</v>
      </c>
      <c r="BD17">
        <v>283.37683009484448</v>
      </c>
      <c r="BE17">
        <v>314.73120736986647</v>
      </c>
      <c r="BF17" s="6">
        <f t="shared" si="0"/>
        <v>0.83777281918432944</v>
      </c>
      <c r="BG17" s="6">
        <f t="shared" si="1"/>
        <v>0.57597343138518009</v>
      </c>
      <c r="BH17" s="6">
        <f t="shared" si="2"/>
        <v>-1.1292296136621964</v>
      </c>
      <c r="BI17" s="6">
        <f t="shared" si="3"/>
        <v>1.1292296136621964</v>
      </c>
      <c r="BJ17">
        <v>314.86314454982721</v>
      </c>
      <c r="BK17">
        <v>349.70134152207385</v>
      </c>
      <c r="BV17" s="37"/>
      <c r="BW17" s="6">
        <f t="shared" si="25"/>
        <v>3.4906585039886591E-2</v>
      </c>
      <c r="BX17" s="9">
        <f t="shared" ca="1" si="26"/>
        <v>140.96987571886976</v>
      </c>
      <c r="BY17" s="9">
        <f t="shared" ca="1" si="27"/>
        <v>134.9775863427395</v>
      </c>
      <c r="BZ17" s="9">
        <f t="shared" ca="1" si="28"/>
        <v>299.4235352297128</v>
      </c>
      <c r="CA17" s="6">
        <f t="shared" ca="1" si="29"/>
        <v>150.24325245895824</v>
      </c>
      <c r="CB17" s="6">
        <f t="shared" ca="1" si="30"/>
        <v>0.46506662209204164</v>
      </c>
      <c r="CC17" s="6">
        <f t="shared" ca="1" si="31"/>
        <v>2.6985572567183382</v>
      </c>
      <c r="CD17" s="9">
        <f t="shared" si="32"/>
        <v>199.4235352297128</v>
      </c>
      <c r="CE17" s="9">
        <f t="shared" si="33"/>
        <v>180.24325245895824</v>
      </c>
      <c r="CF17" s="6">
        <f t="shared" si="34"/>
        <v>0.73492234776387544</v>
      </c>
      <c r="CG17" s="6"/>
      <c r="CH17" s="6"/>
      <c r="CI17" s="6"/>
      <c r="CJ17" s="1"/>
      <c r="CK17" s="6"/>
      <c r="CU17">
        <v>6.2126217461572519</v>
      </c>
      <c r="CV17">
        <v>6.2124299985587665</v>
      </c>
      <c r="CW17">
        <v>6.2125258723580092</v>
      </c>
      <c r="CX17">
        <v>1.9239647559893269E-3</v>
      </c>
      <c r="CY17">
        <v>-2.2379832732233318E-3</v>
      </c>
      <c r="CZ17">
        <v>-1.5972211956094551E-4</v>
      </c>
      <c r="DC17">
        <v>-1.1846494952410793</v>
      </c>
      <c r="DD17">
        <v>5.470728134010729</v>
      </c>
      <c r="DE17">
        <v>0.93190364673198045</v>
      </c>
      <c r="DF17">
        <v>-0.41855256379314953</v>
      </c>
      <c r="DG17">
        <v>-1.4027155394793953</v>
      </c>
      <c r="DH17">
        <v>5.0598248659697393</v>
      </c>
      <c r="DK17">
        <v>-4.7269257861390475E-2</v>
      </c>
      <c r="DL17">
        <v>-5.3290705182007514E-15</v>
      </c>
      <c r="DW17">
        <f ca="1">(DW15*DX15*(1-COS(DW14)))+(DY15*SIN(DW14))</f>
        <v>0</v>
      </c>
      <c r="DX17">
        <f ca="1">(DX15*DX15*(1-COS(DW14)))+COS(DW14)</f>
        <v>-0.46558451263653783</v>
      </c>
      <c r="DY17">
        <f ca="1">(DY15*DX15*(1-COS(DW14)))-(DW15*SIN(DW14))</f>
        <v>0.88500342462218617</v>
      </c>
      <c r="DZ17">
        <v>0</v>
      </c>
    </row>
    <row r="18" spans="1:136" ht="15.75" thickBot="1" x14ac:dyDescent="0.3">
      <c r="A18">
        <v>4</v>
      </c>
      <c r="B18" s="19">
        <v>8</v>
      </c>
      <c r="C18" s="6">
        <f t="shared" ca="1" si="23"/>
        <v>0.79</v>
      </c>
      <c r="D18" s="2">
        <v>4</v>
      </c>
      <c r="E18" s="2">
        <v>4</v>
      </c>
      <c r="G18" s="1">
        <v>6</v>
      </c>
      <c r="H18" s="6">
        <v>0.75</v>
      </c>
      <c r="I18" s="6">
        <v>0.44</v>
      </c>
      <c r="K18" s="1">
        <f t="shared" si="20"/>
        <v>4</v>
      </c>
      <c r="L18" s="1">
        <f t="shared" si="21"/>
        <v>4</v>
      </c>
      <c r="T18" s="8" t="s">
        <v>105</v>
      </c>
      <c r="U18" s="6">
        <f ca="1">SQRT(POWER(U6,2)+POWER(U5,2)+POWER(U4,2))</f>
        <v>311.29597093536756</v>
      </c>
      <c r="Y18" s="60" t="s">
        <v>204</v>
      </c>
      <c r="Z18" s="64">
        <f ca="1">U4</f>
        <v>9.9999999999685656</v>
      </c>
      <c r="AA18" s="64">
        <f ca="1">U5</f>
        <v>298.01357878150418</v>
      </c>
      <c r="AB18" s="65">
        <f ca="1">U6</f>
        <v>-89.40407363444929</v>
      </c>
      <c r="AC18" s="66">
        <f ca="1">Z18/$U$3</f>
        <v>11.111111111076184</v>
      </c>
      <c r="AD18" s="64">
        <f t="shared" ref="AD18" ca="1" si="36">AA18/$U$3</f>
        <v>331.12619864611577</v>
      </c>
      <c r="AE18" s="65">
        <f t="shared" ref="AE18" ca="1" si="37">AB18/$U$3</f>
        <v>-99.337859593832547</v>
      </c>
      <c r="BC18">
        <v>0.27925268031909273</v>
      </c>
      <c r="BD18">
        <v>282.50645196431327</v>
      </c>
      <c r="BE18">
        <v>317.87123540041262</v>
      </c>
      <c r="BF18" s="6">
        <f t="shared" si="0"/>
        <v>0.84423440481064416</v>
      </c>
      <c r="BG18" s="6">
        <f t="shared" si="1"/>
        <v>0.56498172449155137</v>
      </c>
      <c r="BH18" s="6">
        <f t="shared" si="2"/>
        <v>-1.1356911992885108</v>
      </c>
      <c r="BI18" s="6">
        <f t="shared" si="3"/>
        <v>1.1356911992885108</v>
      </c>
      <c r="BJ18">
        <v>313.89605773812588</v>
      </c>
      <c r="BK18">
        <v>353.19026155601404</v>
      </c>
      <c r="BV18" s="37"/>
      <c r="BW18" s="6">
        <f t="shared" si="25"/>
        <v>5.235987755982989E-2</v>
      </c>
      <c r="BX18" s="9">
        <f t="shared" ca="1" si="26"/>
        <v>139.00245063737688</v>
      </c>
      <c r="BY18" s="9">
        <f t="shared" ca="1" si="27"/>
        <v>180.65462565522267</v>
      </c>
      <c r="BZ18" s="9">
        <f t="shared" ca="1" si="28"/>
        <v>297.45611014821992</v>
      </c>
      <c r="CA18" s="6">
        <f t="shared" ca="1" si="29"/>
        <v>195.92029177144141</v>
      </c>
      <c r="CB18" s="6">
        <f t="shared" ca="1" si="30"/>
        <v>0.58243398384392475</v>
      </c>
      <c r="CC18" s="6">
        <f t="shared" ca="1" si="31"/>
        <v>2.7009454118022713</v>
      </c>
      <c r="CD18" s="9">
        <f t="shared" si="32"/>
        <v>197.45611014821992</v>
      </c>
      <c r="CE18" s="9">
        <f t="shared" si="33"/>
        <v>225.92029177144141</v>
      </c>
      <c r="CF18" s="6">
        <f t="shared" si="34"/>
        <v>0.85252852502415188</v>
      </c>
      <c r="CG18" s="6"/>
      <c r="CH18" s="6"/>
      <c r="CI18" s="6"/>
      <c r="CJ18" s="1"/>
      <c r="CK18" s="6"/>
      <c r="CU18">
        <v>6.2126217461572519</v>
      </c>
      <c r="CV18">
        <v>6.2125258723580092</v>
      </c>
      <c r="CW18">
        <v>6.2125738092576306</v>
      </c>
      <c r="CX18">
        <v>1.9239647559893269E-3</v>
      </c>
      <c r="CY18">
        <v>-1.5972211956094551E-4</v>
      </c>
      <c r="CZ18">
        <v>8.8144200006579077E-4</v>
      </c>
      <c r="DC18">
        <v>0.71508713051656825</v>
      </c>
      <c r="DD18">
        <v>0.93190364673198045</v>
      </c>
      <c r="DE18">
        <v>5.4626318931507765</v>
      </c>
      <c r="DF18">
        <v>-0.46743096359176456</v>
      </c>
      <c r="DG18">
        <v>-1.6500316821892376</v>
      </c>
      <c r="DH18">
        <v>0.529096619550943</v>
      </c>
      <c r="DW18">
        <f ca="1">(DW15*DY15*(1-COS(DW14)))-(DX15*SIN(DW14))</f>
        <v>0</v>
      </c>
      <c r="DX18">
        <f ca="1">(DX15*DY15*(1-COS(DW14)))+(DW15*SIN(DW14))</f>
        <v>-0.88500342462218617</v>
      </c>
      <c r="DY18">
        <f ca="1">(DY15*DY15*(1-COS(DW14)))+COS(DW14)</f>
        <v>-0.46558451263653783</v>
      </c>
      <c r="DZ18">
        <v>0</v>
      </c>
    </row>
    <row r="19" spans="1:136" x14ac:dyDescent="0.25">
      <c r="A19">
        <v>5</v>
      </c>
      <c r="B19" s="19">
        <v>0</v>
      </c>
      <c r="C19" s="6">
        <f t="shared" ca="1" si="23"/>
        <v>0</v>
      </c>
      <c r="D19" s="2">
        <v>2.5</v>
      </c>
      <c r="E19" s="2">
        <v>12.5</v>
      </c>
      <c r="G19" s="1">
        <v>7</v>
      </c>
      <c r="H19" s="6">
        <v>0.875</v>
      </c>
      <c r="I19" s="6">
        <v>0.6</v>
      </c>
      <c r="K19" s="1" t="e">
        <f t="shared" si="20"/>
        <v>#N/A</v>
      </c>
      <c r="L19" s="1" t="e">
        <f t="shared" si="21"/>
        <v>#N/A</v>
      </c>
      <c r="T19" s="8" t="s">
        <v>106</v>
      </c>
      <c r="U19" s="38">
        <f ca="1">U4/U18</f>
        <v>3.2123769446552854E-2</v>
      </c>
      <c r="V19" s="38">
        <f ca="1">U5/U18</f>
        <v>0.95733194967492485</v>
      </c>
      <c r="W19" s="38">
        <f ca="1">U6/U18</f>
        <v>-0.28719958490247116</v>
      </c>
      <c r="X19" s="37"/>
      <c r="BC19">
        <v>0.29670597283903605</v>
      </c>
      <c r="BD19">
        <v>281.65582256185968</v>
      </c>
      <c r="BE19">
        <v>320.74414962118777</v>
      </c>
      <c r="BF19" s="6">
        <f t="shared" si="0"/>
        <v>0.8501949890176197</v>
      </c>
      <c r="BG19" s="6">
        <f t="shared" si="1"/>
        <v>0.5534890161785837</v>
      </c>
      <c r="BH19" s="6">
        <f t="shared" si="2"/>
        <v>-1.1416517834954869</v>
      </c>
      <c r="BI19" s="6">
        <f t="shared" si="3"/>
        <v>1.1416517834954869</v>
      </c>
      <c r="BJ19">
        <v>312.95091395762188</v>
      </c>
      <c r="BK19">
        <v>356.3823884679864</v>
      </c>
      <c r="BV19" s="37"/>
      <c r="BW19" s="6">
        <f t="shared" si="25"/>
        <v>6.9813170079773182E-2</v>
      </c>
      <c r="BX19" s="9">
        <f t="shared" ca="1" si="26"/>
        <v>137.27080061999166</v>
      </c>
      <c r="BY19" s="9">
        <f t="shared" ca="1" si="27"/>
        <v>209.25952201472751</v>
      </c>
      <c r="BZ19" s="9">
        <f t="shared" ca="1" si="28"/>
        <v>295.7244601308347</v>
      </c>
      <c r="CA19" s="6">
        <f t="shared" ca="1" si="29"/>
        <v>224.52518813094625</v>
      </c>
      <c r="CB19" s="6">
        <f t="shared" ca="1" si="30"/>
        <v>0.64938713221173316</v>
      </c>
      <c r="CC19" s="6">
        <f t="shared" ca="1" si="31"/>
        <v>2.6587192158749948</v>
      </c>
      <c r="CD19" s="9">
        <f t="shared" si="32"/>
        <v>195.7244601308347</v>
      </c>
      <c r="CE19" s="9">
        <f t="shared" si="33"/>
        <v>254.52518813094625</v>
      </c>
      <c r="CF19" s="6">
        <f t="shared" si="34"/>
        <v>0.91525905379923267</v>
      </c>
      <c r="CG19" s="6"/>
      <c r="CH19" s="6"/>
      <c r="CI19" s="6"/>
      <c r="CJ19" s="1"/>
      <c r="CK19" s="6"/>
      <c r="CU19">
        <v>6.2125738092576306</v>
      </c>
      <c r="CV19">
        <v>6.2125258723580092</v>
      </c>
      <c r="CW19">
        <v>6.2125498408078199</v>
      </c>
      <c r="CX19">
        <v>8.8144200006579077E-4</v>
      </c>
      <c r="CY19">
        <v>-1.5972211956094551E-4</v>
      </c>
      <c r="CZ19">
        <v>3.6069024888785167E-4</v>
      </c>
      <c r="DC19">
        <v>-1.4027155394793953</v>
      </c>
      <c r="DD19">
        <v>5.4626318931507765</v>
      </c>
      <c r="DE19">
        <v>5.4555671827533576</v>
      </c>
      <c r="DF19">
        <v>35.007258443346984</v>
      </c>
      <c r="DG19">
        <v>-1.7300493588970596</v>
      </c>
      <c r="DH19">
        <v>0.53616132994836185</v>
      </c>
      <c r="DW19">
        <v>0</v>
      </c>
      <c r="DX19">
        <v>0</v>
      </c>
      <c r="DY19">
        <v>0</v>
      </c>
      <c r="DZ19">
        <v>1</v>
      </c>
    </row>
    <row r="20" spans="1:136" x14ac:dyDescent="0.25">
      <c r="A20">
        <v>6</v>
      </c>
      <c r="B20" s="19">
        <v>0</v>
      </c>
      <c r="C20" s="6">
        <f t="shared" ca="1" si="23"/>
        <v>0</v>
      </c>
      <c r="D20" s="2">
        <v>2.5</v>
      </c>
      <c r="E20" s="2">
        <v>17.5</v>
      </c>
      <c r="G20" s="1">
        <v>8</v>
      </c>
      <c r="H20" s="6">
        <v>1</v>
      </c>
      <c r="I20" s="6">
        <v>0.79</v>
      </c>
      <c r="K20" s="1" t="e">
        <f t="shared" si="20"/>
        <v>#N/A</v>
      </c>
      <c r="L20" s="1" t="e">
        <f t="shared" si="21"/>
        <v>#N/A</v>
      </c>
      <c r="Y20" s="37"/>
      <c r="BC20">
        <v>0.31415926535897937</v>
      </c>
      <c r="BD20">
        <v>280.8225035485616</v>
      </c>
      <c r="BE20">
        <v>323.38810279672066</v>
      </c>
      <c r="BF20" s="6">
        <f t="shared" si="0"/>
        <v>0.85573024730875646</v>
      </c>
      <c r="BG20" s="6">
        <f t="shared" si="1"/>
        <v>0.54157098194977715</v>
      </c>
      <c r="BH20" s="6">
        <f t="shared" si="2"/>
        <v>-1.147187041786623</v>
      </c>
      <c r="BI20" s="6">
        <f t="shared" si="3"/>
        <v>1.147187041786623</v>
      </c>
      <c r="BJ20">
        <v>312.02500394284624</v>
      </c>
      <c r="BK20">
        <v>359.32011421857851</v>
      </c>
      <c r="BV20" s="37"/>
      <c r="BW20" s="6">
        <f t="shared" si="25"/>
        <v>8.7266462599716474E-2</v>
      </c>
      <c r="BX20" s="9">
        <f t="shared" ca="1" si="26"/>
        <v>135.74208004666221</v>
      </c>
      <c r="BY20" s="9">
        <f t="shared" ca="1" si="27"/>
        <v>228.8042825974162</v>
      </c>
      <c r="BZ20" s="9">
        <f t="shared" ca="1" si="28"/>
        <v>294.19573955750525</v>
      </c>
      <c r="CA20" s="6">
        <f t="shared" ca="1" si="29"/>
        <v>244.06994871363494</v>
      </c>
      <c r="CB20" s="6">
        <f t="shared" ca="1" si="30"/>
        <v>0.69254134374669252</v>
      </c>
      <c r="CC20" s="6">
        <f t="shared" ca="1" si="31"/>
        <v>2.6180533583654633</v>
      </c>
      <c r="CD20" s="9">
        <f t="shared" si="32"/>
        <v>194.19573955750525</v>
      </c>
      <c r="CE20" s="9">
        <f t="shared" si="33"/>
        <v>274.06994871363497</v>
      </c>
      <c r="CF20" s="6">
        <f t="shared" si="34"/>
        <v>0.95434667958323882</v>
      </c>
      <c r="CG20" s="6"/>
      <c r="CH20" s="6"/>
      <c r="CI20" s="6"/>
      <c r="CJ20" s="1"/>
      <c r="CK20" s="6"/>
      <c r="CU20">
        <v>6.2125498408078199</v>
      </c>
      <c r="CV20">
        <v>6.2125258723580092</v>
      </c>
      <c r="CW20">
        <v>6.2125378565829141</v>
      </c>
      <c r="CX20">
        <v>3.6069024888785167E-4</v>
      </c>
      <c r="CY20">
        <v>-1.5972211956094551E-4</v>
      </c>
      <c r="CZ20">
        <v>1.0044165885847445E-4</v>
      </c>
      <c r="DC20">
        <v>-1.6500316821892376</v>
      </c>
      <c r="DD20">
        <v>5.4555671827533576</v>
      </c>
      <c r="DE20">
        <v>5.4532454935935437</v>
      </c>
      <c r="DF20">
        <v>34.465284196027341</v>
      </c>
      <c r="DG20">
        <v>-2.0206349921377198</v>
      </c>
      <c r="DH20">
        <v>0.53848301910817575</v>
      </c>
      <c r="DV20" t="s">
        <v>193</v>
      </c>
      <c r="DW20">
        <f t="array" aca="1" ref="DW20:DZ20" ca="1">MMULT(DW10:DZ10,DW16:DZ19)</f>
        <v>1876.3505000000002</v>
      </c>
      <c r="DX20">
        <f ca="1"/>
        <v>-679.87039175228563</v>
      </c>
      <c r="DY20">
        <f ca="1"/>
        <v>1.1368683772161603E-13</v>
      </c>
      <c r="DZ20" s="9">
        <f ca="1"/>
        <v>0</v>
      </c>
      <c r="EB20">
        <f t="array" aca="1" ref="EB20:EE20" ca="1">MMULT(EB10:EE10,DW16:DZ19)</f>
        <v>180.64000000000001</v>
      </c>
      <c r="EC20">
        <f ca="1"/>
        <v>1.8229113078534507</v>
      </c>
      <c r="ED20">
        <f ca="1"/>
        <v>-30.656695750907346</v>
      </c>
      <c r="EE20" s="9">
        <f ca="1"/>
        <v>0</v>
      </c>
    </row>
    <row r="21" spans="1:136" x14ac:dyDescent="0.25">
      <c r="A21">
        <v>7</v>
      </c>
      <c r="B21" s="19">
        <v>0</v>
      </c>
      <c r="C21" s="6">
        <f t="shared" ca="1" si="23"/>
        <v>0</v>
      </c>
      <c r="D21" s="2">
        <v>8</v>
      </c>
      <c r="E21" s="2">
        <v>17.5</v>
      </c>
      <c r="G21" s="1">
        <v>9</v>
      </c>
      <c r="H21" s="6">
        <v>1.1279999999999999</v>
      </c>
      <c r="I21" s="6">
        <v>1</v>
      </c>
      <c r="K21" s="1" t="e">
        <f t="shared" si="20"/>
        <v>#N/A</v>
      </c>
      <c r="L21" s="1" t="e">
        <f t="shared" si="21"/>
        <v>#N/A</v>
      </c>
      <c r="T21" s="8" t="s">
        <v>107</v>
      </c>
      <c r="U21" s="38">
        <f ca="1">U16-U19</f>
        <v>6.3222489478006377E-2</v>
      </c>
      <c r="V21" s="38">
        <f t="shared" ref="V21:W21" ca="1" si="38">V16-V19</f>
        <v>-3.8693604293326134E-3</v>
      </c>
      <c r="W21" s="38">
        <f t="shared" ca="1" si="38"/>
        <v>1.160808128793489E-3</v>
      </c>
      <c r="BC21">
        <v>0.33161255787892269</v>
      </c>
      <c r="BD21">
        <v>280.00435164478023</v>
      </c>
      <c r="BE21">
        <v>325.83412277502447</v>
      </c>
      <c r="BF21" s="6">
        <f t="shared" si="0"/>
        <v>0.86090121005747755</v>
      </c>
      <c r="BG21" s="6">
        <f t="shared" si="1"/>
        <v>0.52928865217855492</v>
      </c>
      <c r="BH21" s="6">
        <f t="shared" si="2"/>
        <v>-1.1523580045353443</v>
      </c>
      <c r="BI21" s="6">
        <f t="shared" si="3"/>
        <v>1.1523580045353443</v>
      </c>
      <c r="BJ21">
        <v>311.11594627197803</v>
      </c>
      <c r="BK21">
        <v>362.03791419447163</v>
      </c>
      <c r="BV21" s="37"/>
      <c r="BW21" s="6">
        <f t="shared" si="25"/>
        <v>0.10471975511965977</v>
      </c>
      <c r="BX21" s="9">
        <f t="shared" ca="1" si="26"/>
        <v>134.35648965023509</v>
      </c>
      <c r="BY21" s="9">
        <f t="shared" ca="1" si="27"/>
        <v>243.25365103538169</v>
      </c>
      <c r="BZ21" s="9">
        <f t="shared" ca="1" si="28"/>
        <v>292.81014916107813</v>
      </c>
      <c r="CA21" s="6">
        <f t="shared" ca="1" si="29"/>
        <v>258.51931715160043</v>
      </c>
      <c r="CB21" s="6">
        <f t="shared" ca="1" si="30"/>
        <v>0.72328155375772141</v>
      </c>
      <c r="CC21" s="6">
        <f t="shared" ca="1" si="31"/>
        <v>2.5839976795434461</v>
      </c>
      <c r="CD21" s="9">
        <f t="shared" si="32"/>
        <v>192.81014916107813</v>
      </c>
      <c r="CE21" s="9">
        <f t="shared" si="33"/>
        <v>288.51931715160043</v>
      </c>
      <c r="CF21" s="6">
        <f t="shared" si="34"/>
        <v>0.98168132171206601</v>
      </c>
      <c r="CG21" s="6"/>
      <c r="CH21" s="6"/>
      <c r="CI21" s="6"/>
      <c r="CJ21" s="1"/>
      <c r="CK21" s="6"/>
      <c r="CU21">
        <v>6.2125378565829141</v>
      </c>
      <c r="CV21">
        <v>6.2125258723580092</v>
      </c>
      <c r="CW21">
        <v>6.2125318644704617</v>
      </c>
      <c r="CX21">
        <v>1.0044165885847445E-4</v>
      </c>
      <c r="CY21">
        <v>-1.5972211956094551E-4</v>
      </c>
      <c r="CZ21">
        <v>-2.9650829449501259E-5</v>
      </c>
      <c r="DC21">
        <v>-1.7300493588970596</v>
      </c>
      <c r="DD21">
        <v>5.4532454935935437</v>
      </c>
      <c r="DE21">
        <v>5.3790796220394279</v>
      </c>
      <c r="DF21">
        <v>3.9180505420020819</v>
      </c>
      <c r="DG21">
        <v>0.37975432597864583</v>
      </c>
      <c r="DH21">
        <v>0.61264889066229156</v>
      </c>
      <c r="DV21" t="s">
        <v>194</v>
      </c>
      <c r="DW21">
        <f t="array" aca="1" ref="DW21:DZ21" ca="1">MMULT(DW11:DZ11,DW16:DZ19)</f>
        <v>0</v>
      </c>
      <c r="DX21">
        <f ca="1"/>
        <v>0</v>
      </c>
      <c r="DY21">
        <f ca="1"/>
        <v>0</v>
      </c>
      <c r="DZ21" s="9">
        <f ca="1"/>
        <v>0</v>
      </c>
      <c r="EB21">
        <f t="array" aca="1" ref="EB21:EE21" ca="1">MMULT(EB11:EE11,DW16:DZ19)</f>
        <v>180.63999999996858</v>
      </c>
      <c r="EC21">
        <f ca="1"/>
        <v>-37.796335661553719</v>
      </c>
      <c r="ED21">
        <f ca="1"/>
        <v>172.24361626413898</v>
      </c>
      <c r="EE21" s="9">
        <f ca="1"/>
        <v>0</v>
      </c>
    </row>
    <row r="22" spans="1:136" x14ac:dyDescent="0.25">
      <c r="A22">
        <v>8</v>
      </c>
      <c r="B22" s="19">
        <v>0</v>
      </c>
      <c r="C22" s="6">
        <f t="shared" ca="1" si="23"/>
        <v>0</v>
      </c>
      <c r="D22" s="2">
        <v>13.5</v>
      </c>
      <c r="E22" s="2">
        <v>7.5</v>
      </c>
      <c r="G22" s="1">
        <v>10</v>
      </c>
      <c r="H22" s="6">
        <v>1.27</v>
      </c>
      <c r="I22" s="6">
        <v>1.27</v>
      </c>
      <c r="K22" s="1" t="e">
        <f t="shared" si="20"/>
        <v>#N/A</v>
      </c>
      <c r="L22" s="1" t="e">
        <f t="shared" si="21"/>
        <v>#N/A</v>
      </c>
      <c r="U22" s="1" t="s">
        <v>99</v>
      </c>
      <c r="V22" s="1" t="s">
        <v>100</v>
      </c>
      <c r="W22" s="1" t="s">
        <v>101</v>
      </c>
      <c r="BC22">
        <v>0.34906585039886601</v>
      </c>
      <c r="BD22">
        <v>279.19946280731807</v>
      </c>
      <c r="BE22">
        <v>328.10773839488132</v>
      </c>
      <c r="BF22" s="6">
        <f t="shared" si="0"/>
        <v>0.86575774489115076</v>
      </c>
      <c r="BG22" s="6">
        <f t="shared" si="1"/>
        <v>0.5166918944922847</v>
      </c>
      <c r="BH22" s="6">
        <f t="shared" si="2"/>
        <v>-1.1572145393690179</v>
      </c>
      <c r="BI22" s="6">
        <f t="shared" si="3"/>
        <v>1.1572145393690179</v>
      </c>
      <c r="BJ22">
        <v>310.22162534146452</v>
      </c>
      <c r="BK22">
        <v>364.56415377209038</v>
      </c>
      <c r="BV22" s="37"/>
      <c r="BW22" s="6">
        <f t="shared" si="25"/>
        <v>0.12217304763960306</v>
      </c>
      <c r="BX22" s="9">
        <f t="shared" ca="1" si="26"/>
        <v>133.07840700152039</v>
      </c>
      <c r="BY22" s="9">
        <f t="shared" ca="1" si="27"/>
        <v>254.50428382228083</v>
      </c>
      <c r="BZ22" s="9">
        <f t="shared" ca="1" si="28"/>
        <v>291.53206651236343</v>
      </c>
      <c r="CA22" s="6">
        <f t="shared" ca="1" si="29"/>
        <v>269.76994993849956</v>
      </c>
      <c r="CB22" s="6">
        <f t="shared" ca="1" si="30"/>
        <v>0.7466467930432481</v>
      </c>
      <c r="CC22" s="6">
        <f t="shared" ca="1" si="31"/>
        <v>2.5559566792115151</v>
      </c>
      <c r="CD22" s="9">
        <f t="shared" si="32"/>
        <v>191.53206651236343</v>
      </c>
      <c r="CE22" s="9">
        <f t="shared" si="33"/>
        <v>299.76994993849956</v>
      </c>
      <c r="CF22" s="6">
        <f t="shared" si="34"/>
        <v>1.0022424609643996</v>
      </c>
      <c r="CG22" s="6"/>
      <c r="CH22" s="6"/>
      <c r="CI22" s="6"/>
      <c r="CJ22" s="1"/>
      <c r="CK22" s="6"/>
      <c r="CU22">
        <v>6.2125378565829141</v>
      </c>
      <c r="CV22">
        <v>6.2125318644704617</v>
      </c>
      <c r="CW22">
        <v>6.2125348605266879</v>
      </c>
      <c r="CX22">
        <v>1.0044165885847445E-4</v>
      </c>
      <c r="CY22">
        <v>-2.9650829449501259E-5</v>
      </c>
      <c r="CZ22">
        <v>3.5392764302644153E-5</v>
      </c>
      <c r="DC22">
        <v>-2.0206349921377198</v>
      </c>
      <c r="DD22">
        <v>5.3790796220394279</v>
      </c>
      <c r="DE22">
        <v>0.87365590959179351</v>
      </c>
      <c r="DF22">
        <v>-0.5327777077846293</v>
      </c>
      <c r="DG22">
        <v>-2.3470406637815713</v>
      </c>
      <c r="DH22">
        <v>5.1180726031099262</v>
      </c>
      <c r="EB22">
        <f t="array" aca="1" ref="EB22:EE22" ca="1">MMULT(EB12:EE12,DW16:DZ19)</f>
        <v>180.63999999996858</v>
      </c>
      <c r="EC22">
        <f ca="1"/>
        <v>-4.9300283784401699</v>
      </c>
      <c r="ED22">
        <f ca="1"/>
        <v>-28.559601190979102</v>
      </c>
      <c r="EE22">
        <f ca="1"/>
        <v>0</v>
      </c>
    </row>
    <row r="23" spans="1:136" x14ac:dyDescent="0.25">
      <c r="A23">
        <v>9</v>
      </c>
      <c r="B23" s="19">
        <v>0</v>
      </c>
      <c r="C23" s="6">
        <f t="shared" ca="1" si="23"/>
        <v>0</v>
      </c>
      <c r="D23" s="2">
        <v>13.5</v>
      </c>
      <c r="E23" s="2">
        <v>12.5</v>
      </c>
      <c r="G23" s="1">
        <v>11</v>
      </c>
      <c r="H23" s="6">
        <v>1.41</v>
      </c>
      <c r="I23" s="6">
        <v>1.56</v>
      </c>
      <c r="K23" s="1" t="e">
        <f t="shared" si="20"/>
        <v>#N/A</v>
      </c>
      <c r="L23" s="1" t="e">
        <f t="shared" si="21"/>
        <v>#N/A</v>
      </c>
      <c r="T23" s="8" t="s">
        <v>108</v>
      </c>
      <c r="U23" s="38">
        <f ca="1">SQRT(POWER(U21,2)+POWER(V21,2)+POWER(W21,2))</f>
        <v>6.3351421463457208E-2</v>
      </c>
      <c r="V23" t="str">
        <f ca="1">IF(ABS(U23)&lt;=L1,"","NG")</f>
        <v>NG</v>
      </c>
      <c r="BC23">
        <v>0.36651914291880933</v>
      </c>
      <c r="BD23">
        <v>278.40612860852229</v>
      </c>
      <c r="BE23">
        <v>330.23017403599681</v>
      </c>
      <c r="BF23" s="6">
        <f t="shared" si="0"/>
        <v>0.87034108120731113</v>
      </c>
      <c r="BG23" s="6">
        <f t="shared" si="1"/>
        <v>0.50382193828850186</v>
      </c>
      <c r="BH23" s="6">
        <f t="shared" si="2"/>
        <v>-1.1617978756851779</v>
      </c>
      <c r="BI23" s="6">
        <f t="shared" si="3"/>
        <v>1.1617978756851779</v>
      </c>
      <c r="BJ23">
        <v>309.34014289835812</v>
      </c>
      <c r="BK23">
        <v>366.92241559555202</v>
      </c>
      <c r="BV23" s="37"/>
      <c r="BW23" s="6">
        <f t="shared" si="25"/>
        <v>0.13962634015954636</v>
      </c>
      <c r="BX23" s="9">
        <f t="shared" ca="1" si="26"/>
        <v>131.88454154319763</v>
      </c>
      <c r="BY23" s="9">
        <f t="shared" ca="1" si="27"/>
        <v>263.59257519298518</v>
      </c>
      <c r="BZ23" s="9">
        <f t="shared" ca="1" si="28"/>
        <v>290.33820105404067</v>
      </c>
      <c r="CA23" s="6">
        <f t="shared" ca="1" si="29"/>
        <v>278.85824130920389</v>
      </c>
      <c r="CB23" s="6">
        <f t="shared" ca="1" si="30"/>
        <v>0.76523218435074492</v>
      </c>
      <c r="CC23" s="6">
        <f t="shared" ca="1" si="31"/>
        <v>2.5327160660075974</v>
      </c>
      <c r="CD23" s="9">
        <f t="shared" si="32"/>
        <v>190.33820105404067</v>
      </c>
      <c r="CE23" s="9">
        <f t="shared" si="33"/>
        <v>308.85824130920389</v>
      </c>
      <c r="CF23" s="6">
        <f t="shared" si="34"/>
        <v>1.0185037909515047</v>
      </c>
      <c r="CG23" s="6"/>
      <c r="CH23" s="6"/>
      <c r="CI23" s="6"/>
      <c r="CJ23" s="1"/>
      <c r="CK23" s="6"/>
      <c r="CU23">
        <v>6.2125348605266879</v>
      </c>
      <c r="CV23">
        <v>6.2125318644704617</v>
      </c>
      <c r="CW23">
        <v>6.2125333624985748</v>
      </c>
      <c r="CX23">
        <v>3.5392764302644153E-5</v>
      </c>
      <c r="CY23">
        <v>-2.9650829449501259E-5</v>
      </c>
      <c r="CZ23">
        <v>2.8703049670397718E-6</v>
      </c>
      <c r="DC23">
        <v>0.37975432597864583</v>
      </c>
      <c r="DD23">
        <v>0.87365590959179351</v>
      </c>
      <c r="DE23">
        <v>4.7707268994876735</v>
      </c>
      <c r="DF23">
        <v>-0.69970369973503366</v>
      </c>
      <c r="DG23">
        <v>3.0818052972497023</v>
      </c>
      <c r="DH23">
        <v>1.221001613214046</v>
      </c>
      <c r="DV23" t="s">
        <v>201</v>
      </c>
    </row>
    <row r="24" spans="1:136" ht="15.75" thickBot="1" x14ac:dyDescent="0.3">
      <c r="A24">
        <v>10</v>
      </c>
      <c r="B24" s="19">
        <v>0</v>
      </c>
      <c r="C24" s="11">
        <f t="shared" ca="1" si="23"/>
        <v>0</v>
      </c>
      <c r="D24" s="2">
        <v>13.5</v>
      </c>
      <c r="E24" s="2">
        <v>17.5</v>
      </c>
      <c r="G24" s="1">
        <v>14</v>
      </c>
      <c r="H24" s="6">
        <v>1.6930000000000001</v>
      </c>
      <c r="I24" s="6">
        <v>2.25</v>
      </c>
      <c r="K24" s="1" t="e">
        <f t="shared" si="20"/>
        <v>#N/A</v>
      </c>
      <c r="L24" s="1" t="e">
        <f t="shared" si="21"/>
        <v>#N/A</v>
      </c>
      <c r="BC24">
        <v>0.38397243543875265</v>
      </c>
      <c r="BD24">
        <v>277.6228016393087</v>
      </c>
      <c r="BE24">
        <v>332.21924184471595</v>
      </c>
      <c r="BF24" s="6">
        <f t="shared" si="0"/>
        <v>0.87468567310081369</v>
      </c>
      <c r="BG24" s="6">
        <f t="shared" si="1"/>
        <v>0.49071323766206104</v>
      </c>
      <c r="BH24" s="6">
        <f t="shared" si="2"/>
        <v>-1.1661424675786807</v>
      </c>
      <c r="BI24" s="6">
        <f t="shared" si="3"/>
        <v>1.1661424675786807</v>
      </c>
      <c r="BJ24">
        <v>308.46977959923191</v>
      </c>
      <c r="BK24">
        <v>369.13249093857326</v>
      </c>
      <c r="BV24" s="37"/>
      <c r="BW24" s="6">
        <f t="shared" si="25"/>
        <v>0.15707963267948966</v>
      </c>
      <c r="BX24" s="9">
        <f t="shared" ca="1" si="26"/>
        <v>130.75864714799306</v>
      </c>
      <c r="BY24" s="9">
        <f t="shared" ca="1" si="27"/>
        <v>271.13898065465952</v>
      </c>
      <c r="BZ24" s="9">
        <f t="shared" ca="1" si="28"/>
        <v>289.2123066588361</v>
      </c>
      <c r="CA24" s="6">
        <f t="shared" ca="1" si="29"/>
        <v>286.40464677087823</v>
      </c>
      <c r="CB24" s="6">
        <f t="shared" ca="1" si="30"/>
        <v>0.78052054885639066</v>
      </c>
      <c r="CC24" s="6">
        <f t="shared" ca="1" si="31"/>
        <v>2.5132274424081702</v>
      </c>
      <c r="CD24" s="9">
        <f t="shared" si="32"/>
        <v>189.2123066588361</v>
      </c>
      <c r="CE24" s="9">
        <f t="shared" si="33"/>
        <v>316.40464677087823</v>
      </c>
      <c r="CF24" s="6">
        <f t="shared" si="34"/>
        <v>1.0318432930972077</v>
      </c>
      <c r="CG24" s="6"/>
      <c r="CH24" s="6"/>
      <c r="CI24" s="6"/>
      <c r="CJ24" s="1"/>
      <c r="CK24" s="6"/>
      <c r="CU24">
        <v>6.2125333624985748</v>
      </c>
      <c r="CV24">
        <v>6.2125318644704617</v>
      </c>
      <c r="CW24">
        <v>6.2125326134845178</v>
      </c>
      <c r="CX24">
        <v>2.8703049670397718E-6</v>
      </c>
      <c r="CY24">
        <v>-2.9650829449501259E-5</v>
      </c>
      <c r="CZ24">
        <v>-1.339042776604682E-5</v>
      </c>
      <c r="DC24">
        <v>-2.3470406637815713</v>
      </c>
      <c r="DD24">
        <v>4.7707268994876735</v>
      </c>
      <c r="DE24">
        <v>3.5106231048490137</v>
      </c>
      <c r="DF24">
        <v>-4.3082530059264039</v>
      </c>
      <c r="DG24">
        <v>-1.3242392269723868</v>
      </c>
      <c r="DH24">
        <v>2.4811054078527057</v>
      </c>
      <c r="DV24" t="s">
        <v>197</v>
      </c>
      <c r="DW24">
        <f ca="1">ATAN2(DW20,DX20)</f>
        <v>-0.34762252583162112</v>
      </c>
    </row>
    <row r="25" spans="1:136" ht="15.75" thickTop="1" x14ac:dyDescent="0.25">
      <c r="C25" s="6">
        <f ca="1">SUM(C15:C24)</f>
        <v>3.16</v>
      </c>
      <c r="D25" s="24">
        <f ca="1">C25/(B5*F27)</f>
        <v>1.196969696969697E-2</v>
      </c>
      <c r="G25" s="1">
        <v>18</v>
      </c>
      <c r="H25" s="6">
        <v>2.2570000000000001</v>
      </c>
      <c r="I25" s="6">
        <v>4</v>
      </c>
      <c r="BC25">
        <v>0.40142572795869597</v>
      </c>
      <c r="BD25">
        <v>276.84806768590863</v>
      </c>
      <c r="BE25">
        <v>334.09001809105564</v>
      </c>
      <c r="BF25" s="6">
        <f t="shared" si="0"/>
        <v>0.87882059620161546</v>
      </c>
      <c r="BG25" s="6">
        <f t="shared" si="1"/>
        <v>0.47739486824291949</v>
      </c>
      <c r="BH25" s="6">
        <f t="shared" si="2"/>
        <v>-1.1702773906794823</v>
      </c>
      <c r="BI25" s="6">
        <f t="shared" si="3"/>
        <v>1.1702773906794823</v>
      </c>
      <c r="BJ25">
        <v>307.60896409545404</v>
      </c>
      <c r="BK25">
        <v>371.21113121228404</v>
      </c>
      <c r="BV25" s="37"/>
      <c r="BW25" s="6">
        <f t="shared" si="25"/>
        <v>0.17453292519943295</v>
      </c>
      <c r="BX25" s="9">
        <f t="shared" ca="1" si="26"/>
        <v>129.68883506163777</v>
      </c>
      <c r="BY25" s="9">
        <f t="shared" ca="1" si="27"/>
        <v>277.54062964182953</v>
      </c>
      <c r="BZ25" s="9">
        <f t="shared" ca="1" si="28"/>
        <v>288.14249457248081</v>
      </c>
      <c r="CA25" s="6">
        <f t="shared" ca="1" si="29"/>
        <v>292.80629575804824</v>
      </c>
      <c r="CB25" s="6">
        <f t="shared" ca="1" si="30"/>
        <v>0.79342589506218986</v>
      </c>
      <c r="CC25" s="6">
        <f t="shared" ca="1" si="31"/>
        <v>2.496686007574783</v>
      </c>
      <c r="CD25" s="9">
        <f t="shared" si="32"/>
        <v>188.14249457248081</v>
      </c>
      <c r="CE25" s="9">
        <f t="shared" si="33"/>
        <v>322.80629575804824</v>
      </c>
      <c r="CF25" s="6">
        <f t="shared" si="34"/>
        <v>1.0430944958196682</v>
      </c>
      <c r="CG25" s="6"/>
      <c r="CH25" s="6"/>
      <c r="CI25" s="6"/>
      <c r="CJ25" s="1"/>
      <c r="CK25" s="6"/>
      <c r="CU25">
        <v>6.2125333624985748</v>
      </c>
      <c r="CV25">
        <v>6.2125326134845178</v>
      </c>
      <c r="CW25">
        <v>6.2125329879915459</v>
      </c>
      <c r="CX25">
        <v>2.8703049670397718E-6</v>
      </c>
      <c r="CY25">
        <v>-1.339042776604682E-5</v>
      </c>
      <c r="CZ25">
        <v>-5.2601025890552933E-6</v>
      </c>
      <c r="DC25">
        <v>3.0818052972497023</v>
      </c>
      <c r="DD25">
        <v>3.5106231048490137</v>
      </c>
      <c r="DE25">
        <v>5.4652817120238524</v>
      </c>
      <c r="DF25">
        <v>-2.2541248420819406</v>
      </c>
      <c r="DG25">
        <v>-2.5109160384149267</v>
      </c>
      <c r="DH25">
        <v>0.52644680067786709</v>
      </c>
      <c r="DV25" t="s">
        <v>198</v>
      </c>
      <c r="DW25">
        <v>0</v>
      </c>
      <c r="DX25">
        <v>0</v>
      </c>
      <c r="DY25">
        <v>1</v>
      </c>
    </row>
    <row r="26" spans="1:136" x14ac:dyDescent="0.25">
      <c r="E26" s="8" t="s">
        <v>86</v>
      </c>
      <c r="F26" s="20" t="s">
        <v>80</v>
      </c>
      <c r="G26" s="1" t="s">
        <v>81</v>
      </c>
      <c r="H26" s="23">
        <v>4.0000000000000001E-3</v>
      </c>
      <c r="I26" s="6">
        <f>IF(F26="web",(B5*F27)*H26,G12*H26)</f>
        <v>1.056</v>
      </c>
      <c r="BC26">
        <v>0.41887902047863929</v>
      </c>
      <c r="BD26">
        <v>276.08062305784705</v>
      </c>
      <c r="BE26">
        <v>335.85536278799395</v>
      </c>
      <c r="BF26" s="6">
        <f t="shared" si="0"/>
        <v>0.88277061026593417</v>
      </c>
      <c r="BG26" s="6">
        <f t="shared" si="1"/>
        <v>0.46389158978729489</v>
      </c>
      <c r="BH26" s="6">
        <f t="shared" si="2"/>
        <v>-1.1742274047438015</v>
      </c>
      <c r="BI26" s="6">
        <f t="shared" si="3"/>
        <v>1.1742274047438015</v>
      </c>
      <c r="BJ26">
        <v>306.75624784205229</v>
      </c>
      <c r="BK26">
        <v>373.1726253199933</v>
      </c>
      <c r="BV26" s="37"/>
      <c r="BW26" s="6">
        <f t="shared" si="25"/>
        <v>0.19198621771937624</v>
      </c>
      <c r="BX26" s="9">
        <f t="shared" ca="1" si="26"/>
        <v>128.66607620116983</v>
      </c>
      <c r="BY26" s="9">
        <f t="shared" ca="1" si="27"/>
        <v>283.06506289665413</v>
      </c>
      <c r="BZ26" s="9">
        <f t="shared" ca="1" si="28"/>
        <v>287.11973571201287</v>
      </c>
      <c r="CA26" s="6">
        <f t="shared" ca="1" si="29"/>
        <v>298.33072901287284</v>
      </c>
      <c r="CB26" s="6">
        <f t="shared" ca="1" si="30"/>
        <v>0.80454516887474792</v>
      </c>
      <c r="CC26" s="6">
        <f t="shared" ca="1" si="31"/>
        <v>2.4824879165767602</v>
      </c>
      <c r="CD26" s="9">
        <f t="shared" si="32"/>
        <v>187.11973571201287</v>
      </c>
      <c r="CE26" s="9">
        <f t="shared" si="33"/>
        <v>328.33072901287284</v>
      </c>
      <c r="CF26" s="6">
        <f t="shared" si="34"/>
        <v>1.0527939605324239</v>
      </c>
      <c r="CG26" s="6"/>
      <c r="CH26" s="6"/>
      <c r="CI26" s="6"/>
      <c r="CJ26" s="1"/>
      <c r="CK26" s="6"/>
      <c r="CU26">
        <v>6.2125333624985748</v>
      </c>
      <c r="CV26">
        <v>6.2125329879915459</v>
      </c>
      <c r="CW26">
        <v>6.2125331752450599</v>
      </c>
      <c r="CX26">
        <v>2.8703049670397718E-6</v>
      </c>
      <c r="CY26">
        <v>-5.2601025890552933E-6</v>
      </c>
      <c r="CZ26">
        <v>-1.1949091205387674E-6</v>
      </c>
      <c r="DC26">
        <v>-1.3242392269723868</v>
      </c>
      <c r="DD26">
        <v>5.4652817120238524</v>
      </c>
      <c r="DE26">
        <v>4.2830514791876908</v>
      </c>
      <c r="DF26">
        <v>1.0037611782230531</v>
      </c>
      <c r="DG26">
        <v>-0.79581236605221406</v>
      </c>
      <c r="DH26">
        <v>1.7086770335140287</v>
      </c>
      <c r="DW26">
        <f ca="1">(DW25*DW25*(1-COS(DW24)))+COS(DW24)</f>
        <v>0.94018528791287503</v>
      </c>
      <c r="DX26">
        <f ca="1">(DX25*DW25*(1-COS(DW24)))-(DY25*SIN(DW24))</f>
        <v>0.34066350610563523</v>
      </c>
      <c r="DY26">
        <f ca="1">(DY25*DW25*(1-COS(DW24)))+(DX25*SIN(DW24))</f>
        <v>0</v>
      </c>
      <c r="DZ26">
        <v>0</v>
      </c>
    </row>
    <row r="27" spans="1:136" x14ac:dyDescent="0.25">
      <c r="A27" s="8" t="s">
        <v>15</v>
      </c>
      <c r="B27" s="32">
        <v>-4.7269257861390475E-2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3">
        <v>1E-3</v>
      </c>
      <c r="I27" s="6">
        <f>IF(F26="web",(B5*F27)*H27,G12*H27)</f>
        <v>0.26400000000000001</v>
      </c>
      <c r="BC27">
        <v>0.43633231299858261</v>
      </c>
      <c r="BD27">
        <v>275.31925587764698</v>
      </c>
      <c r="BE27">
        <v>337.5263237714961</v>
      </c>
      <c r="BF27" s="6">
        <f t="shared" si="0"/>
        <v>0.88655697819643853</v>
      </c>
      <c r="BG27" s="6">
        <f t="shared" si="1"/>
        <v>0.45022466519785592</v>
      </c>
      <c r="BH27" s="6">
        <f t="shared" si="2"/>
        <v>-1.1780137726743052</v>
      </c>
      <c r="BI27" s="6">
        <f t="shared" si="3"/>
        <v>1.1780137726743052</v>
      </c>
      <c r="BJ27">
        <v>305.91028430849661</v>
      </c>
      <c r="BK27">
        <v>375.02924863499567</v>
      </c>
      <c r="BV27" s="37"/>
      <c r="BW27" s="6">
        <f t="shared" si="25"/>
        <v>0.20943951023931953</v>
      </c>
      <c r="BX27" s="9">
        <f t="shared" ca="1" si="26"/>
        <v>127.68330622565074</v>
      </c>
      <c r="BY27" s="9">
        <f t="shared" ca="1" si="27"/>
        <v>287.89997393526988</v>
      </c>
      <c r="BZ27" s="9">
        <f t="shared" ca="1" si="28"/>
        <v>286.13696573649378</v>
      </c>
      <c r="CA27" s="6">
        <f t="shared" ca="1" si="29"/>
        <v>303.16564005148859</v>
      </c>
      <c r="CB27" s="6">
        <f t="shared" ca="1" si="30"/>
        <v>0.81428644064214706</v>
      </c>
      <c r="CC27" s="6">
        <f t="shared" ca="1" si="31"/>
        <v>2.4701788388822377</v>
      </c>
      <c r="CD27" s="9">
        <f t="shared" si="32"/>
        <v>186.13696573649378</v>
      </c>
      <c r="CE27" s="9">
        <f t="shared" si="33"/>
        <v>333.16564005148859</v>
      </c>
      <c r="CF27" s="6">
        <f t="shared" si="34"/>
        <v>1.0613043245303708</v>
      </c>
      <c r="CG27" s="6"/>
      <c r="CH27" s="6"/>
      <c r="CI27" s="6"/>
      <c r="CJ27" s="1"/>
      <c r="CK27" s="6"/>
      <c r="CU27">
        <v>6.2125333624985748</v>
      </c>
      <c r="CV27">
        <v>6.2125331752450599</v>
      </c>
      <c r="CW27">
        <v>6.2125332688718178</v>
      </c>
      <c r="CX27">
        <v>2.8703049670397718E-6</v>
      </c>
      <c r="CY27">
        <v>-1.1949091205387674E-6</v>
      </c>
      <c r="CZ27">
        <v>8.3769495951013795E-7</v>
      </c>
      <c r="DC27">
        <v>-2.5109160384149267</v>
      </c>
      <c r="DD27">
        <v>4.2830514791876908</v>
      </c>
      <c r="DE27">
        <v>5.4959960673945023</v>
      </c>
      <c r="DF27">
        <v>1.4140000203127838</v>
      </c>
      <c r="DG27">
        <v>-9.4846678318102992E-2</v>
      </c>
      <c r="DH27">
        <v>0.49573244530721716</v>
      </c>
      <c r="DW27">
        <f ca="1">(DW25*DX25*(1-COS(DW24)))+(DY25*SIN(DW24))</f>
        <v>-0.34066350610563523</v>
      </c>
      <c r="DX27">
        <f ca="1">(DX25*DX25*(1-COS(DW24)))+COS(DW24)</f>
        <v>0.94018528791287503</v>
      </c>
      <c r="DY27">
        <f ca="1">(DY25*DX25*(1-COS(DW24)))-(DW25*SIN(DW24))</f>
        <v>0</v>
      </c>
      <c r="DZ27">
        <v>0</v>
      </c>
    </row>
    <row r="28" spans="1:136" x14ac:dyDescent="0.25">
      <c r="A28" s="8" t="s">
        <v>17</v>
      </c>
      <c r="B28" s="32">
        <v>2.6392594719216254</v>
      </c>
      <c r="C28" t="s">
        <v>4</v>
      </c>
      <c r="E28" s="8" t="s">
        <v>87</v>
      </c>
      <c r="F28" s="22">
        <f>MAX(200/(B12*1000),(3*SQRT(B2*1000))/(B12*1000))</f>
        <v>3.5355339059327377E-3</v>
      </c>
      <c r="G28" s="1" t="s">
        <v>83</v>
      </c>
      <c r="H28" s="21" t="s">
        <v>85</v>
      </c>
      <c r="I28" s="7">
        <v>1.056</v>
      </c>
      <c r="BC28">
        <v>0.45378560551852593</v>
      </c>
      <c r="BD28">
        <v>274.56283044665321</v>
      </c>
      <c r="BE28">
        <v>339.11245443145572</v>
      </c>
      <c r="BF28" s="6">
        <f t="shared" si="0"/>
        <v>0.89019810497278307</v>
      </c>
      <c r="BG28" s="6">
        <f t="shared" si="1"/>
        <v>0.43641249945425714</v>
      </c>
      <c r="BH28" s="6">
        <f t="shared" si="2"/>
        <v>-1.1816548994506502</v>
      </c>
      <c r="BI28" s="6">
        <f t="shared" si="3"/>
        <v>1.1816548994506502</v>
      </c>
      <c r="BJ28">
        <v>305.06981160739247</v>
      </c>
      <c r="BK28">
        <v>376.79161603495078</v>
      </c>
      <c r="BV28" s="37"/>
      <c r="BW28" s="6">
        <f t="shared" si="25"/>
        <v>0.22689280275926282</v>
      </c>
      <c r="BX28" s="9">
        <f t="shared" ca="1" si="26"/>
        <v>126.73486083757612</v>
      </c>
      <c r="BY28" s="9">
        <f t="shared" ca="1" si="27"/>
        <v>292.1814450741831</v>
      </c>
      <c r="BZ28" s="9">
        <f t="shared" ca="1" si="28"/>
        <v>285.18852034841916</v>
      </c>
      <c r="CA28" s="6">
        <f t="shared" ca="1" si="29"/>
        <v>307.44711119040181</v>
      </c>
      <c r="CB28" s="6">
        <f t="shared" ca="1" si="30"/>
        <v>0.82293916183610316</v>
      </c>
      <c r="CC28" s="6">
        <f t="shared" ca="1" si="31"/>
        <v>2.4594131562905472</v>
      </c>
      <c r="CD28" s="9">
        <f t="shared" si="32"/>
        <v>185.18852034841916</v>
      </c>
      <c r="CE28" s="9">
        <f t="shared" si="33"/>
        <v>337.44711119040181</v>
      </c>
      <c r="CF28" s="6">
        <f t="shared" si="34"/>
        <v>1.0688804774651579</v>
      </c>
      <c r="CG28" s="6"/>
      <c r="CH28" s="6"/>
      <c r="CI28" s="6"/>
      <c r="CJ28" s="1"/>
      <c r="CK28" s="6"/>
      <c r="CU28">
        <v>6.2125332688718178</v>
      </c>
      <c r="CV28">
        <v>6.2125331752450599</v>
      </c>
      <c r="CW28">
        <v>6.2125332220584388</v>
      </c>
      <c r="CX28">
        <v>8.3769495951013795E-7</v>
      </c>
      <c r="CY28">
        <v>-1.1949091205387674E-6</v>
      </c>
      <c r="CZ28">
        <v>-1.7860752155041126E-7</v>
      </c>
      <c r="DC28">
        <v>-0.79581236605221406</v>
      </c>
      <c r="DD28">
        <v>5.4959960673945023</v>
      </c>
      <c r="DE28">
        <v>5.7960524583947581</v>
      </c>
      <c r="DF28">
        <v>2.3361131732518685</v>
      </c>
      <c r="DG28">
        <v>0.36227472983833742</v>
      </c>
      <c r="DH28">
        <v>0.19567605430696133</v>
      </c>
      <c r="DW28">
        <f ca="1">(DW25*DY25*(1-COS(DW24)))-(DX25*SIN(DW24))</f>
        <v>0</v>
      </c>
      <c r="DX28">
        <f ca="1">(DX25*DY25*(1-COS(DW24)))+(DW25*SIN(DW24))</f>
        <v>0</v>
      </c>
      <c r="DY28">
        <f ca="1">(DY25*DY25*(1-COS(DW24)))+COS(DW24)</f>
        <v>1</v>
      </c>
      <c r="DZ28">
        <v>0</v>
      </c>
    </row>
    <row r="29" spans="1:136" x14ac:dyDescent="0.25">
      <c r="A29" s="8" t="s">
        <v>18</v>
      </c>
      <c r="B29" s="6">
        <f>B28*B4</f>
        <v>2.1114075775373</v>
      </c>
      <c r="C29" t="s">
        <v>4</v>
      </c>
      <c r="G29" s="1" t="s">
        <v>84</v>
      </c>
      <c r="H29" s="21" t="s">
        <v>85</v>
      </c>
      <c r="I29" s="7">
        <v>5</v>
      </c>
      <c r="BC29">
        <v>0.47123889803846924</v>
      </c>
      <c r="BD29">
        <v>273.81027401802396</v>
      </c>
      <c r="BE29">
        <v>340.62206609401818</v>
      </c>
      <c r="BF29" s="6">
        <f t="shared" si="0"/>
        <v>0.89371004166049794</v>
      </c>
      <c r="BG29" s="6">
        <f t="shared" si="1"/>
        <v>0.4224711436220287</v>
      </c>
      <c r="BH29" s="6">
        <f t="shared" si="2"/>
        <v>-1.1851668361383647</v>
      </c>
      <c r="BI29" s="6">
        <f t="shared" si="3"/>
        <v>1.1851668361383647</v>
      </c>
      <c r="BJ29">
        <v>304.23363779780442</v>
      </c>
      <c r="BK29">
        <v>378.46896232668684</v>
      </c>
      <c r="BV29" s="37"/>
      <c r="BW29" s="6">
        <f t="shared" si="25"/>
        <v>0.24434609527920612</v>
      </c>
      <c r="BX29" s="9">
        <f t="shared" ca="1" si="26"/>
        <v>125.81610344512839</v>
      </c>
      <c r="BY29" s="9">
        <f t="shared" ca="1" si="27"/>
        <v>296.01086742051473</v>
      </c>
      <c r="BZ29" s="9">
        <f t="shared" ca="1" si="28"/>
        <v>284.26976295597143</v>
      </c>
      <c r="CA29" s="6">
        <f t="shared" ca="1" si="29"/>
        <v>311.27653353673344</v>
      </c>
      <c r="CB29" s="6">
        <f t="shared" ca="1" si="30"/>
        <v>0.83071501117772406</v>
      </c>
      <c r="CC29" s="6">
        <f t="shared" ca="1" si="31"/>
        <v>2.4499243949836234</v>
      </c>
      <c r="CD29" s="9">
        <f t="shared" si="32"/>
        <v>184.26976295597143</v>
      </c>
      <c r="CE29" s="9">
        <f t="shared" si="33"/>
        <v>341.27653353673344</v>
      </c>
      <c r="CF29" s="6">
        <f t="shared" si="34"/>
        <v>1.0757074506760864</v>
      </c>
      <c r="CG29" s="6"/>
      <c r="CH29" s="6"/>
      <c r="CI29" s="6"/>
      <c r="CJ29" s="1"/>
      <c r="CK29" s="6"/>
      <c r="CU29">
        <v>6.2125332688718178</v>
      </c>
      <c r="CV29">
        <v>6.2125332220584388</v>
      </c>
      <c r="CW29">
        <v>6.2125332454651279</v>
      </c>
      <c r="CX29">
        <v>8.3769495951013795E-7</v>
      </c>
      <c r="CY29">
        <v>-1.7860752155041126E-7</v>
      </c>
      <c r="CZ29">
        <v>3.2954307838117813E-7</v>
      </c>
      <c r="DC29">
        <v>-9.4846678318102992E-2</v>
      </c>
      <c r="DD29">
        <v>5.7960524583947581</v>
      </c>
      <c r="DE29">
        <v>0.86924965833225709</v>
      </c>
      <c r="DF29">
        <v>-9.2782566444640613E-2</v>
      </c>
      <c r="DG29">
        <v>-0.11300200482846375</v>
      </c>
      <c r="DH29">
        <v>5.1224788543694624</v>
      </c>
      <c r="DW29">
        <v>0</v>
      </c>
      <c r="DX29">
        <v>0</v>
      </c>
      <c r="DY29">
        <v>0</v>
      </c>
      <c r="DZ29">
        <v>1</v>
      </c>
      <c r="EF29" t="s">
        <v>205</v>
      </c>
    </row>
    <row r="30" spans="1:136" x14ac:dyDescent="0.25">
      <c r="A30" s="8" t="s">
        <v>102</v>
      </c>
      <c r="B30" s="1">
        <v>3.0000000000000001E-3</v>
      </c>
      <c r="BC30">
        <v>0.48869219055841256</v>
      </c>
      <c r="BD30">
        <v>273.06056546453067</v>
      </c>
      <c r="BE30">
        <v>342.06243037639234</v>
      </c>
      <c r="BF30" s="6">
        <f t="shared" si="0"/>
        <v>0.89710688711573094</v>
      </c>
      <c r="BG30" s="6">
        <f t="shared" si="1"/>
        <v>0.40841469655731838</v>
      </c>
      <c r="BH30" s="6">
        <f t="shared" si="2"/>
        <v>-1.188563681593598</v>
      </c>
      <c r="BI30" s="6">
        <f t="shared" si="3"/>
        <v>1.188563681593598</v>
      </c>
      <c r="BJ30">
        <v>303.40062829392298</v>
      </c>
      <c r="BK30">
        <v>380.06936708488035</v>
      </c>
      <c r="BV30" s="37"/>
      <c r="BW30" s="6">
        <f t="shared" si="25"/>
        <v>0.26179938779914941</v>
      </c>
      <c r="BX30" s="9">
        <f t="shared" ca="1" si="26"/>
        <v>124.92317058400144</v>
      </c>
      <c r="BY30" s="9">
        <f t="shared" ca="1" si="27"/>
        <v>299.46554125364776</v>
      </c>
      <c r="BZ30" s="9">
        <f t="shared" ca="1" si="28"/>
        <v>283.37683009484448</v>
      </c>
      <c r="CA30" s="6">
        <f t="shared" ca="1" si="29"/>
        <v>314.73120736986647</v>
      </c>
      <c r="CB30" s="6">
        <f t="shared" ca="1" si="30"/>
        <v>0.83777281918432944</v>
      </c>
      <c r="CC30" s="6">
        <f t="shared" ca="1" si="31"/>
        <v>2.4415042712631285</v>
      </c>
      <c r="CD30" s="9">
        <f t="shared" si="32"/>
        <v>183.37683009484448</v>
      </c>
      <c r="CE30" s="9">
        <f t="shared" si="33"/>
        <v>344.73120736986647</v>
      </c>
      <c r="CF30" s="6">
        <f t="shared" si="34"/>
        <v>1.0819232463106423</v>
      </c>
      <c r="CG30" s="6"/>
      <c r="CH30" s="6"/>
      <c r="CI30" s="6"/>
      <c r="CJ30" s="1"/>
      <c r="CK30" s="6"/>
      <c r="CU30">
        <v>6.2125332454651279</v>
      </c>
      <c r="CV30">
        <v>6.2125332220584388</v>
      </c>
      <c r="CW30">
        <v>6.2125332337617838</v>
      </c>
      <c r="CX30">
        <v>3.2954307838117813E-7</v>
      </c>
      <c r="CY30">
        <v>-1.7860752155041126E-7</v>
      </c>
      <c r="CZ30">
        <v>7.5468154503433027E-8</v>
      </c>
      <c r="DC30">
        <v>0.36227472983833742</v>
      </c>
      <c r="DD30">
        <v>0.86924965833225709</v>
      </c>
      <c r="DE30">
        <v>5.7591675203691839</v>
      </c>
      <c r="DF30">
        <v>-9.7195238872339995E-2</v>
      </c>
      <c r="DG30">
        <v>-0.13560582603061297</v>
      </c>
      <c r="DH30">
        <v>0.23256099233253558</v>
      </c>
      <c r="DV30" t="s">
        <v>193</v>
      </c>
      <c r="DW30">
        <f t="array" aca="1" ref="DW30:DZ30" ca="1">MMULT(DW20:DZ20,DW26:DZ29)</f>
        <v>1995.7241664197127</v>
      </c>
      <c r="DX30">
        <f ca="1"/>
        <v>0</v>
      </c>
      <c r="DY30">
        <f ca="1"/>
        <v>1.1368683772161603E-13</v>
      </c>
      <c r="DZ30" s="9">
        <f ca="1"/>
        <v>0</v>
      </c>
      <c r="EB30">
        <f t="array" aca="1" ref="EB30:EE30" ca="1">MMULT(EB20:EE20,DW26:DZ29)</f>
        <v>169.2140710511288</v>
      </c>
      <c r="EC30">
        <f ca="1"/>
        <v>63.251330135735785</v>
      </c>
      <c r="ED30">
        <f ca="1"/>
        <v>-30.656695750907346</v>
      </c>
      <c r="EE30" s="9">
        <f ca="1"/>
        <v>0</v>
      </c>
      <c r="EF30">
        <f ca="1">ATAN2(EC30,ED30)</f>
        <v>-0.4513171918511914</v>
      </c>
    </row>
    <row r="31" spans="1:136" x14ac:dyDescent="0.25">
      <c r="A31" s="8" t="s">
        <v>49</v>
      </c>
      <c r="B31" s="1">
        <f>B2*0.85</f>
        <v>4.25</v>
      </c>
      <c r="C31" t="s">
        <v>1</v>
      </c>
      <c r="BC31">
        <v>0.50614548307835583</v>
      </c>
      <c r="BD31">
        <v>272.31272544339384</v>
      </c>
      <c r="BE31">
        <v>343.43994283613131</v>
      </c>
      <c r="BF31" s="6">
        <f t="shared" si="0"/>
        <v>0.90040111126327826</v>
      </c>
      <c r="BG31" s="6">
        <f t="shared" si="1"/>
        <v>0.39425562818492244</v>
      </c>
      <c r="BH31" s="6">
        <f t="shared" si="2"/>
        <v>-1.1918579057411451</v>
      </c>
      <c r="BI31" s="6">
        <f t="shared" si="3"/>
        <v>1.1918579057411451</v>
      </c>
      <c r="BJ31">
        <v>302.56969493710426</v>
      </c>
      <c r="BK31">
        <v>381.59993648459033</v>
      </c>
      <c r="BV31" s="37"/>
      <c r="BW31" s="6">
        <f t="shared" si="25"/>
        <v>0.27925268031909273</v>
      </c>
      <c r="BX31" s="9">
        <f t="shared" ca="1" si="26"/>
        <v>124.05279245347023</v>
      </c>
      <c r="BY31" s="9">
        <f t="shared" ca="1" si="27"/>
        <v>302.6055692841939</v>
      </c>
      <c r="BZ31" s="9">
        <f t="shared" ca="1" si="28"/>
        <v>282.50645196431327</v>
      </c>
      <c r="CA31" s="6">
        <f t="shared" ca="1" si="29"/>
        <v>317.87123540041262</v>
      </c>
      <c r="CB31" s="6">
        <f t="shared" ca="1" si="30"/>
        <v>0.84423440481064416</v>
      </c>
      <c r="CC31" s="6">
        <f t="shared" ca="1" si="31"/>
        <v>2.4339878400263424</v>
      </c>
      <c r="CD31" s="9">
        <f t="shared" si="32"/>
        <v>182.50645196431327</v>
      </c>
      <c r="CE31" s="9">
        <f t="shared" si="33"/>
        <v>347.87123540041262</v>
      </c>
      <c r="CF31" s="6">
        <f t="shared" si="34"/>
        <v>1.0876331888132784</v>
      </c>
      <c r="CG31" s="6"/>
      <c r="CH31" s="6"/>
      <c r="CI31" s="6"/>
      <c r="CJ31" s="1"/>
      <c r="CK31" s="6"/>
      <c r="CU31">
        <v>6.2125332337617838</v>
      </c>
      <c r="CV31">
        <v>6.2125332220584388</v>
      </c>
      <c r="CW31">
        <v>6.2125332279101109</v>
      </c>
      <c r="CX31">
        <v>7.5468154503433027E-8</v>
      </c>
      <c r="CY31">
        <v>-1.7860752155041126E-7</v>
      </c>
      <c r="CZ31">
        <v>-5.1569712389287758E-8</v>
      </c>
      <c r="DC31">
        <v>-0.11300200482846375</v>
      </c>
      <c r="DD31">
        <v>5.7591675203691839</v>
      </c>
      <c r="DE31">
        <v>5.7246596908102205</v>
      </c>
      <c r="DF31">
        <v>0.65503456725744458</v>
      </c>
      <c r="DG31">
        <v>3.9333484145040586E-2</v>
      </c>
      <c r="DH31">
        <v>0.26706882189149894</v>
      </c>
      <c r="DV31" t="s">
        <v>194</v>
      </c>
      <c r="DW31">
        <f t="array" aca="1" ref="DW31:DY31" ca="1">MMULT(DW21:DY21,DW26:DY28)</f>
        <v>0</v>
      </c>
      <c r="DX31">
        <f ca="1"/>
        <v>0</v>
      </c>
      <c r="DY31">
        <f ca="1"/>
        <v>0</v>
      </c>
      <c r="DZ31" s="9">
        <f ca="1">SQRT(POWER(DW31,2)+POWER(DX31,2)+POWER(DY31,2))</f>
        <v>0</v>
      </c>
      <c r="EB31">
        <f t="array" aca="1" ref="EB31:EE31" ca="1">MMULT(EB21:EE21,DW26:DZ29)</f>
        <v>182.71090263296256</v>
      </c>
      <c r="EC31">
        <f ca="1"/>
        <v>26.001897016901694</v>
      </c>
      <c r="ED31">
        <f ca="1"/>
        <v>172.24361626413898</v>
      </c>
      <c r="EE31" s="9">
        <f ca="1"/>
        <v>0</v>
      </c>
      <c r="EF31">
        <f ca="1">ATAN2(EC31,ED31)</f>
        <v>1.4209676323543055</v>
      </c>
    </row>
    <row r="32" spans="1:136" x14ac:dyDescent="0.25">
      <c r="J32" t="s">
        <v>88</v>
      </c>
      <c r="N32" t="s">
        <v>89</v>
      </c>
      <c r="Q32" t="str">
        <f>IF(B1="Whitney",S60,J178)</f>
        <v>Cc = 200.7111 kips
 @ ( 9.1052 , 23.2954 )</v>
      </c>
      <c r="BC32">
        <v>0.52359877559829915</v>
      </c>
      <c r="BD32">
        <v>271.56580774512639</v>
      </c>
      <c r="BE32">
        <v>344.76025638113367</v>
      </c>
      <c r="BF32" s="6">
        <f t="shared" si="0"/>
        <v>0.90360381764893138</v>
      </c>
      <c r="BG32" s="6">
        <f t="shared" si="1"/>
        <v>0.38000504205063224</v>
      </c>
      <c r="BH32" s="6">
        <f t="shared" si="2"/>
        <v>-1.1950606121267981</v>
      </c>
      <c r="BI32" s="6">
        <f t="shared" si="3"/>
        <v>1.1950606121267981</v>
      </c>
      <c r="BJ32">
        <v>301.73978638347376</v>
      </c>
      <c r="BK32">
        <v>383.06695153459299</v>
      </c>
      <c r="BV32" s="37"/>
      <c r="BW32" s="6">
        <f t="shared" si="25"/>
        <v>0.29670597283903605</v>
      </c>
      <c r="BX32" s="9">
        <f t="shared" ca="1" si="26"/>
        <v>123.20216305101664</v>
      </c>
      <c r="BY32" s="9">
        <f t="shared" ca="1" si="27"/>
        <v>305.47848350496906</v>
      </c>
      <c r="BZ32" s="9">
        <f t="shared" ca="1" si="28"/>
        <v>281.65582256185968</v>
      </c>
      <c r="CA32" s="6">
        <f t="shared" ca="1" si="29"/>
        <v>320.74414962118777</v>
      </c>
      <c r="CB32" s="6">
        <f t="shared" ca="1" si="30"/>
        <v>0.8501949890176197</v>
      </c>
      <c r="CC32" s="6">
        <f t="shared" ca="1" si="31"/>
        <v>2.4272428765667304</v>
      </c>
      <c r="CD32" s="9">
        <f t="shared" si="32"/>
        <v>181.65582256185968</v>
      </c>
      <c r="CE32" s="9">
        <f t="shared" si="33"/>
        <v>350.74414962118777</v>
      </c>
      <c r="CF32" s="6">
        <f t="shared" si="34"/>
        <v>1.0929192766742928</v>
      </c>
      <c r="CG32" s="6"/>
      <c r="CH32" s="6"/>
      <c r="CI32" s="6"/>
      <c r="CJ32" s="1"/>
      <c r="CK32" s="6"/>
      <c r="CU32">
        <v>6.2125332337617838</v>
      </c>
      <c r="CV32">
        <v>6.2125332279101109</v>
      </c>
      <c r="CW32">
        <v>6.2125332308359473</v>
      </c>
      <c r="CX32">
        <v>7.5468154503433027E-8</v>
      </c>
      <c r="CY32">
        <v>-5.1569712389287758E-8</v>
      </c>
      <c r="CZ32">
        <v>1.1948806388772937E-8</v>
      </c>
      <c r="DC32">
        <v>-0.13560582603061297</v>
      </c>
      <c r="DD32">
        <v>5.7246596908102205</v>
      </c>
      <c r="DE32">
        <v>0.49988160295613043</v>
      </c>
      <c r="DF32">
        <v>-3.3482629737391252E-2</v>
      </c>
      <c r="DG32">
        <v>-0.14454799250840733</v>
      </c>
      <c r="DH32">
        <v>5.4918469097455889</v>
      </c>
      <c r="EB32">
        <f t="array" aca="1" ref="EB32:EE32" ca="1">MMULT(EB22:EE22,DW26:DZ29)</f>
        <v>171.51455116115193</v>
      </c>
      <c r="EC32">
        <f ca="1"/>
        <v>56.902315592508828</v>
      </c>
      <c r="ED32">
        <f ca="1"/>
        <v>-28.559601190979102</v>
      </c>
      <c r="EE32" s="9">
        <f ca="1"/>
        <v>0</v>
      </c>
      <c r="EF32">
        <f ca="1">ATAN2(COS(EF30-EF31),SIN(EF30-EF31))</f>
        <v>-1.8722848242054966</v>
      </c>
    </row>
    <row r="33" spans="1:139" x14ac:dyDescent="0.25">
      <c r="A33" t="s">
        <v>19</v>
      </c>
      <c r="J33">
        <f>(J38*COS(-1*$B$27))+(K38*SIN(-1*$B$27))+$I$2</f>
        <v>-25.016421883856427</v>
      </c>
      <c r="K33">
        <f>(-1*J38*SIN(-1*$B$27))+(K38*COS(-1*$B$27))+$I$3</f>
        <v>23.676486317617471</v>
      </c>
      <c r="N33">
        <f>IF(B1="PCA_Parabolic",NA(),(N38*COS(-1*$B$27))+(O38*SIN(-1*$B$27))+$I$2)</f>
        <v>-24.991480007253063</v>
      </c>
      <c r="O33">
        <f>(-1*N38*SIN(-1*$B$27))+(O38*COS(-1*$B$27))+$I$3</f>
        <v>24.203748610216344</v>
      </c>
      <c r="Q33" s="1">
        <f>IF(B1="Whitney",S58,G178)</f>
        <v>9.1052307551676765</v>
      </c>
      <c r="R33" s="1">
        <f>IF(B1="Whitney",T58,H178)</f>
        <v>23.295410459357868</v>
      </c>
      <c r="BC33">
        <v>0.54105206811824247</v>
      </c>
      <c r="BD33">
        <v>270.81889157659066</v>
      </c>
      <c r="BE33">
        <v>346.02839084085474</v>
      </c>
      <c r="BF33" s="6">
        <f t="shared" si="0"/>
        <v>0.90672495854317892</v>
      </c>
      <c r="BG33" s="6">
        <f t="shared" si="1"/>
        <v>0.36567289042493645</v>
      </c>
      <c r="BH33" s="6">
        <f t="shared" si="2"/>
        <v>-1.1981817530210457</v>
      </c>
      <c r="BI33" s="6">
        <f t="shared" si="3"/>
        <v>1.1981817530210457</v>
      </c>
      <c r="BJ33">
        <v>300.90987952954515</v>
      </c>
      <c r="BK33">
        <v>384.47598982317191</v>
      </c>
      <c r="BV33" s="37"/>
      <c r="BW33" s="6">
        <f t="shared" si="25"/>
        <v>0.31415926535897937</v>
      </c>
      <c r="BX33" s="9">
        <f t="shared" ca="1" si="26"/>
        <v>122.36884403771856</v>
      </c>
      <c r="BY33" s="9">
        <f t="shared" ca="1" si="27"/>
        <v>308.12243668050195</v>
      </c>
      <c r="BZ33" s="9">
        <f t="shared" ca="1" si="28"/>
        <v>280.8225035485616</v>
      </c>
      <c r="CA33" s="6">
        <f t="shared" ca="1" si="29"/>
        <v>323.38810279672066</v>
      </c>
      <c r="CB33" s="6">
        <f t="shared" ca="1" si="30"/>
        <v>0.85573024730875646</v>
      </c>
      <c r="CC33" s="6">
        <f t="shared" ca="1" si="31"/>
        <v>2.4211621930788363</v>
      </c>
      <c r="CD33" s="9">
        <f t="shared" si="32"/>
        <v>180.8225035485616</v>
      </c>
      <c r="CE33" s="9">
        <f t="shared" si="33"/>
        <v>353.38810279672066</v>
      </c>
      <c r="CF33" s="6">
        <f t="shared" si="34"/>
        <v>1.0978464666166401</v>
      </c>
      <c r="CG33" s="6"/>
      <c r="CH33" s="6"/>
      <c r="CI33" s="6"/>
      <c r="CJ33" s="1"/>
      <c r="CK33" s="6"/>
      <c r="CU33">
        <v>6.2125332308359473</v>
      </c>
      <c r="CV33">
        <v>6.2125332279101109</v>
      </c>
      <c r="CW33">
        <v>6.2125332293730295</v>
      </c>
      <c r="CX33">
        <v>1.1948806388772937E-8</v>
      </c>
      <c r="CY33">
        <v>-5.1569712389287758E-8</v>
      </c>
      <c r="CZ33">
        <v>-1.981043717957931E-8</v>
      </c>
      <c r="DC33">
        <v>3.9333484145040586E-2</v>
      </c>
      <c r="DD33">
        <v>0.49988160295613043</v>
      </c>
      <c r="DE33">
        <v>5.7134005695551036</v>
      </c>
      <c r="DF33">
        <v>-3.527012711213029E-2</v>
      </c>
      <c r="DG33">
        <v>-0.15436465444204625</v>
      </c>
      <c r="DH33">
        <v>0.27832794314661591</v>
      </c>
    </row>
    <row r="34" spans="1:139" x14ac:dyDescent="0.25">
      <c r="J34">
        <f>(J39*COS(-1*$B$27))+(K39*SIN(-1*$B$27))+$I$2</f>
        <v>25.460643407392645</v>
      </c>
      <c r="K34">
        <f>(-1*J39*SIN(-1*$B$27))+(K39*COS(-1*$B$27))+$I$3</f>
        <v>21.288694223499363</v>
      </c>
      <c r="N34">
        <f>IF(B1="PCA_Parabolic",NA(),(N39*COS(-1*$B$27))+(O39*SIN(-1*$B$27))+$I$2)</f>
        <v>25.485585283996009</v>
      </c>
      <c r="O34">
        <f>(-1*N39*SIN(-1*$B$27))+(O39*COS(-1*$B$27))+$I$3</f>
        <v>21.81595651609824</v>
      </c>
      <c r="BC34">
        <v>0.55850536063818579</v>
      </c>
      <c r="BD34">
        <v>270.07107457568316</v>
      </c>
      <c r="BE34">
        <v>347.24882358605629</v>
      </c>
      <c r="BF34" s="6">
        <f t="shared" ref="BF34:BF65" si="39">IF(BC34&lt;&gt;"",IF(AND(BD34=0,BE34=0),0,MOD(ATAN2(BD34,BE34),2*PI())),NA())</f>
        <v>0.90977351266427764</v>
      </c>
      <c r="BG34" s="6">
        <f t="shared" ref="BG34:BG65" si="40">ABS(BC34-BF34)</f>
        <v>0.35126815202609185</v>
      </c>
      <c r="BH34" s="6">
        <f t="shared" si="2"/>
        <v>-1.2012303071421446</v>
      </c>
      <c r="BI34" s="6">
        <f t="shared" si="3"/>
        <v>1.2012303071421446</v>
      </c>
      <c r="BJ34">
        <v>300.07897175075908</v>
      </c>
      <c r="BK34">
        <v>385.83202620672921</v>
      </c>
      <c r="BV34" s="37"/>
      <c r="BW34" s="6">
        <f t="shared" si="25"/>
        <v>0.33161255787892269</v>
      </c>
      <c r="BX34" s="9">
        <f t="shared" ca="1" si="26"/>
        <v>121.55069213393719</v>
      </c>
      <c r="BY34" s="9">
        <f t="shared" ca="1" si="27"/>
        <v>310.56845665880576</v>
      </c>
      <c r="BZ34" s="9">
        <f t="shared" ca="1" si="28"/>
        <v>280.00435164478023</v>
      </c>
      <c r="CA34" s="6">
        <f t="shared" ca="1" si="29"/>
        <v>325.83412277502447</v>
      </c>
      <c r="CB34" s="6">
        <f t="shared" ca="1" si="30"/>
        <v>0.86090121005747755</v>
      </c>
      <c r="CC34" s="6">
        <f t="shared" ca="1" si="31"/>
        <v>2.415658005409369</v>
      </c>
      <c r="CD34" s="9">
        <f t="shared" si="32"/>
        <v>180.00435164478023</v>
      </c>
      <c r="CE34" s="9">
        <f t="shared" si="33"/>
        <v>355.83412277502447</v>
      </c>
      <c r="CF34" s="6">
        <f t="shared" si="34"/>
        <v>1.1024670105984145</v>
      </c>
      <c r="CG34" s="6"/>
      <c r="CH34" s="6"/>
      <c r="CI34" s="6"/>
      <c r="CJ34" s="1"/>
      <c r="CK34" s="6"/>
      <c r="CU34">
        <v>6.2125332308359473</v>
      </c>
      <c r="CV34">
        <v>6.2125332293730295</v>
      </c>
      <c r="CW34">
        <v>6.2125332301044889</v>
      </c>
      <c r="CX34">
        <v>1.1948806388772937E-8</v>
      </c>
      <c r="CY34">
        <v>-1.981043717957931E-8</v>
      </c>
      <c r="CZ34">
        <v>-3.9307979093905487E-9</v>
      </c>
      <c r="DC34">
        <v>-0.14454799250840733</v>
      </c>
      <c r="DD34">
        <v>5.7134005695551036</v>
      </c>
      <c r="DE34">
        <v>5.7022207280953614</v>
      </c>
      <c r="DF34">
        <v>0.87806808074944953</v>
      </c>
      <c r="DG34">
        <v>9.9842890349283619E-2</v>
      </c>
      <c r="DH34">
        <v>0.28950778460635807</v>
      </c>
      <c r="EB34" t="s">
        <v>206</v>
      </c>
    </row>
    <row r="35" spans="1:139" x14ac:dyDescent="0.25">
      <c r="A35" s="8" t="s">
        <v>20</v>
      </c>
      <c r="G35" s="1">
        <f>MAX(G36:G37)</f>
        <v>74.159324634454023</v>
      </c>
      <c r="Q35" t="str">
        <f ca="1">IF(B1="Whitney",R75,S198)</f>
        <v>Ts = -189.6 kips
 @ ( 3 , 3 )</v>
      </c>
      <c r="AD35" t="s">
        <v>135</v>
      </c>
      <c r="BC35">
        <v>0.57595865315812911</v>
      </c>
      <c r="BD35">
        <v>269.32146639169093</v>
      </c>
      <c r="BE35">
        <v>348.4255649672819</v>
      </c>
      <c r="BF35" s="6">
        <f t="shared" si="39"/>
        <v>0.91275763323705961</v>
      </c>
      <c r="BG35" s="6">
        <f t="shared" si="40"/>
        <v>0.3367989800789305</v>
      </c>
      <c r="BH35" s="6">
        <f t="shared" si="2"/>
        <v>-1.2042144277149263</v>
      </c>
      <c r="BI35" s="6">
        <f t="shared" si="3"/>
        <v>1.2042144277149263</v>
      </c>
      <c r="BJ35">
        <v>299.2460737685455</v>
      </c>
      <c r="BK35">
        <v>387.13951663031321</v>
      </c>
      <c r="BV35" s="37"/>
      <c r="BW35" s="6">
        <f t="shared" si="25"/>
        <v>0.34906585039886601</v>
      </c>
      <c r="BX35" s="9">
        <f t="shared" ca="1" si="26"/>
        <v>120.74580329647503</v>
      </c>
      <c r="BY35" s="9">
        <f t="shared" ca="1" si="27"/>
        <v>312.84207227866261</v>
      </c>
      <c r="BZ35" s="9">
        <f t="shared" ca="1" si="28"/>
        <v>279.19946280731807</v>
      </c>
      <c r="CA35" s="6">
        <f t="shared" ca="1" si="29"/>
        <v>328.10773839488132</v>
      </c>
      <c r="CB35" s="6">
        <f t="shared" ca="1" si="30"/>
        <v>0.86575774489115076</v>
      </c>
      <c r="CC35" s="6">
        <f t="shared" ca="1" si="31"/>
        <v>2.4106577483373934</v>
      </c>
      <c r="CD35" s="9">
        <f t="shared" si="32"/>
        <v>179.19946280731807</v>
      </c>
      <c r="CE35" s="9">
        <f t="shared" si="33"/>
        <v>358.10773839488132</v>
      </c>
      <c r="CF35" s="6">
        <f t="shared" si="34"/>
        <v>1.1068235197248901</v>
      </c>
      <c r="CG35" s="6"/>
      <c r="CH35" s="6"/>
      <c r="CI35" s="6"/>
      <c r="CJ35" s="1"/>
      <c r="CK35" s="6"/>
      <c r="CU35">
        <v>6.2125332308359473</v>
      </c>
      <c r="CV35">
        <v>6.2125332301044889</v>
      </c>
      <c r="CW35">
        <v>6.2125332304702177</v>
      </c>
      <c r="CX35">
        <v>1.1948806388772937E-8</v>
      </c>
      <c r="CY35">
        <v>-3.9307979093905487E-9</v>
      </c>
      <c r="CZ35">
        <v>4.0093955933073744E-9</v>
      </c>
      <c r="DC35">
        <v>-0.15436465444204625</v>
      </c>
      <c r="DD35">
        <v>5.7022207280953614</v>
      </c>
      <c r="DE35">
        <v>0.71558818070102603</v>
      </c>
      <c r="DF35">
        <v>-5.0977797616983213E-2</v>
      </c>
      <c r="DG35">
        <v>-0.16912312369425031</v>
      </c>
      <c r="DH35">
        <v>5.2761403320006934</v>
      </c>
      <c r="EE35" s="9"/>
    </row>
    <row r="36" spans="1:139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74.159324634454023</v>
      </c>
      <c r="H36" s="14" t="s">
        <v>4</v>
      </c>
      <c r="J36" t="s">
        <v>52</v>
      </c>
      <c r="N36" t="s">
        <v>53</v>
      </c>
      <c r="Q36" s="1">
        <f ca="1">IF(B1="Whitney",R73,S196)</f>
        <v>3</v>
      </c>
      <c r="R36" s="1">
        <f ca="1">IF(B1="Whitney",S73,T196)</f>
        <v>3</v>
      </c>
      <c r="AD36" t="s">
        <v>8</v>
      </c>
      <c r="AE36" t="s">
        <v>9</v>
      </c>
      <c r="BC36">
        <v>0.59341194567807243</v>
      </c>
      <c r="BD36">
        <v>268.56918269074947</v>
      </c>
      <c r="BE36">
        <v>349.56222150027315</v>
      </c>
      <c r="BF36" s="6">
        <f t="shared" si="39"/>
        <v>0.91568477235560108</v>
      </c>
      <c r="BG36" s="6">
        <f t="shared" si="40"/>
        <v>0.32227282667752866</v>
      </c>
      <c r="BH36" s="6">
        <f t="shared" si="2"/>
        <v>-1.2071415668334684</v>
      </c>
      <c r="BI36" s="6">
        <f t="shared" si="3"/>
        <v>1.2071415668334684</v>
      </c>
      <c r="BJ36">
        <v>298.41020298972165</v>
      </c>
      <c r="BK36">
        <v>388.40246833363682</v>
      </c>
      <c r="BV36" s="37"/>
      <c r="BW36" s="6">
        <f t="shared" si="25"/>
        <v>0.36651914291880933</v>
      </c>
      <c r="BX36" s="9">
        <f t="shared" ca="1" si="26"/>
        <v>119.95246909767926</v>
      </c>
      <c r="BY36" s="9">
        <f t="shared" ca="1" si="27"/>
        <v>314.9645079197781</v>
      </c>
      <c r="BZ36" s="9">
        <f t="shared" ca="1" si="28"/>
        <v>278.40612860852229</v>
      </c>
      <c r="CA36" s="6">
        <f t="shared" ca="1" si="29"/>
        <v>330.23017403599681</v>
      </c>
      <c r="CB36" s="6">
        <f t="shared" ca="1" si="30"/>
        <v>0.87034108120731113</v>
      </c>
      <c r="CC36" s="6">
        <f t="shared" ca="1" si="31"/>
        <v>2.4061009271876421</v>
      </c>
      <c r="CD36" s="9">
        <f t="shared" si="32"/>
        <v>178.40612860852229</v>
      </c>
      <c r="CE36" s="9">
        <f t="shared" si="33"/>
        <v>360.23017403599681</v>
      </c>
      <c r="CF36" s="6">
        <f t="shared" si="34"/>
        <v>1.1109511739260753</v>
      </c>
      <c r="CG36" s="6"/>
      <c r="CH36" s="6"/>
      <c r="CI36" s="6"/>
      <c r="CJ36" s="1"/>
      <c r="CK36" s="6"/>
      <c r="CU36">
        <v>6.2125332304702177</v>
      </c>
      <c r="CV36">
        <v>6.2125332301044889</v>
      </c>
      <c r="CW36">
        <v>6.2125332302873533</v>
      </c>
      <c r="CX36">
        <v>4.0093955933073744E-9</v>
      </c>
      <c r="CY36">
        <v>-3.9307979093905487E-9</v>
      </c>
      <c r="CZ36">
        <v>3.9300229737193604E-11</v>
      </c>
      <c r="DC36">
        <v>9.9842890349283619E-2</v>
      </c>
      <c r="DD36">
        <v>0.71558818070102603</v>
      </c>
      <c r="DE36">
        <v>5.6873189445802028</v>
      </c>
      <c r="DF36">
        <v>-5.4099070689353677E-2</v>
      </c>
      <c r="DG36">
        <v>-0.18559139843857186</v>
      </c>
      <c r="DH36">
        <v>0.30440956812151665</v>
      </c>
      <c r="EB36">
        <f ca="1">(EB32-EB30)</f>
        <v>2.3004801100231305</v>
      </c>
      <c r="EC36">
        <f t="shared" ref="EC36:ED36" ca="1" si="41">(EC32-EC30)</f>
        <v>-6.3490145432269571</v>
      </c>
      <c r="ED36">
        <f t="shared" ca="1" si="41"/>
        <v>2.0970945599282445</v>
      </c>
      <c r="EE36" s="9">
        <f ca="1">SQRT(POWER(EB36,2)+POWER(EC36,2)+POWER(ED36,2))</f>
        <v>7.0710678118654808</v>
      </c>
      <c r="EF36">
        <f ca="1">EB36/EE36</f>
        <v>0.32533701715642582</v>
      </c>
      <c r="EG36">
        <f ca="1">EC36/EE36</f>
        <v>-0.89788624747355772</v>
      </c>
      <c r="EH36">
        <f ca="1">ED36/EE36</f>
        <v>0.2965739568229358</v>
      </c>
    </row>
    <row r="37" spans="1:139" x14ac:dyDescent="0.25">
      <c r="A37" s="3">
        <f t="shared" ref="A37:A45" si="42">E3-$I$2</f>
        <v>-6</v>
      </c>
      <c r="B37" s="6">
        <f t="shared" ref="B37:B45" si="43">F3-$I$3</f>
        <v>-12</v>
      </c>
      <c r="C37" s="6">
        <f t="shared" ref="C37:C45" si="44">A37*COS($B$27)+B37*SIN($B$27)</f>
        <v>-5.426278217100533</v>
      </c>
      <c r="D37" s="6">
        <f t="shared" ref="D37:D45" si="45">-1*A37*SIN($B$27)+B37*COS($B$27)</f>
        <v>-12.270106140967986</v>
      </c>
      <c r="F37" s="8" t="s">
        <v>23</v>
      </c>
      <c r="G37" s="1">
        <f>MAX(D37:D41)-MIN(D37:D41)</f>
        <v>25.107232164642738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v>0</v>
      </c>
      <c r="AE37">
        <f>2*PI()</f>
        <v>6.2831853071795862</v>
      </c>
      <c r="BC37">
        <v>0.61086523819801575</v>
      </c>
      <c r="BD37">
        <v>267.82947955835942</v>
      </c>
      <c r="BE37">
        <v>350.63874395847751</v>
      </c>
      <c r="BF37" s="6">
        <f t="shared" si="39"/>
        <v>0.91850065574396189</v>
      </c>
      <c r="BG37" s="6">
        <f t="shared" si="40"/>
        <v>0.30763541754594614</v>
      </c>
      <c r="BH37" s="6">
        <f t="shared" si="2"/>
        <v>-1.2099574502218291</v>
      </c>
      <c r="BI37" s="6">
        <f t="shared" si="3"/>
        <v>1.2099574502218291</v>
      </c>
      <c r="BJ37">
        <v>297.58831062039934</v>
      </c>
      <c r="BK37">
        <v>389.59860439830834</v>
      </c>
      <c r="BV37" s="37"/>
      <c r="BW37" s="6">
        <f t="shared" si="25"/>
        <v>0.38397243543875265</v>
      </c>
      <c r="BX37" s="9">
        <f t="shared" ca="1" si="26"/>
        <v>119.16914212846567</v>
      </c>
      <c r="BY37" s="9">
        <f t="shared" ca="1" si="27"/>
        <v>316.95357572849724</v>
      </c>
      <c r="BZ37" s="9">
        <f t="shared" ca="1" si="28"/>
        <v>277.6228016393087</v>
      </c>
      <c r="CA37" s="6">
        <f t="shared" ca="1" si="29"/>
        <v>332.21924184471595</v>
      </c>
      <c r="CB37" s="6">
        <f t="shared" ca="1" si="30"/>
        <v>0.87468567310081369</v>
      </c>
      <c r="CC37" s="6">
        <f t="shared" ca="1" si="31"/>
        <v>2.4019367204425701</v>
      </c>
      <c r="CD37" s="9">
        <f t="shared" si="32"/>
        <v>177.6228016393087</v>
      </c>
      <c r="CE37" s="9">
        <f t="shared" si="33"/>
        <v>362.21924184471595</v>
      </c>
      <c r="CF37" s="6">
        <f t="shared" si="34"/>
        <v>1.1148793451450707</v>
      </c>
      <c r="CG37" s="6"/>
      <c r="CH37" s="6"/>
      <c r="CI37" s="6"/>
      <c r="CJ37" s="1"/>
      <c r="CK37" s="6"/>
      <c r="DC37">
        <v>-0.16912312369425031</v>
      </c>
      <c r="DD37">
        <v>5.6873189445802028</v>
      </c>
      <c r="DE37">
        <v>5.6728502974339641</v>
      </c>
      <c r="DF37">
        <v>1.138204185773003</v>
      </c>
      <c r="DG37">
        <v>0.17735712093101202</v>
      </c>
      <c r="DH37">
        <v>0.31887821526775539</v>
      </c>
      <c r="EB37">
        <f ca="1">EB31-EB30</f>
        <v>13.49683158183376</v>
      </c>
      <c r="EC37">
        <f t="shared" ref="EC37:ED37" ca="1" si="46">EC31-EC30</f>
        <v>-37.249433118834091</v>
      </c>
      <c r="ED37">
        <f t="shared" ca="1" si="46"/>
        <v>202.90031201504632</v>
      </c>
      <c r="EE37" s="9">
        <f ca="1">SQRT(POWER(EB37,2)+POWER(EC37,2)+POWER(ED37,2))</f>
        <v>206.73224554052044</v>
      </c>
      <c r="EF37">
        <f ca="1">EB37/EE37</f>
        <v>6.5286533054120577E-2</v>
      </c>
      <c r="EG37">
        <f ca="1">EC37/EE37</f>
        <v>-0.18018201766948366</v>
      </c>
      <c r="EH37">
        <f ca="1">ED37/EE37</f>
        <v>0.9814642678724107</v>
      </c>
    </row>
    <row r="38" spans="1:139" x14ac:dyDescent="0.25">
      <c r="A38" s="3">
        <f t="shared" si="42"/>
        <v>6</v>
      </c>
      <c r="B38" s="6">
        <f t="shared" si="43"/>
        <v>-12</v>
      </c>
      <c r="C38" s="6">
        <f t="shared" si="44"/>
        <v>6.5603179825140696</v>
      </c>
      <c r="D38" s="6">
        <f t="shared" si="45"/>
        <v>-11.703086258261219</v>
      </c>
      <c r="F38" s="8" t="s">
        <v>24</v>
      </c>
      <c r="G38" s="6">
        <f>MAX(D37:D43)</f>
        <v>12.837126023674754</v>
      </c>
      <c r="H38" t="s">
        <v>4</v>
      </c>
      <c r="J38" s="9">
        <f>MIN(C37:C43,A37:A43)-1</f>
        <v>-31.53351038174327</v>
      </c>
      <c r="K38" s="9">
        <f>G40</f>
        <v>10.19786655175313</v>
      </c>
      <c r="N38" s="9">
        <f>J38</f>
        <v>-31.53351038174327</v>
      </c>
      <c r="O38" s="9">
        <f>G41</f>
        <v>10.725718446137455</v>
      </c>
      <c r="AD38">
        <f>AE37</f>
        <v>6.2831853071795862</v>
      </c>
      <c r="AE38">
        <f>AE37</f>
        <v>6.2831853071795862</v>
      </c>
      <c r="BC38">
        <v>0.62831853071795907</v>
      </c>
      <c r="BD38">
        <v>267.12546078507461</v>
      </c>
      <c r="BE38">
        <v>351.62596481797613</v>
      </c>
      <c r="BF38" s="6">
        <f t="shared" si="39"/>
        <v>0.92112469501904848</v>
      </c>
      <c r="BG38" s="6">
        <f t="shared" si="40"/>
        <v>0.29280616430108941</v>
      </c>
      <c r="BH38" s="6">
        <f t="shared" si="2"/>
        <v>-1.2125814894969154</v>
      </c>
      <c r="BI38" s="6">
        <f t="shared" si="3"/>
        <v>1.2125814894969154</v>
      </c>
      <c r="BJ38">
        <v>296.80606753897177</v>
      </c>
      <c r="BK38">
        <v>390.69551646441789</v>
      </c>
      <c r="BV38" s="37"/>
      <c r="BW38" s="6">
        <f t="shared" si="25"/>
        <v>0.40142572795869597</v>
      </c>
      <c r="BX38" s="9">
        <f t="shared" ca="1" si="26"/>
        <v>118.39440817506559</v>
      </c>
      <c r="BY38" s="9">
        <f t="shared" ca="1" si="27"/>
        <v>318.82435197483693</v>
      </c>
      <c r="BZ38" s="9">
        <f t="shared" ca="1" si="28"/>
        <v>276.84806768590863</v>
      </c>
      <c r="CA38" s="6">
        <f t="shared" ca="1" si="29"/>
        <v>334.09001809105564</v>
      </c>
      <c r="CB38" s="6">
        <f t="shared" ca="1" si="30"/>
        <v>0.87882059620161546</v>
      </c>
      <c r="CC38" s="6">
        <f t="shared" ca="1" si="31"/>
        <v>2.3981221334675116</v>
      </c>
      <c r="CD38" s="9">
        <f t="shared" si="32"/>
        <v>176.84806768590863</v>
      </c>
      <c r="CE38" s="9">
        <f t="shared" si="33"/>
        <v>364.09001809105564</v>
      </c>
      <c r="CF38" s="6">
        <f t="shared" si="34"/>
        <v>1.1186328095483666</v>
      </c>
      <c r="CG38" s="6"/>
      <c r="CH38" s="6"/>
      <c r="CI38" s="6"/>
      <c r="CJ38" s="1"/>
      <c r="CK38" s="6"/>
      <c r="DC38">
        <v>-0.18559139843857186</v>
      </c>
      <c r="DD38">
        <v>5.6728502974339641</v>
      </c>
      <c r="DE38">
        <v>0.79533374708004867</v>
      </c>
      <c r="DF38">
        <v>-7.4412565415743828E-2</v>
      </c>
      <c r="DG38">
        <v>-0.20931994449183938</v>
      </c>
      <c r="DH38">
        <v>5.1963947656216707</v>
      </c>
      <c r="EF38">
        <f ca="1">EF36-EF37</f>
        <v>0.26005048410230525</v>
      </c>
      <c r="EG38">
        <f ca="1">EG36-EG37</f>
        <v>-0.71770422980407411</v>
      </c>
      <c r="EH38">
        <f ca="1">EH36-EH37</f>
        <v>-0.68489031104947484</v>
      </c>
      <c r="EI38" s="9"/>
    </row>
    <row r="39" spans="1:139" x14ac:dyDescent="0.25">
      <c r="A39" s="3">
        <f t="shared" si="42"/>
        <v>6</v>
      </c>
      <c r="B39" s="6">
        <f t="shared" si="43"/>
        <v>4</v>
      </c>
      <c r="C39" s="6">
        <f t="shared" si="44"/>
        <v>5.8042914722383783</v>
      </c>
      <c r="D39" s="6">
        <f t="shared" si="45"/>
        <v>4.2790420078915847</v>
      </c>
      <c r="J39" s="9">
        <f>MAX(C37:C43,A37:A43)+1</f>
        <v>19</v>
      </c>
      <c r="K39" s="9">
        <f>K38</f>
        <v>10.19786655175313</v>
      </c>
      <c r="N39" s="9">
        <f>J39</f>
        <v>19</v>
      </c>
      <c r="O39" s="9">
        <f>G41</f>
        <v>10.725718446137455</v>
      </c>
      <c r="AD39">
        <f>AD38</f>
        <v>6.2831853071795862</v>
      </c>
      <c r="AE39">
        <v>0</v>
      </c>
      <c r="BC39">
        <v>0.64577182323790239</v>
      </c>
      <c r="BD39">
        <v>266.45447624070431</v>
      </c>
      <c r="BE39">
        <v>352.53294359836661</v>
      </c>
      <c r="BF39" s="6">
        <f t="shared" si="39"/>
        <v>0.9235753473968763</v>
      </c>
      <c r="BG39" s="6">
        <f t="shared" si="40"/>
        <v>0.27780352415897391</v>
      </c>
      <c r="BH39" s="6">
        <f t="shared" si="2"/>
        <v>-1.2150321418747432</v>
      </c>
      <c r="BI39" s="6">
        <f t="shared" si="3"/>
        <v>1.2150321418747432</v>
      </c>
      <c r="BJ39">
        <v>296.06052915633813</v>
      </c>
      <c r="BK39">
        <v>391.7032706648518</v>
      </c>
      <c r="BV39" s="37"/>
      <c r="BW39" s="6">
        <f t="shared" si="25"/>
        <v>0.41887902047863929</v>
      </c>
      <c r="BX39" s="9">
        <f t="shared" ca="1" si="26"/>
        <v>117.62696354700401</v>
      </c>
      <c r="BY39" s="9">
        <f t="shared" ca="1" si="27"/>
        <v>320.58969667177524</v>
      </c>
      <c r="BZ39" s="9">
        <f t="shared" ca="1" si="28"/>
        <v>276.08062305784705</v>
      </c>
      <c r="CA39" s="6">
        <f t="shared" ca="1" si="29"/>
        <v>335.85536278799395</v>
      </c>
      <c r="CB39" s="6">
        <f t="shared" ca="1" si="30"/>
        <v>0.88277061026593417</v>
      </c>
      <c r="CC39" s="6">
        <f t="shared" ca="1" si="31"/>
        <v>2.3946205615821334</v>
      </c>
      <c r="CD39" s="9">
        <f t="shared" si="32"/>
        <v>176.08062305784705</v>
      </c>
      <c r="CE39" s="9">
        <f t="shared" si="33"/>
        <v>365.85536278799395</v>
      </c>
      <c r="CF39" s="6">
        <f t="shared" si="34"/>
        <v>1.1222326664241475</v>
      </c>
      <c r="CG39" s="6"/>
      <c r="CH39" s="6"/>
      <c r="CI39" s="6"/>
      <c r="CJ39" s="1"/>
      <c r="CK39" s="6"/>
      <c r="DC39">
        <v>0.17735712093101202</v>
      </c>
      <c r="DD39">
        <v>0.79533374708004867</v>
      </c>
      <c r="DE39">
        <v>5.6550519470668394</v>
      </c>
      <c r="DF39">
        <v>-7.956779580838709E-2</v>
      </c>
      <c r="DG39">
        <v>-0.23610855671974451</v>
      </c>
      <c r="DH39">
        <v>0.33667656563488002</v>
      </c>
    </row>
    <row r="40" spans="1:139" x14ac:dyDescent="0.25">
      <c r="A40" s="3">
        <f t="shared" si="42"/>
        <v>18</v>
      </c>
      <c r="B40" s="6">
        <f t="shared" si="43"/>
        <v>4</v>
      </c>
      <c r="C40" s="6">
        <f t="shared" si="44"/>
        <v>17.790887671852982</v>
      </c>
      <c r="D40" s="6">
        <f t="shared" si="45"/>
        <v>4.846061890598353</v>
      </c>
      <c r="F40" s="8" t="s">
        <v>50</v>
      </c>
      <c r="G40" s="9">
        <f>G38-B28</f>
        <v>10.19786655175313</v>
      </c>
      <c r="AD40">
        <f>AE39</f>
        <v>0</v>
      </c>
      <c r="AE40">
        <f>AE39</f>
        <v>0</v>
      </c>
      <c r="BC40">
        <v>0.66322511575784571</v>
      </c>
      <c r="BD40">
        <v>265.81387286449245</v>
      </c>
      <c r="BE40">
        <v>353.36796576039217</v>
      </c>
      <c r="BF40" s="6">
        <f t="shared" si="39"/>
        <v>0.92586974745817974</v>
      </c>
      <c r="BG40" s="6">
        <f t="shared" si="40"/>
        <v>0.26264463170033403</v>
      </c>
      <c r="BH40" s="6">
        <f t="shared" si="2"/>
        <v>-1.2173265419360464</v>
      </c>
      <c r="BI40" s="6">
        <f t="shared" si="3"/>
        <v>1.2173265419360464</v>
      </c>
      <c r="BJ40">
        <v>295.34874762721381</v>
      </c>
      <c r="BK40">
        <v>392.63107306710242</v>
      </c>
      <c r="BV40" s="37"/>
      <c r="BW40" s="6">
        <f t="shared" si="25"/>
        <v>0.43633231299858261</v>
      </c>
      <c r="BX40" s="9">
        <f t="shared" ca="1" si="26"/>
        <v>116.86559636680394</v>
      </c>
      <c r="BY40" s="9">
        <f t="shared" ca="1" si="27"/>
        <v>322.26065765527738</v>
      </c>
      <c r="BZ40" s="9">
        <f t="shared" ca="1" si="28"/>
        <v>275.31925587764698</v>
      </c>
      <c r="CA40" s="6">
        <f t="shared" ca="1" si="29"/>
        <v>337.5263237714961</v>
      </c>
      <c r="CB40" s="6">
        <f t="shared" ca="1" si="30"/>
        <v>0.88655697819643853</v>
      </c>
      <c r="CC40" s="6">
        <f t="shared" ca="1" si="31"/>
        <v>2.3914006606919171</v>
      </c>
      <c r="CD40" s="9">
        <f t="shared" si="32"/>
        <v>175.31925587764698</v>
      </c>
      <c r="CE40" s="9">
        <f t="shared" si="33"/>
        <v>367.5263237714961</v>
      </c>
      <c r="CF40" s="6">
        <f t="shared" si="34"/>
        <v>1.1256970442656302</v>
      </c>
      <c r="CG40" s="6"/>
      <c r="CH40" s="6"/>
      <c r="CI40" s="6"/>
      <c r="CJ40" s="1"/>
      <c r="CK40" s="6"/>
      <c r="DC40">
        <v>-0.20931994449183938</v>
      </c>
      <c r="DD40">
        <v>5.6550519470668394</v>
      </c>
      <c r="DE40">
        <v>5.6381682566349447</v>
      </c>
      <c r="DF40">
        <v>1.5866562074189141</v>
      </c>
      <c r="DG40">
        <v>0.32487001826522438</v>
      </c>
      <c r="DH40">
        <v>0.35356025606677477</v>
      </c>
      <c r="DW40">
        <f t="array" aca="1" ref="DW40:DZ43" ca="1">MMULT(DW16:DZ19,DW26:DZ29)</f>
        <v>0.94018528791287503</v>
      </c>
      <c r="DX40">
        <f ca="1"/>
        <v>0.34066350610563523</v>
      </c>
      <c r="DY40">
        <f ca="1"/>
        <v>0</v>
      </c>
      <c r="DZ40">
        <f ca="1"/>
        <v>0</v>
      </c>
    </row>
    <row r="41" spans="1:139" x14ac:dyDescent="0.25">
      <c r="A41" s="3">
        <f t="shared" si="42"/>
        <v>18</v>
      </c>
      <c r="B41" s="6">
        <f t="shared" si="43"/>
        <v>12</v>
      </c>
      <c r="C41" s="6">
        <f t="shared" si="44"/>
        <v>17.412874416715137</v>
      </c>
      <c r="D41" s="6">
        <f t="shared" si="45"/>
        <v>12.837126023674754</v>
      </c>
      <c r="F41" s="8" t="s">
        <v>51</v>
      </c>
      <c r="G41" s="9">
        <f>G38-B29</f>
        <v>10.725718446137455</v>
      </c>
      <c r="J41" s="9"/>
      <c r="K41" s="9"/>
      <c r="N41" s="9"/>
      <c r="O41" s="9"/>
      <c r="AD41">
        <f>AD40</f>
        <v>0</v>
      </c>
      <c r="AE41">
        <f>AE37</f>
        <v>6.2831853071795862</v>
      </c>
      <c r="BC41">
        <v>0.68067840827778903</v>
      </c>
      <c r="BD41">
        <v>265.20126799554367</v>
      </c>
      <c r="BE41">
        <v>354.1382670036914</v>
      </c>
      <c r="BF41" s="6">
        <f t="shared" si="39"/>
        <v>0.92802289186830367</v>
      </c>
      <c r="BG41" s="6">
        <f t="shared" si="40"/>
        <v>0.24734448359051464</v>
      </c>
      <c r="BH41" s="6">
        <f t="shared" si="2"/>
        <v>-1.219479686346171</v>
      </c>
      <c r="BI41" s="6">
        <f t="shared" si="3"/>
        <v>1.219479686346171</v>
      </c>
      <c r="BJ41">
        <v>294.6680755506041</v>
      </c>
      <c r="BK41">
        <v>393.48696333743487</v>
      </c>
      <c r="BV41" s="37"/>
      <c r="BW41" s="6">
        <f t="shared" si="25"/>
        <v>0.45378560551852593</v>
      </c>
      <c r="BX41" s="9">
        <f t="shared" ca="1" si="26"/>
        <v>116.10917093581017</v>
      </c>
      <c r="BY41" s="9">
        <f t="shared" ca="1" si="27"/>
        <v>323.84678831523701</v>
      </c>
      <c r="BZ41" s="9">
        <f t="shared" ca="1" si="28"/>
        <v>274.56283044665321</v>
      </c>
      <c r="CA41" s="6">
        <f t="shared" ca="1" si="29"/>
        <v>339.11245443145572</v>
      </c>
      <c r="CB41" s="6">
        <f t="shared" ca="1" si="30"/>
        <v>0.89019810497278307</v>
      </c>
      <c r="CC41" s="6">
        <f t="shared" ca="1" si="31"/>
        <v>2.3884354515254893</v>
      </c>
      <c r="CD41" s="9">
        <f t="shared" si="32"/>
        <v>174.56283044665321</v>
      </c>
      <c r="CE41" s="9">
        <f t="shared" si="33"/>
        <v>369.11245443145572</v>
      </c>
      <c r="CF41" s="6">
        <f t="shared" si="34"/>
        <v>1.129041650125332</v>
      </c>
      <c r="CG41" s="6"/>
      <c r="CH41" s="6"/>
      <c r="CI41" s="6"/>
      <c r="CJ41" s="1"/>
      <c r="CK41" s="6"/>
      <c r="DC41">
        <v>-0.23610855671974451</v>
      </c>
      <c r="DD41">
        <v>5.6381682566349447</v>
      </c>
      <c r="DE41">
        <v>0.85894335800356125</v>
      </c>
      <c r="DF41">
        <v>-0.11737856804889327</v>
      </c>
      <c r="DG41">
        <v>-0.27760895329586255</v>
      </c>
      <c r="DH41">
        <v>5.1327851546981584</v>
      </c>
      <c r="DW41">
        <f ca="1"/>
        <v>0.1586076524632464</v>
      </c>
      <c r="DX41">
        <f ca="1"/>
        <v>-0.43773570906095893</v>
      </c>
      <c r="DY41">
        <f ca="1"/>
        <v>0.88500342462218617</v>
      </c>
      <c r="DZ41">
        <f ca="1"/>
        <v>0</v>
      </c>
    </row>
    <row r="42" spans="1:139" x14ac:dyDescent="0.25">
      <c r="A42" s="3">
        <f t="shared" si="42"/>
        <v>-30</v>
      </c>
      <c r="B42" s="6">
        <f t="shared" si="43"/>
        <v>12</v>
      </c>
      <c r="C42" s="6">
        <f t="shared" si="44"/>
        <v>-30.53351038174327</v>
      </c>
      <c r="D42" s="6">
        <f t="shared" si="45"/>
        <v>10.569046492847683</v>
      </c>
      <c r="J42" s="9"/>
      <c r="K42" s="9"/>
      <c r="N42" s="9"/>
      <c r="O42" s="9"/>
      <c r="BC42">
        <v>0.69813170079773235</v>
      </c>
      <c r="BD42">
        <v>264.61451552594787</v>
      </c>
      <c r="BE42">
        <v>354.8501886636397</v>
      </c>
      <c r="BF42" s="6">
        <f t="shared" si="39"/>
        <v>0.93004795907719462</v>
      </c>
      <c r="BG42" s="6">
        <f t="shared" si="40"/>
        <v>0.23191625827946227</v>
      </c>
      <c r="BH42" s="6">
        <f t="shared" si="2"/>
        <v>-1.2215047535550616</v>
      </c>
      <c r="BI42" s="6">
        <f t="shared" si="3"/>
        <v>1.2215047535550616</v>
      </c>
      <c r="BJ42">
        <v>294.0161283621643</v>
      </c>
      <c r="BK42">
        <v>394.2779874040441</v>
      </c>
      <c r="BV42" s="37"/>
      <c r="BW42" s="6">
        <f t="shared" si="25"/>
        <v>0.47123889803846924</v>
      </c>
      <c r="BX42" s="9">
        <f t="shared" ca="1" si="26"/>
        <v>115.35661450718092</v>
      </c>
      <c r="BY42" s="9">
        <f t="shared" ca="1" si="27"/>
        <v>325.35639997779947</v>
      </c>
      <c r="BZ42" s="9">
        <f t="shared" ca="1" si="28"/>
        <v>273.81027401802396</v>
      </c>
      <c r="CA42" s="6">
        <f t="shared" ca="1" si="29"/>
        <v>340.62206609401818</v>
      </c>
      <c r="CB42" s="6">
        <f t="shared" ca="1" si="30"/>
        <v>0.89371004166049794</v>
      </c>
      <c r="CC42" s="6">
        <f t="shared" ca="1" si="31"/>
        <v>2.3857016031312961</v>
      </c>
      <c r="CD42" s="9">
        <f t="shared" si="32"/>
        <v>173.81027401802396</v>
      </c>
      <c r="CE42" s="9">
        <f t="shared" si="33"/>
        <v>370.62206609401818</v>
      </c>
      <c r="CF42" s="6">
        <f t="shared" si="34"/>
        <v>1.1322802019736276</v>
      </c>
      <c r="CG42" s="6"/>
      <c r="CH42" s="6"/>
      <c r="CI42" s="6"/>
      <c r="CJ42" s="1"/>
      <c r="CK42" s="6"/>
      <c r="DC42">
        <v>0.32487001826522438</v>
      </c>
      <c r="DD42">
        <v>0.85894335800356125</v>
      </c>
      <c r="DE42">
        <v>5.6167031945272914</v>
      </c>
      <c r="DF42">
        <v>-0.12663080783020142</v>
      </c>
      <c r="DG42">
        <v>-0.32509871229306869</v>
      </c>
      <c r="DH42">
        <v>0.37502531817442808</v>
      </c>
      <c r="DW42">
        <f ca="1"/>
        <v>0.30148836954728819</v>
      </c>
      <c r="DX42">
        <f ca="1"/>
        <v>-0.83206719958229047</v>
      </c>
      <c r="DY42">
        <f ca="1"/>
        <v>-0.46558451263653783</v>
      </c>
      <c r="DZ42">
        <f ca="1"/>
        <v>0</v>
      </c>
    </row>
    <row r="43" spans="1:139" x14ac:dyDescent="0.25">
      <c r="A43" s="3">
        <f t="shared" si="42"/>
        <v>-30</v>
      </c>
      <c r="B43" s="6">
        <f t="shared" si="43"/>
        <v>4</v>
      </c>
      <c r="C43" s="6">
        <f t="shared" si="44"/>
        <v>-30.155497126605425</v>
      </c>
      <c r="D43" s="6">
        <f t="shared" si="45"/>
        <v>2.5779823597712808</v>
      </c>
      <c r="AD43" t="s">
        <v>134</v>
      </c>
      <c r="BC43">
        <v>0.71558499331767567</v>
      </c>
      <c r="BD43">
        <v>264.0516770048726</v>
      </c>
      <c r="BE43">
        <v>355.50930690491697</v>
      </c>
      <c r="BF43" s="6">
        <f t="shared" si="39"/>
        <v>0.9319565738079939</v>
      </c>
      <c r="BG43" s="6">
        <f t="shared" si="40"/>
        <v>0.21637158049031824</v>
      </c>
      <c r="BH43" s="6">
        <f t="shared" si="2"/>
        <v>-1.2234133682858606</v>
      </c>
      <c r="BI43" s="6">
        <f t="shared" si="3"/>
        <v>1.2234133682858606</v>
      </c>
      <c r="BJ43">
        <v>293.3907522276362</v>
      </c>
      <c r="BK43">
        <v>395.01034100546326</v>
      </c>
      <c r="BV43" s="37"/>
      <c r="BW43" s="6">
        <f t="shared" si="25"/>
        <v>0.48869219055841256</v>
      </c>
      <c r="BX43" s="9">
        <f t="shared" ca="1" si="26"/>
        <v>114.60690595368763</v>
      </c>
      <c r="BY43" s="9">
        <f t="shared" ca="1" si="27"/>
        <v>326.79676426017363</v>
      </c>
      <c r="BZ43" s="9">
        <f t="shared" ca="1" si="28"/>
        <v>273.06056546453067</v>
      </c>
      <c r="CA43" s="6">
        <f t="shared" ca="1" si="29"/>
        <v>342.06243037639234</v>
      </c>
      <c r="CB43" s="6">
        <f t="shared" ca="1" si="30"/>
        <v>0.89710688711573094</v>
      </c>
      <c r="CC43" s="6">
        <f t="shared" ca="1" si="31"/>
        <v>2.3831788552628144</v>
      </c>
      <c r="CD43" s="9">
        <f t="shared" si="32"/>
        <v>173.06056546453067</v>
      </c>
      <c r="CE43" s="9">
        <f t="shared" si="33"/>
        <v>372.06243037639234</v>
      </c>
      <c r="CF43" s="6">
        <f t="shared" si="34"/>
        <v>1.1354247726420124</v>
      </c>
      <c r="CG43" s="6"/>
      <c r="CH43" s="6"/>
      <c r="CI43" s="6"/>
      <c r="CJ43" s="1"/>
      <c r="CK43" s="6"/>
      <c r="DC43">
        <v>-0.27760895329586255</v>
      </c>
      <c r="DD43">
        <v>5.6167031945272914</v>
      </c>
      <c r="DE43">
        <v>5.5968583646396093</v>
      </c>
      <c r="DF43">
        <v>2.3930544764550259</v>
      </c>
      <c r="DG43">
        <v>0.61984706314542293</v>
      </c>
      <c r="DH43">
        <v>0.39487014806211018</v>
      </c>
      <c r="DV43" s="5"/>
      <c r="DW43">
        <f ca="1"/>
        <v>0</v>
      </c>
      <c r="DX43">
        <f ca="1"/>
        <v>0</v>
      </c>
      <c r="DY43">
        <f ca="1"/>
        <v>0</v>
      </c>
      <c r="DZ43">
        <f ca="1"/>
        <v>1</v>
      </c>
    </row>
    <row r="44" spans="1:139" x14ac:dyDescent="0.25">
      <c r="A44" s="3">
        <f t="shared" si="42"/>
        <v>-6</v>
      </c>
      <c r="B44" s="6">
        <f t="shared" si="43"/>
        <v>4</v>
      </c>
      <c r="C44" s="6">
        <f t="shared" si="44"/>
        <v>-6.1823047273762244</v>
      </c>
      <c r="D44" s="6">
        <f t="shared" si="45"/>
        <v>3.7120221251848164</v>
      </c>
      <c r="AD44" t="s">
        <v>8</v>
      </c>
      <c r="AE44" t="s">
        <v>9</v>
      </c>
      <c r="BC44">
        <v>0.73303828583761899</v>
      </c>
      <c r="BD44">
        <v>263.51099686834374</v>
      </c>
      <c r="BE44">
        <v>356.12054064172816</v>
      </c>
      <c r="BF44" s="6">
        <f t="shared" si="39"/>
        <v>0.93375902707753577</v>
      </c>
      <c r="BG44" s="6">
        <f t="shared" si="40"/>
        <v>0.20072074123991679</v>
      </c>
      <c r="BH44" s="6">
        <f t="shared" si="2"/>
        <v>-1.225215821555403</v>
      </c>
      <c r="BI44" s="6">
        <f t="shared" si="3"/>
        <v>1.225215821555403</v>
      </c>
      <c r="BJ44">
        <v>292.78999652038192</v>
      </c>
      <c r="BK44">
        <v>395.68948960192017</v>
      </c>
      <c r="BV44" s="37"/>
      <c r="BW44" s="6">
        <f t="shared" si="25"/>
        <v>0.50614548307835583</v>
      </c>
      <c r="BX44" s="9">
        <f t="shared" ca="1" si="26"/>
        <v>113.85906593255081</v>
      </c>
      <c r="BY44" s="9">
        <f t="shared" ca="1" si="27"/>
        <v>328.1742767199126</v>
      </c>
      <c r="BZ44" s="9">
        <f t="shared" ca="1" si="28"/>
        <v>272.31272544339384</v>
      </c>
      <c r="CA44" s="6">
        <f t="shared" ca="1" si="29"/>
        <v>343.43994283613131</v>
      </c>
      <c r="CB44" s="6">
        <f t="shared" ca="1" si="30"/>
        <v>0.90040111126327826</v>
      </c>
      <c r="CC44" s="6">
        <f t="shared" ca="1" si="31"/>
        <v>2.3808495493560491</v>
      </c>
      <c r="CD44" s="9">
        <f t="shared" si="32"/>
        <v>172.31272544339384</v>
      </c>
      <c r="CE44" s="9">
        <f t="shared" si="33"/>
        <v>373.43994283613131</v>
      </c>
      <c r="CF44" s="6">
        <f t="shared" si="34"/>
        <v>1.1384860661988832</v>
      </c>
      <c r="CG44" s="6"/>
      <c r="CH44" s="6"/>
      <c r="CI44" s="6"/>
      <c r="CJ44" s="1"/>
      <c r="CK44" s="6"/>
      <c r="DC44">
        <v>-0.32509871229306869</v>
      </c>
      <c r="DD44">
        <v>5.5968583646396093</v>
      </c>
      <c r="DE44">
        <v>0.91987384698669306</v>
      </c>
      <c r="DF44">
        <v>-0.20204167276412119</v>
      </c>
      <c r="DG44">
        <v>-0.4048789375321537</v>
      </c>
      <c r="DH44">
        <v>5.0718546657150263</v>
      </c>
      <c r="DV44" s="5"/>
      <c r="DW44">
        <f t="array" aca="1" ref="DW44:DZ44" ca="1">MMULT(DW10:DZ10,DW40:DZ43)</f>
        <v>1995.7241664197127</v>
      </c>
      <c r="DX44">
        <f ca="1"/>
        <v>5.6843418860808015E-14</v>
      </c>
      <c r="DY44">
        <f ca="1"/>
        <v>1.1368683772161603E-13</v>
      </c>
      <c r="DZ44">
        <f ca="1"/>
        <v>0</v>
      </c>
    </row>
    <row r="45" spans="1:139" x14ac:dyDescent="0.25">
      <c r="A45" s="3">
        <f t="shared" si="42"/>
        <v>-6</v>
      </c>
      <c r="B45" s="6">
        <f t="shared" si="43"/>
        <v>-12</v>
      </c>
      <c r="C45" s="6">
        <f t="shared" si="44"/>
        <v>-5.426278217100533</v>
      </c>
      <c r="D45" s="6">
        <f t="shared" si="45"/>
        <v>-12.270106140967986</v>
      </c>
      <c r="AD45" s="37">
        <f>U13+PI()/2</f>
        <v>7.562524839496616</v>
      </c>
      <c r="AE45">
        <v>0</v>
      </c>
      <c r="BC45">
        <v>0.75049157835756231</v>
      </c>
      <c r="BD45">
        <v>262.99088112300234</v>
      </c>
      <c r="BE45">
        <v>356.68824209514372</v>
      </c>
      <c r="BF45" s="6">
        <f t="shared" si="39"/>
        <v>0.93546446017909735</v>
      </c>
      <c r="BG45" s="6">
        <f t="shared" si="40"/>
        <v>0.18497288182153504</v>
      </c>
      <c r="BH45" s="6">
        <f t="shared" si="2"/>
        <v>-1.2269212546569641</v>
      </c>
      <c r="BI45" s="6">
        <f t="shared" si="3"/>
        <v>1.2269212546569641</v>
      </c>
      <c r="BJ45">
        <v>292.21209013666925</v>
      </c>
      <c r="BK45">
        <v>396.32026899460413</v>
      </c>
      <c r="BV45" s="37"/>
      <c r="BW45" s="6">
        <f t="shared" si="25"/>
        <v>0.52359877559829915</v>
      </c>
      <c r="BX45" s="9">
        <f t="shared" ca="1" si="26"/>
        <v>113.11214823428335</v>
      </c>
      <c r="BY45" s="9">
        <f t="shared" ca="1" si="27"/>
        <v>329.49459026491496</v>
      </c>
      <c r="BZ45" s="9">
        <f t="shared" ca="1" si="28"/>
        <v>271.56580774512639</v>
      </c>
      <c r="CA45" s="6">
        <f t="shared" ca="1" si="29"/>
        <v>344.76025638113367</v>
      </c>
      <c r="CB45" s="6">
        <f t="shared" ca="1" si="30"/>
        <v>0.90360381764893138</v>
      </c>
      <c r="CC45" s="6">
        <f t="shared" ca="1" si="31"/>
        <v>2.3786982451440504</v>
      </c>
      <c r="CD45" s="9">
        <f t="shared" si="32"/>
        <v>171.56580774512639</v>
      </c>
      <c r="CE45" s="9">
        <f t="shared" si="33"/>
        <v>374.76025638113367</v>
      </c>
      <c r="CF45" s="6">
        <f t="shared" si="34"/>
        <v>1.1414736421633365</v>
      </c>
      <c r="CG45" s="6"/>
      <c r="CH45" s="6"/>
      <c r="CI45" s="6"/>
      <c r="CJ45" s="1"/>
      <c r="CK45" s="6"/>
      <c r="DC45">
        <v>0.61984706314542293</v>
      </c>
      <c r="DD45">
        <v>0.91987384698669306</v>
      </c>
      <c r="DE45">
        <v>5.5704907257973044</v>
      </c>
      <c r="DF45">
        <v>-0.22034195191319411</v>
      </c>
      <c r="DG45">
        <v>-0.4976952937182666</v>
      </c>
      <c r="DH45">
        <v>0.42123778690441505</v>
      </c>
      <c r="DV45" s="5"/>
    </row>
    <row r="46" spans="1:139" x14ac:dyDescent="0.25">
      <c r="AD46" s="37">
        <f>U13-PI()/2</f>
        <v>4.4209321859068229</v>
      </c>
      <c r="AE46">
        <f>AE45</f>
        <v>0</v>
      </c>
      <c r="BC46">
        <v>0.76794487087750563</v>
      </c>
      <c r="BD46">
        <v>262.48987893421844</v>
      </c>
      <c r="BE46">
        <v>357.21627310747715</v>
      </c>
      <c r="BF46" s="6">
        <f t="shared" si="39"/>
        <v>0.93708101928817666</v>
      </c>
      <c r="BG46" s="6">
        <f t="shared" si="40"/>
        <v>0.16913614841067104</v>
      </c>
      <c r="BH46" s="6">
        <f t="shared" si="2"/>
        <v>-1.2285378137660434</v>
      </c>
      <c r="BI46" s="6">
        <f t="shared" si="3"/>
        <v>1.2285378137660434</v>
      </c>
      <c r="BJ46">
        <v>291.65542103802051</v>
      </c>
      <c r="BK46">
        <v>396.90697011941904</v>
      </c>
      <c r="BV46" s="37"/>
      <c r="BW46" s="6">
        <f t="shared" si="25"/>
        <v>0.54105206811824247</v>
      </c>
      <c r="BX46" s="9">
        <f t="shared" ca="1" si="26"/>
        <v>112.36523206574762</v>
      </c>
      <c r="BY46" s="9">
        <f t="shared" ca="1" si="27"/>
        <v>330.76272472463603</v>
      </c>
      <c r="BZ46" s="9">
        <f t="shared" ca="1" si="28"/>
        <v>270.81889157659066</v>
      </c>
      <c r="CA46" s="6">
        <f t="shared" ca="1" si="29"/>
        <v>346.02839084085474</v>
      </c>
      <c r="CB46" s="6">
        <f t="shared" ca="1" si="30"/>
        <v>0.90672495854317892</v>
      </c>
      <c r="CC46" s="6">
        <f t="shared" ca="1" si="31"/>
        <v>2.3767114053574812</v>
      </c>
      <c r="CD46" s="9">
        <f t="shared" si="32"/>
        <v>170.81889157659066</v>
      </c>
      <c r="CE46" s="9">
        <f t="shared" si="33"/>
        <v>376.02839084085474</v>
      </c>
      <c r="CF46" s="6">
        <f t="shared" si="34"/>
        <v>1.144396099078927</v>
      </c>
      <c r="CG46" s="6"/>
      <c r="CH46" s="6"/>
      <c r="CI46" s="6"/>
      <c r="CJ46" s="1"/>
      <c r="CK46" s="6"/>
      <c r="DC46">
        <v>-0.4048789375321537</v>
      </c>
      <c r="DD46">
        <v>5.5704907257973044</v>
      </c>
      <c r="DE46">
        <v>5.5462253699508635</v>
      </c>
      <c r="DF46">
        <v>3.8250564621217542</v>
      </c>
      <c r="DG46">
        <v>1.2063793813564456</v>
      </c>
      <c r="DH46">
        <v>0.44550314275085601</v>
      </c>
    </row>
    <row r="47" spans="1:139" x14ac:dyDescent="0.25">
      <c r="A47" t="s">
        <v>27</v>
      </c>
      <c r="BC47">
        <v>0.78539816339744895</v>
      </c>
      <c r="BD47">
        <v>262.00666666666677</v>
      </c>
      <c r="BE47">
        <v>357.70806971677558</v>
      </c>
      <c r="BF47" s="6">
        <f t="shared" si="39"/>
        <v>0.93861598598804952</v>
      </c>
      <c r="BG47" s="6">
        <f t="shared" si="40"/>
        <v>0.15321782259060057</v>
      </c>
      <c r="BH47" s="6">
        <f t="shared" si="2"/>
        <v>-1.2300727804659168</v>
      </c>
      <c r="BI47" s="6">
        <f t="shared" si="3"/>
        <v>1.2300727804659168</v>
      </c>
      <c r="BJ47">
        <v>291.11851851851861</v>
      </c>
      <c r="BK47">
        <v>397.4534107964173</v>
      </c>
      <c r="BV47" s="37"/>
      <c r="BW47" s="6">
        <f t="shared" si="25"/>
        <v>0.55850536063818579</v>
      </c>
      <c r="BX47" s="9">
        <f t="shared" ca="1" si="26"/>
        <v>111.61741506484012</v>
      </c>
      <c r="BY47" s="9">
        <f t="shared" ca="1" si="27"/>
        <v>331.98315746983758</v>
      </c>
      <c r="BZ47" s="9">
        <f t="shared" ca="1" si="28"/>
        <v>270.07107457568316</v>
      </c>
      <c r="CA47" s="6">
        <f t="shared" ca="1" si="29"/>
        <v>347.24882358605629</v>
      </c>
      <c r="CB47" s="6">
        <f t="shared" ca="1" si="30"/>
        <v>0.90977351266427764</v>
      </c>
      <c r="CC47" s="6">
        <f t="shared" ca="1" si="31"/>
        <v>2.3748771349826621</v>
      </c>
      <c r="CD47" s="9">
        <f t="shared" si="32"/>
        <v>170.07107457568316</v>
      </c>
      <c r="CE47" s="9">
        <f t="shared" si="33"/>
        <v>377.24882358605629</v>
      </c>
      <c r="CF47" s="6">
        <f t="shared" si="34"/>
        <v>1.1472612261625439</v>
      </c>
      <c r="CG47" s="6"/>
      <c r="CH47" s="6"/>
      <c r="CI47" s="6"/>
      <c r="CJ47" s="1"/>
      <c r="CK47" s="6"/>
      <c r="DC47">
        <v>-0.4976952937182666</v>
      </c>
      <c r="DD47">
        <v>5.5462253699508635</v>
      </c>
      <c r="DE47">
        <v>0.96167579104210288</v>
      </c>
      <c r="DF47">
        <v>-0.37169947575969403</v>
      </c>
      <c r="DG47">
        <v>-0.66328857832805599</v>
      </c>
      <c r="DH47">
        <v>5.0300527216596169</v>
      </c>
    </row>
    <row r="48" spans="1:139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BC48">
        <v>0.80285145591739226</v>
      </c>
      <c r="BD48">
        <v>261.54003400404298</v>
      </c>
      <c r="BE48">
        <v>358.16669701021482</v>
      </c>
      <c r="BF48" s="6">
        <f t="shared" si="39"/>
        <v>0.9400758879530412</v>
      </c>
      <c r="BG48" s="6">
        <f t="shared" si="40"/>
        <v>0.13722443203564894</v>
      </c>
      <c r="BH48" s="6">
        <f t="shared" si="2"/>
        <v>-1.2315326824309081</v>
      </c>
      <c r="BI48" s="6">
        <f t="shared" si="3"/>
        <v>1.2315326824309081</v>
      </c>
      <c r="BJ48">
        <v>290.60003778226996</v>
      </c>
      <c r="BK48">
        <v>397.96299667801645</v>
      </c>
      <c r="BV48" s="37"/>
      <c r="BW48" s="6">
        <f t="shared" si="25"/>
        <v>0.57595865315812911</v>
      </c>
      <c r="BX48" s="9">
        <f t="shared" ca="1" si="26"/>
        <v>110.86780688084789</v>
      </c>
      <c r="BY48" s="9">
        <f t="shared" ca="1" si="27"/>
        <v>333.15989885106319</v>
      </c>
      <c r="BZ48" s="9">
        <f t="shared" ca="1" si="28"/>
        <v>269.32146639169093</v>
      </c>
      <c r="CA48" s="6">
        <f t="shared" ca="1" si="29"/>
        <v>348.4255649672819</v>
      </c>
      <c r="CB48" s="6">
        <f t="shared" ca="1" si="30"/>
        <v>0.91275763323705961</v>
      </c>
      <c r="CC48" s="6">
        <f t="shared" ca="1" si="31"/>
        <v>2.3731849645507754</v>
      </c>
      <c r="CD48" s="9">
        <f t="shared" si="32"/>
        <v>169.32146639169093</v>
      </c>
      <c r="CE48" s="9">
        <f t="shared" si="33"/>
        <v>378.4255649672819</v>
      </c>
      <c r="CF48" s="6">
        <f t="shared" si="34"/>
        <v>1.1500761296921371</v>
      </c>
      <c r="CG48" s="6"/>
      <c r="CH48" s="6"/>
      <c r="CI48" s="6"/>
      <c r="CJ48" s="1"/>
      <c r="CK48" s="6"/>
      <c r="DC48">
        <v>1.2063793813564456</v>
      </c>
      <c r="DD48">
        <v>0.96167579104210288</v>
      </c>
      <c r="DE48">
        <v>5.5126004752719044</v>
      </c>
      <c r="DF48">
        <v>-0.41083254270575215</v>
      </c>
      <c r="DG48">
        <v>-0.86012996822696364</v>
      </c>
      <c r="DH48">
        <v>0.47912803742981502</v>
      </c>
    </row>
    <row r="49" spans="1:112" x14ac:dyDescent="0.25">
      <c r="A49" t="s">
        <v>43</v>
      </c>
      <c r="B49" s="6">
        <f>C37</f>
        <v>-5.426278217100533</v>
      </c>
      <c r="C49" s="6">
        <f>D37</f>
        <v>-12.270106140967986</v>
      </c>
      <c r="D49" s="6">
        <f t="shared" ref="D49:E56" si="47">C38</f>
        <v>6.5603179825140696</v>
      </c>
      <c r="E49" s="6">
        <f t="shared" si="47"/>
        <v>-11.703086258261219</v>
      </c>
      <c r="F49" s="6">
        <f t="shared" ref="F49:F56" si="48">IF(B49=D49,"V",(C49-E49)/(B49-D49))</f>
        <v>4.7304495226509549E-2</v>
      </c>
      <c r="G49" s="6">
        <f t="shared" ref="G49:G56" si="49">IF(F49="V",0,(-1*B49*F49)+C49)</f>
        <v>-12.013418788949441</v>
      </c>
      <c r="H49" s="6">
        <f t="shared" ref="H49:H56" si="50">IF(AND(C49&lt;$G$41,E49&lt;$G$41),0,IF(AND(C49&lt;$G$41,E49&gt;$G$41),IF(F49="V",B49,($G$41-G49)/F49),B49))</f>
        <v>0</v>
      </c>
      <c r="I49" s="6">
        <f t="shared" ref="I49:I56" si="51">IF(AND(C49&lt;$G$41,E49&lt;$G$41),0,IF(AND(C49&lt;$G$41,E49&gt;$G$41),$G$41,C49))</f>
        <v>0</v>
      </c>
      <c r="J49" s="6">
        <f t="shared" ref="J49:J56" si="52">IF(AND(C49&lt;$G$41,E49&lt;$G$41),0,IF(E49&gt;=$G$41,D49,IF(F49="V",D49,($G$41-G49)/F49)))</f>
        <v>0</v>
      </c>
      <c r="K49" s="6">
        <f t="shared" ref="K49:K56" si="53">IF(AND(C49&lt;$G$41,E49&lt;$G$41),0,IF(E49&gt;=$G$41,E49,$G$41))</f>
        <v>0</v>
      </c>
      <c r="L49" s="6">
        <f t="shared" ref="L49:L56" si="54">IF(AND(I49=0,K49=0,H49=0,J49=0),0,$B$31)</f>
        <v>0</v>
      </c>
      <c r="M49" s="6">
        <f t="shared" ref="M49:M56" si="55">IF(AND(I49=0,K49=0,H49=0,J49=0),0,$B$31)</f>
        <v>0</v>
      </c>
      <c r="N49" s="10">
        <f t="shared" ref="N49:N56" si="56">(1/6)*(K49-I49)*((L49*((2*H49)+J49))+(M49*(H49+(2*J49))))</f>
        <v>0</v>
      </c>
      <c r="O49" s="10">
        <f t="shared" ref="O49:O56" si="57">((1/12)*(K49-I49)*(L49*H49*((3*I49)+K49)+L49*J49*(I49+K49)+M49*H49*(I49+K49)+M49*J49*(I49+(3*K49))))</f>
        <v>0</v>
      </c>
      <c r="P49" s="10">
        <f t="shared" ref="P49:P56" si="58">((-1/24)*(K49-I49)*(H49*H49*((3*L49)+M49)+2*H49*J49*(L49+M49)+J49*J49*(L49+(3*M49))))</f>
        <v>0</v>
      </c>
      <c r="S49" t="e">
        <f t="shared" ref="S49:S56" si="59">IF(AND(I49=0,K49=0,H49=0,J49=0),NA(),H49)</f>
        <v>#N/A</v>
      </c>
      <c r="T49" t="e">
        <f t="shared" ref="T49:T56" si="60">IF(AND(I49=0,K49=0,H49=0,J49=0),NA(),I49)</f>
        <v>#N/A</v>
      </c>
      <c r="V49" t="e">
        <f t="shared" ref="V49:V56" si="61">IF(AND(I49=0,K49=0,H49=0,J49=0),NA(),J49)</f>
        <v>#N/A</v>
      </c>
      <c r="W49" t="e">
        <f t="shared" ref="W49:W56" si="62">IF(AND(I49=0,K49=0,H49=0,J49=0),NA(),K49)</f>
        <v>#N/A</v>
      </c>
      <c r="AC49">
        <v>0</v>
      </c>
      <c r="AD49">
        <f>-PI()</f>
        <v>-3.1415926535897931</v>
      </c>
      <c r="BC49">
        <v>0.82030474843733558</v>
      </c>
      <c r="BD49">
        <v>261.08887183813874</v>
      </c>
      <c r="BE49">
        <v>358.59489589283015</v>
      </c>
      <c r="BF49" s="6">
        <f t="shared" si="39"/>
        <v>0.94146659320003245</v>
      </c>
      <c r="BG49" s="6">
        <f t="shared" si="40"/>
        <v>0.12116184476269687</v>
      </c>
      <c r="BH49" s="6">
        <f t="shared" si="2"/>
        <v>-1.2329233876778993</v>
      </c>
      <c r="BI49" s="6">
        <f t="shared" si="3"/>
        <v>1.2329233876778993</v>
      </c>
      <c r="BJ49">
        <v>290.0987464868208</v>
      </c>
      <c r="BK49">
        <v>398.43877321425572</v>
      </c>
      <c r="BV49" s="37"/>
      <c r="BW49" s="6">
        <f t="shared" si="25"/>
        <v>0.59341194567807243</v>
      </c>
      <c r="BX49" s="9">
        <f t="shared" ca="1" si="26"/>
        <v>110.11552317990643</v>
      </c>
      <c r="BY49" s="9">
        <f t="shared" ca="1" si="27"/>
        <v>334.29655538405444</v>
      </c>
      <c r="BZ49" s="9">
        <f t="shared" ca="1" si="28"/>
        <v>268.56918269074947</v>
      </c>
      <c r="CA49" s="6">
        <f t="shared" ca="1" si="29"/>
        <v>349.56222150027315</v>
      </c>
      <c r="CB49" s="6">
        <f t="shared" ca="1" si="30"/>
        <v>0.91568477235560108</v>
      </c>
      <c r="CC49" s="6">
        <f t="shared" ca="1" si="31"/>
        <v>2.3716256692401059</v>
      </c>
      <c r="CD49" s="9">
        <f t="shared" si="32"/>
        <v>168.56918269074947</v>
      </c>
      <c r="CE49" s="9">
        <f t="shared" si="33"/>
        <v>379.56222150027315</v>
      </c>
      <c r="CF49" s="6">
        <f t="shared" si="34"/>
        <v>1.1528473392796117</v>
      </c>
      <c r="CG49" s="6"/>
      <c r="CH49" s="6"/>
      <c r="CI49" s="6"/>
      <c r="CJ49" s="1"/>
      <c r="CK49" s="6"/>
      <c r="DC49">
        <v>-0.66328857832805599</v>
      </c>
      <c r="DD49">
        <v>5.5126004752719044</v>
      </c>
      <c r="DE49">
        <v>5.4900836849178543</v>
      </c>
      <c r="DF49">
        <v>8.7419826184730187</v>
      </c>
      <c r="DG49">
        <v>-2.7579449102731095</v>
      </c>
      <c r="DH49">
        <v>0.50164482778386521</v>
      </c>
    </row>
    <row r="50" spans="1:112" x14ac:dyDescent="0.25">
      <c r="A50" t="s">
        <v>44</v>
      </c>
      <c r="B50" s="6">
        <f t="shared" ref="B50:C56" si="63">D49</f>
        <v>6.5603179825140696</v>
      </c>
      <c r="C50" s="6">
        <f t="shared" si="63"/>
        <v>-11.703086258261219</v>
      </c>
      <c r="D50" s="6">
        <f t="shared" si="47"/>
        <v>5.8042914722383783</v>
      </c>
      <c r="E50" s="6">
        <f t="shared" si="47"/>
        <v>4.2790420078915847</v>
      </c>
      <c r="F50" s="6">
        <f t="shared" si="48"/>
        <v>-21.13964001120118</v>
      </c>
      <c r="G50" s="6">
        <f t="shared" si="49"/>
        <v>126.9796742510958</v>
      </c>
      <c r="H50" s="6">
        <f t="shared" si="50"/>
        <v>0</v>
      </c>
      <c r="I50" s="6">
        <f t="shared" si="51"/>
        <v>0</v>
      </c>
      <c r="J50" s="6">
        <f t="shared" si="52"/>
        <v>0</v>
      </c>
      <c r="K50" s="6">
        <f t="shared" si="53"/>
        <v>0</v>
      </c>
      <c r="L50" s="6">
        <f t="shared" si="54"/>
        <v>0</v>
      </c>
      <c r="M50" s="6">
        <f t="shared" si="55"/>
        <v>0</v>
      </c>
      <c r="N50" s="10">
        <f t="shared" si="56"/>
        <v>0</v>
      </c>
      <c r="O50" s="10">
        <f t="shared" si="57"/>
        <v>0</v>
      </c>
      <c r="P50" s="10">
        <f t="shared" si="58"/>
        <v>0</v>
      </c>
      <c r="S50" t="e">
        <f t="shared" si="59"/>
        <v>#N/A</v>
      </c>
      <c r="T50" t="e">
        <f t="shared" si="60"/>
        <v>#N/A</v>
      </c>
      <c r="V50" t="e">
        <f t="shared" si="61"/>
        <v>#N/A</v>
      </c>
      <c r="W50" t="e">
        <f t="shared" si="62"/>
        <v>#N/A</v>
      </c>
      <c r="AC50">
        <f>2*PI()</f>
        <v>6.2831853071795862</v>
      </c>
      <c r="AD50">
        <f>AD49</f>
        <v>-3.1415926535897931</v>
      </c>
      <c r="BC50">
        <v>0.8377580409572789</v>
      </c>
      <c r="BD50">
        <v>260.65216166911722</v>
      </c>
      <c r="BE50">
        <v>358.99512310445783</v>
      </c>
      <c r="BF50" s="6">
        <f t="shared" si="39"/>
        <v>0.94279339066803125</v>
      </c>
      <c r="BG50" s="6">
        <f t="shared" si="40"/>
        <v>0.10503534971075235</v>
      </c>
      <c r="BH50" s="6">
        <f t="shared" si="2"/>
        <v>-1.2342501851458982</v>
      </c>
      <c r="BI50" s="6">
        <f t="shared" si="3"/>
        <v>1.2342501851458982</v>
      </c>
      <c r="BJ50">
        <v>289.6135129656858</v>
      </c>
      <c r="BK50">
        <v>398.88347011606425</v>
      </c>
      <c r="BV50" s="37"/>
      <c r="BW50" s="6">
        <f t="shared" si="25"/>
        <v>0.61086523819801575</v>
      </c>
      <c r="BX50" s="9">
        <f t="shared" ca="1" si="26"/>
        <v>109.37582004751638</v>
      </c>
      <c r="BY50" s="9">
        <f t="shared" ca="1" si="27"/>
        <v>335.37307784225879</v>
      </c>
      <c r="BZ50" s="9">
        <f t="shared" ca="1" si="28"/>
        <v>267.82947955835942</v>
      </c>
      <c r="CA50" s="6">
        <f t="shared" ca="1" si="29"/>
        <v>350.63874395847751</v>
      </c>
      <c r="CB50" s="6">
        <f t="shared" ca="1" si="30"/>
        <v>0.91850065574396189</v>
      </c>
      <c r="CC50" s="6">
        <f t="shared" ca="1" si="31"/>
        <v>2.3702214160725692</v>
      </c>
      <c r="CD50" s="9">
        <f t="shared" si="32"/>
        <v>167.82947955835942</v>
      </c>
      <c r="CE50" s="9">
        <f t="shared" si="33"/>
        <v>380.63874395847751</v>
      </c>
      <c r="CF50" s="6">
        <f t="shared" si="34"/>
        <v>1.1555227973512188</v>
      </c>
      <c r="CG50" s="6"/>
      <c r="CH50" s="6"/>
      <c r="CI50" s="6"/>
      <c r="CJ50" s="1"/>
      <c r="CK50" s="6"/>
      <c r="DC50">
        <v>-0.86012996822696364</v>
      </c>
      <c r="DD50">
        <v>5.4900836849178543</v>
      </c>
      <c r="DE50">
        <v>4.1005749931173039</v>
      </c>
      <c r="DF50">
        <v>1.3658172512666495</v>
      </c>
      <c r="DG50">
        <v>-0.1749748084310731</v>
      </c>
      <c r="DH50">
        <v>1.8911535195844156</v>
      </c>
    </row>
    <row r="51" spans="1:112" x14ac:dyDescent="0.25">
      <c r="A51" t="s">
        <v>45</v>
      </c>
      <c r="B51" s="6">
        <f t="shared" si="63"/>
        <v>5.8042914722383783</v>
      </c>
      <c r="C51" s="6">
        <f t="shared" si="63"/>
        <v>4.2790420078915847</v>
      </c>
      <c r="D51" s="6">
        <f t="shared" si="47"/>
        <v>17.790887671852982</v>
      </c>
      <c r="E51" s="6">
        <f t="shared" si="47"/>
        <v>4.846061890598353</v>
      </c>
      <c r="F51" s="6">
        <f t="shared" si="48"/>
        <v>4.7304495226509702E-2</v>
      </c>
      <c r="G51" s="6">
        <f t="shared" si="49"/>
        <v>4.0044729296498129</v>
      </c>
      <c r="H51" s="6">
        <f t="shared" si="50"/>
        <v>0</v>
      </c>
      <c r="I51" s="6">
        <f t="shared" si="51"/>
        <v>0</v>
      </c>
      <c r="J51" s="6">
        <f t="shared" si="52"/>
        <v>0</v>
      </c>
      <c r="K51" s="6">
        <f t="shared" si="53"/>
        <v>0</v>
      </c>
      <c r="L51" s="6">
        <f t="shared" si="54"/>
        <v>0</v>
      </c>
      <c r="M51" s="6">
        <f t="shared" si="55"/>
        <v>0</v>
      </c>
      <c r="N51" s="10">
        <f t="shared" si="56"/>
        <v>0</v>
      </c>
      <c r="O51" s="10">
        <f t="shared" si="57"/>
        <v>0</v>
      </c>
      <c r="P51" s="10">
        <f t="shared" si="58"/>
        <v>0</v>
      </c>
      <c r="S51" t="e">
        <f t="shared" si="59"/>
        <v>#N/A</v>
      </c>
      <c r="T51" t="e">
        <f t="shared" si="60"/>
        <v>#N/A</v>
      </c>
      <c r="V51" t="e">
        <f t="shared" si="61"/>
        <v>#N/A</v>
      </c>
      <c r="W51" t="e">
        <f t="shared" si="62"/>
        <v>#N/A</v>
      </c>
      <c r="AC51">
        <f>AC50</f>
        <v>6.2831853071795862</v>
      </c>
      <c r="AD51">
        <f>-1*AD50</f>
        <v>3.1415926535897931</v>
      </c>
      <c r="BC51">
        <v>0.85521133347722222</v>
      </c>
      <c r="BD51">
        <v>260.22896630096739</v>
      </c>
      <c r="BE51">
        <v>359.36958557548223</v>
      </c>
      <c r="BF51" s="6">
        <f t="shared" si="39"/>
        <v>0.9440610593708072</v>
      </c>
      <c r="BG51" s="6">
        <f t="shared" si="40"/>
        <v>8.8849725893584974E-2</v>
      </c>
      <c r="BH51" s="6">
        <f t="shared" si="2"/>
        <v>-1.2355178538486744</v>
      </c>
      <c r="BI51" s="6">
        <f t="shared" si="3"/>
        <v>1.2355178538486744</v>
      </c>
      <c r="BJ51">
        <v>289.14329588996378</v>
      </c>
      <c r="BK51">
        <v>399.29953952831357</v>
      </c>
      <c r="BV51" s="37"/>
      <c r="BW51" s="6">
        <f t="shared" si="25"/>
        <v>0.62831853071795907</v>
      </c>
      <c r="BX51" s="9">
        <f t="shared" ca="1" si="26"/>
        <v>108.67180127423157</v>
      </c>
      <c r="BY51" s="9">
        <f t="shared" ca="1" si="27"/>
        <v>336.36029870175742</v>
      </c>
      <c r="BZ51" s="9">
        <f t="shared" ca="1" si="28"/>
        <v>267.12546078507461</v>
      </c>
      <c r="CA51" s="6">
        <f t="shared" ca="1" si="29"/>
        <v>351.62596481797613</v>
      </c>
      <c r="CB51" s="6">
        <f t="shared" ca="1" si="30"/>
        <v>0.92112469501904848</v>
      </c>
      <c r="CC51" s="6">
        <f t="shared" ca="1" si="31"/>
        <v>2.3690032471737119</v>
      </c>
      <c r="CD51" s="9">
        <f t="shared" si="32"/>
        <v>167.12546078507461</v>
      </c>
      <c r="CE51" s="9">
        <f t="shared" si="33"/>
        <v>381.62596481797613</v>
      </c>
      <c r="CF51" s="6">
        <f t="shared" si="34"/>
        <v>1.1580250197364197</v>
      </c>
      <c r="CG51" s="6"/>
      <c r="CH51" s="6"/>
      <c r="CI51" s="6"/>
      <c r="CJ51" s="1"/>
      <c r="CK51" s="6"/>
      <c r="DC51">
        <v>-2.7579449102731095</v>
      </c>
      <c r="DD51">
        <v>4.1005749931173039</v>
      </c>
      <c r="DE51">
        <v>5.6819445086666951</v>
      </c>
      <c r="DF51">
        <v>1.6333754232923063</v>
      </c>
      <c r="DG51">
        <v>0.33101877028882037</v>
      </c>
      <c r="DH51">
        <v>0.30978400403502437</v>
      </c>
    </row>
    <row r="52" spans="1:112" x14ac:dyDescent="0.25">
      <c r="A52" t="s">
        <v>46</v>
      </c>
      <c r="B52" s="6">
        <f t="shared" si="63"/>
        <v>17.790887671852982</v>
      </c>
      <c r="C52" s="6">
        <f t="shared" si="63"/>
        <v>4.846061890598353</v>
      </c>
      <c r="D52" s="6">
        <f t="shared" si="47"/>
        <v>17.412874416715137</v>
      </c>
      <c r="E52" s="6">
        <f t="shared" si="47"/>
        <v>12.837126023674754</v>
      </c>
      <c r="F52" s="6">
        <f t="shared" si="48"/>
        <v>-21.139640011201251</v>
      </c>
      <c r="G52" s="6">
        <f t="shared" si="49"/>
        <v>380.93902275328873</v>
      </c>
      <c r="H52" s="6">
        <f t="shared" si="50"/>
        <v>17.512753486387965</v>
      </c>
      <c r="I52" s="6">
        <f t="shared" si="51"/>
        <v>10.725718446137455</v>
      </c>
      <c r="J52" s="6">
        <f t="shared" si="52"/>
        <v>17.412874416715137</v>
      </c>
      <c r="K52" s="6">
        <f t="shared" si="53"/>
        <v>12.837126023674754</v>
      </c>
      <c r="L52" s="6">
        <f t="shared" si="54"/>
        <v>4.25</v>
      </c>
      <c r="M52" s="6">
        <f t="shared" si="55"/>
        <v>4.25</v>
      </c>
      <c r="N52" s="10">
        <f t="shared" si="56"/>
        <v>156.70225023532757</v>
      </c>
      <c r="O52" s="10">
        <f t="shared" si="57"/>
        <v>1846.0176771319464</v>
      </c>
      <c r="P52" s="10">
        <f t="shared" si="58"/>
        <v>-1368.2348507378358</v>
      </c>
      <c r="S52">
        <f t="shared" si="59"/>
        <v>17.512753486387965</v>
      </c>
      <c r="T52">
        <f t="shared" si="60"/>
        <v>10.725718446137455</v>
      </c>
      <c r="V52">
        <f t="shared" si="61"/>
        <v>17.412874416715137</v>
      </c>
      <c r="W52">
        <f t="shared" si="62"/>
        <v>12.837126023674754</v>
      </c>
      <c r="AC52">
        <f>0</f>
        <v>0</v>
      </c>
      <c r="AD52">
        <f>AD51</f>
        <v>3.1415926535897931</v>
      </c>
      <c r="BC52">
        <v>0.87266462599716554</v>
      </c>
      <c r="BD52">
        <v>259.81842165067758</v>
      </c>
      <c r="BE52">
        <v>359.72027001769084</v>
      </c>
      <c r="BF52" s="6">
        <f t="shared" si="39"/>
        <v>0.94527392795795306</v>
      </c>
      <c r="BG52" s="6">
        <f t="shared" si="40"/>
        <v>7.260930196078752E-2</v>
      </c>
      <c r="BH52" s="6">
        <f t="shared" si="2"/>
        <v>-1.2367307224358204</v>
      </c>
      <c r="BI52" s="6">
        <f t="shared" si="3"/>
        <v>1.2367307224358204</v>
      </c>
      <c r="BJ52">
        <v>288.68713516741951</v>
      </c>
      <c r="BK52">
        <v>399.68918890854536</v>
      </c>
      <c r="BV52" s="37"/>
      <c r="BW52" s="6">
        <f t="shared" si="25"/>
        <v>0.64577182323790239</v>
      </c>
      <c r="BX52" s="9">
        <f t="shared" ca="1" si="26"/>
        <v>108.00081672986127</v>
      </c>
      <c r="BY52" s="9">
        <f t="shared" ca="1" si="27"/>
        <v>337.2672774821479</v>
      </c>
      <c r="BZ52" s="9">
        <f t="shared" ca="1" si="28"/>
        <v>266.45447624070431</v>
      </c>
      <c r="CA52" s="6">
        <f t="shared" ca="1" si="29"/>
        <v>352.53294359836661</v>
      </c>
      <c r="CB52" s="6">
        <f t="shared" ca="1" si="30"/>
        <v>0.9235753473968763</v>
      </c>
      <c r="CC52" s="6">
        <f t="shared" ca="1" si="31"/>
        <v>2.367951034048529</v>
      </c>
      <c r="CD52" s="9">
        <f t="shared" si="32"/>
        <v>166.45447624070431</v>
      </c>
      <c r="CE52" s="9">
        <f t="shared" si="33"/>
        <v>382.53294359836661</v>
      </c>
      <c r="CF52" s="6">
        <f t="shared" si="34"/>
        <v>1.1603704508017292</v>
      </c>
      <c r="CG52" s="6"/>
      <c r="CH52" s="6"/>
      <c r="CI52" s="6"/>
      <c r="CJ52" s="1"/>
      <c r="CK52" s="6"/>
      <c r="DC52">
        <v>-0.1749748084310731</v>
      </c>
      <c r="DD52">
        <v>5.6819445086666951</v>
      </c>
      <c r="DE52">
        <v>0.86073070867656942</v>
      </c>
      <c r="DF52">
        <v>-0.10495149141092432</v>
      </c>
      <c r="DG52">
        <v>-0.2074871016697967</v>
      </c>
      <c r="DH52">
        <v>5.1309978040251503</v>
      </c>
    </row>
    <row r="53" spans="1:112" x14ac:dyDescent="0.25">
      <c r="A53" t="s">
        <v>47</v>
      </c>
      <c r="B53" s="6">
        <f t="shared" si="63"/>
        <v>17.412874416715137</v>
      </c>
      <c r="C53" s="6">
        <f t="shared" si="63"/>
        <v>12.837126023674754</v>
      </c>
      <c r="D53" s="6">
        <f t="shared" si="47"/>
        <v>-30.53351038174327</v>
      </c>
      <c r="E53" s="6">
        <f t="shared" si="47"/>
        <v>10.569046492847683</v>
      </c>
      <c r="F53" s="6">
        <f t="shared" si="48"/>
        <v>4.730449522650966E-2</v>
      </c>
      <c r="G53" s="6">
        <f t="shared" si="49"/>
        <v>12.013418788949441</v>
      </c>
      <c r="H53" s="6">
        <f t="shared" si="50"/>
        <v>17.412874416715137</v>
      </c>
      <c r="I53" s="6">
        <f t="shared" si="51"/>
        <v>12.837126023674754</v>
      </c>
      <c r="J53" s="6">
        <f t="shared" si="52"/>
        <v>-27.221521689345767</v>
      </c>
      <c r="K53" s="6">
        <f t="shared" si="53"/>
        <v>10.725718446137455</v>
      </c>
      <c r="L53" s="6">
        <f t="shared" si="54"/>
        <v>4.25</v>
      </c>
      <c r="M53" s="6">
        <f t="shared" si="55"/>
        <v>4.25</v>
      </c>
      <c r="N53" s="10">
        <f t="shared" si="56"/>
        <v>44.008860875748624</v>
      </c>
      <c r="O53" s="10">
        <f t="shared" si="57"/>
        <v>448.01417662215346</v>
      </c>
      <c r="P53" s="10">
        <f t="shared" si="58"/>
        <v>852.80161131084208</v>
      </c>
      <c r="S53">
        <f t="shared" si="59"/>
        <v>17.412874416715137</v>
      </c>
      <c r="T53">
        <f t="shared" si="60"/>
        <v>12.837126023674754</v>
      </c>
      <c r="V53">
        <f t="shared" si="61"/>
        <v>-27.221521689345767</v>
      </c>
      <c r="W53">
        <f t="shared" si="62"/>
        <v>10.725718446137455</v>
      </c>
      <c r="AC53">
        <f>AC49</f>
        <v>0</v>
      </c>
      <c r="AD53">
        <f>AD49</f>
        <v>-3.1415926535897931</v>
      </c>
      <c r="BC53">
        <v>0.89011791851710886</v>
      </c>
      <c r="BD53">
        <v>259.41972951811886</v>
      </c>
      <c r="BE53">
        <v>360.04896848993633</v>
      </c>
      <c r="BF53" s="6">
        <f t="shared" si="39"/>
        <v>0.94643592619199013</v>
      </c>
      <c r="BG53" s="6">
        <f t="shared" si="40"/>
        <v>5.6318007674881265E-2</v>
      </c>
      <c r="BH53" s="6">
        <f t="shared" si="2"/>
        <v>-1.2378927206698569</v>
      </c>
      <c r="BI53" s="6">
        <f t="shared" si="3"/>
        <v>1.2378927206698569</v>
      </c>
      <c r="BJ53">
        <v>288.24414390902092</v>
      </c>
      <c r="BK53">
        <v>400.05440943326255</v>
      </c>
      <c r="BV53" s="37"/>
      <c r="BW53" s="6">
        <f t="shared" si="25"/>
        <v>0.66322511575784571</v>
      </c>
      <c r="BX53" s="9">
        <f t="shared" ca="1" si="26"/>
        <v>107.36021335364941</v>
      </c>
      <c r="BY53" s="9">
        <f t="shared" ca="1" si="27"/>
        <v>338.10229964417346</v>
      </c>
      <c r="BZ53" s="9">
        <f t="shared" ca="1" si="28"/>
        <v>265.81387286449245</v>
      </c>
      <c r="CA53" s="6">
        <f t="shared" ca="1" si="29"/>
        <v>353.36796576039217</v>
      </c>
      <c r="CB53" s="6">
        <f t="shared" ca="1" si="30"/>
        <v>0.92586974745817974</v>
      </c>
      <c r="CC53" s="6">
        <f t="shared" ca="1" si="31"/>
        <v>2.3670467178857177</v>
      </c>
      <c r="CD53" s="9">
        <f t="shared" si="32"/>
        <v>165.81387286449245</v>
      </c>
      <c r="CE53" s="9">
        <f t="shared" si="33"/>
        <v>383.36796576039217</v>
      </c>
      <c r="CF53" s="6">
        <f t="shared" si="34"/>
        <v>1.1625744192467515</v>
      </c>
      <c r="CG53" s="6"/>
      <c r="CH53" s="6"/>
      <c r="CI53" s="6"/>
      <c r="CJ53" s="1"/>
      <c r="CK53" s="6"/>
      <c r="DC53">
        <v>0.33101877028882037</v>
      </c>
      <c r="DD53">
        <v>0.86073070867656942</v>
      </c>
      <c r="DE53">
        <v>5.6563198195430013</v>
      </c>
      <c r="DF53">
        <v>-0.11229191231967824</v>
      </c>
      <c r="DG53">
        <v>-0.24515078523323333</v>
      </c>
      <c r="DH53">
        <v>0.33540869315871813</v>
      </c>
    </row>
    <row r="54" spans="1:112" x14ac:dyDescent="0.25">
      <c r="A54" t="s">
        <v>48</v>
      </c>
      <c r="B54" s="6">
        <f t="shared" si="63"/>
        <v>-30.53351038174327</v>
      </c>
      <c r="C54" s="6">
        <f t="shared" si="63"/>
        <v>10.569046492847683</v>
      </c>
      <c r="D54" s="6">
        <f t="shared" si="47"/>
        <v>-30.155497126605425</v>
      </c>
      <c r="E54" s="6">
        <f t="shared" si="47"/>
        <v>2.5779823597712808</v>
      </c>
      <c r="F54" s="6">
        <f t="shared" si="48"/>
        <v>-21.139640011201255</v>
      </c>
      <c r="G54" s="6">
        <f t="shared" si="49"/>
        <v>-634.89837125548127</v>
      </c>
      <c r="H54" s="6">
        <f t="shared" si="50"/>
        <v>0</v>
      </c>
      <c r="I54" s="6">
        <f t="shared" si="51"/>
        <v>0</v>
      </c>
      <c r="J54" s="6">
        <f t="shared" si="52"/>
        <v>0</v>
      </c>
      <c r="K54" s="6">
        <f t="shared" si="53"/>
        <v>0</v>
      </c>
      <c r="L54" s="6">
        <f t="shared" si="54"/>
        <v>0</v>
      </c>
      <c r="M54" s="6">
        <f t="shared" si="55"/>
        <v>0</v>
      </c>
      <c r="N54" s="10">
        <f t="shared" si="56"/>
        <v>0</v>
      </c>
      <c r="O54" s="10">
        <f t="shared" si="57"/>
        <v>0</v>
      </c>
      <c r="P54" s="10">
        <f t="shared" si="58"/>
        <v>0</v>
      </c>
      <c r="S54" t="e">
        <f t="shared" si="59"/>
        <v>#N/A</v>
      </c>
      <c r="T54" t="e">
        <f t="shared" si="60"/>
        <v>#N/A</v>
      </c>
      <c r="V54" t="e">
        <f t="shared" si="61"/>
        <v>#N/A</v>
      </c>
      <c r="W54" t="e">
        <f t="shared" si="62"/>
        <v>#N/A</v>
      </c>
      <c r="BC54">
        <v>0.90757121103705218</v>
      </c>
      <c r="BD54">
        <v>259.03215118715804</v>
      </c>
      <c r="BE54">
        <v>360.35730055151089</v>
      </c>
      <c r="BF54" s="6">
        <f t="shared" si="39"/>
        <v>0.94755062958552716</v>
      </c>
      <c r="BG54" s="6">
        <f t="shared" si="40"/>
        <v>3.9979418548474976E-2</v>
      </c>
      <c r="BH54" s="6">
        <f t="shared" si="2"/>
        <v>-1.2390074240633944</v>
      </c>
      <c r="BI54" s="6">
        <f t="shared" si="3"/>
        <v>1.2390074240633944</v>
      </c>
      <c r="BJ54">
        <v>287.81350131906447</v>
      </c>
      <c r="BK54">
        <v>400.39700061278984</v>
      </c>
      <c r="BV54" s="37"/>
      <c r="BW54" s="6">
        <f t="shared" si="25"/>
        <v>0.68067840827778903</v>
      </c>
      <c r="BX54" s="9">
        <f t="shared" ca="1" si="26"/>
        <v>106.74760848470063</v>
      </c>
      <c r="BY54" s="9">
        <f t="shared" ca="1" si="27"/>
        <v>338.87260088747269</v>
      </c>
      <c r="BZ54" s="9">
        <f t="shared" ca="1" si="28"/>
        <v>265.20126799554367</v>
      </c>
      <c r="CA54" s="6">
        <f t="shared" ca="1" si="29"/>
        <v>354.1382670036914</v>
      </c>
      <c r="CB54" s="6">
        <f t="shared" ca="1" si="30"/>
        <v>0.92802289186830367</v>
      </c>
      <c r="CC54" s="6">
        <f t="shared" ca="1" si="31"/>
        <v>2.3662745395738707</v>
      </c>
      <c r="CD54" s="9">
        <f t="shared" si="32"/>
        <v>165.20126799554367</v>
      </c>
      <c r="CE54" s="9">
        <f t="shared" si="33"/>
        <v>384.1382670036914</v>
      </c>
      <c r="CF54" s="6">
        <f t="shared" si="34"/>
        <v>1.1646503458256907</v>
      </c>
      <c r="CG54" s="6"/>
      <c r="CH54" s="6"/>
      <c r="CI54" s="6"/>
      <c r="CJ54" s="1"/>
      <c r="CK54" s="6"/>
      <c r="DC54">
        <v>-0.2074871016697967</v>
      </c>
      <c r="DD54">
        <v>5.6563198195430013</v>
      </c>
      <c r="DE54">
        <v>5.633069104591713</v>
      </c>
      <c r="DF54">
        <v>1.6198935663847009</v>
      </c>
      <c r="DG54">
        <v>0.33583928248751105</v>
      </c>
      <c r="DH54">
        <v>0.35865940811000652</v>
      </c>
    </row>
    <row r="55" spans="1:112" x14ac:dyDescent="0.25">
      <c r="A55" t="s">
        <v>93</v>
      </c>
      <c r="B55" s="6">
        <f t="shared" si="63"/>
        <v>-30.155497126605425</v>
      </c>
      <c r="C55" s="6">
        <f t="shared" si="63"/>
        <v>2.5779823597712808</v>
      </c>
      <c r="D55" s="6">
        <f t="shared" si="47"/>
        <v>-6.1823047273762244</v>
      </c>
      <c r="E55" s="6">
        <f t="shared" si="47"/>
        <v>3.7120221251848164</v>
      </c>
      <c r="F55" s="6">
        <f t="shared" si="48"/>
        <v>4.7304495226509667E-2</v>
      </c>
      <c r="G55" s="6">
        <f t="shared" si="49"/>
        <v>4.0044729296498129</v>
      </c>
      <c r="H55" s="6">
        <f t="shared" si="50"/>
        <v>0</v>
      </c>
      <c r="I55" s="6">
        <f t="shared" si="51"/>
        <v>0</v>
      </c>
      <c r="J55" s="6">
        <f t="shared" si="52"/>
        <v>0</v>
      </c>
      <c r="K55" s="6">
        <f t="shared" si="53"/>
        <v>0</v>
      </c>
      <c r="L55" s="6">
        <f t="shared" si="54"/>
        <v>0</v>
      </c>
      <c r="M55" s="6">
        <f t="shared" si="55"/>
        <v>0</v>
      </c>
      <c r="N55" s="10">
        <f t="shared" si="56"/>
        <v>0</v>
      </c>
      <c r="O55" s="10">
        <f t="shared" si="57"/>
        <v>0</v>
      </c>
      <c r="P55" s="10">
        <f t="shared" si="58"/>
        <v>0</v>
      </c>
      <c r="S55" t="e">
        <f t="shared" si="59"/>
        <v>#N/A</v>
      </c>
      <c r="T55" t="e">
        <f t="shared" si="60"/>
        <v>#N/A</v>
      </c>
      <c r="V55" t="e">
        <f t="shared" si="61"/>
        <v>#N/A</v>
      </c>
      <c r="W55" t="e">
        <f t="shared" si="62"/>
        <v>#N/A</v>
      </c>
      <c r="BC55">
        <v>0.9250245035569955</v>
      </c>
      <c r="BD55">
        <v>258.65500174806465</v>
      </c>
      <c r="BE55">
        <v>360.64673251307659</v>
      </c>
      <c r="BF55" s="6">
        <f t="shared" si="39"/>
        <v>0.94862129822946173</v>
      </c>
      <c r="BG55" s="6">
        <f t="shared" si="40"/>
        <v>2.3596794672466226E-2</v>
      </c>
      <c r="BH55" s="6">
        <f t="shared" si="2"/>
        <v>-1.2400780927073287</v>
      </c>
      <c r="BI55" s="6">
        <f t="shared" si="3"/>
        <v>1.2400780927073287</v>
      </c>
      <c r="BJ55">
        <v>287.39444638673848</v>
      </c>
      <c r="BK55">
        <v>400.71859168119619</v>
      </c>
      <c r="BV55" s="37"/>
      <c r="BW55" s="6">
        <f t="shared" si="25"/>
        <v>0.69813170079773235</v>
      </c>
      <c r="BX55" s="9">
        <f t="shared" ca="1" si="26"/>
        <v>106.16085601510483</v>
      </c>
      <c r="BY55" s="9">
        <f t="shared" ca="1" si="27"/>
        <v>339.58452254742099</v>
      </c>
      <c r="BZ55" s="9">
        <f t="shared" ca="1" si="28"/>
        <v>264.61451552594787</v>
      </c>
      <c r="CA55" s="6">
        <f t="shared" ca="1" si="29"/>
        <v>354.8501886636397</v>
      </c>
      <c r="CB55" s="6">
        <f t="shared" ca="1" si="30"/>
        <v>0.93004795907719462</v>
      </c>
      <c r="CC55" s="6">
        <f t="shared" ca="1" si="31"/>
        <v>2.3656207128684144</v>
      </c>
      <c r="CD55" s="9">
        <f t="shared" si="32"/>
        <v>164.61451552594787</v>
      </c>
      <c r="CE55" s="9">
        <f t="shared" si="33"/>
        <v>384.8501886636397</v>
      </c>
      <c r="CF55" s="6">
        <f t="shared" si="34"/>
        <v>1.1666100303640361</v>
      </c>
      <c r="CG55" s="6"/>
      <c r="CH55" s="6"/>
      <c r="CI55" s="6"/>
      <c r="CJ55" s="1"/>
      <c r="CK55" s="6"/>
      <c r="DC55">
        <v>-0.24515078523323333</v>
      </c>
      <c r="DD55">
        <v>5.633069104591713</v>
      </c>
      <c r="DE55">
        <v>0.86210449187933424</v>
      </c>
      <c r="DF55">
        <v>-0.12177622658794804</v>
      </c>
      <c r="DG55">
        <v>-0.28882697458313683</v>
      </c>
      <c r="DH55">
        <v>5.1296240208223853</v>
      </c>
    </row>
    <row r="56" spans="1:112" ht="15.75" thickBot="1" x14ac:dyDescent="0.3">
      <c r="A56" t="s">
        <v>94</v>
      </c>
      <c r="B56" s="6">
        <f t="shared" si="63"/>
        <v>-6.1823047273762244</v>
      </c>
      <c r="C56" s="6">
        <f t="shared" si="63"/>
        <v>3.7120221251848164</v>
      </c>
      <c r="D56" s="6">
        <f t="shared" si="47"/>
        <v>-5.426278217100533</v>
      </c>
      <c r="E56" s="6">
        <f t="shared" si="47"/>
        <v>-12.270106140967986</v>
      </c>
      <c r="F56" s="6">
        <f t="shared" si="48"/>
        <v>-21.139640011201177</v>
      </c>
      <c r="G56" s="6">
        <f t="shared" si="49"/>
        <v>-126.9796742510958</v>
      </c>
      <c r="H56" s="6">
        <f t="shared" si="50"/>
        <v>0</v>
      </c>
      <c r="I56" s="6">
        <f t="shared" si="51"/>
        <v>0</v>
      </c>
      <c r="J56" s="6">
        <f t="shared" si="52"/>
        <v>0</v>
      </c>
      <c r="K56" s="6">
        <f t="shared" si="53"/>
        <v>0</v>
      </c>
      <c r="L56" s="6">
        <f t="shared" si="54"/>
        <v>0</v>
      </c>
      <c r="M56" s="6">
        <f t="shared" si="55"/>
        <v>0</v>
      </c>
      <c r="N56" s="11">
        <f t="shared" si="56"/>
        <v>0</v>
      </c>
      <c r="O56" s="11">
        <f t="shared" si="57"/>
        <v>0</v>
      </c>
      <c r="P56" s="11">
        <f t="shared" si="58"/>
        <v>0</v>
      </c>
      <c r="S56" t="e">
        <f t="shared" si="59"/>
        <v>#N/A</v>
      </c>
      <c r="T56" t="e">
        <f t="shared" si="60"/>
        <v>#N/A</v>
      </c>
      <c r="V56" t="e">
        <f t="shared" si="61"/>
        <v>#N/A</v>
      </c>
      <c r="W56" t="e">
        <f t="shared" si="62"/>
        <v>#N/A</v>
      </c>
      <c r="BC56">
        <v>0.94247779607693882</v>
      </c>
      <c r="BD56">
        <v>258.28764504753968</v>
      </c>
      <c r="BE56">
        <v>360.91859421077299</v>
      </c>
      <c r="BF56" s="6">
        <f t="shared" si="39"/>
        <v>0.94965091067016782</v>
      </c>
      <c r="BG56" s="6">
        <f t="shared" si="40"/>
        <v>7.1731145932290019E-3</v>
      </c>
      <c r="BH56" s="6">
        <f t="shared" si="2"/>
        <v>-1.2411077051480348</v>
      </c>
      <c r="BI56" s="6">
        <f t="shared" si="3"/>
        <v>1.2411077051480348</v>
      </c>
      <c r="BJ56">
        <v>286.98627227504409</v>
      </c>
      <c r="BK56">
        <v>401.02066023419218</v>
      </c>
      <c r="BV56" s="37"/>
      <c r="BW56" s="6">
        <f t="shared" si="25"/>
        <v>0.71558499331767567</v>
      </c>
      <c r="BX56" s="9">
        <f t="shared" ca="1" si="26"/>
        <v>105.59801749402956</v>
      </c>
      <c r="BY56" s="9">
        <f t="shared" ca="1" si="27"/>
        <v>340.24364078869826</v>
      </c>
      <c r="BZ56" s="9">
        <f t="shared" ca="1" si="28"/>
        <v>264.0516770048726</v>
      </c>
      <c r="CA56" s="6">
        <f t="shared" ca="1" si="29"/>
        <v>355.50930690491697</v>
      </c>
      <c r="CB56" s="6">
        <f t="shared" ca="1" si="30"/>
        <v>0.9319565738079939</v>
      </c>
      <c r="CC56" s="6">
        <f t="shared" ca="1" si="31"/>
        <v>2.3650731487132512</v>
      </c>
      <c r="CD56" s="9">
        <f t="shared" si="32"/>
        <v>164.0516770048726</v>
      </c>
      <c r="CE56" s="9">
        <f t="shared" si="33"/>
        <v>385.50930690491697</v>
      </c>
      <c r="CF56" s="6">
        <f t="shared" si="34"/>
        <v>1.1684638886793191</v>
      </c>
      <c r="CG56" s="6"/>
      <c r="CH56" s="6"/>
      <c r="CI56" s="6"/>
      <c r="CJ56" s="1"/>
      <c r="CK56" s="6"/>
      <c r="DC56">
        <v>0.33583928248751105</v>
      </c>
      <c r="DD56">
        <v>0.86210449187933424</v>
      </c>
      <c r="DE56">
        <v>5.6116356884973833</v>
      </c>
      <c r="DF56">
        <v>-0.13152166628896925</v>
      </c>
      <c r="DG56">
        <v>-0.33881741616697136</v>
      </c>
      <c r="DH56">
        <v>0.38009282420433621</v>
      </c>
    </row>
    <row r="57" spans="1:112" ht="15.75" thickTop="1" x14ac:dyDescent="0.25">
      <c r="N57" s="6">
        <f>SUM(N49:N56)</f>
        <v>200.71111111107621</v>
      </c>
      <c r="O57" s="6">
        <f>SUM(O49:O56)</f>
        <v>2294.0318537540998</v>
      </c>
      <c r="P57" s="6">
        <f>SUM(P49:P56)</f>
        <v>-515.43323942699374</v>
      </c>
      <c r="BC57">
        <v>0.95993108859688214</v>
      </c>
      <c r="BD57">
        <v>257.92948918631868</v>
      </c>
      <c r="BE57">
        <v>361.17409366012879</v>
      </c>
      <c r="BF57" s="6">
        <f t="shared" si="39"/>
        <v>0.95064219355248736</v>
      </c>
      <c r="BG57" s="6">
        <f t="shared" si="40"/>
        <v>9.2888950443947849E-3</v>
      </c>
      <c r="BH57" s="6">
        <f t="shared" si="2"/>
        <v>-1.2420989880303541</v>
      </c>
      <c r="BI57" s="6">
        <f t="shared" si="3"/>
        <v>1.2420989880303541</v>
      </c>
      <c r="BJ57">
        <v>286.58832131813188</v>
      </c>
      <c r="BK57">
        <v>401.30454851125421</v>
      </c>
      <c r="BV57" s="37"/>
      <c r="BW57" s="6">
        <f t="shared" si="25"/>
        <v>0.73303828583761899</v>
      </c>
      <c r="BX57" s="9">
        <f t="shared" ca="1" si="26"/>
        <v>105.0573373575007</v>
      </c>
      <c r="BY57" s="9">
        <f t="shared" ca="1" si="27"/>
        <v>340.85487452550944</v>
      </c>
      <c r="BZ57" s="9">
        <f t="shared" ca="1" si="28"/>
        <v>263.51099686834374</v>
      </c>
      <c r="CA57" s="6">
        <f t="shared" ca="1" si="29"/>
        <v>356.12054064172816</v>
      </c>
      <c r="CB57" s="6">
        <f t="shared" ca="1" si="30"/>
        <v>0.93375902707753577</v>
      </c>
      <c r="CC57" s="6">
        <f t="shared" ca="1" si="31"/>
        <v>2.3646212221368823</v>
      </c>
      <c r="CD57" s="9">
        <f t="shared" si="32"/>
        <v>163.51099686834374</v>
      </c>
      <c r="CE57" s="9">
        <f t="shared" si="33"/>
        <v>386.12054064172816</v>
      </c>
      <c r="CF57" s="6">
        <f t="shared" si="34"/>
        <v>1.170221149291224</v>
      </c>
      <c r="CG57" s="6"/>
      <c r="CH57" s="6"/>
      <c r="CI57" s="6"/>
      <c r="CJ57" s="1"/>
      <c r="CK57" s="6"/>
      <c r="DC57">
        <v>-0.28882697458313683</v>
      </c>
      <c r="DD57">
        <v>5.6116356884973833</v>
      </c>
      <c r="DE57">
        <v>5.5918043000757116</v>
      </c>
      <c r="DF57">
        <v>2.5207736604667184</v>
      </c>
      <c r="DG57">
        <v>0.66930100520356062</v>
      </c>
      <c r="DH57">
        <v>0.39992421262600786</v>
      </c>
    </row>
    <row r="58" spans="1:112" x14ac:dyDescent="0.25">
      <c r="O58" s="6">
        <f>O57/N57</f>
        <v>11.429520971983219</v>
      </c>
      <c r="P58" s="6">
        <f>-1*P57/N57</f>
        <v>2.5680354045857787</v>
      </c>
      <c r="S58">
        <f>(P58*COS(-1*$B$27))+(O58*SIN(-1*$B$27))+$I$2</f>
        <v>9.1052307551676765</v>
      </c>
      <c r="T58">
        <f>(-1*P58*SIN(-1*$B$27))+(O58*COS(-1*$B$27))+$I$3</f>
        <v>23.295410459357868</v>
      </c>
      <c r="BC58">
        <v>0.97738438111682546</v>
      </c>
      <c r="BD58">
        <v>257.5799824957237</v>
      </c>
      <c r="BE58">
        <v>361.41432988958326</v>
      </c>
      <c r="BF58" s="6">
        <f t="shared" si="39"/>
        <v>0.95159764762968935</v>
      </c>
      <c r="BG58" s="6">
        <f t="shared" si="40"/>
        <v>2.5786733487136115E-2</v>
      </c>
      <c r="BH58" s="6">
        <f t="shared" si="2"/>
        <v>-1.243054442107556</v>
      </c>
      <c r="BI58" s="6">
        <f t="shared" si="3"/>
        <v>1.243054442107556</v>
      </c>
      <c r="BJ58">
        <v>286.19998055080413</v>
      </c>
      <c r="BK58">
        <v>401.57147765509251</v>
      </c>
      <c r="BV58" s="37"/>
      <c r="BW58" s="6">
        <f t="shared" si="25"/>
        <v>0.75049157835756231</v>
      </c>
      <c r="BX58" s="9">
        <f t="shared" ca="1" si="26"/>
        <v>104.5372216121593</v>
      </c>
      <c r="BY58" s="9">
        <f t="shared" ca="1" si="27"/>
        <v>341.42257597892501</v>
      </c>
      <c r="BZ58" s="9">
        <f t="shared" ca="1" si="28"/>
        <v>262.99088112300234</v>
      </c>
      <c r="CA58" s="6">
        <f t="shared" ca="1" si="29"/>
        <v>356.68824209514372</v>
      </c>
      <c r="CB58" s="6">
        <f t="shared" ca="1" si="30"/>
        <v>0.93546446017909735</v>
      </c>
      <c r="CC58" s="6">
        <f t="shared" ca="1" si="31"/>
        <v>2.3642555746398441</v>
      </c>
      <c r="CD58" s="9">
        <f t="shared" si="32"/>
        <v>162.99088112300234</v>
      </c>
      <c r="CE58" s="9">
        <f t="shared" si="33"/>
        <v>386.68824209514372</v>
      </c>
      <c r="CF58" s="6">
        <f t="shared" si="34"/>
        <v>1.1718900176430818</v>
      </c>
      <c r="CG58" s="6"/>
      <c r="CH58" s="6"/>
      <c r="CI58" s="6"/>
      <c r="CJ58" s="1"/>
      <c r="CK58" s="6"/>
      <c r="DC58">
        <v>-0.33881741616697136</v>
      </c>
      <c r="DD58">
        <v>5.5918043000757116</v>
      </c>
      <c r="DE58">
        <v>0.92663462656349393</v>
      </c>
      <c r="DF58">
        <v>-0.21609469578232091</v>
      </c>
      <c r="DG58">
        <v>-0.42523891723037277</v>
      </c>
      <c r="DH58">
        <v>5.0650938861382251</v>
      </c>
    </row>
    <row r="59" spans="1:112" x14ac:dyDescent="0.25">
      <c r="A59" t="s">
        <v>54</v>
      </c>
      <c r="O59">
        <f>O57/12</f>
        <v>191.16932114617498</v>
      </c>
      <c r="P59">
        <f>P57/12</f>
        <v>-42.952769952249476</v>
      </c>
      <c r="BC59">
        <v>0.99483767363676878</v>
      </c>
      <c r="BD59">
        <v>257.23860993415275</v>
      </c>
      <c r="BE59">
        <v>361.64030420647794</v>
      </c>
      <c r="BF59" s="6">
        <f t="shared" si="39"/>
        <v>0.95251957064640436</v>
      </c>
      <c r="BG59" s="6">
        <f t="shared" si="40"/>
        <v>4.2318102990364426E-2</v>
      </c>
      <c r="BH59" s="6">
        <f t="shared" si="2"/>
        <v>-1.2439763651242715</v>
      </c>
      <c r="BI59" s="6">
        <f t="shared" si="3"/>
        <v>1.2439763651242715</v>
      </c>
      <c r="BJ59">
        <v>285.82067770461418</v>
      </c>
      <c r="BK59">
        <v>401.82256022941993</v>
      </c>
      <c r="BV59" s="37"/>
      <c r="BW59" s="6">
        <f t="shared" si="25"/>
        <v>0.76794487087750563</v>
      </c>
      <c r="BX59" s="9">
        <f t="shared" ca="1" si="26"/>
        <v>104.0362194233754</v>
      </c>
      <c r="BY59" s="9">
        <f t="shared" ca="1" si="27"/>
        <v>341.95060699125844</v>
      </c>
      <c r="BZ59" s="9">
        <f t="shared" ca="1" si="28"/>
        <v>262.48987893421844</v>
      </c>
      <c r="CA59" s="6">
        <f t="shared" ca="1" si="29"/>
        <v>357.21627310747715</v>
      </c>
      <c r="CB59" s="6">
        <f t="shared" ca="1" si="30"/>
        <v>0.93708101928817666</v>
      </c>
      <c r="CC59" s="6">
        <f t="shared" ca="1" si="31"/>
        <v>2.3639679462283696</v>
      </c>
      <c r="CD59" s="9">
        <f t="shared" si="32"/>
        <v>162.48987893421844</v>
      </c>
      <c r="CE59" s="9">
        <f t="shared" si="33"/>
        <v>387.21627310747715</v>
      </c>
      <c r="CF59" s="6">
        <f t="shared" si="34"/>
        <v>1.1734778139110136</v>
      </c>
      <c r="CG59" s="6"/>
      <c r="CH59" s="6"/>
      <c r="CI59" s="6"/>
      <c r="CJ59" s="1"/>
      <c r="CK59" s="6"/>
      <c r="DC59">
        <v>0.66930100520356062</v>
      </c>
      <c r="DD59">
        <v>0.92663462656349393</v>
      </c>
      <c r="DE59">
        <v>5.5647098042786052</v>
      </c>
      <c r="DF59">
        <v>-0.23599012100816025</v>
      </c>
      <c r="DG59">
        <v>-0.52601111390389188</v>
      </c>
      <c r="DH59">
        <v>0.42701870842311429</v>
      </c>
    </row>
    <row r="60" spans="1:112" x14ac:dyDescent="0.25">
      <c r="S60" t="str">
        <f>"Cc = "&amp;ROUND(N57,4)&amp;" "&amp;C178&amp;CHAR(10)&amp;" @ ( "&amp;ROUND(S58,4)&amp;" , "&amp;ROUND(T58,4)&amp;" )"</f>
        <v>Cc = 200.7111 kips
 @ ( 9.1052 , 23.2954 )</v>
      </c>
      <c r="BC60">
        <v>1.0122909661567121</v>
      </c>
      <c r="BD60">
        <v>256.90488985263352</v>
      </c>
      <c r="BE60">
        <v>361.85293010947771</v>
      </c>
      <c r="BF60" s="6">
        <f t="shared" si="39"/>
        <v>0.95341007752194129</v>
      </c>
      <c r="BG60" s="6">
        <f t="shared" si="40"/>
        <v>5.8880888634770812E-2</v>
      </c>
      <c r="BH60" s="6">
        <f t="shared" si="2"/>
        <v>-1.2448668719998086</v>
      </c>
      <c r="BI60" s="6">
        <f t="shared" si="3"/>
        <v>1.2448668719998086</v>
      </c>
      <c r="BJ60">
        <v>285.44987761403723</v>
      </c>
      <c r="BK60">
        <v>402.05881123275299</v>
      </c>
      <c r="BV60" s="37"/>
      <c r="BW60" s="6">
        <f t="shared" si="25"/>
        <v>0.78539816339744895</v>
      </c>
      <c r="BX60" s="9">
        <f t="shared" ca="1" si="26"/>
        <v>103.55300715582374</v>
      </c>
      <c r="BY60" s="9">
        <f t="shared" ca="1" si="27"/>
        <v>342.44240360055687</v>
      </c>
      <c r="BZ60" s="9">
        <f t="shared" ca="1" si="28"/>
        <v>262.00666666666677</v>
      </c>
      <c r="CA60" s="6">
        <f t="shared" ca="1" si="29"/>
        <v>357.70806971677558</v>
      </c>
      <c r="CB60" s="6">
        <f t="shared" ca="1" si="30"/>
        <v>0.93861598598804952</v>
      </c>
      <c r="CC60" s="6">
        <f t="shared" ca="1" si="31"/>
        <v>2.3637510322677526</v>
      </c>
      <c r="CD60" s="9">
        <f t="shared" si="32"/>
        <v>162.00666666666677</v>
      </c>
      <c r="CE60" s="9">
        <f t="shared" si="33"/>
        <v>387.70806971677558</v>
      </c>
      <c r="CF60" s="6">
        <f t="shared" si="34"/>
        <v>1.1749910892148248</v>
      </c>
      <c r="CG60" s="6"/>
      <c r="CH60" s="6"/>
      <c r="CI60" s="6"/>
      <c r="CJ60" s="1"/>
      <c r="CK60" s="6"/>
      <c r="DC60">
        <v>-0.42523891723037277</v>
      </c>
      <c r="DD60">
        <v>5.5647098042786052</v>
      </c>
      <c r="DE60">
        <v>5.5396832582490685</v>
      </c>
      <c r="DF60">
        <v>4.0266122442380308</v>
      </c>
      <c r="DG60">
        <v>1.2941998426248487</v>
      </c>
      <c r="DH60">
        <v>0.45204525445265098</v>
      </c>
    </row>
    <row r="61" spans="1:112" x14ac:dyDescent="0.25">
      <c r="A61">
        <f t="shared" ref="A61:E71" si="64">A14</f>
        <v>0</v>
      </c>
      <c r="B61" s="1" t="str">
        <f t="shared" si="64"/>
        <v>Bar #</v>
      </c>
      <c r="C61" s="1" t="str">
        <f t="shared" si="64"/>
        <v>As (in^2)</v>
      </c>
      <c r="D61" s="1" t="str">
        <f t="shared" si="64"/>
        <v>x</v>
      </c>
      <c r="E61" s="1" t="str">
        <f t="shared" si="64"/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BC61">
        <v>1.0297442586766554</v>
      </c>
      <c r="BD61">
        <v>256.5783710854414</v>
      </c>
      <c r="BE61">
        <v>362.05304202898782</v>
      </c>
      <c r="BF61" s="6">
        <f t="shared" si="39"/>
        <v>0.95427111819622157</v>
      </c>
      <c r="BG61" s="6">
        <f t="shared" si="40"/>
        <v>7.5473140480433853E-2</v>
      </c>
      <c r="BH61" s="6">
        <f t="shared" si="2"/>
        <v>-1.2457279126740881</v>
      </c>
      <c r="BI61" s="6">
        <f t="shared" si="3"/>
        <v>1.2457279126740881</v>
      </c>
      <c r="BJ61">
        <v>285.0870789838238</v>
      </c>
      <c r="BK61">
        <v>402.28115780998644</v>
      </c>
      <c r="BV61" s="37"/>
      <c r="BW61" s="6">
        <f t="shared" si="25"/>
        <v>0.80285145591739226</v>
      </c>
      <c r="BX61" s="9">
        <f t="shared" ca="1" si="26"/>
        <v>103.08637449319994</v>
      </c>
      <c r="BY61" s="9">
        <f t="shared" ca="1" si="27"/>
        <v>342.90103089399611</v>
      </c>
      <c r="BZ61" s="9">
        <f t="shared" ca="1" si="28"/>
        <v>261.54003400404298</v>
      </c>
      <c r="CA61" s="6">
        <f t="shared" ca="1" si="29"/>
        <v>358.16669701021482</v>
      </c>
      <c r="CB61" s="6">
        <f t="shared" ca="1" si="30"/>
        <v>0.9400758879530412</v>
      </c>
      <c r="CC61" s="6">
        <f t="shared" ca="1" si="31"/>
        <v>2.3635983611653875</v>
      </c>
      <c r="CD61" s="9">
        <f t="shared" si="32"/>
        <v>161.54003400404298</v>
      </c>
      <c r="CE61" s="9">
        <f t="shared" si="33"/>
        <v>388.16669701021482</v>
      </c>
      <c r="CF61" s="6">
        <f t="shared" si="34"/>
        <v>1.17643572406958</v>
      </c>
      <c r="CG61" s="6"/>
      <c r="CH61" s="6"/>
      <c r="CI61" s="6"/>
      <c r="CJ61" s="1"/>
      <c r="CK61" s="6"/>
      <c r="DC61">
        <v>-0.52601111390389188</v>
      </c>
      <c r="DD61">
        <v>5.5396832582490685</v>
      </c>
      <c r="DE61">
        <v>0.96470402335301986</v>
      </c>
      <c r="DF61">
        <v>-0.39786212419171751</v>
      </c>
      <c r="DG61">
        <v>-0.70586279907120897</v>
      </c>
      <c r="DH61">
        <v>5.0270244893486993</v>
      </c>
    </row>
    <row r="62" spans="1:112" x14ac:dyDescent="0.25">
      <c r="A62">
        <f t="shared" si="64"/>
        <v>1</v>
      </c>
      <c r="B62" s="1">
        <f t="shared" si="64"/>
        <v>8</v>
      </c>
      <c r="C62" s="1">
        <f t="shared" ca="1" si="64"/>
        <v>0.79</v>
      </c>
      <c r="D62" s="1">
        <f t="shared" si="64"/>
        <v>2</v>
      </c>
      <c r="E62" s="1">
        <f t="shared" si="64"/>
        <v>2</v>
      </c>
      <c r="F62" s="1">
        <f t="shared" ref="F62:F71" si="65">D62-$I$2</f>
        <v>-4</v>
      </c>
      <c r="G62" s="1">
        <f t="shared" ref="G62:G71" si="66">E62-$I$3</f>
        <v>-10</v>
      </c>
      <c r="H62" s="6">
        <f t="shared" ref="H62:H71" si="67">F62*COS($B$27)+G62*SIN($B$27)</f>
        <v>-3.5230154976158938</v>
      </c>
      <c r="I62" s="6">
        <f t="shared" ref="I62:I71" si="68">-1*F62*SIN($B$27)+G62*COS($B$27)</f>
        <v>-10.177836793914423</v>
      </c>
      <c r="J62" s="6">
        <f t="shared" ref="J62:J65" si="69">IF(B62=0,0,$G$38-I62)</f>
        <v>23.014962817589179</v>
      </c>
      <c r="K62">
        <f t="shared" ref="K62:K71" ca="1" si="70">IF($B$28=0,-1,IF(C62=0,0,(($B$28-J62)/$B$28)*$B$30)*IF($B$28&lt;0,-1,1))</f>
        <v>-2.3160704995972399E-2</v>
      </c>
      <c r="L62">
        <f t="shared" ref="L62:L72" ca="1" si="71">IF(AND(K62&gt;0,J62&lt;=$B$29),MIN((K62*B$13),B$12)-$B$31,MAX(K62*B$13,-1*B$12))</f>
        <v>-60</v>
      </c>
      <c r="M62" s="6">
        <f t="shared" ref="M62:M71" ca="1" si="72">L62*C62</f>
        <v>-47.400000000000006</v>
      </c>
      <c r="N62" s="6">
        <f t="shared" ref="N62:N71" ca="1" si="73">M62*I62</f>
        <v>482.42946403154372</v>
      </c>
      <c r="O62" s="6">
        <f t="shared" ref="O62:O71" ca="1" si="74">M62*H62*-1</f>
        <v>-166.99093458699338</v>
      </c>
      <c r="Q62">
        <f t="shared" ref="Q62:Q71" si="75">IF($B62=0,NA(),H62)</f>
        <v>-3.5230154976158938</v>
      </c>
      <c r="R62">
        <f t="shared" ref="R62:R71" si="76">IF($B62=0,NA(),I62)</f>
        <v>-10.177836793914423</v>
      </c>
      <c r="BC62">
        <v>1.0471975511965987</v>
      </c>
      <c r="BD62">
        <v>256.25863032764551</v>
      </c>
      <c r="BE62">
        <v>362.24140305010872</v>
      </c>
      <c r="BF62" s="6">
        <f t="shared" si="39"/>
        <v>0.95510449344629977</v>
      </c>
      <c r="BG62" s="6">
        <f t="shared" si="40"/>
        <v>9.2093057750298968E-2</v>
      </c>
      <c r="BH62" s="6">
        <f t="shared" si="2"/>
        <v>-1.2465612879241663</v>
      </c>
      <c r="BI62" s="6">
        <f t="shared" si="3"/>
        <v>1.2465612879241663</v>
      </c>
      <c r="BJ62">
        <v>284.73181147516169</v>
      </c>
      <c r="BK62">
        <v>402.49044783345414</v>
      </c>
      <c r="BV62" s="37"/>
      <c r="BW62" s="6">
        <f t="shared" si="25"/>
        <v>0.82030474843733558</v>
      </c>
      <c r="BX62" s="9">
        <f t="shared" ca="1" si="26"/>
        <v>102.6352123272957</v>
      </c>
      <c r="BY62" s="9">
        <f t="shared" ca="1" si="27"/>
        <v>343.32922977661144</v>
      </c>
      <c r="BZ62" s="9">
        <f t="shared" ca="1" si="28"/>
        <v>261.08887183813874</v>
      </c>
      <c r="CA62" s="6">
        <f t="shared" ca="1" si="29"/>
        <v>358.59489589283015</v>
      </c>
      <c r="CB62" s="6">
        <f t="shared" ca="1" si="30"/>
        <v>0.94146659320003245</v>
      </c>
      <c r="CC62" s="6">
        <f t="shared" ca="1" si="31"/>
        <v>2.363504189579281</v>
      </c>
      <c r="CD62" s="9">
        <f t="shared" si="32"/>
        <v>161.08887183813874</v>
      </c>
      <c r="CE62" s="9">
        <f t="shared" si="33"/>
        <v>388.59489589283015</v>
      </c>
      <c r="CF62" s="6">
        <f t="shared" si="34"/>
        <v>1.1778170121579605</v>
      </c>
      <c r="CG62" s="6"/>
      <c r="CH62" s="6"/>
      <c r="CI62" s="6"/>
      <c r="CJ62" s="1"/>
      <c r="CK62" s="6"/>
      <c r="DC62">
        <v>1.2941998426248487</v>
      </c>
      <c r="DD62">
        <v>0.96470402335301986</v>
      </c>
      <c r="DE62">
        <v>5.5064364498073637</v>
      </c>
      <c r="DF62">
        <v>-0.44037438886673336</v>
      </c>
      <c r="DG62">
        <v>-0.91957299469018727</v>
      </c>
      <c r="DH62">
        <v>0.48529206289435578</v>
      </c>
    </row>
    <row r="63" spans="1:112" x14ac:dyDescent="0.25">
      <c r="A63">
        <f t="shared" si="64"/>
        <v>2</v>
      </c>
      <c r="B63" s="1">
        <f t="shared" si="64"/>
        <v>8</v>
      </c>
      <c r="C63" s="1">
        <f t="shared" ca="1" si="64"/>
        <v>0.79</v>
      </c>
      <c r="D63" s="1">
        <f t="shared" si="64"/>
        <v>2</v>
      </c>
      <c r="E63" s="1">
        <f t="shared" si="64"/>
        <v>4</v>
      </c>
      <c r="F63" s="1">
        <f t="shared" si="65"/>
        <v>-4</v>
      </c>
      <c r="G63" s="1">
        <f t="shared" si="66"/>
        <v>-8</v>
      </c>
      <c r="H63" s="6">
        <f t="shared" si="67"/>
        <v>-3.6175188114003554</v>
      </c>
      <c r="I63" s="6">
        <f t="shared" si="68"/>
        <v>-8.1800707606453233</v>
      </c>
      <c r="J63" s="6">
        <f t="shared" si="69"/>
        <v>21.017196784320078</v>
      </c>
      <c r="K63">
        <f t="shared" ca="1" si="70"/>
        <v>-2.0889879348260074E-2</v>
      </c>
      <c r="L63">
        <f t="shared" ca="1" si="71"/>
        <v>-60</v>
      </c>
      <c r="M63" s="6">
        <f t="shared" ca="1" si="72"/>
        <v>-47.400000000000006</v>
      </c>
      <c r="N63" s="6">
        <f t="shared" ca="1" si="73"/>
        <v>387.73535405458836</v>
      </c>
      <c r="O63" s="6">
        <f t="shared" ca="1" si="74"/>
        <v>-171.47039166037686</v>
      </c>
      <c r="Q63">
        <f t="shared" si="75"/>
        <v>-3.6175188114003554</v>
      </c>
      <c r="R63">
        <f t="shared" si="76"/>
        <v>-8.1800707606453233</v>
      </c>
      <c r="BC63">
        <v>1.0646508437165421</v>
      </c>
      <c r="BD63">
        <v>255.9452697664243</v>
      </c>
      <c r="BE63">
        <v>362.41871175002285</v>
      </c>
      <c r="BF63" s="6">
        <f t="shared" si="39"/>
        <v>0.95591186893613889</v>
      </c>
      <c r="BG63" s="6">
        <f t="shared" si="40"/>
        <v>0.10873897478040317</v>
      </c>
      <c r="BH63" s="6">
        <f t="shared" si="2"/>
        <v>-1.2473686634140055</v>
      </c>
      <c r="BI63" s="6">
        <f t="shared" si="3"/>
        <v>1.2473686634140055</v>
      </c>
      <c r="BJ63">
        <v>284.38363307380479</v>
      </c>
      <c r="BK63">
        <v>402.6874575000254</v>
      </c>
      <c r="BV63" s="37"/>
      <c r="BW63" s="6">
        <f t="shared" si="25"/>
        <v>0.8377580409572789</v>
      </c>
      <c r="BX63" s="9">
        <f t="shared" ca="1" si="26"/>
        <v>102.19850215827418</v>
      </c>
      <c r="BY63" s="9">
        <f t="shared" ca="1" si="27"/>
        <v>343.72945698823912</v>
      </c>
      <c r="BZ63" s="9">
        <f t="shared" ca="1" si="28"/>
        <v>260.65216166911722</v>
      </c>
      <c r="CA63" s="6">
        <f t="shared" ca="1" si="29"/>
        <v>358.99512310445783</v>
      </c>
      <c r="CB63" s="6">
        <f t="shared" ca="1" si="30"/>
        <v>0.94279339066803125</v>
      </c>
      <c r="CC63" s="6">
        <f t="shared" ca="1" si="31"/>
        <v>2.3634634124103626</v>
      </c>
      <c r="CD63" s="9">
        <f t="shared" si="32"/>
        <v>160.65216166911722</v>
      </c>
      <c r="CE63" s="9">
        <f t="shared" si="33"/>
        <v>388.99512310445783</v>
      </c>
      <c r="CF63" s="6">
        <f t="shared" si="34"/>
        <v>1.1791397319090675</v>
      </c>
      <c r="CG63" s="6"/>
      <c r="CH63" s="6"/>
      <c r="CI63" s="6"/>
      <c r="CJ63" s="1"/>
      <c r="CK63" s="6"/>
      <c r="DC63">
        <v>-0.70586279907120897</v>
      </c>
      <c r="DD63">
        <v>5.5064364498073637</v>
      </c>
      <c r="DE63">
        <v>5.4854472563911942</v>
      </c>
      <c r="DF63">
        <v>10.181915587777771</v>
      </c>
      <c r="DG63">
        <v>-2.0478452864419232</v>
      </c>
      <c r="DH63">
        <v>0.50628125631052523</v>
      </c>
    </row>
    <row r="64" spans="1:112" x14ac:dyDescent="0.25">
      <c r="A64">
        <f t="shared" si="64"/>
        <v>3</v>
      </c>
      <c r="B64" s="1">
        <f t="shared" si="64"/>
        <v>8</v>
      </c>
      <c r="C64" s="1">
        <f t="shared" ca="1" si="64"/>
        <v>0.79</v>
      </c>
      <c r="D64" s="1">
        <f t="shared" si="64"/>
        <v>4</v>
      </c>
      <c r="E64" s="1">
        <f t="shared" si="64"/>
        <v>2</v>
      </c>
      <c r="F64" s="1">
        <f t="shared" si="65"/>
        <v>-2</v>
      </c>
      <c r="G64" s="1">
        <f t="shared" si="66"/>
        <v>-10</v>
      </c>
      <c r="H64" s="6">
        <f t="shared" si="67"/>
        <v>-1.5252494643467935</v>
      </c>
      <c r="I64" s="6">
        <f t="shared" si="68"/>
        <v>-10.083333480129962</v>
      </c>
      <c r="J64" s="6">
        <f t="shared" si="69"/>
        <v>22.920459503804715</v>
      </c>
      <c r="K64">
        <f t="shared" ca="1" si="70"/>
        <v>-2.3053284734959951E-2</v>
      </c>
      <c r="L64">
        <f t="shared" ca="1" si="71"/>
        <v>-60</v>
      </c>
      <c r="M64" s="6">
        <f t="shared" ca="1" si="72"/>
        <v>-47.400000000000006</v>
      </c>
      <c r="N64" s="6">
        <f t="shared" ca="1" si="73"/>
        <v>477.95000695816026</v>
      </c>
      <c r="O64" s="6">
        <f t="shared" ca="1" si="74"/>
        <v>-72.296824610038016</v>
      </c>
      <c r="Q64">
        <f t="shared" si="75"/>
        <v>-1.5252494643467935</v>
      </c>
      <c r="R64">
        <f t="shared" si="76"/>
        <v>-10.083333480129962</v>
      </c>
      <c r="BC64">
        <v>1.0821041362364854</v>
      </c>
      <c r="BD64">
        <v>255.63791493726279</v>
      </c>
      <c r="BE64">
        <v>362.5856082626949</v>
      </c>
      <c r="BF64" s="6">
        <f t="shared" si="39"/>
        <v>0.95669478772432182</v>
      </c>
      <c r="BG64" s="6">
        <f t="shared" si="40"/>
        <v>0.12540934851216357</v>
      </c>
      <c r="BH64" s="6">
        <f t="shared" si="2"/>
        <v>-1.2481515822021889</v>
      </c>
      <c r="BI64" s="6">
        <f t="shared" si="3"/>
        <v>1.2481515822021889</v>
      </c>
      <c r="BJ64">
        <v>284.04212770806976</v>
      </c>
      <c r="BK64">
        <v>402.87289806966101</v>
      </c>
      <c r="BV64" s="37"/>
      <c r="BW64" s="6">
        <f t="shared" si="25"/>
        <v>0.85521133347722222</v>
      </c>
      <c r="BX64" s="9">
        <f t="shared" ca="1" si="26"/>
        <v>101.77530679012435</v>
      </c>
      <c r="BY64" s="9">
        <f t="shared" ca="1" si="27"/>
        <v>344.10391945926352</v>
      </c>
      <c r="BZ64" s="9">
        <f t="shared" ca="1" si="28"/>
        <v>260.22896630096739</v>
      </c>
      <c r="CA64" s="6">
        <f t="shared" ca="1" si="29"/>
        <v>359.36958557548223</v>
      </c>
      <c r="CB64" s="6">
        <f t="shared" ca="1" si="30"/>
        <v>0.9440610593708072</v>
      </c>
      <c r="CC64" s="6">
        <f t="shared" ca="1" si="31"/>
        <v>2.363471485298938</v>
      </c>
      <c r="CD64" s="9">
        <f t="shared" si="32"/>
        <v>160.22896630096739</v>
      </c>
      <c r="CE64" s="9">
        <f t="shared" si="33"/>
        <v>389.36958557548223</v>
      </c>
      <c r="CF64" s="6">
        <f t="shared" si="34"/>
        <v>1.180408207900701</v>
      </c>
      <c r="CG64" s="6"/>
      <c r="CH64" s="6"/>
      <c r="CI64" s="6"/>
      <c r="CJ64" s="1"/>
      <c r="CK64" s="6"/>
      <c r="DC64">
        <v>-0.91957299469018727</v>
      </c>
      <c r="DD64">
        <v>5.4854472563911942</v>
      </c>
      <c r="DE64">
        <v>5.3606450958675671</v>
      </c>
      <c r="DF64">
        <v>9.0404868554990685</v>
      </c>
      <c r="DG64">
        <v>-2.6257292590089154</v>
      </c>
      <c r="DH64">
        <v>0.63108341683415237</v>
      </c>
    </row>
    <row r="65" spans="1:112" x14ac:dyDescent="0.25">
      <c r="A65">
        <f t="shared" si="64"/>
        <v>4</v>
      </c>
      <c r="B65" s="1">
        <f t="shared" si="64"/>
        <v>8</v>
      </c>
      <c r="C65" s="1">
        <f t="shared" ca="1" si="64"/>
        <v>0.79</v>
      </c>
      <c r="D65" s="1">
        <f t="shared" si="64"/>
        <v>4</v>
      </c>
      <c r="E65" s="1">
        <f t="shared" si="64"/>
        <v>4</v>
      </c>
      <c r="F65" s="1">
        <f t="shared" si="65"/>
        <v>-2</v>
      </c>
      <c r="G65" s="1">
        <f t="shared" si="66"/>
        <v>-8</v>
      </c>
      <c r="H65" s="6">
        <f t="shared" si="67"/>
        <v>-1.6197527781312551</v>
      </c>
      <c r="I65" s="6">
        <f t="shared" si="68"/>
        <v>-8.0855674468608623</v>
      </c>
      <c r="J65" s="6">
        <f t="shared" si="69"/>
        <v>20.922693470535616</v>
      </c>
      <c r="K65">
        <f t="shared" ca="1" si="70"/>
        <v>-2.0782459087247632E-2</v>
      </c>
      <c r="L65">
        <f t="shared" ca="1" si="71"/>
        <v>-60</v>
      </c>
      <c r="M65" s="6">
        <f t="shared" ca="1" si="72"/>
        <v>-47.400000000000006</v>
      </c>
      <c r="N65" s="6">
        <f t="shared" ca="1" si="73"/>
        <v>383.2558969812049</v>
      </c>
      <c r="O65" s="6">
        <f t="shared" ca="1" si="74"/>
        <v>-76.776281683421502</v>
      </c>
      <c r="Q65">
        <f t="shared" si="75"/>
        <v>-1.6197527781312551</v>
      </c>
      <c r="R65">
        <f t="shared" si="76"/>
        <v>-8.0855674468608623</v>
      </c>
      <c r="BC65">
        <v>1.0995574287564287</v>
      </c>
      <c r="BD65">
        <v>255.33621277979088</v>
      </c>
      <c r="BE65">
        <v>362.74267966773454</v>
      </c>
      <c r="BF65" s="6">
        <f t="shared" si="39"/>
        <v>0.95745468142245471</v>
      </c>
      <c r="BG65" s="6">
        <f t="shared" si="40"/>
        <v>0.14210274733397399</v>
      </c>
      <c r="BH65" s="6">
        <f t="shared" si="2"/>
        <v>-1.2489114759003217</v>
      </c>
      <c r="BI65" s="6">
        <f t="shared" si="3"/>
        <v>1.2489114759003217</v>
      </c>
      <c r="BJ65">
        <v>283.70690308865653</v>
      </c>
      <c r="BK65">
        <v>403.04742185303837</v>
      </c>
      <c r="BV65" s="37"/>
      <c r="BW65" s="6">
        <f t="shared" si="25"/>
        <v>0.87266462599716554</v>
      </c>
      <c r="BX65" s="9">
        <f t="shared" ca="1" si="26"/>
        <v>101.36476213983454</v>
      </c>
      <c r="BY65" s="9">
        <f t="shared" ca="1" si="27"/>
        <v>344.45460390147213</v>
      </c>
      <c r="BZ65" s="9">
        <f t="shared" ca="1" si="28"/>
        <v>259.81842165067758</v>
      </c>
      <c r="CA65" s="6">
        <f t="shared" ca="1" si="29"/>
        <v>359.72027001769084</v>
      </c>
      <c r="CB65" s="6">
        <f t="shared" ca="1" si="30"/>
        <v>0.94527392795795306</v>
      </c>
      <c r="CC65" s="6">
        <f t="shared" ca="1" si="31"/>
        <v>2.3635243577249385</v>
      </c>
      <c r="CD65" s="9">
        <f t="shared" si="32"/>
        <v>159.81842165067758</v>
      </c>
      <c r="CE65" s="9">
        <f t="shared" si="33"/>
        <v>389.72027001769084</v>
      </c>
      <c r="CF65" s="6">
        <f t="shared" si="34"/>
        <v>1.1816263637304469</v>
      </c>
      <c r="CG65" s="6"/>
      <c r="CH65" s="6"/>
      <c r="CI65" s="6"/>
      <c r="CJ65" s="1"/>
      <c r="CK65" s="6"/>
      <c r="DC65">
        <v>-2.0478452864419232</v>
      </c>
      <c r="DD65">
        <v>5.3606450958675671</v>
      </c>
      <c r="DE65">
        <v>4.2036149587483376</v>
      </c>
      <c r="DF65">
        <v>0.4994545552683754</v>
      </c>
      <c r="DG65">
        <v>-1.7326477991497748</v>
      </c>
      <c r="DH65">
        <v>1.7881135539533819</v>
      </c>
    </row>
    <row r="66" spans="1:112" x14ac:dyDescent="0.25">
      <c r="A66">
        <f t="shared" si="64"/>
        <v>5</v>
      </c>
      <c r="B66" s="1">
        <f t="shared" si="64"/>
        <v>0</v>
      </c>
      <c r="C66" s="1">
        <f t="shared" ca="1" si="64"/>
        <v>0</v>
      </c>
      <c r="D66" s="1">
        <f t="shared" si="64"/>
        <v>2.5</v>
      </c>
      <c r="E66" s="1">
        <f t="shared" si="64"/>
        <v>12.5</v>
      </c>
      <c r="F66" s="1">
        <f t="shared" si="65"/>
        <v>-3.5</v>
      </c>
      <c r="G66" s="1">
        <f t="shared" si="66"/>
        <v>0.5</v>
      </c>
      <c r="H66" s="6">
        <f t="shared" si="67"/>
        <v>-3.5197163866670409</v>
      </c>
      <c r="I66" s="6">
        <f t="shared" si="68"/>
        <v>0.33406070919446773</v>
      </c>
      <c r="J66" s="6">
        <f>IF(B66=0,0,$G$38-I66)</f>
        <v>0</v>
      </c>
      <c r="K66">
        <f t="shared" ca="1" si="70"/>
        <v>0</v>
      </c>
      <c r="L66">
        <f t="shared" ca="1" si="71"/>
        <v>0</v>
      </c>
      <c r="M66" s="6">
        <f t="shared" ca="1" si="72"/>
        <v>0</v>
      </c>
      <c r="N66" s="6">
        <f t="shared" ca="1" si="73"/>
        <v>0</v>
      </c>
      <c r="O66" s="6">
        <f t="shared" ca="1" si="74"/>
        <v>0</v>
      </c>
      <c r="Q66" t="e">
        <f t="shared" si="75"/>
        <v>#N/A</v>
      </c>
      <c r="R66" t="e">
        <f t="shared" si="76"/>
        <v>#N/A</v>
      </c>
      <c r="BC66">
        <v>1.117010721276372</v>
      </c>
      <c r="BD66">
        <v>255.0398298711624</v>
      </c>
      <c r="BE66">
        <v>362.89046478672134</v>
      </c>
      <c r="BF66" s="6">
        <f t="shared" ref="BF66:BF97" si="77">IF(BC66&lt;&gt;"",IF(AND(BD66=0,BE66=0),0,MOD(ATAN2(BD66,BE66),2*PI())),NA())</f>
        <v>0.95819288017006643</v>
      </c>
      <c r="BG66" s="6">
        <f t="shared" ref="BG66:BG97" si="78">ABS(BC66-BF66)</f>
        <v>0.15881784110630559</v>
      </c>
      <c r="BH66" s="6">
        <f t="shared" si="2"/>
        <v>-1.2496496746479331</v>
      </c>
      <c r="BI66" s="6">
        <f t="shared" si="3"/>
        <v>1.2496496746479331</v>
      </c>
      <c r="BJ66">
        <v>283.37758874573598</v>
      </c>
      <c r="BK66">
        <v>403.21162754080149</v>
      </c>
      <c r="BV66" s="37"/>
      <c r="BW66" s="6">
        <f t="shared" si="25"/>
        <v>0.89011791851710886</v>
      </c>
      <c r="BX66" s="9">
        <f t="shared" ca="1" si="26"/>
        <v>100.96607000727582</v>
      </c>
      <c r="BY66" s="9">
        <f t="shared" ca="1" si="27"/>
        <v>344.78330237371762</v>
      </c>
      <c r="BZ66" s="9">
        <f t="shared" ca="1" si="28"/>
        <v>259.41972951811886</v>
      </c>
      <c r="CA66" s="6">
        <f t="shared" ca="1" si="29"/>
        <v>360.04896848993633</v>
      </c>
      <c r="CB66" s="6">
        <f t="shared" ca="1" si="30"/>
        <v>0.94643592619199013</v>
      </c>
      <c r="CC66" s="6">
        <f t="shared" ca="1" si="31"/>
        <v>2.3636184151242463</v>
      </c>
      <c r="CD66" s="9">
        <f t="shared" si="32"/>
        <v>159.41972951811886</v>
      </c>
      <c r="CE66" s="9">
        <f t="shared" si="33"/>
        <v>390.04896848993633</v>
      </c>
      <c r="CF66" s="6">
        <f t="shared" si="34"/>
        <v>1.1827977677044148</v>
      </c>
      <c r="CG66" s="6"/>
      <c r="CH66" s="6"/>
      <c r="CI66" s="6"/>
      <c r="CJ66" s="1"/>
      <c r="CK66" s="6"/>
      <c r="DC66">
        <v>-2.6257292590089154</v>
      </c>
      <c r="DD66">
        <v>4.2036149587483376</v>
      </c>
      <c r="DE66">
        <v>5.4531698878910886</v>
      </c>
      <c r="DF66">
        <v>0.71471964859666737</v>
      </c>
      <c r="DG66">
        <v>-1.3477293680764164</v>
      </c>
      <c r="DH66">
        <v>0.53855862481063088</v>
      </c>
    </row>
    <row r="67" spans="1:112" x14ac:dyDescent="0.25">
      <c r="A67">
        <f t="shared" si="64"/>
        <v>6</v>
      </c>
      <c r="B67" s="1">
        <f t="shared" si="64"/>
        <v>0</v>
      </c>
      <c r="C67" s="1">
        <f t="shared" ca="1" si="64"/>
        <v>0</v>
      </c>
      <c r="D67" s="1">
        <f t="shared" si="64"/>
        <v>2.5</v>
      </c>
      <c r="E67" s="1">
        <f t="shared" si="64"/>
        <v>17.5</v>
      </c>
      <c r="F67" s="1">
        <f t="shared" si="65"/>
        <v>-3.5</v>
      </c>
      <c r="G67" s="1">
        <f t="shared" si="66"/>
        <v>5.5</v>
      </c>
      <c r="H67" s="6">
        <f t="shared" si="67"/>
        <v>-3.7559746711281941</v>
      </c>
      <c r="I67" s="6">
        <f t="shared" si="68"/>
        <v>5.3284757923672181</v>
      </c>
      <c r="J67" s="6">
        <f t="shared" ref="J67:J71" si="79">IF(B67=0,0,$G$38-I67)</f>
        <v>0</v>
      </c>
      <c r="K67">
        <f ca="1">IF($B$28=0,-1,IF(C67=0,0,(($B$28-J67)/$B$28)*$B$30)*IF($B$28&lt;0,-1,1))</f>
        <v>0</v>
      </c>
      <c r="L67">
        <f t="shared" ca="1" si="71"/>
        <v>0</v>
      </c>
      <c r="M67" s="6">
        <f t="shared" ca="1" si="72"/>
        <v>0</v>
      </c>
      <c r="N67" s="6">
        <f t="shared" ca="1" si="73"/>
        <v>0</v>
      </c>
      <c r="O67" s="6">
        <f t="shared" ca="1" si="74"/>
        <v>0</v>
      </c>
      <c r="Q67" t="e">
        <f t="shared" si="75"/>
        <v>#N/A</v>
      </c>
      <c r="R67" t="e">
        <f t="shared" si="76"/>
        <v>#N/A</v>
      </c>
      <c r="BC67">
        <v>1.1344640137963153</v>
      </c>
      <c r="BD67">
        <v>254.74845081757454</v>
      </c>
      <c r="BE67">
        <v>363.02945845880828</v>
      </c>
      <c r="BF67" s="6">
        <f t="shared" si="77"/>
        <v>0.95891062156901996</v>
      </c>
      <c r="BG67" s="6">
        <f t="shared" si="78"/>
        <v>0.17555339222729538</v>
      </c>
      <c r="BH67" s="6">
        <f t="shared" ref="BH67:BH130" si="80">ATAN2(COS($U$13-BF67),SIN($U$13-BF67))</f>
        <v>-1.2503674160468867</v>
      </c>
      <c r="BI67" s="6">
        <f t="shared" ref="BI67:BI130" si="81">ABS(BH67)</f>
        <v>1.2503674160468867</v>
      </c>
      <c r="BJ67">
        <v>283.05383424174948</v>
      </c>
      <c r="BK67">
        <v>403.36606495423143</v>
      </c>
      <c r="BV67" s="37"/>
      <c r="BW67" s="6">
        <f t="shared" si="25"/>
        <v>0.90757121103705218</v>
      </c>
      <c r="BX67" s="9">
        <f t="shared" ca="1" si="26"/>
        <v>100.578491676315</v>
      </c>
      <c r="BY67" s="9">
        <f t="shared" ca="1" si="27"/>
        <v>345.09163443529218</v>
      </c>
      <c r="BZ67" s="9">
        <f t="shared" ca="1" si="28"/>
        <v>259.03215118715804</v>
      </c>
      <c r="CA67" s="6">
        <f t="shared" ca="1" si="29"/>
        <v>360.35730055151089</v>
      </c>
      <c r="CB67" s="6">
        <f t="shared" ca="1" si="30"/>
        <v>0.94755062958552716</v>
      </c>
      <c r="CC67" s="6">
        <f t="shared" ca="1" si="31"/>
        <v>2.3637504286913096</v>
      </c>
      <c r="CD67" s="9">
        <f t="shared" si="32"/>
        <v>159.03215118715804</v>
      </c>
      <c r="CE67" s="9">
        <f t="shared" si="33"/>
        <v>390.35730055151089</v>
      </c>
      <c r="CF67" s="6">
        <f t="shared" si="34"/>
        <v>1.1839256724546581</v>
      </c>
      <c r="CG67" s="6"/>
      <c r="CH67" s="6"/>
      <c r="CI67" s="6"/>
      <c r="CJ67" s="1"/>
      <c r="CK67" s="6"/>
      <c r="DC67">
        <v>-1.7326477991497748</v>
      </c>
      <c r="DD67">
        <v>5.4531698878910886</v>
      </c>
      <c r="DE67">
        <v>5.4644620904210468</v>
      </c>
      <c r="DF67">
        <v>34.087099487648196</v>
      </c>
      <c r="DG67">
        <v>-2.2243022968375614</v>
      </c>
      <c r="DH67">
        <v>0.52726642228067266</v>
      </c>
    </row>
    <row r="68" spans="1:112" x14ac:dyDescent="0.25">
      <c r="A68">
        <f t="shared" si="64"/>
        <v>7</v>
      </c>
      <c r="B68" s="1">
        <f t="shared" si="64"/>
        <v>0</v>
      </c>
      <c r="C68" s="1">
        <f t="shared" ca="1" si="64"/>
        <v>0</v>
      </c>
      <c r="D68" s="1">
        <f t="shared" si="64"/>
        <v>8</v>
      </c>
      <c r="E68" s="1">
        <f t="shared" si="64"/>
        <v>17.5</v>
      </c>
      <c r="F68" s="1">
        <f t="shared" si="65"/>
        <v>2</v>
      </c>
      <c r="G68" s="1">
        <f t="shared" si="66"/>
        <v>5.5</v>
      </c>
      <c r="H68" s="6">
        <f t="shared" si="67"/>
        <v>1.7378819203618316</v>
      </c>
      <c r="I68" s="6">
        <f t="shared" si="68"/>
        <v>5.588359905274487</v>
      </c>
      <c r="J68" s="6">
        <f t="shared" si="79"/>
        <v>0</v>
      </c>
      <c r="K68">
        <f t="shared" ca="1" si="70"/>
        <v>0</v>
      </c>
      <c r="L68">
        <f t="shared" ca="1" si="71"/>
        <v>0</v>
      </c>
      <c r="M68" s="6">
        <f t="shared" ca="1" si="72"/>
        <v>0</v>
      </c>
      <c r="N68" s="6">
        <f t="shared" ca="1" si="73"/>
        <v>0</v>
      </c>
      <c r="O68" s="6">
        <f t="shared" ca="1" si="74"/>
        <v>0</v>
      </c>
      <c r="Q68" t="e">
        <f t="shared" si="75"/>
        <v>#N/A</v>
      </c>
      <c r="R68" t="e">
        <f t="shared" si="76"/>
        <v>#N/A</v>
      </c>
      <c r="BC68">
        <v>1.1519173063162587</v>
      </c>
      <c r="BD68">
        <v>254.46177678686277</v>
      </c>
      <c r="BE68">
        <v>363.16011535766899</v>
      </c>
      <c r="BF68" s="6">
        <f t="shared" si="77"/>
        <v>0.95960905870111102</v>
      </c>
      <c r="BG68" s="6">
        <f t="shared" si="78"/>
        <v>0.19230824761514764</v>
      </c>
      <c r="BH68" s="6">
        <f t="shared" si="80"/>
        <v>-1.251065853178978</v>
      </c>
      <c r="BI68" s="6">
        <f t="shared" si="81"/>
        <v>1.251065853178978</v>
      </c>
      <c r="BJ68">
        <v>282.73530754095862</v>
      </c>
      <c r="BK68">
        <v>403.51123928629886</v>
      </c>
      <c r="BV68" s="37"/>
      <c r="BW68" s="6">
        <f t="shared" si="25"/>
        <v>0.9250245035569955</v>
      </c>
      <c r="BX68" s="9">
        <f t="shared" ca="1" si="26"/>
        <v>100.20134223722161</v>
      </c>
      <c r="BY68" s="9">
        <f t="shared" ca="1" si="27"/>
        <v>345.38106639685788</v>
      </c>
      <c r="BZ68" s="9">
        <f t="shared" ca="1" si="28"/>
        <v>258.65500174806465</v>
      </c>
      <c r="CA68" s="6">
        <f t="shared" ca="1" si="29"/>
        <v>360.64673251307659</v>
      </c>
      <c r="CB68" s="6">
        <f t="shared" ca="1" si="30"/>
        <v>0.94862129822946173</v>
      </c>
      <c r="CC68" s="6">
        <f t="shared" ca="1" si="31"/>
        <v>2.3639175117510725</v>
      </c>
      <c r="CD68" s="9">
        <f t="shared" si="32"/>
        <v>158.65500174806465</v>
      </c>
      <c r="CE68" s="9">
        <f t="shared" si="33"/>
        <v>390.64673251307659</v>
      </c>
      <c r="CF68" s="6">
        <f t="shared" si="34"/>
        <v>1.185013049404569</v>
      </c>
      <c r="CG68" s="6"/>
      <c r="CH68" s="6"/>
      <c r="CI68" s="6"/>
      <c r="CJ68" s="1"/>
      <c r="CK68" s="6"/>
      <c r="DC68">
        <v>-1.3477293680764164</v>
      </c>
      <c r="DD68">
        <v>5.4644620904210468</v>
      </c>
      <c r="DE68">
        <v>5.1611376564904949</v>
      </c>
      <c r="DF68">
        <v>2.8898856495083485</v>
      </c>
      <c r="DG68">
        <v>0.17601029914010841</v>
      </c>
      <c r="DH68">
        <v>0.83059085621122453</v>
      </c>
    </row>
    <row r="69" spans="1:112" x14ac:dyDescent="0.25">
      <c r="A69">
        <f t="shared" si="64"/>
        <v>8</v>
      </c>
      <c r="B69" s="1">
        <f t="shared" si="64"/>
        <v>0</v>
      </c>
      <c r="C69" s="1">
        <f t="shared" ca="1" si="64"/>
        <v>0</v>
      </c>
      <c r="D69" s="1">
        <f t="shared" si="64"/>
        <v>13.5</v>
      </c>
      <c r="E69" s="1">
        <f t="shared" si="64"/>
        <v>7.5</v>
      </c>
      <c r="F69" s="1">
        <f t="shared" si="65"/>
        <v>7.5</v>
      </c>
      <c r="G69" s="1">
        <f t="shared" si="66"/>
        <v>-4.5</v>
      </c>
      <c r="H69" s="6">
        <f t="shared" si="67"/>
        <v>7.7042550807741641</v>
      </c>
      <c r="I69" s="6">
        <f t="shared" si="68"/>
        <v>-4.140586148163746</v>
      </c>
      <c r="J69" s="6">
        <f t="shared" si="79"/>
        <v>0</v>
      </c>
      <c r="K69">
        <f t="shared" ca="1" si="70"/>
        <v>0</v>
      </c>
      <c r="L69">
        <f t="shared" ca="1" si="71"/>
        <v>0</v>
      </c>
      <c r="M69" s="6">
        <f t="shared" ca="1" si="72"/>
        <v>0</v>
      </c>
      <c r="N69" s="6">
        <f t="shared" ca="1" si="73"/>
        <v>0</v>
      </c>
      <c r="O69" s="6">
        <f t="shared" ca="1" si="74"/>
        <v>0</v>
      </c>
      <c r="Q69" t="e">
        <f t="shared" si="75"/>
        <v>#N/A</v>
      </c>
      <c r="R69" t="e">
        <f t="shared" si="76"/>
        <v>#N/A</v>
      </c>
      <c r="BC69">
        <v>1.169370598836202</v>
      </c>
      <c r="BD69">
        <v>254.17952416711722</v>
      </c>
      <c r="BE69">
        <v>363.28285340352164</v>
      </c>
      <c r="BF69" s="6">
        <f t="shared" si="77"/>
        <v>0.96028926733605635</v>
      </c>
      <c r="BG69" s="6">
        <f t="shared" si="78"/>
        <v>0.20908133150014563</v>
      </c>
      <c r="BH69" s="6">
        <f t="shared" si="80"/>
        <v>-1.2517460618139238</v>
      </c>
      <c r="BI69" s="6">
        <f t="shared" si="81"/>
        <v>1.2517460618139238</v>
      </c>
      <c r="BJ69">
        <v>282.42169351901913</v>
      </c>
      <c r="BK69">
        <v>403.64761489280181</v>
      </c>
      <c r="BV69" s="37"/>
      <c r="BW69" s="6">
        <f t="shared" si="25"/>
        <v>0.94247779607693882</v>
      </c>
      <c r="BX69" s="9">
        <f t="shared" ca="1" si="26"/>
        <v>99.833985536696645</v>
      </c>
      <c r="BY69" s="9">
        <f t="shared" ca="1" si="27"/>
        <v>345.65292809455428</v>
      </c>
      <c r="BZ69" s="9">
        <f t="shared" ca="1" si="28"/>
        <v>258.28764504753968</v>
      </c>
      <c r="CA69" s="6">
        <f t="shared" ca="1" si="29"/>
        <v>360.91859421077299</v>
      </c>
      <c r="CB69" s="6">
        <f t="shared" ca="1" si="30"/>
        <v>0.94965091067016782</v>
      </c>
      <c r="CC69" s="6">
        <f t="shared" ca="1" si="31"/>
        <v>2.3641170817602686</v>
      </c>
      <c r="CD69" s="9">
        <f t="shared" si="32"/>
        <v>158.28764504753968</v>
      </c>
      <c r="CE69" s="9">
        <f t="shared" si="33"/>
        <v>390.91859421077299</v>
      </c>
      <c r="CF69" s="6">
        <f t="shared" si="34"/>
        <v>1.1860626188461947</v>
      </c>
      <c r="CG69" s="6"/>
      <c r="CH69" s="6"/>
      <c r="CI69" s="6"/>
      <c r="CJ69" s="1"/>
      <c r="CK69" s="6"/>
      <c r="DC69">
        <v>-2.2243022968375614</v>
      </c>
      <c r="DD69">
        <v>5.1611376564904949</v>
      </c>
      <c r="DE69">
        <v>0.79442957484948817</v>
      </c>
      <c r="DF69">
        <v>-0.54968469407637466</v>
      </c>
      <c r="DG69">
        <v>-2.6808653775366622</v>
      </c>
      <c r="DH69">
        <v>5.1972989378522314</v>
      </c>
    </row>
    <row r="70" spans="1:112" x14ac:dyDescent="0.25">
      <c r="A70">
        <f t="shared" si="64"/>
        <v>9</v>
      </c>
      <c r="B70" s="1">
        <f t="shared" si="64"/>
        <v>0</v>
      </c>
      <c r="C70" s="1">
        <f t="shared" ca="1" si="64"/>
        <v>0</v>
      </c>
      <c r="D70" s="1">
        <f t="shared" si="64"/>
        <v>13.5</v>
      </c>
      <c r="E70" s="1">
        <f t="shared" si="64"/>
        <v>12.5</v>
      </c>
      <c r="F70" s="1">
        <f t="shared" si="65"/>
        <v>7.5</v>
      </c>
      <c r="G70" s="1">
        <f t="shared" si="66"/>
        <v>0.5</v>
      </c>
      <c r="H70" s="6">
        <f t="shared" si="67"/>
        <v>7.4679967963130105</v>
      </c>
      <c r="I70" s="6">
        <f t="shared" si="68"/>
        <v>0.85382893500900514</v>
      </c>
      <c r="J70" s="6">
        <f t="shared" si="79"/>
        <v>0</v>
      </c>
      <c r="K70">
        <f t="shared" ca="1" si="70"/>
        <v>0</v>
      </c>
      <c r="L70">
        <f t="shared" ca="1" si="71"/>
        <v>0</v>
      </c>
      <c r="M70" s="6">
        <f t="shared" ca="1" si="72"/>
        <v>0</v>
      </c>
      <c r="N70" s="6">
        <f t="shared" ca="1" si="73"/>
        <v>0</v>
      </c>
      <c r="O70" s="6">
        <f t="shared" ca="1" si="74"/>
        <v>0</v>
      </c>
      <c r="Q70" t="e">
        <f t="shared" si="75"/>
        <v>#N/A</v>
      </c>
      <c r="R70" t="e">
        <f t="shared" si="76"/>
        <v>#N/A</v>
      </c>
      <c r="BC70">
        <v>1.1868238913561453</v>
      </c>
      <c r="BD70">
        <v>253.90142333802481</v>
      </c>
      <c r="BE70">
        <v>363.39805681686983</v>
      </c>
      <c r="BF70" s="6">
        <f t="shared" si="77"/>
        <v>0.9609522524230284</v>
      </c>
      <c r="BG70" s="6">
        <f t="shared" si="78"/>
        <v>0.2258716389331169</v>
      </c>
      <c r="BH70" s="6">
        <f t="shared" si="80"/>
        <v>-1.2524090469008951</v>
      </c>
      <c r="BI70" s="6">
        <f t="shared" si="81"/>
        <v>1.2524090469008951</v>
      </c>
      <c r="BJ70">
        <v>282.11269259780534</v>
      </c>
      <c r="BK70">
        <v>403.7756186854109</v>
      </c>
      <c r="BV70" s="37"/>
      <c r="BW70" s="6">
        <f t="shared" si="25"/>
        <v>0.95993108859688214</v>
      </c>
      <c r="BX70" s="9">
        <f t="shared" ca="1" si="26"/>
        <v>99.475829675475637</v>
      </c>
      <c r="BY70" s="9">
        <f t="shared" ca="1" si="27"/>
        <v>345.90842754391008</v>
      </c>
      <c r="BZ70" s="9">
        <f t="shared" ca="1" si="28"/>
        <v>257.92948918631868</v>
      </c>
      <c r="CA70" s="6">
        <f t="shared" ca="1" si="29"/>
        <v>361.17409366012879</v>
      </c>
      <c r="CB70" s="6">
        <f t="shared" ca="1" si="30"/>
        <v>0.95064219355248736</v>
      </c>
      <c r="CC70" s="6">
        <f t="shared" ca="1" si="31"/>
        <v>2.3643468271445212</v>
      </c>
      <c r="CD70" s="9">
        <f t="shared" si="32"/>
        <v>157.92948918631868</v>
      </c>
      <c r="CE70" s="9">
        <f t="shared" si="33"/>
        <v>391.17409366012879</v>
      </c>
      <c r="CF70" s="6">
        <f t="shared" si="34"/>
        <v>1.1870768762669395</v>
      </c>
      <c r="CG70" s="6"/>
      <c r="CH70" s="6"/>
      <c r="CI70" s="6"/>
      <c r="CJ70" s="1"/>
      <c r="CK70" s="6"/>
      <c r="DC70">
        <v>0.17601029914010841</v>
      </c>
      <c r="DD70">
        <v>0.79442957484948817</v>
      </c>
      <c r="DE70">
        <v>4.1630459866876297</v>
      </c>
      <c r="DF70">
        <v>-0.84808577985816702</v>
      </c>
      <c r="DG70">
        <v>2.0514402834552623</v>
      </c>
      <c r="DH70">
        <v>1.8286825260140898</v>
      </c>
    </row>
    <row r="71" spans="1:112" ht="15.75" thickBot="1" x14ac:dyDescent="0.3">
      <c r="A71">
        <f t="shared" si="64"/>
        <v>10</v>
      </c>
      <c r="B71" s="1">
        <f t="shared" si="64"/>
        <v>0</v>
      </c>
      <c r="C71" s="1">
        <f t="shared" ca="1" si="64"/>
        <v>0</v>
      </c>
      <c r="D71" s="1">
        <f t="shared" si="64"/>
        <v>13.5</v>
      </c>
      <c r="E71" s="1">
        <f t="shared" si="64"/>
        <v>17.5</v>
      </c>
      <c r="F71" s="1">
        <f t="shared" si="65"/>
        <v>7.5</v>
      </c>
      <c r="G71" s="1">
        <f t="shared" si="66"/>
        <v>5.5</v>
      </c>
      <c r="H71" s="6">
        <f t="shared" si="67"/>
        <v>7.2317385118518569</v>
      </c>
      <c r="I71" s="6">
        <f t="shared" si="68"/>
        <v>5.8482440181817559</v>
      </c>
      <c r="J71" s="6">
        <f t="shared" si="79"/>
        <v>0</v>
      </c>
      <c r="K71" s="12">
        <f t="shared" ca="1" si="70"/>
        <v>0</v>
      </c>
      <c r="L71">
        <f t="shared" ca="1" si="71"/>
        <v>0</v>
      </c>
      <c r="M71" s="11">
        <f t="shared" ca="1" si="72"/>
        <v>0</v>
      </c>
      <c r="N71" s="11">
        <f t="shared" ca="1" si="73"/>
        <v>0</v>
      </c>
      <c r="O71" s="11">
        <f t="shared" ca="1" si="74"/>
        <v>0</v>
      </c>
      <c r="Q71" t="e">
        <f t="shared" si="75"/>
        <v>#N/A</v>
      </c>
      <c r="R71" t="e">
        <f t="shared" si="76"/>
        <v>#N/A</v>
      </c>
      <c r="BC71">
        <v>1.2042771838760886</v>
      </c>
      <c r="BD71">
        <v>253.62721754314833</v>
      </c>
      <c r="BE71">
        <v>363.50607885449864</v>
      </c>
      <c r="BF71" s="6">
        <f t="shared" si="77"/>
        <v>0.961598953946871</v>
      </c>
      <c r="BG71" s="6">
        <f t="shared" si="78"/>
        <v>0.24267822992921761</v>
      </c>
      <c r="BH71" s="6">
        <f t="shared" si="80"/>
        <v>-1.2530557484247382</v>
      </c>
      <c r="BI71" s="6">
        <f t="shared" si="81"/>
        <v>1.2530557484247382</v>
      </c>
      <c r="BJ71">
        <v>281.80801949238702</v>
      </c>
      <c r="BK71">
        <v>403.89564317166514</v>
      </c>
      <c r="BV71" s="37"/>
      <c r="BW71" s="6">
        <f t="shared" si="25"/>
        <v>0.97738438111682546</v>
      </c>
      <c r="BX71" s="9">
        <f t="shared" ca="1" si="26"/>
        <v>99.126322984880659</v>
      </c>
      <c r="BY71" s="9">
        <f t="shared" ca="1" si="27"/>
        <v>346.14866377336455</v>
      </c>
      <c r="BZ71" s="9">
        <f t="shared" ca="1" si="28"/>
        <v>257.5799824957237</v>
      </c>
      <c r="CA71" s="6">
        <f t="shared" ca="1" si="29"/>
        <v>361.41432988958326</v>
      </c>
      <c r="CB71" s="6">
        <f t="shared" ca="1" si="30"/>
        <v>0.95159764762968935</v>
      </c>
      <c r="CC71" s="6">
        <f t="shared" ca="1" si="31"/>
        <v>2.3646046782999699</v>
      </c>
      <c r="CD71" s="9">
        <f t="shared" si="32"/>
        <v>157.5799824957237</v>
      </c>
      <c r="CE71" s="9">
        <f t="shared" si="33"/>
        <v>391.41432988958326</v>
      </c>
      <c r="CF71" s="6">
        <f t="shared" si="34"/>
        <v>1.1880581154596863</v>
      </c>
      <c r="CG71" s="6"/>
      <c r="CH71" s="6"/>
      <c r="CI71" s="6"/>
      <c r="CJ71" s="1"/>
      <c r="CK71" s="6"/>
      <c r="DC71">
        <v>-2.6808653775366622</v>
      </c>
      <c r="DD71">
        <v>4.1630459866876297</v>
      </c>
      <c r="DE71">
        <v>0.98572942682470022</v>
      </c>
      <c r="DF71">
        <v>-1.489403265879204</v>
      </c>
      <c r="DG71">
        <v>0.87867420314130595</v>
      </c>
      <c r="DH71">
        <v>5.0059990858770194</v>
      </c>
    </row>
    <row r="72" spans="1:112" ht="15.75" thickTop="1" x14ac:dyDescent="0.25">
      <c r="J72" s="6">
        <f>MAX(J62:J71)</f>
        <v>23.014962817589179</v>
      </c>
      <c r="K72" s="13">
        <f ca="1">MIN(K62:K71)</f>
        <v>-2.3160704995972399E-2</v>
      </c>
      <c r="L72">
        <f t="shared" ca="1" si="71"/>
        <v>-60</v>
      </c>
      <c r="M72" s="6">
        <f ca="1">SUM(M62:M71)</f>
        <v>-189.60000000000002</v>
      </c>
      <c r="N72" s="6">
        <f ca="1">SUM(N62:N71)</f>
        <v>1731.3707220254971</v>
      </c>
      <c r="O72" s="6">
        <f ca="1">SUM(O62:O71)</f>
        <v>-487.53443254082981</v>
      </c>
      <c r="BC72">
        <v>1.2217304763960319</v>
      </c>
      <c r="BD72">
        <v>253.35666185268695</v>
      </c>
      <c r="BE72">
        <v>363.60724426303921</v>
      </c>
      <c r="BF72" s="6">
        <f t="shared" si="77"/>
        <v>0.96223025221980596</v>
      </c>
      <c r="BG72" s="6">
        <f t="shared" si="78"/>
        <v>0.25950022417622598</v>
      </c>
      <c r="BH72" s="6">
        <f t="shared" si="80"/>
        <v>-1.2536870466976728</v>
      </c>
      <c r="BI72" s="6">
        <f t="shared" si="81"/>
        <v>1.2536870466976728</v>
      </c>
      <c r="BJ72">
        <v>281.50740205854106</v>
      </c>
      <c r="BK72">
        <v>404.00804918115466</v>
      </c>
      <c r="BV72" s="37"/>
      <c r="BW72" s="6">
        <f t="shared" si="25"/>
        <v>0.99483767363676878</v>
      </c>
      <c r="BX72" s="9">
        <f t="shared" ca="1" si="26"/>
        <v>98.784950423309709</v>
      </c>
      <c r="BY72" s="9">
        <f t="shared" ca="1" si="27"/>
        <v>346.37463809025923</v>
      </c>
      <c r="BZ72" s="9">
        <f t="shared" ca="1" si="28"/>
        <v>257.23860993415275</v>
      </c>
      <c r="CA72" s="6">
        <f t="shared" ca="1" si="29"/>
        <v>361.64030420647794</v>
      </c>
      <c r="CB72" s="6">
        <f t="shared" ca="1" si="30"/>
        <v>0.95251957064640436</v>
      </c>
      <c r="CC72" s="6">
        <f t="shared" ca="1" si="31"/>
        <v>2.3648887821901674</v>
      </c>
      <c r="CD72" s="9">
        <f t="shared" si="32"/>
        <v>157.23860993415275</v>
      </c>
      <c r="CE72" s="9">
        <f t="shared" si="33"/>
        <v>391.64030420647794</v>
      </c>
      <c r="CF72" s="6">
        <f t="shared" si="34"/>
        <v>1.1890084488654211</v>
      </c>
      <c r="CG72" s="6"/>
      <c r="CH72" s="6"/>
      <c r="CI72" s="6"/>
      <c r="CJ72" s="1"/>
      <c r="CK72" s="6"/>
      <c r="DC72">
        <v>2.0514402834552623</v>
      </c>
      <c r="DD72">
        <v>0.98572942682470022</v>
      </c>
      <c r="DE72">
        <v>0.94567958564185173</v>
      </c>
      <c r="DF72">
        <v>29.282664941408015</v>
      </c>
      <c r="DG72">
        <v>-2.1560131601232571</v>
      </c>
      <c r="DH72">
        <v>5.0460489270598679</v>
      </c>
    </row>
    <row r="73" spans="1:112" x14ac:dyDescent="0.25">
      <c r="M73" s="1"/>
      <c r="N73" s="45">
        <f ca="1">N72/M72</f>
        <v>-9.1317021203876418</v>
      </c>
      <c r="O73" s="45">
        <f ca="1">-1*O72/M72</f>
        <v>-2.5713841378735744</v>
      </c>
      <c r="R73">
        <f ca="1">(O73*COS(-1*$B$27))+(N73*SIN(-1*$B$27))+$I$2</f>
        <v>3</v>
      </c>
      <c r="S73">
        <f ca="1">(-1*O73*SIN(-1*$B$27))+(N73*COS(-1*$B$27))+$I$3</f>
        <v>3</v>
      </c>
      <c r="BC73">
        <v>1.2391837689159753</v>
      </c>
      <c r="BD73">
        <v>253.08952220740605</v>
      </c>
      <c r="BE73">
        <v>363.701851480914</v>
      </c>
      <c r="BF73" s="6">
        <f t="shared" si="77"/>
        <v>0.96284697267058095</v>
      </c>
      <c r="BG73" s="6">
        <f t="shared" si="78"/>
        <v>0.27633679624539431</v>
      </c>
      <c r="BH73" s="6">
        <f t="shared" si="80"/>
        <v>-1.2543037671484483</v>
      </c>
      <c r="BI73" s="6">
        <f t="shared" si="81"/>
        <v>1.2543037671484483</v>
      </c>
      <c r="BJ73">
        <v>281.21058023045117</v>
      </c>
      <c r="BK73">
        <v>404.11316831212667</v>
      </c>
      <c r="BV73" s="37"/>
      <c r="BW73" s="6">
        <f t="shared" si="25"/>
        <v>1.0122909661567121</v>
      </c>
      <c r="BX73" s="9">
        <f t="shared" ca="1" si="26"/>
        <v>98.451230341790477</v>
      </c>
      <c r="BY73" s="9">
        <f t="shared" ca="1" si="27"/>
        <v>346.587263993259</v>
      </c>
      <c r="BZ73" s="9">
        <f t="shared" ca="1" si="28"/>
        <v>256.90488985263352</v>
      </c>
      <c r="CA73" s="6">
        <f t="shared" ca="1" si="29"/>
        <v>361.85293010947771</v>
      </c>
      <c r="CB73" s="6">
        <f t="shared" ca="1" si="30"/>
        <v>0.95341007752194129</v>
      </c>
      <c r="CC73" s="6">
        <f t="shared" ca="1" si="31"/>
        <v>2.365197480054241</v>
      </c>
      <c r="CD73" s="9">
        <f t="shared" si="32"/>
        <v>156.90488985263352</v>
      </c>
      <c r="CE73" s="9">
        <f t="shared" si="33"/>
        <v>391.85293010947771</v>
      </c>
      <c r="CF73" s="6">
        <f t="shared" si="34"/>
        <v>1.1899298255273654</v>
      </c>
      <c r="CG73" s="6"/>
      <c r="CH73" s="6"/>
      <c r="CI73" s="6"/>
      <c r="CJ73" s="1"/>
      <c r="CK73" s="6"/>
      <c r="DC73">
        <v>0.87867420314130595</v>
      </c>
      <c r="DD73">
        <v>0.94567958564185173</v>
      </c>
      <c r="DE73">
        <v>5.2633943473494718</v>
      </c>
      <c r="DF73">
        <v>-0.70284572528463407</v>
      </c>
      <c r="DG73">
        <v>-2.6679197148198361</v>
      </c>
      <c r="DH73">
        <v>0.72833416535224771</v>
      </c>
    </row>
    <row r="74" spans="1:112" x14ac:dyDescent="0.25">
      <c r="BC74">
        <v>1.2566370614359186</v>
      </c>
      <c r="BD74">
        <v>252.82557453543416</v>
      </c>
      <c r="BE74">
        <v>363.79017461557493</v>
      </c>
      <c r="BF74" s="6">
        <f t="shared" si="77"/>
        <v>0.96344989018534022</v>
      </c>
      <c r="BG74" s="6">
        <f t="shared" si="78"/>
        <v>0.29318717125057836</v>
      </c>
      <c r="BH74" s="6">
        <f t="shared" si="80"/>
        <v>-1.2549066846632073</v>
      </c>
      <c r="BI74" s="6">
        <f t="shared" si="81"/>
        <v>1.2549066846632073</v>
      </c>
      <c r="BJ74">
        <v>280.91730503937129</v>
      </c>
      <c r="BK74">
        <v>404.2113051284166</v>
      </c>
      <c r="BV74" s="37"/>
      <c r="BW74" s="6">
        <f t="shared" si="25"/>
        <v>1.0297442586766554</v>
      </c>
      <c r="BX74" s="9">
        <f t="shared" ca="1" si="26"/>
        <v>98.124711574598365</v>
      </c>
      <c r="BY74" s="9">
        <f t="shared" ca="1" si="27"/>
        <v>346.78737591276911</v>
      </c>
      <c r="BZ74" s="9">
        <f t="shared" ca="1" si="28"/>
        <v>256.5783710854414</v>
      </c>
      <c r="CA74" s="6">
        <f t="shared" ca="1" si="29"/>
        <v>362.05304202898782</v>
      </c>
      <c r="CB74" s="6">
        <f t="shared" ca="1" si="30"/>
        <v>0.95427111819622157</v>
      </c>
      <c r="CC74" s="6">
        <f t="shared" ca="1" si="31"/>
        <v>2.3655292878139211</v>
      </c>
      <c r="CD74" s="9">
        <f t="shared" si="32"/>
        <v>156.5783710854414</v>
      </c>
      <c r="CE74" s="9">
        <f t="shared" si="33"/>
        <v>392.05304202898782</v>
      </c>
      <c r="CF74" s="6">
        <f t="shared" si="34"/>
        <v>1.1908240469776137</v>
      </c>
      <c r="CG74" s="6"/>
      <c r="CH74" s="6"/>
      <c r="CI74" s="6"/>
      <c r="CJ74" s="1"/>
      <c r="CK74" s="6"/>
      <c r="DC74">
        <v>-2.1560131601232571</v>
      </c>
      <c r="DD74">
        <v>5.2633943473494718</v>
      </c>
      <c r="DE74">
        <v>4.1728014665639952</v>
      </c>
      <c r="DF74">
        <v>0.46938373036864972</v>
      </c>
      <c r="DG74">
        <v>-1.8141449526352822</v>
      </c>
      <c r="DH74">
        <v>1.8189270461377243</v>
      </c>
    </row>
    <row r="75" spans="1:112" x14ac:dyDescent="0.25">
      <c r="A75" s="8" t="s">
        <v>63</v>
      </c>
      <c r="B75" s="9">
        <f ca="1">N57+M72</f>
        <v>11.111111111076184</v>
      </c>
      <c r="C75" t="s">
        <v>68</v>
      </c>
      <c r="E75">
        <f>((O59*COS(-1*B27))+(P59*SIN(-1*B27)))</f>
        <v>188.92619864611575</v>
      </c>
      <c r="F75">
        <f>(-1*(O59)*SIN(-1*B27))+((P59)*COS(-1*B27))</f>
        <v>-51.937859593832535</v>
      </c>
      <c r="R75" t="str">
        <f ca="1">"Ts = "&amp;ROUND(M72,4)&amp;" "&amp;V10&amp;CHAR(10)&amp;" @ ( "&amp;ROUND(R73,4)&amp;" , "&amp;ROUND(S73,4)&amp;" )"</f>
        <v>Ts = -189.6 kips
 @ ( 3 , 3 )</v>
      </c>
      <c r="BC75">
        <v>1.2740903539558619</v>
      </c>
      <c r="BD75">
        <v>252.5646039345045</v>
      </c>
      <c r="BE75">
        <v>363.87246521959651</v>
      </c>
      <c r="BF75" s="6">
        <f t="shared" si="77"/>
        <v>0.96403973304790647</v>
      </c>
      <c r="BG75" s="6">
        <f t="shared" si="78"/>
        <v>0.31005062090795543</v>
      </c>
      <c r="BH75" s="6">
        <f t="shared" si="80"/>
        <v>-1.2554965275257735</v>
      </c>
      <c r="BI75" s="6">
        <f t="shared" si="81"/>
        <v>1.2554965275257735</v>
      </c>
      <c r="BJ75">
        <v>280.627337705005</v>
      </c>
      <c r="BK75">
        <v>404.30273913288499</v>
      </c>
      <c r="BV75" s="37"/>
      <c r="BW75" s="6">
        <f t="shared" si="25"/>
        <v>1.0471975511965987</v>
      </c>
      <c r="BX75" s="9">
        <f t="shared" ca="1" si="26"/>
        <v>97.804970816802467</v>
      </c>
      <c r="BY75" s="9">
        <f t="shared" ca="1" si="27"/>
        <v>346.97573693389</v>
      </c>
      <c r="BZ75" s="9">
        <f t="shared" ca="1" si="28"/>
        <v>256.25863032764551</v>
      </c>
      <c r="CA75" s="6">
        <f t="shared" ca="1" si="29"/>
        <v>362.24140305010872</v>
      </c>
      <c r="CB75" s="6">
        <f t="shared" ca="1" si="30"/>
        <v>0.95510449344629977</v>
      </c>
      <c r="CC75" s="6">
        <f t="shared" ca="1" si="31"/>
        <v>2.3658828788272652</v>
      </c>
      <c r="CD75" s="9">
        <f t="shared" si="32"/>
        <v>156.25863032764551</v>
      </c>
      <c r="CE75" s="9">
        <f t="shared" si="33"/>
        <v>392.24140305010872</v>
      </c>
      <c r="CF75" s="6">
        <f t="shared" si="34"/>
        <v>1.1916927813290263</v>
      </c>
      <c r="CG75" s="6"/>
      <c r="CH75" s="6"/>
      <c r="CI75" s="6"/>
      <c r="CJ75" s="1"/>
      <c r="CK75" s="6"/>
      <c r="DC75">
        <v>-2.6679197148198361</v>
      </c>
      <c r="DD75">
        <v>4.1728014665639952</v>
      </c>
      <c r="DE75">
        <v>5.4508460453102856</v>
      </c>
      <c r="DF75">
        <v>0.66803206741197729</v>
      </c>
      <c r="DG75">
        <v>-1.4528181197168912</v>
      </c>
      <c r="DH75">
        <v>0.54088246739143386</v>
      </c>
    </row>
    <row r="76" spans="1:112" x14ac:dyDescent="0.25">
      <c r="A76" s="8" t="s">
        <v>66</v>
      </c>
      <c r="B76" s="9">
        <f ca="1">O57+N72</f>
        <v>4025.4025757795971</v>
      </c>
      <c r="C76" t="s">
        <v>69</v>
      </c>
      <c r="E76">
        <f ca="1">((N73*COS(-1*B27))+(O73*SIN(-1*B27)))</f>
        <v>-9.2430043220418519</v>
      </c>
      <c r="F76">
        <f ca="1">(-1*(N73)*SIN(-1*B27))+((O73)*COS(-1*B27))</f>
        <v>-2.1370238891307762</v>
      </c>
      <c r="BC76">
        <v>1.2915436464758052</v>
      </c>
      <c r="BD76">
        <v>252.30640391298644</v>
      </c>
      <c r="BE76">
        <v>363.9489538862486</v>
      </c>
      <c r="BF76" s="6">
        <f t="shared" si="77"/>
        <v>0.96461718652140949</v>
      </c>
      <c r="BG76" s="6">
        <f t="shared" si="78"/>
        <v>0.32692645995439573</v>
      </c>
      <c r="BH76" s="6">
        <f t="shared" si="80"/>
        <v>-1.2560739809992765</v>
      </c>
      <c r="BI76" s="6">
        <f t="shared" si="81"/>
        <v>1.2560739809992765</v>
      </c>
      <c r="BJ76">
        <v>280.34044879220716</v>
      </c>
      <c r="BK76">
        <v>404.38772654027622</v>
      </c>
      <c r="BV76" s="37"/>
      <c r="BW76" s="6">
        <f t="shared" si="25"/>
        <v>1.0646508437165421</v>
      </c>
      <c r="BX76" s="9">
        <f t="shared" ca="1" si="26"/>
        <v>97.491610255581264</v>
      </c>
      <c r="BY76" s="9">
        <f t="shared" ca="1" si="27"/>
        <v>347.15304563380414</v>
      </c>
      <c r="BZ76" s="9">
        <f t="shared" ca="1" si="28"/>
        <v>255.9452697664243</v>
      </c>
      <c r="CA76" s="6">
        <f t="shared" ca="1" si="29"/>
        <v>362.41871175002285</v>
      </c>
      <c r="CB76" s="6">
        <f t="shared" ca="1" si="30"/>
        <v>0.95591186893613889</v>
      </c>
      <c r="CC76" s="6">
        <f t="shared" ca="1" si="31"/>
        <v>2.366257068687708</v>
      </c>
      <c r="CD76" s="9">
        <f t="shared" si="32"/>
        <v>155.9452697664243</v>
      </c>
      <c r="CE76" s="9">
        <f t="shared" si="33"/>
        <v>392.41871175002285</v>
      </c>
      <c r="CF76" s="6">
        <f t="shared" si="34"/>
        <v>1.1925375758049097</v>
      </c>
      <c r="CG76" s="6"/>
      <c r="CH76" s="6"/>
      <c r="CI76" s="6"/>
      <c r="CJ76" s="1"/>
      <c r="CK76" s="6"/>
      <c r="DC76">
        <v>-1.8141449526352822</v>
      </c>
      <c r="DD76">
        <v>5.4508460453102856</v>
      </c>
      <c r="DE76">
        <v>5.4610603239664304</v>
      </c>
      <c r="DF76">
        <v>35.374679415175507</v>
      </c>
      <c r="DG76">
        <v>-1.5301569889129503</v>
      </c>
      <c r="DH76">
        <v>0.53066818873528909</v>
      </c>
    </row>
    <row r="77" spans="1:112" x14ac:dyDescent="0.25">
      <c r="A77" s="8" t="s">
        <v>67</v>
      </c>
      <c r="B77" s="9">
        <f ca="1">P57+O72</f>
        <v>-1002.9676719678235</v>
      </c>
      <c r="C77" t="s">
        <v>69</v>
      </c>
      <c r="BC77">
        <v>1.3089969389957485</v>
      </c>
      <c r="BD77">
        <v>252.05077568372994</v>
      </c>
      <c r="BE77">
        <v>364.01985168264906</v>
      </c>
      <c r="BF77" s="6">
        <f t="shared" si="77"/>
        <v>0.96518289610824393</v>
      </c>
      <c r="BG77" s="6">
        <f t="shared" si="78"/>
        <v>0.34381404288750461</v>
      </c>
      <c r="BH77" s="6">
        <f t="shared" si="80"/>
        <v>-1.256639690586111</v>
      </c>
      <c r="BI77" s="6">
        <f t="shared" si="81"/>
        <v>1.256639690586111</v>
      </c>
      <c r="BJ77">
        <v>280.05641742636658</v>
      </c>
      <c r="BK77">
        <v>404.46650186961006</v>
      </c>
      <c r="BV77" s="37"/>
      <c r="BW77" s="6">
        <f t="shared" si="25"/>
        <v>1.0821041362364854</v>
      </c>
      <c r="BX77" s="9">
        <f t="shared" ca="1" si="26"/>
        <v>97.184255426419753</v>
      </c>
      <c r="BY77" s="9">
        <f t="shared" ca="1" si="27"/>
        <v>347.31994214647619</v>
      </c>
      <c r="BZ77" s="9">
        <f t="shared" ca="1" si="28"/>
        <v>255.63791493726279</v>
      </c>
      <c r="CA77" s="6">
        <f t="shared" ca="1" si="29"/>
        <v>362.5856082626949</v>
      </c>
      <c r="CB77" s="6">
        <f t="shared" ca="1" si="30"/>
        <v>0.95669478772432182</v>
      </c>
      <c r="CC77" s="6">
        <f t="shared" ca="1" si="31"/>
        <v>2.3666508018098766</v>
      </c>
      <c r="CD77" s="9">
        <f t="shared" si="32"/>
        <v>155.63791493726279</v>
      </c>
      <c r="CE77" s="9">
        <f t="shared" si="33"/>
        <v>392.5856082626949</v>
      </c>
      <c r="CF77" s="6">
        <f t="shared" si="34"/>
        <v>1.1933598679053095</v>
      </c>
      <c r="CG77" s="6"/>
      <c r="CH77" s="6"/>
      <c r="CI77" s="6"/>
      <c r="CJ77" s="1"/>
      <c r="CK77" s="6"/>
      <c r="DC77">
        <v>-1.4528181197168912</v>
      </c>
      <c r="DD77">
        <v>5.4610603239664304</v>
      </c>
      <c r="DE77">
        <v>5.458787941476702</v>
      </c>
      <c r="DF77">
        <v>34.034265598175423</v>
      </c>
      <c r="DG77">
        <v>-2.2414719613361394</v>
      </c>
      <c r="DH77">
        <v>0.53294057122501748</v>
      </c>
    </row>
    <row r="78" spans="1:112" x14ac:dyDescent="0.25">
      <c r="BC78">
        <v>1.3264502315156919</v>
      </c>
      <c r="BD78">
        <v>251.79752750533393</v>
      </c>
      <c r="BE78">
        <v>364.08535143636368</v>
      </c>
      <c r="BF78" s="6">
        <f t="shared" si="77"/>
        <v>0.96573747052098891</v>
      </c>
      <c r="BG78" s="6">
        <f t="shared" si="78"/>
        <v>0.36071276099470295</v>
      </c>
      <c r="BH78" s="6">
        <f t="shared" si="80"/>
        <v>-1.2571942649988561</v>
      </c>
      <c r="BI78" s="6">
        <f t="shared" si="81"/>
        <v>1.2571942649988561</v>
      </c>
      <c r="BJ78">
        <v>279.77503056148214</v>
      </c>
      <c r="BK78">
        <v>404.53927937373743</v>
      </c>
      <c r="BV78" s="37"/>
      <c r="BW78" s="6">
        <f t="shared" si="25"/>
        <v>1.0995574287564287</v>
      </c>
      <c r="BX78" s="9">
        <f t="shared" ca="1" si="26"/>
        <v>96.882553268947845</v>
      </c>
      <c r="BY78" s="9">
        <f t="shared" ca="1" si="27"/>
        <v>347.47701355151582</v>
      </c>
      <c r="BZ78" s="9">
        <f t="shared" ca="1" si="28"/>
        <v>255.33621277979088</v>
      </c>
      <c r="CA78" s="6">
        <f t="shared" ca="1" si="29"/>
        <v>362.74267966773454</v>
      </c>
      <c r="CB78" s="6">
        <f t="shared" ca="1" si="30"/>
        <v>0.95745468142245471</v>
      </c>
      <c r="CC78" s="6">
        <f t="shared" ca="1" si="31"/>
        <v>2.3670631395800523</v>
      </c>
      <c r="CD78" s="9">
        <f t="shared" si="32"/>
        <v>155.33621277979088</v>
      </c>
      <c r="CE78" s="9">
        <f t="shared" si="33"/>
        <v>392.74267966773454</v>
      </c>
      <c r="CF78" s="6">
        <f t="shared" si="34"/>
        <v>1.1941609953804599</v>
      </c>
      <c r="CG78" s="6"/>
      <c r="CH78" s="6"/>
      <c r="CI78" s="6"/>
      <c r="CJ78" s="1"/>
      <c r="CK78" s="6"/>
      <c r="DC78">
        <v>-1.5301569889129503</v>
      </c>
      <c r="DD78">
        <v>5.458787941476702</v>
      </c>
      <c r="DE78">
        <v>5.1229934746335699</v>
      </c>
      <c r="DF78">
        <v>2.1183046257742033</v>
      </c>
      <c r="DG78">
        <v>-0.40122651162424949</v>
      </c>
      <c r="DH78">
        <v>0.86873503806814956</v>
      </c>
    </row>
    <row r="79" spans="1:112" x14ac:dyDescent="0.25">
      <c r="A79" s="8" t="s">
        <v>64</v>
      </c>
      <c r="B79">
        <f ca="1">((B76*COS(-1*B27))+(B77*SIN(-1*B27)))</f>
        <v>3973.5143837533892</v>
      </c>
      <c r="C79" t="s">
        <v>69</v>
      </c>
      <c r="BC79">
        <v>1.3439035240356352</v>
      </c>
      <c r="BD79">
        <v>251.54647406597431</v>
      </c>
      <c r="BE79">
        <v>364.14562888939531</v>
      </c>
      <c r="BF79" s="6">
        <f t="shared" si="77"/>
        <v>0.96628148439315387</v>
      </c>
      <c r="BG79" s="6">
        <f t="shared" si="78"/>
        <v>0.37762203964248131</v>
      </c>
      <c r="BH79" s="6">
        <f t="shared" si="80"/>
        <v>-1.2577382788710205</v>
      </c>
      <c r="BI79" s="6">
        <f t="shared" si="81"/>
        <v>1.2577382788710205</v>
      </c>
      <c r="BJ79">
        <v>279.496082295527</v>
      </c>
      <c r="BK79">
        <v>404.60625432155035</v>
      </c>
      <c r="BV79" s="37"/>
      <c r="BW79" s="6">
        <f t="shared" si="25"/>
        <v>1.117010721276372</v>
      </c>
      <c r="BX79" s="9">
        <f t="shared" ca="1" si="26"/>
        <v>96.586170360319358</v>
      </c>
      <c r="BY79" s="9">
        <f t="shared" ca="1" si="27"/>
        <v>347.62479867050263</v>
      </c>
      <c r="BZ79" s="9">
        <f t="shared" ca="1" si="28"/>
        <v>255.0398298711624</v>
      </c>
      <c r="CA79" s="6">
        <f t="shared" ca="1" si="29"/>
        <v>362.89046478672134</v>
      </c>
      <c r="CB79" s="6">
        <f t="shared" ca="1" si="30"/>
        <v>0.95819288017006643</v>
      </c>
      <c r="CC79" s="6">
        <f t="shared" ca="1" si="31"/>
        <v>2.3674932498799963</v>
      </c>
      <c r="CD79" s="9">
        <f t="shared" si="32"/>
        <v>155.0398298711624</v>
      </c>
      <c r="CE79" s="9">
        <f t="shared" si="33"/>
        <v>392.89046478672134</v>
      </c>
      <c r="CF79" s="6">
        <f t="shared" si="34"/>
        <v>1.194942205158066</v>
      </c>
      <c r="CG79" s="6"/>
      <c r="CH79" s="6"/>
      <c r="CI79" s="6"/>
      <c r="CJ79" s="1"/>
      <c r="CK79" s="6"/>
      <c r="DC79">
        <v>-2.2414719613361394</v>
      </c>
      <c r="DD79">
        <v>5.1229934746335699</v>
      </c>
      <c r="DE79">
        <v>5.5715613315857491</v>
      </c>
      <c r="DF79">
        <v>4.1024906737980436</v>
      </c>
      <c r="DG79">
        <v>1.3225054303400325</v>
      </c>
      <c r="DH79">
        <v>0.4201671811159704</v>
      </c>
    </row>
    <row r="80" spans="1:112" x14ac:dyDescent="0.25">
      <c r="A80" s="8" t="s">
        <v>65</v>
      </c>
      <c r="B80">
        <f ca="1">(-1*(B76)*SIN(-1*B27))+((B77)*COS(-1*B27))</f>
        <v>-1192.0543151259906</v>
      </c>
      <c r="C80" t="s">
        <v>69</v>
      </c>
      <c r="BC80">
        <v>1.3613568165555785</v>
      </c>
      <c r="BD80">
        <v>251.2974359053789</v>
      </c>
      <c r="BE80">
        <v>364.20084373179441</v>
      </c>
      <c r="BF80" s="6">
        <f t="shared" si="77"/>
        <v>0.96681548075530876</v>
      </c>
      <c r="BG80" s="6">
        <f t="shared" si="78"/>
        <v>0.39454133580026973</v>
      </c>
      <c r="BH80" s="6">
        <f t="shared" si="80"/>
        <v>-1.2582722752331759</v>
      </c>
      <c r="BI80" s="6">
        <f t="shared" si="81"/>
        <v>1.2582722752331759</v>
      </c>
      <c r="BJ80">
        <v>279.21937322819878</v>
      </c>
      <c r="BK80">
        <v>404.66760414643824</v>
      </c>
      <c r="BV80" s="37"/>
      <c r="BW80" s="6">
        <f t="shared" ref="BW80:BW143" si="82">IF(BC67="",NA(),BC67)</f>
        <v>1.1344640137963153</v>
      </c>
      <c r="BX80" s="9">
        <f t="shared" ref="BX80:BX143" ca="1" si="83">BD67-$BW$5</f>
        <v>96.294791306731497</v>
      </c>
      <c r="BY80" s="9">
        <f t="shared" ref="BY80:BY143" ca="1" si="84">BE67-$BX$5</f>
        <v>347.76379234258957</v>
      </c>
      <c r="BZ80" s="9">
        <f t="shared" ref="BZ80:BZ143" ca="1" si="85">BX80-$CE$5</f>
        <v>254.74845081757454</v>
      </c>
      <c r="CA80" s="6">
        <f t="shared" ref="CA80:CA143" ca="1" si="86">BY80-$CF$5</f>
        <v>363.02945845880828</v>
      </c>
      <c r="CB80" s="6">
        <f t="shared" ref="CB80:CB143" ca="1" si="87">ATAN2(BZ80,CA80)</f>
        <v>0.95891062156901996</v>
      </c>
      <c r="CC80" s="6">
        <f t="shared" ref="CC80:CC143" ca="1" si="88">ATAN2(COS(CF80-CB80),SIN(CF80-CB80))*10</f>
        <v>2.367940397819186</v>
      </c>
      <c r="CD80" s="9">
        <f t="shared" ref="CD80:CD143" si="89">BD67-$BW$6</f>
        <v>154.74845081757454</v>
      </c>
      <c r="CE80" s="9">
        <f t="shared" ref="CE80:CE143" si="90">BE67-$BX$6</f>
        <v>393.02945845880828</v>
      </c>
      <c r="CF80" s="6">
        <f t="shared" ref="CF80:CF143" si="91">ATAN2(CD80,CE80)</f>
        <v>1.1957046613509386</v>
      </c>
      <c r="CG80" s="6"/>
      <c r="CH80" s="6"/>
      <c r="CI80" s="6"/>
      <c r="CJ80" s="1"/>
      <c r="CK80" s="6"/>
      <c r="DC80">
        <v>-0.40122651162424949</v>
      </c>
      <c r="DD80">
        <v>5.5715613315857491</v>
      </c>
      <c r="DE80">
        <v>0.96561306908612565</v>
      </c>
      <c r="DF80">
        <v>-0.37424040473889775</v>
      </c>
      <c r="DG80">
        <v>-0.55847004754309193</v>
      </c>
      <c r="DH80">
        <v>5.0261154436155939</v>
      </c>
    </row>
    <row r="81" spans="1:89" x14ac:dyDescent="0.25">
      <c r="BC81">
        <v>1.3788101090755218</v>
      </c>
      <c r="BD81">
        <v>251.05023887093967</v>
      </c>
      <c r="BE81">
        <v>364.25114052562839</v>
      </c>
      <c r="BF81" s="6">
        <f t="shared" si="77"/>
        <v>0.96733997329925903</v>
      </c>
      <c r="BG81" s="6">
        <f t="shared" si="78"/>
        <v>0.41147013577626279</v>
      </c>
      <c r="BH81" s="6">
        <f t="shared" si="80"/>
        <v>-1.2587967677771259</v>
      </c>
      <c r="BI81" s="6">
        <f t="shared" si="81"/>
        <v>1.2587967677771259</v>
      </c>
      <c r="BJ81">
        <v>278.94470985659962</v>
      </c>
      <c r="BK81">
        <v>404.72348947292039</v>
      </c>
      <c r="BV81" s="37"/>
      <c r="BW81" s="6">
        <f t="shared" si="82"/>
        <v>1.1519173063162587</v>
      </c>
      <c r="BX81" s="9">
        <f t="shared" ca="1" si="83"/>
        <v>96.008117276019732</v>
      </c>
      <c r="BY81" s="9">
        <f t="shared" ca="1" si="84"/>
        <v>347.89444924145027</v>
      </c>
      <c r="BZ81" s="9">
        <f t="shared" ca="1" si="85"/>
        <v>254.46177678686277</v>
      </c>
      <c r="CA81" s="6">
        <f t="shared" ca="1" si="86"/>
        <v>363.16011535766899</v>
      </c>
      <c r="CB81" s="6">
        <f t="shared" ca="1" si="87"/>
        <v>0.95960905870111102</v>
      </c>
      <c r="CC81" s="6">
        <f t="shared" ca="1" si="88"/>
        <v>2.3684039375328791</v>
      </c>
      <c r="CD81" s="9">
        <f t="shared" si="89"/>
        <v>154.46177678686277</v>
      </c>
      <c r="CE81" s="9">
        <f t="shared" si="90"/>
        <v>393.16011535766899</v>
      </c>
      <c r="CF81" s="6">
        <f t="shared" si="91"/>
        <v>1.1964494524543989</v>
      </c>
      <c r="CG81" s="6"/>
      <c r="CH81" s="6"/>
      <c r="CI81" s="6"/>
      <c r="CJ81" s="1"/>
      <c r="CK81" s="6"/>
    </row>
    <row r="82" spans="1:89" x14ac:dyDescent="0.25">
      <c r="B82">
        <f>ATAN2(1,0)</f>
        <v>0</v>
      </c>
      <c r="BC82">
        <v>1.3962634015954651</v>
      </c>
      <c r="BD82">
        <v>250.80471360430175</v>
      </c>
      <c r="BE82">
        <v>364.29664952872025</v>
      </c>
      <c r="BF82" s="6">
        <f t="shared" si="77"/>
        <v>0.96785544845038185</v>
      </c>
      <c r="BG82" s="6">
        <f t="shared" si="78"/>
        <v>0.42840795314508329</v>
      </c>
      <c r="BH82" s="6">
        <f t="shared" si="80"/>
        <v>-1.2593122429282488</v>
      </c>
      <c r="BI82" s="6">
        <f t="shared" si="81"/>
        <v>1.2593122429282488</v>
      </c>
      <c r="BJ82">
        <v>278.67190400477972</v>
      </c>
      <c r="BK82">
        <v>404.77405503191136</v>
      </c>
      <c r="BV82" s="37"/>
      <c r="BW82" s="6">
        <f t="shared" si="82"/>
        <v>1.169370598836202</v>
      </c>
      <c r="BX82" s="9">
        <f t="shared" ca="1" si="83"/>
        <v>95.725864656274183</v>
      </c>
      <c r="BY82" s="9">
        <f t="shared" ca="1" si="84"/>
        <v>348.01718728730293</v>
      </c>
      <c r="BZ82" s="9">
        <f t="shared" ca="1" si="85"/>
        <v>254.17952416711722</v>
      </c>
      <c r="CA82" s="6">
        <f t="shared" ca="1" si="86"/>
        <v>363.28285340352164</v>
      </c>
      <c r="CB82" s="6">
        <f t="shared" ca="1" si="87"/>
        <v>0.96028926733605635</v>
      </c>
      <c r="CC82" s="6">
        <f t="shared" ca="1" si="88"/>
        <v>2.3688833049227154</v>
      </c>
      <c r="CD82" s="9">
        <f t="shared" si="89"/>
        <v>154.17952416711722</v>
      </c>
      <c r="CE82" s="9">
        <f t="shared" si="90"/>
        <v>393.28285340352164</v>
      </c>
      <c r="CF82" s="6">
        <f t="shared" si="91"/>
        <v>1.1971775978283279</v>
      </c>
      <c r="CG82" s="6"/>
      <c r="CH82" s="6"/>
      <c r="CI82" s="6"/>
      <c r="CJ82" s="1"/>
      <c r="CK82" s="6"/>
    </row>
    <row r="83" spans="1:89" x14ac:dyDescent="0.25">
      <c r="A83" t="s">
        <v>74</v>
      </c>
      <c r="B83">
        <f ca="1">ATAN2(B79,B80)</f>
        <v>-0.29145679447786105</v>
      </c>
      <c r="BC83">
        <v>1.4137166941154085</v>
      </c>
      <c r="BD83">
        <v>250.56069505508034</v>
      </c>
      <c r="BE83">
        <v>364.33748742640449</v>
      </c>
      <c r="BF83" s="6">
        <f t="shared" si="77"/>
        <v>0.96836236726600544</v>
      </c>
      <c r="BG83" s="6">
        <f t="shared" si="78"/>
        <v>0.44535432684940301</v>
      </c>
      <c r="BH83" s="6">
        <f t="shared" si="80"/>
        <v>-1.2598191617438721</v>
      </c>
      <c r="BI83" s="6">
        <f t="shared" si="81"/>
        <v>1.2598191617438721</v>
      </c>
      <c r="BJ83">
        <v>278.40077228342261</v>
      </c>
      <c r="BK83">
        <v>404.81943047378275</v>
      </c>
      <c r="BV83" s="37"/>
      <c r="BW83" s="6">
        <f t="shared" si="82"/>
        <v>1.1868238913561453</v>
      </c>
      <c r="BX83" s="9">
        <f t="shared" ca="1" si="83"/>
        <v>95.447763827181774</v>
      </c>
      <c r="BY83" s="9">
        <f t="shared" ca="1" si="84"/>
        <v>348.13239070065111</v>
      </c>
      <c r="BZ83" s="9">
        <f t="shared" ca="1" si="85"/>
        <v>253.90142333802481</v>
      </c>
      <c r="CA83" s="6">
        <f t="shared" ca="1" si="86"/>
        <v>363.39805681686983</v>
      </c>
      <c r="CB83" s="6">
        <f t="shared" ca="1" si="87"/>
        <v>0.9609522524230284</v>
      </c>
      <c r="CC83" s="6">
        <f t="shared" ca="1" si="88"/>
        <v>2.3693780112329308</v>
      </c>
      <c r="CD83" s="9">
        <f t="shared" si="89"/>
        <v>153.90142333802481</v>
      </c>
      <c r="CE83" s="9">
        <f t="shared" si="90"/>
        <v>393.39805681686983</v>
      </c>
      <c r="CF83" s="6">
        <f t="shared" si="91"/>
        <v>1.1978900535463215</v>
      </c>
      <c r="CG83" s="6"/>
      <c r="CH83" s="6"/>
      <c r="CI83" s="6"/>
      <c r="CJ83" s="1"/>
      <c r="CK83" s="6"/>
    </row>
    <row r="84" spans="1:89" x14ac:dyDescent="0.25">
      <c r="BC84">
        <v>1.4311699866353518</v>
      </c>
      <c r="BD84">
        <v>250.31802201861908</v>
      </c>
      <c r="BE84">
        <v>364.37375797848728</v>
      </c>
      <c r="BF84" s="6">
        <f t="shared" si="77"/>
        <v>0.96886116717572579</v>
      </c>
      <c r="BG84" s="6">
        <f t="shared" si="78"/>
        <v>0.46230881945962599</v>
      </c>
      <c r="BH84" s="6">
        <f t="shared" si="80"/>
        <v>-1.2603179616535931</v>
      </c>
      <c r="BI84" s="6">
        <f t="shared" si="81"/>
        <v>1.2603179616535931</v>
      </c>
      <c r="BJ84">
        <v>278.13113557624342</v>
      </c>
      <c r="BK84">
        <v>404.85973108720805</v>
      </c>
      <c r="BV84" s="37"/>
      <c r="BW84" s="6">
        <f t="shared" si="82"/>
        <v>1.2042771838760886</v>
      </c>
      <c r="BX84" s="9">
        <f t="shared" ca="1" si="83"/>
        <v>95.173558032305294</v>
      </c>
      <c r="BY84" s="9">
        <f t="shared" ca="1" si="84"/>
        <v>348.24041273827993</v>
      </c>
      <c r="BZ84" s="9">
        <f t="shared" ca="1" si="85"/>
        <v>253.62721754314833</v>
      </c>
      <c r="CA84" s="6">
        <f t="shared" ca="1" si="86"/>
        <v>363.50607885449864</v>
      </c>
      <c r="CB84" s="6">
        <f t="shared" ca="1" si="87"/>
        <v>0.961598953946871</v>
      </c>
      <c r="CC84" s="6">
        <f t="shared" ca="1" si="88"/>
        <v>2.3698876373695166</v>
      </c>
      <c r="CD84" s="9">
        <f t="shared" si="89"/>
        <v>153.62721754314833</v>
      </c>
      <c r="CE84" s="9">
        <f t="shared" si="90"/>
        <v>393.50607885449864</v>
      </c>
      <c r="CF84" s="6">
        <f t="shared" si="91"/>
        <v>1.1985877176838227</v>
      </c>
      <c r="CG84" s="6"/>
      <c r="CH84" s="6"/>
      <c r="CI84" s="6"/>
      <c r="CJ84" s="1"/>
      <c r="CK84" s="6"/>
    </row>
    <row r="85" spans="1:89" x14ac:dyDescent="0.25">
      <c r="BC85">
        <v>1.4486232791552951</v>
      </c>
      <c r="BD85">
        <v>250.07653669494613</v>
      </c>
      <c r="BE85">
        <v>364.40555258768194</v>
      </c>
      <c r="BF85" s="6">
        <f t="shared" si="77"/>
        <v>0.96935226357781634</v>
      </c>
      <c r="BG85" s="6">
        <f t="shared" si="78"/>
        <v>0.47927101557747875</v>
      </c>
      <c r="BH85" s="6">
        <f t="shared" si="80"/>
        <v>-1.2608090580556832</v>
      </c>
      <c r="BI85" s="6">
        <f t="shared" si="81"/>
        <v>1.2608090580556832</v>
      </c>
      <c r="BJ85">
        <v>277.86281854994013</v>
      </c>
      <c r="BK85">
        <v>404.89505843075767</v>
      </c>
      <c r="BV85" s="37"/>
      <c r="BW85" s="6">
        <f t="shared" si="82"/>
        <v>1.2217304763960319</v>
      </c>
      <c r="BX85" s="9">
        <f t="shared" ca="1" si="83"/>
        <v>94.903002341843916</v>
      </c>
      <c r="BY85" s="9">
        <f t="shared" ca="1" si="84"/>
        <v>348.3415781468205</v>
      </c>
      <c r="BZ85" s="9">
        <f t="shared" ca="1" si="85"/>
        <v>253.35666185268695</v>
      </c>
      <c r="CA85" s="6">
        <f t="shared" ca="1" si="86"/>
        <v>363.60724426303921</v>
      </c>
      <c r="CB85" s="6">
        <f t="shared" ca="1" si="87"/>
        <v>0.96223025221980596</v>
      </c>
      <c r="CC85" s="6">
        <f t="shared" ca="1" si="88"/>
        <v>2.3704118288818057</v>
      </c>
      <c r="CD85" s="9">
        <f t="shared" si="89"/>
        <v>153.35666185268695</v>
      </c>
      <c r="CE85" s="9">
        <f t="shared" si="90"/>
        <v>393.60724426303921</v>
      </c>
      <c r="CF85" s="6">
        <f t="shared" si="91"/>
        <v>1.1992714351079865</v>
      </c>
      <c r="CG85" s="6"/>
      <c r="CH85" s="6"/>
      <c r="CI85" s="6"/>
      <c r="CJ85" s="1"/>
      <c r="CK85" s="6"/>
    </row>
    <row r="86" spans="1:89" x14ac:dyDescent="0.25">
      <c r="BC86">
        <v>1.4660765716752384</v>
      </c>
      <c r="BD86">
        <v>249.83608426627984</v>
      </c>
      <c r="BE86">
        <v>364.43295079493436</v>
      </c>
      <c r="BF86" s="6">
        <f t="shared" si="77"/>
        <v>0.96983605130432171</v>
      </c>
      <c r="BG86" s="6">
        <f t="shared" si="78"/>
        <v>0.4962405203709167</v>
      </c>
      <c r="BH86" s="6">
        <f t="shared" si="80"/>
        <v>-1.2612928457821886</v>
      </c>
      <c r="BI86" s="6">
        <f t="shared" si="81"/>
        <v>1.2612928457821886</v>
      </c>
      <c r="BJ86">
        <v>277.59564918475536</v>
      </c>
      <c r="BK86">
        <v>404.92550088326038</v>
      </c>
      <c r="BV86" s="37"/>
      <c r="BW86" s="6">
        <f t="shared" si="82"/>
        <v>1.2391837689159753</v>
      </c>
      <c r="BX86" s="9">
        <f t="shared" ca="1" si="83"/>
        <v>94.635862696563009</v>
      </c>
      <c r="BY86" s="9">
        <f t="shared" ca="1" si="84"/>
        <v>348.43618536469529</v>
      </c>
      <c r="BZ86" s="9">
        <f t="shared" ca="1" si="85"/>
        <v>253.08952220740605</v>
      </c>
      <c r="CA86" s="6">
        <f t="shared" ca="1" si="86"/>
        <v>363.701851480914</v>
      </c>
      <c r="CB86" s="6">
        <f t="shared" ca="1" si="87"/>
        <v>0.96284697267058095</v>
      </c>
      <c r="CC86" s="6">
        <f t="shared" ca="1" si="88"/>
        <v>2.3709502915365057</v>
      </c>
      <c r="CD86" s="9">
        <f t="shared" si="89"/>
        <v>153.08952220740605</v>
      </c>
      <c r="CE86" s="9">
        <f t="shared" si="90"/>
        <v>393.701851480914</v>
      </c>
      <c r="CF86" s="6">
        <f t="shared" si="91"/>
        <v>1.1999420018242315</v>
      </c>
      <c r="CG86" s="6"/>
      <c r="CH86" s="6"/>
      <c r="CI86" s="6"/>
      <c r="CJ86" s="1"/>
      <c r="CK86" s="6"/>
    </row>
    <row r="87" spans="1:89" x14ac:dyDescent="0.25">
      <c r="A87" t="s">
        <v>119</v>
      </c>
      <c r="BC87">
        <v>1.4835298641951817</v>
      </c>
      <c r="BD87">
        <v>249.59651249061915</v>
      </c>
      <c r="BE87">
        <v>364.45602070630565</v>
      </c>
      <c r="BF87" s="6">
        <f t="shared" si="77"/>
        <v>0.97031290596604924</v>
      </c>
      <c r="BG87" s="6">
        <f t="shared" si="78"/>
        <v>0.51321695822913249</v>
      </c>
      <c r="BH87" s="6">
        <f t="shared" si="80"/>
        <v>-1.2617697004439166</v>
      </c>
      <c r="BI87" s="6">
        <f t="shared" si="81"/>
        <v>1.2617697004439166</v>
      </c>
      <c r="BJ87">
        <v>277.32945832291017</v>
      </c>
      <c r="BK87">
        <v>404.95113411811735</v>
      </c>
      <c r="BV87" s="37"/>
      <c r="BW87" s="6">
        <f t="shared" si="82"/>
        <v>1.2566370614359186</v>
      </c>
      <c r="BX87" s="9">
        <f t="shared" ca="1" si="83"/>
        <v>94.371915024591118</v>
      </c>
      <c r="BY87" s="9">
        <f t="shared" ca="1" si="84"/>
        <v>348.52450849935622</v>
      </c>
      <c r="BZ87" s="9">
        <f t="shared" ca="1" si="85"/>
        <v>252.82557453543416</v>
      </c>
      <c r="CA87" s="6">
        <f t="shared" ca="1" si="86"/>
        <v>363.79017461557493</v>
      </c>
      <c r="CB87" s="6">
        <f t="shared" ca="1" si="87"/>
        <v>0.96344989018534022</v>
      </c>
      <c r="CC87" s="6">
        <f t="shared" ca="1" si="88"/>
        <v>2.3715027874234238</v>
      </c>
      <c r="CD87" s="9">
        <f t="shared" si="89"/>
        <v>152.82557453543416</v>
      </c>
      <c r="CE87" s="9">
        <f t="shared" si="90"/>
        <v>393.79017461557493</v>
      </c>
      <c r="CF87" s="6">
        <f t="shared" si="91"/>
        <v>1.2006001689276826</v>
      </c>
      <c r="CG87" s="6"/>
      <c r="CH87" s="6"/>
      <c r="CI87" s="6"/>
      <c r="CJ87" s="1"/>
      <c r="CK87" s="6"/>
    </row>
    <row r="88" spans="1:89" x14ac:dyDescent="0.25">
      <c r="A88" t="s">
        <v>120</v>
      </c>
      <c r="BC88">
        <v>1.5009831567151251</v>
      </c>
      <c r="BD88">
        <v>249.35767130909829</v>
      </c>
      <c r="BE88">
        <v>364.47481935538099</v>
      </c>
      <c r="BF88" s="6">
        <f t="shared" si="77"/>
        <v>0.97078318518743889</v>
      </c>
      <c r="BG88" s="6">
        <f t="shared" si="78"/>
        <v>0.53019997152768616</v>
      </c>
      <c r="BH88" s="6">
        <f t="shared" si="80"/>
        <v>-1.2622399796653057</v>
      </c>
      <c r="BI88" s="6">
        <f t="shared" si="81"/>
        <v>1.2622399796653057</v>
      </c>
      <c r="BJ88">
        <v>277.06407923233144</v>
      </c>
      <c r="BK88">
        <v>404.97202150597889</v>
      </c>
      <c r="BV88" s="37"/>
      <c r="BW88" s="6">
        <f t="shared" si="82"/>
        <v>1.2740903539558619</v>
      </c>
      <c r="BX88" s="9">
        <f t="shared" ca="1" si="83"/>
        <v>94.110944423661465</v>
      </c>
      <c r="BY88" s="9">
        <f t="shared" ca="1" si="84"/>
        <v>348.6067991033778</v>
      </c>
      <c r="BZ88" s="9">
        <f t="shared" ca="1" si="85"/>
        <v>252.5646039345045</v>
      </c>
      <c r="CA88" s="6">
        <f t="shared" ca="1" si="86"/>
        <v>363.87246521959651</v>
      </c>
      <c r="CB88" s="6">
        <f t="shared" ca="1" si="87"/>
        <v>0.96403973304790647</v>
      </c>
      <c r="CC88" s="6">
        <f t="shared" ca="1" si="88"/>
        <v>2.3720691315399423</v>
      </c>
      <c r="CD88" s="9">
        <f t="shared" si="89"/>
        <v>152.5646039345045</v>
      </c>
      <c r="CE88" s="9">
        <f t="shared" si="90"/>
        <v>393.87246521959651</v>
      </c>
      <c r="CF88" s="6">
        <f t="shared" si="91"/>
        <v>1.2012466462019007</v>
      </c>
      <c r="CG88" s="6"/>
      <c r="CH88" s="6"/>
      <c r="CI88" s="6"/>
      <c r="CJ88" s="1"/>
      <c r="CK88" s="6"/>
    </row>
    <row r="89" spans="1:89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BC89">
        <v>1.5184364492350684</v>
      </c>
      <c r="BD89">
        <v>249.11941246491611</v>
      </c>
      <c r="BE89">
        <v>364.489393004536</v>
      </c>
      <c r="BF89" s="6">
        <f t="shared" si="77"/>
        <v>0.97124722974017053</v>
      </c>
      <c r="BG89" s="6">
        <f t="shared" si="78"/>
        <v>0.54718921949489785</v>
      </c>
      <c r="BH89" s="6">
        <f t="shared" si="80"/>
        <v>-1.2627040242180378</v>
      </c>
      <c r="BI89" s="6">
        <f t="shared" si="81"/>
        <v>1.2627040242180378</v>
      </c>
      <c r="BJ89">
        <v>276.79934718324012</v>
      </c>
      <c r="BK89">
        <v>404.98821444948442</v>
      </c>
      <c r="BV89" s="37"/>
      <c r="BW89" s="6">
        <f t="shared" si="82"/>
        <v>1.2915436464758052</v>
      </c>
      <c r="BX89" s="9">
        <f t="shared" ca="1" si="83"/>
        <v>93.852744402143401</v>
      </c>
      <c r="BY89" s="9">
        <f t="shared" ca="1" si="84"/>
        <v>348.68328777002989</v>
      </c>
      <c r="BZ89" s="9">
        <f t="shared" ca="1" si="85"/>
        <v>252.30640391298644</v>
      </c>
      <c r="CA89" s="6">
        <f t="shared" ca="1" si="86"/>
        <v>363.9489538862486</v>
      </c>
      <c r="CB89" s="6">
        <f t="shared" ca="1" si="87"/>
        <v>0.96461718652140949</v>
      </c>
      <c r="CC89" s="6">
        <f t="shared" ca="1" si="88"/>
        <v>2.3726491888084222</v>
      </c>
      <c r="CD89" s="9">
        <f t="shared" si="89"/>
        <v>152.30640391298644</v>
      </c>
      <c r="CE89" s="9">
        <f t="shared" si="90"/>
        <v>393.9489538862486</v>
      </c>
      <c r="CF89" s="6">
        <f t="shared" si="91"/>
        <v>1.2018821054022517</v>
      </c>
      <c r="CG89" s="6"/>
      <c r="CH89" s="6"/>
      <c r="CI89" s="6"/>
      <c r="CJ89" s="1"/>
      <c r="CK89" s="6"/>
    </row>
    <row r="90" spans="1:89" x14ac:dyDescent="0.25">
      <c r="A90" s="6">
        <f t="shared" ref="A90:A98" si="92">E3-$I$2</f>
        <v>-6</v>
      </c>
      <c r="B90" s="1">
        <f t="shared" ref="B90:B98" si="93">F3-$I$3</f>
        <v>-12</v>
      </c>
      <c r="C90" s="1"/>
      <c r="BC90">
        <v>1.5358897417550117</v>
      </c>
      <c r="BD90">
        <v>248.88158913175445</v>
      </c>
      <c r="BE90">
        <v>364.49977738781081</v>
      </c>
      <c r="BF90" s="6">
        <f t="shared" si="77"/>
        <v>0.97170536458338808</v>
      </c>
      <c r="BG90" s="6">
        <f t="shared" si="78"/>
        <v>0.56418437717162362</v>
      </c>
      <c r="BH90" s="6">
        <f t="shared" si="80"/>
        <v>-1.2631621590612554</v>
      </c>
      <c r="BI90" s="6">
        <f t="shared" si="81"/>
        <v>1.2631621590612554</v>
      </c>
      <c r="BJ90">
        <v>276.53509903528271</v>
      </c>
      <c r="BK90">
        <v>404.9997526531231</v>
      </c>
      <c r="BV90" s="37"/>
      <c r="BW90" s="6">
        <f t="shared" si="82"/>
        <v>1.3089969389957485</v>
      </c>
      <c r="BX90" s="9">
        <f t="shared" ca="1" si="83"/>
        <v>93.597116172886899</v>
      </c>
      <c r="BY90" s="9">
        <f t="shared" ca="1" si="84"/>
        <v>348.75418556643035</v>
      </c>
      <c r="BZ90" s="9">
        <f t="shared" ca="1" si="85"/>
        <v>252.05077568372994</v>
      </c>
      <c r="CA90" s="6">
        <f t="shared" ca="1" si="86"/>
        <v>364.01985168264906</v>
      </c>
      <c r="CB90" s="6">
        <f t="shared" ca="1" si="87"/>
        <v>0.96518289610824393</v>
      </c>
      <c r="CC90" s="6">
        <f t="shared" ca="1" si="88"/>
        <v>2.3732428714865552</v>
      </c>
      <c r="CD90" s="9">
        <f t="shared" si="89"/>
        <v>152.05077568372994</v>
      </c>
      <c r="CE90" s="9">
        <f t="shared" si="90"/>
        <v>394.01985168264906</v>
      </c>
      <c r="CF90" s="6">
        <f t="shared" si="91"/>
        <v>1.2025071832568994</v>
      </c>
      <c r="CG90" s="6"/>
      <c r="CH90" s="6"/>
      <c r="CI90" s="6"/>
      <c r="CJ90" s="1"/>
      <c r="CK90" s="6"/>
    </row>
    <row r="91" spans="1:89" x14ac:dyDescent="0.25">
      <c r="A91" s="6">
        <f t="shared" si="92"/>
        <v>6</v>
      </c>
      <c r="B91" s="1">
        <f t="shared" si="93"/>
        <v>-12</v>
      </c>
      <c r="C91" s="1">
        <f t="shared" ref="C91:C98" si="94">((A90*B91)-(A91*B90))*0.5</f>
        <v>72</v>
      </c>
      <c r="D91" s="6">
        <f t="shared" ref="D91:D98" si="95">(A91+A90)*((A90*B91)-(A91*B90))*(1/6)</f>
        <v>0</v>
      </c>
      <c r="E91" s="6">
        <f t="shared" ref="E91:E98" si="96">(B91+B90)*((A90*B91)-(A91*B90))*(1/6)</f>
        <v>-576</v>
      </c>
      <c r="BC91">
        <v>1.553343034274955</v>
      </c>
      <c r="BD91">
        <v>248.64405554969048</v>
      </c>
      <c r="BE91">
        <v>364.50599789759269</v>
      </c>
      <c r="BF91" s="6">
        <f t="shared" si="77"/>
        <v>0.97215789981750333</v>
      </c>
      <c r="BG91" s="6">
        <f t="shared" si="78"/>
        <v>0.58118513445745168</v>
      </c>
      <c r="BH91" s="6">
        <f t="shared" si="80"/>
        <v>-1.2636146942953703</v>
      </c>
      <c r="BI91" s="6">
        <f t="shared" si="81"/>
        <v>1.2636146942953703</v>
      </c>
      <c r="BJ91">
        <v>276.27117283298941</v>
      </c>
      <c r="BK91">
        <v>405.00666433065851</v>
      </c>
      <c r="BV91" s="37"/>
      <c r="BW91" s="6">
        <f t="shared" si="82"/>
        <v>1.3264502315156919</v>
      </c>
      <c r="BX91" s="9">
        <f t="shared" ca="1" si="83"/>
        <v>93.343867994490893</v>
      </c>
      <c r="BY91" s="9">
        <f t="shared" ca="1" si="84"/>
        <v>348.81968532014497</v>
      </c>
      <c r="BZ91" s="9">
        <f t="shared" ca="1" si="85"/>
        <v>251.79752750533393</v>
      </c>
      <c r="CA91" s="6">
        <f t="shared" ca="1" si="86"/>
        <v>364.08535143636368</v>
      </c>
      <c r="CB91" s="6">
        <f t="shared" ca="1" si="87"/>
        <v>0.96573747052098891</v>
      </c>
      <c r="CC91" s="6">
        <f t="shared" ca="1" si="88"/>
        <v>2.3738501369362264</v>
      </c>
      <c r="CD91" s="9">
        <f t="shared" si="89"/>
        <v>151.79752750533393</v>
      </c>
      <c r="CE91" s="9">
        <f t="shared" si="90"/>
        <v>394.08535143636368</v>
      </c>
      <c r="CF91" s="6">
        <f t="shared" si="91"/>
        <v>1.2031224842146115</v>
      </c>
      <c r="CG91" s="6"/>
      <c r="CH91" s="6"/>
      <c r="CI91" s="6"/>
      <c r="CJ91" s="1"/>
      <c r="CK91" s="6"/>
    </row>
    <row r="92" spans="1:89" x14ac:dyDescent="0.25">
      <c r="A92" s="6">
        <f t="shared" si="92"/>
        <v>6</v>
      </c>
      <c r="B92" s="1">
        <f t="shared" si="93"/>
        <v>4</v>
      </c>
      <c r="C92" s="1">
        <f t="shared" si="94"/>
        <v>48</v>
      </c>
      <c r="D92" s="6">
        <f t="shared" si="95"/>
        <v>192</v>
      </c>
      <c r="E92" s="6">
        <f t="shared" si="96"/>
        <v>-128</v>
      </c>
      <c r="BC92">
        <v>1.5707963267948983</v>
      </c>
      <c r="BD92">
        <v>248.40666666666667</v>
      </c>
      <c r="BE92">
        <v>364.50806971677537</v>
      </c>
      <c r="BF92" s="6">
        <f t="shared" si="77"/>
        <v>0.97260513155772121</v>
      </c>
      <c r="BG92" s="6">
        <f t="shared" si="78"/>
        <v>0.59819119523717712</v>
      </c>
      <c r="BH92" s="6">
        <f t="shared" si="80"/>
        <v>-1.2640619260355879</v>
      </c>
      <c r="BI92" s="6">
        <f t="shared" si="81"/>
        <v>1.2640619260355879</v>
      </c>
      <c r="BJ92">
        <v>276.00740740740741</v>
      </c>
      <c r="BK92">
        <v>405.00896635197262</v>
      </c>
      <c r="BV92" s="37"/>
      <c r="BW92" s="6">
        <f t="shared" si="82"/>
        <v>1.3439035240356352</v>
      </c>
      <c r="BX92" s="9">
        <f t="shared" ca="1" si="83"/>
        <v>93.09281455513127</v>
      </c>
      <c r="BY92" s="9">
        <f t="shared" ca="1" si="84"/>
        <v>348.8799627731766</v>
      </c>
      <c r="BZ92" s="9">
        <f t="shared" ca="1" si="85"/>
        <v>251.54647406597431</v>
      </c>
      <c r="CA92" s="6">
        <f t="shared" ca="1" si="86"/>
        <v>364.14562888939531</v>
      </c>
      <c r="CB92" s="6">
        <f t="shared" ca="1" si="87"/>
        <v>0.96628148439315387</v>
      </c>
      <c r="CC92" s="6">
        <f t="shared" ca="1" si="88"/>
        <v>2.3744709857209898</v>
      </c>
      <c r="CD92" s="9">
        <f t="shared" si="89"/>
        <v>151.54647406597431</v>
      </c>
      <c r="CE92" s="9">
        <f t="shared" si="90"/>
        <v>394.14562888939531</v>
      </c>
      <c r="CF92" s="6">
        <f t="shared" si="91"/>
        <v>1.2037285829652529</v>
      </c>
      <c r="CG92" s="6"/>
      <c r="CH92" s="6"/>
      <c r="CI92" s="6"/>
      <c r="CJ92" s="1"/>
      <c r="CK92" s="6"/>
    </row>
    <row r="93" spans="1:89" x14ac:dyDescent="0.25">
      <c r="A93" s="6">
        <f t="shared" si="92"/>
        <v>18</v>
      </c>
      <c r="B93" s="1">
        <f t="shared" si="93"/>
        <v>4</v>
      </c>
      <c r="C93" s="1">
        <f t="shared" si="94"/>
        <v>-24</v>
      </c>
      <c r="D93" s="6">
        <f t="shared" si="95"/>
        <v>-192</v>
      </c>
      <c r="E93" s="6">
        <f t="shared" si="96"/>
        <v>-64</v>
      </c>
      <c r="BC93">
        <v>1.5882496193148417</v>
      </c>
      <c r="BD93">
        <v>248.16927778364288</v>
      </c>
      <c r="BE93">
        <v>364.50599789759241</v>
      </c>
      <c r="BF93" s="6">
        <f t="shared" si="77"/>
        <v>0.97304734273268878</v>
      </c>
      <c r="BG93" s="6">
        <f t="shared" si="78"/>
        <v>0.61520227658215287</v>
      </c>
      <c r="BH93" s="6">
        <f t="shared" si="80"/>
        <v>-1.2645041372105557</v>
      </c>
      <c r="BI93" s="6">
        <f t="shared" si="81"/>
        <v>1.2645041372105557</v>
      </c>
      <c r="BJ93">
        <v>275.74364198182542</v>
      </c>
      <c r="BK93">
        <v>405.00666433065823</v>
      </c>
      <c r="BV93" s="37"/>
      <c r="BW93" s="6">
        <f t="shared" si="82"/>
        <v>1.3613568165555785</v>
      </c>
      <c r="BX93" s="9">
        <f t="shared" ca="1" si="83"/>
        <v>92.843776394535865</v>
      </c>
      <c r="BY93" s="9">
        <f t="shared" ca="1" si="84"/>
        <v>348.9351776155757</v>
      </c>
      <c r="BZ93" s="9">
        <f t="shared" ca="1" si="85"/>
        <v>251.2974359053789</v>
      </c>
      <c r="CA93" s="6">
        <f t="shared" ca="1" si="86"/>
        <v>364.20084373179441</v>
      </c>
      <c r="CB93" s="6">
        <f t="shared" ca="1" si="87"/>
        <v>0.96681548075530876</v>
      </c>
      <c r="CC93" s="6">
        <f t="shared" ca="1" si="88"/>
        <v>2.3751054600064849</v>
      </c>
      <c r="CD93" s="9">
        <f t="shared" si="89"/>
        <v>151.2974359053789</v>
      </c>
      <c r="CE93" s="9">
        <f t="shared" si="90"/>
        <v>394.20084373179441</v>
      </c>
      <c r="CF93" s="6">
        <f t="shared" si="91"/>
        <v>1.2043260267559572</v>
      </c>
      <c r="CG93" s="6"/>
      <c r="CH93" s="6"/>
      <c r="CI93" s="6"/>
      <c r="CJ93" s="1"/>
      <c r="CK93" s="6"/>
    </row>
    <row r="94" spans="1:89" x14ac:dyDescent="0.25">
      <c r="A94" s="6">
        <f t="shared" si="92"/>
        <v>18</v>
      </c>
      <c r="B94" s="1">
        <f t="shared" si="93"/>
        <v>12</v>
      </c>
      <c r="C94" s="1">
        <f t="shared" si="94"/>
        <v>72</v>
      </c>
      <c r="D94" s="6">
        <f t="shared" si="95"/>
        <v>864</v>
      </c>
      <c r="E94" s="6">
        <f t="shared" si="96"/>
        <v>384</v>
      </c>
      <c r="BC94">
        <v>1.605702911834785</v>
      </c>
      <c r="BD94">
        <v>247.93174420157897</v>
      </c>
      <c r="BE94">
        <v>364.49977738781098</v>
      </c>
      <c r="BF94" s="6">
        <f t="shared" si="77"/>
        <v>0.973484803812949</v>
      </c>
      <c r="BG94" s="6">
        <f t="shared" si="78"/>
        <v>0.63221810802183598</v>
      </c>
      <c r="BH94" s="6">
        <f t="shared" si="80"/>
        <v>-1.2649415982908156</v>
      </c>
      <c r="BI94" s="6">
        <f t="shared" si="81"/>
        <v>1.2649415982908156</v>
      </c>
      <c r="BJ94">
        <v>275.47971577953217</v>
      </c>
      <c r="BK94">
        <v>404.99975265312332</v>
      </c>
      <c r="BV94" s="37"/>
      <c r="BW94" s="6">
        <f t="shared" si="82"/>
        <v>1.3788101090755218</v>
      </c>
      <c r="BX94" s="9">
        <f t="shared" ca="1" si="83"/>
        <v>92.596579360096626</v>
      </c>
      <c r="BY94" s="9">
        <f t="shared" ca="1" si="84"/>
        <v>348.98547440940968</v>
      </c>
      <c r="BZ94" s="9">
        <f t="shared" ca="1" si="85"/>
        <v>251.05023887093967</v>
      </c>
      <c r="CA94" s="6">
        <f t="shared" ca="1" si="86"/>
        <v>364.25114052562839</v>
      </c>
      <c r="CB94" s="6">
        <f t="shared" ca="1" si="87"/>
        <v>0.96733997329925903</v>
      </c>
      <c r="CC94" s="6">
        <f t="shared" ca="1" si="88"/>
        <v>2.3757536422418166</v>
      </c>
      <c r="CD94" s="9">
        <f t="shared" si="89"/>
        <v>151.05023887093967</v>
      </c>
      <c r="CE94" s="9">
        <f t="shared" si="90"/>
        <v>394.25114052562839</v>
      </c>
      <c r="CF94" s="6">
        <f t="shared" si="91"/>
        <v>1.2049153375234407</v>
      </c>
      <c r="CG94" s="6"/>
      <c r="CH94" s="6"/>
      <c r="CI94" s="6"/>
      <c r="CJ94" s="1"/>
      <c r="CK94" s="6"/>
    </row>
    <row r="95" spans="1:89" x14ac:dyDescent="0.25">
      <c r="A95" s="6">
        <f t="shared" si="92"/>
        <v>-30</v>
      </c>
      <c r="B95" s="1">
        <f t="shared" si="93"/>
        <v>12</v>
      </c>
      <c r="C95" s="1">
        <f t="shared" si="94"/>
        <v>288</v>
      </c>
      <c r="D95" s="6">
        <f t="shared" si="95"/>
        <v>-1152</v>
      </c>
      <c r="E95" s="6">
        <f t="shared" si="96"/>
        <v>2304</v>
      </c>
      <c r="BC95">
        <v>1.6231562043547283</v>
      </c>
      <c r="BD95">
        <v>247.69392086841725</v>
      </c>
      <c r="BE95">
        <v>364.48939300453577</v>
      </c>
      <c r="BF95" s="6">
        <f t="shared" si="77"/>
        <v>0.97391777347327113</v>
      </c>
      <c r="BG95" s="6">
        <f t="shared" si="78"/>
        <v>0.64923843088145716</v>
      </c>
      <c r="BH95" s="6">
        <f t="shared" si="80"/>
        <v>-1.2653745679511383</v>
      </c>
      <c r="BI95" s="6">
        <f t="shared" si="81"/>
        <v>1.2653745679511383</v>
      </c>
      <c r="BJ95">
        <v>275.21546763157471</v>
      </c>
      <c r="BK95">
        <v>404.98821444948419</v>
      </c>
      <c r="BV95" s="37"/>
      <c r="BW95" s="6">
        <f t="shared" si="82"/>
        <v>1.3962634015954651</v>
      </c>
      <c r="BX95" s="9">
        <f t="shared" ca="1" si="83"/>
        <v>92.351054093458714</v>
      </c>
      <c r="BY95" s="9">
        <f t="shared" ca="1" si="84"/>
        <v>349.03098341250154</v>
      </c>
      <c r="BZ95" s="9">
        <f t="shared" ca="1" si="85"/>
        <v>250.80471360430175</v>
      </c>
      <c r="CA95" s="6">
        <f t="shared" ca="1" si="86"/>
        <v>364.29664952872025</v>
      </c>
      <c r="CB95" s="6">
        <f t="shared" ca="1" si="87"/>
        <v>0.96785544845038185</v>
      </c>
      <c r="CC95" s="6">
        <f t="shared" ca="1" si="88"/>
        <v>2.3764156541032833</v>
      </c>
      <c r="CD95" s="9">
        <f t="shared" si="89"/>
        <v>150.80471360430175</v>
      </c>
      <c r="CE95" s="9">
        <f t="shared" si="90"/>
        <v>394.29664952872025</v>
      </c>
      <c r="CF95" s="6">
        <f t="shared" si="91"/>
        <v>1.2054970138607102</v>
      </c>
      <c r="CG95" s="6"/>
      <c r="CH95" s="6"/>
      <c r="CI95" s="6"/>
      <c r="CJ95" s="1"/>
      <c r="CK95" s="6"/>
    </row>
    <row r="96" spans="1:89" x14ac:dyDescent="0.25">
      <c r="A96" s="6">
        <f t="shared" si="92"/>
        <v>-30</v>
      </c>
      <c r="B96" s="1">
        <f t="shared" si="93"/>
        <v>4</v>
      </c>
      <c r="C96" s="1">
        <f t="shared" si="94"/>
        <v>120</v>
      </c>
      <c r="D96" s="6">
        <f t="shared" si="95"/>
        <v>-2400</v>
      </c>
      <c r="E96" s="6">
        <f t="shared" si="96"/>
        <v>640</v>
      </c>
      <c r="BC96">
        <v>1.6406094968746716</v>
      </c>
      <c r="BD96">
        <v>247.45566202423484</v>
      </c>
      <c r="BE96">
        <v>364.4748193553811</v>
      </c>
      <c r="BF96" s="6">
        <f t="shared" si="77"/>
        <v>0.974346499192289</v>
      </c>
      <c r="BG96" s="6">
        <f t="shared" si="78"/>
        <v>0.66626299768238262</v>
      </c>
      <c r="BH96" s="6">
        <f t="shared" si="80"/>
        <v>-1.265803293670156</v>
      </c>
      <c r="BI96" s="6">
        <f t="shared" si="81"/>
        <v>1.265803293670156</v>
      </c>
      <c r="BJ96">
        <v>274.95073558248316</v>
      </c>
      <c r="BK96">
        <v>404.972021505979</v>
      </c>
      <c r="BV96" s="37"/>
      <c r="BW96" s="6">
        <f t="shared" si="82"/>
        <v>1.4137166941154085</v>
      </c>
      <c r="BX96" s="9">
        <f t="shared" ca="1" si="83"/>
        <v>92.107035544237306</v>
      </c>
      <c r="BY96" s="9">
        <f t="shared" ca="1" si="84"/>
        <v>349.07182131018578</v>
      </c>
      <c r="BZ96" s="9">
        <f t="shared" ca="1" si="85"/>
        <v>250.56069505508034</v>
      </c>
      <c r="CA96" s="6">
        <f t="shared" ca="1" si="86"/>
        <v>364.33748742640449</v>
      </c>
      <c r="CB96" s="6">
        <f t="shared" ca="1" si="87"/>
        <v>0.96836236726600544</v>
      </c>
      <c r="CC96" s="6">
        <f t="shared" ca="1" si="88"/>
        <v>2.3770916556846942</v>
      </c>
      <c r="CD96" s="9">
        <f t="shared" si="89"/>
        <v>150.56069505508034</v>
      </c>
      <c r="CE96" s="9">
        <f t="shared" si="90"/>
        <v>394.33748742640449</v>
      </c>
      <c r="CF96" s="6">
        <f t="shared" si="91"/>
        <v>1.2060715328344749</v>
      </c>
      <c r="CG96" s="6"/>
      <c r="CH96" s="6"/>
      <c r="CI96" s="6"/>
      <c r="CJ96" s="1"/>
      <c r="CK96" s="6"/>
    </row>
    <row r="97" spans="1:89" x14ac:dyDescent="0.25">
      <c r="A97" s="6">
        <f t="shared" si="92"/>
        <v>-6</v>
      </c>
      <c r="B97" s="1">
        <f t="shared" si="93"/>
        <v>4</v>
      </c>
      <c r="C97" s="1">
        <f t="shared" si="94"/>
        <v>-48</v>
      </c>
      <c r="D97" s="6">
        <f t="shared" si="95"/>
        <v>576</v>
      </c>
      <c r="E97" s="6">
        <f t="shared" si="96"/>
        <v>-128</v>
      </c>
      <c r="BC97">
        <v>1.6580627893946149</v>
      </c>
      <c r="BD97">
        <v>247.21682084271404</v>
      </c>
      <c r="BE97">
        <v>364.45602070630611</v>
      </c>
      <c r="BF97" s="6">
        <f t="shared" si="77"/>
        <v>0.9747712177923209</v>
      </c>
      <c r="BG97" s="6">
        <f t="shared" si="78"/>
        <v>0.68329157160229403</v>
      </c>
      <c r="BH97" s="6">
        <f t="shared" si="80"/>
        <v>-1.2662280122701877</v>
      </c>
      <c r="BI97" s="6">
        <f t="shared" si="81"/>
        <v>1.2662280122701877</v>
      </c>
      <c r="BJ97">
        <v>274.68535649190449</v>
      </c>
      <c r="BK97">
        <v>404.95113411811786</v>
      </c>
      <c r="BV97" s="37"/>
      <c r="BW97" s="6">
        <f t="shared" si="82"/>
        <v>1.4311699866353518</v>
      </c>
      <c r="BX97" s="9">
        <f t="shared" ca="1" si="83"/>
        <v>91.864362507776036</v>
      </c>
      <c r="BY97" s="9">
        <f t="shared" ca="1" si="84"/>
        <v>349.10809186226857</v>
      </c>
      <c r="BZ97" s="9">
        <f t="shared" ca="1" si="85"/>
        <v>250.31802201861908</v>
      </c>
      <c r="CA97" s="6">
        <f t="shared" ca="1" si="86"/>
        <v>364.37375797848728</v>
      </c>
      <c r="CB97" s="6">
        <f t="shared" ca="1" si="87"/>
        <v>0.96886116717572579</v>
      </c>
      <c r="CC97" s="6">
        <f t="shared" ca="1" si="88"/>
        <v>2.3777818449214263</v>
      </c>
      <c r="CD97" s="9">
        <f t="shared" si="89"/>
        <v>150.31802201861908</v>
      </c>
      <c r="CE97" s="9">
        <f t="shared" si="90"/>
        <v>394.37375797848728</v>
      </c>
      <c r="CF97" s="6">
        <f t="shared" si="91"/>
        <v>1.2066393516678684</v>
      </c>
      <c r="CG97" s="6"/>
      <c r="CH97" s="6"/>
      <c r="CI97" s="6"/>
      <c r="CJ97" s="1"/>
      <c r="CK97" s="6"/>
    </row>
    <row r="98" spans="1:89" x14ac:dyDescent="0.25">
      <c r="A98" s="6">
        <f t="shared" si="92"/>
        <v>-6</v>
      </c>
      <c r="B98" s="1">
        <f t="shared" si="93"/>
        <v>-12</v>
      </c>
      <c r="C98" s="1">
        <f t="shared" si="94"/>
        <v>48</v>
      </c>
      <c r="D98" s="6">
        <f t="shared" si="95"/>
        <v>-192</v>
      </c>
      <c r="E98" s="6">
        <f t="shared" si="96"/>
        <v>-128</v>
      </c>
      <c r="BC98">
        <v>1.6755160819145583</v>
      </c>
      <c r="BD98">
        <v>246.97724906705346</v>
      </c>
      <c r="BE98">
        <v>364.43295079493458</v>
      </c>
      <c r="BF98" s="6">
        <f t="shared" ref="BF98:BF129" si="97">IF(BC98&lt;&gt;"",IF(AND(BD98=0,BE98=0),0,MOD(ATAN2(BD98,BE98),2*PI())),NA())</f>
        <v>0.97519215592168584</v>
      </c>
      <c r="BG98" s="6">
        <f t="shared" ref="BG98:BG129" si="98">ABS(BC98-BF98)</f>
        <v>0.70032392599287241</v>
      </c>
      <c r="BH98" s="6">
        <f t="shared" si="80"/>
        <v>-1.2666489503995531</v>
      </c>
      <c r="BI98" s="6">
        <f t="shared" si="81"/>
        <v>1.2666489503995531</v>
      </c>
      <c r="BJ98">
        <v>274.41916563005941</v>
      </c>
      <c r="BK98">
        <v>404.92550088326061</v>
      </c>
      <c r="BV98" s="37"/>
      <c r="BW98" s="6">
        <f t="shared" si="82"/>
        <v>1.4486232791552951</v>
      </c>
      <c r="BX98" s="9">
        <f t="shared" ca="1" si="83"/>
        <v>91.622877184103089</v>
      </c>
      <c r="BY98" s="9">
        <f t="shared" ca="1" si="84"/>
        <v>349.13988647146323</v>
      </c>
      <c r="BZ98" s="9">
        <f t="shared" ca="1" si="85"/>
        <v>250.07653669494613</v>
      </c>
      <c r="CA98" s="6">
        <f t="shared" ca="1" si="86"/>
        <v>364.40555258768194</v>
      </c>
      <c r="CB98" s="6">
        <f t="shared" ca="1" si="87"/>
        <v>0.96935226357781634</v>
      </c>
      <c r="CC98" s="6">
        <f t="shared" ca="1" si="88"/>
        <v>2.3784864572376732</v>
      </c>
      <c r="CD98" s="9">
        <f t="shared" si="89"/>
        <v>150.07653669494613</v>
      </c>
      <c r="CE98" s="9">
        <f t="shared" si="90"/>
        <v>394.40555258768194</v>
      </c>
      <c r="CF98" s="6">
        <f t="shared" si="91"/>
        <v>1.2072009093015836</v>
      </c>
      <c r="CG98" s="6"/>
      <c r="CH98" s="6"/>
      <c r="CI98" s="6"/>
      <c r="CJ98" s="1"/>
      <c r="CK98" s="6"/>
    </row>
    <row r="99" spans="1:89" x14ac:dyDescent="0.25">
      <c r="C99" s="1">
        <f>SUM(C91:C98)</f>
        <v>576</v>
      </c>
      <c r="D99" s="6">
        <f>SUM(D91:D98)/C99</f>
        <v>-4</v>
      </c>
      <c r="E99" s="6">
        <f>SUM(E91:E98)/C99</f>
        <v>4</v>
      </c>
      <c r="BC99">
        <v>1.6929693744345016</v>
      </c>
      <c r="BD99">
        <v>246.73679663838723</v>
      </c>
      <c r="BE99">
        <v>364.40555258768211</v>
      </c>
      <c r="BF99" s="6">
        <f t="shared" si="97"/>
        <v>0.97560953048129917</v>
      </c>
      <c r="BG99" s="6">
        <f t="shared" si="98"/>
        <v>0.7173598439532024</v>
      </c>
      <c r="BH99" s="6">
        <f t="shared" si="80"/>
        <v>-1.2670663249591663</v>
      </c>
      <c r="BI99" s="6">
        <f t="shared" si="81"/>
        <v>1.2670663249591663</v>
      </c>
      <c r="BJ99">
        <v>274.1519962648747</v>
      </c>
      <c r="BK99">
        <v>404.8950584307579</v>
      </c>
      <c r="BV99" s="37"/>
      <c r="BW99" s="6">
        <f t="shared" si="82"/>
        <v>1.4660765716752384</v>
      </c>
      <c r="BX99" s="9">
        <f t="shared" ca="1" si="83"/>
        <v>91.382424755436801</v>
      </c>
      <c r="BY99" s="9">
        <f t="shared" ca="1" si="84"/>
        <v>349.16728467871565</v>
      </c>
      <c r="BZ99" s="9">
        <f t="shared" ca="1" si="85"/>
        <v>249.83608426627984</v>
      </c>
      <c r="CA99" s="6">
        <f t="shared" ca="1" si="86"/>
        <v>364.43295079493436</v>
      </c>
      <c r="CB99" s="6">
        <f t="shared" ca="1" si="87"/>
        <v>0.96983605130432171</v>
      </c>
      <c r="CC99" s="6">
        <f t="shared" ca="1" si="88"/>
        <v>2.3792057654088019</v>
      </c>
      <c r="CD99" s="9">
        <f t="shared" si="89"/>
        <v>149.83608426627984</v>
      </c>
      <c r="CE99" s="9">
        <f t="shared" si="90"/>
        <v>394.43295079493436</v>
      </c>
      <c r="CF99" s="6">
        <f t="shared" si="91"/>
        <v>1.2077566278452019</v>
      </c>
      <c r="CG99" s="6"/>
      <c r="CH99" s="6"/>
      <c r="CI99" s="6"/>
      <c r="CJ99" s="1"/>
      <c r="CK99" s="6"/>
    </row>
    <row r="100" spans="1:89" x14ac:dyDescent="0.25">
      <c r="A100" s="8" t="s">
        <v>124</v>
      </c>
      <c r="B100" s="1">
        <f>B31*C99*0.65</f>
        <v>1591.2</v>
      </c>
      <c r="C100" t="s">
        <v>68</v>
      </c>
      <c r="BC100">
        <v>1.7104226669544449</v>
      </c>
      <c r="BD100">
        <v>246.49531131471412</v>
      </c>
      <c r="BE100">
        <v>364.37375797848767</v>
      </c>
      <c r="BF100" s="6">
        <f t="shared" si="97"/>
        <v>0.97602354899678345</v>
      </c>
      <c r="BG100" s="6">
        <f t="shared" si="98"/>
        <v>0.73439911795766144</v>
      </c>
      <c r="BH100" s="6">
        <f t="shared" si="80"/>
        <v>-1.2674803434746507</v>
      </c>
      <c r="BI100" s="6">
        <f t="shared" si="81"/>
        <v>1.2674803434746507</v>
      </c>
      <c r="BJ100">
        <v>273.88367923857123</v>
      </c>
      <c r="BK100">
        <v>404.8597310872085</v>
      </c>
      <c r="BV100" s="37"/>
      <c r="BW100" s="6">
        <f t="shared" si="82"/>
        <v>1.4835298641951817</v>
      </c>
      <c r="BX100" s="9">
        <f t="shared" ca="1" si="83"/>
        <v>91.142852979776109</v>
      </c>
      <c r="BY100" s="9">
        <f t="shared" ca="1" si="84"/>
        <v>349.19035459008694</v>
      </c>
      <c r="BZ100" s="9">
        <f t="shared" ca="1" si="85"/>
        <v>249.59651249061915</v>
      </c>
      <c r="CA100" s="6">
        <f t="shared" ca="1" si="86"/>
        <v>364.45602070630565</v>
      </c>
      <c r="CB100" s="6">
        <f t="shared" ca="1" si="87"/>
        <v>0.97031290596604924</v>
      </c>
      <c r="CC100" s="6">
        <f t="shared" ca="1" si="88"/>
        <v>2.3799400796327506</v>
      </c>
      <c r="CD100" s="9">
        <f t="shared" si="89"/>
        <v>149.59651249061915</v>
      </c>
      <c r="CE100" s="9">
        <f t="shared" si="90"/>
        <v>394.45602070630565</v>
      </c>
      <c r="CF100" s="6">
        <f t="shared" si="91"/>
        <v>1.2083069139293243</v>
      </c>
      <c r="CG100" s="6"/>
      <c r="CH100" s="6"/>
      <c r="CI100" s="6"/>
      <c r="CJ100" s="1"/>
      <c r="CK100" s="6"/>
    </row>
    <row r="101" spans="1:89" x14ac:dyDescent="0.25">
      <c r="A101" s="8" t="s">
        <v>77</v>
      </c>
      <c r="B101" s="1">
        <f>B100*E99</f>
        <v>6364.8</v>
      </c>
      <c r="C101" t="s">
        <v>69</v>
      </c>
      <c r="BC101">
        <v>1.7278759594743882</v>
      </c>
      <c r="BD101">
        <v>246.2526382782529</v>
      </c>
      <c r="BE101">
        <v>364.33748742640421</v>
      </c>
      <c r="BF101" s="6">
        <f t="shared" si="97"/>
        <v>0.97643440993680941</v>
      </c>
      <c r="BG101" s="6">
        <f t="shared" si="98"/>
        <v>0.7514415495375788</v>
      </c>
      <c r="BH101" s="6">
        <f t="shared" si="80"/>
        <v>-1.2678912044146762</v>
      </c>
      <c r="BI101" s="6">
        <f t="shared" si="81"/>
        <v>1.2678912044146762</v>
      </c>
      <c r="BJ101">
        <v>273.6140425313921</v>
      </c>
      <c r="BK101">
        <v>404.81943047378246</v>
      </c>
      <c r="BV101" s="37"/>
      <c r="BW101" s="6">
        <f t="shared" si="82"/>
        <v>1.5009831567151251</v>
      </c>
      <c r="BX101" s="9">
        <f t="shared" ca="1" si="83"/>
        <v>90.904011798255254</v>
      </c>
      <c r="BY101" s="9">
        <f t="shared" ca="1" si="84"/>
        <v>349.20915323916228</v>
      </c>
      <c r="BZ101" s="9">
        <f t="shared" ca="1" si="85"/>
        <v>249.35767130909829</v>
      </c>
      <c r="CA101" s="6">
        <f t="shared" ca="1" si="86"/>
        <v>364.47481935538099</v>
      </c>
      <c r="CB101" s="6">
        <f t="shared" ca="1" si="87"/>
        <v>0.97078318518743889</v>
      </c>
      <c r="CC101" s="6">
        <f t="shared" ca="1" si="88"/>
        <v>2.3806897478065325</v>
      </c>
      <c r="CD101" s="9">
        <f t="shared" si="89"/>
        <v>149.35767130909829</v>
      </c>
      <c r="CE101" s="9">
        <f t="shared" si="90"/>
        <v>394.47481935538099</v>
      </c>
      <c r="CF101" s="6">
        <f t="shared" si="91"/>
        <v>1.2088521599680921</v>
      </c>
      <c r="CG101" s="6"/>
      <c r="CH101" s="6"/>
      <c r="CI101" s="6"/>
      <c r="CJ101" s="1"/>
      <c r="CK101" s="6"/>
    </row>
    <row r="102" spans="1:89" x14ac:dyDescent="0.25">
      <c r="A102" s="8" t="s">
        <v>125</v>
      </c>
      <c r="B102" s="1">
        <f>B100*D99*-1</f>
        <v>6364.8</v>
      </c>
      <c r="C102" t="s">
        <v>69</v>
      </c>
      <c r="J102" t="s">
        <v>127</v>
      </c>
      <c r="BC102">
        <v>1.7453292519943315</v>
      </c>
      <c r="BD102">
        <v>246.00861972903155</v>
      </c>
      <c r="BE102">
        <v>364.29664952872042</v>
      </c>
      <c r="BF102" s="6">
        <f t="shared" si="97"/>
        <v>0.97684230297784713</v>
      </c>
      <c r="BG102" s="6">
        <f t="shared" si="98"/>
        <v>0.7684869490164844</v>
      </c>
      <c r="BH102" s="6">
        <f t="shared" si="80"/>
        <v>-1.2682990974557138</v>
      </c>
      <c r="BI102" s="6">
        <f t="shared" si="81"/>
        <v>1.2682990974557138</v>
      </c>
      <c r="BJ102">
        <v>273.34291081003505</v>
      </c>
      <c r="BK102">
        <v>404.77405503191159</v>
      </c>
      <c r="BV102" s="37"/>
      <c r="BW102" s="6">
        <f t="shared" si="82"/>
        <v>1.5184364492350684</v>
      </c>
      <c r="BX102" s="9">
        <f t="shared" ca="1" si="83"/>
        <v>90.665752954073071</v>
      </c>
      <c r="BY102" s="9">
        <f t="shared" ca="1" si="84"/>
        <v>349.22372688831729</v>
      </c>
      <c r="BZ102" s="9">
        <f t="shared" ca="1" si="85"/>
        <v>249.11941246491611</v>
      </c>
      <c r="CA102" s="6">
        <f t="shared" ca="1" si="86"/>
        <v>364.489393004536</v>
      </c>
      <c r="CB102" s="6">
        <f t="shared" ca="1" si="87"/>
        <v>0.97124722974017053</v>
      </c>
      <c r="CC102" s="6">
        <f t="shared" ca="1" si="88"/>
        <v>2.381455156005817</v>
      </c>
      <c r="CD102" s="9">
        <f t="shared" si="89"/>
        <v>149.11941246491611</v>
      </c>
      <c r="CE102" s="9">
        <f t="shared" si="90"/>
        <v>394.489393004536</v>
      </c>
      <c r="CF102" s="6">
        <f t="shared" si="91"/>
        <v>1.2093927453407523</v>
      </c>
      <c r="CG102" s="6"/>
      <c r="CH102" s="6"/>
      <c r="CI102" s="6"/>
      <c r="CJ102" s="1"/>
      <c r="CK102" s="6"/>
    </row>
    <row r="103" spans="1:89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BC103">
        <v>1.7627825445142749</v>
      </c>
      <c r="BD103">
        <v>245.76309446239358</v>
      </c>
      <c r="BE103">
        <v>364.25114052562827</v>
      </c>
      <c r="BF103" s="6">
        <f t="shared" si="97"/>
        <v>0.97724740921491615</v>
      </c>
      <c r="BG103" s="6">
        <f t="shared" si="98"/>
        <v>0.7855351352993587</v>
      </c>
      <c r="BH103" s="6">
        <f t="shared" si="80"/>
        <v>-1.2687042036927834</v>
      </c>
      <c r="BI103" s="6">
        <f t="shared" si="81"/>
        <v>1.2687042036927834</v>
      </c>
      <c r="BJ103">
        <v>273.0701049582151</v>
      </c>
      <c r="BK103">
        <v>404.72348947292028</v>
      </c>
      <c r="BV103" s="37"/>
      <c r="BW103" s="6">
        <f t="shared" si="82"/>
        <v>1.5358897417550117</v>
      </c>
      <c r="BX103" s="9">
        <f t="shared" ca="1" si="83"/>
        <v>90.427929620911414</v>
      </c>
      <c r="BY103" s="9">
        <f t="shared" ca="1" si="84"/>
        <v>349.2341112715921</v>
      </c>
      <c r="BZ103" s="9">
        <f t="shared" ca="1" si="85"/>
        <v>248.88158913175445</v>
      </c>
      <c r="CA103" s="6">
        <f t="shared" ca="1" si="86"/>
        <v>364.49977738781081</v>
      </c>
      <c r="CB103" s="6">
        <f t="shared" ca="1" si="87"/>
        <v>0.97170536458338808</v>
      </c>
      <c r="CC103" s="6">
        <f t="shared" ca="1" si="88"/>
        <v>2.3822367291674675</v>
      </c>
      <c r="CD103" s="9">
        <f t="shared" si="89"/>
        <v>148.88158913175445</v>
      </c>
      <c r="CE103" s="9">
        <f t="shared" si="90"/>
        <v>394.49977738781081</v>
      </c>
      <c r="CF103" s="6">
        <f t="shared" si="91"/>
        <v>1.2099290375001348</v>
      </c>
      <c r="CG103" s="6"/>
      <c r="CH103" s="6"/>
      <c r="CI103" s="6"/>
      <c r="CJ103" s="1"/>
      <c r="CK103" s="6"/>
    </row>
    <row r="104" spans="1:89" x14ac:dyDescent="0.25">
      <c r="A104">
        <f t="shared" ref="A104:C113" si="99">A15</f>
        <v>1</v>
      </c>
      <c r="B104">
        <f t="shared" si="99"/>
        <v>8</v>
      </c>
      <c r="C104">
        <f t="shared" ca="1" si="99"/>
        <v>0.79</v>
      </c>
      <c r="D104" s="9">
        <f t="shared" ref="D104:D113" si="100">D15-$I$2</f>
        <v>-4</v>
      </c>
      <c r="E104" s="5">
        <f t="shared" ref="E104:E113" si="101">E15-$I$3</f>
        <v>-10</v>
      </c>
      <c r="F104" s="5">
        <f t="shared" ref="F104:F113" ca="1" si="102">($B$12-$B$31)*C104*0.65</f>
        <v>28.627625000000002</v>
      </c>
      <c r="G104">
        <f t="shared" ref="G104:G113" ca="1" si="103">E104*F104</f>
        <v>-286.27625</v>
      </c>
      <c r="H104">
        <f t="shared" ref="H104:H113" ca="1" si="104">D104*F104*-1</f>
        <v>114.51050000000001</v>
      </c>
      <c r="J104">
        <f t="shared" ref="J104:J113" ca="1" si="105">-1*C104*$B$12*0.9</f>
        <v>-42.660000000000004</v>
      </c>
      <c r="K104">
        <f t="shared" ref="K104:K113" ca="1" si="106">E104*J104</f>
        <v>426.6</v>
      </c>
      <c r="L104">
        <f t="shared" ref="L104:L113" ca="1" si="107">D104*J104*-1</f>
        <v>-170.64000000000001</v>
      </c>
      <c r="BC104">
        <v>1.7802358370342182</v>
      </c>
      <c r="BD104">
        <v>245.51589742795446</v>
      </c>
      <c r="BE104">
        <v>364.20084373179429</v>
      </c>
      <c r="BF104" s="6">
        <f t="shared" si="97"/>
        <v>0.97764990131738083</v>
      </c>
      <c r="BG104" s="6">
        <f t="shared" si="98"/>
        <v>0.80258593571683734</v>
      </c>
      <c r="BH104" s="6">
        <f t="shared" si="80"/>
        <v>-1.2691066957952482</v>
      </c>
      <c r="BI104" s="6">
        <f t="shared" si="81"/>
        <v>1.2691066957952482</v>
      </c>
      <c r="BJ104">
        <v>272.79544158661605</v>
      </c>
      <c r="BK104">
        <v>404.66760414643807</v>
      </c>
      <c r="BV104" s="37"/>
      <c r="BW104" s="6">
        <f t="shared" si="82"/>
        <v>1.553343034274955</v>
      </c>
      <c r="BX104" s="9">
        <f t="shared" ca="1" si="83"/>
        <v>90.190396038847439</v>
      </c>
      <c r="BY104" s="9">
        <f t="shared" ca="1" si="84"/>
        <v>349.24033178137398</v>
      </c>
      <c r="BZ104" s="9">
        <f t="shared" ca="1" si="85"/>
        <v>248.64405554969048</v>
      </c>
      <c r="CA104" s="6">
        <f t="shared" ca="1" si="86"/>
        <v>364.50599789759269</v>
      </c>
      <c r="CB104" s="6">
        <f t="shared" ca="1" si="87"/>
        <v>0.97215789981750333</v>
      </c>
      <c r="CC104" s="6">
        <f t="shared" ca="1" si="88"/>
        <v>2.383034931976713</v>
      </c>
      <c r="CD104" s="9">
        <f t="shared" si="89"/>
        <v>148.64405554969048</v>
      </c>
      <c r="CE104" s="9">
        <f t="shared" si="90"/>
        <v>394.50599789759269</v>
      </c>
      <c r="CF104" s="6">
        <f t="shared" si="91"/>
        <v>1.2104613930151746</v>
      </c>
      <c r="CG104" s="6"/>
      <c r="CH104" s="6"/>
      <c r="CI104" s="6"/>
      <c r="CJ104" s="1"/>
      <c r="CK104" s="6"/>
    </row>
    <row r="105" spans="1:89" x14ac:dyDescent="0.25">
      <c r="A105">
        <f t="shared" si="99"/>
        <v>2</v>
      </c>
      <c r="B105">
        <f t="shared" si="99"/>
        <v>8</v>
      </c>
      <c r="C105">
        <f t="shared" ca="1" si="99"/>
        <v>0.79</v>
      </c>
      <c r="D105" s="9">
        <f t="shared" si="100"/>
        <v>-4</v>
      </c>
      <c r="E105" s="5">
        <f t="shared" si="101"/>
        <v>-8</v>
      </c>
      <c r="F105" s="5">
        <f t="shared" ca="1" si="102"/>
        <v>28.627625000000002</v>
      </c>
      <c r="G105">
        <f t="shared" ca="1" si="103"/>
        <v>-229.02100000000002</v>
      </c>
      <c r="H105">
        <f t="shared" ca="1" si="104"/>
        <v>114.51050000000001</v>
      </c>
      <c r="J105">
        <f t="shared" ca="1" si="105"/>
        <v>-42.660000000000004</v>
      </c>
      <c r="K105">
        <f t="shared" ca="1" si="106"/>
        <v>341.28000000000003</v>
      </c>
      <c r="L105">
        <f t="shared" ca="1" si="107"/>
        <v>-170.64000000000001</v>
      </c>
      <c r="BC105">
        <v>1.7976891295541615</v>
      </c>
      <c r="BD105">
        <v>245.26685926735911</v>
      </c>
      <c r="BE105">
        <v>364.14562888939531</v>
      </c>
      <c r="BF105" s="6">
        <f t="shared" si="97"/>
        <v>0.97804994362817677</v>
      </c>
      <c r="BG105" s="6">
        <f t="shared" si="98"/>
        <v>0.81963918592598473</v>
      </c>
      <c r="BH105" s="6">
        <f t="shared" si="80"/>
        <v>-1.2695067381060439</v>
      </c>
      <c r="BI105" s="6">
        <f t="shared" si="81"/>
        <v>1.2695067381060439</v>
      </c>
      <c r="BJ105">
        <v>272.51873251928788</v>
      </c>
      <c r="BK105">
        <v>404.60625432155035</v>
      </c>
      <c r="BV105" s="37"/>
      <c r="BW105" s="6">
        <f t="shared" si="82"/>
        <v>1.5707963267948983</v>
      </c>
      <c r="BX105" s="9">
        <f t="shared" ca="1" si="83"/>
        <v>89.953007155823627</v>
      </c>
      <c r="BY105" s="9">
        <f t="shared" ca="1" si="84"/>
        <v>349.24240360055666</v>
      </c>
      <c r="BZ105" s="9">
        <f t="shared" ca="1" si="85"/>
        <v>248.40666666666667</v>
      </c>
      <c r="CA105" s="6">
        <f t="shared" ca="1" si="86"/>
        <v>364.50806971677537</v>
      </c>
      <c r="CB105" s="6">
        <f t="shared" ca="1" si="87"/>
        <v>0.97260513155772121</v>
      </c>
      <c r="CC105" s="6">
        <f t="shared" ca="1" si="88"/>
        <v>2.3838502699626387</v>
      </c>
      <c r="CD105" s="9">
        <f t="shared" si="89"/>
        <v>148.40666666666667</v>
      </c>
      <c r="CE105" s="9">
        <f t="shared" si="90"/>
        <v>394.50806971677537</v>
      </c>
      <c r="CF105" s="6">
        <f t="shared" si="91"/>
        <v>1.2109901585539851</v>
      </c>
      <c r="CG105" s="6"/>
      <c r="CH105" s="6"/>
      <c r="CI105" s="6"/>
      <c r="CJ105" s="1"/>
      <c r="CK105" s="6"/>
    </row>
    <row r="106" spans="1:89" x14ac:dyDescent="0.25">
      <c r="A106">
        <f t="shared" si="99"/>
        <v>3</v>
      </c>
      <c r="B106">
        <f t="shared" si="99"/>
        <v>8</v>
      </c>
      <c r="C106">
        <f t="shared" ca="1" si="99"/>
        <v>0.79</v>
      </c>
      <c r="D106" s="9">
        <f t="shared" si="100"/>
        <v>-2</v>
      </c>
      <c r="E106" s="5">
        <f t="shared" si="101"/>
        <v>-10</v>
      </c>
      <c r="F106" s="5">
        <f t="shared" ca="1" si="102"/>
        <v>28.627625000000002</v>
      </c>
      <c r="G106">
        <f t="shared" ca="1" si="103"/>
        <v>-286.27625</v>
      </c>
      <c r="H106">
        <f t="shared" ca="1" si="104"/>
        <v>57.255250000000004</v>
      </c>
      <c r="J106">
        <f t="shared" ca="1" si="105"/>
        <v>-42.660000000000004</v>
      </c>
      <c r="K106">
        <f t="shared" ca="1" si="106"/>
        <v>426.6</v>
      </c>
      <c r="L106">
        <f t="shared" ca="1" si="107"/>
        <v>-85.320000000000007</v>
      </c>
      <c r="BC106">
        <v>1.8151424220741048</v>
      </c>
      <c r="BD106">
        <v>245.01580582799932</v>
      </c>
      <c r="BE106">
        <v>364.08535143636357</v>
      </c>
      <c r="BF106" s="6">
        <f t="shared" si="97"/>
        <v>0.97844769220419425</v>
      </c>
      <c r="BG106" s="6">
        <f t="shared" si="98"/>
        <v>0.83669472986991056</v>
      </c>
      <c r="BH106" s="6">
        <f t="shared" si="80"/>
        <v>-1.2699044866820615</v>
      </c>
      <c r="BI106" s="6">
        <f t="shared" si="81"/>
        <v>1.2699044866820615</v>
      </c>
      <c r="BJ106">
        <v>272.23978425333257</v>
      </c>
      <c r="BK106">
        <v>404.53927937373726</v>
      </c>
      <c r="BV106" s="37"/>
      <c r="BW106" s="6">
        <f t="shared" si="82"/>
        <v>1.5882496193148417</v>
      </c>
      <c r="BX106" s="9">
        <f t="shared" ca="1" si="83"/>
        <v>89.715618272799844</v>
      </c>
      <c r="BY106" s="9">
        <f t="shared" ca="1" si="84"/>
        <v>349.2403317813737</v>
      </c>
      <c r="BZ106" s="9">
        <f t="shared" ca="1" si="85"/>
        <v>248.16927778364288</v>
      </c>
      <c r="CA106" s="6">
        <f t="shared" ca="1" si="86"/>
        <v>364.50599789759241</v>
      </c>
      <c r="CB106" s="6">
        <f t="shared" ca="1" si="87"/>
        <v>0.97304734273268878</v>
      </c>
      <c r="CC106" s="6">
        <f t="shared" ca="1" si="88"/>
        <v>2.3846832908073536</v>
      </c>
      <c r="CD106" s="9">
        <f t="shared" si="89"/>
        <v>148.16927778364288</v>
      </c>
      <c r="CE106" s="9">
        <f t="shared" si="90"/>
        <v>394.50599789759241</v>
      </c>
      <c r="CF106" s="6">
        <f t="shared" si="91"/>
        <v>1.2115156718134241</v>
      </c>
      <c r="CG106" s="6"/>
      <c r="CH106" s="6"/>
      <c r="CI106" s="6"/>
      <c r="CJ106" s="1"/>
      <c r="CK106" s="6"/>
    </row>
    <row r="107" spans="1:89" x14ac:dyDescent="0.25">
      <c r="A107">
        <f t="shared" si="99"/>
        <v>4</v>
      </c>
      <c r="B107">
        <f t="shared" si="99"/>
        <v>8</v>
      </c>
      <c r="C107">
        <f t="shared" ca="1" si="99"/>
        <v>0.79</v>
      </c>
      <c r="D107" s="9">
        <f t="shared" si="100"/>
        <v>-2</v>
      </c>
      <c r="E107" s="5">
        <f t="shared" si="101"/>
        <v>-8</v>
      </c>
      <c r="F107" s="5">
        <f t="shared" ca="1" si="102"/>
        <v>28.627625000000002</v>
      </c>
      <c r="G107">
        <f t="shared" ca="1" si="103"/>
        <v>-229.02100000000002</v>
      </c>
      <c r="H107">
        <f t="shared" ca="1" si="104"/>
        <v>57.255250000000004</v>
      </c>
      <c r="J107">
        <f t="shared" ca="1" si="105"/>
        <v>-42.660000000000004</v>
      </c>
      <c r="K107">
        <f t="shared" ca="1" si="106"/>
        <v>341.28000000000003</v>
      </c>
      <c r="L107">
        <f t="shared" ca="1" si="107"/>
        <v>-85.320000000000007</v>
      </c>
      <c r="BC107">
        <v>1.8325957145940481</v>
      </c>
      <c r="BD107">
        <v>244.76255764960348</v>
      </c>
      <c r="BE107">
        <v>364.01985168264918</v>
      </c>
      <c r="BF107" s="6">
        <f t="shared" si="97"/>
        <v>0.97884329479482723</v>
      </c>
      <c r="BG107" s="6">
        <f t="shared" si="98"/>
        <v>0.8537524197992209</v>
      </c>
      <c r="BH107" s="6">
        <f t="shared" si="80"/>
        <v>-1.2703000892726941</v>
      </c>
      <c r="BI107" s="6">
        <f t="shared" si="81"/>
        <v>1.2703000892726941</v>
      </c>
      <c r="BJ107">
        <v>271.9583973884483</v>
      </c>
      <c r="BK107">
        <v>404.46650186961017</v>
      </c>
      <c r="BV107" s="37"/>
      <c r="BW107" s="6">
        <f t="shared" si="82"/>
        <v>1.605702911834785</v>
      </c>
      <c r="BX107" s="9">
        <f t="shared" ca="1" si="83"/>
        <v>89.478084690735926</v>
      </c>
      <c r="BY107" s="9">
        <f t="shared" ca="1" si="84"/>
        <v>349.23411127159227</v>
      </c>
      <c r="BZ107" s="9">
        <f t="shared" ca="1" si="85"/>
        <v>247.93174420157897</v>
      </c>
      <c r="CA107" s="6">
        <f t="shared" ca="1" si="86"/>
        <v>364.49977738781098</v>
      </c>
      <c r="CB107" s="6">
        <f t="shared" ca="1" si="87"/>
        <v>0.973484803812949</v>
      </c>
      <c r="CC107" s="6">
        <f t="shared" ca="1" si="88"/>
        <v>2.3855345858763135</v>
      </c>
      <c r="CD107" s="9">
        <f t="shared" si="89"/>
        <v>147.93174420157897</v>
      </c>
      <c r="CE107" s="9">
        <f t="shared" si="90"/>
        <v>394.49977738781098</v>
      </c>
      <c r="CF107" s="6">
        <f t="shared" si="91"/>
        <v>1.2120382624005803</v>
      </c>
      <c r="CG107" s="6"/>
      <c r="CH107" s="6"/>
      <c r="CI107" s="6"/>
      <c r="CJ107" s="1"/>
      <c r="CK107" s="6"/>
    </row>
    <row r="108" spans="1:89" x14ac:dyDescent="0.25">
      <c r="A108">
        <f t="shared" si="99"/>
        <v>5</v>
      </c>
      <c r="B108">
        <f t="shared" si="99"/>
        <v>0</v>
      </c>
      <c r="C108">
        <f t="shared" ca="1" si="99"/>
        <v>0</v>
      </c>
      <c r="D108" s="9">
        <f t="shared" si="100"/>
        <v>-3.5</v>
      </c>
      <c r="E108" s="5">
        <f t="shared" si="101"/>
        <v>0.5</v>
      </c>
      <c r="F108" s="5">
        <f t="shared" ca="1" si="102"/>
        <v>0</v>
      </c>
      <c r="G108">
        <f t="shared" ca="1" si="103"/>
        <v>0</v>
      </c>
      <c r="H108">
        <f t="shared" ca="1" si="104"/>
        <v>0</v>
      </c>
      <c r="J108">
        <f t="shared" ca="1" si="105"/>
        <v>0</v>
      </c>
      <c r="K108">
        <f t="shared" ca="1" si="106"/>
        <v>0</v>
      </c>
      <c r="L108">
        <f t="shared" ca="1" si="107"/>
        <v>0</v>
      </c>
      <c r="BC108">
        <v>1.8500490071139915</v>
      </c>
      <c r="BD108">
        <v>244.50692942034681</v>
      </c>
      <c r="BE108">
        <v>363.94895388624843</v>
      </c>
      <c r="BF108" s="6">
        <f t="shared" si="97"/>
        <v>0.97923689075486731</v>
      </c>
      <c r="BG108" s="6">
        <f t="shared" si="98"/>
        <v>0.87081211635912414</v>
      </c>
      <c r="BH108" s="6">
        <f t="shared" si="80"/>
        <v>-1.2706936852327344</v>
      </c>
      <c r="BI108" s="6">
        <f t="shared" si="81"/>
        <v>1.2706936852327344</v>
      </c>
      <c r="BJ108">
        <v>271.67436602260756</v>
      </c>
      <c r="BK108">
        <v>404.38772654027605</v>
      </c>
      <c r="BV108" s="37"/>
      <c r="BW108" s="6">
        <f t="shared" si="82"/>
        <v>1.6231562043547283</v>
      </c>
      <c r="BX108" s="9">
        <f t="shared" ca="1" si="83"/>
        <v>89.240261357574212</v>
      </c>
      <c r="BY108" s="9">
        <f t="shared" ca="1" si="84"/>
        <v>349.22372688831706</v>
      </c>
      <c r="BZ108" s="9">
        <f t="shared" ca="1" si="85"/>
        <v>247.69392086841725</v>
      </c>
      <c r="CA108" s="6">
        <f t="shared" ca="1" si="86"/>
        <v>364.48939300453577</v>
      </c>
      <c r="CB108" s="6">
        <f t="shared" ca="1" si="87"/>
        <v>0.97391777347327113</v>
      </c>
      <c r="CC108" s="6">
        <f t="shared" ca="1" si="88"/>
        <v>2.3864047919791065</v>
      </c>
      <c r="CD108" s="9">
        <f t="shared" si="89"/>
        <v>147.69392086841725</v>
      </c>
      <c r="CE108" s="9">
        <f t="shared" si="90"/>
        <v>394.48939300453577</v>
      </c>
      <c r="CF108" s="6">
        <f t="shared" si="91"/>
        <v>1.2125582526711818</v>
      </c>
      <c r="CG108" s="6"/>
      <c r="CH108" s="6"/>
      <c r="CI108" s="6"/>
      <c r="CJ108" s="1"/>
      <c r="CK108" s="6"/>
    </row>
    <row r="109" spans="1:89" x14ac:dyDescent="0.25">
      <c r="A109">
        <f t="shared" si="99"/>
        <v>6</v>
      </c>
      <c r="B109">
        <f t="shared" si="99"/>
        <v>0</v>
      </c>
      <c r="C109">
        <f t="shared" ca="1" si="99"/>
        <v>0</v>
      </c>
      <c r="D109" s="9">
        <f t="shared" si="100"/>
        <v>-3.5</v>
      </c>
      <c r="E109" s="5">
        <f t="shared" si="101"/>
        <v>5.5</v>
      </c>
      <c r="F109" s="5">
        <f t="shared" ca="1" si="102"/>
        <v>0</v>
      </c>
      <c r="G109">
        <f t="shared" ca="1" si="103"/>
        <v>0</v>
      </c>
      <c r="H109">
        <f t="shared" ca="1" si="104"/>
        <v>0</v>
      </c>
      <c r="J109">
        <f t="shared" ca="1" si="105"/>
        <v>0</v>
      </c>
      <c r="K109">
        <f t="shared" ca="1" si="106"/>
        <v>0</v>
      </c>
      <c r="L109">
        <f t="shared" ca="1" si="107"/>
        <v>0</v>
      </c>
      <c r="BC109">
        <v>1.8675022996339348</v>
      </c>
      <c r="BD109">
        <v>244.2487293988288</v>
      </c>
      <c r="BE109">
        <v>363.87246521959679</v>
      </c>
      <c r="BF109" s="6">
        <f t="shared" si="97"/>
        <v>0.97962861088703701</v>
      </c>
      <c r="BG109" s="6">
        <f t="shared" si="98"/>
        <v>0.88787368874689776</v>
      </c>
      <c r="BH109" s="6">
        <f t="shared" si="80"/>
        <v>-1.2710854053649039</v>
      </c>
      <c r="BI109" s="6">
        <f t="shared" si="81"/>
        <v>1.2710854053649039</v>
      </c>
      <c r="BJ109">
        <v>271.38747710980977</v>
      </c>
      <c r="BK109">
        <v>404.30273913288534</v>
      </c>
      <c r="BV109" s="37"/>
      <c r="BW109" s="6">
        <f t="shared" si="82"/>
        <v>1.6406094968746716</v>
      </c>
      <c r="BX109" s="9">
        <f t="shared" ca="1" si="83"/>
        <v>89.002002513391801</v>
      </c>
      <c r="BY109" s="9">
        <f t="shared" ca="1" si="84"/>
        <v>349.20915323916239</v>
      </c>
      <c r="BZ109" s="9">
        <f t="shared" ca="1" si="85"/>
        <v>247.45566202423484</v>
      </c>
      <c r="CA109" s="6">
        <f t="shared" ca="1" si="86"/>
        <v>364.4748193553811</v>
      </c>
      <c r="CB109" s="6">
        <f t="shared" ca="1" si="87"/>
        <v>0.974346499192289</v>
      </c>
      <c r="CC109" s="6">
        <f t="shared" ca="1" si="88"/>
        <v>2.3872945933722383</v>
      </c>
      <c r="CD109" s="9">
        <f t="shared" si="89"/>
        <v>147.45566202423484</v>
      </c>
      <c r="CE109" s="9">
        <f t="shared" si="90"/>
        <v>394.4748193553811</v>
      </c>
      <c r="CF109" s="6">
        <f t="shared" si="91"/>
        <v>1.2130759585295128</v>
      </c>
      <c r="CG109" s="6"/>
      <c r="CH109" s="6"/>
      <c r="CI109" s="6"/>
      <c r="CJ109" s="1"/>
      <c r="CK109" s="6"/>
    </row>
    <row r="110" spans="1:89" x14ac:dyDescent="0.25">
      <c r="A110">
        <f t="shared" si="99"/>
        <v>7</v>
      </c>
      <c r="B110">
        <f t="shared" si="99"/>
        <v>0</v>
      </c>
      <c r="C110">
        <f t="shared" ca="1" si="99"/>
        <v>0</v>
      </c>
      <c r="D110" s="9">
        <f t="shared" si="100"/>
        <v>2</v>
      </c>
      <c r="E110" s="5">
        <f t="shared" si="101"/>
        <v>5.5</v>
      </c>
      <c r="F110" s="5">
        <f t="shared" ca="1" si="102"/>
        <v>0</v>
      </c>
      <c r="G110">
        <f t="shared" ca="1" si="103"/>
        <v>0</v>
      </c>
      <c r="H110">
        <f t="shared" ca="1" si="104"/>
        <v>0</v>
      </c>
      <c r="J110">
        <f t="shared" ca="1" si="105"/>
        <v>0</v>
      </c>
      <c r="K110">
        <f t="shared" ca="1" si="106"/>
        <v>0</v>
      </c>
      <c r="L110">
        <f t="shared" ca="1" si="107"/>
        <v>0</v>
      </c>
      <c r="BC110">
        <v>1.8849555921538781</v>
      </c>
      <c r="BD110">
        <v>243.9877587978992</v>
      </c>
      <c r="BE110">
        <v>363.79017461557493</v>
      </c>
      <c r="BF110" s="6">
        <f t="shared" si="97"/>
        <v>0.98001857720844809</v>
      </c>
      <c r="BG110" s="6">
        <f t="shared" si="98"/>
        <v>0.90493701494543</v>
      </c>
      <c r="BH110" s="6">
        <f t="shared" si="80"/>
        <v>-1.2714753716863154</v>
      </c>
      <c r="BI110" s="6">
        <f t="shared" si="81"/>
        <v>1.2714753716863154</v>
      </c>
      <c r="BJ110">
        <v>271.09750977544354</v>
      </c>
      <c r="BK110">
        <v>404.2113051284166</v>
      </c>
      <c r="BV110" s="37"/>
      <c r="BW110" s="6">
        <f t="shared" si="82"/>
        <v>1.6580627893946149</v>
      </c>
      <c r="BX110" s="9">
        <f t="shared" ca="1" si="83"/>
        <v>88.763161331871004</v>
      </c>
      <c r="BY110" s="9">
        <f t="shared" ca="1" si="84"/>
        <v>349.1903545900874</v>
      </c>
      <c r="BZ110" s="9">
        <f t="shared" ca="1" si="85"/>
        <v>247.21682084271404</v>
      </c>
      <c r="CA110" s="6">
        <f t="shared" ca="1" si="86"/>
        <v>364.45602070630611</v>
      </c>
      <c r="CB110" s="6">
        <f t="shared" ca="1" si="87"/>
        <v>0.9747712177923209</v>
      </c>
      <c r="CC110" s="6">
        <f t="shared" ca="1" si="88"/>
        <v>2.3882047240175952</v>
      </c>
      <c r="CD110" s="9">
        <f t="shared" si="89"/>
        <v>147.21682084271404</v>
      </c>
      <c r="CE110" s="9">
        <f t="shared" si="90"/>
        <v>394.45602070630611</v>
      </c>
      <c r="CF110" s="6">
        <f t="shared" si="91"/>
        <v>1.2135916901940804</v>
      </c>
      <c r="CG110" s="6"/>
      <c r="CH110" s="6"/>
      <c r="CI110" s="6"/>
      <c r="CJ110" s="1"/>
      <c r="CK110" s="6"/>
    </row>
    <row r="111" spans="1:89" x14ac:dyDescent="0.25">
      <c r="A111">
        <f t="shared" si="99"/>
        <v>8</v>
      </c>
      <c r="B111">
        <f t="shared" si="99"/>
        <v>0</v>
      </c>
      <c r="C111">
        <f t="shared" ca="1" si="99"/>
        <v>0</v>
      </c>
      <c r="D111" s="9">
        <f t="shared" si="100"/>
        <v>7.5</v>
      </c>
      <c r="E111" s="5">
        <f t="shared" si="101"/>
        <v>-4.5</v>
      </c>
      <c r="F111" s="5">
        <f t="shared" ca="1" si="102"/>
        <v>0</v>
      </c>
      <c r="G111">
        <f t="shared" ca="1" si="103"/>
        <v>0</v>
      </c>
      <c r="H111">
        <f t="shared" ca="1" si="104"/>
        <v>0</v>
      </c>
      <c r="J111">
        <f t="shared" ca="1" si="105"/>
        <v>0</v>
      </c>
      <c r="K111">
        <f t="shared" ca="1" si="106"/>
        <v>0</v>
      </c>
      <c r="L111">
        <f t="shared" ca="1" si="107"/>
        <v>0</v>
      </c>
      <c r="BC111">
        <v>1.9024088846738214</v>
      </c>
      <c r="BD111">
        <v>240.72655447807236</v>
      </c>
      <c r="BE111">
        <v>359.35721854912435</v>
      </c>
      <c r="BF111" s="6">
        <f t="shared" si="97"/>
        <v>0.98057175107232819</v>
      </c>
      <c r="BG111" s="6">
        <f t="shared" si="98"/>
        <v>0.92183713360149322</v>
      </c>
      <c r="BH111" s="6">
        <f t="shared" si="80"/>
        <v>-1.2720285455501952</v>
      </c>
      <c r="BI111" s="6">
        <f t="shared" si="81"/>
        <v>1.2720285455501952</v>
      </c>
      <c r="BJ111">
        <v>270.89909022709162</v>
      </c>
      <c r="BK111">
        <v>404.39885737808555</v>
      </c>
      <c r="BV111" s="37"/>
      <c r="BW111" s="6">
        <f t="shared" si="82"/>
        <v>1.6755160819145583</v>
      </c>
      <c r="BX111" s="9">
        <f t="shared" ca="1" si="83"/>
        <v>88.523589556210425</v>
      </c>
      <c r="BY111" s="9">
        <f t="shared" ca="1" si="84"/>
        <v>349.16728467871587</v>
      </c>
      <c r="BZ111" s="9">
        <f t="shared" ca="1" si="85"/>
        <v>246.97724906705346</v>
      </c>
      <c r="CA111" s="6">
        <f t="shared" ca="1" si="86"/>
        <v>364.43295079493458</v>
      </c>
      <c r="CB111" s="6">
        <f t="shared" ca="1" si="87"/>
        <v>0.97519215592168584</v>
      </c>
      <c r="CC111" s="6">
        <f t="shared" ca="1" si="88"/>
        <v>2.3891359701127408</v>
      </c>
      <c r="CD111" s="9">
        <f t="shared" si="89"/>
        <v>146.97724906705346</v>
      </c>
      <c r="CE111" s="9">
        <f t="shared" si="90"/>
        <v>394.43295079493458</v>
      </c>
      <c r="CF111" s="6">
        <f t="shared" si="91"/>
        <v>1.21410575293296</v>
      </c>
      <c r="CG111" s="6"/>
      <c r="CH111" s="6"/>
      <c r="CI111" s="6"/>
      <c r="CJ111" s="1"/>
      <c r="CK111" s="6"/>
    </row>
    <row r="112" spans="1:89" x14ac:dyDescent="0.25">
      <c r="A112">
        <f t="shared" si="99"/>
        <v>9</v>
      </c>
      <c r="B112">
        <f t="shared" si="99"/>
        <v>0</v>
      </c>
      <c r="C112">
        <f t="shared" ca="1" si="99"/>
        <v>0</v>
      </c>
      <c r="D112" s="9">
        <f t="shared" si="100"/>
        <v>7.5</v>
      </c>
      <c r="E112" s="5">
        <f t="shared" si="101"/>
        <v>0.5</v>
      </c>
      <c r="F112" s="5">
        <f t="shared" ca="1" si="102"/>
        <v>0</v>
      </c>
      <c r="G112">
        <f t="shared" ca="1" si="103"/>
        <v>0</v>
      </c>
      <c r="H112">
        <f t="shared" ca="1" si="104"/>
        <v>0</v>
      </c>
      <c r="J112">
        <f t="shared" ca="1" si="105"/>
        <v>0</v>
      </c>
      <c r="K112">
        <f t="shared" ca="1" si="106"/>
        <v>0</v>
      </c>
      <c r="L112">
        <f t="shared" ca="1" si="107"/>
        <v>0</v>
      </c>
      <c r="BC112">
        <v>1.9198621771937647</v>
      </c>
      <c r="BD112">
        <v>236.81857203887915</v>
      </c>
      <c r="BE112">
        <v>353.97681230821723</v>
      </c>
      <c r="BF112" s="6">
        <f t="shared" si="97"/>
        <v>0.98116430014880163</v>
      </c>
      <c r="BG112" s="6">
        <f t="shared" si="98"/>
        <v>0.9386978770449631</v>
      </c>
      <c r="BH112" s="6">
        <f t="shared" si="80"/>
        <v>-1.2726210946266685</v>
      </c>
      <c r="BI112" s="6">
        <f t="shared" si="81"/>
        <v>1.2726210946266685</v>
      </c>
      <c r="BJ112">
        <v>270.7210590734594</v>
      </c>
      <c r="BK112">
        <v>404.65144557917199</v>
      </c>
      <c r="BV112" s="37"/>
      <c r="BW112" s="6">
        <f t="shared" si="82"/>
        <v>1.6929693744345016</v>
      </c>
      <c r="BX112" s="9">
        <f t="shared" ca="1" si="83"/>
        <v>88.283137127544194</v>
      </c>
      <c r="BY112" s="9">
        <f t="shared" ca="1" si="84"/>
        <v>349.1398864714634</v>
      </c>
      <c r="BZ112" s="9">
        <f t="shared" ca="1" si="85"/>
        <v>246.73679663838723</v>
      </c>
      <c r="CA112" s="6">
        <f t="shared" ca="1" si="86"/>
        <v>364.40555258768211</v>
      </c>
      <c r="CB112" s="6">
        <f t="shared" ca="1" si="87"/>
        <v>0.97560953048129917</v>
      </c>
      <c r="CC112" s="6">
        <f t="shared" ca="1" si="88"/>
        <v>2.3900891729116438</v>
      </c>
      <c r="CD112" s="9">
        <f t="shared" si="89"/>
        <v>146.73679663838723</v>
      </c>
      <c r="CE112" s="9">
        <f t="shared" si="90"/>
        <v>394.40555258768211</v>
      </c>
      <c r="CF112" s="6">
        <f t="shared" si="91"/>
        <v>1.2146184477724635</v>
      </c>
      <c r="CG112" s="6"/>
      <c r="CH112" s="6"/>
      <c r="CI112" s="6"/>
      <c r="CJ112" s="1"/>
      <c r="CK112" s="6"/>
    </row>
    <row r="113" spans="1:89" x14ac:dyDescent="0.25">
      <c r="A113">
        <f t="shared" si="99"/>
        <v>10</v>
      </c>
      <c r="B113">
        <f t="shared" si="99"/>
        <v>0</v>
      </c>
      <c r="C113">
        <f t="shared" ca="1" si="99"/>
        <v>0</v>
      </c>
      <c r="D113" s="9">
        <f t="shared" si="100"/>
        <v>7.5</v>
      </c>
      <c r="E113" s="5">
        <f t="shared" si="101"/>
        <v>5.5</v>
      </c>
      <c r="F113" s="5">
        <f t="shared" ca="1" si="102"/>
        <v>0</v>
      </c>
      <c r="G113">
        <f t="shared" ca="1" si="103"/>
        <v>0</v>
      </c>
      <c r="H113">
        <f t="shared" ca="1" si="104"/>
        <v>0</v>
      </c>
      <c r="J113">
        <f t="shared" ca="1" si="105"/>
        <v>0</v>
      </c>
      <c r="K113">
        <f t="shared" ca="1" si="106"/>
        <v>0</v>
      </c>
      <c r="L113">
        <f t="shared" ca="1" si="107"/>
        <v>0</v>
      </c>
      <c r="BC113">
        <v>1.937315469713708</v>
      </c>
      <c r="BD113">
        <v>232.95138479501173</v>
      </c>
      <c r="BE113">
        <v>348.64501632461696</v>
      </c>
      <c r="BF113" s="6">
        <f t="shared" si="97"/>
        <v>0.98175914059663927</v>
      </c>
      <c r="BG113" s="6">
        <f t="shared" si="98"/>
        <v>0.95555632911706878</v>
      </c>
      <c r="BH113" s="6">
        <f t="shared" si="80"/>
        <v>-1.2732159350745065</v>
      </c>
      <c r="BI113" s="6">
        <f t="shared" si="81"/>
        <v>1.2732159350745065</v>
      </c>
      <c r="BJ113">
        <v>270.54182820849053</v>
      </c>
      <c r="BK113">
        <v>404.90448337639879</v>
      </c>
      <c r="BV113" s="37"/>
      <c r="BW113" s="6">
        <f t="shared" si="82"/>
        <v>1.7104226669544449</v>
      </c>
      <c r="BX113" s="9">
        <f t="shared" ca="1" si="83"/>
        <v>88.041651803871076</v>
      </c>
      <c r="BY113" s="9">
        <f t="shared" ca="1" si="84"/>
        <v>349.10809186226896</v>
      </c>
      <c r="BZ113" s="9">
        <f t="shared" ca="1" si="85"/>
        <v>246.49531131471412</v>
      </c>
      <c r="CA113" s="6">
        <f t="shared" ca="1" si="86"/>
        <v>364.37375797848767</v>
      </c>
      <c r="CB113" s="6">
        <f t="shared" ca="1" si="87"/>
        <v>0.97602354899678345</v>
      </c>
      <c r="CC113" s="6">
        <f t="shared" ca="1" si="88"/>
        <v>2.3910652318574432</v>
      </c>
      <c r="CD113" s="9">
        <f t="shared" si="89"/>
        <v>146.49531131471412</v>
      </c>
      <c r="CE113" s="9">
        <f t="shared" si="90"/>
        <v>394.37375797848767</v>
      </c>
      <c r="CF113" s="6">
        <f t="shared" si="91"/>
        <v>1.2151300721825278</v>
      </c>
      <c r="CG113" s="6"/>
      <c r="CH113" s="6"/>
      <c r="CI113" s="6"/>
      <c r="CJ113" s="1"/>
      <c r="CK113" s="6"/>
    </row>
    <row r="114" spans="1:89" x14ac:dyDescent="0.25">
      <c r="F114" s="5">
        <f ca="1">SUM(F104:F113)</f>
        <v>114.51050000000001</v>
      </c>
      <c r="G114" s="5">
        <f ca="1">SUM(G104:G113)</f>
        <v>-1030.5945000000002</v>
      </c>
      <c r="H114" s="5">
        <f ca="1">SUM(H104:H113)</f>
        <v>343.53149999999999</v>
      </c>
      <c r="J114">
        <f ca="1">SUM(J104:J113)</f>
        <v>-170.64000000000001</v>
      </c>
      <c r="K114">
        <f ca="1">SUM(K104:K113)</f>
        <v>1535.76</v>
      </c>
      <c r="L114">
        <f ca="1">SUM(L104:L113)</f>
        <v>-511.92</v>
      </c>
      <c r="BC114">
        <v>1.9547687622336514</v>
      </c>
      <c r="BD114">
        <v>229.12213640723846</v>
      </c>
      <c r="BE114">
        <v>343.35792314240882</v>
      </c>
      <c r="BF114" s="6">
        <f t="shared" si="97"/>
        <v>0.98235661042802602</v>
      </c>
      <c r="BG114" s="6">
        <f t="shared" si="98"/>
        <v>0.97241215180562535</v>
      </c>
      <c r="BH114" s="6">
        <f t="shared" si="80"/>
        <v>-1.2738134049058927</v>
      </c>
      <c r="BI114" s="6">
        <f t="shared" si="81"/>
        <v>1.2738134049058927</v>
      </c>
      <c r="BJ114">
        <v>270.36129937791156</v>
      </c>
      <c r="BK114">
        <v>405.15812093985875</v>
      </c>
      <c r="BV114" s="37"/>
      <c r="BW114" s="6">
        <f t="shared" si="82"/>
        <v>1.7278759594743882</v>
      </c>
      <c r="BX114" s="9">
        <f t="shared" ca="1" si="83"/>
        <v>87.798978767409864</v>
      </c>
      <c r="BY114" s="9">
        <f t="shared" ca="1" si="84"/>
        <v>349.0718213101855</v>
      </c>
      <c r="BZ114" s="9">
        <f t="shared" ca="1" si="85"/>
        <v>246.2526382782529</v>
      </c>
      <c r="CA114" s="6">
        <f t="shared" ca="1" si="86"/>
        <v>364.33748742640421</v>
      </c>
      <c r="CB114" s="6">
        <f t="shared" ca="1" si="87"/>
        <v>0.97643440993680941</v>
      </c>
      <c r="CC114" s="6">
        <f t="shared" ca="1" si="88"/>
        <v>2.3920651080518374</v>
      </c>
      <c r="CD114" s="9">
        <f t="shared" si="89"/>
        <v>146.2526382782529</v>
      </c>
      <c r="CE114" s="9">
        <f t="shared" si="90"/>
        <v>394.33748742640421</v>
      </c>
      <c r="CF114" s="6">
        <f t="shared" si="91"/>
        <v>1.2156409207419931</v>
      </c>
      <c r="CG114" s="6"/>
      <c r="CH114" s="6"/>
      <c r="CI114" s="6"/>
      <c r="CJ114" s="1"/>
      <c r="CK114" s="6"/>
    </row>
    <row r="115" spans="1:89" x14ac:dyDescent="0.25">
      <c r="A115" s="8" t="s">
        <v>99</v>
      </c>
      <c r="B115" s="5">
        <f ca="1">B100+F114</f>
        <v>1705.7105000000001</v>
      </c>
      <c r="J115">
        <f ca="1">J114</f>
        <v>-170.64000000000001</v>
      </c>
      <c r="BC115">
        <v>1.9722220547535947</v>
      </c>
      <c r="BD115">
        <v>225.32807324046931</v>
      </c>
      <c r="BE115">
        <v>338.11174767807574</v>
      </c>
      <c r="BF115" s="6">
        <f t="shared" si="97"/>
        <v>0.98295705228416053</v>
      </c>
      <c r="BG115" s="6">
        <f t="shared" si="98"/>
        <v>0.98926500246943416</v>
      </c>
      <c r="BH115" s="6">
        <f t="shared" si="80"/>
        <v>-1.2744138467620278</v>
      </c>
      <c r="BI115" s="6">
        <f t="shared" si="81"/>
        <v>1.2744138467620278</v>
      </c>
      <c r="BJ115">
        <v>270.17937306511709</v>
      </c>
      <c r="BK115">
        <v>405.41251118818337</v>
      </c>
      <c r="BV115" s="37"/>
      <c r="BW115" s="6">
        <f t="shared" si="82"/>
        <v>1.7453292519943315</v>
      </c>
      <c r="BX115" s="9">
        <f t="shared" ca="1" si="83"/>
        <v>87.554960218188512</v>
      </c>
      <c r="BY115" s="9">
        <f t="shared" ca="1" si="84"/>
        <v>349.03098341250171</v>
      </c>
      <c r="BZ115" s="9">
        <f t="shared" ca="1" si="85"/>
        <v>246.00861972903155</v>
      </c>
      <c r="CA115" s="6">
        <f t="shared" ca="1" si="86"/>
        <v>364.29664952872042</v>
      </c>
      <c r="CB115" s="6">
        <f t="shared" ca="1" si="87"/>
        <v>0.97684230297784713</v>
      </c>
      <c r="CC115" s="6">
        <f t="shared" ca="1" si="88"/>
        <v>2.3930898280890824</v>
      </c>
      <c r="CD115" s="9">
        <f t="shared" si="89"/>
        <v>146.00861972903155</v>
      </c>
      <c r="CE115" s="9">
        <f t="shared" si="90"/>
        <v>394.29664952872042</v>
      </c>
      <c r="CF115" s="6">
        <f t="shared" si="91"/>
        <v>1.2161512857867554</v>
      </c>
      <c r="CG115" s="6"/>
      <c r="CH115" s="6"/>
      <c r="CI115" s="6"/>
      <c r="CJ115" s="1"/>
      <c r="CK115" s="6"/>
    </row>
    <row r="116" spans="1:89" x14ac:dyDescent="0.25">
      <c r="A116" s="8" t="s">
        <v>100</v>
      </c>
      <c r="B116" s="5">
        <f ca="1">B101+G114</f>
        <v>5334.2055</v>
      </c>
      <c r="C116">
        <f ca="1">B116/12</f>
        <v>444.51712500000002</v>
      </c>
      <c r="J116">
        <f ca="1">K114</f>
        <v>1535.76</v>
      </c>
      <c r="K116">
        <f ca="1">J116/12</f>
        <v>127.98</v>
      </c>
      <c r="BC116">
        <v>1.989675347273538</v>
      </c>
      <c r="BD116">
        <v>221.56653598057488</v>
      </c>
      <c r="BE116">
        <v>332.90281581716948</v>
      </c>
      <c r="BF116" s="6">
        <f t="shared" si="97"/>
        <v>0.98356081412436691</v>
      </c>
      <c r="BG116" s="6">
        <f t="shared" si="98"/>
        <v>1.0061145331491712</v>
      </c>
      <c r="BH116" s="6">
        <f t="shared" si="80"/>
        <v>-1.2750176086022338</v>
      </c>
      <c r="BI116" s="6">
        <f t="shared" si="81"/>
        <v>1.2750176086022338</v>
      </c>
      <c r="BJ116">
        <v>269.99594845081231</v>
      </c>
      <c r="BK116">
        <v>405.66781035193378</v>
      </c>
      <c r="BV116" s="37"/>
      <c r="BW116" s="6">
        <f t="shared" si="82"/>
        <v>1.7627825445142749</v>
      </c>
      <c r="BX116" s="9">
        <f t="shared" ca="1" si="83"/>
        <v>87.309434951550543</v>
      </c>
      <c r="BY116" s="9">
        <f t="shared" ca="1" si="84"/>
        <v>348.98547440940956</v>
      </c>
      <c r="BZ116" s="9">
        <f t="shared" ca="1" si="85"/>
        <v>245.76309446239358</v>
      </c>
      <c r="CA116" s="6">
        <f t="shared" ca="1" si="86"/>
        <v>364.25114052562827</v>
      </c>
      <c r="CB116" s="6">
        <f t="shared" ca="1" si="87"/>
        <v>0.97724740921491615</v>
      </c>
      <c r="CC116" s="6">
        <f t="shared" ca="1" si="88"/>
        <v>2.3941404882865469</v>
      </c>
      <c r="CD116" s="9">
        <f t="shared" si="89"/>
        <v>145.76309446239358</v>
      </c>
      <c r="CE116" s="9">
        <f t="shared" si="90"/>
        <v>394.25114052562827</v>
      </c>
      <c r="CF116" s="6">
        <f t="shared" si="91"/>
        <v>1.2166614580435708</v>
      </c>
      <c r="CG116" s="6"/>
      <c r="CH116" s="6"/>
      <c r="CI116" s="6"/>
      <c r="CJ116" s="1"/>
      <c r="CK116" s="6"/>
    </row>
    <row r="117" spans="1:89" x14ac:dyDescent="0.25">
      <c r="A117" s="8" t="s">
        <v>101</v>
      </c>
      <c r="B117" s="5">
        <f ca="1">B102+H114</f>
        <v>6708.3315000000002</v>
      </c>
      <c r="C117">
        <f ca="1">B117/12</f>
        <v>559.02762500000006</v>
      </c>
      <c r="J117">
        <f ca="1">L114</f>
        <v>-511.92</v>
      </c>
      <c r="K117">
        <f ca="1">J117/12</f>
        <v>-42.660000000000004</v>
      </c>
      <c r="BC117">
        <v>2.0071286397934811</v>
      </c>
      <c r="BD117">
        <v>217.83495180683136</v>
      </c>
      <c r="BE117">
        <v>327.72755367775045</v>
      </c>
      <c r="BF117" s="6">
        <f t="shared" si="97"/>
        <v>0.98416824992852303</v>
      </c>
      <c r="BG117" s="6">
        <f t="shared" si="98"/>
        <v>1.022960389864958</v>
      </c>
      <c r="BH117" s="6">
        <f t="shared" si="80"/>
        <v>-1.2756250444063897</v>
      </c>
      <c r="BI117" s="6">
        <f t="shared" si="81"/>
        <v>1.2756250444063897</v>
      </c>
      <c r="BJ117">
        <v>269.81092339518534</v>
      </c>
      <c r="BK117">
        <v>405.92417858751537</v>
      </c>
      <c r="BV117" s="37"/>
      <c r="BW117" s="6">
        <f t="shared" si="82"/>
        <v>1.7802358370342182</v>
      </c>
      <c r="BX117" s="9">
        <f t="shared" ca="1" si="83"/>
        <v>87.062237917111418</v>
      </c>
      <c r="BY117" s="9">
        <f t="shared" ca="1" si="84"/>
        <v>348.93517761557558</v>
      </c>
      <c r="BZ117" s="9">
        <f t="shared" ca="1" si="85"/>
        <v>245.51589742795446</v>
      </c>
      <c r="CA117" s="6">
        <f t="shared" ca="1" si="86"/>
        <v>364.20084373179429</v>
      </c>
      <c r="CB117" s="6">
        <f t="shared" ca="1" si="87"/>
        <v>0.97764990131738083</v>
      </c>
      <c r="CC117" s="6">
        <f t="shared" ca="1" si="88"/>
        <v>2.3952182593478035</v>
      </c>
      <c r="CD117" s="9">
        <f t="shared" si="89"/>
        <v>145.51589742795446</v>
      </c>
      <c r="CE117" s="9">
        <f t="shared" si="90"/>
        <v>394.20084373179429</v>
      </c>
      <c r="CF117" s="6">
        <f t="shared" si="91"/>
        <v>1.2171717272521612</v>
      </c>
      <c r="CG117" s="6"/>
      <c r="CH117" s="6"/>
      <c r="CI117" s="6"/>
      <c r="CJ117" s="1"/>
      <c r="CK117" s="6"/>
    </row>
    <row r="118" spans="1:89" x14ac:dyDescent="0.25">
      <c r="BC118">
        <v>2.0245819323134242</v>
      </c>
      <c r="BD118">
        <v>214.13082706945133</v>
      </c>
      <c r="BE118">
        <v>322.58247747232531</v>
      </c>
      <c r="BF118" s="6">
        <f t="shared" si="97"/>
        <v>0.9847797204145009</v>
      </c>
      <c r="BG118" s="6">
        <f t="shared" si="98"/>
        <v>1.0398022118989232</v>
      </c>
      <c r="BH118" s="6">
        <f t="shared" si="80"/>
        <v>-1.276236514892368</v>
      </c>
      <c r="BI118" s="6">
        <f t="shared" si="81"/>
        <v>1.276236514892368</v>
      </c>
      <c r="BJ118">
        <v>269.62419444701209</v>
      </c>
      <c r="BK118">
        <v>406.18178065032771</v>
      </c>
      <c r="BV118" s="37"/>
      <c r="BW118" s="6">
        <f t="shared" si="82"/>
        <v>1.7976891295541615</v>
      </c>
      <c r="BX118" s="9">
        <f t="shared" ca="1" si="83"/>
        <v>86.81319975651607</v>
      </c>
      <c r="BY118" s="9">
        <f t="shared" ca="1" si="84"/>
        <v>348.8799627731766</v>
      </c>
      <c r="BZ118" s="9">
        <f t="shared" ca="1" si="85"/>
        <v>245.26685926735911</v>
      </c>
      <c r="CA118" s="6">
        <f t="shared" ca="1" si="86"/>
        <v>364.14562888939531</v>
      </c>
      <c r="CB118" s="6">
        <f t="shared" ca="1" si="87"/>
        <v>0.97804994362817677</v>
      </c>
      <c r="CC118" s="6">
        <f t="shared" ca="1" si="88"/>
        <v>2.3963243914992063</v>
      </c>
      <c r="CD118" s="9">
        <f t="shared" si="89"/>
        <v>145.26685926735911</v>
      </c>
      <c r="CE118" s="9">
        <f t="shared" si="90"/>
        <v>394.14562888939531</v>
      </c>
      <c r="CF118" s="6">
        <f t="shared" si="91"/>
        <v>1.2176823827780974</v>
      </c>
      <c r="CG118" s="6"/>
      <c r="CH118" s="6"/>
      <c r="CI118" s="6"/>
      <c r="CJ118" s="1"/>
      <c r="CK118" s="6"/>
    </row>
    <row r="119" spans="1:89" x14ac:dyDescent="0.25">
      <c r="A119" s="8" t="s">
        <v>8</v>
      </c>
      <c r="B119">
        <f ca="1">B117/B115</f>
        <v>3.9328663920401499</v>
      </c>
      <c r="J119">
        <f ca="1">J117/J115</f>
        <v>3</v>
      </c>
      <c r="BC119">
        <v>2.0420352248333673</v>
      </c>
      <c r="BD119">
        <v>210.45174042684098</v>
      </c>
      <c r="BE119">
        <v>317.46418390735749</v>
      </c>
      <c r="BF119" s="6">
        <f t="shared" si="97"/>
        <v>0.98539559377367669</v>
      </c>
      <c r="BG119" s="6">
        <f t="shared" si="98"/>
        <v>1.0566396310596906</v>
      </c>
      <c r="BH119" s="6">
        <f t="shared" si="80"/>
        <v>-1.2768523882515439</v>
      </c>
      <c r="BI119" s="6">
        <f t="shared" si="81"/>
        <v>1.2768523882515439</v>
      </c>
      <c r="BJ119">
        <v>269.43565688593787</v>
      </c>
      <c r="BK119">
        <v>406.44078663997493</v>
      </c>
      <c r="BV119" s="37"/>
      <c r="BW119" s="6">
        <f t="shared" si="82"/>
        <v>1.8151424220741048</v>
      </c>
      <c r="BX119" s="9">
        <f t="shared" ca="1" si="83"/>
        <v>86.562146317156277</v>
      </c>
      <c r="BY119" s="9">
        <f t="shared" ca="1" si="84"/>
        <v>348.81968532014486</v>
      </c>
      <c r="BZ119" s="9">
        <f t="shared" ca="1" si="85"/>
        <v>245.01580582799932</v>
      </c>
      <c r="CA119" s="6">
        <f t="shared" ca="1" si="86"/>
        <v>364.08535143636357</v>
      </c>
      <c r="CB119" s="6">
        <f t="shared" ca="1" si="87"/>
        <v>0.97844769220419425</v>
      </c>
      <c r="CC119" s="6">
        <f t="shared" ca="1" si="88"/>
        <v>2.3974602201461099</v>
      </c>
      <c r="CD119" s="9">
        <f t="shared" si="89"/>
        <v>145.01580582799932</v>
      </c>
      <c r="CE119" s="9">
        <f t="shared" si="90"/>
        <v>394.08535143636357</v>
      </c>
      <c r="CF119" s="6">
        <f t="shared" si="91"/>
        <v>1.2181937142188053</v>
      </c>
      <c r="CG119" s="6"/>
      <c r="CH119" s="6"/>
      <c r="CI119" s="6"/>
      <c r="CJ119" s="1"/>
      <c r="CK119" s="6"/>
    </row>
    <row r="120" spans="1:89" x14ac:dyDescent="0.25">
      <c r="A120" s="8" t="s">
        <v>9</v>
      </c>
      <c r="B120">
        <f ca="1">B116/B115</f>
        <v>3.1272630965219474</v>
      </c>
      <c r="J120">
        <f ca="1">J116/J115</f>
        <v>-9</v>
      </c>
      <c r="BC120">
        <v>2.0594885173533104</v>
      </c>
      <c r="BD120">
        <v>206.79533640207598</v>
      </c>
      <c r="BE120">
        <v>312.36934106404846</v>
      </c>
      <c r="BF120" s="6">
        <f t="shared" si="97"/>
        <v>0.98601624642570884</v>
      </c>
      <c r="BG120" s="6">
        <f t="shared" si="98"/>
        <v>1.0734722709276014</v>
      </c>
      <c r="BH120" s="6">
        <f t="shared" si="80"/>
        <v>-1.2774730409035755</v>
      </c>
      <c r="BI120" s="6">
        <f t="shared" si="81"/>
        <v>1.2774730409035755</v>
      </c>
      <c r="BJ120">
        <v>269.24520480431568</v>
      </c>
      <c r="BK120">
        <v>406.70137282909519</v>
      </c>
      <c r="BV120" s="37"/>
      <c r="BW120" s="6">
        <f t="shared" si="82"/>
        <v>1.8325957145940481</v>
      </c>
      <c r="BX120" s="9">
        <f t="shared" ca="1" si="83"/>
        <v>86.308898138760441</v>
      </c>
      <c r="BY120" s="9">
        <f t="shared" ca="1" si="84"/>
        <v>348.75418556643046</v>
      </c>
      <c r="BZ120" s="9">
        <f t="shared" ca="1" si="85"/>
        <v>244.76255764960348</v>
      </c>
      <c r="CA120" s="6">
        <f t="shared" ca="1" si="86"/>
        <v>364.01985168264918</v>
      </c>
      <c r="CB120" s="6">
        <f t="shared" ca="1" si="87"/>
        <v>0.97884329479482723</v>
      </c>
      <c r="CC120" s="6">
        <f t="shared" ca="1" si="88"/>
        <v>2.3986271721009857</v>
      </c>
      <c r="CD120" s="9">
        <f t="shared" si="89"/>
        <v>144.76255764960348</v>
      </c>
      <c r="CE120" s="9">
        <f t="shared" si="90"/>
        <v>394.01985168264918</v>
      </c>
      <c r="CF120" s="6">
        <f t="shared" si="91"/>
        <v>1.2187060120049258</v>
      </c>
      <c r="CG120" s="6"/>
      <c r="CH120" s="6"/>
      <c r="CI120" s="6"/>
      <c r="CJ120" s="1"/>
      <c r="CK120" s="6"/>
    </row>
    <row r="121" spans="1:89" x14ac:dyDescent="0.25">
      <c r="BC121">
        <v>2.0769418098732535</v>
      </c>
      <c r="BD121">
        <v>203.15931932237041</v>
      </c>
      <c r="BE121">
        <v>307.29467971047137</v>
      </c>
      <c r="BF121" s="6">
        <f t="shared" si="97"/>
        <v>0.98664206379543595</v>
      </c>
      <c r="BG121" s="6">
        <f t="shared" si="98"/>
        <v>1.0902997460778177</v>
      </c>
      <c r="BH121" s="6">
        <f t="shared" si="80"/>
        <v>-1.2780988582733033</v>
      </c>
      <c r="BI121" s="6">
        <f t="shared" si="81"/>
        <v>1.2780988582733033</v>
      </c>
      <c r="BJ121">
        <v>269.05273123747116</v>
      </c>
      <c r="BK121">
        <v>406.96372259277541</v>
      </c>
      <c r="BV121" s="37"/>
      <c r="BW121" s="6">
        <f t="shared" si="82"/>
        <v>1.8500490071139915</v>
      </c>
      <c r="BX121" s="9">
        <f t="shared" ca="1" si="83"/>
        <v>86.053269909503769</v>
      </c>
      <c r="BY121" s="9">
        <f t="shared" ca="1" si="84"/>
        <v>348.68328777002972</v>
      </c>
      <c r="BZ121" s="9">
        <f t="shared" ca="1" si="85"/>
        <v>244.50692942034681</v>
      </c>
      <c r="CA121" s="6">
        <f t="shared" ca="1" si="86"/>
        <v>363.94895388624843</v>
      </c>
      <c r="CB121" s="6">
        <f t="shared" ca="1" si="87"/>
        <v>0.97923689075486731</v>
      </c>
      <c r="CC121" s="6">
        <f t="shared" ca="1" si="88"/>
        <v>2.3998267724425868</v>
      </c>
      <c r="CD121" s="9">
        <f t="shared" si="89"/>
        <v>144.50692942034681</v>
      </c>
      <c r="CE121" s="9">
        <f t="shared" si="90"/>
        <v>393.94895388624843</v>
      </c>
      <c r="CF121" s="6">
        <f t="shared" si="91"/>
        <v>1.219219567999126</v>
      </c>
      <c r="CG121" s="6"/>
      <c r="CH121" s="6"/>
      <c r="CI121" s="6"/>
      <c r="CJ121" s="1"/>
      <c r="CK121" s="6"/>
    </row>
    <row r="122" spans="1:89" x14ac:dyDescent="0.25">
      <c r="BC122">
        <v>2.0943951023931966</v>
      </c>
      <c r="BD122">
        <v>199.54144760939417</v>
      </c>
      <c r="BE122">
        <v>302.23698499945584</v>
      </c>
      <c r="BF122" s="6">
        <f t="shared" si="97"/>
        <v>0.98727344111385695</v>
      </c>
      <c r="BG122" s="6">
        <f t="shared" si="98"/>
        <v>1.1071216612793395</v>
      </c>
      <c r="BH122" s="6">
        <f t="shared" si="80"/>
        <v>-1.2787302355917236</v>
      </c>
      <c r="BI122" s="6">
        <f t="shared" si="81"/>
        <v>1.2787302355917236</v>
      </c>
      <c r="BJ122">
        <v>268.85812835257303</v>
      </c>
      <c r="BK122">
        <v>407.22802745695236</v>
      </c>
      <c r="BV122" s="37"/>
      <c r="BW122" s="6">
        <f t="shared" si="82"/>
        <v>1.8675022996339348</v>
      </c>
      <c r="BX122" s="9">
        <f t="shared" ca="1" si="83"/>
        <v>85.795069887985761</v>
      </c>
      <c r="BY122" s="9">
        <f t="shared" ca="1" si="84"/>
        <v>348.60679910337808</v>
      </c>
      <c r="BZ122" s="9">
        <f t="shared" ca="1" si="85"/>
        <v>244.2487293988288</v>
      </c>
      <c r="CA122" s="6">
        <f t="shared" ca="1" si="86"/>
        <v>363.87246521959679</v>
      </c>
      <c r="CB122" s="6">
        <f t="shared" ca="1" si="87"/>
        <v>0.97962861088703701</v>
      </c>
      <c r="CC122" s="6">
        <f t="shared" ca="1" si="88"/>
        <v>2.4010606520729896</v>
      </c>
      <c r="CD122" s="9">
        <f t="shared" si="89"/>
        <v>144.2487293988288</v>
      </c>
      <c r="CE122" s="9">
        <f t="shared" si="90"/>
        <v>393.87246521959679</v>
      </c>
      <c r="CF122" s="6">
        <f t="shared" si="91"/>
        <v>1.2197346760943359</v>
      </c>
      <c r="CG122" s="6"/>
      <c r="CH122" s="6"/>
      <c r="CI122" s="6"/>
      <c r="CJ122" s="1"/>
      <c r="CK122" s="6"/>
    </row>
    <row r="123" spans="1:89" x14ac:dyDescent="0.25">
      <c r="A123" t="s">
        <v>128</v>
      </c>
      <c r="BC123">
        <v>2.1118483949131397</v>
      </c>
      <c r="BD123">
        <v>195.59747698564124</v>
      </c>
      <c r="BE123">
        <v>296.90215089281503</v>
      </c>
      <c r="BF123" s="6">
        <f t="shared" si="97"/>
        <v>0.9882635673885013</v>
      </c>
      <c r="BG123" s="6">
        <f t="shared" si="98"/>
        <v>1.1235848275246383</v>
      </c>
      <c r="BH123" s="6">
        <f t="shared" si="80"/>
        <v>-1.2797203618663684</v>
      </c>
      <c r="BI123" s="6">
        <f t="shared" si="81"/>
        <v>1.2797203618663684</v>
      </c>
      <c r="BJ123">
        <v>267.83152773274742</v>
      </c>
      <c r="BK123">
        <v>406.54796721431569</v>
      </c>
      <c r="BV123" s="37"/>
      <c r="BW123" s="6">
        <f t="shared" si="82"/>
        <v>1.8849555921538781</v>
      </c>
      <c r="BX123" s="9">
        <f t="shared" ca="1" si="83"/>
        <v>85.534099287056165</v>
      </c>
      <c r="BY123" s="9">
        <f t="shared" ca="1" si="84"/>
        <v>348.52450849935622</v>
      </c>
      <c r="BZ123" s="9">
        <f t="shared" ca="1" si="85"/>
        <v>243.9877587978992</v>
      </c>
      <c r="CA123" s="6">
        <f t="shared" ca="1" si="86"/>
        <v>363.79017461557493</v>
      </c>
      <c r="CB123" s="6">
        <f t="shared" ca="1" si="87"/>
        <v>0.98001857720844809</v>
      </c>
      <c r="CC123" s="6">
        <f t="shared" ca="1" si="88"/>
        <v>2.4023305560483168</v>
      </c>
      <c r="CD123" s="9">
        <f t="shared" si="89"/>
        <v>143.9877587978992</v>
      </c>
      <c r="CE123" s="9">
        <f t="shared" si="90"/>
        <v>393.79017461557493</v>
      </c>
      <c r="CF123" s="6">
        <f t="shared" si="91"/>
        <v>1.2202516328132798</v>
      </c>
      <c r="CG123" s="6"/>
      <c r="CH123" s="6"/>
      <c r="CI123" s="6"/>
      <c r="CJ123" s="1"/>
      <c r="CK123" s="6"/>
    </row>
    <row r="124" spans="1:89" x14ac:dyDescent="0.25">
      <c r="BC124">
        <v>2.1293016874330828</v>
      </c>
      <c r="BD124">
        <v>190.40124891819522</v>
      </c>
      <c r="BE124">
        <v>290.48004678730007</v>
      </c>
      <c r="BF124" s="6">
        <f t="shared" si="97"/>
        <v>0.99058466497234954</v>
      </c>
      <c r="BG124" s="6">
        <f t="shared" si="98"/>
        <v>1.1387170224607333</v>
      </c>
      <c r="BH124" s="6">
        <f t="shared" si="80"/>
        <v>-1.2820414594502163</v>
      </c>
      <c r="BI124" s="6">
        <f t="shared" si="81"/>
        <v>1.2820414594502163</v>
      </c>
      <c r="BJ124">
        <v>263.74296575323018</v>
      </c>
      <c r="BK124">
        <v>402.37167280733286</v>
      </c>
      <c r="BV124" s="37"/>
      <c r="BW124" s="6">
        <f t="shared" si="82"/>
        <v>1.9024088846738214</v>
      </c>
      <c r="BX124" s="9">
        <f t="shared" ca="1" si="83"/>
        <v>82.27289496722932</v>
      </c>
      <c r="BY124" s="9">
        <f t="shared" ca="1" si="84"/>
        <v>344.09155243290564</v>
      </c>
      <c r="BZ124" s="9">
        <f t="shared" ca="1" si="85"/>
        <v>240.72655447807236</v>
      </c>
      <c r="CA124" s="6">
        <f t="shared" ca="1" si="86"/>
        <v>359.35721854912435</v>
      </c>
      <c r="CB124" s="6">
        <f t="shared" ca="1" si="87"/>
        <v>0.98057175107232819</v>
      </c>
      <c r="CC124" s="6">
        <f t="shared" ca="1" si="88"/>
        <v>2.4340096857236531</v>
      </c>
      <c r="CD124" s="9">
        <f t="shared" si="89"/>
        <v>140.72655447807236</v>
      </c>
      <c r="CE124" s="9">
        <f t="shared" si="90"/>
        <v>389.35721854912435</v>
      </c>
      <c r="CF124" s="6">
        <f t="shared" si="91"/>
        <v>1.2239727196446935</v>
      </c>
      <c r="CG124" s="6"/>
      <c r="CH124" s="6"/>
      <c r="CI124" s="6"/>
      <c r="CJ124" s="1"/>
      <c r="CK124" s="6"/>
    </row>
    <row r="125" spans="1:89" x14ac:dyDescent="0.25">
      <c r="A125" s="8" t="s">
        <v>77</v>
      </c>
      <c r="B125" s="3">
        <f ca="1">B116</f>
        <v>5334.2055</v>
      </c>
      <c r="C125" s="1" t="str">
        <f>"+ t ( "</f>
        <v xml:space="preserve">+ t ( </v>
      </c>
      <c r="D125" s="1">
        <f ca="1">J116</f>
        <v>1535.76</v>
      </c>
      <c r="E125" s="1" t="s">
        <v>129</v>
      </c>
      <c r="F125" s="3">
        <f ca="1">B116</f>
        <v>5334.2055</v>
      </c>
      <c r="G125" s="1" t="s">
        <v>130</v>
      </c>
      <c r="BC125">
        <v>2.1467549799530259</v>
      </c>
      <c r="BD125">
        <v>185.18179080853454</v>
      </c>
      <c r="BE125">
        <v>284.00099748819025</v>
      </c>
      <c r="BF125" s="6">
        <f t="shared" si="97"/>
        <v>0.99298394903046527</v>
      </c>
      <c r="BG125" s="6">
        <f t="shared" si="98"/>
        <v>1.1537710309225606</v>
      </c>
      <c r="BH125" s="6">
        <f t="shared" si="80"/>
        <v>-1.2844407435083325</v>
      </c>
      <c r="BI125" s="6">
        <f t="shared" si="81"/>
        <v>1.2844407435083325</v>
      </c>
      <c r="BJ125">
        <v>259.58241138554843</v>
      </c>
      <c r="BK125">
        <v>398.10428143071977</v>
      </c>
      <c r="BV125" s="37"/>
      <c r="BW125" s="6">
        <f t="shared" si="82"/>
        <v>1.9198621771937647</v>
      </c>
      <c r="BX125" s="9">
        <f t="shared" ca="1" si="83"/>
        <v>78.364912528036115</v>
      </c>
      <c r="BY125" s="9">
        <f t="shared" ca="1" si="84"/>
        <v>338.71114619199852</v>
      </c>
      <c r="BZ125" s="9">
        <f t="shared" ca="1" si="85"/>
        <v>236.81857203887915</v>
      </c>
      <c r="CA125" s="6">
        <f t="shared" ca="1" si="86"/>
        <v>353.97681230821723</v>
      </c>
      <c r="CB125" s="6">
        <f t="shared" ca="1" si="87"/>
        <v>0.98116430014880163</v>
      </c>
      <c r="CC125" s="6">
        <f t="shared" ca="1" si="88"/>
        <v>2.473381557661761</v>
      </c>
      <c r="CD125" s="9">
        <f t="shared" si="89"/>
        <v>136.81857203887915</v>
      </c>
      <c r="CE125" s="9">
        <f t="shared" si="90"/>
        <v>383.97681230821723</v>
      </c>
      <c r="CF125" s="6">
        <f t="shared" si="91"/>
        <v>1.2285024559149778</v>
      </c>
      <c r="CG125" s="6"/>
      <c r="CH125" s="6"/>
      <c r="CI125" s="6"/>
      <c r="CJ125" s="1"/>
      <c r="CK125" s="6"/>
    </row>
    <row r="126" spans="1:89" x14ac:dyDescent="0.25">
      <c r="A126" s="8" t="s">
        <v>125</v>
      </c>
      <c r="B126" s="3">
        <f ca="1">B117</f>
        <v>6708.3315000000002</v>
      </c>
      <c r="D126" s="1">
        <f ca="1">J117</f>
        <v>-511.92</v>
      </c>
      <c r="F126" s="3">
        <f ca="1">B117</f>
        <v>6708.3315000000002</v>
      </c>
      <c r="BC126">
        <v>2.164208272472969</v>
      </c>
      <c r="BD126">
        <v>179.93772928785322</v>
      </c>
      <c r="BE126">
        <v>277.46229954725209</v>
      </c>
      <c r="BF126" s="6">
        <f t="shared" si="97"/>
        <v>0.99546761337571932</v>
      </c>
      <c r="BG126" s="6">
        <f t="shared" si="98"/>
        <v>1.1687406590972498</v>
      </c>
      <c r="BH126" s="6">
        <f t="shared" si="80"/>
        <v>-1.2869244078535866</v>
      </c>
      <c r="BI126" s="6">
        <f t="shared" si="81"/>
        <v>1.2869244078535866</v>
      </c>
      <c r="BJ126">
        <v>255.34580867462472</v>
      </c>
      <c r="BK126">
        <v>393.74085432229987</v>
      </c>
      <c r="BV126" s="37"/>
      <c r="BW126" s="6">
        <f t="shared" si="82"/>
        <v>1.937315469713708</v>
      </c>
      <c r="BX126" s="9">
        <f t="shared" ca="1" si="83"/>
        <v>74.497725284168695</v>
      </c>
      <c r="BY126" s="9">
        <f t="shared" ca="1" si="84"/>
        <v>333.37935020839825</v>
      </c>
      <c r="BZ126" s="9">
        <f t="shared" ca="1" si="85"/>
        <v>232.95138479501173</v>
      </c>
      <c r="CA126" s="6">
        <f t="shared" ca="1" si="86"/>
        <v>348.64501632461696</v>
      </c>
      <c r="CB126" s="6">
        <f t="shared" ca="1" si="87"/>
        <v>0.98175914059663927</v>
      </c>
      <c r="CC126" s="6">
        <f t="shared" ca="1" si="88"/>
        <v>2.5136130622463626</v>
      </c>
      <c r="CD126" s="9">
        <f t="shared" si="89"/>
        <v>132.95138479501173</v>
      </c>
      <c r="CE126" s="9">
        <f t="shared" si="90"/>
        <v>378.64501632461696</v>
      </c>
      <c r="CF126" s="6">
        <f t="shared" si="91"/>
        <v>1.2331204468212755</v>
      </c>
      <c r="CG126" s="6"/>
      <c r="CH126" s="6"/>
      <c r="CI126" s="6"/>
      <c r="CJ126" s="1"/>
      <c r="CK126" s="6"/>
    </row>
    <row r="127" spans="1:89" x14ac:dyDescent="0.25">
      <c r="A127" s="8" t="s">
        <v>75</v>
      </c>
      <c r="B127" s="3">
        <f ca="1">B115</f>
        <v>1705.7105000000001</v>
      </c>
      <c r="D127" s="1">
        <f ca="1">J115</f>
        <v>-170.64000000000001</v>
      </c>
      <c r="F127" s="3">
        <f ca="1">B115</f>
        <v>1705.7105000000001</v>
      </c>
      <c r="BC127">
        <v>2.1816615649929121</v>
      </c>
      <c r="BD127">
        <v>174.137594500929</v>
      </c>
      <c r="BE127">
        <v>270.22291914191794</v>
      </c>
      <c r="BF127" s="6">
        <f t="shared" si="97"/>
        <v>0.99835237016634271</v>
      </c>
      <c r="BG127" s="6">
        <f t="shared" si="98"/>
        <v>1.1833091948265695</v>
      </c>
      <c r="BH127" s="6">
        <f t="shared" si="80"/>
        <v>-1.2898091646442096</v>
      </c>
      <c r="BI127" s="6">
        <f t="shared" si="81"/>
        <v>1.2898091646442096</v>
      </c>
      <c r="BJ127">
        <v>249.61159616224023</v>
      </c>
      <c r="BK127">
        <v>387.34182793752944</v>
      </c>
      <c r="BV127" s="37"/>
      <c r="BW127" s="6">
        <f t="shared" si="82"/>
        <v>1.9547687622336514</v>
      </c>
      <c r="BX127" s="9">
        <f t="shared" ca="1" si="83"/>
        <v>70.668476896395418</v>
      </c>
      <c r="BY127" s="9">
        <f t="shared" ca="1" si="84"/>
        <v>328.09225702619011</v>
      </c>
      <c r="BZ127" s="9">
        <f t="shared" ca="1" si="85"/>
        <v>229.12213640723846</v>
      </c>
      <c r="CA127" s="6">
        <f t="shared" ca="1" si="86"/>
        <v>343.35792314240882</v>
      </c>
      <c r="CB127" s="6">
        <f t="shared" ca="1" si="87"/>
        <v>0.98235661042802602</v>
      </c>
      <c r="CC127" s="6">
        <f t="shared" ca="1" si="88"/>
        <v>2.5547562944810802</v>
      </c>
      <c r="CD127" s="9">
        <f t="shared" si="89"/>
        <v>129.12213640723846</v>
      </c>
      <c r="CE127" s="9">
        <f t="shared" si="90"/>
        <v>373.35792314240882</v>
      </c>
      <c r="CF127" s="6">
        <f t="shared" si="91"/>
        <v>1.2378322398761341</v>
      </c>
      <c r="CG127" s="6"/>
      <c r="CH127" s="6"/>
      <c r="CI127" s="6"/>
      <c r="CJ127" s="1"/>
      <c r="CK127" s="6"/>
    </row>
    <row r="128" spans="1:89" x14ac:dyDescent="0.25">
      <c r="BC128">
        <v>2.1991148575128552</v>
      </c>
      <c r="BD128">
        <v>168.15069143751853</v>
      </c>
      <c r="BE128">
        <v>262.71486602536891</v>
      </c>
      <c r="BF128" s="6">
        <f t="shared" si="97"/>
        <v>1.001447553552048</v>
      </c>
      <c r="BG128" s="6">
        <f t="shared" si="98"/>
        <v>1.1976673039608072</v>
      </c>
      <c r="BH128" s="6">
        <f t="shared" si="80"/>
        <v>-1.2929043480299145</v>
      </c>
      <c r="BI128" s="6">
        <f t="shared" si="81"/>
        <v>1.2929043480299145</v>
      </c>
      <c r="BJ128">
        <v>243.40836068686477</v>
      </c>
      <c r="BK128">
        <v>380.2957592420355</v>
      </c>
      <c r="BV128" s="37"/>
      <c r="BW128" s="6">
        <f t="shared" si="82"/>
        <v>1.9722220547535947</v>
      </c>
      <c r="BX128" s="9">
        <f t="shared" ca="1" si="83"/>
        <v>66.874413729626269</v>
      </c>
      <c r="BY128" s="9">
        <f t="shared" ca="1" si="84"/>
        <v>322.84608156185703</v>
      </c>
      <c r="BZ128" s="9">
        <f t="shared" ca="1" si="85"/>
        <v>225.32807324046931</v>
      </c>
      <c r="CA128" s="6">
        <f t="shared" ca="1" si="86"/>
        <v>338.11174767807574</v>
      </c>
      <c r="CB128" s="6">
        <f t="shared" ca="1" si="87"/>
        <v>0.98295705228416053</v>
      </c>
      <c r="CC128" s="6">
        <f t="shared" ca="1" si="88"/>
        <v>2.5968667137072234</v>
      </c>
      <c r="CD128" s="9">
        <f t="shared" si="89"/>
        <v>125.32807324046931</v>
      </c>
      <c r="CE128" s="9">
        <f t="shared" si="90"/>
        <v>368.11174767807574</v>
      </c>
      <c r="CF128" s="6">
        <f t="shared" si="91"/>
        <v>1.2426437236548828</v>
      </c>
      <c r="CG128" s="6"/>
      <c r="CH128" s="6"/>
      <c r="CI128" s="6"/>
      <c r="CJ128" s="1"/>
      <c r="CK128" s="6"/>
    </row>
    <row r="129" spans="1:89" x14ac:dyDescent="0.25">
      <c r="A129" s="14" t="s">
        <v>131</v>
      </c>
      <c r="BC129">
        <v>2.2165681500327983</v>
      </c>
      <c r="BD129">
        <v>161.40232114518301</v>
      </c>
      <c r="BE129">
        <v>254.26920943612868</v>
      </c>
      <c r="BF129" s="6">
        <f t="shared" si="97"/>
        <v>1.0052026285312914</v>
      </c>
      <c r="BG129" s="6">
        <f t="shared" si="98"/>
        <v>1.2113655215015069</v>
      </c>
      <c r="BH129" s="6">
        <f t="shared" si="80"/>
        <v>-1.2966594230091586</v>
      </c>
      <c r="BI129" s="6">
        <f t="shared" si="81"/>
        <v>1.2966594230091586</v>
      </c>
      <c r="BJ129">
        <v>235.48334207045949</v>
      </c>
      <c r="BK129">
        <v>370.97461051860574</v>
      </c>
      <c r="BV129" s="37"/>
      <c r="BW129" s="6">
        <f t="shared" si="82"/>
        <v>1.989675347273538</v>
      </c>
      <c r="BX129" s="9">
        <f t="shared" ca="1" si="83"/>
        <v>63.112876469731845</v>
      </c>
      <c r="BY129" s="9">
        <f t="shared" ca="1" si="84"/>
        <v>317.63714970095077</v>
      </c>
      <c r="BZ129" s="9">
        <f t="shared" ca="1" si="85"/>
        <v>221.56653598057488</v>
      </c>
      <c r="CA129" s="6">
        <f t="shared" ca="1" si="86"/>
        <v>332.90281581716948</v>
      </c>
      <c r="CB129" s="6">
        <f t="shared" ca="1" si="87"/>
        <v>0.98356081412436691</v>
      </c>
      <c r="CC129" s="6">
        <f t="shared" ca="1" si="88"/>
        <v>2.6400034458769053</v>
      </c>
      <c r="CD129" s="9">
        <f t="shared" si="89"/>
        <v>121.56653598057488</v>
      </c>
      <c r="CE129" s="9">
        <f t="shared" si="90"/>
        <v>362.90281581716948</v>
      </c>
      <c r="CF129" s="6">
        <f t="shared" si="91"/>
        <v>1.2475611587120574</v>
      </c>
      <c r="CG129" s="6"/>
      <c r="CH129" s="6"/>
      <c r="CI129" s="6"/>
      <c r="CJ129" s="1"/>
      <c r="CK129" s="6"/>
    </row>
    <row r="130" spans="1:89" x14ac:dyDescent="0.25">
      <c r="A130" s="8" t="s">
        <v>133</v>
      </c>
      <c r="B130" s="1">
        <f>U10</f>
        <v>10</v>
      </c>
      <c r="BC130">
        <v>2.2340214425527414</v>
      </c>
      <c r="BD130">
        <v>154.47780117449003</v>
      </c>
      <c r="BE130">
        <v>245.54843276664519</v>
      </c>
      <c r="BF130" s="6">
        <f t="shared" ref="BF130:BF155" si="108">IF(BC130&lt;&gt;"",IF(AND(BD130=0,BE130=0),0,MOD(ATAN2(BD130,BE130),2*PI())),NA())</f>
        <v>1.0092445518045219</v>
      </c>
      <c r="BG130" s="6">
        <f t="shared" ref="BG130:BG155" si="109">ABS(BC130-BF130)</f>
        <v>1.2247768907482195</v>
      </c>
      <c r="BH130" s="6">
        <f t="shared" si="80"/>
        <v>-1.3007013462823889</v>
      </c>
      <c r="BI130" s="6">
        <f t="shared" si="81"/>
        <v>1.3007013462823889</v>
      </c>
      <c r="BJ130">
        <v>227.18501337061414</v>
      </c>
      <c r="BK130">
        <v>361.11935538370273</v>
      </c>
      <c r="BV130" s="37"/>
      <c r="BW130" s="6">
        <f t="shared" si="82"/>
        <v>2.0071286397934811</v>
      </c>
      <c r="BX130" s="9">
        <f t="shared" ca="1" si="83"/>
        <v>59.381292295988317</v>
      </c>
      <c r="BY130" s="9">
        <f t="shared" ca="1" si="84"/>
        <v>312.46188756153174</v>
      </c>
      <c r="BZ130" s="9">
        <f t="shared" ca="1" si="85"/>
        <v>217.83495180683136</v>
      </c>
      <c r="CA130" s="6">
        <f t="shared" ca="1" si="86"/>
        <v>327.72755367775045</v>
      </c>
      <c r="CB130" s="6">
        <f t="shared" ca="1" si="87"/>
        <v>0.98416824992852303</v>
      </c>
      <c r="CC130" s="6">
        <f t="shared" ca="1" si="88"/>
        <v>2.6842296169616766</v>
      </c>
      <c r="CD130" s="9">
        <f t="shared" si="89"/>
        <v>117.83495180683136</v>
      </c>
      <c r="CE130" s="9">
        <f t="shared" si="90"/>
        <v>357.72755367775045</v>
      </c>
      <c r="CF130" s="6">
        <f t="shared" si="91"/>
        <v>1.2525912116246907</v>
      </c>
      <c r="CG130" s="6"/>
      <c r="CH130" s="6"/>
      <c r="CI130" s="6"/>
      <c r="CJ130" s="1"/>
      <c r="CK130" s="6"/>
    </row>
    <row r="131" spans="1:89" x14ac:dyDescent="0.25">
      <c r="A131" s="8" t="s">
        <v>132</v>
      </c>
      <c r="B131">
        <f ca="1">(U10-B127)/(D127-F127)</f>
        <v>0.903728008173313</v>
      </c>
      <c r="BC131">
        <v>2.2514747350726845</v>
      </c>
      <c r="BD131">
        <v>147.42182676019067</v>
      </c>
      <c r="BE131">
        <v>236.59905211674845</v>
      </c>
      <c r="BF131" s="6">
        <f t="shared" si="108"/>
        <v>1.013573733790512</v>
      </c>
      <c r="BG131" s="6">
        <f t="shared" si="109"/>
        <v>1.2379010012821725</v>
      </c>
      <c r="BH131" s="6">
        <f t="shared" ref="BH131:BH155" si="110">ATAN2(COS($U$13-BF131),SIN($U$13-BF131))</f>
        <v>-1.305030528268379</v>
      </c>
      <c r="BI131" s="6">
        <f t="shared" ref="BI131:BI155" si="111">ABS(BH131)</f>
        <v>1.305030528268379</v>
      </c>
      <c r="BJ131">
        <v>218.61254300356961</v>
      </c>
      <c r="BK131">
        <v>350.85388366279381</v>
      </c>
      <c r="BV131" s="37"/>
      <c r="BW131" s="6">
        <f t="shared" si="82"/>
        <v>2.0245819323134242</v>
      </c>
      <c r="BX131" s="9">
        <f t="shared" ca="1" si="83"/>
        <v>55.677167558608289</v>
      </c>
      <c r="BY131" s="9">
        <f t="shared" ca="1" si="84"/>
        <v>307.3168113561066</v>
      </c>
      <c r="BZ131" s="9">
        <f t="shared" ca="1" si="85"/>
        <v>214.13082706945133</v>
      </c>
      <c r="CA131" s="6">
        <f t="shared" ca="1" si="86"/>
        <v>322.58247747232531</v>
      </c>
      <c r="CB131" s="6">
        <f t="shared" ca="1" si="87"/>
        <v>0.9847797204145009</v>
      </c>
      <c r="CC131" s="6">
        <f t="shared" ca="1" si="88"/>
        <v>2.7296127213056112</v>
      </c>
      <c r="CD131" s="9">
        <f t="shared" si="89"/>
        <v>114.13082706945133</v>
      </c>
      <c r="CE131" s="9">
        <f t="shared" si="90"/>
        <v>352.58247747232531</v>
      </c>
      <c r="CF131" s="6">
        <f t="shared" si="91"/>
        <v>1.257740992545062</v>
      </c>
      <c r="CG131" s="6"/>
      <c r="CH131" s="6"/>
      <c r="CI131" s="6"/>
      <c r="CJ131" s="1"/>
      <c r="CK131" s="6"/>
    </row>
    <row r="132" spans="1:89" x14ac:dyDescent="0.25">
      <c r="A132" s="8" t="s">
        <v>77</v>
      </c>
      <c r="B132">
        <f ca="1">(B125+(B131*(D125-F125)))/12</f>
        <v>158.45365951084304</v>
      </c>
      <c r="BC132">
        <v>2.2689280275926276</v>
      </c>
      <c r="BD132">
        <v>140.22704534188381</v>
      </c>
      <c r="BE132">
        <v>227.4070015642904</v>
      </c>
      <c r="BF132" s="6">
        <f t="shared" si="108"/>
        <v>1.0182351454904397</v>
      </c>
      <c r="BG132" s="6">
        <f t="shared" si="109"/>
        <v>1.2506928821021879</v>
      </c>
      <c r="BH132" s="6">
        <f t="shared" si="110"/>
        <v>-1.3096919399683069</v>
      </c>
      <c r="BI132" s="6">
        <f t="shared" si="111"/>
        <v>1.3096919399683069</v>
      </c>
      <c r="BJ132">
        <v>209.74527139786696</v>
      </c>
      <c r="BK132">
        <v>340.1451064207132</v>
      </c>
      <c r="BV132" s="37"/>
      <c r="BW132" s="6">
        <f t="shared" si="82"/>
        <v>2.0420352248333673</v>
      </c>
      <c r="BX132" s="9">
        <f t="shared" ca="1" si="83"/>
        <v>51.998080915997946</v>
      </c>
      <c r="BY132" s="9">
        <f t="shared" ca="1" si="84"/>
        <v>302.19851779113878</v>
      </c>
      <c r="BZ132" s="9">
        <f t="shared" ca="1" si="85"/>
        <v>210.45174042684098</v>
      </c>
      <c r="CA132" s="6">
        <f t="shared" ca="1" si="86"/>
        <v>317.46418390735749</v>
      </c>
      <c r="CB132" s="6">
        <f t="shared" ca="1" si="87"/>
        <v>0.98539559377367669</v>
      </c>
      <c r="CC132" s="6">
        <f t="shared" ca="1" si="88"/>
        <v>2.7762250292509338</v>
      </c>
      <c r="CD132" s="9">
        <f t="shared" si="89"/>
        <v>110.45174042684098</v>
      </c>
      <c r="CE132" s="9">
        <f t="shared" si="90"/>
        <v>347.46418390735749</v>
      </c>
      <c r="CF132" s="6">
        <f t="shared" si="91"/>
        <v>1.2630180966987701</v>
      </c>
      <c r="CG132" s="6"/>
      <c r="CH132" s="6"/>
      <c r="CI132" s="6"/>
      <c r="CJ132" s="1"/>
      <c r="CK132" s="6"/>
    </row>
    <row r="133" spans="1:89" x14ac:dyDescent="0.25">
      <c r="A133" s="8" t="s">
        <v>125</v>
      </c>
      <c r="B133">
        <f ca="1">(B126+(B131*(D126-F126)))/12</f>
        <v>15.26566611621873</v>
      </c>
      <c r="BC133">
        <v>2.2863813201125707</v>
      </c>
      <c r="BD133">
        <v>132.88572886925652</v>
      </c>
      <c r="BE133">
        <v>217.95719992600681</v>
      </c>
      <c r="BF133" s="6">
        <f t="shared" si="108"/>
        <v>1.0232842699232338</v>
      </c>
      <c r="BG133" s="6">
        <f t="shared" si="109"/>
        <v>1.2630970501893368</v>
      </c>
      <c r="BH133" s="6">
        <f t="shared" si="110"/>
        <v>-1.3147410644011013</v>
      </c>
      <c r="BI133" s="6">
        <f t="shared" si="111"/>
        <v>1.3147410644011013</v>
      </c>
      <c r="BJ133">
        <v>200.56047106422471</v>
      </c>
      <c r="BK133">
        <v>328.95630750543739</v>
      </c>
      <c r="BV133" s="37"/>
      <c r="BW133" s="6">
        <f t="shared" si="82"/>
        <v>2.0594885173533104</v>
      </c>
      <c r="BX133" s="9">
        <f t="shared" ca="1" si="83"/>
        <v>48.341676891232936</v>
      </c>
      <c r="BY133" s="9">
        <f t="shared" ca="1" si="84"/>
        <v>297.10367494782975</v>
      </c>
      <c r="BZ133" s="9">
        <f t="shared" ca="1" si="85"/>
        <v>206.79533640207598</v>
      </c>
      <c r="CA133" s="6">
        <f t="shared" ca="1" si="86"/>
        <v>312.36934106404846</v>
      </c>
      <c r="CB133" s="6">
        <f t="shared" ca="1" si="87"/>
        <v>0.98601624642570884</v>
      </c>
      <c r="CC133" s="6">
        <f t="shared" ca="1" si="88"/>
        <v>2.8241440389745263</v>
      </c>
      <c r="CD133" s="9">
        <f t="shared" si="89"/>
        <v>106.79533640207598</v>
      </c>
      <c r="CE133" s="9">
        <f t="shared" si="90"/>
        <v>342.36934106404846</v>
      </c>
      <c r="CF133" s="6">
        <f t="shared" si="91"/>
        <v>1.2684306503231615</v>
      </c>
      <c r="CG133" s="6"/>
      <c r="CH133" s="6"/>
      <c r="CI133" s="6"/>
      <c r="CJ133" s="1"/>
      <c r="CK133" s="6"/>
    </row>
    <row r="134" spans="1:89" x14ac:dyDescent="0.25">
      <c r="BC134">
        <v>2.3038346126325138</v>
      </c>
      <c r="BD134">
        <v>125.3897472137093</v>
      </c>
      <c r="BE134">
        <v>208.23344882671722</v>
      </c>
      <c r="BF134" s="6">
        <f t="shared" si="108"/>
        <v>1.0287904793689695</v>
      </c>
      <c r="BG134" s="6">
        <f t="shared" si="109"/>
        <v>1.2750441332635443</v>
      </c>
      <c r="BH134" s="6">
        <f t="shared" si="110"/>
        <v>-1.3202472738468363</v>
      </c>
      <c r="BI134" s="6">
        <f t="shared" si="111"/>
        <v>1.3202472738468363</v>
      </c>
      <c r="BJ134">
        <v>191.03305449307393</v>
      </c>
      <c r="BK134">
        <v>317.24660636883209</v>
      </c>
      <c r="BV134" s="37"/>
      <c r="BW134" s="6">
        <f t="shared" si="82"/>
        <v>2.0769418098732535</v>
      </c>
      <c r="BX134" s="9">
        <f t="shared" ca="1" si="83"/>
        <v>44.705659811527369</v>
      </c>
      <c r="BY134" s="9">
        <f t="shared" ca="1" si="84"/>
        <v>292.02901359425266</v>
      </c>
      <c r="BZ134" s="9">
        <f t="shared" ca="1" si="85"/>
        <v>203.15931932237041</v>
      </c>
      <c r="CA134" s="6">
        <f t="shared" ca="1" si="86"/>
        <v>307.29467971047137</v>
      </c>
      <c r="CB134" s="6">
        <f t="shared" ca="1" si="87"/>
        <v>0.98664206379543595</v>
      </c>
      <c r="CC134" s="6">
        <f t="shared" ca="1" si="88"/>
        <v>2.8734529781656888</v>
      </c>
      <c r="CD134" s="9">
        <f t="shared" si="89"/>
        <v>103.15931932237041</v>
      </c>
      <c r="CE134" s="9">
        <f t="shared" si="90"/>
        <v>337.29467971047137</v>
      </c>
      <c r="CF134" s="6">
        <f t="shared" si="91"/>
        <v>1.2739873616120048</v>
      </c>
      <c r="CG134" s="6"/>
      <c r="CH134" s="6"/>
      <c r="CI134" s="6"/>
      <c r="CJ134" s="1"/>
      <c r="CK134" s="6"/>
    </row>
    <row r="135" spans="1:89" x14ac:dyDescent="0.25">
      <c r="A135" s="8"/>
      <c r="BC135">
        <v>2.3212879051524569</v>
      </c>
      <c r="BD135">
        <v>117.40437025021303</v>
      </c>
      <c r="BE135">
        <v>197.63358745691514</v>
      </c>
      <c r="BF135" s="6">
        <f t="shared" si="108"/>
        <v>1.0347627982830188</v>
      </c>
      <c r="BG135" s="6">
        <f t="shared" si="109"/>
        <v>1.2865251068694381</v>
      </c>
      <c r="BH135" s="6">
        <f t="shared" si="110"/>
        <v>-1.326219592760886</v>
      </c>
      <c r="BI135" s="6">
        <f t="shared" si="111"/>
        <v>1.326219592760886</v>
      </c>
      <c r="BJ135">
        <v>180.35857036192795</v>
      </c>
      <c r="BK135">
        <v>303.60804468574361</v>
      </c>
      <c r="BV135" s="37"/>
      <c r="BW135" s="6">
        <f t="shared" si="82"/>
        <v>2.0943951023931966</v>
      </c>
      <c r="BX135" s="9">
        <f t="shared" ca="1" si="83"/>
        <v>41.08778809855113</v>
      </c>
      <c r="BY135" s="9">
        <f t="shared" ca="1" si="84"/>
        <v>286.97131888323713</v>
      </c>
      <c r="BZ135" s="9">
        <f t="shared" ca="1" si="85"/>
        <v>199.54144760939417</v>
      </c>
      <c r="CA135" s="6">
        <f t="shared" ca="1" si="86"/>
        <v>302.23698499945584</v>
      </c>
      <c r="CB135" s="6">
        <f t="shared" ca="1" si="87"/>
        <v>0.98727344111385695</v>
      </c>
      <c r="CC135" s="6">
        <f t="shared" ca="1" si="88"/>
        <v>2.9242413619854837</v>
      </c>
      <c r="CD135" s="9">
        <f t="shared" si="89"/>
        <v>99.541447609394169</v>
      </c>
      <c r="CE135" s="9">
        <f t="shared" si="90"/>
        <v>332.23698499945584</v>
      </c>
      <c r="CF135" s="6">
        <f t="shared" si="91"/>
        <v>1.2796975773124053</v>
      </c>
      <c r="CG135" s="6"/>
      <c r="CH135" s="6"/>
      <c r="CI135" s="6"/>
      <c r="CJ135" s="1"/>
      <c r="CK135" s="6"/>
    </row>
    <row r="136" spans="1:89" x14ac:dyDescent="0.25">
      <c r="A136" s="50" t="s">
        <v>154</v>
      </c>
      <c r="BC136">
        <v>2.3387411976724</v>
      </c>
      <c r="BD136">
        <v>109.96148429873642</v>
      </c>
      <c r="BE136">
        <v>187.84593819379805</v>
      </c>
      <c r="BF136" s="6">
        <f t="shared" si="108"/>
        <v>1.0411952840176537</v>
      </c>
      <c r="BG136" s="6">
        <f t="shared" si="109"/>
        <v>1.2975459136547463</v>
      </c>
      <c r="BH136" s="6">
        <f t="shared" si="110"/>
        <v>-1.3326520784955209</v>
      </c>
      <c r="BI136" s="6">
        <f t="shared" si="111"/>
        <v>1.3326520784955209</v>
      </c>
      <c r="BJ136">
        <v>169.17151430574833</v>
      </c>
      <c r="BK136">
        <v>288.9937510673816</v>
      </c>
      <c r="BV136" s="37"/>
      <c r="BW136" s="6">
        <f t="shared" si="82"/>
        <v>2.1118483949131397</v>
      </c>
      <c r="BX136" s="9">
        <f t="shared" ca="1" si="83"/>
        <v>37.143817474798198</v>
      </c>
      <c r="BY136" s="9">
        <f t="shared" ca="1" si="84"/>
        <v>281.63648477659632</v>
      </c>
      <c r="BZ136" s="9">
        <f t="shared" ca="1" si="85"/>
        <v>195.59747698564124</v>
      </c>
      <c r="CA136" s="6">
        <f t="shared" ca="1" si="86"/>
        <v>296.90215089281503</v>
      </c>
      <c r="CB136" s="6">
        <f t="shared" ca="1" si="87"/>
        <v>0.9882635673885013</v>
      </c>
      <c r="CC136" s="6">
        <f t="shared" ca="1" si="88"/>
        <v>2.9803113312509542</v>
      </c>
      <c r="CD136" s="9">
        <f t="shared" si="89"/>
        <v>95.597476985641237</v>
      </c>
      <c r="CE136" s="9">
        <f t="shared" si="90"/>
        <v>326.90215089281503</v>
      </c>
      <c r="CF136" s="6">
        <f t="shared" si="91"/>
        <v>1.2862947005135967</v>
      </c>
      <c r="CG136" s="6"/>
      <c r="CH136" s="6"/>
      <c r="CI136" s="6"/>
      <c r="CJ136" s="1"/>
      <c r="CK136" s="6"/>
    </row>
    <row r="137" spans="1:89" x14ac:dyDescent="0.25">
      <c r="A137" t="s">
        <v>155</v>
      </c>
      <c r="BC137">
        <v>2.3561944901923431</v>
      </c>
      <c r="BD137">
        <v>102.40311446336879</v>
      </c>
      <c r="BE137">
        <v>177.8470104785936</v>
      </c>
      <c r="BF137" s="6">
        <f t="shared" si="108"/>
        <v>1.048366076314043</v>
      </c>
      <c r="BG137" s="6">
        <f t="shared" si="109"/>
        <v>1.3078284138783001</v>
      </c>
      <c r="BH137" s="6">
        <f t="shared" si="110"/>
        <v>-1.3398228707919098</v>
      </c>
      <c r="BI137" s="6">
        <f t="shared" si="111"/>
        <v>1.3398228707919098</v>
      </c>
      <c r="BJ137">
        <v>157.54325302056736</v>
      </c>
      <c r="BK137">
        <v>273.61078535168247</v>
      </c>
      <c r="BV137" s="37"/>
      <c r="BW137" s="6">
        <f t="shared" si="82"/>
        <v>2.1293016874330828</v>
      </c>
      <c r="BX137" s="9">
        <f t="shared" ca="1" si="83"/>
        <v>31.947589407352183</v>
      </c>
      <c r="BY137" s="9">
        <f t="shared" ca="1" si="84"/>
        <v>275.21438067108136</v>
      </c>
      <c r="BZ137" s="9">
        <f t="shared" ca="1" si="85"/>
        <v>190.40124891819522</v>
      </c>
      <c r="CA137" s="6">
        <f t="shared" ca="1" si="86"/>
        <v>290.48004678730007</v>
      </c>
      <c r="CB137" s="6">
        <f t="shared" ca="1" si="87"/>
        <v>0.99058466497234954</v>
      </c>
      <c r="CC137" s="6">
        <f t="shared" ca="1" si="88"/>
        <v>3.0527453290023376</v>
      </c>
      <c r="CD137" s="9">
        <f t="shared" si="89"/>
        <v>90.401248918195222</v>
      </c>
      <c r="CE137" s="9">
        <f t="shared" si="90"/>
        <v>320.48004678730007</v>
      </c>
      <c r="CF137" s="6">
        <f t="shared" si="91"/>
        <v>1.2958591978725833</v>
      </c>
      <c r="CG137" s="6"/>
      <c r="CH137" s="6"/>
      <c r="CI137" s="6"/>
      <c r="CJ137" s="1"/>
      <c r="CK137" s="6"/>
    </row>
    <row r="138" spans="1:89" ht="18" x14ac:dyDescent="0.35">
      <c r="A138" t="s">
        <v>156</v>
      </c>
      <c r="B138" t="s">
        <v>157</v>
      </c>
      <c r="BC138">
        <v>2.3736477827122862</v>
      </c>
      <c r="BD138">
        <v>94.740522251655605</v>
      </c>
      <c r="BE138">
        <v>167.65955048581552</v>
      </c>
      <c r="BF138" s="6">
        <f t="shared" si="108"/>
        <v>1.0564515715611968</v>
      </c>
      <c r="BG138" s="6">
        <f t="shared" si="109"/>
        <v>1.3171962111510893</v>
      </c>
      <c r="BH138" s="6">
        <f t="shared" si="110"/>
        <v>-1.3479083660390636</v>
      </c>
      <c r="BI138" s="6">
        <f t="shared" si="111"/>
        <v>1.3479083660390636</v>
      </c>
      <c r="BJ138">
        <v>145.7546496179317</v>
      </c>
      <c r="BK138">
        <v>257.9377699781777</v>
      </c>
      <c r="BV138" s="37"/>
      <c r="BW138" s="6">
        <f t="shared" si="82"/>
        <v>2.1467549799530259</v>
      </c>
      <c r="BX138" s="9">
        <f t="shared" ca="1" si="83"/>
        <v>26.728131297691505</v>
      </c>
      <c r="BY138" s="9">
        <f t="shared" ca="1" si="84"/>
        <v>268.73533137197154</v>
      </c>
      <c r="BZ138" s="9">
        <f t="shared" ca="1" si="85"/>
        <v>185.18179080853454</v>
      </c>
      <c r="CA138" s="6">
        <f t="shared" ca="1" si="86"/>
        <v>284.00099748819025</v>
      </c>
      <c r="CB138" s="6">
        <f t="shared" ca="1" si="87"/>
        <v>0.99298394903046527</v>
      </c>
      <c r="CC138" s="6">
        <f t="shared" ca="1" si="88"/>
        <v>3.1290908573477267</v>
      </c>
      <c r="CD138" s="9">
        <f t="shared" si="89"/>
        <v>85.181790808534544</v>
      </c>
      <c r="CE138" s="9">
        <f t="shared" si="90"/>
        <v>314.00099748819025</v>
      </c>
      <c r="CF138" s="6">
        <f t="shared" si="91"/>
        <v>1.305893034765238</v>
      </c>
      <c r="CG138" s="6"/>
      <c r="CH138" s="6"/>
      <c r="CI138" s="6"/>
      <c r="CJ138" s="1"/>
      <c r="CK138" s="6"/>
    </row>
    <row r="139" spans="1:89" ht="18" x14ac:dyDescent="0.35">
      <c r="A139" t="s">
        <v>158</v>
      </c>
      <c r="B139" t="s">
        <v>159</v>
      </c>
      <c r="BC139">
        <v>2.3911010752322293</v>
      </c>
      <c r="BD139">
        <v>86.796118707948395</v>
      </c>
      <c r="BE139">
        <v>157.20977528250401</v>
      </c>
      <c r="BF139" s="6">
        <f t="shared" si="108"/>
        <v>1.0663393280013662</v>
      </c>
      <c r="BG139" s="6">
        <f t="shared" si="109"/>
        <v>1.324761747230863</v>
      </c>
      <c r="BH139" s="6">
        <f t="shared" si="110"/>
        <v>-1.3577961224792328</v>
      </c>
      <c r="BI139" s="6">
        <f t="shared" si="111"/>
        <v>1.3577961224792328</v>
      </c>
      <c r="BJ139">
        <v>133.53249031992061</v>
      </c>
      <c r="BK139">
        <v>241.86119274231385</v>
      </c>
      <c r="BV139" s="37"/>
      <c r="BW139" s="6">
        <f t="shared" si="82"/>
        <v>2.164208272472969</v>
      </c>
      <c r="BX139" s="9">
        <f t="shared" ca="1" si="83"/>
        <v>21.484069777010177</v>
      </c>
      <c r="BY139" s="9">
        <f t="shared" ca="1" si="84"/>
        <v>262.19663343103338</v>
      </c>
      <c r="BZ139" s="9">
        <f t="shared" ca="1" si="85"/>
        <v>179.93772928785322</v>
      </c>
      <c r="CA139" s="6">
        <f t="shared" ca="1" si="86"/>
        <v>277.46229954725209</v>
      </c>
      <c r="CB139" s="6">
        <f t="shared" ca="1" si="87"/>
        <v>0.99546761337571932</v>
      </c>
      <c r="CC139" s="6">
        <f t="shared" ca="1" si="88"/>
        <v>3.2096817542552616</v>
      </c>
      <c r="CD139" s="9">
        <f t="shared" si="89"/>
        <v>79.937729287853216</v>
      </c>
      <c r="CE139" s="9">
        <f t="shared" si="90"/>
        <v>307.46229954725209</v>
      </c>
      <c r="CF139" s="6">
        <f t="shared" si="91"/>
        <v>1.3164357888012455</v>
      </c>
      <c r="CG139" s="6"/>
      <c r="CH139" s="6"/>
      <c r="CI139" s="6"/>
      <c r="CJ139" s="1"/>
      <c r="CK139" s="6"/>
    </row>
    <row r="140" spans="1:89" ht="18" x14ac:dyDescent="0.35">
      <c r="A140" t="s">
        <v>160</v>
      </c>
      <c r="BC140">
        <v>2.4085543677521724</v>
      </c>
      <c r="BD140">
        <v>78.643391620456271</v>
      </c>
      <c r="BE140">
        <v>146.52422581760391</v>
      </c>
      <c r="BF140" s="6">
        <f t="shared" si="108"/>
        <v>1.0782012139402957</v>
      </c>
      <c r="BG140" s="6">
        <f t="shared" si="109"/>
        <v>1.3303531538118767</v>
      </c>
      <c r="BH140" s="6">
        <f t="shared" si="110"/>
        <v>-1.3696580084181627</v>
      </c>
      <c r="BI140" s="6">
        <f t="shared" si="111"/>
        <v>1.3696580084181627</v>
      </c>
      <c r="BJ140">
        <v>120.98983326224041</v>
      </c>
      <c r="BK140">
        <v>225.42188587323676</v>
      </c>
      <c r="BV140" s="37"/>
      <c r="BW140" s="6">
        <f t="shared" si="82"/>
        <v>2.1816615649929121</v>
      </c>
      <c r="BX140" s="9">
        <f t="shared" ca="1" si="83"/>
        <v>15.683934990085959</v>
      </c>
      <c r="BY140" s="9">
        <f t="shared" ca="1" si="84"/>
        <v>254.9572530256992</v>
      </c>
      <c r="BZ140" s="9">
        <f t="shared" ca="1" si="85"/>
        <v>174.137594500929</v>
      </c>
      <c r="CA140" s="6">
        <f t="shared" ca="1" si="86"/>
        <v>270.22291914191794</v>
      </c>
      <c r="CB140" s="6">
        <f t="shared" ca="1" si="87"/>
        <v>0.99835237016634271</v>
      </c>
      <c r="CC140" s="6">
        <f t="shared" ca="1" si="88"/>
        <v>3.3034564383184826</v>
      </c>
      <c r="CD140" s="9">
        <f t="shared" si="89"/>
        <v>74.137594500928998</v>
      </c>
      <c r="CE140" s="9">
        <f t="shared" si="90"/>
        <v>300.22291914191794</v>
      </c>
      <c r="CF140" s="6">
        <f t="shared" si="91"/>
        <v>1.328698013998191</v>
      </c>
      <c r="CG140" s="6"/>
      <c r="CH140" s="6"/>
      <c r="CI140" s="6"/>
      <c r="CJ140" s="1"/>
      <c r="CK140" s="6"/>
    </row>
    <row r="141" spans="1:89" ht="18.75" x14ac:dyDescent="0.35">
      <c r="A141" t="s">
        <v>161</v>
      </c>
      <c r="B141" t="s">
        <v>162</v>
      </c>
      <c r="BC141">
        <v>2.4260076602721155</v>
      </c>
      <c r="BD141">
        <v>70.364371489116451</v>
      </c>
      <c r="BE141">
        <v>135.64492954488296</v>
      </c>
      <c r="BF141" s="6">
        <f t="shared" si="108"/>
        <v>1.0922698203047625</v>
      </c>
      <c r="BG141" s="6">
        <f t="shared" si="109"/>
        <v>1.333737839967353</v>
      </c>
      <c r="BH141" s="6">
        <f t="shared" si="110"/>
        <v>-1.3837266147826297</v>
      </c>
      <c r="BI141" s="6">
        <f t="shared" si="111"/>
        <v>1.3837266147826297</v>
      </c>
      <c r="BJ141">
        <v>108.2528792140253</v>
      </c>
      <c r="BK141">
        <v>208.68450699212761</v>
      </c>
      <c r="BV141" s="37"/>
      <c r="BW141" s="6">
        <f t="shared" si="82"/>
        <v>2.1991148575128552</v>
      </c>
      <c r="BX141" s="9">
        <f t="shared" ca="1" si="83"/>
        <v>9.6970319266754927</v>
      </c>
      <c r="BY141" s="9">
        <f t="shared" ca="1" si="84"/>
        <v>247.44919990915017</v>
      </c>
      <c r="BZ141" s="9">
        <f t="shared" ca="1" si="85"/>
        <v>168.15069143751853</v>
      </c>
      <c r="CA141" s="6">
        <f t="shared" ca="1" si="86"/>
        <v>262.71486602536891</v>
      </c>
      <c r="CB141" s="6">
        <f t="shared" ca="1" si="87"/>
        <v>1.001447553552048</v>
      </c>
      <c r="CC141" s="6">
        <f t="shared" ca="1" si="88"/>
        <v>3.4060107805022199</v>
      </c>
      <c r="CD141" s="9">
        <f t="shared" si="89"/>
        <v>68.150691437518532</v>
      </c>
      <c r="CE141" s="9">
        <f t="shared" si="90"/>
        <v>292.71486602536891</v>
      </c>
      <c r="CF141" s="6">
        <f t="shared" si="91"/>
        <v>1.3420486316022699</v>
      </c>
      <c r="CG141" s="6"/>
      <c r="CH141" s="6"/>
      <c r="CI141" s="6"/>
      <c r="CJ141" s="1"/>
      <c r="CK141" s="6"/>
    </row>
    <row r="142" spans="1:89" x14ac:dyDescent="0.25">
      <c r="BC142">
        <v>2.4434609527920585</v>
      </c>
      <c r="BD142">
        <v>62.033086819750537</v>
      </c>
      <c r="BE142">
        <v>124.61870967433535</v>
      </c>
      <c r="BF142" s="6">
        <f t="shared" si="108"/>
        <v>1.1089238151564906</v>
      </c>
      <c r="BG142" s="6">
        <f t="shared" si="109"/>
        <v>1.3345371376355679</v>
      </c>
      <c r="BH142" s="6">
        <f t="shared" si="110"/>
        <v>-1.4003806096343576</v>
      </c>
      <c r="BI142" s="6">
        <f t="shared" si="111"/>
        <v>1.4003806096343576</v>
      </c>
      <c r="BJ142">
        <v>95.435518184231597</v>
      </c>
      <c r="BK142">
        <v>191.72109180666976</v>
      </c>
      <c r="BV142" s="37"/>
      <c r="BW142" s="6">
        <f t="shared" si="82"/>
        <v>2.2165681500327983</v>
      </c>
      <c r="BX142" s="9">
        <f t="shared" ca="1" si="83"/>
        <v>2.9486616343399703</v>
      </c>
      <c r="BY142" s="9">
        <f t="shared" ca="1" si="84"/>
        <v>239.00354331990994</v>
      </c>
      <c r="BZ142" s="9">
        <f t="shared" ca="1" si="85"/>
        <v>161.40232114518301</v>
      </c>
      <c r="CA142" s="6">
        <f t="shared" ca="1" si="86"/>
        <v>254.26920943612868</v>
      </c>
      <c r="CB142" s="6">
        <f t="shared" ca="1" si="87"/>
        <v>1.0052026285312914</v>
      </c>
      <c r="CC142" s="6">
        <f t="shared" ca="1" si="88"/>
        <v>3.5286133979577179</v>
      </c>
      <c r="CD142" s="9">
        <f t="shared" si="89"/>
        <v>61.402321145183009</v>
      </c>
      <c r="CE142" s="9">
        <f t="shared" si="90"/>
        <v>284.26920943612868</v>
      </c>
      <c r="CF142" s="6">
        <f t="shared" si="91"/>
        <v>1.3580639683270632</v>
      </c>
      <c r="CG142" s="6"/>
      <c r="CH142" s="6"/>
      <c r="CI142" s="6"/>
      <c r="CJ142" s="1"/>
      <c r="CK142" s="6"/>
    </row>
    <row r="143" spans="1:89" x14ac:dyDescent="0.25">
      <c r="A143" t="s">
        <v>163</v>
      </c>
      <c r="B143" s="3">
        <f>B2*1000</f>
        <v>5000</v>
      </c>
      <c r="C143" t="s">
        <v>164</v>
      </c>
      <c r="BC143">
        <v>2.4609142453120016</v>
      </c>
      <c r="BD143">
        <v>53.717643858496167</v>
      </c>
      <c r="BE143">
        <v>113.49874201507272</v>
      </c>
      <c r="BF143" s="6">
        <f t="shared" si="108"/>
        <v>1.1287453863342298</v>
      </c>
      <c r="BG143" s="6">
        <f t="shared" si="109"/>
        <v>1.3321688589777718</v>
      </c>
      <c r="BH143" s="6">
        <f t="shared" si="110"/>
        <v>-1.4202021808120968</v>
      </c>
      <c r="BI143" s="6">
        <f t="shared" si="111"/>
        <v>1.4202021808120968</v>
      </c>
      <c r="BJ143">
        <v>82.642529013071027</v>
      </c>
      <c r="BK143">
        <v>174.61344925395804</v>
      </c>
      <c r="BV143" s="37"/>
      <c r="BW143" s="6">
        <f t="shared" si="82"/>
        <v>2.2340214425527414</v>
      </c>
      <c r="BX143" s="9">
        <f t="shared" ca="1" si="83"/>
        <v>-3.9758583363530136</v>
      </c>
      <c r="BY143" s="9">
        <f t="shared" ca="1" si="84"/>
        <v>230.28276665042645</v>
      </c>
      <c r="BZ143" s="9">
        <f t="shared" ca="1" si="85"/>
        <v>154.47780117449003</v>
      </c>
      <c r="CA143" s="6">
        <f t="shared" ca="1" si="86"/>
        <v>245.54843276664519</v>
      </c>
      <c r="CB143" s="6">
        <f t="shared" ca="1" si="87"/>
        <v>1.0092445518045219</v>
      </c>
      <c r="CC143" s="6">
        <f t="shared" ca="1" si="88"/>
        <v>3.6636217640797764</v>
      </c>
      <c r="CD143" s="9">
        <f t="shared" si="89"/>
        <v>54.477801174490025</v>
      </c>
      <c r="CE143" s="9">
        <f t="shared" si="90"/>
        <v>275.54843276664519</v>
      </c>
      <c r="CF143" s="6">
        <f t="shared" si="91"/>
        <v>1.3756067282124995</v>
      </c>
      <c r="CG143" s="6"/>
      <c r="CH143" s="6"/>
      <c r="CI143" s="6"/>
      <c r="CJ143" s="1"/>
      <c r="CK143" s="6"/>
    </row>
    <row r="144" spans="1:89" x14ac:dyDescent="0.25">
      <c r="A144" t="s">
        <v>2</v>
      </c>
      <c r="B144" s="3">
        <f>B3*1000</f>
        <v>4030508.6527633211</v>
      </c>
      <c r="C144" t="s">
        <v>164</v>
      </c>
      <c r="BC144">
        <v>2.4783675378319447</v>
      </c>
      <c r="BD144">
        <v>45.48192359217947</v>
      </c>
      <c r="BE144">
        <v>102.34648430267259</v>
      </c>
      <c r="BF144" s="6">
        <f t="shared" si="108"/>
        <v>1.1526160795827702</v>
      </c>
      <c r="BG144" s="6">
        <f t="shared" si="109"/>
        <v>1.3257514582491745</v>
      </c>
      <c r="BH144" s="6">
        <f t="shared" si="110"/>
        <v>-1.4440728740606377</v>
      </c>
      <c r="BI144" s="6">
        <f t="shared" si="111"/>
        <v>1.4440728740606377</v>
      </c>
      <c r="BJ144">
        <v>69.972190141814565</v>
      </c>
      <c r="BK144">
        <v>157.45612969641937</v>
      </c>
      <c r="BV144" s="37"/>
      <c r="BW144" s="6">
        <f t="shared" ref="BW144:BW207" si="112">IF(BC131="",NA(),BC131)</f>
        <v>2.2514747350726845</v>
      </c>
      <c r="BX144" s="9">
        <f t="shared" ref="BX144:BX207" ca="1" si="113">BD131-$BW$5</f>
        <v>-11.03183275065237</v>
      </c>
      <c r="BY144" s="9">
        <f t="shared" ref="BY144:BY207" ca="1" si="114">BE131-$BX$5</f>
        <v>221.33338600052971</v>
      </c>
      <c r="BZ144" s="9">
        <f t="shared" ref="BZ144:BZ207" ca="1" si="115">BX144-$CE$5</f>
        <v>147.42182676019067</v>
      </c>
      <c r="CA144" s="6">
        <f t="shared" ref="CA144:CA207" ca="1" si="116">BY144-$CF$5</f>
        <v>236.59905211674845</v>
      </c>
      <c r="CB144" s="6">
        <f t="shared" ref="CB144:CB207" ca="1" si="117">ATAN2(BZ144,CA144)</f>
        <v>1.013573733790512</v>
      </c>
      <c r="CC144" s="6">
        <f t="shared" ref="CC144:CC207" ca="1" si="118">ATAN2(COS(CF144-CB144),SIN(CF144-CB144))*10</f>
        <v>3.8118683347313009</v>
      </c>
      <c r="CD144" s="9">
        <f t="shared" ref="CD144:CD207" si="119">BD131-$BW$6</f>
        <v>47.421826760190669</v>
      </c>
      <c r="CE144" s="9">
        <f t="shared" ref="CE144:CE207" si="120">BE131-$BX$6</f>
        <v>266.59905211674845</v>
      </c>
      <c r="CF144" s="6">
        <f t="shared" ref="CF144:CF207" si="121">ATAN2(CD144,CE144)</f>
        <v>1.3947605672636421</v>
      </c>
      <c r="CG144" s="6"/>
      <c r="CH144" s="6"/>
      <c r="CI144" s="6"/>
      <c r="CJ144" s="1"/>
      <c r="CK144" s="6"/>
    </row>
    <row r="145" spans="1:89" ht="18" x14ac:dyDescent="0.35">
      <c r="A145" t="s">
        <v>156</v>
      </c>
      <c r="B145" s="1">
        <f>(2*0.85*B143)/B144</f>
        <v>2.1089149614335629E-3</v>
      </c>
      <c r="C145" t="s">
        <v>165</v>
      </c>
      <c r="BC145">
        <v>2.4958208303518878</v>
      </c>
      <c r="BD145">
        <v>37.386873762465086</v>
      </c>
      <c r="BE145">
        <v>91.234032957325923</v>
      </c>
      <c r="BF145" s="6">
        <f t="shared" si="108"/>
        <v>1.1818781429913505</v>
      </c>
      <c r="BG145" s="6">
        <f t="shared" si="109"/>
        <v>1.3139426873605373</v>
      </c>
      <c r="BH145" s="6">
        <f t="shared" si="110"/>
        <v>-1.4733349374692175</v>
      </c>
      <c r="BI145" s="6">
        <f t="shared" si="111"/>
        <v>1.4733349374692175</v>
      </c>
      <c r="BJ145">
        <v>57.518267326869363</v>
      </c>
      <c r="BK145">
        <v>140.36005070357834</v>
      </c>
      <c r="BV145" s="37"/>
      <c r="BW145" s="6">
        <f t="shared" si="112"/>
        <v>2.2689280275926276</v>
      </c>
      <c r="BX145" s="9">
        <f t="shared" ca="1" si="113"/>
        <v>-18.22661416895923</v>
      </c>
      <c r="BY145" s="9">
        <f t="shared" ca="1" si="114"/>
        <v>212.14133544807166</v>
      </c>
      <c r="BZ145" s="9">
        <f t="shared" ca="1" si="115"/>
        <v>140.22704534188381</v>
      </c>
      <c r="CA145" s="6">
        <f t="shared" ca="1" si="116"/>
        <v>227.4070015642904</v>
      </c>
      <c r="CB145" s="6">
        <f t="shared" ca="1" si="117"/>
        <v>1.0182351454904397</v>
      </c>
      <c r="CC145" s="6">
        <f t="shared" ca="1" si="118"/>
        <v>3.9753712973735627</v>
      </c>
      <c r="CD145" s="9">
        <f t="shared" si="119"/>
        <v>40.227045341883809</v>
      </c>
      <c r="CE145" s="9">
        <f t="shared" si="120"/>
        <v>257.4070015642904</v>
      </c>
      <c r="CF145" s="6">
        <f t="shared" si="121"/>
        <v>1.4157722752277959</v>
      </c>
      <c r="CG145" s="6"/>
      <c r="CH145" s="6"/>
      <c r="CI145" s="6"/>
      <c r="CJ145" s="1"/>
      <c r="CK145" s="6"/>
    </row>
    <row r="146" spans="1:89" ht="18" x14ac:dyDescent="0.35">
      <c r="A146" t="s">
        <v>166</v>
      </c>
      <c r="B146" s="1">
        <v>3.0000000000000001E-3</v>
      </c>
      <c r="C146" t="s">
        <v>165</v>
      </c>
      <c r="BC146">
        <v>2.5132741228718309</v>
      </c>
      <c r="BD146">
        <v>29.491278860374603</v>
      </c>
      <c r="BE146">
        <v>80.246971211013005</v>
      </c>
      <c r="BF146" s="6">
        <f t="shared" si="108"/>
        <v>1.2186114814151339</v>
      </c>
      <c r="BG146" s="6">
        <f t="shared" si="109"/>
        <v>1.2946626414566971</v>
      </c>
      <c r="BH146" s="6">
        <f t="shared" si="110"/>
        <v>-1.5100682758930006</v>
      </c>
      <c r="BI146" s="6">
        <f t="shared" si="111"/>
        <v>1.5100682758930006</v>
      </c>
      <c r="BJ146">
        <v>45.37119824673016</v>
      </c>
      <c r="BK146">
        <v>123.45687878617385</v>
      </c>
      <c r="BV146" s="37"/>
      <c r="BW146" s="6">
        <f t="shared" si="112"/>
        <v>2.2863813201125707</v>
      </c>
      <c r="BX146" s="9">
        <f t="shared" ca="1" si="113"/>
        <v>-25.567930641586514</v>
      </c>
      <c r="BY146" s="9">
        <f t="shared" ca="1" si="114"/>
        <v>202.69153380978807</v>
      </c>
      <c r="BZ146" s="9">
        <f t="shared" ca="1" si="115"/>
        <v>132.88572886925652</v>
      </c>
      <c r="CA146" s="6">
        <f t="shared" ca="1" si="116"/>
        <v>217.95719992600681</v>
      </c>
      <c r="CB146" s="6">
        <f t="shared" ca="1" si="117"/>
        <v>1.0232842699232338</v>
      </c>
      <c r="CC146" s="6">
        <f t="shared" ca="1" si="118"/>
        <v>4.1565494372783025</v>
      </c>
      <c r="CD146" s="9">
        <f t="shared" si="119"/>
        <v>32.885728869256525</v>
      </c>
      <c r="CE146" s="9">
        <f t="shared" si="120"/>
        <v>247.95719992600681</v>
      </c>
      <c r="CF146" s="6">
        <f t="shared" si="121"/>
        <v>1.4389392136510641</v>
      </c>
      <c r="CG146" s="6"/>
      <c r="CH146" s="6"/>
      <c r="CI146" s="6"/>
      <c r="CJ146" s="1"/>
      <c r="CK146" s="6"/>
    </row>
    <row r="147" spans="1:89" ht="18" x14ac:dyDescent="0.35">
      <c r="A147" t="s">
        <v>167</v>
      </c>
      <c r="B147" s="1">
        <f>B146/B145</f>
        <v>1.422532465681172</v>
      </c>
      <c r="C147" t="s">
        <v>168</v>
      </c>
      <c r="BC147">
        <v>2.530727415391774</v>
      </c>
      <c r="BD147">
        <v>21.851725146281748</v>
      </c>
      <c r="BE147">
        <v>69.487777131476477</v>
      </c>
      <c r="BF147" s="6">
        <f t="shared" si="108"/>
        <v>1.2661189921574929</v>
      </c>
      <c r="BG147" s="6">
        <f t="shared" si="109"/>
        <v>1.2646084232342811</v>
      </c>
      <c r="BH147" s="6">
        <f t="shared" si="110"/>
        <v>-1.5575757866353597</v>
      </c>
      <c r="BI147" s="6">
        <f t="shared" si="111"/>
        <v>1.5575757866353597</v>
      </c>
      <c r="BJ147">
        <v>33.618038686587305</v>
      </c>
      <c r="BK147">
        <v>106.9042725099638</v>
      </c>
      <c r="BV147" s="37"/>
      <c r="BW147" s="6">
        <f t="shared" si="112"/>
        <v>2.3038346126325138</v>
      </c>
      <c r="BX147" s="9">
        <f t="shared" ca="1" si="113"/>
        <v>-33.06391229713374</v>
      </c>
      <c r="BY147" s="9">
        <f t="shared" ca="1" si="114"/>
        <v>192.96778271049848</v>
      </c>
      <c r="BZ147" s="9">
        <f t="shared" ca="1" si="115"/>
        <v>125.3897472137093</v>
      </c>
      <c r="CA147" s="6">
        <f t="shared" ca="1" si="116"/>
        <v>208.23344882671722</v>
      </c>
      <c r="CB147" s="6">
        <f t="shared" ca="1" si="117"/>
        <v>1.0287904793689695</v>
      </c>
      <c r="CC147" s="6">
        <f t="shared" ca="1" si="118"/>
        <v>4.3583154860955897</v>
      </c>
      <c r="CD147" s="9">
        <f t="shared" si="119"/>
        <v>25.389747213709299</v>
      </c>
      <c r="CE147" s="9">
        <f t="shared" si="120"/>
        <v>238.23344882671722</v>
      </c>
      <c r="CF147" s="6">
        <f t="shared" si="121"/>
        <v>1.4646220279785285</v>
      </c>
      <c r="CG147" s="6"/>
      <c r="CH147" s="6"/>
      <c r="CI147" s="6"/>
      <c r="CJ147" s="1"/>
      <c r="CK147" s="6"/>
    </row>
    <row r="148" spans="1:89" ht="18" x14ac:dyDescent="0.35">
      <c r="A148" t="s">
        <v>169</v>
      </c>
      <c r="B148" s="6">
        <f>G38</f>
        <v>12.837126023674754</v>
      </c>
      <c r="C148" t="s">
        <v>4</v>
      </c>
      <c r="BC148">
        <v>2.5481807079117171</v>
      </c>
      <c r="BD148">
        <v>14.521159903895677</v>
      </c>
      <c r="BE148">
        <v>59.079871311091665</v>
      </c>
      <c r="BF148" s="6">
        <f t="shared" si="108"/>
        <v>1.3297852283055167</v>
      </c>
      <c r="BG148" s="6">
        <f t="shared" si="109"/>
        <v>1.2183954796062004</v>
      </c>
      <c r="BH148" s="6">
        <f t="shared" si="110"/>
        <v>-1.6212420227833839</v>
      </c>
      <c r="BI148" s="6">
        <f t="shared" si="111"/>
        <v>1.6212420227833839</v>
      </c>
      <c r="BJ148">
        <v>22.34024600599335</v>
      </c>
      <c r="BK148">
        <v>90.892109709371795</v>
      </c>
      <c r="BV148" s="37"/>
      <c r="BW148" s="6">
        <f t="shared" si="112"/>
        <v>2.3212879051524569</v>
      </c>
      <c r="BX148" s="9">
        <f t="shared" ca="1" si="113"/>
        <v>-41.049289260630005</v>
      </c>
      <c r="BY148" s="9">
        <f t="shared" ca="1" si="114"/>
        <v>182.3679213406964</v>
      </c>
      <c r="BZ148" s="9">
        <f t="shared" ca="1" si="115"/>
        <v>117.40437025021303</v>
      </c>
      <c r="CA148" s="6">
        <f t="shared" ca="1" si="116"/>
        <v>197.63358745691514</v>
      </c>
      <c r="CB148" s="6">
        <f t="shared" ca="1" si="117"/>
        <v>1.0347627982830188</v>
      </c>
      <c r="CC148" s="6">
        <f t="shared" ca="1" si="118"/>
        <v>4.5972416332523913</v>
      </c>
      <c r="CD148" s="9">
        <f t="shared" si="119"/>
        <v>17.404370250213034</v>
      </c>
      <c r="CE148" s="9">
        <f t="shared" si="120"/>
        <v>227.63358745691514</v>
      </c>
      <c r="CF148" s="6">
        <f t="shared" si="121"/>
        <v>1.4944869616082579</v>
      </c>
      <c r="CG148" s="6"/>
      <c r="CH148" s="6"/>
      <c r="CI148" s="6"/>
      <c r="CJ148" s="1"/>
      <c r="CK148" s="6"/>
    </row>
    <row r="149" spans="1:89" x14ac:dyDescent="0.25">
      <c r="B149" s="1"/>
      <c r="BC149">
        <v>2.5656340004316602</v>
      </c>
      <c r="BD149">
        <v>7.1334645664263654</v>
      </c>
      <c r="BE149">
        <v>46.820673992164949</v>
      </c>
      <c r="BF149" s="6">
        <f t="shared" si="108"/>
        <v>1.4196018965446024</v>
      </c>
      <c r="BG149" s="6">
        <f t="shared" si="109"/>
        <v>1.1460321038870578</v>
      </c>
      <c r="BH149" s="6">
        <f t="shared" si="110"/>
        <v>-1.7110586910224692</v>
      </c>
      <c r="BI149" s="6">
        <f t="shared" si="111"/>
        <v>1.7110586910224692</v>
      </c>
      <c r="BJ149">
        <v>10.974560871425178</v>
      </c>
      <c r="BK149">
        <v>72.031806141792231</v>
      </c>
      <c r="BV149" s="37"/>
      <c r="BW149" s="6">
        <f t="shared" si="112"/>
        <v>2.3387411976724</v>
      </c>
      <c r="BX149" s="9">
        <f t="shared" ca="1" si="113"/>
        <v>-48.492175212106616</v>
      </c>
      <c r="BY149" s="9">
        <f t="shared" ca="1" si="114"/>
        <v>172.58027207757931</v>
      </c>
      <c r="BZ149" s="9">
        <f t="shared" ca="1" si="115"/>
        <v>109.96148429873642</v>
      </c>
      <c r="CA149" s="6">
        <f t="shared" ca="1" si="116"/>
        <v>187.84593819379805</v>
      </c>
      <c r="CB149" s="6">
        <f t="shared" ca="1" si="117"/>
        <v>1.0411952840176537</v>
      </c>
      <c r="CC149" s="6">
        <f t="shared" ca="1" si="118"/>
        <v>4.8390567658377259</v>
      </c>
      <c r="CD149" s="9">
        <f t="shared" si="119"/>
        <v>9.9614842987364227</v>
      </c>
      <c r="CE149" s="9">
        <f t="shared" si="120"/>
        <v>217.84593819379805</v>
      </c>
      <c r="CF149" s="6">
        <f t="shared" si="121"/>
        <v>1.5251009606014263</v>
      </c>
      <c r="CG149" s="6"/>
      <c r="CH149" s="6"/>
      <c r="CI149" s="6"/>
      <c r="CJ149" s="1"/>
      <c r="CK149" s="6"/>
    </row>
    <row r="150" spans="1:89" x14ac:dyDescent="0.25">
      <c r="A150" t="s">
        <v>170</v>
      </c>
      <c r="B150" s="49">
        <f>B28</f>
        <v>2.6392594719216254</v>
      </c>
      <c r="C150" t="s">
        <v>4</v>
      </c>
      <c r="D150" t="s">
        <v>171</v>
      </c>
      <c r="BC150">
        <v>2.5830872929516033</v>
      </c>
      <c r="BD150">
        <v>-0.16730571817649556</v>
      </c>
      <c r="BE150">
        <v>34.302554638768477</v>
      </c>
      <c r="BF150" s="6">
        <f t="shared" si="108"/>
        <v>1.5756736425896456</v>
      </c>
      <c r="BG150" s="6">
        <f t="shared" si="109"/>
        <v>1.0074136503619577</v>
      </c>
      <c r="BH150" s="6">
        <f t="shared" si="110"/>
        <v>-1.8671304370675126</v>
      </c>
      <c r="BI150" s="6">
        <f t="shared" si="111"/>
        <v>1.8671304370675126</v>
      </c>
      <c r="BJ150">
        <v>-0.25739341257922393</v>
      </c>
      <c r="BK150">
        <v>52.773160982720732</v>
      </c>
      <c r="BV150" s="37"/>
      <c r="BW150" s="6">
        <f t="shared" si="112"/>
        <v>2.3561944901923431</v>
      </c>
      <c r="BX150" s="9">
        <f t="shared" ca="1" si="113"/>
        <v>-56.050545047474245</v>
      </c>
      <c r="BY150" s="9">
        <f t="shared" ca="1" si="114"/>
        <v>162.58134436237486</v>
      </c>
      <c r="BZ150" s="9">
        <f t="shared" ca="1" si="115"/>
        <v>102.40311446336879</v>
      </c>
      <c r="CA150" s="6">
        <f t="shared" ca="1" si="116"/>
        <v>177.8470104785936</v>
      </c>
      <c r="CB150" s="6">
        <f t="shared" ca="1" si="117"/>
        <v>1.048366076314043</v>
      </c>
      <c r="CC150" s="6">
        <f t="shared" ca="1" si="118"/>
        <v>5.1086882660038864</v>
      </c>
      <c r="CD150" s="9">
        <f t="shared" si="119"/>
        <v>2.4031144633687944</v>
      </c>
      <c r="CE150" s="9">
        <f t="shared" si="120"/>
        <v>207.8470104785936</v>
      </c>
      <c r="CF150" s="6">
        <f t="shared" si="121"/>
        <v>1.5592349029144317</v>
      </c>
      <c r="CG150" s="6"/>
      <c r="CH150" s="6"/>
      <c r="CI150" s="6"/>
      <c r="CJ150" s="1"/>
      <c r="CK150" s="6"/>
    </row>
    <row r="151" spans="1:89" ht="18" x14ac:dyDescent="0.35">
      <c r="A151" t="s">
        <v>172</v>
      </c>
      <c r="B151" s="1">
        <f>(((B145/B146)*B150)-B150)*-1</f>
        <v>0.78393487610803869</v>
      </c>
      <c r="C151" t="s">
        <v>4</v>
      </c>
      <c r="D151" t="s">
        <v>173</v>
      </c>
      <c r="BC151">
        <v>2.6005405854715464</v>
      </c>
      <c r="BD151">
        <v>-6.1819972275591146</v>
      </c>
      <c r="BE151">
        <v>23.64991309917751</v>
      </c>
      <c r="BF151" s="6">
        <f t="shared" si="108"/>
        <v>1.8264717258543</v>
      </c>
      <c r="BG151" s="6">
        <f t="shared" si="109"/>
        <v>0.77406885961724647</v>
      </c>
      <c r="BH151" s="6">
        <f t="shared" si="110"/>
        <v>-2.1179285203321667</v>
      </c>
      <c r="BI151" s="6">
        <f t="shared" si="111"/>
        <v>2.1179285203321667</v>
      </c>
      <c r="BJ151">
        <v>-9.5107649654755608</v>
      </c>
      <c r="BK151">
        <v>36.384481691042325</v>
      </c>
      <c r="BV151" s="37"/>
      <c r="BW151" s="6">
        <f t="shared" si="112"/>
        <v>2.3736477827122862</v>
      </c>
      <c r="BX151" s="9">
        <f t="shared" ca="1" si="113"/>
        <v>-63.713137259187434</v>
      </c>
      <c r="BY151" s="9">
        <f t="shared" ca="1" si="114"/>
        <v>152.39388436959678</v>
      </c>
      <c r="BZ151" s="9">
        <f t="shared" ca="1" si="115"/>
        <v>94.740522251655605</v>
      </c>
      <c r="CA151" s="6">
        <f t="shared" ca="1" si="116"/>
        <v>167.65955048581552</v>
      </c>
      <c r="CB151" s="6">
        <f t="shared" ca="1" si="117"/>
        <v>1.0564515715611968</v>
      </c>
      <c r="CC151" s="6">
        <f t="shared" ca="1" si="118"/>
        <v>5.4094724916281978</v>
      </c>
      <c r="CD151" s="9">
        <f t="shared" si="119"/>
        <v>-5.2594777483443949</v>
      </c>
      <c r="CE151" s="9">
        <f t="shared" si="120"/>
        <v>197.65955048581552</v>
      </c>
      <c r="CF151" s="6">
        <f t="shared" si="121"/>
        <v>1.5973988207240166</v>
      </c>
      <c r="CG151" s="6"/>
      <c r="CH151" s="6"/>
      <c r="CI151" s="6"/>
      <c r="CJ151" s="1"/>
      <c r="CK151" s="6"/>
    </row>
    <row r="152" spans="1:89" x14ac:dyDescent="0.25">
      <c r="A152" t="s">
        <v>174</v>
      </c>
      <c r="B152" s="1">
        <f>B148-B151</f>
        <v>12.053191147566716</v>
      </c>
      <c r="C152" t="s">
        <v>4</v>
      </c>
      <c r="D152" t="s">
        <v>175</v>
      </c>
      <c r="BC152">
        <v>2.6179938779914895</v>
      </c>
      <c r="BD152">
        <v>-10.823640272487401</v>
      </c>
      <c r="BE152">
        <v>15.158065840977905</v>
      </c>
      <c r="BF152" s="6">
        <f t="shared" si="108"/>
        <v>2.190890734920603</v>
      </c>
      <c r="BG152" s="6">
        <f t="shared" si="109"/>
        <v>0.42710314307088648</v>
      </c>
      <c r="BH152" s="6">
        <f t="shared" si="110"/>
        <v>-2.4823475293984698</v>
      </c>
      <c r="BI152" s="6">
        <f t="shared" si="111"/>
        <v>2.4823475293984698</v>
      </c>
      <c r="BJ152">
        <v>-16.651754265365231</v>
      </c>
      <c r="BK152">
        <v>23.320101293812161</v>
      </c>
      <c r="BV152" s="37"/>
      <c r="BW152" s="6">
        <f t="shared" si="112"/>
        <v>2.3911010752322293</v>
      </c>
      <c r="BX152" s="9">
        <f t="shared" ca="1" si="113"/>
        <v>-71.657540802894644</v>
      </c>
      <c r="BY152" s="9">
        <f t="shared" ca="1" si="114"/>
        <v>141.94410916628527</v>
      </c>
      <c r="BZ152" s="9">
        <f t="shared" ca="1" si="115"/>
        <v>86.796118707948395</v>
      </c>
      <c r="CA152" s="6">
        <f t="shared" ca="1" si="116"/>
        <v>157.20977528250401</v>
      </c>
      <c r="CB152" s="6">
        <f t="shared" ca="1" si="117"/>
        <v>1.0663393280013662</v>
      </c>
      <c r="CC152" s="6">
        <f t="shared" ca="1" si="118"/>
        <v>5.7487026816455398</v>
      </c>
      <c r="CD152" s="9">
        <f t="shared" si="119"/>
        <v>-13.203881292051605</v>
      </c>
      <c r="CE152" s="9">
        <f t="shared" si="120"/>
        <v>187.20977528250401</v>
      </c>
      <c r="CF152" s="6">
        <f t="shared" si="121"/>
        <v>1.6412095961659203</v>
      </c>
      <c r="CG152" s="6"/>
      <c r="CH152" s="6"/>
      <c r="CI152" s="6"/>
      <c r="CJ152" s="1"/>
      <c r="CK152" s="6"/>
    </row>
    <row r="153" spans="1:89" x14ac:dyDescent="0.25">
      <c r="A153" t="s">
        <v>176</v>
      </c>
      <c r="B153" s="1">
        <f>B148-B150</f>
        <v>10.19786655175313</v>
      </c>
      <c r="C153" t="s">
        <v>4</v>
      </c>
      <c r="D153" t="s">
        <v>177</v>
      </c>
      <c r="BC153">
        <v>2.6354471705114326</v>
      </c>
      <c r="BD153">
        <v>-13.962566660712978</v>
      </c>
      <c r="BE153">
        <v>9.2402237057716885</v>
      </c>
      <c r="BF153" s="6">
        <f t="shared" si="108"/>
        <v>2.5569769590518927</v>
      </c>
      <c r="BG153" s="6">
        <f t="shared" si="109"/>
        <v>7.8470211459539918E-2</v>
      </c>
      <c r="BH153" s="6">
        <f t="shared" si="110"/>
        <v>-2.8484337535297595</v>
      </c>
      <c r="BI153" s="6">
        <f t="shared" si="111"/>
        <v>2.8484337535297595</v>
      </c>
      <c r="BJ153">
        <v>-21.480871785712274</v>
      </c>
      <c r="BK153">
        <v>14.215728778110289</v>
      </c>
      <c r="BV153" s="37"/>
      <c r="BW153" s="6">
        <f t="shared" si="112"/>
        <v>2.4085543677521724</v>
      </c>
      <c r="BX153" s="9">
        <f t="shared" ca="1" si="113"/>
        <v>-79.810267890386768</v>
      </c>
      <c r="BY153" s="9">
        <f t="shared" ca="1" si="114"/>
        <v>131.25855970138517</v>
      </c>
      <c r="BZ153" s="9">
        <f t="shared" ca="1" si="115"/>
        <v>78.643391620456271</v>
      </c>
      <c r="CA153" s="6">
        <f t="shared" ca="1" si="116"/>
        <v>146.52422581760391</v>
      </c>
      <c r="CB153" s="6">
        <f t="shared" ca="1" si="117"/>
        <v>1.0782012139402957</v>
      </c>
      <c r="CC153" s="6">
        <f t="shared" ca="1" si="118"/>
        <v>6.1299396527018724</v>
      </c>
      <c r="CD153" s="9">
        <f t="shared" si="119"/>
        <v>-21.356608379543729</v>
      </c>
      <c r="CE153" s="9">
        <f t="shared" si="120"/>
        <v>176.52422581760391</v>
      </c>
      <c r="CF153" s="6">
        <f t="shared" si="121"/>
        <v>1.6911951792104829</v>
      </c>
      <c r="CG153" s="6"/>
      <c r="CH153" s="6"/>
      <c r="CI153" s="6"/>
      <c r="CJ153" s="1"/>
      <c r="CK153" s="6"/>
    </row>
    <row r="154" spans="1:89" x14ac:dyDescent="0.25">
      <c r="BC154">
        <v>2.6529004630313757</v>
      </c>
      <c r="BD154">
        <v>-15.416097055506253</v>
      </c>
      <c r="BE154">
        <v>6.4697565478687995</v>
      </c>
      <c r="BF154" s="6">
        <f t="shared" si="108"/>
        <v>2.7442406288885728</v>
      </c>
      <c r="BG154" s="6">
        <f t="shared" si="109"/>
        <v>9.1340165857197064E-2</v>
      </c>
      <c r="BH154" s="6">
        <f t="shared" si="110"/>
        <v>-3.0356974233664396</v>
      </c>
      <c r="BI154" s="6">
        <f t="shared" si="111"/>
        <v>3.0356974233664396</v>
      </c>
      <c r="BJ154">
        <v>-23.717072393086543</v>
      </c>
      <c r="BK154">
        <v>9.9534716121058455</v>
      </c>
      <c r="BV154" s="37"/>
      <c r="BW154" s="6">
        <f t="shared" si="112"/>
        <v>2.4260076602721155</v>
      </c>
      <c r="BX154" s="9">
        <f t="shared" ca="1" si="113"/>
        <v>-88.089288021726588</v>
      </c>
      <c r="BY154" s="9">
        <f t="shared" ca="1" si="114"/>
        <v>120.37926342866423</v>
      </c>
      <c r="BZ154" s="9">
        <f t="shared" ca="1" si="115"/>
        <v>70.364371489116451</v>
      </c>
      <c r="CA154" s="6">
        <f t="shared" ca="1" si="116"/>
        <v>135.64492954488296</v>
      </c>
      <c r="CB154" s="6">
        <f t="shared" ca="1" si="117"/>
        <v>1.0922698203047625</v>
      </c>
      <c r="CC154" s="6">
        <f t="shared" ca="1" si="118"/>
        <v>6.5556400295063373</v>
      </c>
      <c r="CD154" s="9">
        <f t="shared" si="119"/>
        <v>-29.635628510883549</v>
      </c>
      <c r="CE154" s="9">
        <f t="shared" si="120"/>
        <v>165.64492954488296</v>
      </c>
      <c r="CF154" s="6">
        <f t="shared" si="121"/>
        <v>1.7478338232553963</v>
      </c>
      <c r="CG154" s="6"/>
      <c r="CH154" s="6"/>
      <c r="CI154" s="6"/>
      <c r="CJ154" s="1"/>
      <c r="CK154" s="6"/>
    </row>
    <row r="155" spans="1:89" x14ac:dyDescent="0.25">
      <c r="A155" t="s">
        <v>178</v>
      </c>
      <c r="BC155">
        <v>2.6703537555513188</v>
      </c>
      <c r="BD155">
        <v>-15.604105904125593</v>
      </c>
      <c r="BE155">
        <v>6.2251080080745433</v>
      </c>
      <c r="BF155" s="6">
        <f t="shared" si="108"/>
        <v>2.7620000718084721</v>
      </c>
      <c r="BG155" s="6">
        <f t="shared" si="109"/>
        <v>9.1646316257153249E-2</v>
      </c>
      <c r="BH155" s="6">
        <f t="shared" si="110"/>
        <v>-3.0534568662863388</v>
      </c>
      <c r="BI155" s="6">
        <f t="shared" si="111"/>
        <v>3.0534568662863388</v>
      </c>
      <c r="BJ155">
        <v>-24.006316775577833</v>
      </c>
      <c r="BK155">
        <v>9.5770892431916046</v>
      </c>
      <c r="BV155" s="37"/>
      <c r="BW155" s="6">
        <f t="shared" si="112"/>
        <v>2.4434609527920585</v>
      </c>
      <c r="BX155" s="9">
        <f t="shared" ca="1" si="113"/>
        <v>-96.420572691092502</v>
      </c>
      <c r="BY155" s="9">
        <f t="shared" ca="1" si="114"/>
        <v>109.35304355811662</v>
      </c>
      <c r="BZ155" s="9">
        <f t="shared" ca="1" si="115"/>
        <v>62.033086819750537</v>
      </c>
      <c r="CA155" s="6">
        <f t="shared" ca="1" si="116"/>
        <v>124.61870967433535</v>
      </c>
      <c r="CB155" s="6">
        <f t="shared" ca="1" si="117"/>
        <v>1.1089238151564906</v>
      </c>
      <c r="CC155" s="6">
        <f t="shared" ca="1" si="118"/>
        <v>7.02660337056159</v>
      </c>
      <c r="CD155" s="9">
        <f t="shared" si="119"/>
        <v>-37.966913180249463</v>
      </c>
      <c r="CE155" s="9">
        <f t="shared" si="120"/>
        <v>154.61870967433535</v>
      </c>
      <c r="CF155" s="6">
        <f t="shared" si="121"/>
        <v>1.8115841522126497</v>
      </c>
      <c r="CG155" s="6"/>
      <c r="CH155" s="6"/>
      <c r="CI155" s="6"/>
      <c r="CJ155" s="1"/>
      <c r="CK155" s="6"/>
    </row>
    <row r="156" spans="1:89" x14ac:dyDescent="0.25">
      <c r="B156" t="str">
        <f>B48</f>
        <v>xi (in)</v>
      </c>
      <c r="C156" t="str">
        <f t="shared" ref="C156:E156" si="122">C48</f>
        <v>yi (in)</v>
      </c>
      <c r="D156" t="str">
        <f t="shared" si="122"/>
        <v>xj (in)</v>
      </c>
      <c r="E156" t="str">
        <f t="shared" si="122"/>
        <v>yj (in)</v>
      </c>
      <c r="F156" s="1" t="s">
        <v>184</v>
      </c>
      <c r="G156" s="1" t="s">
        <v>185</v>
      </c>
      <c r="H156" s="1" t="s">
        <v>179</v>
      </c>
      <c r="I156" s="1" t="s">
        <v>180</v>
      </c>
      <c r="J156" s="1" t="s">
        <v>181</v>
      </c>
      <c r="K156" s="1" t="s">
        <v>182</v>
      </c>
      <c r="M156" s="1" t="s">
        <v>99</v>
      </c>
      <c r="N156" s="1" t="s">
        <v>100</v>
      </c>
      <c r="O156" s="1" t="s">
        <v>101</v>
      </c>
      <c r="P156" t="s">
        <v>186</v>
      </c>
      <c r="AB156" t="s">
        <v>187</v>
      </c>
      <c r="AS156"/>
      <c r="AT156"/>
      <c r="AU156"/>
      <c r="AV156"/>
      <c r="AW156"/>
      <c r="AX156"/>
      <c r="AY156"/>
      <c r="AZ156"/>
      <c r="BA156"/>
      <c r="BB156"/>
      <c r="BC156">
        <v>2.6878070480712619</v>
      </c>
      <c r="BD156">
        <v>-15.760171340483756</v>
      </c>
      <c r="BE156">
        <v>6.048810361976674</v>
      </c>
      <c r="BF156" s="6">
        <f t="shared" ref="BF156:BF157" si="123">IF(BC156&lt;&gt;"",IF(AND(BD156=0,BE156=0),0,MOD(ATAN2(BD156,BE156),2*PI())),NA())</f>
        <v>2.7751261927182354</v>
      </c>
      <c r="BG156" s="6">
        <f t="shared" ref="BG156:BG157" si="124">ABS(BC156-BF156)</f>
        <v>8.7319144646973434E-2</v>
      </c>
      <c r="BH156" s="6">
        <f t="shared" ref="BH156:BH157" si="125">ATAN2(COS($U$13-BF156),SIN($U$13-BF156))</f>
        <v>-3.0665829871961021</v>
      </c>
      <c r="BI156" s="6">
        <f t="shared" ref="BI156:BI157" si="126">ABS(BH156)</f>
        <v>3.0665829871961021</v>
      </c>
      <c r="BJ156">
        <v>-24.246417446898086</v>
      </c>
      <c r="BK156">
        <v>9.3058620953487292</v>
      </c>
      <c r="BV156" s="37"/>
      <c r="BW156" s="6">
        <f t="shared" si="112"/>
        <v>2.4609142453120016</v>
      </c>
      <c r="BX156" s="9">
        <f t="shared" ca="1" si="113"/>
        <v>-104.73601565234688</v>
      </c>
      <c r="BY156" s="9">
        <f t="shared" ca="1" si="114"/>
        <v>98.233075898853997</v>
      </c>
      <c r="BZ156" s="9">
        <f t="shared" ca="1" si="115"/>
        <v>53.71764385849616</v>
      </c>
      <c r="CA156" s="6">
        <f t="shared" ca="1" si="116"/>
        <v>113.49874201507272</v>
      </c>
      <c r="CB156" s="6">
        <f t="shared" ca="1" si="117"/>
        <v>1.1287453863342298</v>
      </c>
      <c r="CC156" s="6">
        <f t="shared" ca="1" si="118"/>
        <v>7.5404533932237054</v>
      </c>
      <c r="CD156" s="9">
        <f t="shared" si="119"/>
        <v>-46.282356141503833</v>
      </c>
      <c r="CE156" s="9">
        <f t="shared" si="120"/>
        <v>143.49874201507271</v>
      </c>
      <c r="CF156" s="6">
        <f t="shared" si="121"/>
        <v>1.8827907256566003</v>
      </c>
      <c r="CG156" s="6"/>
      <c r="CH156" s="6"/>
      <c r="CI156" s="6"/>
      <c r="CJ156" s="1"/>
      <c r="CK156" s="6"/>
    </row>
    <row r="157" spans="1:89" x14ac:dyDescent="0.25">
      <c r="A157" s="1" t="s">
        <v>43</v>
      </c>
      <c r="B157" s="6">
        <f t="shared" ref="B157:E157" si="127">B49</f>
        <v>-5.426278217100533</v>
      </c>
      <c r="C157" s="6">
        <f t="shared" si="127"/>
        <v>-12.270106140967986</v>
      </c>
      <c r="D157" s="6">
        <f t="shared" si="127"/>
        <v>6.5603179825140696</v>
      </c>
      <c r="E157" s="6">
        <f t="shared" si="127"/>
        <v>-11.703086258261219</v>
      </c>
      <c r="F157" s="6">
        <f>IF(E157-C157=0,0,MIN(MAX(($B$152-C157)/(E157-C157),0),1))</f>
        <v>1</v>
      </c>
      <c r="G157" s="6">
        <f>IF(E157-C157=0,0,MIN(MAX(($B$153-C157)/(E157-C157),0),1))</f>
        <v>1</v>
      </c>
      <c r="H157" s="6">
        <f>IF(AND(F157=0,G157=0),0,IF(C157&gt;E157,B157+(F157*(D157-B157)),B157+(G157*(D157-B157))))</f>
        <v>6.5603179825140696</v>
      </c>
      <c r="I157" s="6">
        <f>IF(AND(F157=0,G157=0),0,IF(C157&gt;E157,C157+(F157*(E157-C157)),C157+(G157*(E157-C157))))</f>
        <v>-11.703086258261219</v>
      </c>
      <c r="J157" s="6">
        <f>IF(AND(F157=0,G157=0),0,IF(C157&gt;E157,B157+(G157*(D157-B157)),B157+(F157*(D157-B157))))</f>
        <v>6.5603179825140696</v>
      </c>
      <c r="K157" s="6">
        <f>IF(AND(F157=0,G157=0),0,IF(C157&gt;E157,C157+(G157*(E157-C157)),C157+(F157*(E157-C157))))</f>
        <v>-11.703086258261219</v>
      </c>
      <c r="L157" s="6"/>
      <c r="M157" s="6">
        <f>((17*$B$143*$B$147*(I157-K157))/(240*POWER($B$150,2)))*((H157*((2*I157*((4*$B$150*($B$147-1))+($B$147*K157)-(4*$B$147*$B$148)))+(6*($B$150-$B$148)*(($B$150*($B$147-2))-($B$147*$B$148)))+(4*K157*(($B$150*($B$147-1))-($B$147*$B$148)))+(3*$B$147*I157*I157)+($B$147*K157*K157)))+(J157*((2*I157*((2*$B$150*($B$147-1))+($B$147*K157)-(2*$B$147*$B$148)))+(6*($B$150-$B$148)*(($B$150*($B$147-2))-($B$147*$B$148)))+(8*K157*(($B$150*($B$147-1))-($B$147*$B$148)))+($B$147*I157*I157)+(3*$B$147*K157*K157))))</f>
        <v>0</v>
      </c>
      <c r="N157" s="6">
        <f>((1/(1200*$B$150*$B$150))*17*$B$143*$B$147*(I157-K157))*Z157</f>
        <v>0</v>
      </c>
      <c r="O157" s="6">
        <f>((1/(1200*$B$150*$B$150))*17*$B$143*$B$147*(I157-K157))*AW157</f>
        <v>0</v>
      </c>
      <c r="P157" s="6">
        <f t="shared" ref="P157:P164" si="128">((2*I157*I157)*((5*$B$150*($B$147-1))+(3*$B$147*K157)-(5*$B$147*$B$148)))</f>
        <v>-37164.519513076702</v>
      </c>
      <c r="Q157" s="6">
        <f>(I157)*((20*K157)*(($B$150*($B$147-1))-($B$147*$B$148))+((10*($B$150-$B$148))*(($B$150*($B$147-2))-($B$147*$B$148)))+(9*$B$147*K157*K157))</f>
        <v>-91101.672786710667</v>
      </c>
      <c r="R157" s="6">
        <f t="shared" ref="R157:R164" si="129">(2*K157)*((15*K157)*(($B$150*($B$147-1))-($B$147*$B$148))+((10*($B$150-$B$148))*(($B$150*($B$147-2))-($B$147*$B$148)))+(6*$B$147*K157*K157))</f>
        <v>-145038.82606034461</v>
      </c>
      <c r="S157" s="6">
        <f t="shared" ref="S157:S164" si="130">3*$B$147*I157*I157*I157</f>
        <v>-6840.449793444458</v>
      </c>
      <c r="T157" s="70">
        <f>J157*(SUM(P157:S157))</f>
        <v>-1837843.3524477305</v>
      </c>
      <c r="U157" s="10">
        <f t="shared" ref="U157:U164" si="131">(I157*I157)*((30*$B$150*($B$147-1))+(9*$B$147*K157)-(30*$B$147*$B$148))</f>
        <v>-90972.209158896745</v>
      </c>
      <c r="V157" s="10">
        <f t="shared" ref="V157:V164" si="132">I157*(((20*K157)*(($B$150*($B$147-1))-($B$147*$B$148)))+(20*($B$150-$B$148)*(($B$150*($B$147-2))-($B$147*$B$148)))+(6*$B$147*K157*K157))</f>
        <v>-107874.30654726789</v>
      </c>
      <c r="W157" s="10">
        <f t="shared" ref="W157:W164" si="133">K157*(((10*K157)*(($B$150*($B$147-1))-($B$147*$B$148)))+(10*($B$150-$B$148)*(($B$150*($B$147-2))-($B$147*$B$148)))+(3*$B$147*K157*K157))</f>
        <v>-53937.153273633943</v>
      </c>
      <c r="X157" s="10">
        <f t="shared" ref="X157:X164" si="134">12*$B$147*I157*I157*I157</f>
        <v>-27361.799173777832</v>
      </c>
      <c r="Y157" s="70">
        <f t="shared" ref="Y157:Y164" si="135">H157*SUM(U157:X157)</f>
        <v>-1837843.35244773</v>
      </c>
      <c r="Z157" s="70">
        <f t="shared" ref="Z157:Z164" si="136">T157+Y157</f>
        <v>-3675686.7048954605</v>
      </c>
      <c r="AA157" s="6"/>
      <c r="AB157" s="6">
        <f>(3*I157)*(((5*$B$150)*($B$147-1))+($B$147*K157)-(5*$B$147*$B$148))</f>
        <v>3594.426184206905</v>
      </c>
      <c r="AC157" s="6">
        <f>(10*($B$150-$B$148))*(($B$150*($B$147-2))-($B$147*$B$148))</f>
        <v>2017.6800403682578</v>
      </c>
      <c r="AD157" s="6">
        <f>(5*K157)*(($B$150*($B$147-1))-($B$147*$B$148))</f>
        <v>1003.3088455453656</v>
      </c>
      <c r="AE157" s="6">
        <f>6*$B$147*I157*I157</f>
        <v>1168.9992951416175</v>
      </c>
      <c r="AF157" s="6">
        <f>$B$147*K157*K157</f>
        <v>194.83321585693625</v>
      </c>
      <c r="AG157" s="6">
        <f>SUM(AB157:AF157)</f>
        <v>7979.2475811190825</v>
      </c>
      <c r="AH157" s="71">
        <f>AG157*H157*H157</f>
        <v>343409.03838067659</v>
      </c>
      <c r="AI157" s="6">
        <f>(2*I157)*(((5*$B$150)*($B$147-1))+(2*$B$147*K157)-(5*$B$147*$B$148))</f>
        <v>2785.9505545184761</v>
      </c>
      <c r="AJ157" s="6">
        <f>(10*($B$150-$B$148))*(($B$150*($B$147-2))-($B$147*$B$148))</f>
        <v>2017.6800403682578</v>
      </c>
      <c r="AK157" s="6">
        <f>(10*K157)*(($B$150*($B$147-1))-($B$147*$B$148))</f>
        <v>2006.6176910907311</v>
      </c>
      <c r="AL157" s="6">
        <f>3*$B$147*I157*I157</f>
        <v>584.49964757080875</v>
      </c>
      <c r="AM157" s="6">
        <f>3*$B$147*K157*K157</f>
        <v>584.49964757080875</v>
      </c>
      <c r="AN157" s="6">
        <f>SUM(AI157:AM157)</f>
        <v>7979.2475811190816</v>
      </c>
      <c r="AO157" s="71">
        <f>(H157*J157)*AN157</f>
        <v>343409.03838067653</v>
      </c>
      <c r="AP157" s="6">
        <f>(I157)*(((5*$B$150)*($B$147-1))+(3*$B$147*K157)-(5*$B$147*$B$148))</f>
        <v>1587.8084931161743</v>
      </c>
      <c r="AQ157" s="6">
        <f>(10*($B$150-$B$148))*(($B$150*($B$147-2))-($B$147*$B$148))</f>
        <v>2017.6800403682578</v>
      </c>
      <c r="AR157" s="6">
        <f>(15*K157)*(($B$150*($B$147-1))-($B$147*$B$148))</f>
        <v>3009.9265366360964</v>
      </c>
      <c r="AS157" s="6">
        <f>$B$147*I157*I157</f>
        <v>194.83321585693625</v>
      </c>
      <c r="AT157" s="6">
        <f>6*$B$147*K157*K157</f>
        <v>1168.9992951416175</v>
      </c>
      <c r="AU157" s="6">
        <f>SUM(AP157:AT157)</f>
        <v>7979.2475811190834</v>
      </c>
      <c r="AV157" s="71">
        <f>(J157*J157)*AU157</f>
        <v>343409.03838067659</v>
      </c>
      <c r="AW157" s="71">
        <f>AH157+AO157+AV157</f>
        <v>1030227.1151420297</v>
      </c>
      <c r="BA157"/>
      <c r="BC157">
        <v>2.705260340591205</v>
      </c>
      <c r="BD157">
        <v>-15.923549969346256</v>
      </c>
      <c r="BE157">
        <v>5.8601377686053358</v>
      </c>
      <c r="BF157" s="6">
        <f t="shared" si="123"/>
        <v>2.7889580382141803</v>
      </c>
      <c r="BG157" s="6">
        <f t="shared" si="124"/>
        <v>8.3697697622975298E-2</v>
      </c>
      <c r="BH157" s="6">
        <f t="shared" si="125"/>
        <v>-3.0804148326920471</v>
      </c>
      <c r="BI157" s="6">
        <f t="shared" si="126"/>
        <v>3.0804148326920471</v>
      </c>
      <c r="BJ157">
        <v>-24.497769183609623</v>
      </c>
      <c r="BK157">
        <v>9.0155965670851312</v>
      </c>
      <c r="BV157" s="37"/>
      <c r="BW157" s="6">
        <f t="shared" si="112"/>
        <v>2.4783675378319447</v>
      </c>
      <c r="BX157" s="9">
        <f t="shared" ca="1" si="113"/>
        <v>-112.97173591866357</v>
      </c>
      <c r="BY157" s="9">
        <f t="shared" ca="1" si="114"/>
        <v>87.080818186453868</v>
      </c>
      <c r="BZ157" s="9">
        <f t="shared" ca="1" si="115"/>
        <v>45.48192359217947</v>
      </c>
      <c r="CA157" s="6">
        <f t="shared" ca="1" si="116"/>
        <v>102.34648430267259</v>
      </c>
      <c r="CB157" s="6">
        <f t="shared" ca="1" si="117"/>
        <v>1.1526160795827702</v>
      </c>
      <c r="CC157" s="6">
        <f t="shared" ca="1" si="118"/>
        <v>8.0893241968733172</v>
      </c>
      <c r="CD157" s="9">
        <f t="shared" si="119"/>
        <v>-54.51807640782053</v>
      </c>
      <c r="CE157" s="9">
        <f t="shared" si="120"/>
        <v>132.34648430267259</v>
      </c>
      <c r="CF157" s="6">
        <f t="shared" si="121"/>
        <v>1.961548499270102</v>
      </c>
      <c r="CG157" s="6"/>
      <c r="CH157" s="6"/>
      <c r="CI157" s="6"/>
      <c r="CJ157" s="1"/>
      <c r="CK157" s="6"/>
    </row>
    <row r="158" spans="1:89" x14ac:dyDescent="0.25">
      <c r="A158" s="1" t="s">
        <v>44</v>
      </c>
      <c r="B158" s="6">
        <f t="shared" ref="B158:E158" si="137">B50</f>
        <v>6.5603179825140696</v>
      </c>
      <c r="C158" s="6">
        <f t="shared" si="137"/>
        <v>-11.703086258261219</v>
      </c>
      <c r="D158" s="6">
        <f t="shared" si="137"/>
        <v>5.8042914722383783</v>
      </c>
      <c r="E158" s="6">
        <f t="shared" si="137"/>
        <v>4.2790420078915847</v>
      </c>
      <c r="F158" s="6">
        <f t="shared" ref="F158:F164" si="138">IF(E158-C158=0,0,MIN(MAX(($B$152-C158)/(E158-C158),0),1))</f>
        <v>1</v>
      </c>
      <c r="G158" s="6">
        <f t="shared" ref="G158:G164" si="139">IF(E158-C158=0,0,MIN(MAX(($B$153-C158)/(E158-C158),0),1))</f>
        <v>1</v>
      </c>
      <c r="H158" s="6">
        <f t="shared" ref="H158:H164" si="140">IF(AND(F158=0,G158=0),0,IF(C158&gt;E158,B158+(F158*(D158-B158)),B158+(G158*(D158-B158))))</f>
        <v>5.8042914722383783</v>
      </c>
      <c r="I158" s="6">
        <f t="shared" ref="I158:I164" si="141">IF(AND(F158=0,G158=0),0,IF(C158&gt;E158,C158+(F158*(E158-C158)),C158+(G158*(E158-C158))))</f>
        <v>4.2790420078915847</v>
      </c>
      <c r="J158" s="6">
        <f t="shared" ref="J158:J164" si="142">IF(AND(F158=0,G158=0),0,IF(C158&gt;E158,B158+(G158*(D158-B158)),B158+(F158*(D158-B158))))</f>
        <v>5.8042914722383783</v>
      </c>
      <c r="K158" s="6">
        <f t="shared" ref="K158:K164" si="143">IF(AND(F158=0,G158=0),0,IF(C158&gt;E158,C158+(G158*(E158-C158)),C158+(F158*(E158-C158))))</f>
        <v>4.2790420078915847</v>
      </c>
      <c r="L158" s="6"/>
      <c r="M158" s="6">
        <f t="shared" ref="M158:M164" si="144">((17*$B$143*$B$147*(I158-K158))/(240*POWER($B$150,2)))*((H158*((2*I158*((4*$B$150*($B$147-1))+($B$147*K158)-(4*$B$147*$B$148)))+(6*($B$150-$B$148)*(($B$150*($B$147-2))-($B$147*$B$148)))+(4*K158*(($B$150*($B$147-1))-($B$147*$B$148)))+(3*$B$147*I158*I158)+($B$147*K158*K158)))+(J158*((2*I158*((2*$B$150*($B$147-1))+($B$147*K158)-(2*$B$147*$B$148)))+(6*($B$150-$B$148)*(($B$150*($B$147-2))-($B$147*$B$148)))+(8*K158*(($B$150*($B$147-1))-($B$147*$B$148)))+($B$147*I158*I158)+(3*$B$147*K158*K158))))</f>
        <v>0</v>
      </c>
      <c r="N158" s="6">
        <f t="shared" ref="N158:N164" si="145">((1/(1200*$B$150*$B$150))*17*$B$143*$B$147*(I158-K158))*Z158</f>
        <v>0</v>
      </c>
      <c r="O158" s="6">
        <f t="shared" ref="O158:O164" si="146">((1/(1200*$B$150*$B$150))*17*$B$143*$B$147*(I158-K158))*AW158</f>
        <v>0</v>
      </c>
      <c r="P158" s="6">
        <f t="shared" si="128"/>
        <v>-2470.7436696480854</v>
      </c>
      <c r="Q158" s="6">
        <f t="shared" ref="Q158:Q164" si="147">(I158)*((20*K158)*(($B$150*($B$147-1))-($B$147*$B$148))+((10*($B$150-$B$148))*(($B$150*($B$147-2))-($B$147*$B$148)))+(9*$B$147*K158*K158))</f>
        <v>3357.8835559801855</v>
      </c>
      <c r="R158" s="6">
        <f t="shared" si="129"/>
        <v>9186.5107816084583</v>
      </c>
      <c r="S158" s="6">
        <f t="shared" si="130"/>
        <v>334.3667559438075</v>
      </c>
      <c r="T158" s="70">
        <f t="shared" ref="T158:T164" si="148">J158*(SUM(P158:S158))</f>
        <v>60411.166776360471</v>
      </c>
      <c r="U158" s="10">
        <f t="shared" si="131"/>
        <v>-8415.3312767756797</v>
      </c>
      <c r="V158" s="10">
        <f t="shared" si="132"/>
        <v>11657.254451256542</v>
      </c>
      <c r="W158" s="10">
        <f t="shared" si="133"/>
        <v>5828.6272256282709</v>
      </c>
      <c r="X158" s="10">
        <f t="shared" si="134"/>
        <v>1337.46702377523</v>
      </c>
      <c r="Y158" s="70">
        <f t="shared" si="135"/>
        <v>60411.166776360464</v>
      </c>
      <c r="Z158" s="70">
        <f t="shared" si="136"/>
        <v>120822.33355272093</v>
      </c>
      <c r="AA158" s="6"/>
      <c r="AB158" s="6">
        <f t="shared" ref="AB158:AB164" si="149">(3*I158)*(((5*$B$150)*($B$147-1))+($B$147*K158)-(5*$B$147*$B$148))</f>
        <v>-1022.3898265760109</v>
      </c>
      <c r="AC158" s="6">
        <f t="shared" ref="AC158:AC164" si="150">(10*($B$150-$B$148))*(($B$150*($B$147-2))-($B$147*$B$148))</f>
        <v>2017.6800403682578</v>
      </c>
      <c r="AD158" s="6">
        <f t="shared" ref="AD158:AD164" si="151">(5*K158)*(($B$150*($B$147-1))-($B$147*$B$148))</f>
        <v>-366.84346353059254</v>
      </c>
      <c r="AE158" s="6">
        <f t="shared" ref="AE158:AE164" si="152">6*$B$147*I158*I158</f>
        <v>156.28112803153351</v>
      </c>
      <c r="AF158" s="6">
        <f t="shared" ref="AF158:AF164" si="153">$B$147*K158*K158</f>
        <v>26.046854671922251</v>
      </c>
      <c r="AG158" s="6">
        <f t="shared" ref="AG158:AG164" si="154">SUM(AB158:AF158)</f>
        <v>810.77473296511005</v>
      </c>
      <c r="AH158" s="71">
        <f t="shared" ref="AH158:AH164" si="155">AG158*H158*H158</f>
        <v>27314.838188962811</v>
      </c>
      <c r="AI158" s="6">
        <f t="shared" ref="AI158:AI164" si="156">(2*I158)*(((5*$B$150)*($B$147-1))+(2*$B$147*K158)-(5*$B$147*$B$148))</f>
        <v>-629.49950837349616</v>
      </c>
      <c r="AJ158" s="6">
        <f t="shared" ref="AJ158:AJ164" si="157">(10*($B$150-$B$148))*(($B$150*($B$147-2))-($B$147*$B$148))</f>
        <v>2017.6800403682578</v>
      </c>
      <c r="AK158" s="6">
        <f t="shared" ref="AK158:AK164" si="158">(10*K158)*(($B$150*($B$147-1))-($B$147*$B$148))</f>
        <v>-733.68692706118509</v>
      </c>
      <c r="AL158" s="6">
        <f t="shared" ref="AL158:AL164" si="159">3*$B$147*I158*I158</f>
        <v>78.140564015766756</v>
      </c>
      <c r="AM158" s="6">
        <f t="shared" ref="AM158:AM164" si="160">3*$B$147*K158*K158</f>
        <v>78.140564015766756</v>
      </c>
      <c r="AN158" s="6">
        <f t="shared" ref="AN158:AN164" si="161">SUM(AI158:AM158)</f>
        <v>810.77473296511016</v>
      </c>
      <c r="AO158" s="71">
        <f t="shared" ref="AO158:AO164" si="162">(H158*J158)*AN158</f>
        <v>27314.838188962814</v>
      </c>
      <c r="AP158" s="6">
        <f t="shared" ref="AP158:AP164" si="163">(I158)*(((5*$B$150)*($B$147-1))+(3*$B$147*K158)-(5*$B$147*$B$148))</f>
        <v>-288.70289951482579</v>
      </c>
      <c r="AQ158" s="6">
        <f t="shared" ref="AQ158:AQ164" si="164">(10*($B$150-$B$148))*(($B$150*($B$147-2))-($B$147*$B$148))</f>
        <v>2017.6800403682578</v>
      </c>
      <c r="AR158" s="6">
        <f t="shared" ref="AR158:AR164" si="165">(15*K158)*(($B$150*($B$147-1))-($B$147*$B$148))</f>
        <v>-1100.5303905917776</v>
      </c>
      <c r="AS158" s="6">
        <f t="shared" ref="AS158:AS164" si="166">$B$147*I158*I158</f>
        <v>26.046854671922251</v>
      </c>
      <c r="AT158" s="6">
        <f t="shared" ref="AT158:AT164" si="167">6*$B$147*K158*K158</f>
        <v>156.28112803153351</v>
      </c>
      <c r="AU158" s="6">
        <f t="shared" ref="AU158:AU164" si="168">SUM(AP158:AT158)</f>
        <v>810.77473296511016</v>
      </c>
      <c r="AV158" s="71">
        <f t="shared" ref="AV158:AV164" si="169">(J158*J158)*AU158</f>
        <v>27314.838188962814</v>
      </c>
      <c r="AW158" s="71">
        <f t="shared" ref="AW158:AW164" si="170">AH158+AO158+AV158</f>
        <v>81944.514566888451</v>
      </c>
      <c r="BC158">
        <v>2.7227136331111481</v>
      </c>
      <c r="BD158">
        <v>-16.095124555731058</v>
      </c>
      <c r="BE158">
        <v>5.6570496138060387</v>
      </c>
      <c r="BF158" s="6">
        <f t="shared" ref="BF158:BF194" si="171">IF(BC158&lt;&gt;"",IF(AND(BD158=0,BE158=0),0,MOD(ATAN2(BD158,BE158),2*PI())),NA())</f>
        <v>2.8036035390544671</v>
      </c>
      <c r="BG158" s="6">
        <f t="shared" ref="BG158:BG194" si="172">ABS(BC158-BF158)</f>
        <v>8.0889905943319018E-2</v>
      </c>
      <c r="BH158" s="6">
        <f t="shared" ref="BH158:BH194" si="173">ATAN2(COS($U$13-BF158),SIN($U$13-BF158))</f>
        <v>-3.0950603335323339</v>
      </c>
      <c r="BI158" s="6">
        <f t="shared" ref="BI158:BI194" si="174">ABS(BH158)</f>
        <v>3.0950603335323339</v>
      </c>
      <c r="BJ158">
        <v>-24.761730085740087</v>
      </c>
      <c r="BK158">
        <v>8.7031532520092902</v>
      </c>
      <c r="BV158" s="37"/>
      <c r="BW158" s="6">
        <f t="shared" si="112"/>
        <v>2.4958208303518878</v>
      </c>
      <c r="BX158" s="9">
        <f t="shared" ca="1" si="113"/>
        <v>-121.06678574837795</v>
      </c>
      <c r="BY158" s="9">
        <f t="shared" ca="1" si="114"/>
        <v>75.968366841107198</v>
      </c>
      <c r="BZ158" s="9">
        <f t="shared" ca="1" si="115"/>
        <v>37.386873762465086</v>
      </c>
      <c r="CA158" s="6">
        <f t="shared" ca="1" si="116"/>
        <v>91.234032957325923</v>
      </c>
      <c r="CB158" s="6">
        <f t="shared" ca="1" si="117"/>
        <v>1.1818781429913505</v>
      </c>
      <c r="CC158" s="6">
        <f t="shared" ca="1" si="118"/>
        <v>8.6565080679984554</v>
      </c>
      <c r="CD158" s="9">
        <f t="shared" si="119"/>
        <v>-62.613126237534914</v>
      </c>
      <c r="CE158" s="9">
        <f t="shared" si="120"/>
        <v>121.23403295732592</v>
      </c>
      <c r="CF158" s="6">
        <f t="shared" si="121"/>
        <v>2.0475289497911962</v>
      </c>
      <c r="CG158" s="6"/>
      <c r="CH158" s="6"/>
      <c r="CI158" s="6"/>
      <c r="CJ158" s="1"/>
      <c r="CK158" s="6"/>
    </row>
    <row r="159" spans="1:89" x14ac:dyDescent="0.25">
      <c r="A159" s="1" t="s">
        <v>45</v>
      </c>
      <c r="B159" s="6">
        <f t="shared" ref="B159:E159" si="175">B51</f>
        <v>5.8042914722383783</v>
      </c>
      <c r="C159" s="6">
        <f t="shared" si="175"/>
        <v>4.2790420078915847</v>
      </c>
      <c r="D159" s="6">
        <f t="shared" si="175"/>
        <v>17.790887671852982</v>
      </c>
      <c r="E159" s="6">
        <f t="shared" si="175"/>
        <v>4.846061890598353</v>
      </c>
      <c r="F159" s="6">
        <f t="shared" si="138"/>
        <v>1</v>
      </c>
      <c r="G159" s="6">
        <f t="shared" si="139"/>
        <v>1</v>
      </c>
      <c r="H159" s="6">
        <f t="shared" si="140"/>
        <v>17.790887671852982</v>
      </c>
      <c r="I159" s="6">
        <f t="shared" si="141"/>
        <v>4.846061890598353</v>
      </c>
      <c r="J159" s="6">
        <f t="shared" si="142"/>
        <v>17.790887671852982</v>
      </c>
      <c r="K159" s="6">
        <f t="shared" si="143"/>
        <v>4.846061890598353</v>
      </c>
      <c r="L159" s="6"/>
      <c r="M159" s="6">
        <f t="shared" si="144"/>
        <v>0</v>
      </c>
      <c r="N159" s="6">
        <f t="shared" si="145"/>
        <v>0</v>
      </c>
      <c r="O159" s="6">
        <f t="shared" si="146"/>
        <v>0</v>
      </c>
      <c r="P159" s="6">
        <f t="shared" si="128"/>
        <v>-3055.2736782800175</v>
      </c>
      <c r="Q159" s="6">
        <f t="shared" si="147"/>
        <v>3181.5748930015684</v>
      </c>
      <c r="R159" s="6">
        <f t="shared" si="129"/>
        <v>9418.4234642831507</v>
      </c>
      <c r="S159" s="6">
        <f t="shared" si="130"/>
        <v>485.68010148795736</v>
      </c>
      <c r="T159" s="70">
        <f t="shared" si="148"/>
        <v>178449.80475296202</v>
      </c>
      <c r="U159" s="10">
        <f t="shared" si="131"/>
        <v>-10622.861339303927</v>
      </c>
      <c r="V159" s="10">
        <f t="shared" si="132"/>
        <v>12473.697142563171</v>
      </c>
      <c r="W159" s="10">
        <f t="shared" si="133"/>
        <v>6236.8485712815855</v>
      </c>
      <c r="X159" s="10">
        <f t="shared" si="134"/>
        <v>1942.7204059518294</v>
      </c>
      <c r="Y159" s="70">
        <f t="shared" si="135"/>
        <v>178449.80475296208</v>
      </c>
      <c r="Z159" s="70">
        <f t="shared" si="136"/>
        <v>356899.60950592411</v>
      </c>
      <c r="AA159" s="6"/>
      <c r="AB159" s="6">
        <f t="shared" si="149"/>
        <v>-1146.1411029792162</v>
      </c>
      <c r="AC159" s="6">
        <f t="shared" si="150"/>
        <v>2017.6800403682578</v>
      </c>
      <c r="AD159" s="6">
        <f t="shared" si="151"/>
        <v>-415.4542360537987</v>
      </c>
      <c r="AE159" s="6">
        <f t="shared" si="152"/>
        <v>200.4432103643602</v>
      </c>
      <c r="AF159" s="6">
        <f t="shared" si="153"/>
        <v>33.407201727393371</v>
      </c>
      <c r="AG159" s="6">
        <f t="shared" si="154"/>
        <v>689.93511342699651</v>
      </c>
      <c r="AH159" s="71">
        <f t="shared" si="155"/>
        <v>218375.28444717187</v>
      </c>
      <c r="AI159" s="6">
        <f t="shared" si="156"/>
        <v>-697.27966519802396</v>
      </c>
      <c r="AJ159" s="6">
        <f t="shared" si="157"/>
        <v>2017.6800403682578</v>
      </c>
      <c r="AK159" s="6">
        <f t="shared" si="158"/>
        <v>-830.90847210759739</v>
      </c>
      <c r="AL159" s="6">
        <f t="shared" si="159"/>
        <v>100.2216051821801</v>
      </c>
      <c r="AM159" s="6">
        <f t="shared" si="160"/>
        <v>100.2216051821801</v>
      </c>
      <c r="AN159" s="6">
        <f t="shared" si="161"/>
        <v>689.93511342699685</v>
      </c>
      <c r="AO159" s="71">
        <f t="shared" si="162"/>
        <v>218375.28444717196</v>
      </c>
      <c r="AP159" s="6">
        <f t="shared" si="163"/>
        <v>-315.2326308716186</v>
      </c>
      <c r="AQ159" s="6">
        <f t="shared" si="164"/>
        <v>2017.6800403682578</v>
      </c>
      <c r="AR159" s="6">
        <f t="shared" si="165"/>
        <v>-1246.3627081613963</v>
      </c>
      <c r="AS159" s="6">
        <f t="shared" si="166"/>
        <v>33.407201727393371</v>
      </c>
      <c r="AT159" s="6">
        <f t="shared" si="167"/>
        <v>200.4432103643602</v>
      </c>
      <c r="AU159" s="6">
        <f t="shared" si="168"/>
        <v>689.93511342699651</v>
      </c>
      <c r="AV159" s="71">
        <f t="shared" si="169"/>
        <v>218375.28444717187</v>
      </c>
      <c r="AW159" s="71">
        <f t="shared" si="170"/>
        <v>655125.85334151564</v>
      </c>
      <c r="BC159">
        <v>2.7401669256310912</v>
      </c>
      <c r="BD159">
        <v>-16.275909309115605</v>
      </c>
      <c r="BE159">
        <v>5.437093742207022</v>
      </c>
      <c r="BF159" s="6">
        <f t="shared" si="171"/>
        <v>2.8191902604621388</v>
      </c>
      <c r="BG159" s="6">
        <f t="shared" si="172"/>
        <v>7.902333483104762E-2</v>
      </c>
      <c r="BH159" s="6">
        <f t="shared" si="173"/>
        <v>-3.1106470549400056</v>
      </c>
      <c r="BI159" s="6">
        <f t="shared" si="174"/>
        <v>3.1106470549400056</v>
      </c>
      <c r="BJ159">
        <v>-25.039860475562467</v>
      </c>
      <c r="BK159">
        <v>8.3647596033954184</v>
      </c>
      <c r="BV159" s="37"/>
      <c r="BW159" s="6">
        <f t="shared" si="112"/>
        <v>2.5132741228718309</v>
      </c>
      <c r="BX159" s="9">
        <f t="shared" ca="1" si="113"/>
        <v>-128.96238065046845</v>
      </c>
      <c r="BY159" s="9">
        <f t="shared" ca="1" si="114"/>
        <v>64.98130509479428</v>
      </c>
      <c r="BZ159" s="9">
        <f t="shared" ca="1" si="115"/>
        <v>29.491278860374592</v>
      </c>
      <c r="CA159" s="6">
        <f t="shared" ca="1" si="116"/>
        <v>80.246971211013005</v>
      </c>
      <c r="CB159" s="6">
        <f t="shared" ca="1" si="117"/>
        <v>1.2186114814151341</v>
      </c>
      <c r="CC159" s="6">
        <f t="shared" ca="1" si="118"/>
        <v>9.2118047438278143</v>
      </c>
      <c r="CD159" s="9">
        <f t="shared" si="119"/>
        <v>-70.508721139625393</v>
      </c>
      <c r="CE159" s="9">
        <f t="shared" si="120"/>
        <v>110.246971211013</v>
      </c>
      <c r="CF159" s="6">
        <f t="shared" si="121"/>
        <v>2.1397919557979157</v>
      </c>
      <c r="CG159" s="6"/>
      <c r="CH159" s="6"/>
      <c r="CI159" s="6"/>
      <c r="CJ159" s="1"/>
      <c r="CK159" s="6"/>
    </row>
    <row r="160" spans="1:89" x14ac:dyDescent="0.25">
      <c r="A160" s="1" t="s">
        <v>46</v>
      </c>
      <c r="B160" s="6">
        <f t="shared" ref="B160:E160" si="176">B52</f>
        <v>17.790887671852982</v>
      </c>
      <c r="C160" s="6">
        <f t="shared" si="176"/>
        <v>4.846061890598353</v>
      </c>
      <c r="D160" s="6">
        <f t="shared" si="176"/>
        <v>17.412874416715137</v>
      </c>
      <c r="E160" s="6">
        <f t="shared" si="176"/>
        <v>12.837126023674754</v>
      </c>
      <c r="F160" s="6">
        <f t="shared" si="138"/>
        <v>0.90189856281303071</v>
      </c>
      <c r="G160" s="6">
        <f t="shared" si="139"/>
        <v>0.66972365282399982</v>
      </c>
      <c r="H160" s="6">
        <f t="shared" si="140"/>
        <v>17.537723253806174</v>
      </c>
      <c r="I160" s="6">
        <f t="shared" si="141"/>
        <v>10.19786655175313</v>
      </c>
      <c r="J160" s="6">
        <f t="shared" si="142"/>
        <v>17.449958060319883</v>
      </c>
      <c r="K160" s="6">
        <f t="shared" si="143"/>
        <v>12.053191147566716</v>
      </c>
      <c r="L160" s="6"/>
      <c r="M160" s="6">
        <f t="shared" si="144"/>
        <v>91903.129737907613</v>
      </c>
      <c r="N160" s="6">
        <f t="shared" si="145"/>
        <v>1043733.8650379599</v>
      </c>
      <c r="O160" s="6">
        <f t="shared" si="146"/>
        <v>803366.43734925671</v>
      </c>
      <c r="P160" s="6">
        <f t="shared" si="128"/>
        <v>-7132.5179154752741</v>
      </c>
      <c r="Q160" s="6">
        <f t="shared" si="147"/>
        <v>-2606.8960986209449</v>
      </c>
      <c r="R160" s="6">
        <f t="shared" si="129"/>
        <v>3801.5248260347134</v>
      </c>
      <c r="S160" s="6">
        <f t="shared" si="130"/>
        <v>4525.9673344695029</v>
      </c>
      <c r="T160" s="70">
        <f t="shared" si="148"/>
        <v>-24637.977129629555</v>
      </c>
      <c r="U160" s="10">
        <f t="shared" si="131"/>
        <v>-37445.719056245187</v>
      </c>
      <c r="V160" s="10">
        <f t="shared" si="132"/>
        <v>11646.518998708874</v>
      </c>
      <c r="W160" s="10">
        <f t="shared" si="133"/>
        <v>6882.700365944328</v>
      </c>
      <c r="X160" s="10">
        <f t="shared" si="134"/>
        <v>18103.869337878012</v>
      </c>
      <c r="Y160" s="70">
        <f t="shared" si="135"/>
        <v>-14251.686251078263</v>
      </c>
      <c r="Z160" s="70">
        <f t="shared" si="136"/>
        <v>-38889.663380707818</v>
      </c>
      <c r="AA160" s="6"/>
      <c r="AB160" s="6">
        <f t="shared" si="149"/>
        <v>-2098.2382577606231</v>
      </c>
      <c r="AC160" s="6">
        <f t="shared" si="150"/>
        <v>2017.6800403682578</v>
      </c>
      <c r="AD160" s="6">
        <f t="shared" si="151"/>
        <v>-1033.3234352490797</v>
      </c>
      <c r="AE160" s="6">
        <f t="shared" si="152"/>
        <v>887.63023353966867</v>
      </c>
      <c r="AF160" s="6">
        <f t="shared" si="153"/>
        <v>206.66468704981597</v>
      </c>
      <c r="AG160" s="6">
        <f t="shared" si="154"/>
        <v>-19.586732051960411</v>
      </c>
      <c r="AH160" s="71">
        <f t="shared" si="155"/>
        <v>-6024.3251979470433</v>
      </c>
      <c r="AI160" s="6">
        <f t="shared" si="156"/>
        <v>-1049.1191288803116</v>
      </c>
      <c r="AJ160" s="6">
        <f t="shared" si="157"/>
        <v>2017.6800403682578</v>
      </c>
      <c r="AK160" s="6">
        <f t="shared" si="158"/>
        <v>-2066.6468704981594</v>
      </c>
      <c r="AL160" s="6">
        <f t="shared" si="159"/>
        <v>443.81511676983433</v>
      </c>
      <c r="AM160" s="6">
        <f t="shared" si="160"/>
        <v>619.99406114944782</v>
      </c>
      <c r="AN160" s="6">
        <f t="shared" si="161"/>
        <v>-34.276781090931081</v>
      </c>
      <c r="AO160" s="71">
        <f t="shared" si="162"/>
        <v>-10489.810217549661</v>
      </c>
      <c r="AP160" s="6">
        <f t="shared" si="163"/>
        <v>-349.70637629343719</v>
      </c>
      <c r="AQ160" s="6">
        <f t="shared" si="164"/>
        <v>2017.6800403682578</v>
      </c>
      <c r="AR160" s="6">
        <f t="shared" si="165"/>
        <v>-3099.9703057472389</v>
      </c>
      <c r="AS160" s="6">
        <f t="shared" si="166"/>
        <v>147.93837225661144</v>
      </c>
      <c r="AT160" s="6">
        <f t="shared" si="167"/>
        <v>1239.9881222988956</v>
      </c>
      <c r="AU160" s="6">
        <f t="shared" si="168"/>
        <v>-44.07014711691113</v>
      </c>
      <c r="AV160" s="71">
        <f t="shared" si="169"/>
        <v>-13419.405467297987</v>
      </c>
      <c r="AW160" s="71">
        <f t="shared" si="170"/>
        <v>-29933.540882794692</v>
      </c>
      <c r="BC160">
        <v>2.7576202181510343</v>
      </c>
      <c r="BD160">
        <v>-16.467077689285034</v>
      </c>
      <c r="BE160">
        <v>5.1972991356845331</v>
      </c>
      <c r="BF160" s="6">
        <f t="shared" si="171"/>
        <v>2.8358701003490814</v>
      </c>
      <c r="BG160" s="6">
        <f t="shared" si="172"/>
        <v>7.8249882198047072E-2</v>
      </c>
      <c r="BH160" s="6">
        <f t="shared" si="173"/>
        <v>-3.1273268948269481</v>
      </c>
      <c r="BI160" s="6">
        <f t="shared" si="174"/>
        <v>3.1273268948269481</v>
      </c>
      <c r="BJ160">
        <v>-25.33396567582313</v>
      </c>
      <c r="BK160">
        <v>7.9958448241300504</v>
      </c>
      <c r="BV160" s="37"/>
      <c r="BW160" s="6">
        <f t="shared" si="112"/>
        <v>2.530727415391774</v>
      </c>
      <c r="BX160" s="9">
        <f t="shared" ca="1" si="113"/>
        <v>-136.60193436456129</v>
      </c>
      <c r="BY160" s="9">
        <f t="shared" ca="1" si="114"/>
        <v>54.222111015257745</v>
      </c>
      <c r="BZ160" s="9">
        <f t="shared" ca="1" si="115"/>
        <v>21.851725146281751</v>
      </c>
      <c r="CA160" s="6">
        <f t="shared" ca="1" si="116"/>
        <v>69.487777131476477</v>
      </c>
      <c r="CB160" s="6">
        <f t="shared" ca="1" si="117"/>
        <v>1.2661189921574929</v>
      </c>
      <c r="CC160" s="6">
        <f t="shared" ca="1" si="118"/>
        <v>9.7051795685574067</v>
      </c>
      <c r="CD160" s="9">
        <f t="shared" si="119"/>
        <v>-78.148274853718249</v>
      </c>
      <c r="CE160" s="9">
        <f t="shared" si="120"/>
        <v>99.487777131476477</v>
      </c>
      <c r="CF160" s="6">
        <f t="shared" si="121"/>
        <v>2.2366369490132336</v>
      </c>
      <c r="CG160" s="6"/>
      <c r="CH160" s="6"/>
      <c r="CI160" s="6"/>
      <c r="CJ160" s="1"/>
      <c r="CK160" s="6"/>
    </row>
    <row r="161" spans="1:89" x14ac:dyDescent="0.25">
      <c r="A161" s="1" t="s">
        <v>47</v>
      </c>
      <c r="B161" s="6">
        <f t="shared" ref="B161:E161" si="177">B53</f>
        <v>17.412874416715137</v>
      </c>
      <c r="C161" s="6">
        <f t="shared" si="177"/>
        <v>12.837126023674754</v>
      </c>
      <c r="D161" s="6">
        <f t="shared" si="177"/>
        <v>-30.53351038174327</v>
      </c>
      <c r="E161" s="6">
        <f t="shared" si="177"/>
        <v>10.569046492847683</v>
      </c>
      <c r="F161" s="6">
        <f t="shared" si="138"/>
        <v>0.34563817778566636</v>
      </c>
      <c r="G161" s="6">
        <f t="shared" si="139"/>
        <v>1</v>
      </c>
      <c r="H161" s="6">
        <f>IF(AND(F161=0,G161=0),0,IF(C161&gt;E161,B161+(F161*(D161-B161)),B161+(G161*(D161-B161))))</f>
        <v>0.84077334356559774</v>
      </c>
      <c r="I161" s="6">
        <f t="shared" si="141"/>
        <v>12.053191147566716</v>
      </c>
      <c r="J161" s="6">
        <f t="shared" si="142"/>
        <v>-30.533510381743273</v>
      </c>
      <c r="K161" s="6">
        <f t="shared" si="143"/>
        <v>10.569046492847683</v>
      </c>
      <c r="L161" s="6"/>
      <c r="M161" s="6">
        <f t="shared" si="144"/>
        <v>63117.767367470151</v>
      </c>
      <c r="N161" s="6">
        <f t="shared" si="145"/>
        <v>703132.99982640345</v>
      </c>
      <c r="O161" s="6">
        <f t="shared" si="146"/>
        <v>-582684.2916146745</v>
      </c>
      <c r="P161" s="6">
        <f t="shared" si="128"/>
        <v>-11804.197649478945</v>
      </c>
      <c r="Q161" s="6">
        <f t="shared" si="147"/>
        <v>-2127.8286660035678</v>
      </c>
      <c r="R161" s="6">
        <f t="shared" si="129"/>
        <v>5344.5530282572918</v>
      </c>
      <c r="S161" s="6">
        <f t="shared" si="130"/>
        <v>7472.9069293904613</v>
      </c>
      <c r="T161" s="70">
        <f t="shared" si="148"/>
        <v>34031.623458089416</v>
      </c>
      <c r="U161" s="10">
        <f t="shared" si="131"/>
        <v>-55070.831121170726</v>
      </c>
      <c r="V161" s="10">
        <f t="shared" si="132"/>
        <v>16445.767251853802</v>
      </c>
      <c r="W161" s="10">
        <f t="shared" si="133"/>
        <v>7210.3759314596318</v>
      </c>
      <c r="X161" s="10">
        <f t="shared" si="134"/>
        <v>29891.627717561845</v>
      </c>
      <c r="Y161" s="70">
        <f t="shared" si="135"/>
        <v>-1280.5484338695587</v>
      </c>
      <c r="Z161" s="70">
        <f t="shared" si="136"/>
        <v>32751.075024219856</v>
      </c>
      <c r="AA161" s="6"/>
      <c r="AB161" s="6">
        <f t="shared" si="149"/>
        <v>-2556.3179254478669</v>
      </c>
      <c r="AC161" s="6">
        <f t="shared" si="150"/>
        <v>2017.6800403682578</v>
      </c>
      <c r="AD161" s="6">
        <f t="shared" si="151"/>
        <v>-906.08730049895314</v>
      </c>
      <c r="AE161" s="6">
        <f t="shared" si="152"/>
        <v>1239.9881222988956</v>
      </c>
      <c r="AF161" s="6">
        <f t="shared" si="153"/>
        <v>158.9036245805423</v>
      </c>
      <c r="AG161" s="6">
        <f t="shared" si="154"/>
        <v>-45.833438699124173</v>
      </c>
      <c r="AH161" s="71">
        <f t="shared" si="155"/>
        <v>-32.399649348704834</v>
      </c>
      <c r="AI161" s="6">
        <f t="shared" si="156"/>
        <v>-1341.7770300989966</v>
      </c>
      <c r="AJ161" s="6">
        <f t="shared" si="157"/>
        <v>2017.6800403682578</v>
      </c>
      <c r="AK161" s="6">
        <f t="shared" si="158"/>
        <v>-1812.1746009979063</v>
      </c>
      <c r="AL161" s="6">
        <f t="shared" si="159"/>
        <v>619.99406114944782</v>
      </c>
      <c r="AM161" s="6">
        <f t="shared" si="160"/>
        <v>476.71087374162687</v>
      </c>
      <c r="AN161" s="6">
        <f t="shared" si="161"/>
        <v>-39.566655837570465</v>
      </c>
      <c r="AO161" s="71">
        <f t="shared" si="162"/>
        <v>1015.7457565432214</v>
      </c>
      <c r="AP161" s="6">
        <f t="shared" si="163"/>
        <v>-489.67105494970775</v>
      </c>
      <c r="AQ161" s="6">
        <f t="shared" si="164"/>
        <v>2017.6800403682578</v>
      </c>
      <c r="AR161" s="6">
        <f t="shared" si="165"/>
        <v>-2718.2619014968591</v>
      </c>
      <c r="AS161" s="6">
        <f t="shared" si="166"/>
        <v>206.66468704981597</v>
      </c>
      <c r="AT161" s="6">
        <f t="shared" si="167"/>
        <v>953.42174748325374</v>
      </c>
      <c r="AU161" s="6">
        <f t="shared" si="168"/>
        <v>-30.166481545239321</v>
      </c>
      <c r="AV161" s="71">
        <f t="shared" si="169"/>
        <v>-28124.067641837522</v>
      </c>
      <c r="AW161" s="71">
        <f t="shared" si="170"/>
        <v>-27140.721534643006</v>
      </c>
      <c r="BC161">
        <v>2.7750735106709774</v>
      </c>
      <c r="BD161">
        <v>-16.669997482410086</v>
      </c>
      <c r="BE161">
        <v>4.9340345244939599</v>
      </c>
      <c r="BF161" s="6">
        <f t="shared" si="171"/>
        <v>2.8538253163884826</v>
      </c>
      <c r="BG161" s="6">
        <f t="shared" si="172"/>
        <v>7.8751805717505174E-2</v>
      </c>
      <c r="BH161" s="6">
        <f t="shared" si="173"/>
        <v>3.1379031963132369</v>
      </c>
      <c r="BI161" s="6">
        <f t="shared" si="174"/>
        <v>3.1379031963132369</v>
      </c>
      <c r="BJ161">
        <v>-25.646149972938591</v>
      </c>
      <c r="BK161">
        <v>7.5908223453753223</v>
      </c>
      <c r="BV161" s="37"/>
      <c r="BW161" s="6">
        <f t="shared" si="112"/>
        <v>2.5481807079117171</v>
      </c>
      <c r="BX161" s="9">
        <f t="shared" ca="1" si="113"/>
        <v>-143.93249960694737</v>
      </c>
      <c r="BY161" s="9">
        <f t="shared" ca="1" si="114"/>
        <v>43.814205194872933</v>
      </c>
      <c r="BZ161" s="9">
        <f t="shared" ca="1" si="115"/>
        <v>14.521159903895665</v>
      </c>
      <c r="CA161" s="6">
        <f t="shared" ca="1" si="116"/>
        <v>59.079871311091665</v>
      </c>
      <c r="CB161" s="6">
        <f t="shared" ca="1" si="117"/>
        <v>1.3297852283055169</v>
      </c>
      <c r="CC161" s="6">
        <f t="shared" ca="1" si="118"/>
        <v>10.057828463592813</v>
      </c>
      <c r="CD161" s="9">
        <f t="shared" si="119"/>
        <v>-85.478840096104321</v>
      </c>
      <c r="CE161" s="9">
        <f t="shared" si="120"/>
        <v>89.079871311091665</v>
      </c>
      <c r="CF161" s="6">
        <f t="shared" si="121"/>
        <v>2.3355680746647982</v>
      </c>
      <c r="CG161" s="6"/>
      <c r="CH161" s="6"/>
      <c r="CI161" s="6"/>
      <c r="CJ161" s="1"/>
      <c r="CK161" s="6"/>
    </row>
    <row r="162" spans="1:89" x14ac:dyDescent="0.25">
      <c r="A162" s="1" t="s">
        <v>48</v>
      </c>
      <c r="B162" s="6">
        <f t="shared" ref="B162:E162" si="178">B54</f>
        <v>-30.53351038174327</v>
      </c>
      <c r="C162" s="6">
        <f t="shared" si="178"/>
        <v>10.569046492847683</v>
      </c>
      <c r="D162" s="6">
        <f t="shared" si="178"/>
        <v>-30.155497126605425</v>
      </c>
      <c r="E162" s="6">
        <f t="shared" si="178"/>
        <v>2.5779823597712808</v>
      </c>
      <c r="F162" s="6">
        <f t="shared" si="138"/>
        <v>0</v>
      </c>
      <c r="G162" s="6">
        <f t="shared" si="139"/>
        <v>4.6449375816942189E-2</v>
      </c>
      <c r="H162" s="6">
        <f t="shared" si="140"/>
        <v>-30.53351038174327</v>
      </c>
      <c r="I162" s="6">
        <f t="shared" si="141"/>
        <v>10.569046492847683</v>
      </c>
      <c r="J162" s="6">
        <f t="shared" si="142"/>
        <v>-30.515951901991585</v>
      </c>
      <c r="K162" s="6">
        <f t="shared" si="143"/>
        <v>10.19786655175313</v>
      </c>
      <c r="L162" s="6"/>
      <c r="M162" s="6">
        <f t="shared" si="144"/>
        <v>8992.0182514870139</v>
      </c>
      <c r="N162" s="6">
        <f t="shared" si="145"/>
        <v>93904.741199867101</v>
      </c>
      <c r="O162" s="6">
        <f t="shared" si="146"/>
        <v>-137252.15945715384</v>
      </c>
      <c r="P162" s="6">
        <f t="shared" si="128"/>
        <v>-9430.089862731078</v>
      </c>
      <c r="Q162" s="6">
        <f t="shared" si="147"/>
        <v>-1563.5675344563299</v>
      </c>
      <c r="R162" s="6">
        <f t="shared" si="129"/>
        <v>5762.0485634361776</v>
      </c>
      <c r="S162" s="6">
        <f t="shared" si="130"/>
        <v>5038.3793882212958</v>
      </c>
      <c r="T162" s="70">
        <f t="shared" si="148"/>
        <v>5896.5804658399784</v>
      </c>
      <c r="U162" s="10">
        <f t="shared" si="131"/>
        <v>-42874.571210753471</v>
      </c>
      <c r="V162" s="10">
        <f t="shared" si="132"/>
        <v>15070.684016517573</v>
      </c>
      <c r="W162" s="10">
        <f t="shared" si="133"/>
        <v>7270.7043415926792</v>
      </c>
      <c r="X162" s="10">
        <f t="shared" si="134"/>
        <v>20153.517552885183</v>
      </c>
      <c r="Y162" s="70">
        <f t="shared" si="135"/>
        <v>11592.51437174963</v>
      </c>
      <c r="Z162" s="70">
        <f t="shared" si="136"/>
        <v>17489.094837589608</v>
      </c>
      <c r="AA162" s="6"/>
      <c r="AB162" s="6">
        <f t="shared" si="149"/>
        <v>-2258.2928893937719</v>
      </c>
      <c r="AC162" s="6">
        <f t="shared" si="150"/>
        <v>2017.6800403682578</v>
      </c>
      <c r="AD162" s="6">
        <f t="shared" si="151"/>
        <v>-874.26594073359297</v>
      </c>
      <c r="AE162" s="6">
        <f t="shared" si="152"/>
        <v>953.42174748325374</v>
      </c>
      <c r="AF162" s="6">
        <f t="shared" si="153"/>
        <v>147.93837225661144</v>
      </c>
      <c r="AG162" s="6">
        <f t="shared" si="154"/>
        <v>-13.518670019241938</v>
      </c>
      <c r="AH162" s="71">
        <f t="shared" si="155"/>
        <v>-12603.391929505344</v>
      </c>
      <c r="AI162" s="6">
        <f t="shared" si="156"/>
        <v>-1198.8825848604567</v>
      </c>
      <c r="AJ162" s="6">
        <f t="shared" si="157"/>
        <v>2017.6800403682578</v>
      </c>
      <c r="AK162" s="6">
        <f t="shared" si="158"/>
        <v>-1748.5318814671859</v>
      </c>
      <c r="AL162" s="6">
        <f t="shared" si="159"/>
        <v>476.71087374162687</v>
      </c>
      <c r="AM162" s="6">
        <f t="shared" si="160"/>
        <v>443.81511676983433</v>
      </c>
      <c r="AN162" s="6">
        <f t="shared" si="161"/>
        <v>-9.2084354479237049</v>
      </c>
      <c r="AO162" s="71">
        <f t="shared" si="162"/>
        <v>-8580.0438403698427</v>
      </c>
      <c r="AP162" s="6">
        <f t="shared" si="163"/>
        <v>-446.11828839586605</v>
      </c>
      <c r="AQ162" s="6">
        <f t="shared" si="164"/>
        <v>2017.6800403682578</v>
      </c>
      <c r="AR162" s="6">
        <f t="shared" si="165"/>
        <v>-2622.7978222007791</v>
      </c>
      <c r="AS162" s="6">
        <f t="shared" si="166"/>
        <v>158.9036245805423</v>
      </c>
      <c r="AT162" s="6">
        <f t="shared" si="167"/>
        <v>887.63023353966867</v>
      </c>
      <c r="AU162" s="6">
        <f t="shared" si="168"/>
        <v>-4.7022121081764681</v>
      </c>
      <c r="AV162" s="71">
        <f t="shared" si="169"/>
        <v>-4378.809572999282</v>
      </c>
      <c r="AW162" s="71">
        <f t="shared" si="170"/>
        <v>-25562.245342874467</v>
      </c>
      <c r="BC162">
        <v>2.7925268031909205</v>
      </c>
      <c r="BD162">
        <v>-16.886275512844996</v>
      </c>
      <c r="BE162">
        <v>4.6428199144988138</v>
      </c>
      <c r="BF162" s="6">
        <f t="shared" si="171"/>
        <v>2.8732763159972046</v>
      </c>
      <c r="BG162" s="6">
        <f t="shared" si="172"/>
        <v>8.0749512806284063E-2</v>
      </c>
      <c r="BH162" s="6">
        <f t="shared" si="173"/>
        <v>3.1184521967045149</v>
      </c>
      <c r="BI162" s="6">
        <f t="shared" si="174"/>
        <v>3.1184521967045149</v>
      </c>
      <c r="BJ162">
        <v>-25.978885404376918</v>
      </c>
      <c r="BK162">
        <v>7.1427998684597132</v>
      </c>
      <c r="BV162" s="37"/>
      <c r="BW162" s="6">
        <f t="shared" si="112"/>
        <v>2.5656340004316602</v>
      </c>
      <c r="BX162" s="9">
        <f t="shared" ca="1" si="113"/>
        <v>-151.32019494441667</v>
      </c>
      <c r="BY162" s="9">
        <f t="shared" ca="1" si="114"/>
        <v>31.555007875946217</v>
      </c>
      <c r="BZ162" s="9">
        <f t="shared" ca="1" si="115"/>
        <v>7.1334645664263689</v>
      </c>
      <c r="CA162" s="6">
        <f t="shared" ca="1" si="116"/>
        <v>46.820673992164949</v>
      </c>
      <c r="CB162" s="6">
        <f t="shared" ca="1" si="117"/>
        <v>1.4196018965446024</v>
      </c>
      <c r="CC162" s="6">
        <f t="shared" ca="1" si="118"/>
        <v>10.308736525939024</v>
      </c>
      <c r="CD162" s="9">
        <f t="shared" si="119"/>
        <v>-92.866535433573631</v>
      </c>
      <c r="CE162" s="9">
        <f t="shared" si="120"/>
        <v>76.820673992164956</v>
      </c>
      <c r="CF162" s="6">
        <f t="shared" si="121"/>
        <v>2.4504755491385048</v>
      </c>
      <c r="CG162" s="6"/>
      <c r="CH162" s="6"/>
      <c r="CI162" s="6"/>
      <c r="CJ162" s="1"/>
      <c r="CK162" s="6"/>
    </row>
    <row r="163" spans="1:89" x14ac:dyDescent="0.25">
      <c r="A163" s="1" t="s">
        <v>93</v>
      </c>
      <c r="B163" s="6">
        <f t="shared" ref="B163:E163" si="179">B55</f>
        <v>-30.155497126605425</v>
      </c>
      <c r="C163" s="6">
        <f t="shared" si="179"/>
        <v>2.5779823597712808</v>
      </c>
      <c r="D163" s="6">
        <f t="shared" si="179"/>
        <v>-6.1823047273762244</v>
      </c>
      <c r="E163" s="6">
        <f t="shared" si="179"/>
        <v>3.7120221251848164</v>
      </c>
      <c r="F163" s="6">
        <f t="shared" si="138"/>
        <v>1</v>
      </c>
      <c r="G163" s="6">
        <f t="shared" si="139"/>
        <v>1</v>
      </c>
      <c r="H163" s="6">
        <f t="shared" si="140"/>
        <v>-6.1823047273762235</v>
      </c>
      <c r="I163" s="6">
        <f t="shared" si="141"/>
        <v>3.7120221251848164</v>
      </c>
      <c r="J163" s="6">
        <f t="shared" si="142"/>
        <v>-6.1823047273762235</v>
      </c>
      <c r="K163" s="6">
        <f t="shared" si="143"/>
        <v>3.7120221251848164</v>
      </c>
      <c r="L163" s="6"/>
      <c r="M163" s="6">
        <f t="shared" si="144"/>
        <v>0</v>
      </c>
      <c r="N163" s="6">
        <f t="shared" si="145"/>
        <v>0</v>
      </c>
      <c r="O163" s="6">
        <f t="shared" si="146"/>
        <v>0</v>
      </c>
      <c r="P163" s="6">
        <f t="shared" si="128"/>
        <v>-1926.012409033593</v>
      </c>
      <c r="Q163" s="6">
        <f t="shared" si="147"/>
        <v>3419.3675478638556</v>
      </c>
      <c r="R163" s="6">
        <f t="shared" si="129"/>
        <v>8764.7475047613043</v>
      </c>
      <c r="S163" s="6">
        <f t="shared" si="130"/>
        <v>218.28058545972507</v>
      </c>
      <c r="T163" s="70">
        <f t="shared" si="148"/>
        <v>-64768.193562768778</v>
      </c>
      <c r="U163" s="10">
        <f t="shared" si="131"/>
        <v>-6432.8789834799536</v>
      </c>
      <c r="V163" s="10">
        <f t="shared" si="132"/>
        <v>10690.759913794898</v>
      </c>
      <c r="W163" s="10">
        <f t="shared" si="133"/>
        <v>5345.3799568974491</v>
      </c>
      <c r="X163" s="10">
        <f t="shared" si="134"/>
        <v>873.1223418389003</v>
      </c>
      <c r="Y163" s="70">
        <f t="shared" si="135"/>
        <v>-64768.193562768793</v>
      </c>
      <c r="Z163" s="70">
        <f t="shared" si="136"/>
        <v>-129536.38712553757</v>
      </c>
      <c r="AA163" s="6"/>
      <c r="AB163" s="6">
        <f t="shared" si="149"/>
        <v>-895.89438648732823</v>
      </c>
      <c r="AC163" s="6">
        <f t="shared" si="150"/>
        <v>2017.6800403682578</v>
      </c>
      <c r="AD163" s="6">
        <f t="shared" si="151"/>
        <v>-318.23269100738639</v>
      </c>
      <c r="AE163" s="6">
        <f t="shared" si="152"/>
        <v>117.60737306966196</v>
      </c>
      <c r="AF163" s="6">
        <f t="shared" si="153"/>
        <v>19.601228844943659</v>
      </c>
      <c r="AG163" s="6">
        <f t="shared" si="154"/>
        <v>940.76156478814892</v>
      </c>
      <c r="AH163" s="71">
        <f t="shared" si="155"/>
        <v>35956.745922932561</v>
      </c>
      <c r="AI163" s="6">
        <f t="shared" si="156"/>
        <v>-558.06046663499819</v>
      </c>
      <c r="AJ163" s="6">
        <f t="shared" si="157"/>
        <v>2017.6800403682578</v>
      </c>
      <c r="AK163" s="6">
        <f t="shared" si="158"/>
        <v>-636.46538201477279</v>
      </c>
      <c r="AL163" s="6">
        <f t="shared" si="159"/>
        <v>58.80368653483098</v>
      </c>
      <c r="AM163" s="6">
        <f t="shared" si="160"/>
        <v>58.80368653483098</v>
      </c>
      <c r="AN163" s="6">
        <f t="shared" si="161"/>
        <v>940.76156478814869</v>
      </c>
      <c r="AO163" s="71">
        <f t="shared" si="162"/>
        <v>35956.745922932547</v>
      </c>
      <c r="AP163" s="6">
        <f t="shared" si="163"/>
        <v>-259.42900447255545</v>
      </c>
      <c r="AQ163" s="6">
        <f t="shared" si="164"/>
        <v>2017.6800403682578</v>
      </c>
      <c r="AR163" s="6">
        <f t="shared" si="165"/>
        <v>-954.69807302215918</v>
      </c>
      <c r="AS163" s="6">
        <f t="shared" si="166"/>
        <v>19.601228844943659</v>
      </c>
      <c r="AT163" s="6">
        <f t="shared" si="167"/>
        <v>117.60737306966196</v>
      </c>
      <c r="AU163" s="6">
        <f t="shared" si="168"/>
        <v>940.76156478814892</v>
      </c>
      <c r="AV163" s="71">
        <f t="shared" si="169"/>
        <v>35956.745922932561</v>
      </c>
      <c r="AW163" s="71">
        <f t="shared" si="170"/>
        <v>107870.23776879767</v>
      </c>
      <c r="BC163">
        <v>2.8099800957108636</v>
      </c>
      <c r="BD163">
        <v>-17.117815282587646</v>
      </c>
      <c r="BE163">
        <v>4.3180721178019459</v>
      </c>
      <c r="BF163" s="6">
        <f t="shared" si="171"/>
        <v>2.8944917982429077</v>
      </c>
      <c r="BG163" s="6">
        <f t="shared" si="172"/>
        <v>8.4511702532044097E-2</v>
      </c>
      <c r="BH163" s="6">
        <f t="shared" si="173"/>
        <v>3.0972367144588118</v>
      </c>
      <c r="BI163" s="6">
        <f t="shared" si="174"/>
        <v>3.0972367144588118</v>
      </c>
      <c r="BJ163">
        <v>-26.335100434750224</v>
      </c>
      <c r="BK163">
        <v>6.6431878735414553</v>
      </c>
      <c r="BV163" s="37"/>
      <c r="BW163" s="6">
        <f t="shared" si="112"/>
        <v>2.5830872929516033</v>
      </c>
      <c r="BX163" s="9">
        <f t="shared" ca="1" si="113"/>
        <v>-158.62096522901953</v>
      </c>
      <c r="BY163" s="9">
        <f t="shared" ca="1" si="114"/>
        <v>19.036888522549745</v>
      </c>
      <c r="BZ163" s="9">
        <f t="shared" ca="1" si="115"/>
        <v>-0.1673057181764932</v>
      </c>
      <c r="CA163" s="6">
        <f t="shared" ca="1" si="116"/>
        <v>34.302554638768477</v>
      </c>
      <c r="CB163" s="6">
        <f t="shared" ca="1" si="117"/>
        <v>1.5756736425896454</v>
      </c>
      <c r="CC163" s="6">
        <f t="shared" ca="1" si="118"/>
        <v>9.952225935105707</v>
      </c>
      <c r="CD163" s="9">
        <f t="shared" si="119"/>
        <v>-100.16730571817649</v>
      </c>
      <c r="CE163" s="9">
        <f t="shared" si="120"/>
        <v>64.30255463876847</v>
      </c>
      <c r="CF163" s="6">
        <f t="shared" si="121"/>
        <v>2.5708962361002161</v>
      </c>
      <c r="CG163" s="6"/>
      <c r="CH163" s="6"/>
      <c r="CI163" s="6"/>
      <c r="CJ163" s="1"/>
      <c r="CK163" s="6"/>
    </row>
    <row r="164" spans="1:89" ht="15.75" thickBot="1" x14ac:dyDescent="0.3">
      <c r="A164" s="1" t="s">
        <v>94</v>
      </c>
      <c r="B164" s="6">
        <f t="shared" ref="B164:E164" si="180">B56</f>
        <v>-6.1823047273762244</v>
      </c>
      <c r="C164" s="6">
        <f t="shared" si="180"/>
        <v>3.7120221251848164</v>
      </c>
      <c r="D164" s="6">
        <f t="shared" si="180"/>
        <v>-5.426278217100533</v>
      </c>
      <c r="E164" s="6">
        <f t="shared" si="180"/>
        <v>-12.270106140967986</v>
      </c>
      <c r="F164" s="6">
        <f t="shared" si="138"/>
        <v>0</v>
      </c>
      <c r="G164" s="6">
        <f t="shared" si="139"/>
        <v>0</v>
      </c>
      <c r="H164" s="6">
        <f t="shared" si="140"/>
        <v>0</v>
      </c>
      <c r="I164" s="6">
        <f t="shared" si="141"/>
        <v>0</v>
      </c>
      <c r="J164" s="6">
        <f t="shared" si="142"/>
        <v>0</v>
      </c>
      <c r="K164" s="6">
        <f t="shared" si="143"/>
        <v>0</v>
      </c>
      <c r="L164" s="6"/>
      <c r="M164" s="11">
        <f t="shared" si="144"/>
        <v>0</v>
      </c>
      <c r="N164" s="11">
        <f t="shared" si="145"/>
        <v>0</v>
      </c>
      <c r="O164" s="11">
        <f t="shared" si="146"/>
        <v>0</v>
      </c>
      <c r="P164" s="6">
        <f t="shared" si="128"/>
        <v>0</v>
      </c>
      <c r="Q164" s="6">
        <f t="shared" si="147"/>
        <v>0</v>
      </c>
      <c r="R164" s="6">
        <f t="shared" si="129"/>
        <v>0</v>
      </c>
      <c r="S164" s="6">
        <f t="shared" si="130"/>
        <v>0</v>
      </c>
      <c r="T164" s="70">
        <f t="shared" si="148"/>
        <v>0</v>
      </c>
      <c r="U164" s="10">
        <f t="shared" si="131"/>
        <v>0</v>
      </c>
      <c r="V164" s="10">
        <f t="shared" si="132"/>
        <v>0</v>
      </c>
      <c r="W164" s="10">
        <f t="shared" si="133"/>
        <v>0</v>
      </c>
      <c r="X164" s="10">
        <f t="shared" si="134"/>
        <v>0</v>
      </c>
      <c r="Y164" s="70">
        <f t="shared" si="135"/>
        <v>0</v>
      </c>
      <c r="Z164" s="70">
        <f t="shared" si="136"/>
        <v>0</v>
      </c>
      <c r="AA164" s="6"/>
      <c r="AB164" s="6">
        <f t="shared" si="149"/>
        <v>0</v>
      </c>
      <c r="AC164" s="6">
        <f t="shared" si="150"/>
        <v>2017.6800403682578</v>
      </c>
      <c r="AD164" s="6">
        <f t="shared" si="151"/>
        <v>0</v>
      </c>
      <c r="AE164" s="6">
        <f t="shared" si="152"/>
        <v>0</v>
      </c>
      <c r="AF164" s="6">
        <f t="shared" si="153"/>
        <v>0</v>
      </c>
      <c r="AG164" s="6">
        <f t="shared" si="154"/>
        <v>2017.6800403682578</v>
      </c>
      <c r="AH164" s="71">
        <f t="shared" si="155"/>
        <v>0</v>
      </c>
      <c r="AI164" s="6">
        <f t="shared" si="156"/>
        <v>0</v>
      </c>
      <c r="AJ164" s="6">
        <f t="shared" si="157"/>
        <v>2017.6800403682578</v>
      </c>
      <c r="AK164" s="6">
        <f t="shared" si="158"/>
        <v>0</v>
      </c>
      <c r="AL164" s="6">
        <f t="shared" si="159"/>
        <v>0</v>
      </c>
      <c r="AM164" s="6">
        <f t="shared" si="160"/>
        <v>0</v>
      </c>
      <c r="AN164" s="6">
        <f t="shared" si="161"/>
        <v>2017.6800403682578</v>
      </c>
      <c r="AO164" s="71">
        <f t="shared" si="162"/>
        <v>0</v>
      </c>
      <c r="AP164" s="6">
        <f t="shared" si="163"/>
        <v>0</v>
      </c>
      <c r="AQ164" s="6">
        <f t="shared" si="164"/>
        <v>2017.6800403682578</v>
      </c>
      <c r="AR164" s="6">
        <f t="shared" si="165"/>
        <v>0</v>
      </c>
      <c r="AS164" s="6">
        <f t="shared" si="166"/>
        <v>0</v>
      </c>
      <c r="AT164" s="6">
        <f t="shared" si="167"/>
        <v>0</v>
      </c>
      <c r="AU164" s="6">
        <f t="shared" si="168"/>
        <v>2017.6800403682578</v>
      </c>
      <c r="AV164" s="71">
        <f t="shared" si="169"/>
        <v>0</v>
      </c>
      <c r="AW164" s="71">
        <f t="shared" si="170"/>
        <v>0</v>
      </c>
      <c r="BC164">
        <v>2.8274333882308067</v>
      </c>
      <c r="BD164">
        <v>-17.366892189182654</v>
      </c>
      <c r="BE164">
        <v>3.9527563399222299</v>
      </c>
      <c r="BF164" s="6">
        <f t="shared" si="171"/>
        <v>2.9178020469505599</v>
      </c>
      <c r="BG164" s="6">
        <f t="shared" si="172"/>
        <v>9.0368658719753192E-2</v>
      </c>
      <c r="BH164" s="6">
        <f t="shared" si="173"/>
        <v>3.0739264657511596</v>
      </c>
      <c r="BI164" s="6">
        <f t="shared" si="174"/>
        <v>3.0739264657511596</v>
      </c>
      <c r="BJ164">
        <v>-26.718295675665619</v>
      </c>
      <c r="BK164">
        <v>6.0811635998803535</v>
      </c>
      <c r="BV164" s="37"/>
      <c r="BW164" s="6">
        <f t="shared" si="112"/>
        <v>2.6005405854715464</v>
      </c>
      <c r="BX164" s="9">
        <f t="shared" ca="1" si="113"/>
        <v>-164.63565673840216</v>
      </c>
      <c r="BY164" s="9">
        <f t="shared" ca="1" si="114"/>
        <v>8.3842469829587802</v>
      </c>
      <c r="BZ164" s="9">
        <f t="shared" ca="1" si="115"/>
        <v>-6.1819972275591226</v>
      </c>
      <c r="CA164" s="6">
        <f t="shared" ca="1" si="116"/>
        <v>23.64991309917751</v>
      </c>
      <c r="CB164" s="6">
        <f t="shared" ca="1" si="117"/>
        <v>1.8264717258543002</v>
      </c>
      <c r="CC164" s="6">
        <f t="shared" ca="1" si="118"/>
        <v>8.4727119862151863</v>
      </c>
      <c r="CD164" s="9">
        <f t="shared" si="119"/>
        <v>-106.18199722755911</v>
      </c>
      <c r="CE164" s="9">
        <f t="shared" si="120"/>
        <v>53.64991309917751</v>
      </c>
      <c r="CF164" s="6">
        <f t="shared" si="121"/>
        <v>2.6737429244758188</v>
      </c>
      <c r="CG164" s="6"/>
      <c r="CH164" s="6"/>
      <c r="CI164" s="6"/>
      <c r="CJ164" s="1"/>
      <c r="CK164" s="6"/>
    </row>
    <row r="165" spans="1:89" ht="15.75" thickTop="1" x14ac:dyDescent="0.25">
      <c r="M165" s="6">
        <f>SUM(M157:M164)</f>
        <v>164012.91535686477</v>
      </c>
      <c r="N165" s="6">
        <f t="shared" ref="N165:O165" si="181">SUM(N157:N164)</f>
        <v>1840771.6060642304</v>
      </c>
      <c r="O165" s="6">
        <f t="shared" si="181"/>
        <v>83429.986277428368</v>
      </c>
      <c r="AA165" s="51"/>
      <c r="AC165" s="51"/>
      <c r="BC165">
        <v>2.8448866807507498</v>
      </c>
      <c r="BD165">
        <v>-17.636253003918156</v>
      </c>
      <c r="BE165">
        <v>3.537901756426578</v>
      </c>
      <c r="BF165" s="6">
        <f t="shared" si="171"/>
        <v>2.9436164542280001</v>
      </c>
      <c r="BG165" s="6">
        <f t="shared" si="172"/>
        <v>9.8729773477250315E-2</v>
      </c>
      <c r="BH165" s="6">
        <f t="shared" si="173"/>
        <v>3.0481120584737194</v>
      </c>
      <c r="BI165" s="6">
        <f t="shared" si="174"/>
        <v>3.0481120584737194</v>
      </c>
      <c r="BJ165">
        <v>-27.132696929104856</v>
      </c>
      <c r="BK165">
        <v>5.4429257791178118</v>
      </c>
      <c r="BV165" s="37"/>
      <c r="BW165" s="6">
        <f t="shared" si="112"/>
        <v>2.6179938779914895</v>
      </c>
      <c r="BX165" s="9">
        <f t="shared" ca="1" si="113"/>
        <v>-169.27729978333045</v>
      </c>
      <c r="BY165" s="9">
        <f t="shared" ca="1" si="114"/>
        <v>-0.10760027524082538</v>
      </c>
      <c r="BZ165" s="9">
        <f t="shared" ca="1" si="115"/>
        <v>-10.82364027248741</v>
      </c>
      <c r="CA165" s="6">
        <f t="shared" ca="1" si="116"/>
        <v>15.158065840977905</v>
      </c>
      <c r="CB165" s="6">
        <f t="shared" ca="1" si="117"/>
        <v>2.1908907349206039</v>
      </c>
      <c r="CC165" s="6">
        <f t="shared" ca="1" si="118"/>
        <v>5.637666606465209</v>
      </c>
      <c r="CD165" s="9">
        <f t="shared" si="119"/>
        <v>-110.8236402724874</v>
      </c>
      <c r="CE165" s="9">
        <f t="shared" si="120"/>
        <v>45.158065840977905</v>
      </c>
      <c r="CF165" s="6">
        <f t="shared" si="121"/>
        <v>2.7546573955671247</v>
      </c>
      <c r="CG165" s="6"/>
      <c r="CH165" s="6"/>
      <c r="CI165" s="6"/>
      <c r="CJ165" s="1"/>
      <c r="CK165" s="6"/>
    </row>
    <row r="166" spans="1:89" x14ac:dyDescent="0.25">
      <c r="A166" t="s">
        <v>183</v>
      </c>
      <c r="M166" s="6"/>
      <c r="N166" s="1"/>
      <c r="O166" s="1"/>
      <c r="BC166">
        <v>2.8623399732706929</v>
      </c>
      <c r="BD166">
        <v>-17.929249383662981</v>
      </c>
      <c r="BE166">
        <v>3.0619164511145915</v>
      </c>
      <c r="BF166" s="6">
        <f t="shared" si="171"/>
        <v>2.9724467119895759</v>
      </c>
      <c r="BG166" s="6">
        <f t="shared" si="172"/>
        <v>0.11010673871888299</v>
      </c>
      <c r="BH166" s="6">
        <f t="shared" si="173"/>
        <v>3.0192818007121436</v>
      </c>
      <c r="BI166" s="6">
        <f t="shared" si="174"/>
        <v>3.0192818007121436</v>
      </c>
      <c r="BJ166">
        <v>-27.583460590250738</v>
      </c>
      <c r="BK166">
        <v>4.7106406940224481</v>
      </c>
      <c r="BV166" s="37"/>
      <c r="BW166" s="6">
        <f t="shared" si="112"/>
        <v>2.6354471705114326</v>
      </c>
      <c r="BX166" s="9">
        <f t="shared" ca="1" si="113"/>
        <v>-172.41622617155602</v>
      </c>
      <c r="BY166" s="9">
        <f t="shared" ca="1" si="114"/>
        <v>-6.0254424104470417</v>
      </c>
      <c r="BZ166" s="9">
        <f t="shared" ca="1" si="115"/>
        <v>-13.96256666071298</v>
      </c>
      <c r="CA166" s="6">
        <f t="shared" ca="1" si="116"/>
        <v>9.2402237057716885</v>
      </c>
      <c r="CB166" s="6">
        <f t="shared" ca="1" si="117"/>
        <v>2.5569769590518927</v>
      </c>
      <c r="CC166" s="6">
        <f t="shared" ca="1" si="118"/>
        <v>2.5300497920543297</v>
      </c>
      <c r="CD166" s="9">
        <f t="shared" si="119"/>
        <v>-113.96256666071298</v>
      </c>
      <c r="CE166" s="9">
        <f t="shared" si="120"/>
        <v>39.24022370577169</v>
      </c>
      <c r="CF166" s="6">
        <f t="shared" si="121"/>
        <v>2.8099819382573257</v>
      </c>
      <c r="CG166" s="6"/>
      <c r="CH166" s="6"/>
      <c r="CI166" s="6"/>
      <c r="CJ166" s="1"/>
      <c r="CK166" s="6"/>
    </row>
    <row r="167" spans="1:89" x14ac:dyDescent="0.25">
      <c r="B167" t="str">
        <f t="shared" ref="B167:E167" si="182">B156</f>
        <v>xi (in)</v>
      </c>
      <c r="C167" t="str">
        <f t="shared" si="182"/>
        <v>yi (in)</v>
      </c>
      <c r="D167" t="str">
        <f t="shared" si="182"/>
        <v>xj (in)</v>
      </c>
      <c r="E167" t="str">
        <f t="shared" si="182"/>
        <v>yj (in)</v>
      </c>
      <c r="F167" s="1" t="s">
        <v>184</v>
      </c>
      <c r="G167" s="1" t="s">
        <v>185</v>
      </c>
      <c r="H167" s="1" t="s">
        <v>179</v>
      </c>
      <c r="I167" s="1" t="s">
        <v>180</v>
      </c>
      <c r="J167" s="1" t="s">
        <v>181</v>
      </c>
      <c r="K167" s="1" t="s">
        <v>182</v>
      </c>
      <c r="L167" s="1" t="s">
        <v>38</v>
      </c>
      <c r="M167" s="1" t="s">
        <v>39</v>
      </c>
      <c r="N167" s="1" t="s">
        <v>40</v>
      </c>
      <c r="O167" s="1" t="s">
        <v>41</v>
      </c>
      <c r="P167" s="1" t="s">
        <v>42</v>
      </c>
      <c r="BC167">
        <v>2.879793265790636</v>
      </c>
      <c r="BD167">
        <v>-18.250020009331948</v>
      </c>
      <c r="BE167">
        <v>2.5096001572564641</v>
      </c>
      <c r="BF167" s="6">
        <f t="shared" si="171"/>
        <v>3.0049375306310266</v>
      </c>
      <c r="BG167" s="6">
        <f t="shared" si="172"/>
        <v>0.12514426484039065</v>
      </c>
      <c r="BH167" s="6">
        <f t="shared" si="173"/>
        <v>2.9867909820706928</v>
      </c>
      <c r="BI167" s="6">
        <f t="shared" si="174"/>
        <v>2.9867909820706928</v>
      </c>
      <c r="BJ167">
        <v>-28.076953860510688</v>
      </c>
      <c r="BK167">
        <v>3.8609233188560985</v>
      </c>
      <c r="BV167" s="37"/>
      <c r="BW167" s="6">
        <f t="shared" si="112"/>
        <v>2.6529004630313757</v>
      </c>
      <c r="BX167" s="9">
        <f t="shared" ca="1" si="113"/>
        <v>-173.86975656634928</v>
      </c>
      <c r="BY167" s="9">
        <f t="shared" ca="1" si="114"/>
        <v>-8.7959095683499307</v>
      </c>
      <c r="BZ167" s="9">
        <f t="shared" ca="1" si="115"/>
        <v>-15.416097055506242</v>
      </c>
      <c r="CA167" s="6">
        <f t="shared" ca="1" si="116"/>
        <v>6.4697565478687995</v>
      </c>
      <c r="CB167" s="6">
        <f t="shared" ca="1" si="117"/>
        <v>2.7442406288885723</v>
      </c>
      <c r="CC167" s="6">
        <f t="shared" ca="1" si="118"/>
        <v>0.9129535848908743</v>
      </c>
      <c r="CD167" s="9">
        <f t="shared" si="119"/>
        <v>-115.41609705550626</v>
      </c>
      <c r="CE167" s="9">
        <f t="shared" si="120"/>
        <v>36.469756547868798</v>
      </c>
      <c r="CF167" s="6">
        <f t="shared" si="121"/>
        <v>2.8355359873776598</v>
      </c>
      <c r="CG167" s="6"/>
      <c r="CH167" s="6"/>
      <c r="CI167" s="6"/>
      <c r="CJ167" s="1"/>
      <c r="CK167" s="6"/>
    </row>
    <row r="168" spans="1:89" x14ac:dyDescent="0.25">
      <c r="A168" s="1" t="str">
        <f t="shared" ref="A168:E175" si="183">A157</f>
        <v>Segment 1</v>
      </c>
      <c r="B168" s="6">
        <f t="shared" si="183"/>
        <v>-5.426278217100533</v>
      </c>
      <c r="C168" s="6">
        <f t="shared" si="183"/>
        <v>-12.270106140967986</v>
      </c>
      <c r="D168" s="6">
        <f t="shared" si="183"/>
        <v>6.5603179825140696</v>
      </c>
      <c r="E168" s="6">
        <f t="shared" si="183"/>
        <v>-11.703086258261219</v>
      </c>
      <c r="F168" s="6">
        <f>IF(E168-C168=0,0,MIN(MAX(($B$148-C168)/(E168-C168),0),1))</f>
        <v>1</v>
      </c>
      <c r="G168" s="6">
        <f>IF(E168-C168=0,0,MIN(MAX(($B$152-C168)/(E168-C168),0),1))</f>
        <v>1</v>
      </c>
      <c r="H168" s="6">
        <f>IF(AND(F168=0,G168=0),0,IF(C168&gt;E168,B168+(F168*(D168-B168)),B168+(G168*(D168-B168))))</f>
        <v>6.5603179825140696</v>
      </c>
      <c r="I168" s="6">
        <f>IF(AND(F168=0,G168=0),0,IF(C168&gt;E168,C168+(F168*(E168-C168)),C168+(G168*(E168-C168))))</f>
        <v>-11.703086258261219</v>
      </c>
      <c r="J168" s="9">
        <f>IF(AND(F168=0,G168=0),0,IF(C168&gt;E168,B168+(G168*(D168-B168)),B168+(F168*(D168-B168))))</f>
        <v>6.5603179825140696</v>
      </c>
      <c r="K168" s="9">
        <f>IF(AND(F168=0,G168=0),0,IF(C168&gt;E168,C168+(G168*(E168-C168)),C168+(F168*(E168-C168))))</f>
        <v>-11.703086258261219</v>
      </c>
      <c r="L168" s="6">
        <f>0.85*$B$143</f>
        <v>4250</v>
      </c>
      <c r="M168" s="6">
        <f>L168</f>
        <v>4250</v>
      </c>
      <c r="N168" s="10">
        <f t="shared" ref="N168" si="184">(1/6)*(K168-I168)*((L168*((2*H168)+J168))+(M168*(H168+(2*J168))))</f>
        <v>0</v>
      </c>
      <c r="O168" s="10">
        <f t="shared" ref="O168" si="185">((1/12)*(K168-I168)*(L168*H168*((3*I168)+K168)+L168*J168*(I168+K168)+M168*H168*(I168+K168)+M168*J168*(I168+(3*K168))))</f>
        <v>0</v>
      </c>
      <c r="P168" s="10">
        <f>((1/24)*(K168-I168)*(H168*H168*((3*L168)+M168)+2*H168*J168*(L168+M168)+J168*J168*(L168+(3*M168))))</f>
        <v>0</v>
      </c>
      <c r="BC168">
        <v>2.8972465583105791</v>
      </c>
      <c r="BD168">
        <v>-18.603743632318661</v>
      </c>
      <c r="BE168">
        <v>1.860691128190159</v>
      </c>
      <c r="BF168" s="6">
        <f t="shared" si="171"/>
        <v>3.0419071427636086</v>
      </c>
      <c r="BG168" s="6">
        <f t="shared" si="172"/>
        <v>0.14466058445302954</v>
      </c>
      <c r="BH168" s="6">
        <f t="shared" si="173"/>
        <v>2.9498213699381108</v>
      </c>
      <c r="BI168" s="6">
        <f t="shared" si="174"/>
        <v>2.9498213699381108</v>
      </c>
      <c r="BJ168">
        <v>-28.621144049721018</v>
      </c>
      <c r="BK168">
        <v>2.8626017356771678</v>
      </c>
      <c r="BV168" s="37"/>
      <c r="BW168" s="6">
        <f t="shared" si="112"/>
        <v>2.6703537555513188</v>
      </c>
      <c r="BX168" s="9">
        <f t="shared" ca="1" si="113"/>
        <v>-174.05776541496863</v>
      </c>
      <c r="BY168" s="9">
        <f t="shared" ca="1" si="114"/>
        <v>-9.0405581081441859</v>
      </c>
      <c r="BZ168" s="9">
        <f t="shared" ca="1" si="115"/>
        <v>-15.604105904125589</v>
      </c>
      <c r="CA168" s="6">
        <f t="shared" ca="1" si="116"/>
        <v>6.2251080080745442</v>
      </c>
      <c r="CB168" s="6">
        <f t="shared" ca="1" si="117"/>
        <v>2.7620000718084721</v>
      </c>
      <c r="CC168" s="6">
        <f t="shared" ca="1" si="118"/>
        <v>0.75929101473143135</v>
      </c>
      <c r="CD168" s="9">
        <f t="shared" si="119"/>
        <v>-115.60410590412559</v>
      </c>
      <c r="CE168" s="9">
        <f t="shared" si="120"/>
        <v>36.225108008074542</v>
      </c>
      <c r="CF168" s="6">
        <f t="shared" si="121"/>
        <v>2.8379291732816152</v>
      </c>
      <c r="CG168" s="6"/>
      <c r="CH168" s="6"/>
      <c r="CI168" s="6"/>
      <c r="CJ168" s="1"/>
      <c r="CK168" s="6"/>
    </row>
    <row r="169" spans="1:89" x14ac:dyDescent="0.25">
      <c r="A169" s="1" t="str">
        <f t="shared" si="183"/>
        <v>Segment 2</v>
      </c>
      <c r="B169" s="6">
        <f t="shared" si="183"/>
        <v>6.5603179825140696</v>
      </c>
      <c r="C169" s="6">
        <f t="shared" si="183"/>
        <v>-11.703086258261219</v>
      </c>
      <c r="D169" s="6">
        <f t="shared" si="183"/>
        <v>5.8042914722383783</v>
      </c>
      <c r="E169" s="6">
        <f t="shared" si="183"/>
        <v>4.2790420078915847</v>
      </c>
      <c r="F169" s="6">
        <f t="shared" ref="F169:F175" si="186">IF(E169-C169=0,0,MIN(MAX(($B$148-C169)/(E169-C169),0),1))</f>
        <v>1</v>
      </c>
      <c r="G169" s="6">
        <f t="shared" ref="G169:G175" si="187">IF(E169-C169=0,0,MIN(MAX(($B$152-C169)/(E169-C169),0),1))</f>
        <v>1</v>
      </c>
      <c r="H169" s="6">
        <f t="shared" ref="H169:H175" si="188">IF(AND(F169=0,G169=0),0,IF(C169&gt;E169,B169+(F169*(D169-B169)),B169+(G169*(D169-B169))))</f>
        <v>5.8042914722383783</v>
      </c>
      <c r="I169" s="6">
        <f t="shared" ref="I169:I175" si="189">IF(AND(F169=0,G169=0),0,IF(C169&gt;E169,C169+(F169*(E169-C169)),C169+(G169*(E169-C169))))</f>
        <v>4.2790420078915847</v>
      </c>
      <c r="J169" s="9">
        <f t="shared" ref="J169:J175" si="190">IF(AND(F169=0,G169=0),0,IF(C169&gt;E169,B169+(G169*(D169-B169)),B169+(F169*(D169-B169))))</f>
        <v>5.8042914722383783</v>
      </c>
      <c r="K169" s="9">
        <f t="shared" ref="K169:K175" si="191">IF(AND(F169=0,G169=0),0,IF(C169&gt;E169,C169+(G169*(E169-C169)),C169+(F169*(E169-C169))))</f>
        <v>4.2790420078915847</v>
      </c>
      <c r="L169" s="6">
        <f t="shared" ref="L169:L175" si="192">0.85*$B$143</f>
        <v>4250</v>
      </c>
      <c r="M169" s="6">
        <f t="shared" ref="M169:M175" si="193">L169</f>
        <v>4250</v>
      </c>
      <c r="N169" s="10">
        <f t="shared" ref="N169:N175" si="194">(1/6)*(K169-I169)*((L169*((2*H169)+J169))+(M169*(H169+(2*J169))))</f>
        <v>0</v>
      </c>
      <c r="O169" s="10">
        <f t="shared" ref="O169:O175" si="195">((1/12)*(K169-I169)*(L169*H169*((3*I169)+K169)+L169*J169*(I169+K169)+M169*H169*(I169+K169)+M169*J169*(I169+(3*K169))))</f>
        <v>0</v>
      </c>
      <c r="P169" s="10">
        <f t="shared" ref="P169:P175" si="196">((1/24)*(K169-I169)*(H169*H169*((3*L169)+M169)+2*H169*J169*(L169+M169)+J169*J169*(L169+(3*M169))))</f>
        <v>0</v>
      </c>
      <c r="BC169">
        <v>2.9146998508305222</v>
      </c>
      <c r="BD169">
        <v>-18.996997926151792</v>
      </c>
      <c r="BE169">
        <v>1.0876757730174211</v>
      </c>
      <c r="BF169" s="6">
        <f t="shared" si="171"/>
        <v>3.0843999546353791</v>
      </c>
      <c r="BG169" s="6">
        <f t="shared" si="172"/>
        <v>0.16970010380485689</v>
      </c>
      <c r="BH169" s="6">
        <f t="shared" si="173"/>
        <v>2.9073285580663404</v>
      </c>
      <c r="BI169" s="6">
        <f t="shared" si="174"/>
        <v>2.9073285580663404</v>
      </c>
      <c r="BJ169">
        <v>-29.226150655618142</v>
      </c>
      <c r="BK169">
        <v>1.6733473431037247</v>
      </c>
      <c r="BV169" s="37"/>
      <c r="BW169" s="6">
        <f t="shared" si="112"/>
        <v>2.6878070480712619</v>
      </c>
      <c r="BX169" s="9">
        <f t="shared" ca="1" si="113"/>
        <v>-174.2138308513268</v>
      </c>
      <c r="BY169" s="9">
        <f t="shared" ca="1" si="114"/>
        <v>-9.2168557542420562</v>
      </c>
      <c r="BZ169" s="9">
        <f t="shared" ca="1" si="115"/>
        <v>-15.760171340483765</v>
      </c>
      <c r="CA169" s="6">
        <f t="shared" ca="1" si="116"/>
        <v>6.048810361976674</v>
      </c>
      <c r="CB169" s="6">
        <f t="shared" ca="1" si="117"/>
        <v>2.7751261927182354</v>
      </c>
      <c r="CC169" s="6">
        <f t="shared" ca="1" si="118"/>
        <v>0.64575434011219901</v>
      </c>
      <c r="CD169" s="9">
        <f t="shared" si="119"/>
        <v>-115.76017134048375</v>
      </c>
      <c r="CE169" s="9">
        <f t="shared" si="120"/>
        <v>36.048810361976678</v>
      </c>
      <c r="CF169" s="6">
        <f t="shared" si="121"/>
        <v>2.8397016267294553</v>
      </c>
      <c r="CG169" s="6"/>
      <c r="CH169" s="6"/>
      <c r="CI169" s="6"/>
      <c r="CJ169" s="1"/>
      <c r="CK169" s="6"/>
    </row>
    <row r="170" spans="1:89" x14ac:dyDescent="0.25">
      <c r="A170" s="1" t="str">
        <f t="shared" si="183"/>
        <v>Segment 3</v>
      </c>
      <c r="B170" s="6">
        <f t="shared" si="183"/>
        <v>5.8042914722383783</v>
      </c>
      <c r="C170" s="6">
        <f t="shared" si="183"/>
        <v>4.2790420078915847</v>
      </c>
      <c r="D170" s="6">
        <f t="shared" si="183"/>
        <v>17.790887671852982</v>
      </c>
      <c r="E170" s="6">
        <f t="shared" si="183"/>
        <v>4.846061890598353</v>
      </c>
      <c r="F170" s="6">
        <f t="shared" si="186"/>
        <v>1</v>
      </c>
      <c r="G170" s="6">
        <f t="shared" si="187"/>
        <v>1</v>
      </c>
      <c r="H170" s="6">
        <f t="shared" si="188"/>
        <v>17.790887671852982</v>
      </c>
      <c r="I170" s="6">
        <f t="shared" si="189"/>
        <v>4.846061890598353</v>
      </c>
      <c r="J170" s="9">
        <f t="shared" si="190"/>
        <v>17.790887671852982</v>
      </c>
      <c r="K170" s="9">
        <f t="shared" si="191"/>
        <v>4.846061890598353</v>
      </c>
      <c r="L170" s="6">
        <f t="shared" si="192"/>
        <v>4250</v>
      </c>
      <c r="M170" s="6">
        <f t="shared" si="193"/>
        <v>4250</v>
      </c>
      <c r="N170" s="10">
        <f t="shared" si="194"/>
        <v>0</v>
      </c>
      <c r="O170" s="10">
        <f t="shared" si="195"/>
        <v>0</v>
      </c>
      <c r="P170" s="10">
        <f t="shared" si="196"/>
        <v>0</v>
      </c>
      <c r="BC170">
        <v>2.9321531433504653</v>
      </c>
      <c r="BD170">
        <v>-19.43828038913578</v>
      </c>
      <c r="BE170">
        <v>0.15239647276840707</v>
      </c>
      <c r="BF170" s="6">
        <f t="shared" si="171"/>
        <v>3.1337527959769771</v>
      </c>
      <c r="BG170" s="6">
        <f t="shared" si="172"/>
        <v>0.2015996526265118</v>
      </c>
      <c r="BH170" s="6">
        <f t="shared" si="173"/>
        <v>2.8579757167247424</v>
      </c>
      <c r="BI170" s="6">
        <f t="shared" si="174"/>
        <v>2.8579757167247424</v>
      </c>
      <c r="BJ170">
        <v>-29.905046752516583</v>
      </c>
      <c r="BK170">
        <v>0.23445611195139548</v>
      </c>
      <c r="BV170" s="37"/>
      <c r="BW170" s="6">
        <f t="shared" si="112"/>
        <v>2.705260340591205</v>
      </c>
      <c r="BX170" s="9">
        <f t="shared" ca="1" si="113"/>
        <v>-174.37720948018929</v>
      </c>
      <c r="BY170" s="9">
        <f t="shared" ca="1" si="114"/>
        <v>-9.4055283476133944</v>
      </c>
      <c r="BZ170" s="9">
        <f t="shared" ca="1" si="115"/>
        <v>-15.923549969346254</v>
      </c>
      <c r="CA170" s="6">
        <f t="shared" ca="1" si="116"/>
        <v>5.8601377686053358</v>
      </c>
      <c r="CB170" s="6">
        <f t="shared" ca="1" si="117"/>
        <v>2.7889580382141803</v>
      </c>
      <c r="CC170" s="6">
        <f t="shared" ca="1" si="118"/>
        <v>0.52628461999257858</v>
      </c>
      <c r="CD170" s="9">
        <f t="shared" si="119"/>
        <v>-115.92354996934625</v>
      </c>
      <c r="CE170" s="9">
        <f t="shared" si="120"/>
        <v>35.860137768605334</v>
      </c>
      <c r="CF170" s="6">
        <f t="shared" si="121"/>
        <v>2.8415865002134382</v>
      </c>
      <c r="CG170" s="6"/>
      <c r="CH170" s="6"/>
      <c r="CI170" s="6"/>
      <c r="CJ170" s="1"/>
      <c r="CK170" s="6"/>
    </row>
    <row r="171" spans="1:89" x14ac:dyDescent="0.25">
      <c r="A171" s="1" t="str">
        <f t="shared" si="183"/>
        <v>Segment 4</v>
      </c>
      <c r="B171" s="6">
        <f t="shared" si="183"/>
        <v>17.790887671852982</v>
      </c>
      <c r="C171" s="6">
        <f t="shared" si="183"/>
        <v>4.846061890598353</v>
      </c>
      <c r="D171" s="6">
        <f t="shared" si="183"/>
        <v>17.412874416715137</v>
      </c>
      <c r="E171" s="6">
        <f t="shared" si="183"/>
        <v>12.837126023674754</v>
      </c>
      <c r="F171" s="6">
        <f t="shared" si="186"/>
        <v>1</v>
      </c>
      <c r="G171" s="6">
        <f t="shared" si="187"/>
        <v>0.90189856281303071</v>
      </c>
      <c r="H171" s="6">
        <f t="shared" si="188"/>
        <v>17.449958060319883</v>
      </c>
      <c r="I171" s="6">
        <f t="shared" si="189"/>
        <v>12.053191147566716</v>
      </c>
      <c r="J171" s="9">
        <f t="shared" si="190"/>
        <v>17.412874416715137</v>
      </c>
      <c r="K171" s="9">
        <f t="shared" si="191"/>
        <v>12.837126023674754</v>
      </c>
      <c r="L171" s="6">
        <f t="shared" si="192"/>
        <v>4250</v>
      </c>
      <c r="M171" s="6">
        <f t="shared" si="193"/>
        <v>4250</v>
      </c>
      <c r="N171" s="10">
        <f t="shared" si="194"/>
        <v>58076.654299651927</v>
      </c>
      <c r="O171" s="10">
        <f t="shared" si="195"/>
        <v>722765.10145943344</v>
      </c>
      <c r="P171" s="10">
        <f t="shared" si="196"/>
        <v>506179.35832613212</v>
      </c>
      <c r="BC171">
        <v>2.9496064358704084</v>
      </c>
      <c r="BD171">
        <v>-19.917164850683029</v>
      </c>
      <c r="BE171">
        <v>-0.93228228176213634</v>
      </c>
      <c r="BF171" s="6">
        <f t="shared" si="171"/>
        <v>3.1883664946255772</v>
      </c>
      <c r="BG171" s="6">
        <f t="shared" si="172"/>
        <v>0.23876005875516881</v>
      </c>
      <c r="BH171" s="6">
        <f t="shared" si="173"/>
        <v>2.8033620180761423</v>
      </c>
      <c r="BI171" s="6">
        <f t="shared" si="174"/>
        <v>2.8033620180761423</v>
      </c>
      <c r="BJ171">
        <v>-30.641792077973889</v>
      </c>
      <c r="BK171">
        <v>-1.4342804334802097</v>
      </c>
      <c r="BV171" s="37"/>
      <c r="BW171" s="6">
        <f t="shared" si="112"/>
        <v>2.7227136331111481</v>
      </c>
      <c r="BX171" s="9">
        <f t="shared" ca="1" si="113"/>
        <v>-174.54878406657409</v>
      </c>
      <c r="BY171" s="9">
        <f t="shared" ca="1" si="114"/>
        <v>-9.6086165024126906</v>
      </c>
      <c r="BZ171" s="9">
        <f t="shared" ca="1" si="115"/>
        <v>-16.095124555731047</v>
      </c>
      <c r="CA171" s="6">
        <f t="shared" ca="1" si="116"/>
        <v>5.6570496138060395</v>
      </c>
      <c r="CB171" s="6">
        <f t="shared" ca="1" si="117"/>
        <v>2.8036035390544667</v>
      </c>
      <c r="CC171" s="6">
        <f t="shared" ca="1" si="118"/>
        <v>0.39998004874016058</v>
      </c>
      <c r="CD171" s="9">
        <f t="shared" si="119"/>
        <v>-116.09512455573106</v>
      </c>
      <c r="CE171" s="9">
        <f t="shared" si="120"/>
        <v>35.657049613806038</v>
      </c>
      <c r="CF171" s="6">
        <f t="shared" si="121"/>
        <v>2.8436015439284827</v>
      </c>
      <c r="CG171" s="6"/>
      <c r="CH171" s="6"/>
      <c r="CI171" s="6"/>
      <c r="CJ171" s="1"/>
      <c r="CK171" s="6"/>
    </row>
    <row r="172" spans="1:89" x14ac:dyDescent="0.25">
      <c r="A172" s="1" t="str">
        <f t="shared" si="183"/>
        <v>Segment 5</v>
      </c>
      <c r="B172" s="6">
        <f t="shared" si="183"/>
        <v>17.412874416715137</v>
      </c>
      <c r="C172" s="6">
        <f t="shared" si="183"/>
        <v>12.837126023674754</v>
      </c>
      <c r="D172" s="6">
        <f t="shared" si="183"/>
        <v>-30.53351038174327</v>
      </c>
      <c r="E172" s="6">
        <f t="shared" si="183"/>
        <v>10.569046492847683</v>
      </c>
      <c r="F172" s="6">
        <f t="shared" si="186"/>
        <v>0</v>
      </c>
      <c r="G172" s="6">
        <f t="shared" si="187"/>
        <v>0.34563817778566636</v>
      </c>
      <c r="H172" s="6">
        <f t="shared" si="188"/>
        <v>17.412874416715137</v>
      </c>
      <c r="I172" s="6">
        <f t="shared" si="189"/>
        <v>12.837126023674754</v>
      </c>
      <c r="J172" s="9">
        <f t="shared" si="190"/>
        <v>0.84077334356559774</v>
      </c>
      <c r="K172" s="9">
        <f t="shared" si="191"/>
        <v>12.053191147566716</v>
      </c>
      <c r="L172" s="6">
        <f t="shared" si="192"/>
        <v>4250</v>
      </c>
      <c r="M172" s="6">
        <f t="shared" si="193"/>
        <v>4250</v>
      </c>
      <c r="N172" s="10">
        <f t="shared" si="194"/>
        <v>-30408.051077885309</v>
      </c>
      <c r="O172" s="10">
        <f t="shared" si="195"/>
        <v>-382040.01036172087</v>
      </c>
      <c r="P172" s="10">
        <f t="shared" si="196"/>
        <v>-176889.72398061363</v>
      </c>
      <c r="BC172">
        <v>2.9670597283903515</v>
      </c>
      <c r="BD172">
        <v>-20.384481408271899</v>
      </c>
      <c r="BE172">
        <v>-2.0265074722488432</v>
      </c>
      <c r="BF172" s="6">
        <f t="shared" si="171"/>
        <v>3.2406812997377124</v>
      </c>
      <c r="BG172" s="6">
        <f t="shared" si="172"/>
        <v>0.27362157134736087</v>
      </c>
      <c r="BH172" s="6">
        <f t="shared" si="173"/>
        <v>2.7510472129640071</v>
      </c>
      <c r="BI172" s="6">
        <f t="shared" si="174"/>
        <v>2.7510472129640071</v>
      </c>
      <c r="BJ172">
        <v>-31.360740628110612</v>
      </c>
      <c r="BK172">
        <v>-3.1177038034597588</v>
      </c>
      <c r="BV172" s="37"/>
      <c r="BW172" s="6">
        <f t="shared" si="112"/>
        <v>2.7401669256310912</v>
      </c>
      <c r="BX172" s="9">
        <f t="shared" ca="1" si="113"/>
        <v>-174.72956881995864</v>
      </c>
      <c r="BY172" s="9">
        <f t="shared" ca="1" si="114"/>
        <v>-9.8285723740117081</v>
      </c>
      <c r="BZ172" s="9">
        <f t="shared" ca="1" si="115"/>
        <v>-16.275909309115605</v>
      </c>
      <c r="CA172" s="6">
        <f t="shared" ca="1" si="116"/>
        <v>5.437093742207022</v>
      </c>
      <c r="CB172" s="6">
        <f t="shared" ca="1" si="117"/>
        <v>2.8191902604621388</v>
      </c>
      <c r="CC172" s="6">
        <f t="shared" ca="1" si="118"/>
        <v>0.26577697267248013</v>
      </c>
      <c r="CD172" s="9">
        <f t="shared" si="119"/>
        <v>-116.2759093091156</v>
      </c>
      <c r="CE172" s="9">
        <f t="shared" si="120"/>
        <v>35.437093742207026</v>
      </c>
      <c r="CF172" s="6">
        <f t="shared" si="121"/>
        <v>2.8457679577293868</v>
      </c>
      <c r="CG172" s="6"/>
      <c r="CH172" s="6"/>
      <c r="CI172" s="6"/>
      <c r="CJ172" s="1"/>
      <c r="CK172" s="6"/>
    </row>
    <row r="173" spans="1:89" x14ac:dyDescent="0.25">
      <c r="A173" s="1" t="str">
        <f t="shared" si="183"/>
        <v>Segment 6</v>
      </c>
      <c r="B173" s="6">
        <f t="shared" si="183"/>
        <v>-30.53351038174327</v>
      </c>
      <c r="C173" s="6">
        <f t="shared" si="183"/>
        <v>10.569046492847683</v>
      </c>
      <c r="D173" s="6">
        <f t="shared" si="183"/>
        <v>-30.155497126605425</v>
      </c>
      <c r="E173" s="6">
        <f t="shared" si="183"/>
        <v>2.5779823597712808</v>
      </c>
      <c r="F173" s="6">
        <f t="shared" si="186"/>
        <v>0</v>
      </c>
      <c r="G173" s="6">
        <f t="shared" si="187"/>
        <v>0</v>
      </c>
      <c r="H173" s="6">
        <f t="shared" si="188"/>
        <v>0</v>
      </c>
      <c r="I173" s="6">
        <f t="shared" si="189"/>
        <v>0</v>
      </c>
      <c r="J173" s="9">
        <f t="shared" si="190"/>
        <v>0</v>
      </c>
      <c r="K173" s="9">
        <f t="shared" si="191"/>
        <v>0</v>
      </c>
      <c r="L173" s="6">
        <f t="shared" si="192"/>
        <v>4250</v>
      </c>
      <c r="M173" s="6">
        <f t="shared" si="193"/>
        <v>4250</v>
      </c>
      <c r="N173" s="10">
        <f t="shared" si="194"/>
        <v>0</v>
      </c>
      <c r="O173" s="10">
        <f t="shared" si="195"/>
        <v>0</v>
      </c>
      <c r="P173" s="10">
        <f t="shared" si="196"/>
        <v>0</v>
      </c>
      <c r="BC173">
        <v>2.9845130209102946</v>
      </c>
      <c r="BD173">
        <v>-20.837951316720673</v>
      </c>
      <c r="BE173">
        <v>-3.1229835545018672</v>
      </c>
      <c r="BF173" s="6">
        <f t="shared" si="171"/>
        <v>3.2903554495857907</v>
      </c>
      <c r="BG173" s="6">
        <f t="shared" si="172"/>
        <v>0.30584242867549616</v>
      </c>
      <c r="BH173" s="6">
        <f t="shared" si="173"/>
        <v>2.7013730631159287</v>
      </c>
      <c r="BI173" s="6">
        <f t="shared" si="174"/>
        <v>2.7013730631159287</v>
      </c>
      <c r="BJ173">
        <v>-32.058386641108726</v>
      </c>
      <c r="BK173">
        <v>-4.8045900838490265</v>
      </c>
      <c r="BV173" s="37"/>
      <c r="BW173" s="6">
        <f t="shared" si="112"/>
        <v>2.7576202181510343</v>
      </c>
      <c r="BX173" s="9">
        <f t="shared" ca="1" si="113"/>
        <v>-174.92073720012809</v>
      </c>
      <c r="BY173" s="9">
        <f t="shared" ca="1" si="114"/>
        <v>-10.068366980534197</v>
      </c>
      <c r="BZ173" s="9">
        <f t="shared" ca="1" si="115"/>
        <v>-16.467077689285048</v>
      </c>
      <c r="CA173" s="6">
        <f t="shared" ca="1" si="116"/>
        <v>5.1972991356845331</v>
      </c>
      <c r="CB173" s="6">
        <f t="shared" ca="1" si="117"/>
        <v>2.8358701003490814</v>
      </c>
      <c r="CC173" s="6">
        <f t="shared" ca="1" si="118"/>
        <v>0.12241173748115396</v>
      </c>
      <c r="CD173" s="9">
        <f t="shared" si="119"/>
        <v>-116.46707768928503</v>
      </c>
      <c r="CE173" s="9">
        <f t="shared" si="120"/>
        <v>35.197299135684531</v>
      </c>
      <c r="CF173" s="6">
        <f t="shared" si="121"/>
        <v>2.8481112740971968</v>
      </c>
      <c r="CG173" s="6"/>
      <c r="CH173" s="6"/>
      <c r="CI173" s="6"/>
      <c r="CJ173" s="1"/>
      <c r="CK173" s="6"/>
    </row>
    <row r="174" spans="1:89" x14ac:dyDescent="0.25">
      <c r="A174" s="1" t="str">
        <f t="shared" si="183"/>
        <v>Segment 7</v>
      </c>
      <c r="B174" s="6">
        <f t="shared" si="183"/>
        <v>-30.155497126605425</v>
      </c>
      <c r="C174" s="6">
        <f t="shared" si="183"/>
        <v>2.5779823597712808</v>
      </c>
      <c r="D174" s="6">
        <f t="shared" si="183"/>
        <v>-6.1823047273762244</v>
      </c>
      <c r="E174" s="6">
        <f t="shared" si="183"/>
        <v>3.7120221251848164</v>
      </c>
      <c r="F174" s="6">
        <f t="shared" si="186"/>
        <v>1</v>
      </c>
      <c r="G174" s="6">
        <f t="shared" si="187"/>
        <v>1</v>
      </c>
      <c r="H174" s="6">
        <f t="shared" si="188"/>
        <v>-6.1823047273762235</v>
      </c>
      <c r="I174" s="6">
        <f t="shared" si="189"/>
        <v>3.7120221251848164</v>
      </c>
      <c r="J174" s="9">
        <f t="shared" si="190"/>
        <v>-6.1823047273762235</v>
      </c>
      <c r="K174" s="9">
        <f t="shared" si="191"/>
        <v>3.7120221251848164</v>
      </c>
      <c r="L174" s="6">
        <f t="shared" si="192"/>
        <v>4250</v>
      </c>
      <c r="M174" s="6">
        <f t="shared" si="193"/>
        <v>4250</v>
      </c>
      <c r="N174" s="10">
        <f t="shared" si="194"/>
        <v>0</v>
      </c>
      <c r="O174" s="10">
        <f t="shared" si="195"/>
        <v>0</v>
      </c>
      <c r="P174" s="10">
        <f t="shared" si="196"/>
        <v>0</v>
      </c>
      <c r="BC174">
        <v>3.0019663134302377</v>
      </c>
      <c r="BD174">
        <v>-21.425136326093309</v>
      </c>
      <c r="BE174">
        <v>-3.8934452367520027</v>
      </c>
      <c r="BF174" s="6">
        <f t="shared" si="171"/>
        <v>3.3213542502511846</v>
      </c>
      <c r="BG174" s="6">
        <f t="shared" si="172"/>
        <v>0.3193879368209469</v>
      </c>
      <c r="BH174" s="6">
        <f t="shared" si="173"/>
        <v>2.6703742624505349</v>
      </c>
      <c r="BI174" s="6">
        <f t="shared" si="174"/>
        <v>2.6703742624505349</v>
      </c>
      <c r="BJ174">
        <v>-32.961748193989706</v>
      </c>
      <c r="BK174">
        <v>-5.9899157488492349</v>
      </c>
      <c r="BV174" s="37"/>
      <c r="BW174" s="6">
        <f t="shared" si="112"/>
        <v>2.7750735106709774</v>
      </c>
      <c r="BX174" s="9">
        <f t="shared" ca="1" si="113"/>
        <v>-175.12365699325312</v>
      </c>
      <c r="BY174" s="9">
        <f t="shared" ca="1" si="114"/>
        <v>-10.33163159172477</v>
      </c>
      <c r="BZ174" s="9">
        <f t="shared" ca="1" si="115"/>
        <v>-16.669997482410082</v>
      </c>
      <c r="CA174" s="6">
        <f t="shared" ca="1" si="116"/>
        <v>4.9340345244939599</v>
      </c>
      <c r="CB174" s="6">
        <f t="shared" ca="1" si="117"/>
        <v>2.8538253163884826</v>
      </c>
      <c r="CC174" s="6">
        <f t="shared" ca="1" si="118"/>
        <v>-3.1627989629332554E-2</v>
      </c>
      <c r="CD174" s="9">
        <f t="shared" si="119"/>
        <v>-116.66999748241008</v>
      </c>
      <c r="CE174" s="9">
        <f t="shared" si="120"/>
        <v>34.93403452449396</v>
      </c>
      <c r="CF174" s="6">
        <f t="shared" si="121"/>
        <v>2.8506625174255493</v>
      </c>
      <c r="CG174" s="6"/>
      <c r="CH174" s="6"/>
      <c r="CI174" s="6"/>
      <c r="CJ174" s="1"/>
      <c r="CK174" s="6"/>
    </row>
    <row r="175" spans="1:89" ht="15.75" thickBot="1" x14ac:dyDescent="0.3">
      <c r="A175" s="1" t="str">
        <f t="shared" si="183"/>
        <v>Segment 8</v>
      </c>
      <c r="B175" s="6">
        <f t="shared" si="183"/>
        <v>-6.1823047273762244</v>
      </c>
      <c r="C175" s="6">
        <f t="shared" si="183"/>
        <v>3.7120221251848164</v>
      </c>
      <c r="D175" s="6">
        <f t="shared" si="183"/>
        <v>-5.426278217100533</v>
      </c>
      <c r="E175" s="6">
        <f t="shared" si="183"/>
        <v>-12.270106140967986</v>
      </c>
      <c r="F175" s="6">
        <f t="shared" si="186"/>
        <v>0</v>
      </c>
      <c r="G175" s="6">
        <f t="shared" si="187"/>
        <v>0</v>
      </c>
      <c r="H175" s="6">
        <f t="shared" si="188"/>
        <v>0</v>
      </c>
      <c r="I175" s="6">
        <f t="shared" si="189"/>
        <v>0</v>
      </c>
      <c r="J175" s="9">
        <f t="shared" si="190"/>
        <v>0</v>
      </c>
      <c r="K175" s="9">
        <f t="shared" si="191"/>
        <v>0</v>
      </c>
      <c r="L175" s="6">
        <f t="shared" si="192"/>
        <v>4250</v>
      </c>
      <c r="M175" s="6">
        <f t="shared" si="193"/>
        <v>4250</v>
      </c>
      <c r="N175" s="11">
        <f t="shared" si="194"/>
        <v>0</v>
      </c>
      <c r="O175" s="11">
        <f t="shared" si="195"/>
        <v>0</v>
      </c>
      <c r="P175" s="11">
        <f t="shared" si="196"/>
        <v>0</v>
      </c>
      <c r="BC175">
        <v>3.0194196059501808</v>
      </c>
      <c r="BD175">
        <v>-21.857229971431259</v>
      </c>
      <c r="BE175">
        <v>-5.0006372641882297</v>
      </c>
      <c r="BF175" s="6">
        <f t="shared" si="171"/>
        <v>3.366508123629754</v>
      </c>
      <c r="BG175" s="6">
        <f t="shared" si="172"/>
        <v>0.34708851767957327</v>
      </c>
      <c r="BH175" s="6">
        <f t="shared" si="173"/>
        <v>2.6252203890719654</v>
      </c>
      <c r="BI175" s="6">
        <f t="shared" si="174"/>
        <v>2.6252203890719654</v>
      </c>
      <c r="BJ175">
        <v>-33.626507648355783</v>
      </c>
      <c r="BK175">
        <v>-7.6932880987511227</v>
      </c>
      <c r="BV175" s="37"/>
      <c r="BW175" s="6">
        <f t="shared" si="112"/>
        <v>2.7925268031909205</v>
      </c>
      <c r="BX175" s="9">
        <f t="shared" ca="1" si="113"/>
        <v>-175.33993502368804</v>
      </c>
      <c r="BY175" s="9">
        <f t="shared" ca="1" si="114"/>
        <v>-10.622846201719916</v>
      </c>
      <c r="BZ175" s="9">
        <f t="shared" ca="1" si="115"/>
        <v>-16.886275512845003</v>
      </c>
      <c r="CA175" s="6">
        <f t="shared" ca="1" si="116"/>
        <v>4.6428199144988138</v>
      </c>
      <c r="CB175" s="6">
        <f t="shared" ca="1" si="117"/>
        <v>2.8732763159972046</v>
      </c>
      <c r="CC175" s="6">
        <f t="shared" ca="1" si="118"/>
        <v>-0.19816571739142308</v>
      </c>
      <c r="CD175" s="9">
        <f t="shared" si="119"/>
        <v>-116.886275512845</v>
      </c>
      <c r="CE175" s="9">
        <f t="shared" si="120"/>
        <v>34.642819914498816</v>
      </c>
      <c r="CF175" s="6">
        <f t="shared" si="121"/>
        <v>2.8534597442580623</v>
      </c>
      <c r="CG175" s="6"/>
      <c r="CH175" s="6"/>
      <c r="CI175" s="6"/>
      <c r="CJ175" s="1"/>
      <c r="CK175" s="6"/>
    </row>
    <row r="176" spans="1:89" ht="15.75" thickTop="1" x14ac:dyDescent="0.25">
      <c r="M176" s="9"/>
      <c r="N176" s="6">
        <f>SUM(N168:N175)</f>
        <v>27668.603221766618</v>
      </c>
      <c r="O176" s="6">
        <f t="shared" ref="O176:P176" si="197">SUM(O168:O175)</f>
        <v>340725.09109771257</v>
      </c>
      <c r="P176" s="6">
        <f t="shared" si="197"/>
        <v>329289.63434551848</v>
      </c>
      <c r="BC176">
        <v>3.0368728984701239</v>
      </c>
      <c r="BD176">
        <v>-22.276518711944973</v>
      </c>
      <c r="BE176">
        <v>-6.1124083511257314</v>
      </c>
      <c r="BF176" s="6">
        <f t="shared" si="171"/>
        <v>3.4093897595201983</v>
      </c>
      <c r="BG176" s="6">
        <f t="shared" si="172"/>
        <v>0.37251686105007442</v>
      </c>
      <c r="BH176" s="6">
        <f t="shared" si="173"/>
        <v>2.5823387531815212</v>
      </c>
      <c r="BI176" s="6">
        <f t="shared" si="174"/>
        <v>2.5823387531815212</v>
      </c>
      <c r="BJ176">
        <v>-34.271567249146109</v>
      </c>
      <c r="BK176">
        <v>-9.4037051555780486</v>
      </c>
      <c r="BV176" s="37"/>
      <c r="BW176" s="6">
        <f t="shared" si="112"/>
        <v>2.8099800957108636</v>
      </c>
      <c r="BX176" s="9">
        <f t="shared" ca="1" si="113"/>
        <v>-175.5714747934307</v>
      </c>
      <c r="BY176" s="9">
        <f t="shared" ca="1" si="114"/>
        <v>-10.947593998416785</v>
      </c>
      <c r="BZ176" s="9">
        <f t="shared" ca="1" si="115"/>
        <v>-17.117815282587657</v>
      </c>
      <c r="CA176" s="6">
        <f t="shared" ca="1" si="116"/>
        <v>4.318072117801945</v>
      </c>
      <c r="CB176" s="6">
        <f t="shared" ca="1" si="117"/>
        <v>2.8944917982429077</v>
      </c>
      <c r="CC176" s="6">
        <f t="shared" ca="1" si="118"/>
        <v>-0.37941682037691216</v>
      </c>
      <c r="CD176" s="9">
        <f t="shared" si="119"/>
        <v>-117.11781528258764</v>
      </c>
      <c r="CE176" s="9">
        <f t="shared" si="120"/>
        <v>34.318072117801947</v>
      </c>
      <c r="CF176" s="6">
        <f t="shared" si="121"/>
        <v>2.8565501162052165</v>
      </c>
      <c r="CG176" s="6"/>
      <c r="CH176" s="6"/>
      <c r="CI176" s="6"/>
      <c r="CJ176" s="1"/>
      <c r="CK176" s="6"/>
    </row>
    <row r="177" spans="1:89" x14ac:dyDescent="0.25">
      <c r="E177" t="s">
        <v>21</v>
      </c>
      <c r="F177" t="s">
        <v>22</v>
      </c>
      <c r="G177" t="s">
        <v>8</v>
      </c>
      <c r="H177" t="s">
        <v>9</v>
      </c>
      <c r="BC177">
        <v>3.054326190990067</v>
      </c>
      <c r="BD177">
        <v>-22.683336021499159</v>
      </c>
      <c r="BE177">
        <v>-7.2295712922036346</v>
      </c>
      <c r="BF177" s="6">
        <f t="shared" si="171"/>
        <v>3.4501316002248608</v>
      </c>
      <c r="BG177" s="6">
        <f t="shared" si="172"/>
        <v>0.39580540923479379</v>
      </c>
      <c r="BH177" s="6">
        <f t="shared" si="173"/>
        <v>2.5415969124768587</v>
      </c>
      <c r="BI177" s="6">
        <f t="shared" si="174"/>
        <v>2.5415969124768587</v>
      </c>
      <c r="BJ177">
        <v>-34.897440033075625</v>
      </c>
      <c r="BK177">
        <v>-11.122417372620976</v>
      </c>
      <c r="BV177" s="37"/>
      <c r="BW177" s="6">
        <f t="shared" si="112"/>
        <v>2.8274333882308067</v>
      </c>
      <c r="BX177" s="9">
        <f t="shared" ca="1" si="113"/>
        <v>-175.8205517000257</v>
      </c>
      <c r="BY177" s="9">
        <f t="shared" ca="1" si="114"/>
        <v>-11.3129097762965</v>
      </c>
      <c r="BZ177" s="9">
        <f t="shared" ca="1" si="115"/>
        <v>-17.366892189182664</v>
      </c>
      <c r="CA177" s="6">
        <f t="shared" ca="1" si="116"/>
        <v>3.9527563399222299</v>
      </c>
      <c r="CB177" s="6">
        <f t="shared" ca="1" si="117"/>
        <v>2.9178020469505603</v>
      </c>
      <c r="CC177" s="6">
        <f t="shared" ca="1" si="118"/>
        <v>-0.57809317626154499</v>
      </c>
      <c r="CD177" s="9">
        <f t="shared" si="119"/>
        <v>-117.36689218918265</v>
      </c>
      <c r="CE177" s="9">
        <f t="shared" si="120"/>
        <v>33.952756339922232</v>
      </c>
      <c r="CF177" s="6">
        <f t="shared" si="121"/>
        <v>2.8599927293244058</v>
      </c>
      <c r="CG177" s="6"/>
      <c r="CH177" s="6"/>
      <c r="CI177" s="6"/>
      <c r="CJ177" s="1"/>
      <c r="CK177" s="6"/>
    </row>
    <row r="178" spans="1:89" x14ac:dyDescent="0.25">
      <c r="A178" t="s">
        <v>188</v>
      </c>
      <c r="B178">
        <f>(N176+M165)/1000</f>
        <v>191.6815185786314</v>
      </c>
      <c r="C178" t="s">
        <v>68</v>
      </c>
      <c r="E178">
        <f>B179/B178</f>
        <v>11.380840017015265</v>
      </c>
      <c r="F178">
        <f>-1*B180/B178</f>
        <v>2.1531529157498897</v>
      </c>
      <c r="G178">
        <f>(F178*COS(-1*$B$27))+(E178*SIN(-1*$B$27))+$I$2</f>
        <v>8.688511427389102</v>
      </c>
      <c r="H178">
        <f>(-1*F178*SIN(-1*$B$27))+(E178*COS(-1*$B$27))+$I$3</f>
        <v>23.266387765219893</v>
      </c>
      <c r="J178" t="str">
        <f>"Cc = "&amp;ROUND(B178,4)&amp;" "&amp;C178&amp;CHAR(10)&amp;" @ ( "&amp;ROUND(G178,4)&amp;" , "&amp;ROUND(H178,4)&amp;" )"</f>
        <v>Cc = 191.6815 kips
 @ ( 8.6885 , 23.2664 )</v>
      </c>
      <c r="BC178">
        <v>3.0717794835100101</v>
      </c>
      <c r="BD178">
        <v>-23.077994955824138</v>
      </c>
      <c r="BE178">
        <v>-8.3529603842967131</v>
      </c>
      <c r="BF178" s="6">
        <f t="shared" si="171"/>
        <v>3.4888688418570735</v>
      </c>
      <c r="BG178" s="6">
        <f t="shared" si="172"/>
        <v>0.4170893583470634</v>
      </c>
      <c r="BH178" s="6">
        <f t="shared" si="173"/>
        <v>2.502859670844646</v>
      </c>
      <c r="BI178" s="6">
        <f t="shared" si="174"/>
        <v>2.502859670844646</v>
      </c>
      <c r="BJ178">
        <v>-35.504607624344828</v>
      </c>
      <c r="BK178">
        <v>-12.850708283533404</v>
      </c>
      <c r="BV178" s="37"/>
      <c r="BW178" s="6">
        <f t="shared" si="112"/>
        <v>2.8448866807507498</v>
      </c>
      <c r="BX178" s="9">
        <f t="shared" ca="1" si="113"/>
        <v>-176.08991251476118</v>
      </c>
      <c r="BY178" s="9">
        <f t="shared" ca="1" si="114"/>
        <v>-11.727764359792152</v>
      </c>
      <c r="BZ178" s="9">
        <f t="shared" ca="1" si="115"/>
        <v>-17.636253003918142</v>
      </c>
      <c r="CA178" s="6">
        <f t="shared" ca="1" si="116"/>
        <v>3.537901756426578</v>
      </c>
      <c r="CB178" s="6">
        <f t="shared" ca="1" si="117"/>
        <v>2.9436164542280001</v>
      </c>
      <c r="CC178" s="6">
        <f t="shared" ca="1" si="118"/>
        <v>-0.79753918021669978</v>
      </c>
      <c r="CD178" s="9">
        <f t="shared" si="119"/>
        <v>-117.63625300391816</v>
      </c>
      <c r="CE178" s="9">
        <f t="shared" si="120"/>
        <v>33.537901756426578</v>
      </c>
      <c r="CF178" s="6">
        <f t="shared" si="121"/>
        <v>2.8638625362063301</v>
      </c>
      <c r="CG178" s="6"/>
      <c r="CH178" s="6"/>
      <c r="CI178" s="6"/>
      <c r="CJ178" s="1"/>
      <c r="CK178" s="6"/>
    </row>
    <row r="179" spans="1:89" x14ac:dyDescent="0.25">
      <c r="A179" t="s">
        <v>100</v>
      </c>
      <c r="B179">
        <f>(N165+O176)/1000</f>
        <v>2181.4966971619433</v>
      </c>
      <c r="C179" t="s">
        <v>69</v>
      </c>
      <c r="BC179">
        <v>3.0892327760299532</v>
      </c>
      <c r="BD179">
        <v>-23.528627543875871</v>
      </c>
      <c r="BE179">
        <v>-9.5320326992350228</v>
      </c>
      <c r="BF179" s="6">
        <f t="shared" si="171"/>
        <v>3.5265092189428651</v>
      </c>
      <c r="BG179" s="6">
        <f t="shared" si="172"/>
        <v>0.4372764429129119</v>
      </c>
      <c r="BH179" s="6">
        <f t="shared" si="173"/>
        <v>2.4652192937588544</v>
      </c>
      <c r="BI179" s="6">
        <f t="shared" si="174"/>
        <v>2.4652192937588544</v>
      </c>
      <c r="BJ179">
        <v>-36.044257546723777</v>
      </c>
      <c r="BK179">
        <v>-14.602425955968984</v>
      </c>
      <c r="BV179" s="37"/>
      <c r="BW179" s="6">
        <f t="shared" si="112"/>
        <v>2.8623399732706929</v>
      </c>
      <c r="BX179" s="9">
        <f t="shared" ca="1" si="113"/>
        <v>-176.38290889450602</v>
      </c>
      <c r="BY179" s="9">
        <f t="shared" ca="1" si="114"/>
        <v>-12.203749665104139</v>
      </c>
      <c r="BZ179" s="9">
        <f t="shared" ca="1" si="115"/>
        <v>-17.929249383662977</v>
      </c>
      <c r="CA179" s="6">
        <f t="shared" ca="1" si="116"/>
        <v>3.0619164511145911</v>
      </c>
      <c r="CB179" s="6">
        <f t="shared" ca="1" si="117"/>
        <v>2.9724467119895759</v>
      </c>
      <c r="CC179" s="6">
        <f t="shared" ca="1" si="118"/>
        <v>-1.0419083556653197</v>
      </c>
      <c r="CD179" s="9">
        <f t="shared" si="119"/>
        <v>-117.92924938366298</v>
      </c>
      <c r="CE179" s="9">
        <f t="shared" si="120"/>
        <v>33.061916451114591</v>
      </c>
      <c r="CF179" s="6">
        <f t="shared" si="121"/>
        <v>2.8682558764230439</v>
      </c>
      <c r="CG179" s="6"/>
      <c r="CH179" s="6"/>
      <c r="CI179" s="6"/>
      <c r="CJ179" s="1"/>
      <c r="CK179" s="6"/>
    </row>
    <row r="180" spans="1:89" x14ac:dyDescent="0.25">
      <c r="A180" t="s">
        <v>101</v>
      </c>
      <c r="B180">
        <f>-1*(O165+P176)/1000</f>
        <v>-412.71962062294688</v>
      </c>
      <c r="C180" t="s">
        <v>69</v>
      </c>
      <c r="BC180">
        <v>3.1066860685498963</v>
      </c>
      <c r="BD180">
        <v>-23.983201437009193</v>
      </c>
      <c r="BE180">
        <v>-10.750524017986731</v>
      </c>
      <c r="BF180" s="6">
        <f t="shared" si="171"/>
        <v>3.5629921995699787</v>
      </c>
      <c r="BG180" s="6">
        <f t="shared" si="172"/>
        <v>0.45630613102008244</v>
      </c>
      <c r="BH180" s="6">
        <f t="shared" si="173"/>
        <v>2.4287363131317408</v>
      </c>
      <c r="BI180" s="6">
        <f t="shared" si="174"/>
        <v>2.4287363131317408</v>
      </c>
      <c r="BJ180">
        <v>-36.533313599131944</v>
      </c>
      <c r="BK180">
        <v>-16.376140038503845</v>
      </c>
      <c r="BV180" s="37"/>
      <c r="BW180" s="6">
        <f t="shared" si="112"/>
        <v>2.879793265790636</v>
      </c>
      <c r="BX180" s="9">
        <f t="shared" ca="1" si="113"/>
        <v>-176.703679520175</v>
      </c>
      <c r="BY180" s="9">
        <f t="shared" ca="1" si="114"/>
        <v>-12.756065958962266</v>
      </c>
      <c r="BZ180" s="9">
        <f t="shared" ca="1" si="115"/>
        <v>-18.250020009331962</v>
      </c>
      <c r="CA180" s="6">
        <f t="shared" ca="1" si="116"/>
        <v>2.5096001572564646</v>
      </c>
      <c r="CB180" s="6">
        <f t="shared" ca="1" si="117"/>
        <v>3.0049375306310266</v>
      </c>
      <c r="CC180" s="6">
        <f t="shared" ca="1" si="118"/>
        <v>-1.316391063937701</v>
      </c>
      <c r="CD180" s="9">
        <f t="shared" si="119"/>
        <v>-118.25002000933195</v>
      </c>
      <c r="CE180" s="9">
        <f t="shared" si="120"/>
        <v>32.509600157256465</v>
      </c>
      <c r="CF180" s="6">
        <f t="shared" si="121"/>
        <v>2.8732984242372566</v>
      </c>
      <c r="CG180" s="6"/>
      <c r="CH180" s="6"/>
      <c r="CI180" s="6"/>
      <c r="CJ180" s="1"/>
      <c r="CK180" s="6"/>
    </row>
    <row r="181" spans="1:89" x14ac:dyDescent="0.25">
      <c r="BC181">
        <v>3.1241393610698394</v>
      </c>
      <c r="BD181">
        <v>-24.363854589437395</v>
      </c>
      <c r="BE181">
        <v>-11.991709652391068</v>
      </c>
      <c r="BF181" s="6">
        <f t="shared" si="171"/>
        <v>3.598974881367115</v>
      </c>
      <c r="BG181" s="6">
        <f t="shared" si="172"/>
        <v>0.4748355202972756</v>
      </c>
      <c r="BH181" s="6">
        <f t="shared" si="173"/>
        <v>2.3927536313346045</v>
      </c>
      <c r="BI181" s="6">
        <f t="shared" si="174"/>
        <v>2.3927536313346045</v>
      </c>
      <c r="BJ181">
        <v>-36.781040709386041</v>
      </c>
      <c r="BK181">
        <v>-18.103357138363155</v>
      </c>
      <c r="BV181" s="37"/>
      <c r="BW181" s="6">
        <f t="shared" si="112"/>
        <v>2.8972465583105791</v>
      </c>
      <c r="BX181" s="9">
        <f t="shared" ca="1" si="113"/>
        <v>-177.05740314316171</v>
      </c>
      <c r="BY181" s="9">
        <f t="shared" ca="1" si="114"/>
        <v>-13.40497498802857</v>
      </c>
      <c r="BZ181" s="9">
        <f t="shared" ca="1" si="115"/>
        <v>-18.603743632318668</v>
      </c>
      <c r="CA181" s="6">
        <f t="shared" ca="1" si="116"/>
        <v>1.8606911281901599</v>
      </c>
      <c r="CB181" s="6">
        <f t="shared" ca="1" si="117"/>
        <v>3.0419071427636086</v>
      </c>
      <c r="CC181" s="6">
        <f t="shared" ca="1" si="118"/>
        <v>-1.6275028792826118</v>
      </c>
      <c r="CD181" s="9">
        <f t="shared" si="119"/>
        <v>-118.60374363231867</v>
      </c>
      <c r="CE181" s="9">
        <f t="shared" si="120"/>
        <v>31.860691128190158</v>
      </c>
      <c r="CF181" s="6">
        <f t="shared" si="121"/>
        <v>2.8791568548353474</v>
      </c>
      <c r="CG181" s="6"/>
      <c r="CH181" s="6"/>
      <c r="CI181" s="6"/>
      <c r="CJ181" s="1"/>
      <c r="CK181" s="6"/>
    </row>
    <row r="182" spans="1:89" x14ac:dyDescent="0.25">
      <c r="A182" t="s">
        <v>54</v>
      </c>
      <c r="BC182">
        <v>3.1415926535897825</v>
      </c>
      <c r="BD182">
        <v>-24.6275996367131</v>
      </c>
      <c r="BE182">
        <v>-13.120480752691879</v>
      </c>
      <c r="BF182" s="6">
        <f t="shared" si="171"/>
        <v>3.6310997358172905</v>
      </c>
      <c r="BG182" s="6">
        <f t="shared" si="172"/>
        <v>0.48950708222750805</v>
      </c>
      <c r="BH182" s="6">
        <f t="shared" si="173"/>
        <v>2.360628776884429</v>
      </c>
      <c r="BI182" s="6">
        <f t="shared" si="174"/>
        <v>2.360628776884429</v>
      </c>
      <c r="BJ182">
        <v>-36.625934135353148</v>
      </c>
      <c r="BK182">
        <v>-19.512655352570025</v>
      </c>
      <c r="BV182" s="37"/>
      <c r="BW182" s="6">
        <f t="shared" si="112"/>
        <v>2.9146998508305222</v>
      </c>
      <c r="BX182" s="9">
        <f t="shared" ca="1" si="113"/>
        <v>-177.45065743699485</v>
      </c>
      <c r="BY182" s="9">
        <f t="shared" ca="1" si="114"/>
        <v>-14.177990343201309</v>
      </c>
      <c r="BZ182" s="9">
        <f t="shared" ca="1" si="115"/>
        <v>-18.996997926151806</v>
      </c>
      <c r="CA182" s="6">
        <f t="shared" ca="1" si="116"/>
        <v>1.0876757730174216</v>
      </c>
      <c r="CB182" s="6">
        <f t="shared" ca="1" si="117"/>
        <v>3.0843999546353791</v>
      </c>
      <c r="CC182" s="6">
        <f t="shared" ca="1" si="118"/>
        <v>-1.9834357242362</v>
      </c>
      <c r="CD182" s="9">
        <f t="shared" si="119"/>
        <v>-118.99699792615179</v>
      </c>
      <c r="CE182" s="9">
        <f t="shared" si="120"/>
        <v>31.08767577301742</v>
      </c>
      <c r="CF182" s="6">
        <f t="shared" si="121"/>
        <v>2.8860563822117591</v>
      </c>
      <c r="CG182" s="6"/>
      <c r="CH182" s="6"/>
      <c r="CI182" s="6"/>
      <c r="CJ182" s="1"/>
      <c r="CK182" s="6"/>
    </row>
    <row r="183" spans="1:89" x14ac:dyDescent="0.25">
      <c r="BC183">
        <v>3.1590459461097256</v>
      </c>
      <c r="BD183">
        <v>-24.369007837808834</v>
      </c>
      <c r="BE183">
        <v>-13.706057541543739</v>
      </c>
      <c r="BF183" s="6">
        <f t="shared" si="171"/>
        <v>3.6539350618423176</v>
      </c>
      <c r="BG183" s="6">
        <f t="shared" si="172"/>
        <v>0.49488911573259209</v>
      </c>
      <c r="BH183" s="6">
        <f t="shared" si="173"/>
        <v>2.3377934508594018</v>
      </c>
      <c r="BI183" s="6">
        <f t="shared" si="174"/>
        <v>2.3377934508594018</v>
      </c>
      <c r="BJ183">
        <v>-36.838930859403028</v>
      </c>
      <c r="BK183">
        <v>-20.719616879294719</v>
      </c>
      <c r="BV183" s="37"/>
      <c r="BW183" s="6">
        <f t="shared" si="112"/>
        <v>2.9321531433504653</v>
      </c>
      <c r="BX183" s="9">
        <f t="shared" ca="1" si="113"/>
        <v>-177.89193989997881</v>
      </c>
      <c r="BY183" s="9">
        <f t="shared" ca="1" si="114"/>
        <v>-15.113269643450323</v>
      </c>
      <c r="BZ183" s="9">
        <f t="shared" ca="1" si="115"/>
        <v>-19.43828038913577</v>
      </c>
      <c r="CA183" s="6">
        <f t="shared" ca="1" si="116"/>
        <v>0.15239647276840707</v>
      </c>
      <c r="CB183" s="6">
        <f t="shared" ca="1" si="117"/>
        <v>3.1337527959769771</v>
      </c>
      <c r="CC183" s="6">
        <f t="shared" ca="1" si="118"/>
        <v>-2.3944494983401872</v>
      </c>
      <c r="CD183" s="9">
        <f t="shared" si="119"/>
        <v>-119.43828038913578</v>
      </c>
      <c r="CE183" s="9">
        <f t="shared" si="120"/>
        <v>30.152396472768409</v>
      </c>
      <c r="CF183" s="6">
        <f t="shared" si="121"/>
        <v>2.8943078461429583</v>
      </c>
      <c r="CG183" s="6"/>
      <c r="CH183" s="6"/>
      <c r="CI183" s="6"/>
      <c r="CJ183" s="1"/>
      <c r="CK183" s="6"/>
    </row>
    <row r="184" spans="1:89" x14ac:dyDescent="0.25">
      <c r="A184">
        <f>A14</f>
        <v>0</v>
      </c>
      <c r="B184" t="str">
        <f t="shared" ref="B184:E184" si="198">B14</f>
        <v>Bar #</v>
      </c>
      <c r="C184" t="str">
        <f t="shared" si="198"/>
        <v>As (in^2)</v>
      </c>
      <c r="D184" t="str">
        <f t="shared" si="198"/>
        <v>x</v>
      </c>
      <c r="E184" t="str">
        <f t="shared" si="198"/>
        <v>y</v>
      </c>
      <c r="F184" s="1" t="s">
        <v>55</v>
      </c>
      <c r="G184" s="1" t="s">
        <v>56</v>
      </c>
      <c r="H184" s="1" t="s">
        <v>21</v>
      </c>
      <c r="I184" s="1" t="s">
        <v>22</v>
      </c>
      <c r="J184" s="1" t="s">
        <v>57</v>
      </c>
      <c r="K184" s="1" t="s">
        <v>58</v>
      </c>
      <c r="L184" s="1" t="s">
        <v>189</v>
      </c>
      <c r="M184" s="1" t="s">
        <v>225</v>
      </c>
      <c r="N184" s="1" t="s">
        <v>60</v>
      </c>
      <c r="O184" s="1" t="s">
        <v>61</v>
      </c>
      <c r="P184" s="1" t="s">
        <v>62</v>
      </c>
      <c r="BC184">
        <v>3.1764992386296687</v>
      </c>
      <c r="BD184">
        <v>-24.013600762760301</v>
      </c>
      <c r="BE184">
        <v>-14.335785374649133</v>
      </c>
      <c r="BF184" s="6">
        <f t="shared" si="171"/>
        <v>3.6797930888760355</v>
      </c>
      <c r="BG184" s="6">
        <f t="shared" si="172"/>
        <v>0.50329385024636686</v>
      </c>
      <c r="BH184" s="6">
        <f t="shared" si="173"/>
        <v>2.311935423825684</v>
      </c>
      <c r="BI184" s="6">
        <f t="shared" si="174"/>
        <v>2.311935423825684</v>
      </c>
      <c r="BJ184">
        <v>-36.618804705321566</v>
      </c>
      <c r="BK184">
        <v>-21.860916657937267</v>
      </c>
      <c r="BV184" s="37"/>
      <c r="BW184" s="6">
        <f t="shared" si="112"/>
        <v>2.9496064358704084</v>
      </c>
      <c r="BX184" s="9">
        <f t="shared" ca="1" si="113"/>
        <v>-178.37082436152608</v>
      </c>
      <c r="BY184" s="9">
        <f t="shared" ca="1" si="114"/>
        <v>-16.197948397980866</v>
      </c>
      <c r="BZ184" s="9">
        <f t="shared" ca="1" si="115"/>
        <v>-19.917164850683037</v>
      </c>
      <c r="CA184" s="6">
        <f t="shared" ca="1" si="116"/>
        <v>-0.93228228176213612</v>
      </c>
      <c r="CB184" s="6">
        <f t="shared" ca="1" si="117"/>
        <v>-3.094818812554009</v>
      </c>
      <c r="CC184" s="6">
        <f t="shared" ca="1" si="118"/>
        <v>-2.8458527235901103</v>
      </c>
      <c r="CD184" s="9">
        <f t="shared" si="119"/>
        <v>-119.91716485068304</v>
      </c>
      <c r="CE184" s="9">
        <f t="shared" si="120"/>
        <v>29.067717718237862</v>
      </c>
      <c r="CF184" s="6">
        <f t="shared" si="121"/>
        <v>2.9037812222665664</v>
      </c>
      <c r="CG184" s="6"/>
      <c r="CH184" s="6"/>
      <c r="CI184" s="6"/>
      <c r="CJ184" s="1"/>
      <c r="CK184" s="6"/>
    </row>
    <row r="185" spans="1:89" x14ac:dyDescent="0.25">
      <c r="A185">
        <f t="shared" ref="A185:E194" si="199">A15</f>
        <v>1</v>
      </c>
      <c r="B185">
        <f t="shared" si="199"/>
        <v>8</v>
      </c>
      <c r="C185" s="6">
        <f t="shared" ca="1" si="199"/>
        <v>0.79</v>
      </c>
      <c r="D185" s="6">
        <f t="shared" si="199"/>
        <v>2</v>
      </c>
      <c r="E185" s="6">
        <f t="shared" si="199"/>
        <v>2</v>
      </c>
      <c r="F185" s="6">
        <f t="shared" ref="F185:F194" si="200">D185-$I$2</f>
        <v>-4</v>
      </c>
      <c r="G185" s="6">
        <f t="shared" ref="G185:G194" si="201">E185-$I$3</f>
        <v>-10</v>
      </c>
      <c r="H185" s="6">
        <f t="shared" ref="H185:H194" si="202">F185*COS($B$27)+G185*SIN($B$27)</f>
        <v>-3.5230154976158938</v>
      </c>
      <c r="I185" s="6">
        <f t="shared" ref="I185:I194" si="203">-1*F185*SIN($B$27)+G185*COS($B$27)</f>
        <v>-10.177836793914423</v>
      </c>
      <c r="J185" s="6">
        <f>IF(B185=0,0,$G$38-I185)</f>
        <v>23.014962817589179</v>
      </c>
      <c r="K185" s="6">
        <f t="shared" ref="K185:K194" ca="1" si="204">IF($B$28=0,-1,IF(C185=0,0,(($B$28-J185)/$B$28)*$B$30)*IF($B$28&lt;0,-1,1))</f>
        <v>-2.3160704995972399E-2</v>
      </c>
      <c r="L185" s="6">
        <f ca="1">IF(K185&lt;0,0,IF(K185&lt;=$B$145,0.85*$B$143*((2*K185/$B$145)-POWER(K185/$B$145,2)),0.85*$B$143))/1000</f>
        <v>0</v>
      </c>
      <c r="M185" s="6">
        <f ca="1">IF(K185&gt;0,MIN((K185*B$13),B$12)-L185,MAX(K185*B$13,-1*B$12))</f>
        <v>-60</v>
      </c>
      <c r="N185" s="6">
        <f t="shared" ref="N185:N194" ca="1" si="205">M185*C185</f>
        <v>-47.400000000000006</v>
      </c>
      <c r="O185" s="6">
        <f t="shared" ref="O185:O194" ca="1" si="206">N185*I185</f>
        <v>482.42946403154372</v>
      </c>
      <c r="P185" s="6">
        <f t="shared" ref="P185:P194" ca="1" si="207">N185*H185*-1</f>
        <v>-166.99093458699338</v>
      </c>
      <c r="BC185">
        <v>3.1939525311496118</v>
      </c>
      <c r="BD185">
        <v>-23.619634837108361</v>
      </c>
      <c r="BE185">
        <v>-14.877673376898281</v>
      </c>
      <c r="BF185" s="6">
        <f t="shared" si="171"/>
        <v>3.7036976648284856</v>
      </c>
      <c r="BG185" s="6">
        <f t="shared" si="172"/>
        <v>0.50974513367887386</v>
      </c>
      <c r="BH185" s="6">
        <f t="shared" si="173"/>
        <v>2.2880308478732339</v>
      </c>
      <c r="BI185" s="6">
        <f t="shared" si="174"/>
        <v>2.2880308478732339</v>
      </c>
      <c r="BJ185">
        <v>-36.202518473274495</v>
      </c>
      <c r="BK185">
        <v>-22.803453524196968</v>
      </c>
      <c r="BV185" s="37"/>
      <c r="BW185" s="6">
        <f t="shared" si="112"/>
        <v>2.9670597283903515</v>
      </c>
      <c r="BX185" s="9">
        <f t="shared" ca="1" si="113"/>
        <v>-178.83814091911495</v>
      </c>
      <c r="BY185" s="9">
        <f t="shared" ca="1" si="114"/>
        <v>-17.292173588467573</v>
      </c>
      <c r="BZ185" s="9">
        <f t="shared" ca="1" si="115"/>
        <v>-20.38448140827191</v>
      </c>
      <c r="CA185" s="6">
        <f t="shared" ca="1" si="116"/>
        <v>-2.0265074722488432</v>
      </c>
      <c r="CB185" s="6">
        <f t="shared" ca="1" si="117"/>
        <v>-3.0425040074418743</v>
      </c>
      <c r="CC185" s="6">
        <f t="shared" ca="1" si="118"/>
        <v>-3.2740482593041453</v>
      </c>
      <c r="CD185" s="9">
        <f t="shared" si="119"/>
        <v>-120.3844814082719</v>
      </c>
      <c r="CE185" s="9">
        <f t="shared" si="120"/>
        <v>27.973492527751155</v>
      </c>
      <c r="CF185" s="6">
        <f t="shared" si="121"/>
        <v>2.9132764738072976</v>
      </c>
      <c r="CG185" s="6"/>
      <c r="CH185" s="6"/>
      <c r="CI185" s="6"/>
      <c r="CJ185" s="1"/>
      <c r="CK185" s="6"/>
    </row>
    <row r="186" spans="1:89" x14ac:dyDescent="0.25">
      <c r="A186">
        <f t="shared" si="199"/>
        <v>2</v>
      </c>
      <c r="B186">
        <f t="shared" si="199"/>
        <v>8</v>
      </c>
      <c r="C186" s="6">
        <f t="shared" ca="1" si="199"/>
        <v>0.79</v>
      </c>
      <c r="D186" s="6">
        <f t="shared" si="199"/>
        <v>2</v>
      </c>
      <c r="E186" s="6">
        <f t="shared" si="199"/>
        <v>4</v>
      </c>
      <c r="F186" s="6">
        <f t="shared" si="200"/>
        <v>-4</v>
      </c>
      <c r="G186" s="6">
        <f t="shared" si="201"/>
        <v>-8</v>
      </c>
      <c r="H186" s="6">
        <f t="shared" si="202"/>
        <v>-3.6175188114003554</v>
      </c>
      <c r="I186" s="6">
        <f t="shared" si="203"/>
        <v>-8.1800707606453233</v>
      </c>
      <c r="J186" s="6">
        <f t="shared" ref="J186:J194" si="208">IF(B186=0,0,$G$38-I186)</f>
        <v>21.017196784320078</v>
      </c>
      <c r="K186" s="6">
        <f t="shared" ca="1" si="204"/>
        <v>-2.0889879348260074E-2</v>
      </c>
      <c r="L186" s="6">
        <f t="shared" ref="L186:L194" ca="1" si="209">IF(K186&lt;0,0,IF(K186&lt;=$B$145,0.85*$B$143*((2*K186/$B$145)-POWER(K186/$B$145,2)),0.85*$B$143))/1000</f>
        <v>0</v>
      </c>
      <c r="M186" s="6">
        <f t="shared" ref="M186:M194" ca="1" si="210">IF(K186&gt;0,MIN((K186*B$13),B$12)-L186,MAX(K186*B$13,-1*B$12))</f>
        <v>-60</v>
      </c>
      <c r="N186" s="6">
        <f t="shared" ca="1" si="205"/>
        <v>-47.400000000000006</v>
      </c>
      <c r="O186" s="6">
        <f t="shared" ca="1" si="206"/>
        <v>387.73535405458836</v>
      </c>
      <c r="P186" s="6">
        <f t="shared" ca="1" si="207"/>
        <v>-171.47039166037686</v>
      </c>
      <c r="BC186">
        <v>3.2114058236695548</v>
      </c>
      <c r="BD186">
        <v>-23.26347853476187</v>
      </c>
      <c r="BE186">
        <v>-15.43141146850901</v>
      </c>
      <c r="BF186" s="6">
        <f t="shared" si="171"/>
        <v>3.727283138755245</v>
      </c>
      <c r="BG186" s="6">
        <f t="shared" si="172"/>
        <v>0.51587731508569012</v>
      </c>
      <c r="BH186" s="6">
        <f t="shared" si="173"/>
        <v>2.2644453739464745</v>
      </c>
      <c r="BI186" s="6">
        <f t="shared" si="174"/>
        <v>2.2644453739464745</v>
      </c>
      <c r="BJ186">
        <v>-35.78996697655672</v>
      </c>
      <c r="BK186">
        <v>-23.740633028475401</v>
      </c>
      <c r="BV186" s="37"/>
      <c r="BW186" s="6">
        <f t="shared" si="112"/>
        <v>2.9845130209102946</v>
      </c>
      <c r="BX186" s="9">
        <f t="shared" ca="1" si="113"/>
        <v>-179.29161082756372</v>
      </c>
      <c r="BY186" s="9">
        <f t="shared" ca="1" si="114"/>
        <v>-18.388649670720596</v>
      </c>
      <c r="BZ186" s="9">
        <f t="shared" ca="1" si="115"/>
        <v>-20.837951316720677</v>
      </c>
      <c r="CA186" s="6">
        <f t="shared" ca="1" si="116"/>
        <v>-3.1229835545018663</v>
      </c>
      <c r="CB186" s="6">
        <f t="shared" ca="1" si="117"/>
        <v>-2.9928298575937955</v>
      </c>
      <c r="CC186" s="6">
        <f t="shared" ca="1" si="118"/>
        <v>-3.6762209165698789</v>
      </c>
      <c r="CD186" s="9">
        <f t="shared" si="119"/>
        <v>-120.83795131672068</v>
      </c>
      <c r="CE186" s="9">
        <f t="shared" si="120"/>
        <v>26.877016445498132</v>
      </c>
      <c r="CF186" s="6">
        <f t="shared" si="121"/>
        <v>2.9227333579288031</v>
      </c>
      <c r="CG186" s="6"/>
      <c r="CH186" s="6"/>
      <c r="CI186" s="6"/>
      <c r="CJ186" s="1"/>
      <c r="CK186" s="6"/>
    </row>
    <row r="187" spans="1:89" x14ac:dyDescent="0.25">
      <c r="A187">
        <f t="shared" si="199"/>
        <v>3</v>
      </c>
      <c r="B187">
        <f t="shared" si="199"/>
        <v>8</v>
      </c>
      <c r="C187" s="6">
        <f t="shared" ca="1" si="199"/>
        <v>0.79</v>
      </c>
      <c r="D187" s="6">
        <f t="shared" si="199"/>
        <v>4</v>
      </c>
      <c r="E187" s="6">
        <f t="shared" si="199"/>
        <v>2</v>
      </c>
      <c r="F187" s="6">
        <f t="shared" si="200"/>
        <v>-2</v>
      </c>
      <c r="G187" s="6">
        <f t="shared" si="201"/>
        <v>-10</v>
      </c>
      <c r="H187" s="6">
        <f t="shared" si="202"/>
        <v>-1.5252494643467935</v>
      </c>
      <c r="I187" s="6">
        <f t="shared" si="203"/>
        <v>-10.083333480129962</v>
      </c>
      <c r="J187" s="6">
        <f t="shared" si="208"/>
        <v>22.920459503804715</v>
      </c>
      <c r="K187" s="6">
        <f t="shared" ca="1" si="204"/>
        <v>-2.3053284734959951E-2</v>
      </c>
      <c r="L187" s="6">
        <f t="shared" ca="1" si="209"/>
        <v>0</v>
      </c>
      <c r="M187" s="6">
        <f t="shared" ca="1" si="210"/>
        <v>-60</v>
      </c>
      <c r="N187" s="6">
        <f t="shared" ca="1" si="205"/>
        <v>-47.400000000000006</v>
      </c>
      <c r="O187" s="6">
        <f t="shared" ca="1" si="206"/>
        <v>477.95000695816026</v>
      </c>
      <c r="P187" s="6">
        <f t="shared" ca="1" si="207"/>
        <v>-72.296824610038016</v>
      </c>
      <c r="BC187">
        <v>3.2288591161894979</v>
      </c>
      <c r="BD187">
        <v>-22.977015762709364</v>
      </c>
      <c r="BE187">
        <v>-16.043391586559267</v>
      </c>
      <c r="BF187" s="6">
        <f t="shared" si="171"/>
        <v>3.7511340953206957</v>
      </c>
      <c r="BG187" s="6">
        <f t="shared" si="172"/>
        <v>0.5222749791311978</v>
      </c>
      <c r="BH187" s="6">
        <f t="shared" si="173"/>
        <v>2.2405944173810237</v>
      </c>
      <c r="BI187" s="6">
        <f t="shared" si="174"/>
        <v>2.2405944173810237</v>
      </c>
      <c r="BJ187">
        <v>-35.349255019552864</v>
      </c>
      <c r="BK187">
        <v>-24.682140902398871</v>
      </c>
      <c r="BV187" s="37"/>
      <c r="BW187" s="6">
        <f t="shared" si="112"/>
        <v>3.0019663134302377</v>
      </c>
      <c r="BX187" s="9">
        <f t="shared" ca="1" si="113"/>
        <v>-179.87879583693635</v>
      </c>
      <c r="BY187" s="9">
        <f t="shared" ca="1" si="114"/>
        <v>-19.159111352970733</v>
      </c>
      <c r="BZ187" s="9">
        <f t="shared" ca="1" si="115"/>
        <v>-21.425136326093309</v>
      </c>
      <c r="CA187" s="6">
        <f t="shared" ca="1" si="116"/>
        <v>-3.8934452367520027</v>
      </c>
      <c r="CB187" s="6">
        <f t="shared" ca="1" si="117"/>
        <v>-2.9618310569284017</v>
      </c>
      <c r="CC187" s="6">
        <f t="shared" ca="1" si="118"/>
        <v>-3.9153894099698521</v>
      </c>
      <c r="CD187" s="9">
        <f t="shared" si="119"/>
        <v>-121.42513632609331</v>
      </c>
      <c r="CE187" s="9">
        <f t="shared" si="120"/>
        <v>26.106554763247999</v>
      </c>
      <c r="CF187" s="6">
        <f t="shared" si="121"/>
        <v>2.9298153092541996</v>
      </c>
      <c r="CG187" s="6"/>
      <c r="CH187" s="6"/>
      <c r="CI187" s="6"/>
      <c r="CJ187" s="1"/>
      <c r="CK187" s="6"/>
    </row>
    <row r="188" spans="1:89" x14ac:dyDescent="0.25">
      <c r="A188">
        <f t="shared" si="199"/>
        <v>4</v>
      </c>
      <c r="B188">
        <f t="shared" si="199"/>
        <v>8</v>
      </c>
      <c r="C188" s="6">
        <f t="shared" ca="1" si="199"/>
        <v>0.79</v>
      </c>
      <c r="D188" s="6">
        <f t="shared" si="199"/>
        <v>4</v>
      </c>
      <c r="E188" s="6">
        <f t="shared" si="199"/>
        <v>4</v>
      </c>
      <c r="F188" s="6">
        <f t="shared" si="200"/>
        <v>-2</v>
      </c>
      <c r="G188" s="6">
        <f t="shared" si="201"/>
        <v>-8</v>
      </c>
      <c r="H188" s="6">
        <f t="shared" si="202"/>
        <v>-1.6197527781312551</v>
      </c>
      <c r="I188" s="6">
        <f t="shared" si="203"/>
        <v>-8.0855674468608623</v>
      </c>
      <c r="J188" s="6">
        <f t="shared" si="208"/>
        <v>20.922693470535616</v>
      </c>
      <c r="K188" s="6">
        <f t="shared" ca="1" si="204"/>
        <v>-2.0782459087247632E-2</v>
      </c>
      <c r="L188" s="6">
        <f t="shared" ca="1" si="209"/>
        <v>0</v>
      </c>
      <c r="M188" s="6">
        <f t="shared" ca="1" si="210"/>
        <v>-60</v>
      </c>
      <c r="N188" s="6">
        <f t="shared" ca="1" si="205"/>
        <v>-47.400000000000006</v>
      </c>
      <c r="O188" s="6">
        <f t="shared" ca="1" si="206"/>
        <v>383.2558969812049</v>
      </c>
      <c r="P188" s="6">
        <f t="shared" ca="1" si="207"/>
        <v>-76.776281683421502</v>
      </c>
      <c r="BC188">
        <v>3.246312408709441</v>
      </c>
      <c r="BD188">
        <v>-22.697788461378369</v>
      </c>
      <c r="BE188">
        <v>-16.652173448583266</v>
      </c>
      <c r="BF188" s="6">
        <f t="shared" si="171"/>
        <v>3.7745456909104425</v>
      </c>
      <c r="BG188" s="6">
        <f t="shared" si="172"/>
        <v>0.52823328220100141</v>
      </c>
      <c r="BH188" s="6">
        <f t="shared" si="173"/>
        <v>2.217182821791277</v>
      </c>
      <c r="BI188" s="6">
        <f t="shared" si="174"/>
        <v>2.217182821791277</v>
      </c>
      <c r="BJ188">
        <v>-34.919674555966722</v>
      </c>
      <c r="BK188">
        <v>-25.618728382435794</v>
      </c>
      <c r="BV188" s="37"/>
      <c r="BW188" s="6">
        <f t="shared" si="112"/>
        <v>3.0194196059501808</v>
      </c>
      <c r="BX188" s="9">
        <f t="shared" ca="1" si="113"/>
        <v>-180.31088948227429</v>
      </c>
      <c r="BY188" s="9">
        <f t="shared" ca="1" si="114"/>
        <v>-20.26630338040696</v>
      </c>
      <c r="BZ188" s="9">
        <f t="shared" ca="1" si="115"/>
        <v>-21.857229971431252</v>
      </c>
      <c r="CA188" s="6">
        <f t="shared" ca="1" si="116"/>
        <v>-5.0006372641882297</v>
      </c>
      <c r="CB188" s="6">
        <f t="shared" ca="1" si="117"/>
        <v>-2.9166771835498322</v>
      </c>
      <c r="CC188" s="6">
        <f t="shared" ca="1" si="118"/>
        <v>-4.2726078517391937</v>
      </c>
      <c r="CD188" s="9">
        <f t="shared" si="119"/>
        <v>-121.85722997143125</v>
      </c>
      <c r="CE188" s="9">
        <f t="shared" si="120"/>
        <v>24.999362735811772</v>
      </c>
      <c r="CF188" s="6">
        <f t="shared" si="121"/>
        <v>2.9392473384558344</v>
      </c>
      <c r="CG188" s="6"/>
      <c r="CH188" s="6"/>
      <c r="CI188" s="6"/>
      <c r="CJ188" s="1"/>
      <c r="CK188" s="6"/>
    </row>
    <row r="189" spans="1:89" x14ac:dyDescent="0.25">
      <c r="A189">
        <f t="shared" si="199"/>
        <v>5</v>
      </c>
      <c r="B189">
        <f t="shared" si="199"/>
        <v>0</v>
      </c>
      <c r="C189" s="6">
        <f t="shared" ca="1" si="199"/>
        <v>0</v>
      </c>
      <c r="D189" s="6">
        <f t="shared" si="199"/>
        <v>2.5</v>
      </c>
      <c r="E189" s="6">
        <f t="shared" si="199"/>
        <v>12.5</v>
      </c>
      <c r="F189" s="6">
        <f t="shared" si="200"/>
        <v>-3.5</v>
      </c>
      <c r="G189" s="6">
        <f t="shared" si="201"/>
        <v>0.5</v>
      </c>
      <c r="H189" s="6">
        <f t="shared" si="202"/>
        <v>-3.5197163866670409</v>
      </c>
      <c r="I189" s="6">
        <f t="shared" si="203"/>
        <v>0.33406070919446773</v>
      </c>
      <c r="J189" s="6">
        <f t="shared" si="208"/>
        <v>0</v>
      </c>
      <c r="K189" s="6">
        <f t="shared" ca="1" si="204"/>
        <v>0</v>
      </c>
      <c r="L189" s="6">
        <f t="shared" ca="1" si="209"/>
        <v>0</v>
      </c>
      <c r="M189" s="6">
        <f t="shared" ca="1" si="210"/>
        <v>0</v>
      </c>
      <c r="N189" s="6">
        <f t="shared" ca="1" si="205"/>
        <v>0</v>
      </c>
      <c r="O189" s="6">
        <f t="shared" ca="1" si="206"/>
        <v>0</v>
      </c>
      <c r="P189" s="6">
        <f t="shared" ca="1" si="207"/>
        <v>0</v>
      </c>
      <c r="BC189">
        <v>3.2637657012293841</v>
      </c>
      <c r="BD189">
        <v>-22.423583226938785</v>
      </c>
      <c r="BE189">
        <v>-17.258762581314492</v>
      </c>
      <c r="BF189" s="6">
        <f t="shared" si="171"/>
        <v>3.7975642610487332</v>
      </c>
      <c r="BG189" s="6">
        <f t="shared" si="172"/>
        <v>0.53379855981934909</v>
      </c>
      <c r="BH189" s="6">
        <f t="shared" si="173"/>
        <v>2.1941642516529862</v>
      </c>
      <c r="BI189" s="6">
        <f t="shared" si="174"/>
        <v>2.1941642516529862</v>
      </c>
      <c r="BJ189">
        <v>-34.497820349136589</v>
      </c>
      <c r="BK189">
        <v>-26.551942432791527</v>
      </c>
      <c r="BV189" s="37"/>
      <c r="BW189" s="6">
        <f t="shared" si="112"/>
        <v>3.0368728984701239</v>
      </c>
      <c r="BX189" s="9">
        <f t="shared" ca="1" si="113"/>
        <v>-180.73017822278803</v>
      </c>
      <c r="BY189" s="9">
        <f t="shared" ca="1" si="114"/>
        <v>-21.378074467344462</v>
      </c>
      <c r="BZ189" s="9">
        <f t="shared" ca="1" si="115"/>
        <v>-22.276518711944988</v>
      </c>
      <c r="CA189" s="6">
        <f t="shared" ca="1" si="116"/>
        <v>-6.1124083511257314</v>
      </c>
      <c r="CB189" s="6">
        <f t="shared" ca="1" si="117"/>
        <v>-2.8737955476593879</v>
      </c>
      <c r="CC189" s="6">
        <f t="shared" ca="1" si="118"/>
        <v>-4.6072442275104404</v>
      </c>
      <c r="CD189" s="9">
        <f t="shared" si="119"/>
        <v>-122.27651871194497</v>
      </c>
      <c r="CE189" s="9">
        <f t="shared" si="120"/>
        <v>23.88759164887427</v>
      </c>
      <c r="CF189" s="6">
        <f t="shared" si="121"/>
        <v>2.948665336769154</v>
      </c>
      <c r="CG189" s="6"/>
      <c r="CH189" s="6"/>
      <c r="CI189" s="6"/>
      <c r="CJ189" s="1"/>
      <c r="CK189" s="6"/>
    </row>
    <row r="190" spans="1:89" x14ac:dyDescent="0.25">
      <c r="A190">
        <f t="shared" si="199"/>
        <v>6</v>
      </c>
      <c r="B190">
        <f t="shared" si="199"/>
        <v>0</v>
      </c>
      <c r="C190" s="6">
        <f t="shared" ca="1" si="199"/>
        <v>0</v>
      </c>
      <c r="D190" s="6">
        <f t="shared" si="199"/>
        <v>2.5</v>
      </c>
      <c r="E190" s="6">
        <f t="shared" si="199"/>
        <v>17.5</v>
      </c>
      <c r="F190" s="6">
        <f t="shared" si="200"/>
        <v>-3.5</v>
      </c>
      <c r="G190" s="6">
        <f t="shared" si="201"/>
        <v>5.5</v>
      </c>
      <c r="H190" s="6">
        <f t="shared" si="202"/>
        <v>-3.7559746711281941</v>
      </c>
      <c r="I190" s="6">
        <f t="shared" si="203"/>
        <v>5.3284757923672181</v>
      </c>
      <c r="J190" s="6">
        <f t="shared" si="208"/>
        <v>0</v>
      </c>
      <c r="K190" s="6">
        <f t="shared" ca="1" si="204"/>
        <v>0</v>
      </c>
      <c r="L190" s="6">
        <f t="shared" ca="1" si="209"/>
        <v>0</v>
      </c>
      <c r="M190" s="6">
        <f t="shared" ca="1" si="210"/>
        <v>0</v>
      </c>
      <c r="N190" s="6">
        <f t="shared" ca="1" si="205"/>
        <v>0</v>
      </c>
      <c r="O190" s="6">
        <f t="shared" ca="1" si="206"/>
        <v>0</v>
      </c>
      <c r="P190" s="6">
        <f t="shared" ca="1" si="207"/>
        <v>0</v>
      </c>
      <c r="BC190">
        <v>3.2812189937493272</v>
      </c>
      <c r="BD190">
        <v>-22.152471897368063</v>
      </c>
      <c r="BE190">
        <v>-17.864068423764376</v>
      </c>
      <c r="BF190" s="6">
        <f t="shared" si="171"/>
        <v>3.8202324886816568</v>
      </c>
      <c r="BG190" s="6">
        <f t="shared" si="172"/>
        <v>0.53901349493232953</v>
      </c>
      <c r="BH190" s="6">
        <f t="shared" si="173"/>
        <v>2.1714960240200627</v>
      </c>
      <c r="BI190" s="6">
        <f t="shared" si="174"/>
        <v>2.1714960240200627</v>
      </c>
      <c r="BJ190">
        <v>-34.080725995950864</v>
      </c>
      <c r="BK190">
        <v>-27.483182190406733</v>
      </c>
      <c r="BV190" s="37"/>
      <c r="BW190" s="6">
        <f t="shared" si="112"/>
        <v>3.054326190990067</v>
      </c>
      <c r="BX190" s="9">
        <f t="shared" ca="1" si="113"/>
        <v>-181.13699553234221</v>
      </c>
      <c r="BY190" s="9">
        <f t="shared" ca="1" si="114"/>
        <v>-22.495237408422366</v>
      </c>
      <c r="BZ190" s="9">
        <f t="shared" ca="1" si="115"/>
        <v>-22.683336021499173</v>
      </c>
      <c r="CA190" s="6">
        <f t="shared" ca="1" si="116"/>
        <v>-7.2295712922036355</v>
      </c>
      <c r="CB190" s="6">
        <f t="shared" ca="1" si="117"/>
        <v>-2.8330537069547255</v>
      </c>
      <c r="CC190" s="6">
        <f t="shared" ca="1" si="118"/>
        <v>-4.9205395910282972</v>
      </c>
      <c r="CD190" s="9">
        <f t="shared" si="119"/>
        <v>-122.68333602149916</v>
      </c>
      <c r="CE190" s="9">
        <f t="shared" si="120"/>
        <v>22.770428707796366</v>
      </c>
      <c r="CF190" s="6">
        <f t="shared" si="121"/>
        <v>2.9580776411220313</v>
      </c>
      <c r="CG190" s="6"/>
      <c r="CH190" s="6"/>
      <c r="CI190" s="6"/>
      <c r="CJ190" s="1"/>
      <c r="CK190" s="6"/>
    </row>
    <row r="191" spans="1:89" x14ac:dyDescent="0.25">
      <c r="A191">
        <f t="shared" si="199"/>
        <v>7</v>
      </c>
      <c r="B191">
        <f t="shared" si="199"/>
        <v>0</v>
      </c>
      <c r="C191" s="6">
        <f t="shared" ca="1" si="199"/>
        <v>0</v>
      </c>
      <c r="D191" s="6">
        <f t="shared" si="199"/>
        <v>8</v>
      </c>
      <c r="E191" s="6">
        <f t="shared" si="199"/>
        <v>17.5</v>
      </c>
      <c r="F191" s="6">
        <f t="shared" si="200"/>
        <v>2</v>
      </c>
      <c r="G191" s="6">
        <f t="shared" si="201"/>
        <v>5.5</v>
      </c>
      <c r="H191" s="6">
        <f t="shared" si="202"/>
        <v>1.7378819203618316</v>
      </c>
      <c r="I191" s="6">
        <f t="shared" si="203"/>
        <v>5.588359905274487</v>
      </c>
      <c r="J191" s="6">
        <f t="shared" si="208"/>
        <v>0</v>
      </c>
      <c r="K191" s="6">
        <f t="shared" ca="1" si="204"/>
        <v>0</v>
      </c>
      <c r="L191" s="6">
        <f t="shared" ca="1" si="209"/>
        <v>0</v>
      </c>
      <c r="M191" s="6">
        <f t="shared" ca="1" si="210"/>
        <v>0</v>
      </c>
      <c r="N191" s="6">
        <f t="shared" ca="1" si="205"/>
        <v>0</v>
      </c>
      <c r="O191" s="6">
        <f t="shared" ca="1" si="206"/>
        <v>0</v>
      </c>
      <c r="P191" s="6">
        <f t="shared" ca="1" si="207"/>
        <v>0</v>
      </c>
      <c r="BC191">
        <v>3.2986722862692703</v>
      </c>
      <c r="BD191">
        <v>-21.88275381545402</v>
      </c>
      <c r="BE191">
        <v>-18.468924028399563</v>
      </c>
      <c r="BF191" s="6">
        <f t="shared" si="171"/>
        <v>3.8425898712122999</v>
      </c>
      <c r="BG191" s="6">
        <f t="shared" si="172"/>
        <v>0.54391758494302955</v>
      </c>
      <c r="BH191" s="6">
        <f t="shared" si="173"/>
        <v>2.1491386414894196</v>
      </c>
      <c r="BI191" s="6">
        <f t="shared" si="174"/>
        <v>2.1491386414894196</v>
      </c>
      <c r="BJ191">
        <v>-33.66577510069849</v>
      </c>
      <c r="BK191">
        <v>-28.413729274460866</v>
      </c>
      <c r="BV191" s="37"/>
      <c r="BW191" s="6">
        <f t="shared" si="112"/>
        <v>3.0717794835100101</v>
      </c>
      <c r="BX191" s="9">
        <f t="shared" ca="1" si="113"/>
        <v>-181.53165446666719</v>
      </c>
      <c r="BY191" s="9">
        <f t="shared" ca="1" si="114"/>
        <v>-23.618626500515443</v>
      </c>
      <c r="BZ191" s="9">
        <f t="shared" ca="1" si="115"/>
        <v>-23.077994955824153</v>
      </c>
      <c r="CA191" s="6">
        <f t="shared" ca="1" si="116"/>
        <v>-8.3529603842967131</v>
      </c>
      <c r="CB191" s="6">
        <f t="shared" ca="1" si="117"/>
        <v>-2.7943164653225132</v>
      </c>
      <c r="CC191" s="6">
        <f t="shared" ca="1" si="118"/>
        <v>-5.2137622293661874</v>
      </c>
      <c r="CD191" s="9">
        <f t="shared" si="119"/>
        <v>-123.07799495582414</v>
      </c>
      <c r="CE191" s="9">
        <f t="shared" si="120"/>
        <v>21.647039615703285</v>
      </c>
      <c r="CF191" s="6">
        <f t="shared" si="121"/>
        <v>2.967492618920454</v>
      </c>
      <c r="CG191" s="6"/>
      <c r="CH191" s="6"/>
      <c r="CI191" s="6"/>
      <c r="CJ191" s="1"/>
      <c r="CK191" s="6"/>
    </row>
    <row r="192" spans="1:89" x14ac:dyDescent="0.25">
      <c r="A192">
        <f t="shared" si="199"/>
        <v>8</v>
      </c>
      <c r="B192">
        <f t="shared" si="199"/>
        <v>0</v>
      </c>
      <c r="C192" s="6">
        <f t="shared" ca="1" si="199"/>
        <v>0</v>
      </c>
      <c r="D192" s="6">
        <f t="shared" si="199"/>
        <v>13.5</v>
      </c>
      <c r="E192" s="6">
        <f t="shared" si="199"/>
        <v>7.5</v>
      </c>
      <c r="F192" s="6">
        <f t="shared" si="200"/>
        <v>7.5</v>
      </c>
      <c r="G192" s="6">
        <f t="shared" si="201"/>
        <v>-4.5</v>
      </c>
      <c r="H192" s="6">
        <f t="shared" si="202"/>
        <v>7.7042550807741641</v>
      </c>
      <c r="I192" s="6">
        <f t="shared" si="203"/>
        <v>-4.140586148163746</v>
      </c>
      <c r="J192" s="6">
        <f t="shared" si="208"/>
        <v>0</v>
      </c>
      <c r="K192" s="6">
        <f t="shared" ca="1" si="204"/>
        <v>0</v>
      </c>
      <c r="L192" s="6">
        <f t="shared" ca="1" si="209"/>
        <v>0</v>
      </c>
      <c r="M192" s="6">
        <f t="shared" ca="1" si="210"/>
        <v>0</v>
      </c>
      <c r="N192" s="6">
        <f t="shared" ca="1" si="205"/>
        <v>0</v>
      </c>
      <c r="O192" s="6">
        <f t="shared" ca="1" si="206"/>
        <v>0</v>
      </c>
      <c r="P192" s="6">
        <f t="shared" ca="1" si="207"/>
        <v>0</v>
      </c>
      <c r="BC192">
        <v>3.3161255787892134</v>
      </c>
      <c r="BD192">
        <v>-21.612909925419515</v>
      </c>
      <c r="BE192">
        <v>-19.074101815618029</v>
      </c>
      <c r="BF192" s="6">
        <f t="shared" si="171"/>
        <v>3.8646731222932305</v>
      </c>
      <c r="BG192" s="6">
        <f t="shared" si="172"/>
        <v>0.54854754350401702</v>
      </c>
      <c r="BH192" s="6">
        <f t="shared" si="173"/>
        <v>2.127055390408489</v>
      </c>
      <c r="BI192" s="6">
        <f t="shared" si="174"/>
        <v>2.127055390408489</v>
      </c>
      <c r="BJ192">
        <v>-33.250630654491559</v>
      </c>
      <c r="BK192">
        <v>-29.344772024027737</v>
      </c>
      <c r="BV192" s="37"/>
      <c r="BW192" s="6">
        <f t="shared" si="112"/>
        <v>3.0892327760299532</v>
      </c>
      <c r="BX192" s="9">
        <f t="shared" ca="1" si="113"/>
        <v>-181.98228705471891</v>
      </c>
      <c r="BY192" s="9">
        <f t="shared" ca="1" si="114"/>
        <v>-24.797698815453753</v>
      </c>
      <c r="BZ192" s="9">
        <f t="shared" ca="1" si="115"/>
        <v>-23.528627543875871</v>
      </c>
      <c r="CA192" s="6">
        <f t="shared" ca="1" si="116"/>
        <v>-9.5320326992350228</v>
      </c>
      <c r="CB192" s="6">
        <f t="shared" ca="1" si="117"/>
        <v>-2.7566760882367212</v>
      </c>
      <c r="CC192" s="6">
        <f t="shared" ca="1" si="118"/>
        <v>-5.4911883268264852</v>
      </c>
      <c r="CD192" s="9">
        <f t="shared" si="119"/>
        <v>-123.52862754387587</v>
      </c>
      <c r="CE192" s="9">
        <f t="shared" si="120"/>
        <v>20.467967300764975</v>
      </c>
      <c r="CF192" s="6">
        <f t="shared" si="121"/>
        <v>2.9773903862602169</v>
      </c>
      <c r="CG192" s="6"/>
      <c r="CH192" s="6"/>
      <c r="CI192" s="6"/>
      <c r="CJ192" s="1"/>
      <c r="CK192" s="6"/>
    </row>
    <row r="193" spans="1:89" x14ac:dyDescent="0.25">
      <c r="A193">
        <f t="shared" si="199"/>
        <v>9</v>
      </c>
      <c r="B193">
        <f t="shared" si="199"/>
        <v>0</v>
      </c>
      <c r="C193" s="6">
        <f t="shared" ca="1" si="199"/>
        <v>0</v>
      </c>
      <c r="D193" s="6">
        <f t="shared" si="199"/>
        <v>13.5</v>
      </c>
      <c r="E193" s="6">
        <f t="shared" si="199"/>
        <v>12.5</v>
      </c>
      <c r="F193" s="6">
        <f t="shared" si="200"/>
        <v>7.5</v>
      </c>
      <c r="G193" s="6">
        <f t="shared" si="201"/>
        <v>0.5</v>
      </c>
      <c r="H193" s="6">
        <f t="shared" si="202"/>
        <v>7.4679967963130105</v>
      </c>
      <c r="I193" s="6">
        <f t="shared" si="203"/>
        <v>0.85382893500900514</v>
      </c>
      <c r="J193" s="6">
        <f t="shared" si="208"/>
        <v>0</v>
      </c>
      <c r="K193" s="6">
        <f t="shared" ca="1" si="204"/>
        <v>0</v>
      </c>
      <c r="L193" s="6">
        <f t="shared" ca="1" si="209"/>
        <v>0</v>
      </c>
      <c r="M193" s="6">
        <f t="shared" ca="1" si="210"/>
        <v>0</v>
      </c>
      <c r="N193" s="6">
        <f t="shared" ca="1" si="205"/>
        <v>0</v>
      </c>
      <c r="O193" s="6">
        <f t="shared" ca="1" si="206"/>
        <v>0</v>
      </c>
      <c r="P193" s="6">
        <f t="shared" ca="1" si="207"/>
        <v>0</v>
      </c>
      <c r="BC193">
        <v>3.3335788713091565</v>
      </c>
      <c r="BD193">
        <v>-21.341565842311422</v>
      </c>
      <c r="BE193">
        <v>-19.680326335925901</v>
      </c>
      <c r="BF193" s="6">
        <f t="shared" si="171"/>
        <v>3.8865165192669506</v>
      </c>
      <c r="BG193" s="6">
        <f t="shared" si="172"/>
        <v>0.5529376479577941</v>
      </c>
      <c r="BH193" s="6">
        <f t="shared" si="173"/>
        <v>2.1052119934347688</v>
      </c>
      <c r="BI193" s="6">
        <f t="shared" si="174"/>
        <v>2.1052119934347688</v>
      </c>
      <c r="BJ193">
        <v>-32.833178218940645</v>
      </c>
      <c r="BK193">
        <v>-30.277425132193692</v>
      </c>
      <c r="BV193" s="37"/>
      <c r="BW193" s="6">
        <f t="shared" si="112"/>
        <v>3.1066860685498963</v>
      </c>
      <c r="BX193" s="9">
        <f t="shared" ca="1" si="113"/>
        <v>-182.43686094785224</v>
      </c>
      <c r="BY193" s="9">
        <f t="shared" ca="1" si="114"/>
        <v>-26.016190134205459</v>
      </c>
      <c r="BZ193" s="9">
        <f t="shared" ca="1" si="115"/>
        <v>-23.9832014370092</v>
      </c>
      <c r="CA193" s="6">
        <f t="shared" ca="1" si="116"/>
        <v>-10.750524017986729</v>
      </c>
      <c r="CB193" s="6">
        <f t="shared" ca="1" si="117"/>
        <v>-2.720193107609608</v>
      </c>
      <c r="CC193" s="6">
        <f t="shared" ca="1" si="118"/>
        <v>-5.7542850853470568</v>
      </c>
      <c r="CD193" s="9">
        <f t="shared" si="119"/>
        <v>-123.9832014370092</v>
      </c>
      <c r="CE193" s="9">
        <f t="shared" si="120"/>
        <v>19.249475982013269</v>
      </c>
      <c r="CF193" s="6">
        <f t="shared" si="121"/>
        <v>2.9875636910352728</v>
      </c>
      <c r="CG193" s="6"/>
      <c r="CH193" s="6"/>
      <c r="CI193" s="6"/>
      <c r="CJ193" s="1"/>
      <c r="CK193" s="6"/>
    </row>
    <row r="194" spans="1:89" ht="15.75" thickBot="1" x14ac:dyDescent="0.3">
      <c r="A194">
        <f t="shared" si="199"/>
        <v>10</v>
      </c>
      <c r="B194">
        <f t="shared" si="199"/>
        <v>0</v>
      </c>
      <c r="C194" s="6">
        <f t="shared" ca="1" si="199"/>
        <v>0</v>
      </c>
      <c r="D194" s="6">
        <f t="shared" si="199"/>
        <v>13.5</v>
      </c>
      <c r="E194" s="6">
        <f t="shared" si="199"/>
        <v>17.5</v>
      </c>
      <c r="F194" s="6">
        <f t="shared" si="200"/>
        <v>7.5</v>
      </c>
      <c r="G194" s="6">
        <f t="shared" si="201"/>
        <v>5.5</v>
      </c>
      <c r="H194" s="6">
        <f t="shared" si="202"/>
        <v>7.2317385118518569</v>
      </c>
      <c r="I194" s="6">
        <f t="shared" si="203"/>
        <v>5.8482440181817559</v>
      </c>
      <c r="J194" s="6">
        <f t="shared" si="208"/>
        <v>0</v>
      </c>
      <c r="K194" s="11">
        <f t="shared" ca="1" si="204"/>
        <v>0</v>
      </c>
      <c r="L194" s="6">
        <f t="shared" ca="1" si="209"/>
        <v>0</v>
      </c>
      <c r="M194" s="6">
        <f t="shared" ca="1" si="210"/>
        <v>0</v>
      </c>
      <c r="N194" s="11">
        <f t="shared" ca="1" si="205"/>
        <v>0</v>
      </c>
      <c r="O194" s="11">
        <f t="shared" ca="1" si="206"/>
        <v>0</v>
      </c>
      <c r="P194" s="11">
        <f t="shared" ca="1" si="207"/>
        <v>0</v>
      </c>
      <c r="BC194">
        <v>3.3510321638290996</v>
      </c>
      <c r="BD194">
        <v>-21.06746178097465</v>
      </c>
      <c r="BE194">
        <v>-20.288284744961647</v>
      </c>
      <c r="BF194" s="6">
        <f t="shared" si="171"/>
        <v>3.9081522050801714</v>
      </c>
      <c r="BG194" s="6">
        <f t="shared" si="172"/>
        <v>0.55712004125107173</v>
      </c>
      <c r="BH194" s="6">
        <f t="shared" si="173"/>
        <v>2.0835763076215477</v>
      </c>
      <c r="BI194" s="6">
        <f t="shared" si="174"/>
        <v>2.0835763076215477</v>
      </c>
      <c r="BJ194">
        <v>-32.411479663037923</v>
      </c>
      <c r="BK194">
        <v>-31.212745761479457</v>
      </c>
      <c r="BV194" s="37"/>
      <c r="BW194" s="6">
        <f t="shared" si="112"/>
        <v>3.1241393610698394</v>
      </c>
      <c r="BX194" s="9">
        <f t="shared" ca="1" si="113"/>
        <v>-182.81751410028045</v>
      </c>
      <c r="BY194" s="9">
        <f t="shared" ca="1" si="114"/>
        <v>-27.257375768609798</v>
      </c>
      <c r="BZ194" s="9">
        <f t="shared" ca="1" si="115"/>
        <v>-24.363854589437409</v>
      </c>
      <c r="CA194" s="6">
        <f t="shared" ca="1" si="116"/>
        <v>-11.991709652391068</v>
      </c>
      <c r="CB194" s="6">
        <f t="shared" ca="1" si="117"/>
        <v>-2.6842104258124717</v>
      </c>
      <c r="CC194" s="6">
        <f t="shared" ca="1" si="118"/>
        <v>-6.0118594575215329</v>
      </c>
      <c r="CD194" s="9">
        <f t="shared" si="119"/>
        <v>-124.36385458943739</v>
      </c>
      <c r="CE194" s="9">
        <f t="shared" si="120"/>
        <v>18.008290347608934</v>
      </c>
      <c r="CF194" s="6">
        <f t="shared" si="121"/>
        <v>2.997788935614961</v>
      </c>
      <c r="CG194" s="6"/>
      <c r="CH194" s="6"/>
      <c r="CI194" s="6"/>
      <c r="CJ194" s="1"/>
      <c r="CK194" s="6"/>
    </row>
    <row r="195" spans="1:89" ht="15.75" thickTop="1" x14ac:dyDescent="0.25">
      <c r="K195" s="13">
        <f ca="1">MIN(K185:K194)</f>
        <v>-2.3160704995972399E-2</v>
      </c>
      <c r="N195" s="6">
        <f ca="1">SUM(N185:N194)</f>
        <v>-189.60000000000002</v>
      </c>
      <c r="O195" s="6">
        <f ca="1">SUM(O185:O194)</f>
        <v>1731.3707220254971</v>
      </c>
      <c r="P195" s="6">
        <f ca="1">SUM(P185:P194)</f>
        <v>-487.53443254082981</v>
      </c>
      <c r="BC195">
        <v>3.3684854563490427</v>
      </c>
      <c r="BD195">
        <v>-20.789427764453901</v>
      </c>
      <c r="BE195">
        <v>-20.898635518806422</v>
      </c>
      <c r="BF195" s="6">
        <f t="shared" ref="BF195:BF258" si="211">IF(BC195&lt;&gt;"",IF(AND(BD195=0,BE195=0),0,MOD(ATAN2(BD195,BE195),2*PI())),NA())</f>
        <v>3.929610451864451</v>
      </c>
      <c r="BG195" s="6">
        <f t="shared" ref="BG195:BG258" si="212">ABS(BC195-BF195)</f>
        <v>0.56112499551540829</v>
      </c>
      <c r="BH195" s="6">
        <f t="shared" ref="BH195:BH258" si="213">ATAN2(COS($U$13-BF195),SIN($U$13-BF195))</f>
        <v>2.0621180608372685</v>
      </c>
      <c r="BI195" s="6">
        <f t="shared" ref="BI195:BI258" si="214">ABS(BH195)</f>
        <v>2.0621180608372685</v>
      </c>
      <c r="BJ195">
        <v>-31.983735022236768</v>
      </c>
      <c r="BK195">
        <v>-32.15174695200988</v>
      </c>
      <c r="BV195" s="37"/>
      <c r="BW195" s="6">
        <f t="shared" si="112"/>
        <v>3.1415926535897825</v>
      </c>
      <c r="BX195" s="9">
        <f t="shared" ca="1" si="113"/>
        <v>-183.08125914755612</v>
      </c>
      <c r="BY195" s="9">
        <f t="shared" ca="1" si="114"/>
        <v>-28.386146868910608</v>
      </c>
      <c r="BZ195" s="9">
        <f t="shared" ca="1" si="115"/>
        <v>-24.627599636713086</v>
      </c>
      <c r="CA195" s="6">
        <f t="shared" ca="1" si="116"/>
        <v>-13.120480752691877</v>
      </c>
      <c r="CB195" s="6">
        <f t="shared" ca="1" si="117"/>
        <v>-2.6520855713622953</v>
      </c>
      <c r="CC195" s="6">
        <f t="shared" ca="1" si="118"/>
        <v>-6.2412757186511261</v>
      </c>
      <c r="CD195" s="9">
        <f t="shared" si="119"/>
        <v>-124.6275996367131</v>
      </c>
      <c r="CE195" s="9">
        <f t="shared" si="120"/>
        <v>16.879519247308121</v>
      </c>
      <c r="CF195" s="6">
        <f t="shared" si="121"/>
        <v>3.0069721639521787</v>
      </c>
      <c r="CG195" s="6"/>
      <c r="CH195" s="6"/>
      <c r="CI195" s="6"/>
      <c r="CJ195" s="1"/>
      <c r="CK195" s="6"/>
    </row>
    <row r="196" spans="1:89" x14ac:dyDescent="0.25">
      <c r="A196" t="s">
        <v>190</v>
      </c>
      <c r="B196" s="9">
        <f ca="1">N195</f>
        <v>-189.60000000000002</v>
      </c>
      <c r="C196" t="s">
        <v>68</v>
      </c>
      <c r="O196" s="6">
        <f ca="1">O195/N195</f>
        <v>-9.1317021203876418</v>
      </c>
      <c r="P196" s="6">
        <f ca="1">-1*P195/N195</f>
        <v>-2.5713841378735744</v>
      </c>
      <c r="S196">
        <f ca="1">(P196*COS(-1*$B$27))+(O196*SIN(-1*$B$27))+$I$2</f>
        <v>3</v>
      </c>
      <c r="T196">
        <f ca="1">(-1*P196*SIN(-1*$B$27))+(O196*COS(-1*$B$27))+$I$3</f>
        <v>3</v>
      </c>
      <c r="BC196">
        <v>3.3859387488689858</v>
      </c>
      <c r="BD196">
        <v>-20.506362916072277</v>
      </c>
      <c r="BE196">
        <v>-21.512015808831258</v>
      </c>
      <c r="BF196" s="6">
        <f t="shared" si="211"/>
        <v>3.9509198920756923</v>
      </c>
      <c r="BG196" s="6">
        <f t="shared" si="212"/>
        <v>0.56498114320670645</v>
      </c>
      <c r="BH196" s="6">
        <f t="shared" si="213"/>
        <v>2.0408086206260272</v>
      </c>
      <c r="BI196" s="6">
        <f t="shared" si="214"/>
        <v>2.0408086206260272</v>
      </c>
      <c r="BJ196">
        <v>-31.548250640111196</v>
      </c>
      <c r="BK196">
        <v>-33.095408936663475</v>
      </c>
      <c r="BV196" s="37"/>
      <c r="BW196" s="6">
        <f t="shared" si="112"/>
        <v>3.1590459461097256</v>
      </c>
      <c r="BX196" s="9">
        <f t="shared" ca="1" si="113"/>
        <v>-182.82266734865186</v>
      </c>
      <c r="BY196" s="9">
        <f t="shared" ca="1" si="114"/>
        <v>-28.971723657762467</v>
      </c>
      <c r="BZ196" s="9">
        <f t="shared" ca="1" si="115"/>
        <v>-24.369007837808823</v>
      </c>
      <c r="CA196" s="6">
        <f t="shared" ca="1" si="116"/>
        <v>-13.706057541543737</v>
      </c>
      <c r="CB196" s="6">
        <f t="shared" ca="1" si="117"/>
        <v>-2.6292502453372681</v>
      </c>
      <c r="CC196" s="6">
        <f t="shared" ca="1" si="118"/>
        <v>-6.4261333424073825</v>
      </c>
      <c r="CD196" s="9">
        <f t="shared" si="119"/>
        <v>-124.36900783780884</v>
      </c>
      <c r="CE196" s="9">
        <f t="shared" si="120"/>
        <v>16.293942458456261</v>
      </c>
      <c r="CF196" s="6">
        <f t="shared" si="121"/>
        <v>3.01132172760158</v>
      </c>
      <c r="CG196" s="6"/>
      <c r="CH196" s="6"/>
      <c r="CI196" s="6"/>
      <c r="CJ196" s="1"/>
      <c r="CK196" s="6"/>
    </row>
    <row r="197" spans="1:89" x14ac:dyDescent="0.25">
      <c r="A197" t="s">
        <v>100</v>
      </c>
      <c r="B197" s="9">
        <f ca="1">O195</f>
        <v>1731.3707220254971</v>
      </c>
      <c r="C197" t="s">
        <v>69</v>
      </c>
      <c r="BC197">
        <v>3.4033920413889289</v>
      </c>
      <c r="BD197">
        <v>-20.217217919586094</v>
      </c>
      <c r="BE197">
        <v>-22.129047741880175</v>
      </c>
      <c r="BF197" s="6">
        <f t="shared" si="211"/>
        <v>3.9721077220429053</v>
      </c>
      <c r="BG197" s="6">
        <f t="shared" si="212"/>
        <v>0.56871568065397637</v>
      </c>
      <c r="BH197" s="6">
        <f t="shared" si="213"/>
        <v>2.0196207906588137</v>
      </c>
      <c r="BI197" s="6">
        <f t="shared" si="214"/>
        <v>2.0196207906588137</v>
      </c>
      <c r="BJ197">
        <v>-31.103412183978605</v>
      </c>
      <c r="BK197">
        <v>-34.044688833661809</v>
      </c>
      <c r="BV197" s="37"/>
      <c r="BW197" s="6">
        <f t="shared" si="112"/>
        <v>3.1764992386296687</v>
      </c>
      <c r="BX197" s="9">
        <f t="shared" ca="1" si="113"/>
        <v>-182.46726027360333</v>
      </c>
      <c r="BY197" s="9">
        <f t="shared" ca="1" si="114"/>
        <v>-29.601451490867863</v>
      </c>
      <c r="BZ197" s="9">
        <f t="shared" ca="1" si="115"/>
        <v>-24.013600762760291</v>
      </c>
      <c r="CA197" s="6">
        <f t="shared" ca="1" si="116"/>
        <v>-14.335785374649133</v>
      </c>
      <c r="CB197" s="6">
        <f t="shared" ca="1" si="117"/>
        <v>-2.6033922183035507</v>
      </c>
      <c r="CC197" s="6">
        <f t="shared" ca="1" si="118"/>
        <v>-6.6384551747380645</v>
      </c>
      <c r="CD197" s="9">
        <f t="shared" si="119"/>
        <v>-124.0136007627603</v>
      </c>
      <c r="CE197" s="9">
        <f t="shared" si="120"/>
        <v>15.664214625350867</v>
      </c>
      <c r="CF197" s="6">
        <f t="shared" si="121"/>
        <v>3.0159475714022297</v>
      </c>
      <c r="CG197" s="6"/>
      <c r="CH197" s="6"/>
      <c r="CI197" s="6"/>
      <c r="CJ197" s="1"/>
      <c r="CK197" s="6"/>
    </row>
    <row r="198" spans="1:89" x14ac:dyDescent="0.25">
      <c r="A198" t="s">
        <v>101</v>
      </c>
      <c r="B198" s="9">
        <f ca="1">P195</f>
        <v>-487.53443254082981</v>
      </c>
      <c r="C198" t="s">
        <v>69</v>
      </c>
      <c r="S198" t="str">
        <f ca="1">"Ts = "&amp;ROUND(N195,4)&amp;" "&amp;V10&amp;CHAR(10)&amp;" @ ( "&amp;ROUND(S196,4)&amp;" , "&amp;ROUND(T196,4)&amp;" )"</f>
        <v>Ts = -189.6 kips
 @ ( 3 , 3 )</v>
      </c>
      <c r="BC198">
        <v>3.420845333908872</v>
      </c>
      <c r="BD198">
        <v>-19.920979937887157</v>
      </c>
      <c r="BE198">
        <v>-22.750343902810211</v>
      </c>
      <c r="BF198" s="6">
        <f t="shared" si="211"/>
        <v>3.9931998819351611</v>
      </c>
      <c r="BG198" s="6">
        <f t="shared" si="212"/>
        <v>0.57235454802628905</v>
      </c>
      <c r="BH198" s="6">
        <f t="shared" si="213"/>
        <v>1.9985286307665584</v>
      </c>
      <c r="BI198" s="6">
        <f t="shared" si="214"/>
        <v>1.9985286307665584</v>
      </c>
      <c r="BJ198">
        <v>-30.647661442903317</v>
      </c>
      <c r="BK198">
        <v>-35.000529081246476</v>
      </c>
      <c r="BV198" s="37"/>
      <c r="BW198" s="6">
        <f t="shared" si="112"/>
        <v>3.1939525311496118</v>
      </c>
      <c r="BX198" s="9">
        <f t="shared" ca="1" si="113"/>
        <v>-182.07329434795139</v>
      </c>
      <c r="BY198" s="9">
        <f t="shared" ca="1" si="114"/>
        <v>-30.143339493117011</v>
      </c>
      <c r="BZ198" s="9">
        <f t="shared" ca="1" si="115"/>
        <v>-23.61963483710835</v>
      </c>
      <c r="CA198" s="6">
        <f t="shared" ca="1" si="116"/>
        <v>-14.877673376898281</v>
      </c>
      <c r="CB198" s="6">
        <f t="shared" ca="1" si="117"/>
        <v>-2.5794876423511006</v>
      </c>
      <c r="CC198" s="6">
        <f t="shared" ca="1" si="118"/>
        <v>-6.8382972002543632</v>
      </c>
      <c r="CD198" s="9">
        <f t="shared" si="119"/>
        <v>-123.61963483710836</v>
      </c>
      <c r="CE198" s="9">
        <f t="shared" si="120"/>
        <v>15.122326623101719</v>
      </c>
      <c r="CF198" s="6">
        <f t="shared" si="121"/>
        <v>3.0198679448030497</v>
      </c>
      <c r="CG198" s="6"/>
      <c r="CH198" s="6"/>
      <c r="CI198" s="6"/>
      <c r="CJ198" s="1"/>
      <c r="CK198" s="6"/>
    </row>
    <row r="199" spans="1:89" x14ac:dyDescent="0.25">
      <c r="BC199">
        <v>3.4382986264288151</v>
      </c>
      <c r="BD199">
        <v>-19.619949773207725</v>
      </c>
      <c r="BE199">
        <v>-23.371734335687787</v>
      </c>
      <c r="BF199" s="6">
        <f t="shared" si="211"/>
        <v>4.0140379711905956</v>
      </c>
      <c r="BG199" s="6">
        <f t="shared" si="212"/>
        <v>0.57573934476178046</v>
      </c>
      <c r="BH199" s="6">
        <f t="shared" si="213"/>
        <v>1.9776905415111239</v>
      </c>
      <c r="BI199" s="6">
        <f t="shared" si="214"/>
        <v>1.9776905415111239</v>
      </c>
      <c r="BJ199">
        <v>-30.184538112627269</v>
      </c>
      <c r="BK199">
        <v>-35.956514362596593</v>
      </c>
      <c r="BV199" s="37"/>
      <c r="BW199" s="6">
        <f t="shared" si="112"/>
        <v>3.2114058236695548</v>
      </c>
      <c r="BX199" s="9">
        <f t="shared" ca="1" si="113"/>
        <v>-181.71713804560491</v>
      </c>
      <c r="BY199" s="9">
        <f t="shared" ca="1" si="114"/>
        <v>-30.69707758472774</v>
      </c>
      <c r="BZ199" s="9">
        <f t="shared" ca="1" si="115"/>
        <v>-23.263478534761873</v>
      </c>
      <c r="CA199" s="6">
        <f t="shared" ca="1" si="116"/>
        <v>-15.43141146850901</v>
      </c>
      <c r="CB199" s="6">
        <f t="shared" ca="1" si="117"/>
        <v>-2.5559021684243413</v>
      </c>
      <c r="CC199" s="6">
        <f t="shared" ca="1" si="118"/>
        <v>-7.0333534905427459</v>
      </c>
      <c r="CD199" s="9">
        <f t="shared" si="119"/>
        <v>-123.26347853476187</v>
      </c>
      <c r="CE199" s="9">
        <f t="shared" si="120"/>
        <v>14.56858853149099</v>
      </c>
      <c r="CF199" s="6">
        <f t="shared" si="121"/>
        <v>3.0239477897009706</v>
      </c>
      <c r="CG199" s="6"/>
      <c r="CH199" s="6"/>
      <c r="CI199" s="6"/>
      <c r="CJ199" s="1"/>
      <c r="CK199" s="6"/>
    </row>
    <row r="200" spans="1:89" x14ac:dyDescent="0.25">
      <c r="A200" t="s">
        <v>99</v>
      </c>
      <c r="B200" s="9">
        <f ca="1">B178+B196</f>
        <v>2.0815185786313748</v>
      </c>
      <c r="C200" t="s">
        <v>68</v>
      </c>
      <c r="BC200">
        <v>3.4557519189487582</v>
      </c>
      <c r="BD200">
        <v>-19.333828514640341</v>
      </c>
      <c r="BE200">
        <v>-23.965330888817547</v>
      </c>
      <c r="BF200" s="6">
        <f t="shared" si="211"/>
        <v>4.0335508255813739</v>
      </c>
      <c r="BG200" s="6">
        <f t="shared" si="212"/>
        <v>0.57779890663261568</v>
      </c>
      <c r="BH200" s="6">
        <f t="shared" si="213"/>
        <v>1.9581776871203456</v>
      </c>
      <c r="BI200" s="6">
        <f t="shared" si="214"/>
        <v>1.9581776871203456</v>
      </c>
      <c r="BJ200">
        <v>-29.744351560985141</v>
      </c>
      <c r="BK200">
        <v>-36.869739828950074</v>
      </c>
      <c r="BV200" s="37"/>
      <c r="BW200" s="6">
        <f t="shared" si="112"/>
        <v>3.2288591161894979</v>
      </c>
      <c r="BX200" s="9">
        <f t="shared" ca="1" si="113"/>
        <v>-181.4306752735524</v>
      </c>
      <c r="BY200" s="9">
        <f t="shared" ca="1" si="114"/>
        <v>-31.309057702777999</v>
      </c>
      <c r="BZ200" s="9">
        <f t="shared" ca="1" si="115"/>
        <v>-22.977015762709357</v>
      </c>
      <c r="CA200" s="6">
        <f t="shared" ca="1" si="116"/>
        <v>-16.043391586559267</v>
      </c>
      <c r="CB200" s="6">
        <f t="shared" ca="1" si="117"/>
        <v>-2.53205121185889</v>
      </c>
      <c r="CC200" s="6">
        <f t="shared" ca="1" si="118"/>
        <v>-7.2254749690319127</v>
      </c>
      <c r="CD200" s="9">
        <f t="shared" si="119"/>
        <v>-122.97701576270936</v>
      </c>
      <c r="CE200" s="9">
        <f t="shared" si="120"/>
        <v>13.956608413440733</v>
      </c>
      <c r="CF200" s="6">
        <f t="shared" si="121"/>
        <v>3.0285865984175047</v>
      </c>
      <c r="CG200" s="6"/>
      <c r="CH200" s="6"/>
      <c r="CI200" s="6"/>
      <c r="CJ200" s="1"/>
      <c r="CK200" s="6"/>
    </row>
    <row r="201" spans="1:89" x14ac:dyDescent="0.25">
      <c r="A201" t="s">
        <v>100</v>
      </c>
      <c r="B201" s="9">
        <f ca="1">B197+B179</f>
        <v>3912.8674191874406</v>
      </c>
      <c r="C201" t="s">
        <v>69</v>
      </c>
      <c r="BC201">
        <v>3.4732052114687013</v>
      </c>
      <c r="BD201">
        <v>-19.063413917732916</v>
      </c>
      <c r="BE201">
        <v>-24.532585814693665</v>
      </c>
      <c r="BF201" s="6">
        <f t="shared" si="211"/>
        <v>4.0517900772586124</v>
      </c>
      <c r="BG201" s="6">
        <f t="shared" si="212"/>
        <v>0.57858486578991108</v>
      </c>
      <c r="BH201" s="6">
        <f t="shared" si="213"/>
        <v>1.9399384354431068</v>
      </c>
      <c r="BI201" s="6">
        <f t="shared" si="214"/>
        <v>1.9399384354431068</v>
      </c>
      <c r="BJ201">
        <v>-29.328329104204485</v>
      </c>
      <c r="BK201">
        <v>-37.742439714913331</v>
      </c>
      <c r="BV201" s="37"/>
      <c r="BW201" s="6">
        <f t="shared" si="112"/>
        <v>3.246312408709441</v>
      </c>
      <c r="BX201" s="9">
        <f t="shared" ca="1" si="113"/>
        <v>-181.1514479722214</v>
      </c>
      <c r="BY201" s="9">
        <f t="shared" ca="1" si="114"/>
        <v>-31.917839564801994</v>
      </c>
      <c r="BZ201" s="9">
        <f t="shared" ca="1" si="115"/>
        <v>-22.697788461378366</v>
      </c>
      <c r="CA201" s="6">
        <f t="shared" ca="1" si="116"/>
        <v>-16.652173448583262</v>
      </c>
      <c r="CB201" s="6">
        <f t="shared" ca="1" si="117"/>
        <v>-2.5086396162691438</v>
      </c>
      <c r="CC201" s="6">
        <f t="shared" ca="1" si="118"/>
        <v>-7.4131312102093556</v>
      </c>
      <c r="CD201" s="9">
        <f t="shared" si="119"/>
        <v>-122.69778846137837</v>
      </c>
      <c r="CE201" s="9">
        <f t="shared" si="120"/>
        <v>13.347826551416734</v>
      </c>
      <c r="CF201" s="6">
        <f t="shared" si="121"/>
        <v>3.0332325698895066</v>
      </c>
      <c r="CG201" s="6"/>
      <c r="CH201" s="6"/>
      <c r="CI201" s="6"/>
      <c r="CJ201" s="1"/>
      <c r="CK201" s="6"/>
    </row>
    <row r="202" spans="1:89" x14ac:dyDescent="0.25">
      <c r="A202" t="s">
        <v>101</v>
      </c>
      <c r="B202" s="9">
        <f ca="1">B198+B180</f>
        <v>-900.25405316377669</v>
      </c>
      <c r="C202" t="s">
        <v>69</v>
      </c>
      <c r="BC202">
        <v>3.4906585039886444</v>
      </c>
      <c r="BD202">
        <v>-18.805990114479414</v>
      </c>
      <c r="BE202">
        <v>-25.079332630297763</v>
      </c>
      <c r="BF202" s="6">
        <f t="shared" si="211"/>
        <v>4.0689774329911703</v>
      </c>
      <c r="BG202" s="6">
        <f t="shared" si="212"/>
        <v>0.57831892900252591</v>
      </c>
      <c r="BH202" s="6">
        <f t="shared" si="213"/>
        <v>1.9227510797105489</v>
      </c>
      <c r="BI202" s="6">
        <f t="shared" si="214"/>
        <v>1.9227510797105489</v>
      </c>
      <c r="BJ202">
        <v>-28.932292483814482</v>
      </c>
      <c r="BK202">
        <v>-38.583588661996558</v>
      </c>
      <c r="BV202" s="37"/>
      <c r="BW202" s="6">
        <f t="shared" si="112"/>
        <v>3.2637657012293841</v>
      </c>
      <c r="BX202" s="9">
        <f t="shared" ca="1" si="113"/>
        <v>-180.87724273778181</v>
      </c>
      <c r="BY202" s="9">
        <f t="shared" ca="1" si="114"/>
        <v>-32.524428697533224</v>
      </c>
      <c r="BZ202" s="9">
        <f t="shared" ca="1" si="115"/>
        <v>-22.423583226938774</v>
      </c>
      <c r="CA202" s="6">
        <f t="shared" ca="1" si="116"/>
        <v>-17.258762581314492</v>
      </c>
      <c r="CB202" s="6">
        <f t="shared" ca="1" si="117"/>
        <v>-2.4856210461308526</v>
      </c>
      <c r="CC202" s="6">
        <f t="shared" ca="1" si="118"/>
        <v>-7.5967328855996303</v>
      </c>
      <c r="CD202" s="9">
        <f t="shared" si="119"/>
        <v>-122.42358322693879</v>
      </c>
      <c r="CE202" s="9">
        <f t="shared" si="120"/>
        <v>12.741237418685508</v>
      </c>
      <c r="CF202" s="6">
        <f t="shared" si="121"/>
        <v>3.0378909724887704</v>
      </c>
      <c r="CG202" s="6"/>
      <c r="CH202" s="6"/>
      <c r="CI202" s="6"/>
      <c r="CJ202" s="1"/>
      <c r="CK202" s="6"/>
    </row>
    <row r="203" spans="1:89" x14ac:dyDescent="0.25">
      <c r="BC203">
        <v>3.5081117965085875</v>
      </c>
      <c r="BD203">
        <v>-18.559277402574974</v>
      </c>
      <c r="BE203">
        <v>-25.610125737204147</v>
      </c>
      <c r="BF203" s="6">
        <f t="shared" si="211"/>
        <v>4.0852872038916308</v>
      </c>
      <c r="BG203" s="6">
        <f t="shared" si="212"/>
        <v>0.57717540738304329</v>
      </c>
      <c r="BH203" s="6">
        <f t="shared" si="213"/>
        <v>1.9064413088100884</v>
      </c>
      <c r="BI203" s="6">
        <f t="shared" si="214"/>
        <v>1.9064413088100884</v>
      </c>
      <c r="BJ203">
        <v>-28.55273446549996</v>
      </c>
      <c r="BK203">
        <v>-39.400193441852529</v>
      </c>
      <c r="BV203" s="37"/>
      <c r="BW203" s="6">
        <f t="shared" si="112"/>
        <v>3.2812189937493272</v>
      </c>
      <c r="BX203" s="9">
        <f t="shared" ca="1" si="113"/>
        <v>-180.6061314082111</v>
      </c>
      <c r="BY203" s="9">
        <f t="shared" ca="1" si="114"/>
        <v>-33.129734539983104</v>
      </c>
      <c r="BZ203" s="9">
        <f t="shared" ca="1" si="115"/>
        <v>-22.152471897368059</v>
      </c>
      <c r="CA203" s="6">
        <f t="shared" ca="1" si="116"/>
        <v>-17.864068423764373</v>
      </c>
      <c r="CB203" s="6">
        <f t="shared" ca="1" si="117"/>
        <v>-2.4629528184979295</v>
      </c>
      <c r="CC203" s="6">
        <f t="shared" ca="1" si="118"/>
        <v>-7.7766555873109784</v>
      </c>
      <c r="CD203" s="9">
        <f t="shared" si="119"/>
        <v>-122.15247189736806</v>
      </c>
      <c r="CE203" s="9">
        <f t="shared" si="120"/>
        <v>12.135931576235624</v>
      </c>
      <c r="CF203" s="6">
        <f t="shared" si="121"/>
        <v>3.0425669299505587</v>
      </c>
      <c r="CG203" s="6"/>
      <c r="CH203" s="6"/>
      <c r="CI203" s="6"/>
      <c r="CJ203" s="1"/>
      <c r="CK203" s="6"/>
    </row>
    <row r="204" spans="1:89" x14ac:dyDescent="0.25">
      <c r="A204" s="8" t="s">
        <v>64</v>
      </c>
      <c r="B204">
        <f ca="1">((B201*COS(-1*B27))+(B202*SIN(-1*B27)))</f>
        <v>3865.9583157330626</v>
      </c>
      <c r="C204" t="s">
        <v>69</v>
      </c>
      <c r="BC204">
        <v>3.5255650890285306</v>
      </c>
      <c r="BD204">
        <v>-18.321337632015613</v>
      </c>
      <c r="BE204">
        <v>-26.128578281043833</v>
      </c>
      <c r="BF204" s="6">
        <f t="shared" si="211"/>
        <v>4.1008586513872984</v>
      </c>
      <c r="BG204" s="6">
        <f t="shared" si="212"/>
        <v>0.57529356235876783</v>
      </c>
      <c r="BH204" s="6">
        <f t="shared" si="213"/>
        <v>1.8908698613144208</v>
      </c>
      <c r="BI204" s="6">
        <f t="shared" si="214"/>
        <v>1.8908698613144208</v>
      </c>
      <c r="BJ204">
        <v>-28.186673280024017</v>
      </c>
      <c r="BK204">
        <v>-40.197812740067434</v>
      </c>
      <c r="BV204" s="37"/>
      <c r="BW204" s="6">
        <f t="shared" si="112"/>
        <v>3.2986722862692703</v>
      </c>
      <c r="BX204" s="9">
        <f t="shared" ca="1" si="113"/>
        <v>-180.33641332629705</v>
      </c>
      <c r="BY204" s="9">
        <f t="shared" ca="1" si="114"/>
        <v>-33.734590144618295</v>
      </c>
      <c r="BZ204" s="9">
        <f t="shared" ca="1" si="115"/>
        <v>-21.882753815454009</v>
      </c>
      <c r="CA204" s="6">
        <f t="shared" ca="1" si="116"/>
        <v>-18.468924028399563</v>
      </c>
      <c r="CB204" s="6">
        <f t="shared" ca="1" si="117"/>
        <v>-2.4405954359672859</v>
      </c>
      <c r="CC204" s="6">
        <f t="shared" ca="1" si="118"/>
        <v>-7.9532439363582892</v>
      </c>
      <c r="CD204" s="9">
        <f t="shared" si="119"/>
        <v>-121.88275381545402</v>
      </c>
      <c r="CE204" s="9">
        <f t="shared" si="120"/>
        <v>11.531075971600437</v>
      </c>
      <c r="CF204" s="6">
        <f t="shared" si="121"/>
        <v>3.047265477576472</v>
      </c>
      <c r="CG204" s="6"/>
      <c r="CH204" s="6"/>
      <c r="CI204" s="6"/>
      <c r="CJ204" s="1"/>
      <c r="CK204" s="6"/>
    </row>
    <row r="205" spans="1:89" x14ac:dyDescent="0.25">
      <c r="A205" s="8" t="s">
        <v>65</v>
      </c>
      <c r="B205">
        <f ca="1">(-1*(B201)*SIN(-1*B27))+((B202)*COS(-1*B27))</f>
        <v>-1084.1379531179471</v>
      </c>
      <c r="C205" t="s">
        <v>69</v>
      </c>
      <c r="BC205">
        <v>3.5430183815484737</v>
      </c>
      <c r="BD205">
        <v>-18.090502436132116</v>
      </c>
      <c r="BE205">
        <v>-26.637601903744489</v>
      </c>
      <c r="BF205" s="6">
        <f t="shared" si="211"/>
        <v>4.1158047044968296</v>
      </c>
      <c r="BG205" s="6">
        <f t="shared" si="212"/>
        <v>0.57278632294835585</v>
      </c>
      <c r="BH205" s="6">
        <f t="shared" si="213"/>
        <v>1.8759238082048897</v>
      </c>
      <c r="BI205" s="6">
        <f t="shared" si="214"/>
        <v>1.8759238082048897</v>
      </c>
      <c r="BJ205">
        <v>-27.831542209434023</v>
      </c>
      <c r="BK205">
        <v>-40.98092600576075</v>
      </c>
      <c r="BV205" s="37"/>
      <c r="BW205" s="6">
        <f t="shared" si="112"/>
        <v>3.3161255787892134</v>
      </c>
      <c r="BX205" s="9">
        <f t="shared" ca="1" si="113"/>
        <v>-180.06656943626257</v>
      </c>
      <c r="BY205" s="9">
        <f t="shared" ca="1" si="114"/>
        <v>-34.339767931836761</v>
      </c>
      <c r="BZ205" s="9">
        <f t="shared" ca="1" si="115"/>
        <v>-21.61290992541953</v>
      </c>
      <c r="CA205" s="6">
        <f t="shared" ca="1" si="116"/>
        <v>-19.074101815618029</v>
      </c>
      <c r="CB205" s="6">
        <f t="shared" ca="1" si="117"/>
        <v>-2.4185121848863558</v>
      </c>
      <c r="CC205" s="6">
        <f t="shared" ca="1" si="118"/>
        <v>-8.126815115765746</v>
      </c>
      <c r="CD205" s="9">
        <f t="shared" si="119"/>
        <v>-121.61290992541952</v>
      </c>
      <c r="CE205" s="9">
        <f t="shared" si="120"/>
        <v>10.925898184381971</v>
      </c>
      <c r="CF205" s="6">
        <f t="shared" si="121"/>
        <v>3.0519916107166556</v>
      </c>
      <c r="CG205" s="6"/>
      <c r="CH205" s="6"/>
      <c r="CI205" s="6"/>
      <c r="CJ205" s="1"/>
      <c r="CK205" s="6"/>
    </row>
    <row r="206" spans="1:89" x14ac:dyDescent="0.25">
      <c r="BC206">
        <v>3.5604716740684168</v>
      </c>
      <c r="BD206">
        <v>-17.865317975520327</v>
      </c>
      <c r="BE206">
        <v>-27.139579629440806</v>
      </c>
      <c r="BF206" s="6">
        <f t="shared" si="211"/>
        <v>4.1302182268820804</v>
      </c>
      <c r="BG206" s="6">
        <f t="shared" si="212"/>
        <v>0.5697465528136636</v>
      </c>
      <c r="BH206" s="6">
        <f t="shared" si="213"/>
        <v>1.8615102858196391</v>
      </c>
      <c r="BI206" s="6">
        <f t="shared" si="214"/>
        <v>1.8615102858196391</v>
      </c>
      <c r="BJ206">
        <v>-27.485104577723579</v>
      </c>
      <c r="BK206">
        <v>-41.753199429908932</v>
      </c>
      <c r="BV206" s="37"/>
      <c r="BW206" s="6">
        <f t="shared" si="112"/>
        <v>3.3335788713091565</v>
      </c>
      <c r="BX206" s="9">
        <f t="shared" ca="1" si="113"/>
        <v>-179.79522535315445</v>
      </c>
      <c r="BY206" s="9">
        <f t="shared" ca="1" si="114"/>
        <v>-34.94599245214463</v>
      </c>
      <c r="BZ206" s="9">
        <f t="shared" ca="1" si="115"/>
        <v>-21.341565842311411</v>
      </c>
      <c r="CA206" s="6">
        <f t="shared" ca="1" si="116"/>
        <v>-19.680326335925898</v>
      </c>
      <c r="CB206" s="6">
        <f t="shared" ca="1" si="117"/>
        <v>-2.3966687879126356</v>
      </c>
      <c r="CC206" s="6">
        <f t="shared" ca="1" si="118"/>
        <v>-8.2976619161348388</v>
      </c>
      <c r="CD206" s="9">
        <f t="shared" si="119"/>
        <v>-121.34156584231143</v>
      </c>
      <c r="CE206" s="9">
        <f t="shared" si="120"/>
        <v>10.319673664074099</v>
      </c>
      <c r="CF206" s="6">
        <f t="shared" si="121"/>
        <v>3.0567503276534671</v>
      </c>
      <c r="CG206" s="6"/>
      <c r="CH206" s="6"/>
      <c r="CI206" s="6"/>
      <c r="CJ206" s="1"/>
      <c r="CK206" s="6"/>
    </row>
    <row r="207" spans="1:89" x14ac:dyDescent="0.25">
      <c r="BC207">
        <v>3.5779249665883599</v>
      </c>
      <c r="BD207">
        <v>-17.644501789873857</v>
      </c>
      <c r="BE207">
        <v>-27.636492395822586</v>
      </c>
      <c r="BF207" s="6">
        <f t="shared" si="211"/>
        <v>4.1441765973003886</v>
      </c>
      <c r="BG207" s="6">
        <f t="shared" si="212"/>
        <v>0.56625163071202866</v>
      </c>
      <c r="BH207" s="6">
        <f t="shared" si="213"/>
        <v>1.8475519154013307</v>
      </c>
      <c r="BI207" s="6">
        <f t="shared" si="214"/>
        <v>1.8475519154013307</v>
      </c>
      <c r="BJ207">
        <v>-27.145387369036701</v>
      </c>
      <c r="BK207">
        <v>-42.517680608957825</v>
      </c>
      <c r="BV207" s="37"/>
      <c r="BW207" s="6">
        <f t="shared" si="112"/>
        <v>3.3510321638290996</v>
      </c>
      <c r="BX207" s="9">
        <f t="shared" ca="1" si="113"/>
        <v>-179.52112129181768</v>
      </c>
      <c r="BY207" s="9">
        <f t="shared" ca="1" si="114"/>
        <v>-35.553950861180375</v>
      </c>
      <c r="BZ207" s="9">
        <f t="shared" ca="1" si="115"/>
        <v>-21.067461780974639</v>
      </c>
      <c r="CA207" s="6">
        <f t="shared" ca="1" si="116"/>
        <v>-20.288284744961643</v>
      </c>
      <c r="CB207" s="6">
        <f t="shared" ca="1" si="117"/>
        <v>-2.3750331020994149</v>
      </c>
      <c r="CC207" s="6">
        <f t="shared" ca="1" si="118"/>
        <v>-8.466055365621818</v>
      </c>
      <c r="CD207" s="9">
        <f t="shared" si="119"/>
        <v>-121.06746178097465</v>
      </c>
      <c r="CE207" s="9">
        <f t="shared" si="120"/>
        <v>9.711715255038353</v>
      </c>
      <c r="CF207" s="6">
        <f t="shared" si="121"/>
        <v>3.0615466685179893</v>
      </c>
      <c r="CG207" s="6"/>
      <c r="CH207" s="6"/>
      <c r="CI207" s="6"/>
      <c r="CJ207" s="1"/>
      <c r="CK207" s="6"/>
    </row>
    <row r="208" spans="1:89" x14ac:dyDescent="0.25">
      <c r="BC208">
        <v>3.595378259108303</v>
      </c>
      <c r="BD208">
        <v>-17.426908639784326</v>
      </c>
      <c r="BE208">
        <v>-28.130012952989887</v>
      </c>
      <c r="BF208" s="6">
        <f t="shared" si="211"/>
        <v>4.1577451086351411</v>
      </c>
      <c r="BG208" s="6">
        <f t="shared" si="212"/>
        <v>0.56236684952683813</v>
      </c>
      <c r="BH208" s="6">
        <f t="shared" si="213"/>
        <v>1.8339834040665781</v>
      </c>
      <c r="BI208" s="6">
        <f t="shared" si="214"/>
        <v>1.8339834040665781</v>
      </c>
      <c r="BJ208">
        <v>-26.810628676591271</v>
      </c>
      <c r="BK208">
        <v>-43.276943004599822</v>
      </c>
      <c r="BV208" s="37"/>
      <c r="BW208" s="6">
        <f t="shared" ref="BW208:BW271" si="215">IF(BC195="",NA(),BC195)</f>
        <v>3.3684854563490427</v>
      </c>
      <c r="BX208" s="9">
        <f t="shared" ref="BX208:BX271" ca="1" si="216">BD195-$BW$5</f>
        <v>-179.24308727529694</v>
      </c>
      <c r="BY208" s="9">
        <f t="shared" ref="BY208:BY271" ca="1" si="217">BE195-$BX$5</f>
        <v>-36.164301635025154</v>
      </c>
      <c r="BZ208" s="9">
        <f t="shared" ref="BZ208:BZ271" ca="1" si="218">BX208-$CE$5</f>
        <v>-20.789427764453905</v>
      </c>
      <c r="CA208" s="6">
        <f t="shared" ref="CA208:CA271" ca="1" si="219">BY208-$CF$5</f>
        <v>-20.898635518806422</v>
      </c>
      <c r="CB208" s="6">
        <f t="shared" ref="CB208:CB271" ca="1" si="220">ATAN2(BZ208,CA208)</f>
        <v>-2.3535748553151352</v>
      </c>
      <c r="CC208" s="6">
        <f t="shared" ref="CC208:CC271" ca="1" si="221">ATAN2(COS(CF208-CB208),SIN(CF208-CB208))*10</f>
        <v>-8.6322470034132905</v>
      </c>
      <c r="CD208" s="9">
        <f t="shared" ref="CD208:CD271" si="222">BD195-$BW$6</f>
        <v>-120.7894277644539</v>
      </c>
      <c r="CE208" s="9">
        <f t="shared" ref="CE208:CE271" si="223">BE195-$BX$6</f>
        <v>9.1013644811935777</v>
      </c>
      <c r="CF208" s="6">
        <f t="shared" ref="CF208:CF271" si="224">ATAN2(CD208,CE208)</f>
        <v>3.0663857515231219</v>
      </c>
      <c r="CG208" s="6"/>
      <c r="CH208" s="6"/>
      <c r="CI208" s="6"/>
      <c r="CJ208" s="1"/>
      <c r="CK208" s="6"/>
    </row>
    <row r="209" spans="55:89" x14ac:dyDescent="0.25">
      <c r="BC209">
        <v>3.6128315516282461</v>
      </c>
      <c r="BD209">
        <v>-17.211503096028753</v>
      </c>
      <c r="BE209">
        <v>-28.621576468207039</v>
      </c>
      <c r="BF209" s="6">
        <f t="shared" si="211"/>
        <v>4.1709795260987903</v>
      </c>
      <c r="BG209" s="6">
        <f t="shared" si="212"/>
        <v>0.55814797447054421</v>
      </c>
      <c r="BH209" s="6">
        <f t="shared" si="213"/>
        <v>1.8207489866029289</v>
      </c>
      <c r="BI209" s="6">
        <f t="shared" si="214"/>
        <v>1.8207489866029289</v>
      </c>
      <c r="BJ209">
        <v>-26.479235532351929</v>
      </c>
      <c r="BK209">
        <v>-44.033194566472368</v>
      </c>
      <c r="BV209" s="37"/>
      <c r="BW209" s="6">
        <f t="shared" si="215"/>
        <v>3.3859387488689858</v>
      </c>
      <c r="BX209" s="9">
        <f t="shared" ca="1" si="216"/>
        <v>-178.96002242691532</v>
      </c>
      <c r="BY209" s="9">
        <f t="shared" ca="1" si="217"/>
        <v>-36.77768192504999</v>
      </c>
      <c r="BZ209" s="9">
        <f t="shared" ca="1" si="218"/>
        <v>-20.506362916072277</v>
      </c>
      <c r="CA209" s="6">
        <f t="shared" ca="1" si="219"/>
        <v>-21.512015808831258</v>
      </c>
      <c r="CB209" s="6">
        <f t="shared" ca="1" si="220"/>
        <v>-2.332265415103894</v>
      </c>
      <c r="CC209" s="6">
        <f t="shared" ca="1" si="221"/>
        <v>-8.7964708452486224</v>
      </c>
      <c r="CD209" s="9">
        <f t="shared" si="222"/>
        <v>-120.50636291607228</v>
      </c>
      <c r="CE209" s="9">
        <f t="shared" si="223"/>
        <v>8.4879841911687421</v>
      </c>
      <c r="CF209" s="6">
        <f t="shared" si="224"/>
        <v>3.0712728075508298</v>
      </c>
      <c r="CG209" s="6"/>
      <c r="CH209" s="6"/>
      <c r="CI209" s="6"/>
      <c r="CJ209" s="1"/>
      <c r="CK209" s="6"/>
    </row>
    <row r="210" spans="55:89" x14ac:dyDescent="0.25">
      <c r="BC210">
        <v>3.6302848441481892</v>
      </c>
      <c r="BD210">
        <v>-16.997337239048736</v>
      </c>
      <c r="BE210">
        <v>-29.11243429253518</v>
      </c>
      <c r="BF210" s="6">
        <f t="shared" si="211"/>
        <v>4.1839280382665311</v>
      </c>
      <c r="BG210" s="6">
        <f t="shared" si="212"/>
        <v>0.55364319411834195</v>
      </c>
      <c r="BH210" s="6">
        <f t="shared" si="213"/>
        <v>1.8078004744351883</v>
      </c>
      <c r="BI210" s="6">
        <f t="shared" si="214"/>
        <v>1.8078004744351883</v>
      </c>
      <c r="BJ210">
        <v>-26.149749598536516</v>
      </c>
      <c r="BK210">
        <v>-44.788360450054121</v>
      </c>
      <c r="BV210" s="37"/>
      <c r="BW210" s="6">
        <f t="shared" si="215"/>
        <v>3.4033920413889289</v>
      </c>
      <c r="BX210" s="9">
        <f t="shared" ca="1" si="216"/>
        <v>-178.67087743042913</v>
      </c>
      <c r="BY210" s="9">
        <f t="shared" ca="1" si="217"/>
        <v>-37.394713858098903</v>
      </c>
      <c r="BZ210" s="9">
        <f t="shared" ca="1" si="218"/>
        <v>-20.217217919586091</v>
      </c>
      <c r="CA210" s="6">
        <f t="shared" ca="1" si="219"/>
        <v>-22.129047741880171</v>
      </c>
      <c r="CB210" s="6">
        <f t="shared" ca="1" si="220"/>
        <v>-2.3110775851366809</v>
      </c>
      <c r="CC210" s="6">
        <f t="shared" ca="1" si="221"/>
        <v>-8.9589450808452682</v>
      </c>
      <c r="CD210" s="9">
        <f t="shared" si="222"/>
        <v>-120.21721791958609</v>
      </c>
      <c r="CE210" s="9">
        <f t="shared" si="223"/>
        <v>7.870952258119825</v>
      </c>
      <c r="CF210" s="6">
        <f t="shared" si="224"/>
        <v>3.0762132139583787</v>
      </c>
      <c r="CG210" s="6"/>
      <c r="CH210" s="6"/>
      <c r="CI210" s="6"/>
      <c r="CJ210" s="1"/>
      <c r="CK210" s="6"/>
    </row>
    <row r="211" spans="55:89" x14ac:dyDescent="0.25">
      <c r="BC211">
        <v>3.6477381366681323</v>
      </c>
      <c r="BD211">
        <v>-16.783532255808094</v>
      </c>
      <c r="BE211">
        <v>-29.603695418141815</v>
      </c>
      <c r="BF211" s="6">
        <f t="shared" si="211"/>
        <v>4.1966327638262273</v>
      </c>
      <c r="BG211" s="6">
        <f t="shared" si="212"/>
        <v>0.54889462715809501</v>
      </c>
      <c r="BH211" s="6">
        <f t="shared" si="213"/>
        <v>1.7950957488754919</v>
      </c>
      <c r="BI211" s="6">
        <f t="shared" si="214"/>
        <v>1.7950957488754919</v>
      </c>
      <c r="BJ211">
        <v>-25.820818855089374</v>
      </c>
      <c r="BK211">
        <v>-45.544146797141252</v>
      </c>
      <c r="BV211" s="37"/>
      <c r="BW211" s="6">
        <f t="shared" si="215"/>
        <v>3.420845333908872</v>
      </c>
      <c r="BX211" s="9">
        <f t="shared" ca="1" si="216"/>
        <v>-178.37463944873019</v>
      </c>
      <c r="BY211" s="9">
        <f t="shared" ca="1" si="217"/>
        <v>-38.01601001902894</v>
      </c>
      <c r="BZ211" s="9">
        <f t="shared" ca="1" si="218"/>
        <v>-19.920979937887154</v>
      </c>
      <c r="CA211" s="6">
        <f t="shared" ca="1" si="219"/>
        <v>-22.750343902810208</v>
      </c>
      <c r="CB211" s="6">
        <f t="shared" ca="1" si="220"/>
        <v>-2.2899854252444252</v>
      </c>
      <c r="CC211" s="6">
        <f t="shared" ca="1" si="221"/>
        <v>-9.1198735358527401</v>
      </c>
      <c r="CD211" s="9">
        <f t="shared" si="222"/>
        <v>-119.92097993788715</v>
      </c>
      <c r="CE211" s="9">
        <f t="shared" si="223"/>
        <v>7.2496560971897885</v>
      </c>
      <c r="CF211" s="6">
        <f t="shared" si="224"/>
        <v>3.0812125283498872</v>
      </c>
      <c r="CG211" s="6"/>
      <c r="CH211" s="6"/>
      <c r="CI211" s="6"/>
      <c r="CJ211" s="1"/>
      <c r="CK211" s="6"/>
    </row>
    <row r="212" spans="55:89" x14ac:dyDescent="0.25">
      <c r="BC212">
        <v>3.6651914291880754</v>
      </c>
      <c r="BD212">
        <v>-16.56926302284505</v>
      </c>
      <c r="BE212">
        <v>-30.096358846710125</v>
      </c>
      <c r="BF212" s="6">
        <f t="shared" si="211"/>
        <v>4.2091309292903478</v>
      </c>
      <c r="BG212" s="6">
        <f t="shared" si="212"/>
        <v>0.54393950010227243</v>
      </c>
      <c r="BH212" s="6">
        <f t="shared" si="213"/>
        <v>1.7825975834113714</v>
      </c>
      <c r="BI212" s="6">
        <f t="shared" si="214"/>
        <v>1.7825975834113714</v>
      </c>
      <c r="BJ212">
        <v>-25.491173881300075</v>
      </c>
      <c r="BK212">
        <v>-46.30209053340019</v>
      </c>
      <c r="BV212" s="37"/>
      <c r="BW212" s="6">
        <f t="shared" si="215"/>
        <v>3.4382986264288151</v>
      </c>
      <c r="BX212" s="9">
        <f t="shared" ca="1" si="216"/>
        <v>-178.07360928405078</v>
      </c>
      <c r="BY212" s="9">
        <f t="shared" ca="1" si="217"/>
        <v>-38.637400451906515</v>
      </c>
      <c r="BZ212" s="9">
        <f t="shared" ca="1" si="218"/>
        <v>-19.619949773207736</v>
      </c>
      <c r="CA212" s="6">
        <f t="shared" ca="1" si="219"/>
        <v>-23.371734335687783</v>
      </c>
      <c r="CB212" s="6">
        <f t="shared" ca="1" si="220"/>
        <v>-2.2691473359889911</v>
      </c>
      <c r="CC212" s="6">
        <f t="shared" ca="1" si="221"/>
        <v>-9.2779974949051649</v>
      </c>
      <c r="CD212" s="9">
        <f t="shared" si="222"/>
        <v>-119.61994977320772</v>
      </c>
      <c r="CE212" s="9">
        <f t="shared" si="223"/>
        <v>6.6282656643122131</v>
      </c>
      <c r="CF212" s="6">
        <f t="shared" si="224"/>
        <v>3.0862382217000786</v>
      </c>
      <c r="CG212" s="6"/>
      <c r="CH212" s="6"/>
      <c r="CI212" s="6"/>
      <c r="CJ212" s="1"/>
      <c r="CK212" s="6"/>
    </row>
    <row r="213" spans="55:89" x14ac:dyDescent="0.25">
      <c r="BC213">
        <v>3.6826447217080185</v>
      </c>
      <c r="BD213">
        <v>-16.353744981072136</v>
      </c>
      <c r="BE213">
        <v>-30.591339188557509</v>
      </c>
      <c r="BF213" s="6">
        <f t="shared" si="211"/>
        <v>4.2214558003435654</v>
      </c>
      <c r="BG213" s="6">
        <f t="shared" si="212"/>
        <v>0.53881107863554689</v>
      </c>
      <c r="BH213" s="6">
        <f t="shared" si="213"/>
        <v>1.7702727123581539</v>
      </c>
      <c r="BI213" s="6">
        <f t="shared" si="214"/>
        <v>1.7702727123581539</v>
      </c>
      <c r="BJ213">
        <v>-25.159607663187902</v>
      </c>
      <c r="BK213">
        <v>-47.063598751626934</v>
      </c>
      <c r="BV213" s="37"/>
      <c r="BW213" s="6">
        <f t="shared" si="215"/>
        <v>3.4557519189487582</v>
      </c>
      <c r="BX213" s="9">
        <f t="shared" ca="1" si="216"/>
        <v>-177.78748802548338</v>
      </c>
      <c r="BY213" s="9">
        <f t="shared" ca="1" si="217"/>
        <v>-39.230997005036279</v>
      </c>
      <c r="BZ213" s="9">
        <f t="shared" ca="1" si="218"/>
        <v>-19.333828514640345</v>
      </c>
      <c r="CA213" s="6">
        <f t="shared" ca="1" si="219"/>
        <v>-23.965330888817547</v>
      </c>
      <c r="CB213" s="6">
        <f t="shared" ca="1" si="220"/>
        <v>-2.2496344815982123</v>
      </c>
      <c r="CC213" s="6">
        <f t="shared" ca="1" si="221"/>
        <v>-9.4248477399780324</v>
      </c>
      <c r="CD213" s="9">
        <f t="shared" si="222"/>
        <v>-119.33382851464035</v>
      </c>
      <c r="CE213" s="9">
        <f t="shared" si="223"/>
        <v>6.0346691111824526</v>
      </c>
      <c r="CF213" s="6">
        <f t="shared" si="224"/>
        <v>3.0910660515835713</v>
      </c>
      <c r="CG213" s="6"/>
      <c r="CH213" s="6"/>
      <c r="CI213" s="6"/>
      <c r="CJ213" s="1"/>
      <c r="CK213" s="6"/>
    </row>
    <row r="214" spans="55:89" x14ac:dyDescent="0.25">
      <c r="BC214">
        <v>3.7000980142279616</v>
      </c>
      <c r="BD214">
        <v>-16.136222765108762</v>
      </c>
      <c r="BE214">
        <v>-31.089487183844462</v>
      </c>
      <c r="BF214" s="6">
        <f t="shared" si="211"/>
        <v>4.2336374269062507</v>
      </c>
      <c r="BG214" s="6">
        <f t="shared" si="212"/>
        <v>0.53353941267828908</v>
      </c>
      <c r="BH214" s="6">
        <f t="shared" si="213"/>
        <v>1.7580910857954686</v>
      </c>
      <c r="BI214" s="6">
        <f t="shared" si="214"/>
        <v>1.7580910857954686</v>
      </c>
      <c r="BJ214">
        <v>-24.824958100167326</v>
      </c>
      <c r="BK214">
        <v>-47.829980282837631</v>
      </c>
      <c r="BV214" s="37"/>
      <c r="BW214" s="6">
        <f t="shared" si="215"/>
        <v>3.4732052114687013</v>
      </c>
      <c r="BX214" s="9">
        <f t="shared" ca="1" si="216"/>
        <v>-177.51707342857594</v>
      </c>
      <c r="BY214" s="9">
        <f t="shared" ca="1" si="217"/>
        <v>-39.798251930912393</v>
      </c>
      <c r="BZ214" s="9">
        <f t="shared" ca="1" si="218"/>
        <v>-19.063413917732902</v>
      </c>
      <c r="CA214" s="6">
        <f t="shared" ca="1" si="219"/>
        <v>-24.532585814693661</v>
      </c>
      <c r="CB214" s="6">
        <f t="shared" ca="1" si="220"/>
        <v>-2.2313952299209729</v>
      </c>
      <c r="CC214" s="6">
        <f t="shared" ca="1" si="221"/>
        <v>-9.5608537431098579</v>
      </c>
      <c r="CD214" s="9">
        <f t="shared" si="222"/>
        <v>-119.06341391773292</v>
      </c>
      <c r="CE214" s="9">
        <f t="shared" si="223"/>
        <v>5.4674141853063354</v>
      </c>
      <c r="CF214" s="6">
        <f t="shared" si="224"/>
        <v>3.0957047029476272</v>
      </c>
      <c r="CG214" s="6"/>
      <c r="CH214" s="6"/>
      <c r="CI214" s="6"/>
      <c r="CJ214" s="1"/>
      <c r="CK214" s="6"/>
    </row>
    <row r="215" spans="55:89" x14ac:dyDescent="0.25">
      <c r="BC215">
        <v>3.7175513067479047</v>
      </c>
      <c r="BD215">
        <v>-15.915960164781366</v>
      </c>
      <c r="BE215">
        <v>-31.591606393967755</v>
      </c>
      <c r="BF215" s="6">
        <f t="shared" si="211"/>
        <v>4.245703246113524</v>
      </c>
      <c r="BG215" s="6">
        <f t="shared" si="212"/>
        <v>0.52815193936561933</v>
      </c>
      <c r="BH215" s="6">
        <f t="shared" si="213"/>
        <v>1.7460252665881952</v>
      </c>
      <c r="BI215" s="6">
        <f t="shared" si="214"/>
        <v>1.7460252665881952</v>
      </c>
      <c r="BJ215">
        <v>-24.486092561202099</v>
      </c>
      <c r="BK215">
        <v>-48.602471375335007</v>
      </c>
      <c r="BV215" s="37"/>
      <c r="BW215" s="6">
        <f t="shared" si="215"/>
        <v>3.4906585039886444</v>
      </c>
      <c r="BX215" s="9">
        <f t="shared" ca="1" si="216"/>
        <v>-177.25964962532245</v>
      </c>
      <c r="BY215" s="9">
        <f t="shared" ca="1" si="217"/>
        <v>-40.344998746516495</v>
      </c>
      <c r="BZ215" s="9">
        <f t="shared" ca="1" si="218"/>
        <v>-18.805990114479414</v>
      </c>
      <c r="CA215" s="6">
        <f t="shared" ca="1" si="219"/>
        <v>-25.079332630297763</v>
      </c>
      <c r="CB215" s="6">
        <f t="shared" ca="1" si="220"/>
        <v>-2.2142078741884155</v>
      </c>
      <c r="CC215" s="6">
        <f t="shared" ca="1" si="221"/>
        <v>-9.6877879144870978</v>
      </c>
      <c r="CD215" s="9">
        <f t="shared" si="222"/>
        <v>-118.80599011447941</v>
      </c>
      <c r="CE215" s="9">
        <f t="shared" si="223"/>
        <v>4.9206673697022367</v>
      </c>
      <c r="CF215" s="6">
        <f t="shared" si="224"/>
        <v>3.1001986415424616</v>
      </c>
      <c r="CG215" s="6"/>
      <c r="CH215" s="6"/>
      <c r="CI215" s="6"/>
      <c r="CJ215" s="1"/>
      <c r="CK215" s="6"/>
    </row>
    <row r="216" spans="55:89" x14ac:dyDescent="0.25">
      <c r="BC216">
        <v>3.7350045992678478</v>
      </c>
      <c r="BD216">
        <v>-15.692231080672263</v>
      </c>
      <c r="BE216">
        <v>-32.098466995116603</v>
      </c>
      <c r="BF216" s="6">
        <f t="shared" si="211"/>
        <v>4.2576785761097673</v>
      </c>
      <c r="BG216" s="6">
        <f t="shared" si="212"/>
        <v>0.52267397684191952</v>
      </c>
      <c r="BH216" s="6">
        <f t="shared" si="213"/>
        <v>1.7340499365919522</v>
      </c>
      <c r="BI216" s="6">
        <f t="shared" si="214"/>
        <v>1.7340499365919522</v>
      </c>
      <c r="BJ216">
        <v>-24.14189397026502</v>
      </c>
      <c r="BK216">
        <v>-49.382256915564</v>
      </c>
      <c r="BV216" s="37"/>
      <c r="BW216" s="6">
        <f t="shared" si="215"/>
        <v>3.5081117965085875</v>
      </c>
      <c r="BX216" s="9">
        <f t="shared" ca="1" si="216"/>
        <v>-177.012936913418</v>
      </c>
      <c r="BY216" s="9">
        <f t="shared" ca="1" si="217"/>
        <v>-40.875791853422875</v>
      </c>
      <c r="BZ216" s="9">
        <f t="shared" ca="1" si="218"/>
        <v>-18.559277402574963</v>
      </c>
      <c r="CA216" s="6">
        <f t="shared" ca="1" si="219"/>
        <v>-25.610125737204143</v>
      </c>
      <c r="CB216" s="6">
        <f t="shared" ca="1" si="220"/>
        <v>-2.197898103287955</v>
      </c>
      <c r="CC216" s="6">
        <f t="shared" ca="1" si="221"/>
        <v>-9.8070447356765751</v>
      </c>
      <c r="CD216" s="9">
        <f t="shared" si="222"/>
        <v>-118.55927740257498</v>
      </c>
      <c r="CE216" s="9">
        <f t="shared" si="223"/>
        <v>4.3898742627958534</v>
      </c>
      <c r="CF216" s="6">
        <f t="shared" si="224"/>
        <v>3.1045827303239744</v>
      </c>
      <c r="CG216" s="6"/>
      <c r="CH216" s="6"/>
      <c r="CI216" s="6"/>
      <c r="CJ216" s="1"/>
      <c r="CK216" s="6"/>
    </row>
    <row r="217" spans="55:89" x14ac:dyDescent="0.25">
      <c r="BC217">
        <v>3.7524578917877909</v>
      </c>
      <c r="BD217">
        <v>-15.464311197371021</v>
      </c>
      <c r="BE217">
        <v>-32.610817378433111</v>
      </c>
      <c r="BF217" s="6">
        <f t="shared" si="211"/>
        <v>4.2695870254278381</v>
      </c>
      <c r="BG217" s="6">
        <f t="shared" si="212"/>
        <v>0.5171291336400472</v>
      </c>
      <c r="BH217" s="6">
        <f t="shared" si="213"/>
        <v>1.7221414872738812</v>
      </c>
      <c r="BI217" s="6">
        <f t="shared" si="214"/>
        <v>1.7221414872738812</v>
      </c>
      <c r="BJ217">
        <v>-23.791247995955416</v>
      </c>
      <c r="BK217">
        <v>-50.170488274512479</v>
      </c>
      <c r="BV217" s="37"/>
      <c r="BW217" s="6">
        <f t="shared" si="215"/>
        <v>3.5255650890285306</v>
      </c>
      <c r="BX217" s="9">
        <f t="shared" ca="1" si="216"/>
        <v>-176.77499714285864</v>
      </c>
      <c r="BY217" s="9">
        <f t="shared" ca="1" si="217"/>
        <v>-41.394244397262561</v>
      </c>
      <c r="BZ217" s="9">
        <f t="shared" ca="1" si="218"/>
        <v>-18.321337632015599</v>
      </c>
      <c r="CA217" s="6">
        <f t="shared" ca="1" si="219"/>
        <v>-26.128578281043829</v>
      </c>
      <c r="CB217" s="6">
        <f t="shared" ca="1" si="220"/>
        <v>-2.1823266557922882</v>
      </c>
      <c r="CC217" s="6">
        <f t="shared" ca="1" si="221"/>
        <v>-9.9197388583600894</v>
      </c>
      <c r="CD217" s="9">
        <f t="shared" si="222"/>
        <v>-118.32133763201561</v>
      </c>
      <c r="CE217" s="9">
        <f t="shared" si="223"/>
        <v>3.8714217189561673</v>
      </c>
      <c r="CF217" s="6">
        <f t="shared" si="224"/>
        <v>3.1088847655512892</v>
      </c>
      <c r="CG217" s="6"/>
      <c r="CH217" s="6"/>
      <c r="CI217" s="6"/>
      <c r="CJ217" s="1"/>
      <c r="CK217" s="6"/>
    </row>
    <row r="218" spans="55:89" x14ac:dyDescent="0.25">
      <c r="BC218">
        <v>3.769911184307734</v>
      </c>
      <c r="BD218">
        <v>-15.2314701430653</v>
      </c>
      <c r="BE218">
        <v>-33.129394096136267</v>
      </c>
      <c r="BF218" s="6">
        <f t="shared" si="211"/>
        <v>4.2814508368119713</v>
      </c>
      <c r="BG218" s="6">
        <f t="shared" si="212"/>
        <v>0.51153965250423727</v>
      </c>
      <c r="BH218" s="6">
        <f t="shared" si="213"/>
        <v>1.710277675889748</v>
      </c>
      <c r="BI218" s="6">
        <f t="shared" si="214"/>
        <v>1.710277675889748</v>
      </c>
      <c r="BJ218">
        <v>-23.433030989331229</v>
      </c>
      <c r="BK218">
        <v>-50.96829860944041</v>
      </c>
      <c r="BV218" s="37"/>
      <c r="BW218" s="6">
        <f t="shared" si="215"/>
        <v>3.5430183815484737</v>
      </c>
      <c r="BX218" s="9">
        <f t="shared" ca="1" si="216"/>
        <v>-176.54416194697515</v>
      </c>
      <c r="BY218" s="9">
        <f t="shared" ca="1" si="217"/>
        <v>-41.903268019963221</v>
      </c>
      <c r="BZ218" s="9">
        <f t="shared" ca="1" si="218"/>
        <v>-18.090502436132113</v>
      </c>
      <c r="CA218" s="6">
        <f t="shared" ca="1" si="219"/>
        <v>-26.637601903744489</v>
      </c>
      <c r="CB218" s="6">
        <f t="shared" ca="1" si="220"/>
        <v>-2.1673806026827567</v>
      </c>
      <c r="CC218" s="6">
        <f t="shared" ca="1" si="221"/>
        <v>-10.026774212759817</v>
      </c>
      <c r="CD218" s="9">
        <f t="shared" si="222"/>
        <v>-118.09050243613211</v>
      </c>
      <c r="CE218" s="9">
        <f t="shared" si="223"/>
        <v>3.3623980962555109</v>
      </c>
      <c r="CF218" s="6">
        <f t="shared" si="224"/>
        <v>3.1131272832208485</v>
      </c>
      <c r="CG218" s="6"/>
      <c r="CH218" s="6"/>
      <c r="CI218" s="6"/>
      <c r="CJ218" s="1"/>
      <c r="CK218" s="6"/>
    </row>
    <row r="219" spans="55:89" x14ac:dyDescent="0.25">
      <c r="BC219">
        <v>3.7873644768276771</v>
      </c>
      <c r="BD219">
        <v>-14.992963936269829</v>
      </c>
      <c r="BE219">
        <v>-33.654930572461502</v>
      </c>
      <c r="BF219" s="6">
        <f t="shared" si="211"/>
        <v>4.2932911800082687</v>
      </c>
      <c r="BG219" s="6">
        <f t="shared" si="212"/>
        <v>0.50592670318059163</v>
      </c>
      <c r="BH219" s="6">
        <f t="shared" si="213"/>
        <v>1.6984373326934505</v>
      </c>
      <c r="BI219" s="6">
        <f t="shared" si="214"/>
        <v>1.6984373326934505</v>
      </c>
      <c r="BJ219">
        <v>-23.066098363492046</v>
      </c>
      <c r="BK219">
        <v>-51.776816265325387</v>
      </c>
      <c r="BV219" s="37"/>
      <c r="BW219" s="6">
        <f t="shared" si="215"/>
        <v>3.5604716740684168</v>
      </c>
      <c r="BX219" s="9">
        <f t="shared" ca="1" si="216"/>
        <v>-176.31897748636337</v>
      </c>
      <c r="BY219" s="9">
        <f t="shared" ca="1" si="217"/>
        <v>-42.405245745659535</v>
      </c>
      <c r="BZ219" s="9">
        <f t="shared" ca="1" si="218"/>
        <v>-17.865317975520327</v>
      </c>
      <c r="CA219" s="6">
        <f t="shared" ca="1" si="219"/>
        <v>-27.139579629440803</v>
      </c>
      <c r="CB219" s="6">
        <f t="shared" ca="1" si="220"/>
        <v>-2.1529670802975058</v>
      </c>
      <c r="CC219" s="6">
        <f t="shared" ca="1" si="221"/>
        <v>-10.128893606209763</v>
      </c>
      <c r="CD219" s="9">
        <f t="shared" si="222"/>
        <v>-117.86531797552033</v>
      </c>
      <c r="CE219" s="9">
        <f t="shared" si="223"/>
        <v>2.8604203705591935</v>
      </c>
      <c r="CF219" s="6">
        <f t="shared" si="224"/>
        <v>3.1173288662611043</v>
      </c>
      <c r="CG219" s="6"/>
      <c r="CH219" s="6"/>
      <c r="CI219" s="6"/>
      <c r="CJ219" s="1"/>
      <c r="CK219" s="6"/>
    </row>
    <row r="220" spans="55:89" x14ac:dyDescent="0.25">
      <c r="BC220">
        <v>3.8048177693476202</v>
      </c>
      <c r="BD220">
        <v>-14.748027542770819</v>
      </c>
      <c r="BE220">
        <v>-34.188164909949272</v>
      </c>
      <c r="BF220" s="6">
        <f t="shared" si="211"/>
        <v>4.3051284048379888</v>
      </c>
      <c r="BG220" s="6">
        <f t="shared" si="212"/>
        <v>0.50031063549036858</v>
      </c>
      <c r="BH220" s="6">
        <f t="shared" si="213"/>
        <v>1.6866001078637305</v>
      </c>
      <c r="BI220" s="6">
        <f t="shared" si="214"/>
        <v>1.6866001078637305</v>
      </c>
      <c r="BJ220">
        <v>-22.689273142724335</v>
      </c>
      <c r="BK220">
        <v>-52.597176784537339</v>
      </c>
      <c r="BV220" s="37"/>
      <c r="BW220" s="6">
        <f t="shared" si="215"/>
        <v>3.5779249665883599</v>
      </c>
      <c r="BX220" s="9">
        <f t="shared" ca="1" si="216"/>
        <v>-176.0981613007169</v>
      </c>
      <c r="BY220" s="9">
        <f t="shared" ca="1" si="217"/>
        <v>-42.902158512041318</v>
      </c>
      <c r="BZ220" s="9">
        <f t="shared" ca="1" si="218"/>
        <v>-17.644501789873857</v>
      </c>
      <c r="CA220" s="6">
        <f t="shared" ca="1" si="219"/>
        <v>-27.636492395822586</v>
      </c>
      <c r="CB220" s="6">
        <f t="shared" ca="1" si="220"/>
        <v>-2.1390087098791977</v>
      </c>
      <c r="CC220" s="6">
        <f t="shared" ca="1" si="221"/>
        <v>-10.226714927274651</v>
      </c>
      <c r="CD220" s="9">
        <f t="shared" si="222"/>
        <v>-117.64450178987386</v>
      </c>
      <c r="CE220" s="9">
        <f t="shared" si="223"/>
        <v>2.3635076041774141</v>
      </c>
      <c r="CF220" s="6">
        <f t="shared" si="224"/>
        <v>3.1215051045729232</v>
      </c>
      <c r="CG220" s="6"/>
      <c r="CH220" s="6"/>
      <c r="CI220" s="6"/>
      <c r="CJ220" s="1"/>
      <c r="CK220" s="6"/>
    </row>
    <row r="221" spans="55:89" x14ac:dyDescent="0.25">
      <c r="BC221">
        <v>3.8222710618675633</v>
      </c>
      <c r="BD221">
        <v>-14.495867379506088</v>
      </c>
      <c r="BE221">
        <v>-34.729847056943733</v>
      </c>
      <c r="BF221" s="6">
        <f t="shared" si="211"/>
        <v>4.3169822634947348</v>
      </c>
      <c r="BG221" s="6">
        <f t="shared" si="212"/>
        <v>0.49471120162717153</v>
      </c>
      <c r="BH221" s="6">
        <f t="shared" si="213"/>
        <v>1.6747462492069844</v>
      </c>
      <c r="BI221" s="6">
        <f t="shared" si="214"/>
        <v>1.6747462492069844</v>
      </c>
      <c r="BJ221">
        <v>-22.301334430009366</v>
      </c>
      <c r="BK221">
        <v>-53.430533933759584</v>
      </c>
      <c r="BV221" s="37"/>
      <c r="BW221" s="6">
        <f t="shared" si="215"/>
        <v>3.595378259108303</v>
      </c>
      <c r="BX221" s="9">
        <f t="shared" ca="1" si="216"/>
        <v>-175.88056815062737</v>
      </c>
      <c r="BY221" s="9">
        <f t="shared" ca="1" si="217"/>
        <v>-43.395679069208619</v>
      </c>
      <c r="BZ221" s="9">
        <f t="shared" ca="1" si="218"/>
        <v>-17.42690863978433</v>
      </c>
      <c r="CA221" s="6">
        <f t="shared" ca="1" si="219"/>
        <v>-28.130012952989887</v>
      </c>
      <c r="CB221" s="6">
        <f t="shared" ca="1" si="220"/>
        <v>-2.1254401985444451</v>
      </c>
      <c r="CC221" s="6">
        <f t="shared" ca="1" si="221"/>
        <v>-10.32075798503323</v>
      </c>
      <c r="CD221" s="9">
        <f t="shared" si="222"/>
        <v>-117.42690863978433</v>
      </c>
      <c r="CE221" s="9">
        <f t="shared" si="223"/>
        <v>1.8699870470101132</v>
      </c>
      <c r="CF221" s="6">
        <f t="shared" si="224"/>
        <v>3.1256693101318178</v>
      </c>
      <c r="CG221" s="6"/>
      <c r="CH221" s="6"/>
      <c r="CI221" s="6"/>
      <c r="CJ221" s="1"/>
      <c r="CK221" s="6"/>
    </row>
    <row r="222" spans="55:89" x14ac:dyDescent="0.25">
      <c r="BC222">
        <v>3.8397243543875064</v>
      </c>
      <c r="BD222">
        <v>-13.864244156066341</v>
      </c>
      <c r="BE222">
        <v>-35.822293944487861</v>
      </c>
      <c r="BF222" s="6">
        <f t="shared" si="211"/>
        <v>4.3431148111234386</v>
      </c>
      <c r="BG222" s="6">
        <f t="shared" si="212"/>
        <v>0.50339045673593219</v>
      </c>
      <c r="BH222" s="6">
        <f t="shared" si="213"/>
        <v>1.6486137015782807</v>
      </c>
      <c r="BI222" s="6">
        <f t="shared" si="214"/>
        <v>1.6486137015782807</v>
      </c>
      <c r="BJ222">
        <v>-21.329606393948218</v>
      </c>
      <c r="BK222">
        <v>-55.111221453058242</v>
      </c>
      <c r="BV222" s="37"/>
      <c r="BW222" s="6">
        <f t="shared" si="215"/>
        <v>3.6128315516282461</v>
      </c>
      <c r="BX222" s="9">
        <f t="shared" ca="1" si="216"/>
        <v>-175.6651626068718</v>
      </c>
      <c r="BY222" s="9">
        <f t="shared" ca="1" si="217"/>
        <v>-43.887242584425771</v>
      </c>
      <c r="BZ222" s="9">
        <f t="shared" ca="1" si="218"/>
        <v>-17.211503096028764</v>
      </c>
      <c r="CA222" s="6">
        <f t="shared" ca="1" si="219"/>
        <v>-28.621576468207039</v>
      </c>
      <c r="CB222" s="6">
        <f t="shared" ca="1" si="220"/>
        <v>-2.1122057810807959</v>
      </c>
      <c r="CC222" s="6">
        <f t="shared" ca="1" si="221"/>
        <v>-10.41146469092409</v>
      </c>
      <c r="CD222" s="9">
        <f t="shared" si="222"/>
        <v>-117.21150309602875</v>
      </c>
      <c r="CE222" s="9">
        <f t="shared" si="223"/>
        <v>1.3784235317929614</v>
      </c>
      <c r="CF222" s="6">
        <f t="shared" si="224"/>
        <v>3.129833057006381</v>
      </c>
      <c r="CG222" s="6"/>
      <c r="CH222" s="6"/>
      <c r="CI222" s="6"/>
      <c r="CJ222" s="1"/>
      <c r="CK222" s="6"/>
    </row>
    <row r="223" spans="55:89" x14ac:dyDescent="0.25">
      <c r="BC223">
        <v>3.8571776469074495</v>
      </c>
      <c r="BD223">
        <v>-12.409004084443882</v>
      </c>
      <c r="BE223">
        <v>-38.064424004920582</v>
      </c>
      <c r="BF223" s="6">
        <f t="shared" si="211"/>
        <v>4.397252837394996</v>
      </c>
      <c r="BG223" s="6">
        <f t="shared" si="212"/>
        <v>0.54007519048754649</v>
      </c>
      <c r="BH223" s="6">
        <f t="shared" si="213"/>
        <v>1.5944756753067233</v>
      </c>
      <c r="BI223" s="6">
        <f t="shared" si="214"/>
        <v>1.5944756753067233</v>
      </c>
      <c r="BJ223">
        <v>-19.090775514529049</v>
      </c>
      <c r="BK223">
        <v>-58.560652315262431</v>
      </c>
      <c r="BV223" s="37"/>
      <c r="BW223" s="6">
        <f t="shared" si="215"/>
        <v>3.6302848441481892</v>
      </c>
      <c r="BX223" s="9">
        <f t="shared" ca="1" si="216"/>
        <v>-175.45099674989177</v>
      </c>
      <c r="BY223" s="9">
        <f t="shared" ca="1" si="217"/>
        <v>-44.378100408753909</v>
      </c>
      <c r="BZ223" s="9">
        <f t="shared" ca="1" si="218"/>
        <v>-16.997337239048733</v>
      </c>
      <c r="CA223" s="6">
        <f t="shared" ca="1" si="219"/>
        <v>-29.112434292535177</v>
      </c>
      <c r="CB223" s="6">
        <f t="shared" ca="1" si="220"/>
        <v>-2.0992572689130555</v>
      </c>
      <c r="CC223" s="6">
        <f t="shared" ca="1" si="221"/>
        <v>-10.499214434912522</v>
      </c>
      <c r="CD223" s="9">
        <f t="shared" si="222"/>
        <v>-116.99733723904873</v>
      </c>
      <c r="CE223" s="9">
        <f t="shared" si="223"/>
        <v>0.88756570746481955</v>
      </c>
      <c r="CF223" s="6">
        <f t="shared" si="224"/>
        <v>3.1340065947752782</v>
      </c>
      <c r="CG223" s="6"/>
      <c r="CH223" s="6"/>
      <c r="CI223" s="6"/>
      <c r="CJ223" s="1"/>
      <c r="CK223" s="6"/>
    </row>
    <row r="224" spans="55:89" x14ac:dyDescent="0.25">
      <c r="BC224">
        <v>3.8746309394273926</v>
      </c>
      <c r="BD224">
        <v>-10.176013401634314</v>
      </c>
      <c r="BE224">
        <v>-41.321661804591635</v>
      </c>
      <c r="BF224" s="6">
        <f t="shared" si="211"/>
        <v>4.4709301866434545</v>
      </c>
      <c r="BG224" s="6">
        <f t="shared" si="212"/>
        <v>0.59629924721606198</v>
      </c>
      <c r="BH224" s="6">
        <f t="shared" si="213"/>
        <v>1.5207983260582649</v>
      </c>
      <c r="BI224" s="6">
        <f t="shared" si="214"/>
        <v>1.5207983260582649</v>
      </c>
      <c r="BJ224">
        <v>-15.65540523328356</v>
      </c>
      <c r="BK224">
        <v>-63.571787391679436</v>
      </c>
      <c r="BV224" s="37"/>
      <c r="BW224" s="6">
        <f t="shared" si="215"/>
        <v>3.6477381366681323</v>
      </c>
      <c r="BX224" s="9">
        <f t="shared" ca="1" si="216"/>
        <v>-175.23719176665114</v>
      </c>
      <c r="BY224" s="9">
        <f t="shared" ca="1" si="217"/>
        <v>-44.869361534360543</v>
      </c>
      <c r="BZ224" s="9">
        <f t="shared" ca="1" si="218"/>
        <v>-16.783532255808097</v>
      </c>
      <c r="CA224" s="6">
        <f t="shared" ca="1" si="219"/>
        <v>-29.603695418141811</v>
      </c>
      <c r="CB224" s="6">
        <f t="shared" ca="1" si="220"/>
        <v>-2.0865525433533589</v>
      </c>
      <c r="CC224" s="6">
        <f t="shared" ca="1" si="221"/>
        <v>-10.584335943429332</v>
      </c>
      <c r="CD224" s="9">
        <f t="shared" si="222"/>
        <v>-116.7835322558081</v>
      </c>
      <c r="CE224" s="9">
        <f t="shared" si="223"/>
        <v>0.3963045818581854</v>
      </c>
      <c r="CF224" s="6">
        <f t="shared" si="224"/>
        <v>3.1381991694832938</v>
      </c>
      <c r="CG224" s="6"/>
      <c r="CH224" s="6"/>
      <c r="CI224" s="6"/>
      <c r="CJ224" s="1"/>
      <c r="CK224" s="6"/>
    </row>
    <row r="225" spans="55:89" x14ac:dyDescent="0.25">
      <c r="BC225">
        <v>3.8920842319473357</v>
      </c>
      <c r="BD225">
        <v>-7.2005918098690351</v>
      </c>
      <c r="BE225">
        <v>-45.485645936925891</v>
      </c>
      <c r="BF225" s="6">
        <f t="shared" si="211"/>
        <v>4.5553871316941965</v>
      </c>
      <c r="BG225" s="6">
        <f t="shared" si="212"/>
        <v>0.66330289974686085</v>
      </c>
      <c r="BH225" s="6">
        <f t="shared" si="213"/>
        <v>1.436341381007523</v>
      </c>
      <c r="BI225" s="6">
        <f t="shared" si="214"/>
        <v>1.436341381007523</v>
      </c>
      <c r="BJ225">
        <v>-11.07783355364467</v>
      </c>
      <c r="BK225">
        <v>-69.977916826039831</v>
      </c>
      <c r="BV225" s="37"/>
      <c r="BW225" s="6">
        <f t="shared" si="215"/>
        <v>3.6651914291880754</v>
      </c>
      <c r="BX225" s="9">
        <f t="shared" ca="1" si="216"/>
        <v>-175.02292253368807</v>
      </c>
      <c r="BY225" s="9">
        <f t="shared" ca="1" si="217"/>
        <v>-45.362024962928857</v>
      </c>
      <c r="BZ225" s="9">
        <f t="shared" ca="1" si="218"/>
        <v>-16.569263022845035</v>
      </c>
      <c r="CA225" s="6">
        <f t="shared" ca="1" si="219"/>
        <v>-30.096358846710125</v>
      </c>
      <c r="CB225" s="6">
        <f t="shared" ca="1" si="220"/>
        <v>-2.074054377889238</v>
      </c>
      <c r="CC225" s="6">
        <f t="shared" ca="1" si="221"/>
        <v>-10.667116527790075</v>
      </c>
      <c r="CD225" s="9">
        <f t="shared" si="222"/>
        <v>-116.56926302284505</v>
      </c>
      <c r="CE225" s="9">
        <f t="shared" si="223"/>
        <v>-9.6358846710124624E-2</v>
      </c>
      <c r="CF225" s="6">
        <f t="shared" si="224"/>
        <v>-3.1407660306682454</v>
      </c>
      <c r="CG225" s="6"/>
      <c r="CH225" s="6"/>
      <c r="CI225" s="6"/>
      <c r="CJ225" s="1"/>
      <c r="CK225" s="6"/>
    </row>
    <row r="226" spans="55:89" x14ac:dyDescent="0.25">
      <c r="BC226">
        <v>3.9095375244672788</v>
      </c>
      <c r="BD226">
        <v>-3.5070399497782319</v>
      </c>
      <c r="BE226">
        <v>-50.471590779781927</v>
      </c>
      <c r="BF226" s="6">
        <f t="shared" si="211"/>
        <v>4.6430150626615223</v>
      </c>
      <c r="BG226" s="6">
        <f t="shared" si="212"/>
        <v>0.73347753819424355</v>
      </c>
      <c r="BH226" s="6">
        <f t="shared" si="213"/>
        <v>1.3487134500401972</v>
      </c>
      <c r="BI226" s="6">
        <f t="shared" si="214"/>
        <v>1.3487134500401972</v>
      </c>
      <c r="BJ226">
        <v>-5.3954460765818952</v>
      </c>
      <c r="BK226">
        <v>-77.648601199664498</v>
      </c>
      <c r="BV226" s="37"/>
      <c r="BW226" s="6">
        <f t="shared" si="215"/>
        <v>3.6826447217080185</v>
      </c>
      <c r="BX226" s="9">
        <f t="shared" ca="1" si="216"/>
        <v>-174.80740449191518</v>
      </c>
      <c r="BY226" s="9">
        <f t="shared" ca="1" si="217"/>
        <v>-45.857005304776237</v>
      </c>
      <c r="BZ226" s="9">
        <f t="shared" ca="1" si="218"/>
        <v>-16.35374498107214</v>
      </c>
      <c r="CA226" s="6">
        <f t="shared" ca="1" si="219"/>
        <v>-30.591339188557505</v>
      </c>
      <c r="CB226" s="6">
        <f t="shared" ca="1" si="220"/>
        <v>-2.0617295068360209</v>
      </c>
      <c r="CC226" s="6">
        <f t="shared" ca="1" si="221"/>
        <v>-10.747809373462388</v>
      </c>
      <c r="CD226" s="9">
        <f t="shared" si="222"/>
        <v>-116.35374498107214</v>
      </c>
      <c r="CE226" s="9">
        <f t="shared" si="223"/>
        <v>-0.59133918855750878</v>
      </c>
      <c r="CF226" s="6">
        <f t="shared" si="224"/>
        <v>-3.1365104441822598</v>
      </c>
      <c r="CG226" s="6"/>
      <c r="CH226" s="6"/>
      <c r="CI226" s="6"/>
      <c r="CJ226" s="1"/>
      <c r="CK226" s="6"/>
    </row>
    <row r="227" spans="55:89" x14ac:dyDescent="0.25">
      <c r="BC227">
        <v>3.9269908169872219</v>
      </c>
      <c r="BD227">
        <v>0.8902353865886754</v>
      </c>
      <c r="BE227">
        <v>-56.214023434548388</v>
      </c>
      <c r="BF227" s="6">
        <f t="shared" si="211"/>
        <v>4.7282241923291206</v>
      </c>
      <c r="BG227" s="6">
        <f t="shared" si="212"/>
        <v>0.80123337534189876</v>
      </c>
      <c r="BH227" s="6">
        <f t="shared" si="213"/>
        <v>1.2635043203725989</v>
      </c>
      <c r="BI227" s="6">
        <f t="shared" si="214"/>
        <v>1.2635043203725989</v>
      </c>
      <c r="BJ227">
        <v>1.369592902444116</v>
      </c>
      <c r="BK227">
        <v>-86.483112976228284</v>
      </c>
      <c r="BV227" s="37"/>
      <c r="BW227" s="6">
        <f t="shared" si="215"/>
        <v>3.7000980142279616</v>
      </c>
      <c r="BX227" s="9">
        <f t="shared" ca="1" si="216"/>
        <v>-174.58988227595179</v>
      </c>
      <c r="BY227" s="9">
        <f t="shared" ca="1" si="217"/>
        <v>-46.355153300063193</v>
      </c>
      <c r="BZ227" s="9">
        <f t="shared" ca="1" si="218"/>
        <v>-16.136222765108755</v>
      </c>
      <c r="CA227" s="6">
        <f t="shared" ca="1" si="219"/>
        <v>-31.089487183844462</v>
      </c>
      <c r="CB227" s="6">
        <f t="shared" ca="1" si="220"/>
        <v>-2.0495478802733356</v>
      </c>
      <c r="CC227" s="6">
        <f t="shared" ca="1" si="221"/>
        <v>-10.826639341658876</v>
      </c>
      <c r="CD227" s="9">
        <f t="shared" si="222"/>
        <v>-116.13622276510876</v>
      </c>
      <c r="CE227" s="9">
        <f t="shared" si="223"/>
        <v>-1.0894871838444615</v>
      </c>
      <c r="CF227" s="6">
        <f t="shared" si="224"/>
        <v>-3.132211814439223</v>
      </c>
      <c r="CG227" s="6"/>
      <c r="CH227" s="6"/>
      <c r="CI227" s="6"/>
      <c r="CJ227" s="1"/>
      <c r="CK227" s="6"/>
    </row>
    <row r="228" spans="55:89" x14ac:dyDescent="0.25">
      <c r="BC228">
        <v>3.944444109507165</v>
      </c>
      <c r="BD228">
        <v>5.985910581954883</v>
      </c>
      <c r="BE228">
        <v>-62.663517743766675</v>
      </c>
      <c r="BF228" s="6">
        <f t="shared" si="211"/>
        <v>4.8076246577392041</v>
      </c>
      <c r="BG228" s="6">
        <f t="shared" si="212"/>
        <v>0.86318054823203916</v>
      </c>
      <c r="BH228" s="6">
        <f t="shared" si="213"/>
        <v>1.1841038549625154</v>
      </c>
      <c r="BI228" s="6">
        <f t="shared" si="214"/>
        <v>1.1841038549625154</v>
      </c>
      <c r="BJ228">
        <v>9.2090932030075123</v>
      </c>
      <c r="BK228">
        <v>-96.405411913487185</v>
      </c>
      <c r="BV228" s="37"/>
      <c r="BW228" s="6">
        <f t="shared" si="215"/>
        <v>3.7175513067479047</v>
      </c>
      <c r="BX228" s="9">
        <f t="shared" ca="1" si="216"/>
        <v>-174.36961967562439</v>
      </c>
      <c r="BY228" s="9">
        <f t="shared" ca="1" si="217"/>
        <v>-46.857272510186483</v>
      </c>
      <c r="BZ228" s="9">
        <f t="shared" ca="1" si="218"/>
        <v>-15.915960164781353</v>
      </c>
      <c r="CA228" s="6">
        <f t="shared" ca="1" si="219"/>
        <v>-31.591606393967751</v>
      </c>
      <c r="CB228" s="6">
        <f t="shared" ca="1" si="220"/>
        <v>-2.0374820610660622</v>
      </c>
      <c r="CC228" s="6">
        <f t="shared" ca="1" si="221"/>
        <v>-10.903807629113832</v>
      </c>
      <c r="CD228" s="9">
        <f t="shared" si="222"/>
        <v>-115.91596016478137</v>
      </c>
      <c r="CE228" s="9">
        <f t="shared" si="223"/>
        <v>-1.5916063939677549</v>
      </c>
      <c r="CF228" s="6">
        <f t="shared" si="224"/>
        <v>-3.1278628239774453</v>
      </c>
      <c r="CG228" s="6"/>
      <c r="CH228" s="6"/>
      <c r="CI228" s="6"/>
      <c r="CJ228" s="1"/>
      <c r="CK228" s="6"/>
    </row>
    <row r="229" spans="55:89" x14ac:dyDescent="0.25">
      <c r="BC229">
        <v>3.9618974020271081</v>
      </c>
      <c r="BD229">
        <v>11.783210391668256</v>
      </c>
      <c r="BE229">
        <v>-69.784200024416748</v>
      </c>
      <c r="BF229" s="6">
        <f t="shared" si="211"/>
        <v>4.87966329213699</v>
      </c>
      <c r="BG229" s="6">
        <f t="shared" si="212"/>
        <v>0.91776589010988197</v>
      </c>
      <c r="BH229" s="6">
        <f t="shared" si="213"/>
        <v>1.1120652205647295</v>
      </c>
      <c r="BI229" s="6">
        <f t="shared" si="214"/>
        <v>1.1120652205647295</v>
      </c>
      <c r="BJ229">
        <v>18.128015987181932</v>
      </c>
      <c r="BK229">
        <v>-107.36030772987192</v>
      </c>
      <c r="BV229" s="37"/>
      <c r="BW229" s="6">
        <f t="shared" si="215"/>
        <v>3.7350045992678478</v>
      </c>
      <c r="BX229" s="9">
        <f t="shared" ca="1" si="216"/>
        <v>-174.1458905915153</v>
      </c>
      <c r="BY229" s="9">
        <f t="shared" ca="1" si="217"/>
        <v>-47.364133111335335</v>
      </c>
      <c r="BZ229" s="9">
        <f t="shared" ca="1" si="218"/>
        <v>-15.692231080672258</v>
      </c>
      <c r="CA229" s="6">
        <f t="shared" ca="1" si="219"/>
        <v>-32.098466995116603</v>
      </c>
      <c r="CB229" s="6">
        <f t="shared" ca="1" si="220"/>
        <v>-2.0255067310698189</v>
      </c>
      <c r="CC229" s="6">
        <f t="shared" ca="1" si="221"/>
        <v>-10.979495542517119</v>
      </c>
      <c r="CD229" s="9">
        <f t="shared" si="222"/>
        <v>-115.69223108067226</v>
      </c>
      <c r="CE229" s="9">
        <f t="shared" si="223"/>
        <v>-2.0984669951166026</v>
      </c>
      <c r="CF229" s="6">
        <f t="shared" si="224"/>
        <v>-3.1234562853215309</v>
      </c>
      <c r="CG229" s="6"/>
      <c r="CH229" s="6"/>
      <c r="CI229" s="6"/>
      <c r="CJ229" s="1"/>
      <c r="CK229" s="6"/>
    </row>
    <row r="230" spans="55:89" x14ac:dyDescent="0.25">
      <c r="BC230">
        <v>3.9793506945470511</v>
      </c>
      <c r="BD230">
        <v>18.422065727112628</v>
      </c>
      <c r="BE230">
        <v>-77.968798619427545</v>
      </c>
      <c r="BF230" s="6">
        <f t="shared" si="211"/>
        <v>4.9444087225373501</v>
      </c>
      <c r="BG230" s="6">
        <f t="shared" si="212"/>
        <v>0.96505802799029894</v>
      </c>
      <c r="BH230" s="6">
        <f t="shared" si="213"/>
        <v>1.0473197901643694</v>
      </c>
      <c r="BI230" s="6">
        <f t="shared" si="214"/>
        <v>1.0473197901643694</v>
      </c>
      <c r="BJ230">
        <v>28.187087465426725</v>
      </c>
      <c r="BK230">
        <v>-119.29787781755482</v>
      </c>
      <c r="BV230" s="37"/>
      <c r="BW230" s="6">
        <f t="shared" si="215"/>
        <v>3.7524578917877909</v>
      </c>
      <c r="BX230" s="9">
        <f t="shared" ca="1" si="216"/>
        <v>-173.91797070821406</v>
      </c>
      <c r="BY230" s="9">
        <f t="shared" ca="1" si="217"/>
        <v>-47.876483494651843</v>
      </c>
      <c r="BZ230" s="9">
        <f t="shared" ca="1" si="218"/>
        <v>-15.464311197371018</v>
      </c>
      <c r="CA230" s="6">
        <f t="shared" ca="1" si="219"/>
        <v>-32.610817378433111</v>
      </c>
      <c r="CB230" s="6">
        <f t="shared" ca="1" si="220"/>
        <v>-2.0135982817517482</v>
      </c>
      <c r="CC230" s="6">
        <f t="shared" ca="1" si="221"/>
        <v>-11.053867579676355</v>
      </c>
      <c r="CD230" s="9">
        <f t="shared" si="222"/>
        <v>-115.46431119737102</v>
      </c>
      <c r="CE230" s="9">
        <f t="shared" si="223"/>
        <v>-2.6108173784331115</v>
      </c>
      <c r="CF230" s="6">
        <f t="shared" si="224"/>
        <v>-3.1189850397193837</v>
      </c>
      <c r="CG230" s="6"/>
      <c r="CH230" s="6"/>
      <c r="CI230" s="6"/>
      <c r="CJ230" s="1"/>
      <c r="CK230" s="6"/>
    </row>
    <row r="231" spans="55:89" x14ac:dyDescent="0.25">
      <c r="BC231">
        <v>3.9968039870669942</v>
      </c>
      <c r="BD231">
        <v>25.892879900735959</v>
      </c>
      <c r="BE231">
        <v>-86.917508294131807</v>
      </c>
      <c r="BF231" s="6">
        <f t="shared" si="211"/>
        <v>5.0019196868341815</v>
      </c>
      <c r="BG231" s="6">
        <f t="shared" si="212"/>
        <v>1.0051156997671873</v>
      </c>
      <c r="BH231" s="6">
        <f t="shared" si="213"/>
        <v>0.98980882586753793</v>
      </c>
      <c r="BI231" s="6">
        <f t="shared" si="214"/>
        <v>0.98980882586753793</v>
      </c>
      <c r="BJ231">
        <v>39.152559650131714</v>
      </c>
      <c r="BK231">
        <v>-131.4277492952836</v>
      </c>
      <c r="BV231" s="37"/>
      <c r="BW231" s="6">
        <f t="shared" si="215"/>
        <v>3.769911184307734</v>
      </c>
      <c r="BX231" s="9">
        <f t="shared" ca="1" si="216"/>
        <v>-173.68512965390835</v>
      </c>
      <c r="BY231" s="9">
        <f t="shared" ca="1" si="217"/>
        <v>-48.395060212354998</v>
      </c>
      <c r="BZ231" s="9">
        <f t="shared" ca="1" si="218"/>
        <v>-15.231470143065309</v>
      </c>
      <c r="CA231" s="6">
        <f t="shared" ca="1" si="219"/>
        <v>-33.129394096136267</v>
      </c>
      <c r="CB231" s="6">
        <f t="shared" ca="1" si="220"/>
        <v>-2.001734470367615</v>
      </c>
      <c r="CC231" s="6">
        <f t="shared" ca="1" si="221"/>
        <v>-11.127073962515436</v>
      </c>
      <c r="CD231" s="9">
        <f t="shared" si="222"/>
        <v>-115.23147014306529</v>
      </c>
      <c r="CE231" s="9">
        <f t="shared" si="223"/>
        <v>-3.1293940961362665</v>
      </c>
      <c r="CF231" s="6">
        <f t="shared" si="224"/>
        <v>-3.1144418666191584</v>
      </c>
      <c r="CG231" s="6"/>
      <c r="CH231" s="6"/>
      <c r="CI231" s="6"/>
      <c r="CJ231" s="1"/>
      <c r="CK231" s="6"/>
    </row>
    <row r="232" spans="55:89" x14ac:dyDescent="0.25">
      <c r="BC232">
        <v>4.0142572795869373</v>
      </c>
      <c r="BD232">
        <v>34.224700878742752</v>
      </c>
      <c r="BE232">
        <v>-96.528902126149106</v>
      </c>
      <c r="BF232" s="6">
        <f t="shared" si="211"/>
        <v>5.0531149716959654</v>
      </c>
      <c r="BG232" s="6">
        <f t="shared" si="212"/>
        <v>1.038857692109028</v>
      </c>
      <c r="BH232" s="6">
        <f t="shared" si="213"/>
        <v>0.93861354100575412</v>
      </c>
      <c r="BI232" s="6">
        <f t="shared" si="214"/>
        <v>0.93861354100575412</v>
      </c>
      <c r="BJ232">
        <v>51.062256706593686</v>
      </c>
      <c r="BK232">
        <v>-144.01830997542817</v>
      </c>
      <c r="BV232" s="37"/>
      <c r="BW232" s="6">
        <f t="shared" si="215"/>
        <v>3.7873644768276771</v>
      </c>
      <c r="BX232" s="9">
        <f t="shared" ca="1" si="216"/>
        <v>-173.44662344711287</v>
      </c>
      <c r="BY232" s="9">
        <f t="shared" ca="1" si="217"/>
        <v>-48.920596688680234</v>
      </c>
      <c r="BZ232" s="9">
        <f t="shared" ca="1" si="218"/>
        <v>-14.992963936269831</v>
      </c>
      <c r="CA232" s="6">
        <f t="shared" ca="1" si="219"/>
        <v>-33.654930572461502</v>
      </c>
      <c r="CB232" s="6">
        <f t="shared" ca="1" si="220"/>
        <v>-1.9898941271713175</v>
      </c>
      <c r="CC232" s="6">
        <f t="shared" ca="1" si="221"/>
        <v>-11.19925273236686</v>
      </c>
      <c r="CD232" s="9">
        <f t="shared" si="222"/>
        <v>-114.99296393626983</v>
      </c>
      <c r="CE232" s="9">
        <f t="shared" si="223"/>
        <v>-3.6549305724615024</v>
      </c>
      <c r="CF232" s="6">
        <f t="shared" si="224"/>
        <v>-3.1098194004080035</v>
      </c>
      <c r="CG232" s="6"/>
      <c r="CH232" s="6"/>
      <c r="CI232" s="6"/>
      <c r="CJ232" s="1"/>
      <c r="CK232" s="6"/>
    </row>
    <row r="233" spans="55:89" x14ac:dyDescent="0.25">
      <c r="BC233">
        <v>4.0317105721068804</v>
      </c>
      <c r="BD233">
        <v>43.56400856934151</v>
      </c>
      <c r="BE233">
        <v>-107.04036975016194</v>
      </c>
      <c r="BF233" s="6">
        <f t="shared" si="211"/>
        <v>5.0989038403814817</v>
      </c>
      <c r="BG233" s="6">
        <f t="shared" si="212"/>
        <v>1.0671932682746013</v>
      </c>
      <c r="BH233" s="6">
        <f t="shared" si="213"/>
        <v>0.89282467232023777</v>
      </c>
      <c r="BI233" s="6">
        <f t="shared" si="214"/>
        <v>0.89282467232023777</v>
      </c>
      <c r="BJ233">
        <v>64.070846708472232</v>
      </c>
      <c r="BK233">
        <v>-157.42736600936442</v>
      </c>
      <c r="BV233" s="37"/>
      <c r="BW233" s="6">
        <f t="shared" si="215"/>
        <v>3.8048177693476202</v>
      </c>
      <c r="BX233" s="9">
        <f t="shared" ca="1" si="216"/>
        <v>-173.20168705361385</v>
      </c>
      <c r="BY233" s="9">
        <f t="shared" ca="1" si="217"/>
        <v>-49.453831026168004</v>
      </c>
      <c r="BZ233" s="9">
        <f t="shared" ca="1" si="218"/>
        <v>-14.748027542770814</v>
      </c>
      <c r="CA233" s="6">
        <f t="shared" ca="1" si="219"/>
        <v>-34.188164909949272</v>
      </c>
      <c r="CB233" s="6">
        <f t="shared" ca="1" si="220"/>
        <v>-1.9780569023415975</v>
      </c>
      <c r="CC233" s="6">
        <f t="shared" ca="1" si="221"/>
        <v>-11.270531492104556</v>
      </c>
      <c r="CD233" s="9">
        <f t="shared" si="222"/>
        <v>-114.74802754277081</v>
      </c>
      <c r="CE233" s="9">
        <f t="shared" si="223"/>
        <v>-4.1881649099492719</v>
      </c>
      <c r="CF233" s="6">
        <f t="shared" si="224"/>
        <v>-3.1051100515520531</v>
      </c>
      <c r="CG233" s="6"/>
      <c r="CH233" s="6"/>
      <c r="CI233" s="6"/>
      <c r="CJ233" s="1"/>
      <c r="CK233" s="6"/>
    </row>
    <row r="234" spans="55:89" x14ac:dyDescent="0.25">
      <c r="BC234">
        <v>4.0491638646268235</v>
      </c>
      <c r="BD234">
        <v>54.019174644584922</v>
      </c>
      <c r="BE234">
        <v>-118.52722190410682</v>
      </c>
      <c r="BF234" s="6">
        <f t="shared" si="211"/>
        <v>5.1400170553356395</v>
      </c>
      <c r="BG234" s="6">
        <f t="shared" si="212"/>
        <v>1.0908531907088159</v>
      </c>
      <c r="BH234" s="6">
        <f t="shared" si="213"/>
        <v>0.85171145736608</v>
      </c>
      <c r="BI234" s="6">
        <f t="shared" si="214"/>
        <v>0.85171145736608</v>
      </c>
      <c r="BJ234">
        <v>78.241716799781273</v>
      </c>
      <c r="BK234">
        <v>-171.67558353680982</v>
      </c>
      <c r="BV234" s="37"/>
      <c r="BW234" s="6">
        <f t="shared" si="215"/>
        <v>3.8222710618675633</v>
      </c>
      <c r="BX234" s="9">
        <f t="shared" ca="1" si="216"/>
        <v>-172.94952689034912</v>
      </c>
      <c r="BY234" s="9">
        <f t="shared" ca="1" si="217"/>
        <v>-49.995513173162465</v>
      </c>
      <c r="BZ234" s="9">
        <f t="shared" ca="1" si="218"/>
        <v>-14.49586737950608</v>
      </c>
      <c r="CA234" s="6">
        <f t="shared" ca="1" si="219"/>
        <v>-34.729847056943733</v>
      </c>
      <c r="CB234" s="6">
        <f t="shared" ca="1" si="220"/>
        <v>-1.9662030436848508</v>
      </c>
      <c r="CC234" s="6">
        <f t="shared" ca="1" si="221"/>
        <v>-11.341028860194273</v>
      </c>
      <c r="CD234" s="9">
        <f t="shared" si="222"/>
        <v>-114.49586737950608</v>
      </c>
      <c r="CE234" s="9">
        <f t="shared" si="223"/>
        <v>-4.7298470569437328</v>
      </c>
      <c r="CF234" s="6">
        <f t="shared" si="224"/>
        <v>-3.1003059297042781</v>
      </c>
      <c r="CG234" s="6"/>
      <c r="CH234" s="6"/>
      <c r="CI234" s="6"/>
      <c r="CJ234" s="1"/>
      <c r="CK234" s="6"/>
    </row>
    <row r="235" spans="55:89" x14ac:dyDescent="0.25">
      <c r="BC235">
        <v>4.0666171571467666</v>
      </c>
      <c r="BD235">
        <v>65.720131379673816</v>
      </c>
      <c r="BE235">
        <v>-131.08145975110264</v>
      </c>
      <c r="BF235" s="6">
        <f t="shared" si="211"/>
        <v>5.1771308907348894</v>
      </c>
      <c r="BG235" s="6">
        <f t="shared" si="212"/>
        <v>1.1105137335881228</v>
      </c>
      <c r="BH235" s="6">
        <f t="shared" si="213"/>
        <v>0.81459762196683005</v>
      </c>
      <c r="BI235" s="6">
        <f t="shared" si="214"/>
        <v>0.81459762196683005</v>
      </c>
      <c r="BJ235">
        <v>93.653208657462898</v>
      </c>
      <c r="BK235">
        <v>-186.7951119919957</v>
      </c>
      <c r="BV235" s="37"/>
      <c r="BW235" s="6">
        <f t="shared" si="215"/>
        <v>3.8397243543875064</v>
      </c>
      <c r="BX235" s="9">
        <f t="shared" ca="1" si="216"/>
        <v>-172.31790366690939</v>
      </c>
      <c r="BY235" s="9">
        <f t="shared" ca="1" si="217"/>
        <v>-51.087960060706592</v>
      </c>
      <c r="BZ235" s="9">
        <f t="shared" ca="1" si="218"/>
        <v>-13.864244156066349</v>
      </c>
      <c r="CA235" s="6">
        <f t="shared" ca="1" si="219"/>
        <v>-35.822293944487861</v>
      </c>
      <c r="CB235" s="6">
        <f t="shared" ca="1" si="220"/>
        <v>-1.9400704960561483</v>
      </c>
      <c r="CC235" s="6">
        <f t="shared" ca="1" si="221"/>
        <v>-11.504330073472044</v>
      </c>
      <c r="CD235" s="9">
        <f t="shared" si="222"/>
        <v>-113.86424415606635</v>
      </c>
      <c r="CE235" s="9">
        <f t="shared" si="223"/>
        <v>-5.8222939444878605</v>
      </c>
      <c r="CF235" s="6">
        <f t="shared" si="224"/>
        <v>-3.0905035034033528</v>
      </c>
      <c r="CG235" s="6"/>
      <c r="CH235" s="6"/>
      <c r="CI235" s="6"/>
      <c r="CJ235" s="1"/>
      <c r="CK235" s="6"/>
    </row>
    <row r="236" spans="55:89" x14ac:dyDescent="0.25">
      <c r="BC236">
        <v>4.0840704496667097</v>
      </c>
      <c r="BD236">
        <v>74.426874702742879</v>
      </c>
      <c r="BE236">
        <v>-138.51382782222973</v>
      </c>
      <c r="BF236" s="6">
        <f t="shared" si="211"/>
        <v>5.2054484733465767</v>
      </c>
      <c r="BG236" s="6">
        <f t="shared" si="212"/>
        <v>1.1213780236798669</v>
      </c>
      <c r="BH236" s="6">
        <f t="shared" si="213"/>
        <v>0.78628003935514279</v>
      </c>
      <c r="BI236" s="6">
        <f t="shared" si="214"/>
        <v>0.78628003935514279</v>
      </c>
      <c r="BJ236">
        <v>105.92811558841963</v>
      </c>
      <c r="BK236">
        <v>-197.13992859096734</v>
      </c>
      <c r="BV236" s="37"/>
      <c r="BW236" s="6">
        <f t="shared" si="215"/>
        <v>3.8571776469074495</v>
      </c>
      <c r="BX236" s="9">
        <f t="shared" ca="1" si="216"/>
        <v>-170.86266359528693</v>
      </c>
      <c r="BY236" s="9">
        <f t="shared" ca="1" si="217"/>
        <v>-53.330090121139314</v>
      </c>
      <c r="BZ236" s="9">
        <f t="shared" ca="1" si="218"/>
        <v>-12.409004084443893</v>
      </c>
      <c r="CA236" s="6">
        <f t="shared" ca="1" si="219"/>
        <v>-38.064424004920582</v>
      </c>
      <c r="CB236" s="6">
        <f t="shared" ca="1" si="220"/>
        <v>-1.8859324697845901</v>
      </c>
      <c r="CC236" s="6">
        <f t="shared" ca="1" si="221"/>
        <v>-11.840410899044576</v>
      </c>
      <c r="CD236" s="9">
        <f t="shared" si="222"/>
        <v>-112.40900408444388</v>
      </c>
      <c r="CE236" s="9">
        <f t="shared" si="223"/>
        <v>-8.064424004920582</v>
      </c>
      <c r="CF236" s="6">
        <f t="shared" si="224"/>
        <v>-3.0699735596890476</v>
      </c>
      <c r="CG236" s="6"/>
      <c r="CH236" s="6"/>
      <c r="CI236" s="6"/>
      <c r="CJ236" s="1"/>
      <c r="CK236" s="6"/>
    </row>
    <row r="237" spans="55:89" x14ac:dyDescent="0.25">
      <c r="BC237">
        <v>4.1015237421866528</v>
      </c>
      <c r="BD237">
        <v>82.907596074829755</v>
      </c>
      <c r="BE237">
        <v>-145.26251352192594</v>
      </c>
      <c r="BF237" s="6">
        <f t="shared" si="211"/>
        <v>5.2310182996366468</v>
      </c>
      <c r="BG237" s="6">
        <f t="shared" si="212"/>
        <v>1.1294945574499939</v>
      </c>
      <c r="BH237" s="6">
        <f t="shared" si="213"/>
        <v>0.76071021306507269</v>
      </c>
      <c r="BI237" s="6">
        <f t="shared" si="214"/>
        <v>0.76071021306507269</v>
      </c>
      <c r="BJ237">
        <v>118.03733345583484</v>
      </c>
      <c r="BK237">
        <v>-206.81337487755036</v>
      </c>
      <c r="BV237" s="37"/>
      <c r="BW237" s="6">
        <f t="shared" si="215"/>
        <v>3.8746309394273926</v>
      </c>
      <c r="BX237" s="9">
        <f t="shared" ca="1" si="216"/>
        <v>-168.62967291247736</v>
      </c>
      <c r="BY237" s="9">
        <f t="shared" ca="1" si="217"/>
        <v>-56.587327920810367</v>
      </c>
      <c r="BZ237" s="9">
        <f t="shared" ca="1" si="218"/>
        <v>-10.176013401634322</v>
      </c>
      <c r="CA237" s="6">
        <f t="shared" ca="1" si="219"/>
        <v>-41.321661804591635</v>
      </c>
      <c r="CB237" s="6">
        <f t="shared" ca="1" si="220"/>
        <v>-1.8122551205361317</v>
      </c>
      <c r="CC237" s="6">
        <f t="shared" ca="1" si="221"/>
        <v>-12.269371881634758</v>
      </c>
      <c r="CD237" s="9">
        <f t="shared" si="222"/>
        <v>-110.17601340163432</v>
      </c>
      <c r="CE237" s="9">
        <f t="shared" si="223"/>
        <v>-11.321661804591635</v>
      </c>
      <c r="CF237" s="6">
        <f t="shared" si="224"/>
        <v>-3.0391923086996075</v>
      </c>
      <c r="CG237" s="6"/>
      <c r="CH237" s="6"/>
      <c r="CI237" s="6"/>
      <c r="CJ237" s="1"/>
      <c r="CK237" s="6"/>
    </row>
    <row r="238" spans="55:89" x14ac:dyDescent="0.25">
      <c r="BC238">
        <v>4.1189770347065959</v>
      </c>
      <c r="BD238">
        <v>91.135730890731139</v>
      </c>
      <c r="BE238">
        <v>-151.59812892361541</v>
      </c>
      <c r="BF238" s="6">
        <f t="shared" si="211"/>
        <v>5.2536658292303624</v>
      </c>
      <c r="BG238" s="6">
        <f t="shared" si="212"/>
        <v>1.1346887945237665</v>
      </c>
      <c r="BH238" s="6">
        <f t="shared" si="213"/>
        <v>0.73806268347135706</v>
      </c>
      <c r="BI238" s="6">
        <f t="shared" si="214"/>
        <v>0.73806268347135706</v>
      </c>
      <c r="BJ238">
        <v>129.7189774259864</v>
      </c>
      <c r="BK238">
        <v>-215.77875188428717</v>
      </c>
      <c r="BV238" s="37"/>
      <c r="BW238" s="6">
        <f t="shared" si="215"/>
        <v>3.8920842319473357</v>
      </c>
      <c r="BX238" s="9">
        <f t="shared" ca="1" si="216"/>
        <v>-165.65425132071206</v>
      </c>
      <c r="BY238" s="9">
        <f t="shared" ca="1" si="217"/>
        <v>-60.751312053144623</v>
      </c>
      <c r="BZ238" s="9">
        <f t="shared" ca="1" si="218"/>
        <v>-7.2005918098690245</v>
      </c>
      <c r="CA238" s="6">
        <f t="shared" ca="1" si="219"/>
        <v>-45.485645936925891</v>
      </c>
      <c r="CB238" s="6">
        <f t="shared" ca="1" si="220"/>
        <v>-1.7277981754853895</v>
      </c>
      <c r="CC238" s="6">
        <f t="shared" ca="1" si="221"/>
        <v>-12.703320171100206</v>
      </c>
      <c r="CD238" s="9">
        <f t="shared" si="222"/>
        <v>-107.20059180986904</v>
      </c>
      <c r="CE238" s="9">
        <f t="shared" si="223"/>
        <v>-15.485645936925891</v>
      </c>
      <c r="CF238" s="6">
        <f t="shared" si="224"/>
        <v>-2.99813019259541</v>
      </c>
      <c r="CG238" s="6"/>
      <c r="CH238" s="6"/>
      <c r="CI238" s="6"/>
      <c r="CJ238" s="1"/>
      <c r="CK238" s="6"/>
    </row>
    <row r="239" spans="55:89" x14ac:dyDescent="0.25">
      <c r="BC239">
        <v>4.136430327226539</v>
      </c>
      <c r="BD239">
        <v>99.02346736464969</v>
      </c>
      <c r="BE239">
        <v>-157.43567359827586</v>
      </c>
      <c r="BF239" s="6">
        <f t="shared" si="211"/>
        <v>5.273843276654917</v>
      </c>
      <c r="BG239" s="6">
        <f t="shared" si="212"/>
        <v>1.137412949428378</v>
      </c>
      <c r="BH239" s="6">
        <f t="shared" si="213"/>
        <v>0.71788523604680243</v>
      </c>
      <c r="BI239" s="6">
        <f t="shared" si="214"/>
        <v>0.71788523604680243</v>
      </c>
      <c r="BJ239">
        <v>140.81858476360222</v>
      </c>
      <c r="BK239">
        <v>-223.88499754077512</v>
      </c>
      <c r="BV239" s="37"/>
      <c r="BW239" s="6">
        <f t="shared" si="215"/>
        <v>3.9095375244672788</v>
      </c>
      <c r="BX239" s="9">
        <f t="shared" ca="1" si="216"/>
        <v>-161.96069946062127</v>
      </c>
      <c r="BY239" s="9">
        <f t="shared" ca="1" si="217"/>
        <v>-65.737256896000659</v>
      </c>
      <c r="BZ239" s="9">
        <f t="shared" ca="1" si="218"/>
        <v>-3.5070399497782319</v>
      </c>
      <c r="CA239" s="6">
        <f t="shared" ca="1" si="219"/>
        <v>-50.471590779781927</v>
      </c>
      <c r="CB239" s="6">
        <f t="shared" ca="1" si="220"/>
        <v>-1.6401702445180639</v>
      </c>
      <c r="CC239" s="6">
        <f t="shared" ca="1" si="221"/>
        <v>-13.061626666944694</v>
      </c>
      <c r="CD239" s="9">
        <f t="shared" si="222"/>
        <v>-103.50703994977823</v>
      </c>
      <c r="CE239" s="9">
        <f t="shared" si="223"/>
        <v>-20.471590779781927</v>
      </c>
      <c r="CF239" s="6">
        <f t="shared" si="224"/>
        <v>-2.9463329112125334</v>
      </c>
      <c r="CG239" s="6"/>
      <c r="CH239" s="6"/>
      <c r="CI239" s="6"/>
      <c r="CJ239" s="1"/>
      <c r="CK239" s="6"/>
    </row>
    <row r="240" spans="55:89" x14ac:dyDescent="0.25">
      <c r="BC240">
        <v>4.1538836197464821</v>
      </c>
      <c r="BD240">
        <v>106.72631379479644</v>
      </c>
      <c r="BE240">
        <v>-162.9782142378352</v>
      </c>
      <c r="BF240" s="6">
        <f t="shared" si="211"/>
        <v>5.2921662685806954</v>
      </c>
      <c r="BG240" s="6">
        <f t="shared" si="212"/>
        <v>1.1382826488342133</v>
      </c>
      <c r="BH240" s="6">
        <f t="shared" si="213"/>
        <v>0.69956224412102408</v>
      </c>
      <c r="BI240" s="6">
        <f t="shared" si="214"/>
        <v>0.69956224412102408</v>
      </c>
      <c r="BJ240">
        <v>151.61887680306455</v>
      </c>
      <c r="BK240">
        <v>-231.53215835432133</v>
      </c>
      <c r="BV240" s="37"/>
      <c r="BW240" s="6">
        <f t="shared" si="215"/>
        <v>3.9269908169872219</v>
      </c>
      <c r="BX240" s="9">
        <f t="shared" ca="1" si="216"/>
        <v>-157.56342412425437</v>
      </c>
      <c r="BY240" s="9">
        <f t="shared" ca="1" si="217"/>
        <v>-71.479689550767119</v>
      </c>
      <c r="BZ240" s="9">
        <f t="shared" ca="1" si="218"/>
        <v>0.89023538658867096</v>
      </c>
      <c r="CA240" s="6">
        <f t="shared" ca="1" si="219"/>
        <v>-56.214023434548388</v>
      </c>
      <c r="CB240" s="6">
        <f t="shared" ca="1" si="220"/>
        <v>-1.5549611148504656</v>
      </c>
      <c r="CC240" s="6">
        <f t="shared" ca="1" si="221"/>
        <v>-13.280578603482605</v>
      </c>
      <c r="CD240" s="9">
        <f t="shared" si="222"/>
        <v>-99.109764613411329</v>
      </c>
      <c r="CE240" s="9">
        <f t="shared" si="223"/>
        <v>-26.214023434548388</v>
      </c>
      <c r="CF240" s="6">
        <f t="shared" si="224"/>
        <v>-2.8830189751987261</v>
      </c>
      <c r="CG240" s="6"/>
      <c r="CH240" s="6"/>
      <c r="CI240" s="6"/>
      <c r="CJ240" s="1"/>
      <c r="CK240" s="6"/>
    </row>
    <row r="241" spans="55:89" x14ac:dyDescent="0.25">
      <c r="BC241">
        <v>4.1713369122664252</v>
      </c>
      <c r="BD241">
        <v>114.25686613480678</v>
      </c>
      <c r="BE241">
        <v>-168.2486544866623</v>
      </c>
      <c r="BF241" s="6">
        <f t="shared" si="211"/>
        <v>5.3089467198804039</v>
      </c>
      <c r="BG241" s="6">
        <f t="shared" si="212"/>
        <v>1.1376098076139787</v>
      </c>
      <c r="BH241" s="6">
        <f t="shared" si="213"/>
        <v>0.68278179282131557</v>
      </c>
      <c r="BI241" s="6">
        <f t="shared" si="214"/>
        <v>0.68278179282131557</v>
      </c>
      <c r="BJ241">
        <v>162.13537071976418</v>
      </c>
      <c r="BK241">
        <v>-238.75202332357964</v>
      </c>
      <c r="BV241" s="37"/>
      <c r="BW241" s="6">
        <f t="shared" si="215"/>
        <v>3.944444109507165</v>
      </c>
      <c r="BX241" s="9">
        <f t="shared" ca="1" si="216"/>
        <v>-152.46774892888817</v>
      </c>
      <c r="BY241" s="9">
        <f t="shared" ca="1" si="217"/>
        <v>-77.9291838599854</v>
      </c>
      <c r="BZ241" s="9">
        <f t="shared" ca="1" si="218"/>
        <v>5.9859105819548688</v>
      </c>
      <c r="CA241" s="6">
        <f t="shared" ca="1" si="219"/>
        <v>-62.663517743766668</v>
      </c>
      <c r="CB241" s="6">
        <f t="shared" ca="1" si="220"/>
        <v>-1.4755606494403821</v>
      </c>
      <c r="CC241" s="6">
        <f t="shared" ca="1" si="221"/>
        <v>-13.316466257722652</v>
      </c>
      <c r="CD241" s="9">
        <f t="shared" si="222"/>
        <v>-94.014089418045117</v>
      </c>
      <c r="CE241" s="9">
        <f t="shared" si="223"/>
        <v>-32.663517743766675</v>
      </c>
      <c r="CF241" s="6">
        <f t="shared" si="224"/>
        <v>-2.8072072752126473</v>
      </c>
      <c r="CG241" s="6"/>
      <c r="CH241" s="6"/>
      <c r="CI241" s="6"/>
      <c r="CJ241" s="1"/>
      <c r="CK241" s="6"/>
    </row>
    <row r="242" spans="55:89" x14ac:dyDescent="0.25">
      <c r="BC242">
        <v>4.1887902047863683</v>
      </c>
      <c r="BD242">
        <v>121.62649126906445</v>
      </c>
      <c r="BE242">
        <v>-173.26835921105422</v>
      </c>
      <c r="BF242" s="6">
        <f t="shared" si="211"/>
        <v>5.3244254346385516</v>
      </c>
      <c r="BG242" s="6">
        <f t="shared" si="212"/>
        <v>1.1356352298521832</v>
      </c>
      <c r="BH242" s="6">
        <f t="shared" si="213"/>
        <v>0.66730307806316791</v>
      </c>
      <c r="BI242" s="6">
        <f t="shared" si="214"/>
        <v>0.66730307806316791</v>
      </c>
      <c r="BJ242">
        <v>172.38152217016309</v>
      </c>
      <c r="BK242">
        <v>-245.57366732427548</v>
      </c>
      <c r="BV242" s="37"/>
      <c r="BW242" s="6">
        <f t="shared" si="215"/>
        <v>3.9618974020271081</v>
      </c>
      <c r="BX242" s="9">
        <f t="shared" ca="1" si="216"/>
        <v>-146.67044911917478</v>
      </c>
      <c r="BY242" s="9">
        <f t="shared" ca="1" si="217"/>
        <v>-85.049866140635473</v>
      </c>
      <c r="BZ242" s="9">
        <f t="shared" ca="1" si="218"/>
        <v>11.783210391668263</v>
      </c>
      <c r="CA242" s="6">
        <f t="shared" ca="1" si="219"/>
        <v>-69.784200024416748</v>
      </c>
      <c r="CB242" s="6">
        <f t="shared" ca="1" si="220"/>
        <v>-1.403522015042596</v>
      </c>
      <c r="CC242" s="6">
        <f t="shared" ca="1" si="221"/>
        <v>-13.144002316095211</v>
      </c>
      <c r="CD242" s="9">
        <f t="shared" si="222"/>
        <v>-88.216789608331737</v>
      </c>
      <c r="CE242" s="9">
        <f t="shared" si="223"/>
        <v>-39.784200024416748</v>
      </c>
      <c r="CF242" s="6">
        <f t="shared" si="224"/>
        <v>-2.7179222466521171</v>
      </c>
      <c r="CG242" s="6"/>
      <c r="CH242" s="6"/>
      <c r="CI242" s="6"/>
      <c r="CJ242" s="1"/>
      <c r="CK242" s="6"/>
    </row>
    <row r="243" spans="55:89" x14ac:dyDescent="0.25">
      <c r="BC243">
        <v>4.2062434973063114</v>
      </c>
      <c r="BD243">
        <v>128.84541504918496</v>
      </c>
      <c r="BE243">
        <v>-178.05747731200086</v>
      </c>
      <c r="BF243" s="6">
        <f t="shared" si="211"/>
        <v>5.3387900537570756</v>
      </c>
      <c r="BG243" s="6">
        <f t="shared" si="212"/>
        <v>1.1325465564507642</v>
      </c>
      <c r="BH243" s="6">
        <f t="shared" si="213"/>
        <v>0.65293845894464386</v>
      </c>
      <c r="BI243" s="6">
        <f t="shared" si="214"/>
        <v>0.65293845894464386</v>
      </c>
      <c r="BJ243">
        <v>182.36869932632118</v>
      </c>
      <c r="BK243">
        <v>-252.02379557176917</v>
      </c>
      <c r="BV243" s="37"/>
      <c r="BW243" s="6">
        <f t="shared" si="215"/>
        <v>3.9793506945470511</v>
      </c>
      <c r="BX243" s="9">
        <f t="shared" ca="1" si="216"/>
        <v>-140.03159378373041</v>
      </c>
      <c r="BY243" s="9">
        <f t="shared" ca="1" si="217"/>
        <v>-93.23446473564627</v>
      </c>
      <c r="BZ243" s="9">
        <f t="shared" ca="1" si="218"/>
        <v>18.422065727112624</v>
      </c>
      <c r="CA243" s="6">
        <f t="shared" ca="1" si="219"/>
        <v>-77.968798619427545</v>
      </c>
      <c r="CB243" s="6">
        <f t="shared" ca="1" si="220"/>
        <v>-1.3387765846422361</v>
      </c>
      <c r="CC243" s="6">
        <f t="shared" ca="1" si="221"/>
        <v>-12.712579615387657</v>
      </c>
      <c r="CD243" s="9">
        <f t="shared" si="222"/>
        <v>-81.577934272887376</v>
      </c>
      <c r="CE243" s="9">
        <f t="shared" si="223"/>
        <v>-47.968798619427545</v>
      </c>
      <c r="CF243" s="6">
        <f t="shared" si="224"/>
        <v>-2.6100345461810019</v>
      </c>
      <c r="CG243" s="6"/>
      <c r="CH243" s="6"/>
      <c r="CI243" s="6"/>
      <c r="CJ243" s="1"/>
      <c r="CK243" s="6"/>
    </row>
    <row r="244" spans="55:89" x14ac:dyDescent="0.25">
      <c r="BC244">
        <v>4.2236967898262545</v>
      </c>
      <c r="BD244">
        <v>135.92276360140684</v>
      </c>
      <c r="BE244">
        <v>-182.63525936617012</v>
      </c>
      <c r="BF244" s="6">
        <f t="shared" si="211"/>
        <v>5.3521874889023149</v>
      </c>
      <c r="BG244" s="6">
        <f t="shared" si="212"/>
        <v>1.1284906990760604</v>
      </c>
      <c r="BH244" s="6">
        <f t="shared" si="213"/>
        <v>0.63954102379940458</v>
      </c>
      <c r="BI244" s="6">
        <f t="shared" si="214"/>
        <v>0.63954102379940458</v>
      </c>
      <c r="BJ244">
        <v>192.1060756667151</v>
      </c>
      <c r="BK244">
        <v>-258.1270570549558</v>
      </c>
      <c r="BV244" s="37"/>
      <c r="BW244" s="6">
        <f t="shared" si="215"/>
        <v>3.9968039870669942</v>
      </c>
      <c r="BX244" s="9">
        <f t="shared" ca="1" si="216"/>
        <v>-132.56077961010709</v>
      </c>
      <c r="BY244" s="9">
        <f t="shared" ca="1" si="217"/>
        <v>-102.18317441035053</v>
      </c>
      <c r="BZ244" s="9">
        <f t="shared" ca="1" si="218"/>
        <v>25.892879900735949</v>
      </c>
      <c r="CA244" s="6">
        <f t="shared" ca="1" si="219"/>
        <v>-86.917508294131807</v>
      </c>
      <c r="CB244" s="6">
        <f t="shared" ca="1" si="220"/>
        <v>-1.2812656203454054</v>
      </c>
      <c r="CC244" s="6">
        <f t="shared" ca="1" si="221"/>
        <v>-12.053776011176616</v>
      </c>
      <c r="CD244" s="9">
        <f t="shared" si="222"/>
        <v>-74.107120099264037</v>
      </c>
      <c r="CE244" s="9">
        <f t="shared" si="223"/>
        <v>-56.917508294131807</v>
      </c>
      <c r="CF244" s="6">
        <f t="shared" si="224"/>
        <v>-2.4866432214630669</v>
      </c>
      <c r="CG244" s="6"/>
      <c r="CH244" s="6"/>
      <c r="CI244" s="6"/>
      <c r="CJ244" s="1"/>
      <c r="CK244" s="6"/>
    </row>
    <row r="245" spans="55:89" x14ac:dyDescent="0.25">
      <c r="BC245">
        <v>4.2411500823461976</v>
      </c>
      <c r="BD245">
        <v>142.86655319178089</v>
      </c>
      <c r="BE245">
        <v>-187.02038742566941</v>
      </c>
      <c r="BF245" s="6">
        <f t="shared" si="211"/>
        <v>5.3647325685328751</v>
      </c>
      <c r="BG245" s="6">
        <f t="shared" si="212"/>
        <v>1.1235824861866774</v>
      </c>
      <c r="BH245" s="6">
        <f t="shared" si="213"/>
        <v>0.62699594416884441</v>
      </c>
      <c r="BI245" s="6">
        <f t="shared" si="214"/>
        <v>0.62699594416884441</v>
      </c>
      <c r="BJ245">
        <v>201.60042079452197</v>
      </c>
      <c r="BK245">
        <v>-263.90633748654443</v>
      </c>
      <c r="BV245" s="37"/>
      <c r="BW245" s="6">
        <f t="shared" si="215"/>
        <v>4.0142572795869373</v>
      </c>
      <c r="BX245" s="9">
        <f t="shared" ca="1" si="216"/>
        <v>-124.22895863210029</v>
      </c>
      <c r="BY245" s="9">
        <f t="shared" ca="1" si="217"/>
        <v>-111.79456824236783</v>
      </c>
      <c r="BZ245" s="9">
        <f t="shared" ca="1" si="218"/>
        <v>34.224700878742752</v>
      </c>
      <c r="CA245" s="6">
        <f t="shared" ca="1" si="219"/>
        <v>-96.528902126149106</v>
      </c>
      <c r="CB245" s="6">
        <f t="shared" ca="1" si="220"/>
        <v>-1.2300703354836207</v>
      </c>
      <c r="CC245" s="6">
        <f t="shared" ca="1" si="221"/>
        <v>-11.20428229349492</v>
      </c>
      <c r="CD245" s="9">
        <f t="shared" si="222"/>
        <v>-65.775299121257248</v>
      </c>
      <c r="CE245" s="9">
        <f t="shared" si="223"/>
        <v>-66.528902126149106</v>
      </c>
      <c r="CF245" s="6">
        <f t="shared" si="224"/>
        <v>-2.3504985648331127</v>
      </c>
      <c r="CG245" s="6"/>
      <c r="CH245" s="6"/>
      <c r="CI245" s="6"/>
      <c r="CJ245" s="1"/>
      <c r="CK245" s="6"/>
    </row>
    <row r="246" spans="55:89" x14ac:dyDescent="0.25">
      <c r="BC246">
        <v>4.2586033748661407</v>
      </c>
      <c r="BD246">
        <v>149.6836174497063</v>
      </c>
      <c r="BE246">
        <v>-191.23133783973853</v>
      </c>
      <c r="BF246" s="6">
        <f t="shared" si="211"/>
        <v>5.376513974413796</v>
      </c>
      <c r="BG246" s="6">
        <f t="shared" si="212"/>
        <v>1.1179105995476553</v>
      </c>
      <c r="BH246" s="6">
        <f t="shared" si="213"/>
        <v>0.6152145382879235</v>
      </c>
      <c r="BI246" s="6">
        <f t="shared" si="214"/>
        <v>0.6152145382879235</v>
      </c>
      <c r="BJ246">
        <v>210.85575619817675</v>
      </c>
      <c r="BK246">
        <v>-269.38304295415196</v>
      </c>
      <c r="BV246" s="37"/>
      <c r="BW246" s="6">
        <f t="shared" si="215"/>
        <v>4.0317105721068804</v>
      </c>
      <c r="BX246" s="9">
        <f t="shared" ca="1" si="216"/>
        <v>-114.88965094150153</v>
      </c>
      <c r="BY246" s="9">
        <f t="shared" ca="1" si="217"/>
        <v>-122.30603586638067</v>
      </c>
      <c r="BZ246" s="9">
        <f t="shared" ca="1" si="218"/>
        <v>43.56400856934151</v>
      </c>
      <c r="CA246" s="6">
        <f t="shared" ca="1" si="219"/>
        <v>-107.04036975016194</v>
      </c>
      <c r="CB246" s="6">
        <f t="shared" ca="1" si="220"/>
        <v>-1.1842814667981041</v>
      </c>
      <c r="CC246" s="6">
        <f t="shared" ca="1" si="221"/>
        <v>-10.187546908474626</v>
      </c>
      <c r="CD246" s="9">
        <f t="shared" si="222"/>
        <v>-56.43599143065849</v>
      </c>
      <c r="CE246" s="9">
        <f t="shared" si="223"/>
        <v>-77.040369750161943</v>
      </c>
      <c r="CF246" s="6">
        <f t="shared" si="224"/>
        <v>-2.2030361576455668</v>
      </c>
      <c r="CG246" s="6"/>
      <c r="CH246" s="6"/>
      <c r="CI246" s="6"/>
      <c r="CJ246" s="1"/>
      <c r="CK246" s="6"/>
    </row>
    <row r="247" spans="55:89" x14ac:dyDescent="0.25">
      <c r="BC247">
        <v>4.2760566673860838</v>
      </c>
      <c r="BD247">
        <v>156.37945149324179</v>
      </c>
      <c r="BE247">
        <v>-195.28680460933563</v>
      </c>
      <c r="BF247" s="6">
        <f t="shared" si="211"/>
        <v>5.3875981258091583</v>
      </c>
      <c r="BG247" s="6">
        <f t="shared" si="212"/>
        <v>1.1115414584230745</v>
      </c>
      <c r="BH247" s="6">
        <f t="shared" si="213"/>
        <v>0.60413038689256116</v>
      </c>
      <c r="BI247" s="6">
        <f t="shared" si="214"/>
        <v>0.60413038689256116</v>
      </c>
      <c r="BJ247">
        <v>219.87282406954031</v>
      </c>
      <c r="BK247">
        <v>-274.57738739304119</v>
      </c>
      <c r="BV247" s="37"/>
      <c r="BW247" s="6">
        <f t="shared" si="215"/>
        <v>4.0491638646268235</v>
      </c>
      <c r="BX247" s="9">
        <f t="shared" ca="1" si="216"/>
        <v>-104.43448486625812</v>
      </c>
      <c r="BY247" s="9">
        <f t="shared" ca="1" si="217"/>
        <v>-133.79288802032556</v>
      </c>
      <c r="BZ247" s="9">
        <f t="shared" ca="1" si="218"/>
        <v>54.019174644584922</v>
      </c>
      <c r="CA247" s="6">
        <f t="shared" ca="1" si="219"/>
        <v>-118.52722190410684</v>
      </c>
      <c r="CB247" s="6">
        <f t="shared" ca="1" si="220"/>
        <v>-1.1431682518439465</v>
      </c>
      <c r="CC247" s="6">
        <f t="shared" ca="1" si="221"/>
        <v>-9.0667305767144306</v>
      </c>
      <c r="CD247" s="9">
        <f t="shared" si="222"/>
        <v>-45.980825355415078</v>
      </c>
      <c r="CE247" s="9">
        <f t="shared" si="223"/>
        <v>-88.527221904106824</v>
      </c>
      <c r="CF247" s="6">
        <f t="shared" si="224"/>
        <v>-2.0498413095153896</v>
      </c>
      <c r="CG247" s="6"/>
      <c r="CH247" s="6"/>
      <c r="CI247" s="6"/>
      <c r="CJ247" s="1"/>
      <c r="CK247" s="6"/>
    </row>
    <row r="248" spans="55:89" x14ac:dyDescent="0.25">
      <c r="BC248">
        <v>4.2935099599060269</v>
      </c>
      <c r="BD248">
        <v>162.95793815808889</v>
      </c>
      <c r="BE248">
        <v>-199.20622223800305</v>
      </c>
      <c r="BF248" s="6">
        <f t="shared" si="211"/>
        <v>5.3980313699144453</v>
      </c>
      <c r="BG248" s="6">
        <f t="shared" si="212"/>
        <v>1.1045214100084184</v>
      </c>
      <c r="BH248" s="6">
        <f t="shared" si="213"/>
        <v>0.59369714278727415</v>
      </c>
      <c r="BI248" s="6">
        <f t="shared" si="214"/>
        <v>0.59369714278727415</v>
      </c>
      <c r="BJ248">
        <v>228.6482875834802</v>
      </c>
      <c r="BK248">
        <v>-279.50870086798943</v>
      </c>
      <c r="BV248" s="37"/>
      <c r="BW248" s="6">
        <f t="shared" si="215"/>
        <v>4.0666171571467666</v>
      </c>
      <c r="BX248" s="9">
        <f t="shared" ca="1" si="216"/>
        <v>-92.733528131169223</v>
      </c>
      <c r="BY248" s="9">
        <f t="shared" ca="1" si="217"/>
        <v>-146.34712586732138</v>
      </c>
      <c r="BZ248" s="9">
        <f t="shared" ca="1" si="218"/>
        <v>65.720131379673816</v>
      </c>
      <c r="CA248" s="6">
        <f t="shared" ca="1" si="219"/>
        <v>-131.08145975110264</v>
      </c>
      <c r="CB248" s="6">
        <f t="shared" ca="1" si="220"/>
        <v>-1.1060544164446968</v>
      </c>
      <c r="CC248" s="6">
        <f t="shared" ca="1" si="221"/>
        <v>-7.9170136520324563</v>
      </c>
      <c r="CD248" s="9">
        <f t="shared" si="222"/>
        <v>-34.279868620326184</v>
      </c>
      <c r="CE248" s="9">
        <f t="shared" si="223"/>
        <v>-101.08145975110264</v>
      </c>
      <c r="CF248" s="6">
        <f t="shared" si="224"/>
        <v>-1.8977557816479425</v>
      </c>
      <c r="CG248" s="6"/>
      <c r="CH248" s="6"/>
      <c r="CI248" s="6"/>
      <c r="CJ248" s="1"/>
      <c r="CK248" s="6"/>
    </row>
    <row r="249" spans="55:89" x14ac:dyDescent="0.25">
      <c r="BC249">
        <v>4.31096325242597</v>
      </c>
      <c r="BD249">
        <v>169.33987160774902</v>
      </c>
      <c r="BE249">
        <v>-202.88670309025079</v>
      </c>
      <c r="BF249" s="6">
        <f t="shared" si="211"/>
        <v>5.4079052113496164</v>
      </c>
      <c r="BG249" s="6">
        <f t="shared" si="212"/>
        <v>1.0969419589236464</v>
      </c>
      <c r="BH249" s="6">
        <f t="shared" si="213"/>
        <v>0.58382330135210303</v>
      </c>
      <c r="BI249" s="6">
        <f t="shared" si="214"/>
        <v>0.58382330135210303</v>
      </c>
      <c r="BJ249">
        <v>236.90199098382553</v>
      </c>
      <c r="BK249">
        <v>-283.8331188626297</v>
      </c>
      <c r="BV249" s="37"/>
      <c r="BW249" s="6">
        <f t="shared" si="215"/>
        <v>4.0840704496667097</v>
      </c>
      <c r="BX249" s="9">
        <f t="shared" ca="1" si="216"/>
        <v>-84.02678480810016</v>
      </c>
      <c r="BY249" s="9">
        <f t="shared" ca="1" si="217"/>
        <v>-153.77949393844847</v>
      </c>
      <c r="BZ249" s="9">
        <f t="shared" ca="1" si="218"/>
        <v>74.426874702742879</v>
      </c>
      <c r="CA249" s="6">
        <f t="shared" ca="1" si="219"/>
        <v>-138.51382782222973</v>
      </c>
      <c r="CB249" s="6">
        <f t="shared" ca="1" si="220"/>
        <v>-1.0777368338330096</v>
      </c>
      <c r="CC249" s="6">
        <f t="shared" ca="1" si="221"/>
        <v>-7.2450342620545882</v>
      </c>
      <c r="CD249" s="9">
        <f t="shared" si="222"/>
        <v>-25.573125297257121</v>
      </c>
      <c r="CE249" s="9">
        <f t="shared" si="223"/>
        <v>-108.51382782222973</v>
      </c>
      <c r="CF249" s="6">
        <f t="shared" si="224"/>
        <v>-1.8022402600384684</v>
      </c>
      <c r="CG249" s="6"/>
      <c r="CH249" s="6"/>
      <c r="CI249" s="6"/>
      <c r="CJ249" s="1"/>
      <c r="CK249" s="6"/>
    </row>
    <row r="250" spans="55:89" x14ac:dyDescent="0.25">
      <c r="BC250">
        <v>4.3284165449459131</v>
      </c>
      <c r="BD250">
        <v>175.57104199012429</v>
      </c>
      <c r="BE250">
        <v>-206.43031473956754</v>
      </c>
      <c r="BF250" s="6">
        <f t="shared" si="211"/>
        <v>5.4171790373478528</v>
      </c>
      <c r="BG250" s="6">
        <f t="shared" si="212"/>
        <v>1.0887624924019397</v>
      </c>
      <c r="BH250" s="6">
        <f t="shared" si="213"/>
        <v>0.5745494753538668</v>
      </c>
      <c r="BI250" s="6">
        <f t="shared" si="214"/>
        <v>0.5745494753538668</v>
      </c>
      <c r="BJ250">
        <v>244.75289276812839</v>
      </c>
      <c r="BK250">
        <v>-287.77192477097856</v>
      </c>
      <c r="BV250" s="37"/>
      <c r="BW250" s="6">
        <f t="shared" si="215"/>
        <v>4.1015237421866528</v>
      </c>
      <c r="BX250" s="9">
        <f t="shared" ca="1" si="216"/>
        <v>-75.546063436013284</v>
      </c>
      <c r="BY250" s="9">
        <f t="shared" ca="1" si="217"/>
        <v>-160.52817963814468</v>
      </c>
      <c r="BZ250" s="9">
        <f t="shared" ca="1" si="218"/>
        <v>82.907596074829755</v>
      </c>
      <c r="CA250" s="6">
        <f t="shared" ca="1" si="219"/>
        <v>-145.26251352192594</v>
      </c>
      <c r="CB250" s="6">
        <f t="shared" ca="1" si="220"/>
        <v>-1.0521670075429395</v>
      </c>
      <c r="CC250" s="6">
        <f t="shared" ca="1" si="221"/>
        <v>-6.6584754504946853</v>
      </c>
      <c r="CD250" s="9">
        <f t="shared" si="222"/>
        <v>-17.092403925170245</v>
      </c>
      <c r="CE250" s="9">
        <f t="shared" si="223"/>
        <v>-115.26251352192594</v>
      </c>
      <c r="CF250" s="6">
        <f t="shared" si="224"/>
        <v>-1.718014552592408</v>
      </c>
      <c r="CG250" s="6"/>
      <c r="CH250" s="6"/>
      <c r="CI250" s="6"/>
      <c r="CJ250" s="1"/>
      <c r="CK250" s="6"/>
    </row>
    <row r="251" spans="55:89" x14ac:dyDescent="0.25">
      <c r="BC251">
        <v>4.3458698374658562</v>
      </c>
      <c r="BD251">
        <v>181.6712258275183</v>
      </c>
      <c r="BE251">
        <v>-209.91046066974317</v>
      </c>
      <c r="BF251" s="6">
        <f t="shared" si="211"/>
        <v>5.425795951420703</v>
      </c>
      <c r="BG251" s="6">
        <f t="shared" si="212"/>
        <v>1.0799261139548468</v>
      </c>
      <c r="BH251" s="6">
        <f t="shared" si="213"/>
        <v>0.56593256128101643</v>
      </c>
      <c r="BI251" s="6">
        <f t="shared" si="214"/>
        <v>0.56593256128101643</v>
      </c>
      <c r="BJ251">
        <v>252.25420198305645</v>
      </c>
      <c r="BK251">
        <v>-291.46495545978314</v>
      </c>
      <c r="BV251" s="37"/>
      <c r="BW251" s="6">
        <f t="shared" si="215"/>
        <v>4.1189770347065959</v>
      </c>
      <c r="BX251" s="9">
        <f t="shared" ca="1" si="216"/>
        <v>-67.3179286201119</v>
      </c>
      <c r="BY251" s="9">
        <f t="shared" ca="1" si="217"/>
        <v>-166.86379503983414</v>
      </c>
      <c r="BZ251" s="9">
        <f t="shared" ca="1" si="218"/>
        <v>91.135730890731139</v>
      </c>
      <c r="CA251" s="6">
        <f t="shared" ca="1" si="219"/>
        <v>-151.59812892361541</v>
      </c>
      <c r="CB251" s="6">
        <f t="shared" ca="1" si="220"/>
        <v>-1.029519477949224</v>
      </c>
      <c r="CC251" s="6">
        <f t="shared" ca="1" si="221"/>
        <v>-6.1404620070676108</v>
      </c>
      <c r="CD251" s="9">
        <f t="shared" si="222"/>
        <v>-8.8642691092688608</v>
      </c>
      <c r="CE251" s="9">
        <f t="shared" si="223"/>
        <v>-121.59812892361541</v>
      </c>
      <c r="CF251" s="6">
        <f t="shared" si="224"/>
        <v>-1.6435656786559851</v>
      </c>
      <c r="CG251" s="6"/>
      <c r="CH251" s="6"/>
      <c r="CI251" s="6"/>
      <c r="CJ251" s="1"/>
      <c r="CK251" s="6"/>
    </row>
    <row r="252" spans="55:89" x14ac:dyDescent="0.25">
      <c r="BC252">
        <v>4.3633231299857993</v>
      </c>
      <c r="BD252">
        <v>187.62228771714294</v>
      </c>
      <c r="BE252">
        <v>-213.36228146673241</v>
      </c>
      <c r="BF252" s="6">
        <f t="shared" si="211"/>
        <v>5.4336831157220402</v>
      </c>
      <c r="BG252" s="6">
        <f t="shared" si="212"/>
        <v>1.0703599857362409</v>
      </c>
      <c r="BH252" s="6">
        <f t="shared" si="213"/>
        <v>0.55804539697967914</v>
      </c>
      <c r="BI252" s="6">
        <f t="shared" si="214"/>
        <v>0.55804539697967914</v>
      </c>
      <c r="BJ252">
        <v>259.34169829043753</v>
      </c>
      <c r="BK252">
        <v>-294.92091318130173</v>
      </c>
      <c r="BV252" s="37"/>
      <c r="BW252" s="6">
        <f t="shared" si="215"/>
        <v>4.136430327226539</v>
      </c>
      <c r="BX252" s="9">
        <f t="shared" ca="1" si="216"/>
        <v>-59.430192146193349</v>
      </c>
      <c r="BY252" s="9">
        <f t="shared" ca="1" si="217"/>
        <v>-172.70133971449459</v>
      </c>
      <c r="BZ252" s="9">
        <f t="shared" ca="1" si="218"/>
        <v>99.02346736464969</v>
      </c>
      <c r="CA252" s="6">
        <f t="shared" ca="1" si="219"/>
        <v>-157.43567359827586</v>
      </c>
      <c r="CB252" s="6">
        <f t="shared" ca="1" si="220"/>
        <v>-1.0093420305246688</v>
      </c>
      <c r="CC252" s="6">
        <f t="shared" ca="1" si="221"/>
        <v>-5.6911709189262076</v>
      </c>
      <c r="CD252" s="9">
        <f t="shared" si="222"/>
        <v>-0.97653263535030987</v>
      </c>
      <c r="CE252" s="9">
        <f t="shared" si="223"/>
        <v>-127.43567359827586</v>
      </c>
      <c r="CF252" s="6">
        <f t="shared" si="224"/>
        <v>-1.5784591224172895</v>
      </c>
      <c r="CG252" s="6"/>
      <c r="CH252" s="6"/>
      <c r="CI252" s="6"/>
      <c r="CJ252" s="1"/>
      <c r="CK252" s="6"/>
    </row>
    <row r="253" spans="55:89" x14ac:dyDescent="0.25">
      <c r="BC253">
        <v>4.3807764225057424</v>
      </c>
      <c r="BD253">
        <v>193.39202889057319</v>
      </c>
      <c r="BE253">
        <v>-216.83260086794985</v>
      </c>
      <c r="BF253" s="6">
        <f t="shared" si="211"/>
        <v>5.4407083912842502</v>
      </c>
      <c r="BG253" s="6">
        <f t="shared" si="212"/>
        <v>1.0599319687785078</v>
      </c>
      <c r="BH253" s="6">
        <f t="shared" si="213"/>
        <v>0.55102012141746926</v>
      </c>
      <c r="BI253" s="6">
        <f t="shared" si="214"/>
        <v>0.55102012141746926</v>
      </c>
      <c r="BJ253">
        <v>265.91580277430381</v>
      </c>
      <c r="BK253">
        <v>-298.1468029381208</v>
      </c>
      <c r="BV253" s="37"/>
      <c r="BW253" s="6">
        <f t="shared" si="215"/>
        <v>4.1538836197464821</v>
      </c>
      <c r="BX253" s="9">
        <f t="shared" ca="1" si="216"/>
        <v>-51.727345716046599</v>
      </c>
      <c r="BY253" s="9">
        <f t="shared" ca="1" si="217"/>
        <v>-178.24388035405394</v>
      </c>
      <c r="BZ253" s="9">
        <f t="shared" ca="1" si="218"/>
        <v>106.72631379479644</v>
      </c>
      <c r="CA253" s="6">
        <f t="shared" ca="1" si="219"/>
        <v>-162.9782142378352</v>
      </c>
      <c r="CB253" s="6">
        <f t="shared" ca="1" si="220"/>
        <v>-0.9910190385988904</v>
      </c>
      <c r="CC253" s="6">
        <f t="shared" ca="1" si="221"/>
        <v>-5.2923828753738356</v>
      </c>
      <c r="CD253" s="9">
        <f t="shared" si="222"/>
        <v>6.7263137947964395</v>
      </c>
      <c r="CE253" s="9">
        <f t="shared" si="223"/>
        <v>-132.9782142378352</v>
      </c>
      <c r="CF253" s="6">
        <f t="shared" si="224"/>
        <v>-1.520257326136274</v>
      </c>
      <c r="CG253" s="6"/>
      <c r="CH253" s="6"/>
      <c r="CI253" s="6"/>
      <c r="CJ253" s="1"/>
      <c r="CK253" s="6"/>
    </row>
    <row r="254" spans="55:89" x14ac:dyDescent="0.25">
      <c r="BC254">
        <v>4.3982297150256855</v>
      </c>
      <c r="BD254">
        <v>198.53850429770245</v>
      </c>
      <c r="BE254">
        <v>-220.14266946952191</v>
      </c>
      <c r="BF254" s="6">
        <f t="shared" si="211"/>
        <v>5.4462323508142827</v>
      </c>
      <c r="BG254" s="6">
        <f t="shared" si="212"/>
        <v>1.0480026357885972</v>
      </c>
      <c r="BH254" s="6">
        <f t="shared" si="213"/>
        <v>0.54549616188743677</v>
      </c>
      <c r="BI254" s="6">
        <f t="shared" si="214"/>
        <v>0.54549616188743677</v>
      </c>
      <c r="BJ254">
        <v>270.72858885415803</v>
      </c>
      <c r="BK254">
        <v>-300.18819000824266</v>
      </c>
      <c r="BV254" s="37"/>
      <c r="BW254" s="6">
        <f t="shared" si="215"/>
        <v>4.1713369122664252</v>
      </c>
      <c r="BX254" s="9">
        <f t="shared" ca="1" si="216"/>
        <v>-44.196793376036254</v>
      </c>
      <c r="BY254" s="9">
        <f t="shared" ca="1" si="217"/>
        <v>-183.51432060288104</v>
      </c>
      <c r="BZ254" s="9">
        <f t="shared" ca="1" si="218"/>
        <v>114.25686613480678</v>
      </c>
      <c r="CA254" s="6">
        <f t="shared" ca="1" si="219"/>
        <v>-168.2486544866623</v>
      </c>
      <c r="CB254" s="6">
        <f t="shared" ca="1" si="220"/>
        <v>-0.974238587299182</v>
      </c>
      <c r="CC254" s="6">
        <f t="shared" ca="1" si="221"/>
        <v>-4.9379618314531086</v>
      </c>
      <c r="CD254" s="9">
        <f t="shared" si="222"/>
        <v>14.256866134806785</v>
      </c>
      <c r="CE254" s="9">
        <f t="shared" si="223"/>
        <v>-138.2486544866623</v>
      </c>
      <c r="CF254" s="6">
        <f t="shared" si="224"/>
        <v>-1.4680347704444929</v>
      </c>
      <c r="CG254" s="6"/>
      <c r="CH254" s="6"/>
      <c r="CI254" s="6"/>
      <c r="CJ254" s="1"/>
      <c r="CK254" s="6"/>
    </row>
    <row r="255" spans="55:89" x14ac:dyDescent="0.25">
      <c r="BC255">
        <v>4.4156830075456286</v>
      </c>
      <c r="BD255">
        <v>202.73484594670884</v>
      </c>
      <c r="BE255">
        <v>-223.43241082131934</v>
      </c>
      <c r="BF255" s="6">
        <f t="shared" si="211"/>
        <v>5.4492585104549267</v>
      </c>
      <c r="BG255" s="6">
        <f t="shared" si="212"/>
        <v>1.0335755029092981</v>
      </c>
      <c r="BH255" s="6">
        <f t="shared" si="213"/>
        <v>0.54247000224679265</v>
      </c>
      <c r="BI255" s="6">
        <f t="shared" si="214"/>
        <v>0.54247000224679265</v>
      </c>
      <c r="BJ255">
        <v>272.86879599628173</v>
      </c>
      <c r="BK255">
        <v>-300.72646190969095</v>
      </c>
      <c r="BV255" s="37"/>
      <c r="BW255" s="6">
        <f t="shared" si="215"/>
        <v>4.1887902047863683</v>
      </c>
      <c r="BX255" s="9">
        <f t="shared" ca="1" si="216"/>
        <v>-36.827168241778594</v>
      </c>
      <c r="BY255" s="9">
        <f t="shared" ca="1" si="217"/>
        <v>-188.53402532727296</v>
      </c>
      <c r="BZ255" s="9">
        <f t="shared" ca="1" si="218"/>
        <v>121.62649126906445</v>
      </c>
      <c r="CA255" s="6">
        <f t="shared" ca="1" si="219"/>
        <v>-173.26835921105422</v>
      </c>
      <c r="CB255" s="6">
        <f t="shared" ca="1" si="220"/>
        <v>-0.95875987254103434</v>
      </c>
      <c r="CC255" s="6">
        <f t="shared" ca="1" si="221"/>
        <v>-4.6221663715527725</v>
      </c>
      <c r="CD255" s="9">
        <f t="shared" si="222"/>
        <v>21.626491269064445</v>
      </c>
      <c r="CE255" s="9">
        <f t="shared" si="223"/>
        <v>-143.26835921105422</v>
      </c>
      <c r="CF255" s="6">
        <f t="shared" si="224"/>
        <v>-1.4209765096963116</v>
      </c>
      <c r="CG255" s="6"/>
      <c r="CH255" s="6"/>
      <c r="CI255" s="6"/>
      <c r="CJ255" s="1"/>
      <c r="CK255" s="6"/>
    </row>
    <row r="256" spans="55:89" x14ac:dyDescent="0.25">
      <c r="BC256">
        <v>4.4331363000655717</v>
      </c>
      <c r="BD256">
        <v>206.23416530102548</v>
      </c>
      <c r="BE256">
        <v>-227.01968594893992</v>
      </c>
      <c r="BF256" s="6">
        <f t="shared" si="211"/>
        <v>5.4498485145881101</v>
      </c>
      <c r="BG256" s="6">
        <f t="shared" si="212"/>
        <v>1.0167122145225385</v>
      </c>
      <c r="BH256" s="6">
        <f t="shared" si="213"/>
        <v>0.54187999811360943</v>
      </c>
      <c r="BI256" s="6">
        <f t="shared" si="214"/>
        <v>0.54187999811360943</v>
      </c>
      <c r="BJ256">
        <v>273.09494782264716</v>
      </c>
      <c r="BK256">
        <v>-300.61910061529079</v>
      </c>
      <c r="BV256" s="37"/>
      <c r="BW256" s="6">
        <f t="shared" si="215"/>
        <v>4.2062434973063114</v>
      </c>
      <c r="BX256" s="9">
        <f t="shared" ca="1" si="216"/>
        <v>-29.608244461658074</v>
      </c>
      <c r="BY256" s="9">
        <f t="shared" ca="1" si="217"/>
        <v>-193.32314342821959</v>
      </c>
      <c r="BZ256" s="9">
        <f t="shared" ca="1" si="218"/>
        <v>128.84541504918496</v>
      </c>
      <c r="CA256" s="6">
        <f t="shared" ca="1" si="219"/>
        <v>-178.05747731200086</v>
      </c>
      <c r="CB256" s="6">
        <f t="shared" ca="1" si="220"/>
        <v>-0.94439525342251063</v>
      </c>
      <c r="CC256" s="6">
        <f t="shared" ca="1" si="221"/>
        <v>-4.3398562929883084</v>
      </c>
      <c r="CD256" s="9">
        <f t="shared" si="222"/>
        <v>28.845415049184965</v>
      </c>
      <c r="CE256" s="9">
        <f t="shared" si="223"/>
        <v>-148.05747731200086</v>
      </c>
      <c r="CF256" s="6">
        <f t="shared" si="224"/>
        <v>-1.3783808827213415</v>
      </c>
      <c r="CG256" s="6"/>
      <c r="CH256" s="6"/>
      <c r="CI256" s="6"/>
      <c r="CJ256" s="1"/>
      <c r="CK256" s="6"/>
    </row>
    <row r="257" spans="55:89" x14ac:dyDescent="0.25">
      <c r="BC257">
        <v>4.4505895925855148</v>
      </c>
      <c r="BD257">
        <v>209.74624785775057</v>
      </c>
      <c r="BE257">
        <v>-230.66175879806991</v>
      </c>
      <c r="BF257" s="6">
        <f t="shared" si="211"/>
        <v>5.4503315855710133</v>
      </c>
      <c r="BG257" s="6">
        <f t="shared" si="212"/>
        <v>0.99974199298549848</v>
      </c>
      <c r="BH257" s="6">
        <f t="shared" si="213"/>
        <v>0.5413969271307062</v>
      </c>
      <c r="BI257" s="6">
        <f t="shared" si="214"/>
        <v>0.5413969271307062</v>
      </c>
      <c r="BJ257">
        <v>273.23563102764467</v>
      </c>
      <c r="BK257">
        <v>-300.482186751109</v>
      </c>
      <c r="BV257" s="37"/>
      <c r="BW257" s="6">
        <f t="shared" si="215"/>
        <v>4.2236967898262545</v>
      </c>
      <c r="BX257" s="9">
        <f t="shared" ca="1" si="216"/>
        <v>-22.530895909436197</v>
      </c>
      <c r="BY257" s="9">
        <f t="shared" ca="1" si="217"/>
        <v>-197.90092548238886</v>
      </c>
      <c r="BZ257" s="9">
        <f t="shared" ca="1" si="218"/>
        <v>135.92276360140684</v>
      </c>
      <c r="CA257" s="6">
        <f t="shared" ca="1" si="219"/>
        <v>-182.63525936617012</v>
      </c>
      <c r="CB257" s="6">
        <f t="shared" ca="1" si="220"/>
        <v>-0.93099781827727102</v>
      </c>
      <c r="CC257" s="6">
        <f t="shared" ca="1" si="221"/>
        <v>-4.086545478153111</v>
      </c>
      <c r="CD257" s="9">
        <f t="shared" si="222"/>
        <v>35.922763601406842</v>
      </c>
      <c r="CE257" s="9">
        <f t="shared" si="223"/>
        <v>-152.63525936617012</v>
      </c>
      <c r="CF257" s="6">
        <f t="shared" si="224"/>
        <v>-1.3396523660925821</v>
      </c>
      <c r="CG257" s="6"/>
      <c r="CH257" s="6"/>
      <c r="CI257" s="6"/>
      <c r="CJ257" s="1"/>
      <c r="CK257" s="6"/>
    </row>
    <row r="258" spans="55:89" x14ac:dyDescent="0.25">
      <c r="BC258">
        <v>4.4680428851054579</v>
      </c>
      <c r="BD258">
        <v>213.30765783258326</v>
      </c>
      <c r="BE258">
        <v>-234.34913074409025</v>
      </c>
      <c r="BF258" s="6">
        <f t="shared" si="211"/>
        <v>5.4508181307860335</v>
      </c>
      <c r="BG258" s="6">
        <f t="shared" si="212"/>
        <v>0.98277524568057562</v>
      </c>
      <c r="BH258" s="6">
        <f t="shared" si="213"/>
        <v>0.54091038191568597</v>
      </c>
      <c r="BI258" s="6">
        <f t="shared" si="214"/>
        <v>0.54091038191568597</v>
      </c>
      <c r="BJ258">
        <v>273.37641822421557</v>
      </c>
      <c r="BK258">
        <v>-300.34330050663391</v>
      </c>
      <c r="BV258" s="37"/>
      <c r="BW258" s="6">
        <f t="shared" si="215"/>
        <v>4.2411500823461976</v>
      </c>
      <c r="BX258" s="9">
        <f t="shared" ca="1" si="216"/>
        <v>-15.587106319062144</v>
      </c>
      <c r="BY258" s="9">
        <f t="shared" ca="1" si="217"/>
        <v>-202.28605354188815</v>
      </c>
      <c r="BZ258" s="9">
        <f t="shared" ca="1" si="218"/>
        <v>142.86655319178089</v>
      </c>
      <c r="CA258" s="6">
        <f t="shared" ca="1" si="219"/>
        <v>-187.02038742566941</v>
      </c>
      <c r="CB258" s="6">
        <f t="shared" ca="1" si="220"/>
        <v>-0.91845273864671129</v>
      </c>
      <c r="CC258" s="6">
        <f t="shared" ca="1" si="221"/>
        <v>-3.8583778495460557</v>
      </c>
      <c r="CD258" s="9">
        <f t="shared" si="222"/>
        <v>42.866553191780895</v>
      </c>
      <c r="CE258" s="9">
        <f t="shared" si="223"/>
        <v>-157.02038742566941</v>
      </c>
      <c r="CF258" s="6">
        <f t="shared" si="224"/>
        <v>-1.3042905236013169</v>
      </c>
      <c r="CG258" s="6"/>
      <c r="CH258" s="6"/>
      <c r="CI258" s="6"/>
      <c r="CJ258" s="1"/>
      <c r="CK258" s="6"/>
    </row>
    <row r="259" spans="55:89" x14ac:dyDescent="0.25">
      <c r="BC259">
        <v>4.485496177625401</v>
      </c>
      <c r="BD259">
        <v>216.92155317428274</v>
      </c>
      <c r="BE259">
        <v>-238.0849701518255</v>
      </c>
      <c r="BF259" s="6">
        <f t="shared" ref="BF259:BF322" si="225">IF(BC259&lt;&gt;"",IF(AND(BD259=0,BE259=0),0,MOD(ATAN2(BD259,BE259),2*PI())),NA())</f>
        <v>5.4513083043701318</v>
      </c>
      <c r="BG259" s="6">
        <f t="shared" ref="BG259:BG322" si="226">ABS(BC259-BF259)</f>
        <v>0.96581212674473083</v>
      </c>
      <c r="BH259" s="6">
        <f t="shared" ref="BH259:BH322" si="227">ATAN2(COS($U$13-BF259),SIN($U$13-BF259))</f>
        <v>0.54042020833158766</v>
      </c>
      <c r="BI259" s="6">
        <f t="shared" ref="BI259:BI322" si="228">ABS(BH259)</f>
        <v>0.54042020833158766</v>
      </c>
      <c r="BJ259">
        <v>273.51735487621136</v>
      </c>
      <c r="BK259">
        <v>-300.20240183043933</v>
      </c>
      <c r="BV259" s="37"/>
      <c r="BW259" s="6">
        <f t="shared" si="215"/>
        <v>4.2586033748661407</v>
      </c>
      <c r="BX259" s="9">
        <f t="shared" ca="1" si="216"/>
        <v>-8.7700420611367349</v>
      </c>
      <c r="BY259" s="9">
        <f t="shared" ca="1" si="217"/>
        <v>-206.49700395595727</v>
      </c>
      <c r="BZ259" s="9">
        <f t="shared" ca="1" si="218"/>
        <v>149.6836174497063</v>
      </c>
      <c r="CA259" s="6">
        <f t="shared" ca="1" si="219"/>
        <v>-191.23133783973853</v>
      </c>
      <c r="CB259" s="6">
        <f t="shared" ca="1" si="220"/>
        <v>-0.90667133276579059</v>
      </c>
      <c r="CC259" s="6">
        <f t="shared" ca="1" si="221"/>
        <v>-3.6520698461680006</v>
      </c>
      <c r="CD259" s="9">
        <f t="shared" si="222"/>
        <v>49.683617449706304</v>
      </c>
      <c r="CE259" s="9">
        <f t="shared" si="223"/>
        <v>-161.23133783973853</v>
      </c>
      <c r="CF259" s="6">
        <f t="shared" si="224"/>
        <v>-1.2718783173825907</v>
      </c>
      <c r="CG259" s="6"/>
      <c r="CH259" s="6"/>
      <c r="CI259" s="6"/>
      <c r="CJ259" s="1"/>
      <c r="CK259" s="6"/>
    </row>
    <row r="260" spans="55:89" x14ac:dyDescent="0.25">
      <c r="BC260">
        <v>4.5029494701453441</v>
      </c>
      <c r="BD260">
        <v>220.59124988601053</v>
      </c>
      <c r="BE260">
        <v>-241.87259248497958</v>
      </c>
      <c r="BF260" s="6">
        <f t="shared" si="225"/>
        <v>5.4518022732530129</v>
      </c>
      <c r="BG260" s="6">
        <f t="shared" si="226"/>
        <v>0.94885280310766884</v>
      </c>
      <c r="BH260" s="6">
        <f t="shared" si="227"/>
        <v>0.53992623944870655</v>
      </c>
      <c r="BI260" s="6">
        <f t="shared" si="228"/>
        <v>0.53992623944870655</v>
      </c>
      <c r="BJ260">
        <v>273.65848881592763</v>
      </c>
      <c r="BK260">
        <v>-300.05944560191676</v>
      </c>
      <c r="BV260" s="37"/>
      <c r="BW260" s="6">
        <f t="shared" si="215"/>
        <v>4.2760566673860838</v>
      </c>
      <c r="BX260" s="9">
        <f t="shared" ca="1" si="216"/>
        <v>-2.0742080176012507</v>
      </c>
      <c r="BY260" s="9">
        <f t="shared" ca="1" si="217"/>
        <v>-210.55247072555437</v>
      </c>
      <c r="BZ260" s="9">
        <f t="shared" ca="1" si="218"/>
        <v>156.37945149324179</v>
      </c>
      <c r="CA260" s="6">
        <f t="shared" ca="1" si="219"/>
        <v>-195.28680460933563</v>
      </c>
      <c r="CB260" s="6">
        <f t="shared" ca="1" si="220"/>
        <v>-0.89558718137042814</v>
      </c>
      <c r="CC260" s="6">
        <f t="shared" ca="1" si="221"/>
        <v>-3.4648428934399189</v>
      </c>
      <c r="CD260" s="9">
        <f t="shared" si="222"/>
        <v>56.379451493241788</v>
      </c>
      <c r="CE260" s="9">
        <f t="shared" si="223"/>
        <v>-165.28680460933563</v>
      </c>
      <c r="CF260" s="6">
        <f t="shared" si="224"/>
        <v>-1.24207147071442</v>
      </c>
      <c r="CG260" s="6"/>
      <c r="CH260" s="6"/>
      <c r="CI260" s="6"/>
      <c r="CJ260" s="1"/>
      <c r="CK260" s="6"/>
    </row>
    <row r="261" spans="55:89" x14ac:dyDescent="0.25">
      <c r="BC261">
        <v>4.5204027626652872</v>
      </c>
      <c r="BD261">
        <v>224.32023532221001</v>
      </c>
      <c r="BE261">
        <v>-245.71547324520949</v>
      </c>
      <c r="BF261" s="6">
        <f t="shared" si="225"/>
        <v>5.4523002169731312</v>
      </c>
      <c r="BG261" s="6">
        <f t="shared" si="226"/>
        <v>0.93189745430784399</v>
      </c>
      <c r="BH261" s="6">
        <f t="shared" si="227"/>
        <v>0.5394282957285883</v>
      </c>
      <c r="BI261" s="6">
        <f t="shared" si="228"/>
        <v>0.5394282957285883</v>
      </c>
      <c r="BJ261">
        <v>273.79987012867412</v>
      </c>
      <c r="BK261">
        <v>-299.91438162726888</v>
      </c>
      <c r="BV261" s="37"/>
      <c r="BW261" s="6">
        <f t="shared" si="215"/>
        <v>4.2935099599060269</v>
      </c>
      <c r="BX261" s="9">
        <f t="shared" ca="1" si="216"/>
        <v>4.5042786472458545</v>
      </c>
      <c r="BY261" s="9">
        <f t="shared" ca="1" si="217"/>
        <v>-214.47188835422179</v>
      </c>
      <c r="BZ261" s="9">
        <f t="shared" ca="1" si="218"/>
        <v>162.95793815808889</v>
      </c>
      <c r="CA261" s="6">
        <f t="shared" ca="1" si="219"/>
        <v>-199.20622223800305</v>
      </c>
      <c r="CB261" s="6">
        <f t="shared" ca="1" si="220"/>
        <v>-0.88515393726514091</v>
      </c>
      <c r="CC261" s="6">
        <f t="shared" ca="1" si="221"/>
        <v>-3.2943579853881144</v>
      </c>
      <c r="CD261" s="9">
        <f t="shared" si="222"/>
        <v>62.957938158088893</v>
      </c>
      <c r="CE261" s="9">
        <f t="shared" si="223"/>
        <v>-169.20622223800305</v>
      </c>
      <c r="CF261" s="6">
        <f t="shared" si="224"/>
        <v>-1.2145897358039524</v>
      </c>
      <c r="CG261" s="6"/>
      <c r="CH261" s="6"/>
      <c r="CI261" s="6"/>
      <c r="CJ261" s="1"/>
      <c r="CK261" s="6"/>
    </row>
    <row r="262" spans="55:89" x14ac:dyDescent="0.25">
      <c r="BC262">
        <v>4.5378560551852303</v>
      </c>
      <c r="BD262">
        <v>228.11218267810165</v>
      </c>
      <c r="BE262">
        <v>-249.61726203174408</v>
      </c>
      <c r="BF262" s="6">
        <f t="shared" si="225"/>
        <v>5.4528023275856787</v>
      </c>
      <c r="BG262" s="6">
        <f t="shared" si="226"/>
        <v>0.91494627240044846</v>
      </c>
      <c r="BH262" s="6">
        <f t="shared" si="227"/>
        <v>0.53892618511604073</v>
      </c>
      <c r="BI262" s="6">
        <f t="shared" si="228"/>
        <v>0.53892618511604073</v>
      </c>
      <c r="BJ262">
        <v>273.94155106595383</v>
      </c>
      <c r="BK262">
        <v>-299.76715461228633</v>
      </c>
      <c r="BV262" s="37"/>
      <c r="BW262" s="6">
        <f t="shared" si="215"/>
        <v>4.31096325242597</v>
      </c>
      <c r="BX262" s="9">
        <f t="shared" ca="1" si="216"/>
        <v>10.886212096905979</v>
      </c>
      <c r="BY262" s="9">
        <f t="shared" ca="1" si="217"/>
        <v>-218.15236920646953</v>
      </c>
      <c r="BZ262" s="9">
        <f t="shared" ca="1" si="218"/>
        <v>169.33987160774902</v>
      </c>
      <c r="CA262" s="6">
        <f t="shared" ca="1" si="219"/>
        <v>-202.88670309025079</v>
      </c>
      <c r="CB262" s="6">
        <f t="shared" ca="1" si="220"/>
        <v>-0.87528009582997013</v>
      </c>
      <c r="CC262" s="6">
        <f t="shared" ca="1" si="221"/>
        <v>-3.1408677603731929</v>
      </c>
      <c r="CD262" s="9">
        <f t="shared" si="222"/>
        <v>69.339871607749018</v>
      </c>
      <c r="CE262" s="9">
        <f t="shared" si="223"/>
        <v>-172.88670309025079</v>
      </c>
      <c r="CF262" s="6">
        <f t="shared" si="224"/>
        <v>-1.1893668718672894</v>
      </c>
      <c r="CG262" s="6"/>
      <c r="CH262" s="6"/>
      <c r="CI262" s="6"/>
      <c r="CJ262" s="1"/>
      <c r="CK262" s="6"/>
    </row>
    <row r="263" spans="55:89" x14ac:dyDescent="0.25">
      <c r="BC263">
        <v>4.5553093477051734</v>
      </c>
      <c r="BD263">
        <v>231.97096680517657</v>
      </c>
      <c r="BE263">
        <v>-253.58179784882012</v>
      </c>
      <c r="BF263" s="6">
        <f t="shared" si="225"/>
        <v>5.4533088096574946</v>
      </c>
      <c r="BG263" s="6">
        <f t="shared" si="226"/>
        <v>0.89799946195232128</v>
      </c>
      <c r="BH263" s="6">
        <f t="shared" si="227"/>
        <v>0.53841970304422482</v>
      </c>
      <c r="BI263" s="6">
        <f t="shared" si="228"/>
        <v>0.53841970304422482</v>
      </c>
      <c r="BJ263">
        <v>274.08358598437871</v>
      </c>
      <c r="BK263">
        <v>-299.61770411183818</v>
      </c>
      <c r="BV263" s="37"/>
      <c r="BW263" s="6">
        <f t="shared" si="215"/>
        <v>4.3284165449459131</v>
      </c>
      <c r="BX263" s="9">
        <f t="shared" ca="1" si="216"/>
        <v>17.117382479281247</v>
      </c>
      <c r="BY263" s="9">
        <f t="shared" ca="1" si="217"/>
        <v>-221.69598085578627</v>
      </c>
      <c r="BZ263" s="9">
        <f t="shared" ca="1" si="218"/>
        <v>175.57104199012429</v>
      </c>
      <c r="CA263" s="6">
        <f t="shared" ca="1" si="219"/>
        <v>-206.43031473956754</v>
      </c>
      <c r="CB263" s="6">
        <f t="shared" ca="1" si="220"/>
        <v>-0.86600626983173379</v>
      </c>
      <c r="CC263" s="6">
        <f t="shared" ca="1" si="221"/>
        <v>-3.0009916360784312</v>
      </c>
      <c r="CD263" s="9">
        <f t="shared" si="222"/>
        <v>75.571041990124286</v>
      </c>
      <c r="CE263" s="9">
        <f t="shared" si="223"/>
        <v>-176.43031473956754</v>
      </c>
      <c r="CF263" s="6">
        <f t="shared" si="224"/>
        <v>-1.1661054334395768</v>
      </c>
      <c r="CG263" s="6"/>
      <c r="CH263" s="6"/>
      <c r="CI263" s="6"/>
      <c r="CJ263" s="1"/>
      <c r="CK263" s="6"/>
    </row>
    <row r="264" spans="55:89" x14ac:dyDescent="0.25">
      <c r="BC264">
        <v>4.5727626402251165</v>
      </c>
      <c r="BD264">
        <v>235.90068150322995</v>
      </c>
      <c r="BE264">
        <v>-257.61312580440239</v>
      </c>
      <c r="BF264" s="6">
        <f t="shared" si="225"/>
        <v>5.4538198803448852</v>
      </c>
      <c r="BG264" s="6">
        <f t="shared" si="226"/>
        <v>0.88105724011976871</v>
      </c>
      <c r="BH264" s="6">
        <f t="shared" si="227"/>
        <v>0.53790863235683417</v>
      </c>
      <c r="BI264" s="6">
        <f t="shared" si="228"/>
        <v>0.53790863235683417</v>
      </c>
      <c r="BJ264">
        <v>274.22603130791924</v>
      </c>
      <c r="BK264">
        <v>-299.46596445590063</v>
      </c>
      <c r="BV264" s="37"/>
      <c r="BW264" s="6">
        <f t="shared" si="215"/>
        <v>4.3458698374658562</v>
      </c>
      <c r="BX264" s="9">
        <f t="shared" ca="1" si="216"/>
        <v>23.21756631667526</v>
      </c>
      <c r="BY264" s="9">
        <f t="shared" ca="1" si="217"/>
        <v>-225.17612678596191</v>
      </c>
      <c r="BZ264" s="9">
        <f t="shared" ca="1" si="218"/>
        <v>181.6712258275183</v>
      </c>
      <c r="CA264" s="6">
        <f t="shared" ca="1" si="219"/>
        <v>-209.91046066974317</v>
      </c>
      <c r="CB264" s="6">
        <f t="shared" ca="1" si="220"/>
        <v>-0.8573893557588832</v>
      </c>
      <c r="CC264" s="6">
        <f t="shared" ca="1" si="221"/>
        <v>-2.8726906208203018</v>
      </c>
      <c r="CD264" s="9">
        <f t="shared" si="222"/>
        <v>81.671225827518299</v>
      </c>
      <c r="CE264" s="9">
        <f t="shared" si="223"/>
        <v>-179.91046066974317</v>
      </c>
      <c r="CF264" s="6">
        <f t="shared" si="224"/>
        <v>-1.1446584178409134</v>
      </c>
      <c r="CG264" s="6"/>
      <c r="CH264" s="6"/>
      <c r="CI264" s="6"/>
      <c r="CJ264" s="1"/>
      <c r="CK264" s="6"/>
    </row>
    <row r="265" spans="55:89" x14ac:dyDescent="0.25">
      <c r="BC265">
        <v>4.5902159327450596</v>
      </c>
      <c r="BD265">
        <v>239.90565845912269</v>
      </c>
      <c r="BE265">
        <v>-261.71551536222137</v>
      </c>
      <c r="BF265" s="6">
        <f t="shared" si="225"/>
        <v>5.4543357695513004</v>
      </c>
      <c r="BG265" s="6">
        <f t="shared" si="226"/>
        <v>0.86411983680624083</v>
      </c>
      <c r="BH265" s="6">
        <f t="shared" si="227"/>
        <v>0.53739274315041907</v>
      </c>
      <c r="BI265" s="6">
        <f t="shared" si="228"/>
        <v>0.53739274315041907</v>
      </c>
      <c r="BJ265">
        <v>274.36894551152471</v>
      </c>
      <c r="BK265">
        <v>-299.31186465188352</v>
      </c>
      <c r="BV265" s="37"/>
      <c r="BW265" s="6">
        <f t="shared" si="215"/>
        <v>4.3633231299857993</v>
      </c>
      <c r="BX265" s="9">
        <f t="shared" ca="1" si="216"/>
        <v>29.1686282062999</v>
      </c>
      <c r="BY265" s="9">
        <f t="shared" ca="1" si="217"/>
        <v>-228.62794758295115</v>
      </c>
      <c r="BZ265" s="9">
        <f t="shared" ca="1" si="218"/>
        <v>187.62228771714294</v>
      </c>
      <c r="CA265" s="6">
        <f t="shared" ca="1" si="219"/>
        <v>-213.36228146673241</v>
      </c>
      <c r="CB265" s="6">
        <f t="shared" ca="1" si="220"/>
        <v>-0.8495021914575458</v>
      </c>
      <c r="CC265" s="6">
        <f t="shared" ca="1" si="221"/>
        <v>-2.7551138532081887</v>
      </c>
      <c r="CD265" s="9">
        <f t="shared" si="222"/>
        <v>87.622287717142939</v>
      </c>
      <c r="CE265" s="9">
        <f t="shared" si="223"/>
        <v>-183.36228146673241</v>
      </c>
      <c r="CF265" s="6">
        <f t="shared" si="224"/>
        <v>-1.1250135767783647</v>
      </c>
      <c r="CG265" s="6"/>
      <c r="CH265" s="6"/>
      <c r="CI265" s="6"/>
      <c r="CJ265" s="1"/>
      <c r="CK265" s="6"/>
    </row>
    <row r="266" spans="55:89" x14ac:dyDescent="0.25">
      <c r="BC266">
        <v>4.6076692252650027</v>
      </c>
      <c r="BD266">
        <v>243.9904880251284</v>
      </c>
      <c r="BE266">
        <v>-265.89348033048111</v>
      </c>
      <c r="BF266" s="6">
        <f t="shared" si="225"/>
        <v>5.4548567201628657</v>
      </c>
      <c r="BG266" s="6">
        <f t="shared" si="226"/>
        <v>0.84718749489786305</v>
      </c>
      <c r="BH266" s="6">
        <f t="shared" si="227"/>
        <v>0.53687179253885375</v>
      </c>
      <c r="BI266" s="6">
        <f t="shared" si="228"/>
        <v>0.53687179253885375</v>
      </c>
      <c r="BJ266">
        <v>274.51238912419001</v>
      </c>
      <c r="BK266">
        <v>-299.1553282624235</v>
      </c>
      <c r="BV266" s="37"/>
      <c r="BW266" s="6">
        <f t="shared" si="215"/>
        <v>4.3807764225057424</v>
      </c>
      <c r="BX266" s="9">
        <f t="shared" ca="1" si="216"/>
        <v>34.938369379730148</v>
      </c>
      <c r="BY266" s="9">
        <f t="shared" ca="1" si="217"/>
        <v>-232.09826698416859</v>
      </c>
      <c r="BZ266" s="9">
        <f t="shared" ca="1" si="218"/>
        <v>193.39202889057319</v>
      </c>
      <c r="CA266" s="6">
        <f t="shared" ca="1" si="219"/>
        <v>-216.83260086794985</v>
      </c>
      <c r="CB266" s="6">
        <f t="shared" ca="1" si="220"/>
        <v>-0.8424769158953358</v>
      </c>
      <c r="CC266" s="6">
        <f t="shared" ca="1" si="221"/>
        <v>-2.6477573581401281</v>
      </c>
      <c r="CD266" s="9">
        <f t="shared" si="222"/>
        <v>93.392028890573187</v>
      </c>
      <c r="CE266" s="9">
        <f t="shared" si="223"/>
        <v>-186.83260086794985</v>
      </c>
      <c r="CF266" s="6">
        <f t="shared" si="224"/>
        <v>-1.1072526517093486</v>
      </c>
      <c r="CG266" s="6"/>
      <c r="CH266" s="6"/>
      <c r="CI266" s="6"/>
      <c r="CJ266" s="1"/>
      <c r="CK266" s="6"/>
    </row>
    <row r="267" spans="55:89" x14ac:dyDescent="0.25">
      <c r="BC267">
        <v>4.6251225177849458</v>
      </c>
      <c r="BD267">
        <v>247.21682084271373</v>
      </c>
      <c r="BE267">
        <v>-269.13602070630583</v>
      </c>
      <c r="BF267" s="6">
        <f t="shared" si="225"/>
        <v>5.4553625725571671</v>
      </c>
      <c r="BG267" s="6">
        <f t="shared" si="226"/>
        <v>0.83024005477222129</v>
      </c>
      <c r="BH267" s="6">
        <f t="shared" si="227"/>
        <v>0.53636594014455241</v>
      </c>
      <c r="BI267" s="6">
        <f t="shared" si="228"/>
        <v>0.53636594014455241</v>
      </c>
      <c r="BJ267">
        <v>274.68535649190414</v>
      </c>
      <c r="BK267">
        <v>-299.04002300700648</v>
      </c>
      <c r="BV267" s="37"/>
      <c r="BW267" s="6">
        <f t="shared" si="215"/>
        <v>4.3982297150256855</v>
      </c>
      <c r="BX267" s="9">
        <f t="shared" ca="1" si="216"/>
        <v>40.084844786859406</v>
      </c>
      <c r="BY267" s="9">
        <f t="shared" ca="1" si="217"/>
        <v>-235.40833558574064</v>
      </c>
      <c r="BZ267" s="9">
        <f t="shared" ca="1" si="218"/>
        <v>198.53850429770245</v>
      </c>
      <c r="CA267" s="6">
        <f t="shared" ca="1" si="219"/>
        <v>-220.14266946952191</v>
      </c>
      <c r="CB267" s="6">
        <f t="shared" ca="1" si="220"/>
        <v>-0.83695295636530309</v>
      </c>
      <c r="CC267" s="6">
        <f t="shared" ca="1" si="221"/>
        <v>-2.5571474819744622</v>
      </c>
      <c r="CD267" s="9">
        <f t="shared" si="222"/>
        <v>98.538504297702445</v>
      </c>
      <c r="CE267" s="9">
        <f t="shared" si="223"/>
        <v>-190.14266946952191</v>
      </c>
      <c r="CF267" s="6">
        <f t="shared" si="224"/>
        <v>-1.0926677045627493</v>
      </c>
      <c r="CG267" s="6"/>
      <c r="CH267" s="6"/>
      <c r="CI267" s="6"/>
      <c r="CJ267" s="1"/>
      <c r="CK267" s="6"/>
    </row>
    <row r="268" spans="55:89" x14ac:dyDescent="0.25">
      <c r="BC268">
        <v>4.6425758103048889</v>
      </c>
      <c r="BD268">
        <v>247.45566202423458</v>
      </c>
      <c r="BE268">
        <v>-269.15481935538116</v>
      </c>
      <c r="BF268" s="6">
        <f t="shared" si="225"/>
        <v>5.4558088821808166</v>
      </c>
      <c r="BG268" s="6">
        <f t="shared" si="226"/>
        <v>0.81323307187592775</v>
      </c>
      <c r="BH268" s="6">
        <f t="shared" si="227"/>
        <v>0.53591963052090286</v>
      </c>
      <c r="BI268" s="6">
        <f t="shared" si="228"/>
        <v>0.53591963052090286</v>
      </c>
      <c r="BJ268">
        <v>274.95073558248288</v>
      </c>
      <c r="BK268">
        <v>-299.06091039486796</v>
      </c>
      <c r="BV268" s="37"/>
      <c r="BW268" s="6">
        <f t="shared" si="215"/>
        <v>4.4156830075456286</v>
      </c>
      <c r="BX268" s="9">
        <f t="shared" ca="1" si="216"/>
        <v>44.281186435865806</v>
      </c>
      <c r="BY268" s="9">
        <f t="shared" ca="1" si="217"/>
        <v>-238.69807693753808</v>
      </c>
      <c r="BZ268" s="9">
        <f t="shared" ca="1" si="218"/>
        <v>202.73484594670884</v>
      </c>
      <c r="CA268" s="6">
        <f t="shared" ca="1" si="219"/>
        <v>-223.43241082131934</v>
      </c>
      <c r="CB268" s="6">
        <f t="shared" ca="1" si="220"/>
        <v>-0.8339267967246593</v>
      </c>
      <c r="CC268" s="6">
        <f t="shared" ca="1" si="221"/>
        <v>-2.4864090650329285</v>
      </c>
      <c r="CD268" s="9">
        <f t="shared" si="222"/>
        <v>102.73484594670884</v>
      </c>
      <c r="CE268" s="9">
        <f t="shared" si="223"/>
        <v>-193.43241082131934</v>
      </c>
      <c r="CF268" s="6">
        <f t="shared" si="224"/>
        <v>-1.0825677032279521</v>
      </c>
      <c r="CG268" s="6"/>
      <c r="CH268" s="6"/>
      <c r="CI268" s="6"/>
      <c r="CJ268" s="1"/>
      <c r="CK268" s="6"/>
    </row>
    <row r="269" spans="55:89" x14ac:dyDescent="0.25">
      <c r="BC269">
        <v>4.660029102824832</v>
      </c>
      <c r="BD269">
        <v>247.69392086841705</v>
      </c>
      <c r="BE269">
        <v>-269.16939300453583</v>
      </c>
      <c r="BF269" s="6">
        <f t="shared" si="225"/>
        <v>5.4562614132119123</v>
      </c>
      <c r="BG269" s="6">
        <f t="shared" si="226"/>
        <v>0.79623231038708031</v>
      </c>
      <c r="BH269" s="6">
        <f t="shared" si="227"/>
        <v>0.5354670994898072</v>
      </c>
      <c r="BI269" s="6">
        <f t="shared" si="228"/>
        <v>0.5354670994898072</v>
      </c>
      <c r="BJ269">
        <v>275.21546763157448</v>
      </c>
      <c r="BK269">
        <v>-299.07710333837315</v>
      </c>
      <c r="BV269" s="37"/>
      <c r="BW269" s="6">
        <f t="shared" si="215"/>
        <v>4.4331363000655717</v>
      </c>
      <c r="BX269" s="9">
        <f t="shared" ca="1" si="216"/>
        <v>47.780505790182445</v>
      </c>
      <c r="BY269" s="9">
        <f t="shared" ca="1" si="217"/>
        <v>-242.28535206515866</v>
      </c>
      <c r="BZ269" s="9">
        <f t="shared" ca="1" si="218"/>
        <v>206.23416530102548</v>
      </c>
      <c r="CA269" s="6">
        <f t="shared" ca="1" si="219"/>
        <v>-227.01968594893992</v>
      </c>
      <c r="CB269" s="6">
        <f t="shared" ca="1" si="220"/>
        <v>-0.83333679259147586</v>
      </c>
      <c r="CC269" s="6">
        <f t="shared" ca="1" si="221"/>
        <v>-2.429413399939651</v>
      </c>
      <c r="CD269" s="9">
        <f t="shared" si="222"/>
        <v>106.23416530102548</v>
      </c>
      <c r="CE269" s="9">
        <f t="shared" si="223"/>
        <v>-197.01968594893992</v>
      </c>
      <c r="CF269" s="6">
        <f t="shared" si="224"/>
        <v>-1.0762781325854409</v>
      </c>
      <c r="CG269" s="6"/>
      <c r="CH269" s="6"/>
      <c r="CI269" s="6"/>
      <c r="CJ269" s="1"/>
      <c r="CK269" s="6"/>
    </row>
    <row r="270" spans="55:89" x14ac:dyDescent="0.25">
      <c r="BC270">
        <v>4.6774823953447751</v>
      </c>
      <c r="BD270">
        <v>247.93174420157854</v>
      </c>
      <c r="BE270">
        <v>-269.17977738781076</v>
      </c>
      <c r="BF270" s="6">
        <f t="shared" si="225"/>
        <v>5.4567203986422435</v>
      </c>
      <c r="BG270" s="6">
        <f t="shared" si="226"/>
        <v>0.7792380032974684</v>
      </c>
      <c r="BH270" s="6">
        <f t="shared" si="227"/>
        <v>0.5350081140594759</v>
      </c>
      <c r="BI270" s="6">
        <f t="shared" si="228"/>
        <v>0.5350081140594759</v>
      </c>
      <c r="BJ270">
        <v>275.47971577953172</v>
      </c>
      <c r="BK270">
        <v>-299.08864154201194</v>
      </c>
      <c r="BV270" s="37"/>
      <c r="BW270" s="6">
        <f t="shared" si="215"/>
        <v>4.4505895925855148</v>
      </c>
      <c r="BX270" s="9">
        <f t="shared" ca="1" si="216"/>
        <v>51.292588346907536</v>
      </c>
      <c r="BY270" s="9">
        <f t="shared" ca="1" si="217"/>
        <v>-245.92742491428865</v>
      </c>
      <c r="BZ270" s="9">
        <f t="shared" ca="1" si="218"/>
        <v>209.74624785775057</v>
      </c>
      <c r="CA270" s="6">
        <f t="shared" ca="1" si="219"/>
        <v>-230.66175879806991</v>
      </c>
      <c r="CB270" s="6">
        <f t="shared" ca="1" si="220"/>
        <v>-0.83285372160857329</v>
      </c>
      <c r="CC270" s="6">
        <f t="shared" ca="1" si="221"/>
        <v>-2.3746592990010171</v>
      </c>
      <c r="CD270" s="9">
        <f t="shared" si="222"/>
        <v>109.74624785775057</v>
      </c>
      <c r="CE270" s="9">
        <f t="shared" si="223"/>
        <v>-200.66175879806991</v>
      </c>
      <c r="CF270" s="6">
        <f t="shared" si="224"/>
        <v>-1.070319651508675</v>
      </c>
      <c r="CG270" s="6"/>
      <c r="CH270" s="6"/>
      <c r="CI270" s="6"/>
      <c r="CJ270" s="1"/>
      <c r="CK270" s="6"/>
    </row>
    <row r="271" spans="55:89" x14ac:dyDescent="0.25">
      <c r="BC271">
        <v>4.6949356878647182</v>
      </c>
      <c r="BD271">
        <v>248.16927778364251</v>
      </c>
      <c r="BE271">
        <v>-269.18599789759247</v>
      </c>
      <c r="BF271" s="6">
        <f t="shared" si="225"/>
        <v>5.4571860877489948</v>
      </c>
      <c r="BG271" s="6">
        <f t="shared" si="226"/>
        <v>0.76225039988427667</v>
      </c>
      <c r="BH271" s="6">
        <f t="shared" si="227"/>
        <v>0.53454242495272464</v>
      </c>
      <c r="BI271" s="6">
        <f t="shared" si="228"/>
        <v>0.53454242495272464</v>
      </c>
      <c r="BJ271">
        <v>275.74364198182502</v>
      </c>
      <c r="BK271">
        <v>-299.09555321954718</v>
      </c>
      <c r="BV271" s="37"/>
      <c r="BW271" s="6">
        <f t="shared" si="215"/>
        <v>4.4680428851054579</v>
      </c>
      <c r="BX271" s="9">
        <f t="shared" ca="1" si="216"/>
        <v>54.853998321740221</v>
      </c>
      <c r="BY271" s="9">
        <f t="shared" ca="1" si="217"/>
        <v>-249.61479686030899</v>
      </c>
      <c r="BZ271" s="9">
        <f t="shared" ca="1" si="218"/>
        <v>213.30765783258326</v>
      </c>
      <c r="CA271" s="6">
        <f t="shared" ca="1" si="219"/>
        <v>-234.34913074409025</v>
      </c>
      <c r="CB271" s="6">
        <f t="shared" ca="1" si="220"/>
        <v>-0.83236717639355295</v>
      </c>
      <c r="CC271" s="6">
        <f t="shared" ca="1" si="221"/>
        <v>-2.3215233983342376</v>
      </c>
      <c r="CD271" s="9">
        <f t="shared" si="222"/>
        <v>113.30765783258326</v>
      </c>
      <c r="CE271" s="9">
        <f t="shared" si="223"/>
        <v>-204.34913074409025</v>
      </c>
      <c r="CF271" s="6">
        <f t="shared" si="224"/>
        <v>-1.0645195162269767</v>
      </c>
      <c r="CG271" s="6"/>
      <c r="CH271" s="6"/>
      <c r="CI271" s="6"/>
      <c r="CJ271" s="1"/>
      <c r="CK271" s="6"/>
    </row>
    <row r="272" spans="55:89" x14ac:dyDescent="0.25">
      <c r="BC272">
        <v>4.7123889803846613</v>
      </c>
      <c r="BD272">
        <v>248.40666666666627</v>
      </c>
      <c r="BE272">
        <v>-269.18806971677554</v>
      </c>
      <c r="BF272" s="6">
        <f t="shared" si="225"/>
        <v>5.4576587465839026</v>
      </c>
      <c r="BG272" s="6">
        <f t="shared" si="226"/>
        <v>0.74526976619924135</v>
      </c>
      <c r="BH272" s="6">
        <f t="shared" si="227"/>
        <v>0.53406976611781687</v>
      </c>
      <c r="BI272" s="6">
        <f t="shared" si="228"/>
        <v>0.53406976611781687</v>
      </c>
      <c r="BJ272">
        <v>276.00740740740696</v>
      </c>
      <c r="BK272">
        <v>-299.09785524086169</v>
      </c>
      <c r="BV272" s="37"/>
      <c r="BW272" s="6">
        <f t="shared" ref="BW272:BW335" si="229">IF(BC259="",NA(),BC259)</f>
        <v>4.485496177625401</v>
      </c>
      <c r="BX272" s="9">
        <f t="shared" ref="BX272:BX335" ca="1" si="230">BD259-$BW$5</f>
        <v>58.467893663439696</v>
      </c>
      <c r="BY272" s="9">
        <f t="shared" ref="BY272:BY335" ca="1" si="231">BE259-$BX$5</f>
        <v>-253.35063626804424</v>
      </c>
      <c r="BZ272" s="9">
        <f t="shared" ref="BZ272:BZ335" ca="1" si="232">BX272-$CE$5</f>
        <v>216.92155317428274</v>
      </c>
      <c r="CA272" s="6">
        <f t="shared" ref="CA272:CA335" ca="1" si="233">BY272-$CF$5</f>
        <v>-238.0849701518255</v>
      </c>
      <c r="CB272" s="6">
        <f t="shared" ref="CB272:CB335" ca="1" si="234">ATAN2(BZ272,CA272)</f>
        <v>-0.83187700280945442</v>
      </c>
      <c r="CC272" s="6">
        <f t="shared" ref="CC272:CC335" ca="1" si="235">ATAN2(COS(CF272-CB272),SIN(CF272-CB272))*10</f>
        <v>-2.2699084956379068</v>
      </c>
      <c r="CD272" s="9">
        <f t="shared" ref="CD272:CD335" si="236">BD259-$BW$6</f>
        <v>116.92155317428274</v>
      </c>
      <c r="CE272" s="9">
        <f t="shared" ref="CE272:CE335" si="237">BE259-$BX$6</f>
        <v>-208.0849701518255</v>
      </c>
      <c r="CF272" s="6">
        <f t="shared" ref="CF272:CF335" si="238">ATAN2(CD272,CE272)</f>
        <v>-1.0588678523732451</v>
      </c>
      <c r="CG272" s="6"/>
      <c r="CH272" s="6"/>
      <c r="CI272" s="6"/>
      <c r="CJ272" s="1"/>
      <c r="CK272" s="6"/>
    </row>
    <row r="273" spans="55:89" x14ac:dyDescent="0.25">
      <c r="BC273">
        <v>4.7298422729046044</v>
      </c>
      <c r="BD273">
        <v>248.64405554969002</v>
      </c>
      <c r="BE273">
        <v>-269.1859978975923</v>
      </c>
      <c r="BF273" s="6">
        <f t="shared" si="225"/>
        <v>5.4581386585524925</v>
      </c>
      <c r="BG273" s="6">
        <f t="shared" si="226"/>
        <v>0.72829638564788812</v>
      </c>
      <c r="BH273" s="6">
        <f t="shared" si="227"/>
        <v>0.53358985414922711</v>
      </c>
      <c r="BI273" s="6">
        <f t="shared" si="228"/>
        <v>0.53358985414922711</v>
      </c>
      <c r="BJ273">
        <v>276.2711728329889</v>
      </c>
      <c r="BK273">
        <v>-299.09555321954701</v>
      </c>
      <c r="BV273" s="37"/>
      <c r="BW273" s="6">
        <f t="shared" si="229"/>
        <v>4.5029494701453441</v>
      </c>
      <c r="BX273" s="9">
        <f t="shared" ca="1" si="230"/>
        <v>62.137590375167491</v>
      </c>
      <c r="BY273" s="9">
        <f t="shared" ca="1" si="231"/>
        <v>-257.13825860119829</v>
      </c>
      <c r="BZ273" s="9">
        <f t="shared" ca="1" si="232"/>
        <v>220.59124988601053</v>
      </c>
      <c r="CA273" s="6">
        <f t="shared" ca="1" si="233"/>
        <v>-241.87259248497955</v>
      </c>
      <c r="CB273" s="6">
        <f t="shared" ca="1" si="234"/>
        <v>-0.83138303392657331</v>
      </c>
      <c r="CC273" s="6">
        <f t="shared" ca="1" si="235"/>
        <v>-2.2197242577532861</v>
      </c>
      <c r="CD273" s="9">
        <f t="shared" si="236"/>
        <v>120.59124988601053</v>
      </c>
      <c r="CE273" s="9">
        <f t="shared" si="237"/>
        <v>-211.87259248497958</v>
      </c>
      <c r="CF273" s="6">
        <f t="shared" si="238"/>
        <v>-1.0533554597019019</v>
      </c>
      <c r="CG273" s="6"/>
      <c r="CH273" s="6"/>
      <c r="CI273" s="6"/>
      <c r="CJ273" s="1"/>
      <c r="CK273" s="6"/>
    </row>
    <row r="274" spans="55:89" x14ac:dyDescent="0.25">
      <c r="BC274">
        <v>4.7472955654245474</v>
      </c>
      <c r="BD274">
        <v>248.88158913175408</v>
      </c>
      <c r="BE274">
        <v>-269.17977738781076</v>
      </c>
      <c r="BF274" s="6">
        <f t="shared" si="225"/>
        <v>5.4586261250858783</v>
      </c>
      <c r="BG274" s="6">
        <f t="shared" si="226"/>
        <v>0.71133055966133085</v>
      </c>
      <c r="BH274" s="6">
        <f t="shared" si="227"/>
        <v>0.53310238761584117</v>
      </c>
      <c r="BI274" s="6">
        <f t="shared" si="228"/>
        <v>0.53310238761584117</v>
      </c>
      <c r="BJ274">
        <v>276.53509903528231</v>
      </c>
      <c r="BK274">
        <v>-299.08864154201194</v>
      </c>
      <c r="BV274" s="37"/>
      <c r="BW274" s="6">
        <f t="shared" si="229"/>
        <v>4.5204027626652872</v>
      </c>
      <c r="BX274" s="9">
        <f t="shared" ca="1" si="230"/>
        <v>65.866575811366971</v>
      </c>
      <c r="BY274" s="9">
        <f t="shared" ca="1" si="231"/>
        <v>-260.98113936142823</v>
      </c>
      <c r="BZ274" s="9">
        <f t="shared" ca="1" si="232"/>
        <v>224.32023532221001</v>
      </c>
      <c r="CA274" s="6">
        <f t="shared" ca="1" si="233"/>
        <v>-245.71547324520949</v>
      </c>
      <c r="CB274" s="6">
        <f t="shared" ca="1" si="234"/>
        <v>-0.8308850902064554</v>
      </c>
      <c r="CC274" s="6">
        <f t="shared" ca="1" si="235"/>
        <v>-2.1708866115889678</v>
      </c>
      <c r="CD274" s="9">
        <f t="shared" si="236"/>
        <v>124.32023532221001</v>
      </c>
      <c r="CE274" s="9">
        <f t="shared" si="237"/>
        <v>-215.71547324520949</v>
      </c>
      <c r="CF274" s="6">
        <f t="shared" si="238"/>
        <v>-1.0479737513653522</v>
      </c>
      <c r="CG274" s="6"/>
      <c r="CH274" s="6"/>
      <c r="CI274" s="6"/>
      <c r="CJ274" s="1"/>
      <c r="CK274" s="6"/>
    </row>
    <row r="275" spans="55:89" x14ac:dyDescent="0.25">
      <c r="BC275">
        <v>4.7647488579444905</v>
      </c>
      <c r="BD275">
        <v>249.11941246491571</v>
      </c>
      <c r="BE275">
        <v>-269.16939300453589</v>
      </c>
      <c r="BF275" s="6">
        <f t="shared" si="225"/>
        <v>5.4591214664084395</v>
      </c>
      <c r="BG275" s="6">
        <f t="shared" si="226"/>
        <v>0.69437260846394899</v>
      </c>
      <c r="BH275" s="6">
        <f t="shared" si="227"/>
        <v>0.53260704629328004</v>
      </c>
      <c r="BI275" s="6">
        <f t="shared" si="228"/>
        <v>0.53260704629328004</v>
      </c>
      <c r="BJ275">
        <v>276.79934718323966</v>
      </c>
      <c r="BK275">
        <v>-299.07710333837321</v>
      </c>
      <c r="BV275" s="37"/>
      <c r="BW275" s="6">
        <f t="shared" si="229"/>
        <v>4.5378560551852303</v>
      </c>
      <c r="BX275" s="9">
        <f t="shared" ca="1" si="230"/>
        <v>69.658523167258608</v>
      </c>
      <c r="BY275" s="9">
        <f t="shared" ca="1" si="231"/>
        <v>-264.88292814796279</v>
      </c>
      <c r="BZ275" s="9">
        <f t="shared" ca="1" si="232"/>
        <v>228.11218267810165</v>
      </c>
      <c r="CA275" s="6">
        <f t="shared" ca="1" si="233"/>
        <v>-249.61726203174405</v>
      </c>
      <c r="CB275" s="6">
        <f t="shared" ca="1" si="234"/>
        <v>-0.83038297959390761</v>
      </c>
      <c r="CC275" s="6">
        <f t="shared" ca="1" si="235"/>
        <v>-2.1233171968810947</v>
      </c>
      <c r="CD275" s="9">
        <f t="shared" si="236"/>
        <v>128.11218267810165</v>
      </c>
      <c r="CE275" s="9">
        <f t="shared" si="237"/>
        <v>-219.61726203174408</v>
      </c>
      <c r="CF275" s="6">
        <f t="shared" si="238"/>
        <v>-1.0427146992820171</v>
      </c>
      <c r="CG275" s="6"/>
      <c r="CH275" s="6"/>
      <c r="CI275" s="6"/>
      <c r="CJ275" s="1"/>
      <c r="CK275" s="6"/>
    </row>
    <row r="276" spans="55:89" x14ac:dyDescent="0.25">
      <c r="BC276">
        <v>4.7822021504644336</v>
      </c>
      <c r="BD276">
        <v>249.35767130909798</v>
      </c>
      <c r="BE276">
        <v>-269.15481935538139</v>
      </c>
      <c r="BF276" s="6">
        <f t="shared" si="225"/>
        <v>5.459625022405584</v>
      </c>
      <c r="BG276" s="6">
        <f t="shared" si="226"/>
        <v>0.67742287194115036</v>
      </c>
      <c r="BH276" s="6">
        <f t="shared" si="227"/>
        <v>0.53210349029613546</v>
      </c>
      <c r="BI276" s="6">
        <f t="shared" si="228"/>
        <v>0.53210349029613546</v>
      </c>
      <c r="BJ276">
        <v>277.0640792323311</v>
      </c>
      <c r="BK276">
        <v>-299.06091039486819</v>
      </c>
      <c r="BV276" s="37"/>
      <c r="BW276" s="6">
        <f t="shared" si="229"/>
        <v>4.5553093477051734</v>
      </c>
      <c r="BX276" s="9">
        <f t="shared" ca="1" si="230"/>
        <v>73.517307294333534</v>
      </c>
      <c r="BY276" s="9">
        <f t="shared" ca="1" si="231"/>
        <v>-268.84746396503886</v>
      </c>
      <c r="BZ276" s="9">
        <f t="shared" ca="1" si="232"/>
        <v>231.97096680517657</v>
      </c>
      <c r="CA276" s="6">
        <f t="shared" ca="1" si="233"/>
        <v>-253.58179784882012</v>
      </c>
      <c r="CB276" s="6">
        <f t="shared" ca="1" si="234"/>
        <v>-0.82987649752209192</v>
      </c>
      <c r="CC276" s="6">
        <f t="shared" ca="1" si="235"/>
        <v>-2.0769428736756126</v>
      </c>
      <c r="CD276" s="9">
        <f t="shared" si="236"/>
        <v>131.97096680517657</v>
      </c>
      <c r="CE276" s="9">
        <f t="shared" si="237"/>
        <v>-223.58179784882012</v>
      </c>
      <c r="CF276" s="6">
        <f t="shared" si="238"/>
        <v>-1.0375707848896532</v>
      </c>
      <c r="CG276" s="6"/>
      <c r="CH276" s="6"/>
      <c r="CI276" s="6"/>
      <c r="CJ276" s="1"/>
      <c r="CK276" s="6"/>
    </row>
    <row r="277" spans="55:89" x14ac:dyDescent="0.25">
      <c r="BC277">
        <v>4.7996554429843767</v>
      </c>
      <c r="BD277">
        <v>249.59651249061881</v>
      </c>
      <c r="BE277">
        <v>-269.13602070630577</v>
      </c>
      <c r="BF277" s="6">
        <f t="shared" si="225"/>
        <v>5.4601371535967331</v>
      </c>
      <c r="BG277" s="6">
        <f t="shared" si="226"/>
        <v>0.66048171061235639</v>
      </c>
      <c r="BH277" s="6">
        <f t="shared" si="227"/>
        <v>0.53159135910498634</v>
      </c>
      <c r="BI277" s="6">
        <f t="shared" si="228"/>
        <v>0.53159135910498634</v>
      </c>
      <c r="BJ277">
        <v>277.32945832290977</v>
      </c>
      <c r="BK277">
        <v>-299.04002300700643</v>
      </c>
      <c r="BV277" s="37"/>
      <c r="BW277" s="6">
        <f t="shared" si="229"/>
        <v>4.5727626402251165</v>
      </c>
      <c r="BX277" s="9">
        <f t="shared" ca="1" si="230"/>
        <v>77.447021992386908</v>
      </c>
      <c r="BY277" s="9">
        <f t="shared" ca="1" si="231"/>
        <v>-272.8787919206211</v>
      </c>
      <c r="BZ277" s="9">
        <f t="shared" ca="1" si="232"/>
        <v>235.90068150322995</v>
      </c>
      <c r="CA277" s="6">
        <f t="shared" ca="1" si="233"/>
        <v>-257.61312580440239</v>
      </c>
      <c r="CB277" s="6">
        <f t="shared" ca="1" si="234"/>
        <v>-0.82936542683470083</v>
      </c>
      <c r="CC277" s="6">
        <f t="shared" ca="1" si="235"/>
        <v>-2.031695278320651</v>
      </c>
      <c r="CD277" s="9">
        <f t="shared" si="236"/>
        <v>135.90068150322995</v>
      </c>
      <c r="CE277" s="9">
        <f t="shared" si="237"/>
        <v>-227.61312580440239</v>
      </c>
      <c r="CF277" s="6">
        <f t="shared" si="238"/>
        <v>-1.0325349546667659</v>
      </c>
      <c r="CG277" s="6"/>
      <c r="CH277" s="6"/>
      <c r="CI277" s="6"/>
      <c r="CJ277" s="1"/>
      <c r="CK277" s="6"/>
    </row>
    <row r="278" spans="55:89" x14ac:dyDescent="0.25">
      <c r="BC278">
        <v>4.8171087355043198</v>
      </c>
      <c r="BD278">
        <v>249.83608426627947</v>
      </c>
      <c r="BE278">
        <v>-269.11295079493431</v>
      </c>
      <c r="BF278" s="6">
        <f t="shared" si="225"/>
        <v>5.4606582422196217</v>
      </c>
      <c r="BG278" s="6">
        <f t="shared" si="226"/>
        <v>0.64354950671530187</v>
      </c>
      <c r="BH278" s="6">
        <f t="shared" si="227"/>
        <v>0.53107027048209765</v>
      </c>
      <c r="BI278" s="6">
        <f t="shared" si="228"/>
        <v>0.53107027048209765</v>
      </c>
      <c r="BJ278">
        <v>277.59564918475496</v>
      </c>
      <c r="BK278">
        <v>-299.01438977214923</v>
      </c>
      <c r="BV278" s="37"/>
      <c r="BW278" s="6">
        <f t="shared" si="229"/>
        <v>4.5902159327450596</v>
      </c>
      <c r="BX278" s="9">
        <f t="shared" ca="1" si="230"/>
        <v>81.451998948279652</v>
      </c>
      <c r="BY278" s="9">
        <f t="shared" ca="1" si="231"/>
        <v>-276.98118147844008</v>
      </c>
      <c r="BZ278" s="9">
        <f t="shared" ca="1" si="232"/>
        <v>239.90565845912269</v>
      </c>
      <c r="CA278" s="6">
        <f t="shared" ca="1" si="233"/>
        <v>-261.71551536222137</v>
      </c>
      <c r="CB278" s="6">
        <f t="shared" ca="1" si="234"/>
        <v>-0.82884953762828595</v>
      </c>
      <c r="CC278" s="6">
        <f t="shared" ca="1" si="235"/>
        <v>-1.9875104225349383</v>
      </c>
      <c r="CD278" s="9">
        <f t="shared" si="236"/>
        <v>139.90565845912269</v>
      </c>
      <c r="CE278" s="9">
        <f t="shared" si="237"/>
        <v>-231.71551536222137</v>
      </c>
      <c r="CF278" s="6">
        <f t="shared" si="238"/>
        <v>-1.0276005798817798</v>
      </c>
      <c r="CG278" s="6"/>
      <c r="CH278" s="6"/>
      <c r="CI278" s="6"/>
      <c r="CJ278" s="1"/>
      <c r="CK278" s="6"/>
    </row>
    <row r="279" spans="55:89" x14ac:dyDescent="0.25">
      <c r="BC279">
        <v>4.8345620280242629</v>
      </c>
      <c r="BD279">
        <v>250.07653669494582</v>
      </c>
      <c r="BE279">
        <v>-269.08555258768206</v>
      </c>
      <c r="BF279" s="6">
        <f t="shared" si="225"/>
        <v>5.4611886934330647</v>
      </c>
      <c r="BG279" s="6">
        <f t="shared" si="226"/>
        <v>0.62662666540880174</v>
      </c>
      <c r="BH279" s="6">
        <f t="shared" si="227"/>
        <v>0.53053981926865479</v>
      </c>
      <c r="BI279" s="6">
        <f t="shared" si="228"/>
        <v>0.53053981926865479</v>
      </c>
      <c r="BJ279">
        <v>277.86281854993979</v>
      </c>
      <c r="BK279">
        <v>-298.98394731964675</v>
      </c>
      <c r="BV279" s="37"/>
      <c r="BW279" s="6">
        <f t="shared" si="229"/>
        <v>4.6076692252650027</v>
      </c>
      <c r="BX279" s="9">
        <f t="shared" ca="1" si="230"/>
        <v>85.536828514285361</v>
      </c>
      <c r="BY279" s="9">
        <f t="shared" ca="1" si="231"/>
        <v>-281.15914644669982</v>
      </c>
      <c r="BZ279" s="9">
        <f t="shared" ca="1" si="232"/>
        <v>243.9904880251284</v>
      </c>
      <c r="CA279" s="6">
        <f t="shared" ca="1" si="233"/>
        <v>-265.89348033048111</v>
      </c>
      <c r="CB279" s="6">
        <f t="shared" ca="1" si="234"/>
        <v>-0.82832858701672052</v>
      </c>
      <c r="CC279" s="6">
        <f t="shared" ca="1" si="235"/>
        <v>-1.9443283307891848</v>
      </c>
      <c r="CD279" s="9">
        <f t="shared" si="236"/>
        <v>143.9904880251284</v>
      </c>
      <c r="CE279" s="9">
        <f t="shared" si="237"/>
        <v>-235.89348033048111</v>
      </c>
      <c r="CF279" s="6">
        <f t="shared" si="238"/>
        <v>-1.022761420095639</v>
      </c>
      <c r="CG279" s="6"/>
      <c r="CH279" s="6"/>
      <c r="CI279" s="6"/>
      <c r="CJ279" s="1"/>
      <c r="CK279" s="6"/>
    </row>
    <row r="280" spans="55:89" x14ac:dyDescent="0.25">
      <c r="BC280">
        <v>4.852015320544206</v>
      </c>
      <c r="BD280">
        <v>250.31802201861868</v>
      </c>
      <c r="BE280">
        <v>-269.0537579784874</v>
      </c>
      <c r="BF280" s="6">
        <f t="shared" si="225"/>
        <v>5.4617289366464599</v>
      </c>
      <c r="BG280" s="6">
        <f t="shared" si="226"/>
        <v>0.60971361610225383</v>
      </c>
      <c r="BH280" s="6">
        <f t="shared" si="227"/>
        <v>0.5299995760552596</v>
      </c>
      <c r="BI280" s="6">
        <f t="shared" si="228"/>
        <v>0.5299995760552596</v>
      </c>
      <c r="BJ280">
        <v>278.13113557624297</v>
      </c>
      <c r="BK280">
        <v>-298.94861997609712</v>
      </c>
      <c r="BV280" s="37"/>
      <c r="BW280" s="6">
        <f t="shared" si="229"/>
        <v>4.6251225177849458</v>
      </c>
      <c r="BX280" s="9">
        <f t="shared" ca="1" si="230"/>
        <v>88.763161331870691</v>
      </c>
      <c r="BY280" s="9">
        <f t="shared" ca="1" si="231"/>
        <v>-284.40168682252454</v>
      </c>
      <c r="BZ280" s="9">
        <f t="shared" ca="1" si="232"/>
        <v>247.21682084271373</v>
      </c>
      <c r="CA280" s="6">
        <f t="shared" ca="1" si="233"/>
        <v>-269.13602070630583</v>
      </c>
      <c r="CB280" s="6">
        <f t="shared" ca="1" si="234"/>
        <v>-0.82782273462241929</v>
      </c>
      <c r="CC280" s="6">
        <f t="shared" ca="1" si="235"/>
        <v>-1.9114818976420056</v>
      </c>
      <c r="CD280" s="9">
        <f t="shared" si="236"/>
        <v>147.21682084271373</v>
      </c>
      <c r="CE280" s="9">
        <f t="shared" si="237"/>
        <v>-239.13602070630583</v>
      </c>
      <c r="CF280" s="6">
        <f t="shared" si="238"/>
        <v>-1.0189709243866198</v>
      </c>
      <c r="CG280" s="6"/>
      <c r="CH280" s="6"/>
      <c r="CI280" s="6"/>
      <c r="CJ280" s="1"/>
      <c r="CK280" s="6"/>
    </row>
    <row r="281" spans="55:89" x14ac:dyDescent="0.25">
      <c r="BC281">
        <v>4.8694686130641491</v>
      </c>
      <c r="BD281">
        <v>250.56069505507995</v>
      </c>
      <c r="BE281">
        <v>-269.01748742640467</v>
      </c>
      <c r="BF281" s="6">
        <f t="shared" si="225"/>
        <v>5.4622794269855133</v>
      </c>
      <c r="BG281" s="6">
        <f t="shared" si="226"/>
        <v>0.59281081392136414</v>
      </c>
      <c r="BH281" s="6">
        <f t="shared" si="227"/>
        <v>0.52944908571620619</v>
      </c>
      <c r="BI281" s="6">
        <f t="shared" si="228"/>
        <v>0.52944908571620619</v>
      </c>
      <c r="BJ281">
        <v>278.40077228342216</v>
      </c>
      <c r="BK281">
        <v>-298.90831936267188</v>
      </c>
      <c r="BV281" s="37"/>
      <c r="BW281" s="6">
        <f t="shared" si="229"/>
        <v>4.6425758103048889</v>
      </c>
      <c r="BX281" s="9">
        <f t="shared" ca="1" si="230"/>
        <v>89.002002513391545</v>
      </c>
      <c r="BY281" s="9">
        <f t="shared" ca="1" si="231"/>
        <v>-284.42048547159987</v>
      </c>
      <c r="BZ281" s="9">
        <f t="shared" ca="1" si="232"/>
        <v>247.45566202423458</v>
      </c>
      <c r="CA281" s="6">
        <f t="shared" ca="1" si="233"/>
        <v>-269.15481935538116</v>
      </c>
      <c r="CB281" s="6">
        <f t="shared" ca="1" si="234"/>
        <v>-0.82737642499876951</v>
      </c>
      <c r="CC281" s="6">
        <f t="shared" ca="1" si="235"/>
        <v>-1.9090566431884637</v>
      </c>
      <c r="CD281" s="9">
        <f t="shared" si="236"/>
        <v>147.45566202423458</v>
      </c>
      <c r="CE281" s="9">
        <f t="shared" si="237"/>
        <v>-239.15481935538116</v>
      </c>
      <c r="CF281" s="6">
        <f t="shared" si="238"/>
        <v>-1.0182820893176159</v>
      </c>
      <c r="CG281" s="6"/>
      <c r="CH281" s="6"/>
      <c r="CI281" s="6"/>
      <c r="CJ281" s="1"/>
      <c r="CK281" s="6"/>
    </row>
    <row r="282" spans="55:89" x14ac:dyDescent="0.25">
      <c r="BC282">
        <v>4.8869219055840922</v>
      </c>
      <c r="BD282">
        <v>250.80471360430136</v>
      </c>
      <c r="BE282">
        <v>-268.97664952872054</v>
      </c>
      <c r="BF282" s="6">
        <f t="shared" si="225"/>
        <v>5.4628406469050219</v>
      </c>
      <c r="BG282" s="6">
        <f t="shared" si="226"/>
        <v>0.57591874132092968</v>
      </c>
      <c r="BH282" s="6">
        <f t="shared" si="227"/>
        <v>0.52888786579669755</v>
      </c>
      <c r="BI282" s="6">
        <f t="shared" si="228"/>
        <v>0.52888786579669755</v>
      </c>
      <c r="BJ282">
        <v>278.67190400477926</v>
      </c>
      <c r="BK282">
        <v>-298.8629439208006</v>
      </c>
      <c r="BV282" s="37"/>
      <c r="BW282" s="6">
        <f t="shared" si="229"/>
        <v>4.660029102824832</v>
      </c>
      <c r="BX282" s="9">
        <f t="shared" ca="1" si="230"/>
        <v>89.240261357574013</v>
      </c>
      <c r="BY282" s="9">
        <f t="shared" ca="1" si="231"/>
        <v>-284.43505912075454</v>
      </c>
      <c r="BZ282" s="9">
        <f t="shared" ca="1" si="232"/>
        <v>247.69392086841705</v>
      </c>
      <c r="CA282" s="6">
        <f t="shared" ca="1" si="233"/>
        <v>-269.16939300453583</v>
      </c>
      <c r="CB282" s="6">
        <f t="shared" ca="1" si="234"/>
        <v>-0.82692389396767385</v>
      </c>
      <c r="CC282" s="6">
        <f t="shared" ca="1" si="235"/>
        <v>-1.906639185174076</v>
      </c>
      <c r="CD282" s="9">
        <f t="shared" si="236"/>
        <v>147.69392086841705</v>
      </c>
      <c r="CE282" s="9">
        <f t="shared" si="237"/>
        <v>-239.16939300453583</v>
      </c>
      <c r="CF282" s="6">
        <f t="shared" si="238"/>
        <v>-1.0175878124850815</v>
      </c>
      <c r="CG282" s="6"/>
      <c r="CH282" s="6"/>
      <c r="CI282" s="6"/>
      <c r="CJ282" s="1"/>
      <c r="CK282" s="6"/>
    </row>
    <row r="283" spans="55:89" x14ac:dyDescent="0.25">
      <c r="BC283">
        <v>4.9043751981040353</v>
      </c>
      <c r="BD283">
        <v>251.05023887093924</v>
      </c>
      <c r="BE283">
        <v>-268.93114052562845</v>
      </c>
      <c r="BF283" s="6">
        <f t="shared" si="225"/>
        <v>5.4634131079610189</v>
      </c>
      <c r="BG283" s="6">
        <f t="shared" si="226"/>
        <v>0.55903790985698354</v>
      </c>
      <c r="BH283" s="6">
        <f t="shared" si="227"/>
        <v>0.5283154047407006</v>
      </c>
      <c r="BI283" s="6">
        <f t="shared" si="228"/>
        <v>0.5283154047407006</v>
      </c>
      <c r="BJ283">
        <v>278.94470985659916</v>
      </c>
      <c r="BK283">
        <v>-298.81237836180941</v>
      </c>
      <c r="BV283" s="37"/>
      <c r="BW283" s="6">
        <f t="shared" si="229"/>
        <v>4.6774823953447751</v>
      </c>
      <c r="BX283" s="9">
        <f t="shared" ca="1" si="230"/>
        <v>89.4780846907355</v>
      </c>
      <c r="BY283" s="9">
        <f t="shared" ca="1" si="231"/>
        <v>-284.44544350402947</v>
      </c>
      <c r="BZ283" s="9">
        <f t="shared" ca="1" si="232"/>
        <v>247.93174420157854</v>
      </c>
      <c r="CA283" s="6">
        <f t="shared" ca="1" si="233"/>
        <v>-269.17977738781076</v>
      </c>
      <c r="CB283" s="6">
        <f t="shared" ca="1" si="234"/>
        <v>-0.826464908537343</v>
      </c>
      <c r="CC283" s="6">
        <f t="shared" ca="1" si="235"/>
        <v>-1.9042278792622125</v>
      </c>
      <c r="CD283" s="9">
        <f t="shared" si="236"/>
        <v>147.93174420157854</v>
      </c>
      <c r="CE283" s="9">
        <f t="shared" si="237"/>
        <v>-239.17977738781076</v>
      </c>
      <c r="CF283" s="6">
        <f t="shared" si="238"/>
        <v>-1.0168876964635643</v>
      </c>
      <c r="CG283" s="6"/>
      <c r="CH283" s="6"/>
      <c r="CI283" s="6"/>
      <c r="CJ283" s="1"/>
      <c r="CK283" s="6"/>
    </row>
    <row r="284" spans="55:89" x14ac:dyDescent="0.25">
      <c r="BC284">
        <v>4.9218284906239784</v>
      </c>
      <c r="BD284">
        <v>251.29743590537859</v>
      </c>
      <c r="BE284">
        <v>-268.88084373179476</v>
      </c>
      <c r="BF284" s="6">
        <f t="shared" si="225"/>
        <v>5.4639973527562207</v>
      </c>
      <c r="BG284" s="6">
        <f t="shared" si="226"/>
        <v>0.54216886213224225</v>
      </c>
      <c r="BH284" s="6">
        <f t="shared" si="227"/>
        <v>0.5277311599454988</v>
      </c>
      <c r="BI284" s="6">
        <f t="shared" si="228"/>
        <v>0.5277311599454988</v>
      </c>
      <c r="BJ284">
        <v>279.21937322819844</v>
      </c>
      <c r="BK284">
        <v>-298.75649303532748</v>
      </c>
      <c r="BV284" s="37"/>
      <c r="BW284" s="6">
        <f t="shared" si="229"/>
        <v>4.6949356878647182</v>
      </c>
      <c r="BX284" s="9">
        <f t="shared" ca="1" si="230"/>
        <v>89.715618272799475</v>
      </c>
      <c r="BY284" s="9">
        <f t="shared" ca="1" si="231"/>
        <v>-284.45166401381118</v>
      </c>
      <c r="BZ284" s="9">
        <f t="shared" ca="1" si="232"/>
        <v>248.16927778364251</v>
      </c>
      <c r="CA284" s="6">
        <f t="shared" ca="1" si="233"/>
        <v>-269.18599789759247</v>
      </c>
      <c r="CB284" s="6">
        <f t="shared" ca="1" si="234"/>
        <v>-0.82599921943059162</v>
      </c>
      <c r="CC284" s="6">
        <f t="shared" ca="1" si="235"/>
        <v>-1.9018210965880855</v>
      </c>
      <c r="CD284" s="9">
        <f t="shared" si="236"/>
        <v>148.16927778364251</v>
      </c>
      <c r="CE284" s="9">
        <f t="shared" si="237"/>
        <v>-239.18599789759247</v>
      </c>
      <c r="CF284" s="6">
        <f t="shared" si="238"/>
        <v>-1.0161813290894002</v>
      </c>
      <c r="CG284" s="6"/>
      <c r="CH284" s="6"/>
      <c r="CI284" s="6"/>
      <c r="CJ284" s="1"/>
      <c r="CK284" s="6"/>
    </row>
    <row r="285" spans="55:89" x14ac:dyDescent="0.25">
      <c r="BC285">
        <v>4.9392817831439215</v>
      </c>
      <c r="BD285">
        <v>251.54647406597391</v>
      </c>
      <c r="BE285">
        <v>-268.82562888939532</v>
      </c>
      <c r="BF285" s="6">
        <f t="shared" si="225"/>
        <v>5.464593957074551</v>
      </c>
      <c r="BG285" s="6">
        <f t="shared" si="226"/>
        <v>0.52531217393062946</v>
      </c>
      <c r="BH285" s="6">
        <f t="shared" si="227"/>
        <v>0.52713455562716849</v>
      </c>
      <c r="BI285" s="6">
        <f t="shared" si="228"/>
        <v>0.52713455562716849</v>
      </c>
      <c r="BJ285">
        <v>279.49608229552655</v>
      </c>
      <c r="BK285">
        <v>-298.69514321043926</v>
      </c>
      <c r="BV285" s="37"/>
      <c r="BW285" s="6">
        <f t="shared" si="229"/>
        <v>4.7123889803846613</v>
      </c>
      <c r="BX285" s="9">
        <f t="shared" ca="1" si="230"/>
        <v>89.953007155823229</v>
      </c>
      <c r="BY285" s="9">
        <f t="shared" ca="1" si="231"/>
        <v>-284.45373583299425</v>
      </c>
      <c r="BZ285" s="9">
        <f t="shared" ca="1" si="232"/>
        <v>248.40666666666627</v>
      </c>
      <c r="CA285" s="6">
        <f t="shared" ca="1" si="233"/>
        <v>-269.18806971677554</v>
      </c>
      <c r="CB285" s="6">
        <f t="shared" ca="1" si="234"/>
        <v>-0.82552656059568397</v>
      </c>
      <c r="CC285" s="6">
        <f t="shared" ca="1" si="235"/>
        <v>-1.8994172191999539</v>
      </c>
      <c r="CD285" s="9">
        <f t="shared" si="236"/>
        <v>148.40666666666627</v>
      </c>
      <c r="CE285" s="9">
        <f t="shared" si="237"/>
        <v>-239.18806971677554</v>
      </c>
      <c r="CF285" s="6">
        <f t="shared" si="238"/>
        <v>-1.0154682825156793</v>
      </c>
      <c r="CG285" s="6"/>
      <c r="CH285" s="6"/>
      <c r="CI285" s="6"/>
      <c r="CJ285" s="1"/>
      <c r="CK285" s="6"/>
    </row>
    <row r="286" spans="55:89" x14ac:dyDescent="0.25">
      <c r="BC286">
        <v>4.9567350756638646</v>
      </c>
      <c r="BD286">
        <v>251.79752750533342</v>
      </c>
      <c r="BE286">
        <v>-268.76535143636363</v>
      </c>
      <c r="BF286" s="6">
        <f t="shared" si="225"/>
        <v>5.4652035322225405</v>
      </c>
      <c r="BG286" s="6">
        <f t="shared" si="226"/>
        <v>0.5084684565586759</v>
      </c>
      <c r="BH286" s="6">
        <f t="shared" si="227"/>
        <v>0.52652498047917895</v>
      </c>
      <c r="BI286" s="6">
        <f t="shared" si="228"/>
        <v>0.52652498047917895</v>
      </c>
      <c r="BJ286">
        <v>279.77503056148157</v>
      </c>
      <c r="BK286">
        <v>-298.62816826262628</v>
      </c>
      <c r="BV286" s="37"/>
      <c r="BW286" s="6">
        <f t="shared" si="229"/>
        <v>4.7298422729046044</v>
      </c>
      <c r="BX286" s="9">
        <f t="shared" ca="1" si="230"/>
        <v>90.190396038846984</v>
      </c>
      <c r="BY286" s="9">
        <f t="shared" ca="1" si="231"/>
        <v>-284.45166401381101</v>
      </c>
      <c r="BZ286" s="9">
        <f t="shared" ca="1" si="232"/>
        <v>248.64405554969002</v>
      </c>
      <c r="CA286" s="6">
        <f t="shared" ca="1" si="233"/>
        <v>-269.1859978975923</v>
      </c>
      <c r="CB286" s="6">
        <f t="shared" ca="1" si="234"/>
        <v>-0.82504664862709409</v>
      </c>
      <c r="CC286" s="6">
        <f t="shared" ca="1" si="235"/>
        <v>-1.8970146355558279</v>
      </c>
      <c r="CD286" s="9">
        <f t="shared" si="236"/>
        <v>148.64405554969002</v>
      </c>
      <c r="CE286" s="9">
        <f t="shared" si="237"/>
        <v>-239.1859978975923</v>
      </c>
      <c r="CF286" s="6">
        <f t="shared" si="238"/>
        <v>-1.0147481121826769</v>
      </c>
      <c r="CG286" s="6"/>
      <c r="CH286" s="6"/>
      <c r="CI286" s="6"/>
      <c r="CJ286" s="1"/>
      <c r="CK286" s="6"/>
    </row>
    <row r="287" spans="55:89" x14ac:dyDescent="0.25">
      <c r="BC287">
        <v>4.9741883681838077</v>
      </c>
      <c r="BD287">
        <v>252.05077568372951</v>
      </c>
      <c r="BE287">
        <v>-268.69985168264918</v>
      </c>
      <c r="BF287" s="6">
        <f t="shared" si="225"/>
        <v>5.4658267275977046</v>
      </c>
      <c r="BG287" s="6">
        <f t="shared" si="226"/>
        <v>0.49163835941389689</v>
      </c>
      <c r="BH287" s="6">
        <f t="shared" si="227"/>
        <v>0.52590178510401486</v>
      </c>
      <c r="BI287" s="6">
        <f t="shared" si="228"/>
        <v>0.52590178510401486</v>
      </c>
      <c r="BJ287">
        <v>280.05641742636612</v>
      </c>
      <c r="BK287">
        <v>-298.55539075849907</v>
      </c>
      <c r="BV287" s="37"/>
      <c r="BW287" s="6">
        <f t="shared" si="229"/>
        <v>4.7472955654245474</v>
      </c>
      <c r="BX287" s="9">
        <f t="shared" ca="1" si="230"/>
        <v>90.427929620911044</v>
      </c>
      <c r="BY287" s="9">
        <f t="shared" ca="1" si="231"/>
        <v>-284.44544350402947</v>
      </c>
      <c r="BZ287" s="9">
        <f t="shared" ca="1" si="232"/>
        <v>248.88158913175408</v>
      </c>
      <c r="CA287" s="6">
        <f t="shared" ca="1" si="233"/>
        <v>-269.17977738781076</v>
      </c>
      <c r="CB287" s="6">
        <f t="shared" ca="1" si="234"/>
        <v>-0.82455918209370815</v>
      </c>
      <c r="CC287" s="6">
        <f t="shared" ca="1" si="235"/>
        <v>-1.8946117360484682</v>
      </c>
      <c r="CD287" s="9">
        <f t="shared" si="236"/>
        <v>148.88158913175408</v>
      </c>
      <c r="CE287" s="9">
        <f t="shared" si="237"/>
        <v>-239.17977738781076</v>
      </c>
      <c r="CF287" s="6">
        <f t="shared" si="238"/>
        <v>-1.014020355698555</v>
      </c>
      <c r="CG287" s="6"/>
      <c r="CH287" s="6"/>
      <c r="CI287" s="6"/>
      <c r="CJ287" s="1"/>
      <c r="CK287" s="6"/>
    </row>
    <row r="288" spans="55:89" x14ac:dyDescent="0.25">
      <c r="BC288">
        <v>4.9916416607037508</v>
      </c>
      <c r="BD288">
        <v>252.30640391298604</v>
      </c>
      <c r="BE288">
        <v>-268.62895388624884</v>
      </c>
      <c r="BF288" s="6">
        <f t="shared" si="225"/>
        <v>5.4664642335065796</v>
      </c>
      <c r="BG288" s="6">
        <f t="shared" si="226"/>
        <v>0.4748225728028288</v>
      </c>
      <c r="BH288" s="6">
        <f t="shared" si="227"/>
        <v>0.52526427919513996</v>
      </c>
      <c r="BI288" s="6">
        <f t="shared" si="228"/>
        <v>0.52526427919513996</v>
      </c>
      <c r="BJ288">
        <v>280.3404487922067</v>
      </c>
      <c r="BK288">
        <v>-298.47661542916535</v>
      </c>
      <c r="BV288" s="37"/>
      <c r="BW288" s="6">
        <f t="shared" si="229"/>
        <v>4.7647488579444905</v>
      </c>
      <c r="BX288" s="9">
        <f t="shared" ca="1" si="230"/>
        <v>90.665752954072673</v>
      </c>
      <c r="BY288" s="9">
        <f t="shared" ca="1" si="231"/>
        <v>-284.4350591207546</v>
      </c>
      <c r="BZ288" s="9">
        <f t="shared" ca="1" si="232"/>
        <v>249.11941246491571</v>
      </c>
      <c r="CA288" s="6">
        <f t="shared" ca="1" si="233"/>
        <v>-269.16939300453589</v>
      </c>
      <c r="CB288" s="6">
        <f t="shared" ca="1" si="234"/>
        <v>-0.82406384077114703</v>
      </c>
      <c r="CC288" s="6">
        <f t="shared" ca="1" si="235"/>
        <v>-1.8922069085315052</v>
      </c>
      <c r="CD288" s="9">
        <f t="shared" si="236"/>
        <v>149.11941246491571</v>
      </c>
      <c r="CE288" s="9">
        <f t="shared" si="237"/>
        <v>-239.16939300453589</v>
      </c>
      <c r="CF288" s="6">
        <f t="shared" si="238"/>
        <v>-1.0132845316242975</v>
      </c>
      <c r="CG288" s="6"/>
      <c r="CH288" s="6"/>
      <c r="CI288" s="6"/>
      <c r="CJ288" s="1"/>
      <c r="CK288" s="6"/>
    </row>
    <row r="289" spans="55:89" x14ac:dyDescent="0.25">
      <c r="BC289">
        <v>5.0090949532236939</v>
      </c>
      <c r="BD289">
        <v>252.56460393450399</v>
      </c>
      <c r="BE289">
        <v>-268.55246521959657</v>
      </c>
      <c r="BF289" s="6">
        <f t="shared" si="225"/>
        <v>5.4671167842580157</v>
      </c>
      <c r="BG289" s="6">
        <f t="shared" si="226"/>
        <v>0.45802183103432181</v>
      </c>
      <c r="BH289" s="6">
        <f t="shared" si="227"/>
        <v>0.52461172844370374</v>
      </c>
      <c r="BI289" s="6">
        <f t="shared" si="228"/>
        <v>0.52461172844370374</v>
      </c>
      <c r="BJ289">
        <v>280.62733770500444</v>
      </c>
      <c r="BK289">
        <v>-298.39162802177395</v>
      </c>
      <c r="BV289" s="37"/>
      <c r="BW289" s="6">
        <f t="shared" si="229"/>
        <v>4.7822021504644336</v>
      </c>
      <c r="BX289" s="9">
        <f t="shared" ca="1" si="230"/>
        <v>90.904011798254942</v>
      </c>
      <c r="BY289" s="9">
        <f t="shared" ca="1" si="231"/>
        <v>-284.4204854716001</v>
      </c>
      <c r="BZ289" s="9">
        <f t="shared" ca="1" si="232"/>
        <v>249.35767130909798</v>
      </c>
      <c r="CA289" s="6">
        <f t="shared" ca="1" si="233"/>
        <v>-269.15481935538139</v>
      </c>
      <c r="CB289" s="6">
        <f t="shared" ca="1" si="234"/>
        <v>-0.82356028477400245</v>
      </c>
      <c r="CC289" s="6">
        <f t="shared" ca="1" si="235"/>
        <v>-1.8897985338195087</v>
      </c>
      <c r="CD289" s="9">
        <f t="shared" si="236"/>
        <v>149.35767130909798</v>
      </c>
      <c r="CE289" s="9">
        <f t="shared" si="237"/>
        <v>-239.15481935538139</v>
      </c>
      <c r="CF289" s="6">
        <f t="shared" si="238"/>
        <v>-1.0125401381559533</v>
      </c>
      <c r="CG289" s="6"/>
      <c r="CH289" s="6"/>
      <c r="CI289" s="6"/>
      <c r="CJ289" s="1"/>
      <c r="CK289" s="6"/>
    </row>
    <row r="290" spans="55:89" x14ac:dyDescent="0.25">
      <c r="BC290">
        <v>5.026548245743637</v>
      </c>
      <c r="BD290">
        <v>252.82557453543376</v>
      </c>
      <c r="BE290">
        <v>-268.47017461557522</v>
      </c>
      <c r="BF290" s="6">
        <f t="shared" si="225"/>
        <v>5.4677851615606334</v>
      </c>
      <c r="BG290" s="6">
        <f t="shared" si="226"/>
        <v>0.44123691581699642</v>
      </c>
      <c r="BH290" s="6">
        <f t="shared" si="227"/>
        <v>0.52394335114108603</v>
      </c>
      <c r="BI290" s="6">
        <f t="shared" si="228"/>
        <v>0.52394335114108603</v>
      </c>
      <c r="BJ290">
        <v>280.91730503937083</v>
      </c>
      <c r="BK290">
        <v>-298.30019401730578</v>
      </c>
      <c r="BV290" s="37"/>
      <c r="BW290" s="6">
        <f t="shared" si="229"/>
        <v>4.7996554429843767</v>
      </c>
      <c r="BX290" s="9">
        <f t="shared" ca="1" si="230"/>
        <v>91.142852979775768</v>
      </c>
      <c r="BY290" s="9">
        <f t="shared" ca="1" si="231"/>
        <v>-284.40168682252448</v>
      </c>
      <c r="BZ290" s="9">
        <f t="shared" ca="1" si="232"/>
        <v>249.59651249061881</v>
      </c>
      <c r="CA290" s="6">
        <f t="shared" ca="1" si="233"/>
        <v>-269.13602070630577</v>
      </c>
      <c r="CB290" s="6">
        <f t="shared" ca="1" si="234"/>
        <v>-0.82304815358285266</v>
      </c>
      <c r="CC290" s="6">
        <f t="shared" ca="1" si="235"/>
        <v>-1.8873849811344254</v>
      </c>
      <c r="CD290" s="9">
        <f t="shared" si="236"/>
        <v>149.59651249061881</v>
      </c>
      <c r="CE290" s="9">
        <f t="shared" si="237"/>
        <v>-239.13602070630577</v>
      </c>
      <c r="CF290" s="6">
        <f t="shared" si="238"/>
        <v>-1.0117866516962952</v>
      </c>
      <c r="CG290" s="6"/>
      <c r="CH290" s="6"/>
      <c r="CI290" s="6"/>
      <c r="CJ290" s="1"/>
      <c r="CK290" s="6"/>
    </row>
    <row r="291" spans="55:89" x14ac:dyDescent="0.25">
      <c r="BC291">
        <v>5.0440015382635801</v>
      </c>
      <c r="BD291">
        <v>253.08952220740571</v>
      </c>
      <c r="BE291">
        <v>-268.38185148091424</v>
      </c>
      <c r="BF291" s="6">
        <f t="shared" si="225"/>
        <v>5.468470198257136</v>
      </c>
      <c r="BG291" s="6">
        <f t="shared" si="226"/>
        <v>0.42446865999355587</v>
      </c>
      <c r="BH291" s="6">
        <f t="shared" si="227"/>
        <v>0.52325831444458348</v>
      </c>
      <c r="BI291" s="6">
        <f t="shared" si="228"/>
        <v>0.52325831444458348</v>
      </c>
      <c r="BJ291">
        <v>281.21058023045077</v>
      </c>
      <c r="BK291">
        <v>-298.2020572010158</v>
      </c>
      <c r="BV291" s="37"/>
      <c r="BW291" s="6">
        <f t="shared" si="229"/>
        <v>4.8171087355043198</v>
      </c>
      <c r="BX291" s="9">
        <f t="shared" ca="1" si="230"/>
        <v>91.382424755436432</v>
      </c>
      <c r="BY291" s="9">
        <f t="shared" ca="1" si="231"/>
        <v>-284.37861691115302</v>
      </c>
      <c r="BZ291" s="9">
        <f t="shared" ca="1" si="232"/>
        <v>249.83608426627947</v>
      </c>
      <c r="CA291" s="6">
        <f t="shared" ca="1" si="233"/>
        <v>-269.11295079493431</v>
      </c>
      <c r="CB291" s="6">
        <f t="shared" ca="1" si="234"/>
        <v>-0.82252706495996442</v>
      </c>
      <c r="CC291" s="6">
        <f t="shared" ca="1" si="235"/>
        <v>-1.8849646034701173</v>
      </c>
      <c r="CD291" s="9">
        <f t="shared" si="236"/>
        <v>149.83608426627947</v>
      </c>
      <c r="CE291" s="9">
        <f t="shared" si="237"/>
        <v>-239.11295079493431</v>
      </c>
      <c r="CF291" s="6">
        <f t="shared" si="238"/>
        <v>-1.0110235253069761</v>
      </c>
      <c r="CG291" s="6"/>
      <c r="CH291" s="6"/>
      <c r="CI291" s="6"/>
      <c r="CJ291" s="1"/>
      <c r="CK291" s="6"/>
    </row>
    <row r="292" spans="55:89" x14ac:dyDescent="0.25">
      <c r="BC292">
        <v>5.0614548307835232</v>
      </c>
      <c r="BD292">
        <v>253.35666185268656</v>
      </c>
      <c r="BE292">
        <v>-268.28724426303961</v>
      </c>
      <c r="BF292" s="6">
        <f t="shared" si="225"/>
        <v>5.4691727824324179</v>
      </c>
      <c r="BG292" s="6">
        <f t="shared" si="226"/>
        <v>0.40771795164889468</v>
      </c>
      <c r="BH292" s="6">
        <f t="shared" si="227"/>
        <v>0.52255573026930158</v>
      </c>
      <c r="BI292" s="6">
        <f t="shared" si="228"/>
        <v>0.52255573026930158</v>
      </c>
      <c r="BJ292">
        <v>281.50740205854061</v>
      </c>
      <c r="BK292">
        <v>-298.09693807004402</v>
      </c>
      <c r="BV292" s="37"/>
      <c r="BW292" s="6">
        <f t="shared" si="229"/>
        <v>4.8345620280242629</v>
      </c>
      <c r="BX292" s="9">
        <f t="shared" ca="1" si="230"/>
        <v>91.622877184102776</v>
      </c>
      <c r="BY292" s="9">
        <f t="shared" ca="1" si="231"/>
        <v>-284.35121870390077</v>
      </c>
      <c r="BZ292" s="9">
        <f t="shared" ca="1" si="232"/>
        <v>250.07653669494582</v>
      </c>
      <c r="CA292" s="6">
        <f t="shared" ca="1" si="233"/>
        <v>-269.08555258768206</v>
      </c>
      <c r="CB292" s="6">
        <f t="shared" ca="1" si="234"/>
        <v>-0.82199661374652166</v>
      </c>
      <c r="CC292" s="6">
        <f t="shared" ca="1" si="235"/>
        <v>-1.882535732845726</v>
      </c>
      <c r="CD292" s="9">
        <f t="shared" si="236"/>
        <v>150.07653669494582</v>
      </c>
      <c r="CE292" s="9">
        <f t="shared" si="237"/>
        <v>-239.08555258768206</v>
      </c>
      <c r="CF292" s="6">
        <f t="shared" si="238"/>
        <v>-1.0102501870310943</v>
      </c>
      <c r="CG292" s="6"/>
      <c r="CH292" s="6"/>
      <c r="CI292" s="6"/>
      <c r="CJ292" s="1"/>
      <c r="CK292" s="6"/>
    </row>
    <row r="293" spans="55:89" x14ac:dyDescent="0.25">
      <c r="BC293">
        <v>5.0789081233034663</v>
      </c>
      <c r="BD293">
        <v>253.62721754314782</v>
      </c>
      <c r="BE293">
        <v>-268.18607885449887</v>
      </c>
      <c r="BF293" s="6">
        <f t="shared" si="225"/>
        <v>5.4698938619373658</v>
      </c>
      <c r="BG293" s="6">
        <f t="shared" si="226"/>
        <v>0.39098573863389952</v>
      </c>
      <c r="BH293" s="6">
        <f t="shared" si="227"/>
        <v>0.52183465076435365</v>
      </c>
      <c r="BI293" s="6">
        <f t="shared" si="228"/>
        <v>0.52183465076435365</v>
      </c>
      <c r="BJ293">
        <v>281.80801949238645</v>
      </c>
      <c r="BK293">
        <v>-297.98453206055427</v>
      </c>
      <c r="BV293" s="37"/>
      <c r="BW293" s="6">
        <f t="shared" si="229"/>
        <v>4.852015320544206</v>
      </c>
      <c r="BX293" s="9">
        <f t="shared" ca="1" si="230"/>
        <v>91.864362507775638</v>
      </c>
      <c r="BY293" s="9">
        <f t="shared" ca="1" si="231"/>
        <v>-284.31942409470611</v>
      </c>
      <c r="BZ293" s="9">
        <f t="shared" ca="1" si="232"/>
        <v>250.31802201861868</v>
      </c>
      <c r="CA293" s="6">
        <f t="shared" ca="1" si="233"/>
        <v>-269.0537579784874</v>
      </c>
      <c r="CB293" s="6">
        <f t="shared" ca="1" si="234"/>
        <v>-0.8214563705331267</v>
      </c>
      <c r="CC293" s="6">
        <f t="shared" ca="1" si="235"/>
        <v>-1.8800966754173254</v>
      </c>
      <c r="CD293" s="9">
        <f t="shared" si="236"/>
        <v>150.31802201861868</v>
      </c>
      <c r="CE293" s="9">
        <f t="shared" si="237"/>
        <v>-239.0537579784874</v>
      </c>
      <c r="CF293" s="6">
        <f t="shared" si="238"/>
        <v>-1.0094660380748592</v>
      </c>
      <c r="CG293" s="6"/>
      <c r="CH293" s="6"/>
      <c r="CI293" s="6"/>
      <c r="CJ293" s="1"/>
      <c r="CK293" s="6"/>
    </row>
    <row r="294" spans="55:89" x14ac:dyDescent="0.25">
      <c r="BC294">
        <v>5.0963614158234094</v>
      </c>
      <c r="BD294">
        <v>253.9014233380243</v>
      </c>
      <c r="BE294">
        <v>-268.07805681687012</v>
      </c>
      <c r="BF294" s="6">
        <f t="shared" si="225"/>
        <v>5.4706344493758294</v>
      </c>
      <c r="BG294" s="6">
        <f t="shared" si="226"/>
        <v>0.37427303355242003</v>
      </c>
      <c r="BH294" s="6">
        <f t="shared" si="227"/>
        <v>0.52109406332589003</v>
      </c>
      <c r="BI294" s="6">
        <f t="shared" si="228"/>
        <v>0.52109406332589003</v>
      </c>
      <c r="BJ294">
        <v>282.11269259780477</v>
      </c>
      <c r="BK294">
        <v>-297.86450757430015</v>
      </c>
      <c r="BV294" s="37"/>
      <c r="BW294" s="6">
        <f t="shared" si="229"/>
        <v>4.8694686130641491</v>
      </c>
      <c r="BX294" s="9">
        <f t="shared" ca="1" si="230"/>
        <v>92.107035544236908</v>
      </c>
      <c r="BY294" s="9">
        <f t="shared" ca="1" si="231"/>
        <v>-284.28315354262338</v>
      </c>
      <c r="BZ294" s="9">
        <f t="shared" ca="1" si="232"/>
        <v>250.56069505507995</v>
      </c>
      <c r="CA294" s="6">
        <f t="shared" ca="1" si="233"/>
        <v>-269.01748742640467</v>
      </c>
      <c r="CB294" s="6">
        <f t="shared" ca="1" si="234"/>
        <v>-0.82090588019407329</v>
      </c>
      <c r="CC294" s="6">
        <f t="shared" ca="1" si="235"/>
        <v>-1.8776457064155461</v>
      </c>
      <c r="CD294" s="9">
        <f t="shared" si="236"/>
        <v>150.56069505507995</v>
      </c>
      <c r="CE294" s="9">
        <f t="shared" si="237"/>
        <v>-239.01748742640467</v>
      </c>
      <c r="CF294" s="6">
        <f t="shared" si="238"/>
        <v>-1.0086704508356279</v>
      </c>
      <c r="CG294" s="6"/>
      <c r="CH294" s="6"/>
      <c r="CI294" s="6"/>
      <c r="CJ294" s="1"/>
      <c r="CK294" s="6"/>
    </row>
    <row r="295" spans="55:89" x14ac:dyDescent="0.25">
      <c r="BC295">
        <v>5.1138147083433525</v>
      </c>
      <c r="BD295">
        <v>254.17952416711682</v>
      </c>
      <c r="BE295">
        <v>-267.96285340352193</v>
      </c>
      <c r="BF295" s="6">
        <f t="shared" si="225"/>
        <v>5.4713956276087137</v>
      </c>
      <c r="BG295" s="6">
        <f t="shared" si="226"/>
        <v>0.35758091926536117</v>
      </c>
      <c r="BH295" s="6">
        <f t="shared" si="227"/>
        <v>0.52033288509300579</v>
      </c>
      <c r="BI295" s="6">
        <f t="shared" si="228"/>
        <v>0.52033288509300579</v>
      </c>
      <c r="BJ295">
        <v>282.42169351901867</v>
      </c>
      <c r="BK295">
        <v>-297.73650378169106</v>
      </c>
      <c r="BV295" s="37"/>
      <c r="BW295" s="6">
        <f t="shared" si="229"/>
        <v>4.8869219055840922</v>
      </c>
      <c r="BX295" s="9">
        <f t="shared" ca="1" si="230"/>
        <v>92.351054093458316</v>
      </c>
      <c r="BY295" s="9">
        <f t="shared" ca="1" si="231"/>
        <v>-284.24231564493925</v>
      </c>
      <c r="BZ295" s="9">
        <f t="shared" ca="1" si="232"/>
        <v>250.80471360430136</v>
      </c>
      <c r="CA295" s="6">
        <f t="shared" ca="1" si="233"/>
        <v>-268.97664952872054</v>
      </c>
      <c r="CB295" s="6">
        <f t="shared" ca="1" si="234"/>
        <v>-0.82034466027456421</v>
      </c>
      <c r="CC295" s="6">
        <f t="shared" ca="1" si="235"/>
        <v>-1.8751810648749681</v>
      </c>
      <c r="CD295" s="9">
        <f t="shared" si="236"/>
        <v>150.80471360430136</v>
      </c>
      <c r="CE295" s="9">
        <f t="shared" si="237"/>
        <v>-238.97664952872054</v>
      </c>
      <c r="CF295" s="6">
        <f t="shared" si="238"/>
        <v>-1.007862766762061</v>
      </c>
      <c r="CG295" s="6"/>
      <c r="CH295" s="6"/>
      <c r="CI295" s="6"/>
      <c r="CJ295" s="1"/>
      <c r="CK295" s="6"/>
    </row>
    <row r="296" spans="55:89" x14ac:dyDescent="0.25">
      <c r="BC296">
        <v>5.1312680008632956</v>
      </c>
      <c r="BD296">
        <v>254.46177678686226</v>
      </c>
      <c r="BE296">
        <v>-267.84011535766916</v>
      </c>
      <c r="BF296" s="6">
        <f t="shared" si="225"/>
        <v>5.4721785558365612</v>
      </c>
      <c r="BG296" s="6">
        <f t="shared" si="226"/>
        <v>0.34091055497326561</v>
      </c>
      <c r="BH296" s="6">
        <f t="shared" si="227"/>
        <v>0.51954995686515826</v>
      </c>
      <c r="BI296" s="6">
        <f t="shared" si="228"/>
        <v>0.51954995686515826</v>
      </c>
      <c r="BJ296">
        <v>282.73530754095805</v>
      </c>
      <c r="BK296">
        <v>-297.60012817518793</v>
      </c>
      <c r="BV296" s="37"/>
      <c r="BW296" s="6">
        <f t="shared" si="229"/>
        <v>4.9043751981040353</v>
      </c>
      <c r="BX296" s="9">
        <f t="shared" ca="1" si="230"/>
        <v>92.5965793600962</v>
      </c>
      <c r="BY296" s="9">
        <f t="shared" ca="1" si="231"/>
        <v>-284.19680664184716</v>
      </c>
      <c r="BZ296" s="9">
        <f t="shared" ca="1" si="232"/>
        <v>251.05023887093924</v>
      </c>
      <c r="CA296" s="6">
        <f t="shared" ca="1" si="233"/>
        <v>-268.93114052562845</v>
      </c>
      <c r="CB296" s="6">
        <f t="shared" ca="1" si="234"/>
        <v>-0.81977219921856703</v>
      </c>
      <c r="CC296" s="6">
        <f t="shared" ca="1" si="235"/>
        <v>-1.8727009481183809</v>
      </c>
      <c r="CD296" s="9">
        <f t="shared" si="236"/>
        <v>151.05023887093924</v>
      </c>
      <c r="CE296" s="9">
        <f t="shared" si="237"/>
        <v>-238.93114052562845</v>
      </c>
      <c r="CF296" s="6">
        <f t="shared" si="238"/>
        <v>-1.0070422940304051</v>
      </c>
      <c r="CG296" s="6"/>
      <c r="CH296" s="6"/>
      <c r="CI296" s="6"/>
      <c r="CJ296" s="1"/>
      <c r="CK296" s="6"/>
    </row>
    <row r="297" spans="55:89" x14ac:dyDescent="0.25">
      <c r="BC297">
        <v>5.1487212933832387</v>
      </c>
      <c r="BD297">
        <v>254.74845081757408</v>
      </c>
      <c r="BE297">
        <v>-267.70945845880874</v>
      </c>
      <c r="BF297" s="6">
        <f t="shared" si="225"/>
        <v>5.4729844763305868</v>
      </c>
      <c r="BG297" s="6">
        <f t="shared" si="226"/>
        <v>0.32426318294734813</v>
      </c>
      <c r="BH297" s="6">
        <f t="shared" si="227"/>
        <v>0.51874403637113264</v>
      </c>
      <c r="BI297" s="6">
        <f t="shared" si="228"/>
        <v>0.51874403637113264</v>
      </c>
      <c r="BJ297">
        <v>283.05383424174897</v>
      </c>
      <c r="BK297">
        <v>-297.45495384312079</v>
      </c>
      <c r="BV297" s="37"/>
      <c r="BW297" s="6">
        <f t="shared" si="229"/>
        <v>4.9218284906239784</v>
      </c>
      <c r="BX297" s="9">
        <f t="shared" ca="1" si="230"/>
        <v>92.843776394535553</v>
      </c>
      <c r="BY297" s="9">
        <f t="shared" ca="1" si="231"/>
        <v>-284.14650984801347</v>
      </c>
      <c r="BZ297" s="9">
        <f t="shared" ca="1" si="232"/>
        <v>251.29743590537859</v>
      </c>
      <c r="CA297" s="6">
        <f t="shared" ca="1" si="233"/>
        <v>-268.88084373179476</v>
      </c>
      <c r="CB297" s="6">
        <f t="shared" ca="1" si="234"/>
        <v>-0.81918795442336545</v>
      </c>
      <c r="CC297" s="6">
        <f t="shared" ca="1" si="235"/>
        <v>-1.8702035059562994</v>
      </c>
      <c r="CD297" s="9">
        <f t="shared" si="236"/>
        <v>151.29743590537859</v>
      </c>
      <c r="CE297" s="9">
        <f t="shared" si="237"/>
        <v>-238.88084373179476</v>
      </c>
      <c r="CF297" s="6">
        <f t="shared" si="238"/>
        <v>-1.0062083050189954</v>
      </c>
      <c r="CG297" s="6"/>
      <c r="CH297" s="6"/>
      <c r="CI297" s="6"/>
      <c r="CJ297" s="1"/>
      <c r="CK297" s="6"/>
    </row>
    <row r="298" spans="55:89" x14ac:dyDescent="0.25">
      <c r="BC298">
        <v>5.1661745859031818</v>
      </c>
      <c r="BD298">
        <v>255.03982987116183</v>
      </c>
      <c r="BE298">
        <v>-267.57046478672163</v>
      </c>
      <c r="BF298" s="6">
        <f t="shared" si="225"/>
        <v>5.4738147218920306</v>
      </c>
      <c r="BG298" s="6">
        <f t="shared" si="226"/>
        <v>0.30764013598884876</v>
      </c>
      <c r="BH298" s="6">
        <f t="shared" si="227"/>
        <v>0.51791379080968902</v>
      </c>
      <c r="BI298" s="6">
        <f t="shared" si="228"/>
        <v>0.51791379080968902</v>
      </c>
      <c r="BJ298">
        <v>283.37758874573535</v>
      </c>
      <c r="BK298">
        <v>-297.30051642969067</v>
      </c>
      <c r="BV298" s="37"/>
      <c r="BW298" s="6">
        <f t="shared" si="229"/>
        <v>4.9392817831439215</v>
      </c>
      <c r="BX298" s="9">
        <f t="shared" ca="1" si="230"/>
        <v>93.092814555130872</v>
      </c>
      <c r="BY298" s="9">
        <f t="shared" ca="1" si="231"/>
        <v>-284.09129500561403</v>
      </c>
      <c r="BZ298" s="9">
        <f t="shared" ca="1" si="232"/>
        <v>251.54647406597391</v>
      </c>
      <c r="CA298" s="6">
        <f t="shared" ca="1" si="233"/>
        <v>-268.82562888939532</v>
      </c>
      <c r="CB298" s="6">
        <f t="shared" ca="1" si="234"/>
        <v>-0.81859135010503536</v>
      </c>
      <c r="CC298" s="6">
        <f t="shared" ca="1" si="235"/>
        <v>-1.8676868345584696</v>
      </c>
      <c r="CD298" s="9">
        <f t="shared" si="236"/>
        <v>151.54647406597391</v>
      </c>
      <c r="CE298" s="9">
        <f t="shared" si="237"/>
        <v>-238.82562888939532</v>
      </c>
      <c r="CF298" s="6">
        <f t="shared" si="238"/>
        <v>-1.0053600335608823</v>
      </c>
      <c r="CG298" s="6"/>
      <c r="CH298" s="6"/>
      <c r="CI298" s="6"/>
      <c r="CJ298" s="1"/>
      <c r="CK298" s="6"/>
    </row>
    <row r="299" spans="55:89" x14ac:dyDescent="0.25">
      <c r="BC299">
        <v>5.1836278784231249</v>
      </c>
      <c r="BD299">
        <v>255.33621277979037</v>
      </c>
      <c r="BE299">
        <v>-267.42267966773494</v>
      </c>
      <c r="BF299" s="6">
        <f t="shared" si="225"/>
        <v>5.4746707241311974</v>
      </c>
      <c r="BG299" s="6">
        <f t="shared" si="226"/>
        <v>0.29104284570807248</v>
      </c>
      <c r="BH299" s="6">
        <f t="shared" si="227"/>
        <v>0.51705778857052209</v>
      </c>
      <c r="BI299" s="6">
        <f t="shared" si="228"/>
        <v>0.51705778857052209</v>
      </c>
      <c r="BJ299">
        <v>283.70690308865596</v>
      </c>
      <c r="BK299">
        <v>-297.13631074192773</v>
      </c>
      <c r="BV299" s="37"/>
      <c r="BW299" s="6">
        <f t="shared" si="229"/>
        <v>4.9567350756638646</v>
      </c>
      <c r="BX299" s="9">
        <f t="shared" ca="1" si="230"/>
        <v>93.343867994490381</v>
      </c>
      <c r="BY299" s="9">
        <f t="shared" ca="1" si="231"/>
        <v>-284.03101755258234</v>
      </c>
      <c r="BZ299" s="9">
        <f t="shared" ca="1" si="232"/>
        <v>251.79752750533342</v>
      </c>
      <c r="CA299" s="6">
        <f t="shared" ca="1" si="233"/>
        <v>-268.76535143636363</v>
      </c>
      <c r="CB299" s="6">
        <f t="shared" ca="1" si="234"/>
        <v>-0.81798177495704605</v>
      </c>
      <c r="CC299" s="6">
        <f t="shared" ca="1" si="235"/>
        <v>-1.8651489699501778</v>
      </c>
      <c r="CD299" s="9">
        <f t="shared" si="236"/>
        <v>151.79752750533342</v>
      </c>
      <c r="CE299" s="9">
        <f t="shared" si="237"/>
        <v>-238.76535143636363</v>
      </c>
      <c r="CF299" s="6">
        <f t="shared" si="238"/>
        <v>-1.0044966719520638</v>
      </c>
      <c r="CG299" s="6"/>
      <c r="CH299" s="6"/>
      <c r="CI299" s="6"/>
      <c r="CJ299" s="1"/>
      <c r="CK299" s="6"/>
    </row>
    <row r="300" spans="55:89" x14ac:dyDescent="0.25">
      <c r="BC300">
        <v>5.201081170943068</v>
      </c>
      <c r="BD300">
        <v>255.63791493726211</v>
      </c>
      <c r="BE300">
        <v>-267.26560826269497</v>
      </c>
      <c r="BF300" s="6">
        <f t="shared" si="225"/>
        <v>5.4755540226709449</v>
      </c>
      <c r="BG300" s="6">
        <f t="shared" si="226"/>
        <v>0.27447285172787694</v>
      </c>
      <c r="BH300" s="6">
        <f t="shared" si="227"/>
        <v>0.51617449003077454</v>
      </c>
      <c r="BI300" s="6">
        <f t="shared" si="228"/>
        <v>0.51617449003077454</v>
      </c>
      <c r="BJ300">
        <v>284.04212770806902</v>
      </c>
      <c r="BK300">
        <v>-296.96178695854996</v>
      </c>
      <c r="BV300" s="37"/>
      <c r="BW300" s="6">
        <f t="shared" si="229"/>
        <v>4.9741883681838077</v>
      </c>
      <c r="BX300" s="9">
        <f t="shared" ca="1" si="230"/>
        <v>93.597116172886473</v>
      </c>
      <c r="BY300" s="9">
        <f t="shared" ca="1" si="231"/>
        <v>-283.96551779886789</v>
      </c>
      <c r="BZ300" s="9">
        <f t="shared" ca="1" si="232"/>
        <v>252.05077568372951</v>
      </c>
      <c r="CA300" s="6">
        <f t="shared" ca="1" si="233"/>
        <v>-268.69985168264918</v>
      </c>
      <c r="CB300" s="6">
        <f t="shared" ca="1" si="234"/>
        <v>-0.81735857958188174</v>
      </c>
      <c r="CC300" s="6">
        <f t="shared" ca="1" si="235"/>
        <v>-1.8625878810813801</v>
      </c>
      <c r="CD300" s="9">
        <f t="shared" si="236"/>
        <v>152.05077568372951</v>
      </c>
      <c r="CE300" s="9">
        <f t="shared" si="237"/>
        <v>-238.69985168264918</v>
      </c>
      <c r="CF300" s="6">
        <f t="shared" si="238"/>
        <v>-1.0036173676900197</v>
      </c>
      <c r="CG300" s="6"/>
      <c r="CH300" s="6"/>
      <c r="CI300" s="6"/>
      <c r="CJ300" s="1"/>
      <c r="CK300" s="6"/>
    </row>
    <row r="301" spans="55:89" x14ac:dyDescent="0.25">
      <c r="BC301">
        <v>5.2185344634630111</v>
      </c>
      <c r="BD301">
        <v>255.94526976642376</v>
      </c>
      <c r="BE301">
        <v>-267.0987117500232</v>
      </c>
      <c r="BF301" s="6">
        <f t="shared" si="225"/>
        <v>5.4764662753949596</v>
      </c>
      <c r="BG301" s="6">
        <f t="shared" si="226"/>
        <v>0.25793181193194847</v>
      </c>
      <c r="BH301" s="6">
        <f t="shared" si="227"/>
        <v>0.51526223730675991</v>
      </c>
      <c r="BI301" s="6">
        <f t="shared" si="228"/>
        <v>0.51526223730675991</v>
      </c>
      <c r="BJ301">
        <v>284.38363307380416</v>
      </c>
      <c r="BK301">
        <v>-296.77634638891465</v>
      </c>
      <c r="BV301" s="37"/>
      <c r="BW301" s="6">
        <f t="shared" si="229"/>
        <v>4.9916416607037508</v>
      </c>
      <c r="BX301" s="9">
        <f t="shared" ca="1" si="230"/>
        <v>93.852744402143003</v>
      </c>
      <c r="BY301" s="9">
        <f t="shared" ca="1" si="231"/>
        <v>-283.89462000246755</v>
      </c>
      <c r="BZ301" s="9">
        <f t="shared" ca="1" si="232"/>
        <v>252.30640391298604</v>
      </c>
      <c r="CA301" s="6">
        <f t="shared" ca="1" si="233"/>
        <v>-268.62895388624884</v>
      </c>
      <c r="CB301" s="6">
        <f t="shared" ca="1" si="234"/>
        <v>-0.81672107367300628</v>
      </c>
      <c r="CC301" s="6">
        <f t="shared" ca="1" si="235"/>
        <v>-1.8600014624112704</v>
      </c>
      <c r="CD301" s="9">
        <f t="shared" si="236"/>
        <v>152.30640391298604</v>
      </c>
      <c r="CE301" s="9">
        <f t="shared" si="237"/>
        <v>-238.62895388624884</v>
      </c>
      <c r="CF301" s="6">
        <f t="shared" si="238"/>
        <v>-1.0027212199141333</v>
      </c>
      <c r="CG301" s="6"/>
      <c r="CH301" s="6"/>
      <c r="CI301" s="6"/>
      <c r="CJ301" s="1"/>
      <c r="CK301" s="6"/>
    </row>
    <row r="302" spans="55:89" x14ac:dyDescent="0.25">
      <c r="BC302">
        <v>5.2359877559829542</v>
      </c>
      <c r="BD302">
        <v>256.25863032764499</v>
      </c>
      <c r="BE302">
        <v>-266.92140305010923</v>
      </c>
      <c r="BF302" s="6">
        <f t="shared" si="225"/>
        <v>5.4774092698793684</v>
      </c>
      <c r="BG302" s="6">
        <f t="shared" si="226"/>
        <v>0.2414215138964142</v>
      </c>
      <c r="BH302" s="6">
        <f t="shared" si="227"/>
        <v>0.51431924282235109</v>
      </c>
      <c r="BI302" s="6">
        <f t="shared" si="228"/>
        <v>0.51431924282235109</v>
      </c>
      <c r="BJ302">
        <v>284.73181147516112</v>
      </c>
      <c r="BK302">
        <v>-296.57933672234361</v>
      </c>
      <c r="BV302" s="37"/>
      <c r="BW302" s="6">
        <f t="shared" si="229"/>
        <v>5.0090949532236939</v>
      </c>
      <c r="BX302" s="9">
        <f t="shared" ca="1" si="230"/>
        <v>94.110944423660953</v>
      </c>
      <c r="BY302" s="9">
        <f t="shared" ca="1" si="231"/>
        <v>-283.81813133581528</v>
      </c>
      <c r="BZ302" s="9">
        <f t="shared" ca="1" si="232"/>
        <v>252.56460393450399</v>
      </c>
      <c r="CA302" s="6">
        <f t="shared" ca="1" si="233"/>
        <v>-268.55246521959657</v>
      </c>
      <c r="CB302" s="6">
        <f t="shared" ca="1" si="234"/>
        <v>-0.81606852292157084</v>
      </c>
      <c r="CC302" s="6">
        <f t="shared" ca="1" si="235"/>
        <v>-1.857387525944473</v>
      </c>
      <c r="CD302" s="9">
        <f t="shared" si="236"/>
        <v>152.56460393450399</v>
      </c>
      <c r="CE302" s="9">
        <f t="shared" si="237"/>
        <v>-238.55246521959657</v>
      </c>
      <c r="CF302" s="6">
        <f t="shared" si="238"/>
        <v>-1.0018072755160181</v>
      </c>
      <c r="CG302" s="6"/>
      <c r="CH302" s="6"/>
      <c r="CI302" s="6"/>
      <c r="CJ302" s="1"/>
      <c r="CK302" s="6"/>
    </row>
    <row r="303" spans="55:89" x14ac:dyDescent="0.25">
      <c r="BC303">
        <v>5.2534410485028973</v>
      </c>
      <c r="BD303">
        <v>256.57837108544078</v>
      </c>
      <c r="BE303">
        <v>-266.73304202898828</v>
      </c>
      <c r="BF303" s="6">
        <f t="shared" si="225"/>
        <v>5.4783849361676094</v>
      </c>
      <c r="BG303" s="6">
        <f t="shared" si="226"/>
        <v>0.22494388766471207</v>
      </c>
      <c r="BH303" s="6">
        <f t="shared" si="227"/>
        <v>0.51334357653411011</v>
      </c>
      <c r="BI303" s="6">
        <f t="shared" si="228"/>
        <v>0.51334357653411011</v>
      </c>
      <c r="BJ303">
        <v>285.08707898382306</v>
      </c>
      <c r="BK303">
        <v>-296.37004669887585</v>
      </c>
      <c r="BV303" s="37"/>
      <c r="BW303" s="6">
        <f t="shared" si="229"/>
        <v>5.026548245743637</v>
      </c>
      <c r="BX303" s="9">
        <f t="shared" ca="1" si="230"/>
        <v>94.37191502459072</v>
      </c>
      <c r="BY303" s="9">
        <f t="shared" ca="1" si="231"/>
        <v>-283.73584073179393</v>
      </c>
      <c r="BZ303" s="9">
        <f t="shared" ca="1" si="232"/>
        <v>252.82557453543376</v>
      </c>
      <c r="CA303" s="6">
        <f t="shared" ca="1" si="233"/>
        <v>-268.47017461557522</v>
      </c>
      <c r="CB303" s="6">
        <f t="shared" ca="1" si="234"/>
        <v>-0.81540014561895258</v>
      </c>
      <c r="CC303" s="6">
        <f t="shared" ca="1" si="235"/>
        <v>-1.8547437926477617</v>
      </c>
      <c r="CD303" s="9">
        <f t="shared" si="236"/>
        <v>152.82557453543376</v>
      </c>
      <c r="CE303" s="9">
        <f t="shared" si="237"/>
        <v>-238.47017461557522</v>
      </c>
      <c r="CF303" s="6">
        <f t="shared" si="238"/>
        <v>-1.0008745248837287</v>
      </c>
      <c r="CG303" s="6"/>
      <c r="CH303" s="6"/>
      <c r="CI303" s="6"/>
      <c r="CJ303" s="1"/>
      <c r="CK303" s="6"/>
    </row>
    <row r="304" spans="55:89" x14ac:dyDescent="0.25">
      <c r="BC304">
        <v>5.2708943410228404</v>
      </c>
      <c r="BD304">
        <v>256.90488985263295</v>
      </c>
      <c r="BE304">
        <v>-266.53293010947812</v>
      </c>
      <c r="BF304" s="6">
        <f t="shared" si="225"/>
        <v>5.4793953610735402</v>
      </c>
      <c r="BG304" s="6">
        <f t="shared" si="226"/>
        <v>0.20850102005069981</v>
      </c>
      <c r="BH304" s="6">
        <f t="shared" si="227"/>
        <v>0.51233315162817927</v>
      </c>
      <c r="BI304" s="6">
        <f t="shared" si="228"/>
        <v>0.51233315162817927</v>
      </c>
      <c r="BJ304">
        <v>285.44987761403661</v>
      </c>
      <c r="BK304">
        <v>-296.14770012164234</v>
      </c>
      <c r="BV304" s="37"/>
      <c r="BW304" s="6">
        <f t="shared" si="229"/>
        <v>5.0440015382635801</v>
      </c>
      <c r="BX304" s="9">
        <f t="shared" ca="1" si="230"/>
        <v>94.635862696562668</v>
      </c>
      <c r="BY304" s="9">
        <f t="shared" ca="1" si="231"/>
        <v>-283.64751759713295</v>
      </c>
      <c r="BZ304" s="9">
        <f t="shared" ca="1" si="232"/>
        <v>253.08952220740571</v>
      </c>
      <c r="CA304" s="6">
        <f t="shared" ca="1" si="233"/>
        <v>-268.38185148091424</v>
      </c>
      <c r="CB304" s="6">
        <f t="shared" ca="1" si="234"/>
        <v>-0.81471510892245014</v>
      </c>
      <c r="CC304" s="6">
        <f t="shared" ca="1" si="235"/>
        <v>-1.8520678831677073</v>
      </c>
      <c r="CD304" s="9">
        <f t="shared" si="236"/>
        <v>153.08952220740571</v>
      </c>
      <c r="CE304" s="9">
        <f t="shared" si="237"/>
        <v>-238.38185148091424</v>
      </c>
      <c r="CF304" s="6">
        <f t="shared" si="238"/>
        <v>-0.99992189723922087</v>
      </c>
      <c r="CG304" s="6"/>
      <c r="CH304" s="6"/>
      <c r="CI304" s="6"/>
      <c r="CJ304" s="1"/>
      <c r="CK304" s="6"/>
    </row>
    <row r="305" spans="55:89" x14ac:dyDescent="0.25">
      <c r="BC305">
        <v>5.2883476335427835</v>
      </c>
      <c r="BD305">
        <v>257.23860993415218</v>
      </c>
      <c r="BE305">
        <v>-266.32030420647845</v>
      </c>
      <c r="BF305" s="6">
        <f t="shared" si="225"/>
        <v>5.4804428042273425</v>
      </c>
      <c r="BG305" s="6">
        <f t="shared" si="226"/>
        <v>0.19209517068455906</v>
      </c>
      <c r="BH305" s="6">
        <f t="shared" si="227"/>
        <v>0.51128570847437693</v>
      </c>
      <c r="BI305" s="6">
        <f t="shared" si="228"/>
        <v>0.51128570847437693</v>
      </c>
      <c r="BJ305">
        <v>285.8206777046135</v>
      </c>
      <c r="BK305">
        <v>-295.91144911830941</v>
      </c>
      <c r="BV305" s="37"/>
      <c r="BW305" s="6">
        <f t="shared" si="229"/>
        <v>5.0614548307835232</v>
      </c>
      <c r="BX305" s="9">
        <f t="shared" ca="1" si="230"/>
        <v>94.903002341843518</v>
      </c>
      <c r="BY305" s="9">
        <f t="shared" ca="1" si="231"/>
        <v>-283.55291037925832</v>
      </c>
      <c r="BZ305" s="9">
        <f t="shared" ca="1" si="232"/>
        <v>253.35666185268656</v>
      </c>
      <c r="CA305" s="6">
        <f t="shared" ca="1" si="233"/>
        <v>-268.28724426303961</v>
      </c>
      <c r="CB305" s="6">
        <f t="shared" ca="1" si="234"/>
        <v>-0.81401252474716856</v>
      </c>
      <c r="CC305" s="6">
        <f t="shared" ca="1" si="235"/>
        <v>-1.8493573077597467</v>
      </c>
      <c r="CD305" s="9">
        <f t="shared" si="236"/>
        <v>153.35666185268656</v>
      </c>
      <c r="CE305" s="9">
        <f t="shared" si="237"/>
        <v>-238.28724426303961</v>
      </c>
      <c r="CF305" s="6">
        <f t="shared" si="238"/>
        <v>-0.99894825552314326</v>
      </c>
      <c r="CG305" s="6"/>
      <c r="CH305" s="6"/>
      <c r="CI305" s="6"/>
      <c r="CJ305" s="1"/>
      <c r="CK305" s="6"/>
    </row>
    <row r="306" spans="55:89" x14ac:dyDescent="0.25">
      <c r="BC306">
        <v>5.3058009260627266</v>
      </c>
      <c r="BD306">
        <v>257.57998249572307</v>
      </c>
      <c r="BE306">
        <v>-266.09432988958395</v>
      </c>
      <c r="BF306" s="6">
        <f t="shared" si="225"/>
        <v>5.481529716113716</v>
      </c>
      <c r="BG306" s="6">
        <f t="shared" si="226"/>
        <v>0.1757287900509894</v>
      </c>
      <c r="BH306" s="6">
        <f t="shared" si="227"/>
        <v>0.51019879658800349</v>
      </c>
      <c r="BI306" s="6">
        <f t="shared" si="228"/>
        <v>0.51019879658800349</v>
      </c>
      <c r="BJ306">
        <v>286.19998055080339</v>
      </c>
      <c r="BK306">
        <v>-295.66036654398215</v>
      </c>
      <c r="BV306" s="37"/>
      <c r="BW306" s="6">
        <f t="shared" si="229"/>
        <v>5.0789081233034663</v>
      </c>
      <c r="BX306" s="9">
        <f t="shared" ca="1" si="230"/>
        <v>95.173558032304783</v>
      </c>
      <c r="BY306" s="9">
        <f t="shared" ca="1" si="231"/>
        <v>-283.45174497071758</v>
      </c>
      <c r="BZ306" s="9">
        <f t="shared" ca="1" si="232"/>
        <v>253.62721754314782</v>
      </c>
      <c r="CA306" s="6">
        <f t="shared" ca="1" si="233"/>
        <v>-268.18607885449887</v>
      </c>
      <c r="CB306" s="6">
        <f t="shared" ca="1" si="234"/>
        <v>-0.81329144524222075</v>
      </c>
      <c r="CC306" s="6">
        <f t="shared" ca="1" si="235"/>
        <v>-1.8466094553278123</v>
      </c>
      <c r="CD306" s="9">
        <f t="shared" si="236"/>
        <v>153.62721754314782</v>
      </c>
      <c r="CE306" s="9">
        <f t="shared" si="237"/>
        <v>-238.18607885449887</v>
      </c>
      <c r="CF306" s="6">
        <f t="shared" si="238"/>
        <v>-0.99795239077500197</v>
      </c>
      <c r="CG306" s="6"/>
      <c r="CH306" s="6"/>
      <c r="CI306" s="6"/>
      <c r="CJ306" s="1"/>
      <c r="CK306" s="6"/>
    </row>
    <row r="307" spans="55:89" x14ac:dyDescent="0.25">
      <c r="BC307">
        <v>5.3232542185826697</v>
      </c>
      <c r="BD307">
        <v>257.92948918631799</v>
      </c>
      <c r="BE307">
        <v>-265.85409366012931</v>
      </c>
      <c r="BF307" s="6">
        <f t="shared" si="225"/>
        <v>5.4826587583932431</v>
      </c>
      <c r="BG307" s="6">
        <f t="shared" si="226"/>
        <v>0.15940453981057345</v>
      </c>
      <c r="BH307" s="6">
        <f t="shared" si="227"/>
        <v>0.50906975430847634</v>
      </c>
      <c r="BI307" s="6">
        <f t="shared" si="228"/>
        <v>0.50906975430847634</v>
      </c>
      <c r="BJ307">
        <v>286.58832131813108</v>
      </c>
      <c r="BK307">
        <v>-295.39343740014368</v>
      </c>
      <c r="BV307" s="37"/>
      <c r="BW307" s="6">
        <f t="shared" si="229"/>
        <v>5.0963614158234094</v>
      </c>
      <c r="BX307" s="9">
        <f t="shared" ca="1" si="230"/>
        <v>95.447763827181262</v>
      </c>
      <c r="BY307" s="9">
        <f t="shared" ca="1" si="231"/>
        <v>-283.34372293308883</v>
      </c>
      <c r="BZ307" s="9">
        <f t="shared" ca="1" si="232"/>
        <v>253.9014233380243</v>
      </c>
      <c r="CA307" s="6">
        <f t="shared" ca="1" si="233"/>
        <v>-268.07805681687012</v>
      </c>
      <c r="CB307" s="6">
        <f t="shared" ca="1" si="234"/>
        <v>-0.81255085780375635</v>
      </c>
      <c r="CC307" s="6">
        <f t="shared" ca="1" si="235"/>
        <v>-1.8438215814603809</v>
      </c>
      <c r="CD307" s="9">
        <f t="shared" si="236"/>
        <v>153.9014233380243</v>
      </c>
      <c r="CE307" s="9">
        <f t="shared" si="237"/>
        <v>-238.07805681687012</v>
      </c>
      <c r="CF307" s="6">
        <f t="shared" si="238"/>
        <v>-0.99693301594979444</v>
      </c>
      <c r="CG307" s="6"/>
      <c r="CH307" s="6"/>
      <c r="CI307" s="6"/>
      <c r="CJ307" s="1"/>
      <c r="CK307" s="6"/>
    </row>
    <row r="308" spans="55:89" x14ac:dyDescent="0.25">
      <c r="BC308">
        <v>5.3407075111026128</v>
      </c>
      <c r="BD308">
        <v>258.28764504753883</v>
      </c>
      <c r="BE308">
        <v>-265.59859421077323</v>
      </c>
      <c r="BF308" s="6">
        <f t="shared" si="225"/>
        <v>5.4838328268470962</v>
      </c>
      <c r="BG308" s="6">
        <f t="shared" si="226"/>
        <v>0.14312531574448339</v>
      </c>
      <c r="BH308" s="6">
        <f t="shared" si="227"/>
        <v>0.5078956858546233</v>
      </c>
      <c r="BI308" s="6">
        <f t="shared" si="228"/>
        <v>0.5078956858546233</v>
      </c>
      <c r="BJ308">
        <v>286.98627227504312</v>
      </c>
      <c r="BK308">
        <v>-295.10954912308136</v>
      </c>
      <c r="BV308" s="37"/>
      <c r="BW308" s="6">
        <f t="shared" si="229"/>
        <v>5.1138147083433525</v>
      </c>
      <c r="BX308" s="9">
        <f t="shared" ca="1" si="230"/>
        <v>95.725864656273785</v>
      </c>
      <c r="BY308" s="9">
        <f t="shared" ca="1" si="231"/>
        <v>-283.22851951974064</v>
      </c>
      <c r="BZ308" s="9">
        <f t="shared" ca="1" si="232"/>
        <v>254.17952416711682</v>
      </c>
      <c r="CA308" s="6">
        <f t="shared" ca="1" si="233"/>
        <v>-267.96285340352193</v>
      </c>
      <c r="CB308" s="6">
        <f t="shared" ca="1" si="234"/>
        <v>-0.81178967957087267</v>
      </c>
      <c r="CC308" s="6">
        <f t="shared" ca="1" si="235"/>
        <v>-1.8409907953334104</v>
      </c>
      <c r="CD308" s="9">
        <f t="shared" si="236"/>
        <v>154.17952416711682</v>
      </c>
      <c r="CE308" s="9">
        <f t="shared" si="237"/>
        <v>-237.96285340352193</v>
      </c>
      <c r="CF308" s="6">
        <f t="shared" si="238"/>
        <v>-0.99588875910421371</v>
      </c>
      <c r="CG308" s="6"/>
      <c r="CH308" s="6"/>
      <c r="CI308" s="6"/>
      <c r="CJ308" s="1"/>
      <c r="CK308" s="6"/>
    </row>
    <row r="309" spans="55:89" x14ac:dyDescent="0.25">
      <c r="BC309">
        <v>5.3581608036225559</v>
      </c>
      <c r="BD309">
        <v>258.65500174806391</v>
      </c>
      <c r="BE309">
        <v>-265.32673251307716</v>
      </c>
      <c r="BF309" s="6">
        <f t="shared" si="225"/>
        <v>5.4850550773439721</v>
      </c>
      <c r="BG309" s="6">
        <f t="shared" si="226"/>
        <v>0.12689427372141626</v>
      </c>
      <c r="BH309" s="6">
        <f t="shared" si="227"/>
        <v>0.50667343535774734</v>
      </c>
      <c r="BI309" s="6">
        <f t="shared" si="228"/>
        <v>0.50667343535774734</v>
      </c>
      <c r="BJ309">
        <v>287.39444638673768</v>
      </c>
      <c r="BK309">
        <v>-294.80748057008572</v>
      </c>
      <c r="BV309" s="37"/>
      <c r="BW309" s="6">
        <f t="shared" si="229"/>
        <v>5.1312680008632956</v>
      </c>
      <c r="BX309" s="9">
        <f t="shared" ca="1" si="230"/>
        <v>96.00811727601922</v>
      </c>
      <c r="BY309" s="9">
        <f t="shared" ca="1" si="231"/>
        <v>-283.10578147388787</v>
      </c>
      <c r="BZ309" s="9">
        <f t="shared" ca="1" si="232"/>
        <v>254.46177678686226</v>
      </c>
      <c r="CA309" s="6">
        <f t="shared" ca="1" si="233"/>
        <v>-267.84011535766916</v>
      </c>
      <c r="CB309" s="6">
        <f t="shared" ca="1" si="234"/>
        <v>-0.81100675134302525</v>
      </c>
      <c r="CC309" s="6">
        <f t="shared" ca="1" si="235"/>
        <v>-1.8381140453327258</v>
      </c>
      <c r="CD309" s="9">
        <f t="shared" si="236"/>
        <v>154.46177678686226</v>
      </c>
      <c r="CE309" s="9">
        <f t="shared" si="237"/>
        <v>-237.84011535766916</v>
      </c>
      <c r="CF309" s="6">
        <f t="shared" si="238"/>
        <v>-0.99481815587629785</v>
      </c>
      <c r="CG309" s="6"/>
      <c r="CH309" s="6"/>
      <c r="CI309" s="6"/>
      <c r="CJ309" s="1"/>
      <c r="CK309" s="6"/>
    </row>
    <row r="310" spans="55:89" x14ac:dyDescent="0.25">
      <c r="BC310">
        <v>5.375614096142499</v>
      </c>
      <c r="BD310">
        <v>259.0321511871573</v>
      </c>
      <c r="BE310">
        <v>-265.03730055151152</v>
      </c>
      <c r="BF310" s="6">
        <f t="shared" si="225"/>
        <v>5.4863289552985091</v>
      </c>
      <c r="BG310" s="6">
        <f t="shared" si="226"/>
        <v>0.11071485915601009</v>
      </c>
      <c r="BH310" s="6">
        <f t="shared" si="227"/>
        <v>0.50539955740321041</v>
      </c>
      <c r="BI310" s="6">
        <f t="shared" si="228"/>
        <v>0.50539955740321041</v>
      </c>
      <c r="BJ310">
        <v>287.81350131906368</v>
      </c>
      <c r="BK310">
        <v>-294.48588950167948</v>
      </c>
      <c r="BV310" s="37"/>
      <c r="BW310" s="6">
        <f t="shared" si="229"/>
        <v>5.1487212933832387</v>
      </c>
      <c r="BX310" s="9">
        <f t="shared" ca="1" si="230"/>
        <v>96.294791306731042</v>
      </c>
      <c r="BY310" s="9">
        <f t="shared" ca="1" si="231"/>
        <v>-282.97512457502745</v>
      </c>
      <c r="BZ310" s="9">
        <f t="shared" ca="1" si="232"/>
        <v>254.74845081757408</v>
      </c>
      <c r="CA310" s="6">
        <f t="shared" ca="1" si="233"/>
        <v>-267.70945845880874</v>
      </c>
      <c r="CB310" s="6">
        <f t="shared" ca="1" si="234"/>
        <v>-0.81020083084899919</v>
      </c>
      <c r="CC310" s="6">
        <f t="shared" ca="1" si="235"/>
        <v>-1.8351881032274631</v>
      </c>
      <c r="CD310" s="9">
        <f t="shared" si="236"/>
        <v>154.74845081757408</v>
      </c>
      <c r="CE310" s="9">
        <f t="shared" si="237"/>
        <v>-237.70945845880874</v>
      </c>
      <c r="CF310" s="6">
        <f t="shared" si="238"/>
        <v>-0.99371964117174549</v>
      </c>
      <c r="CG310" s="6"/>
      <c r="CH310" s="6"/>
      <c r="CI310" s="6"/>
      <c r="CJ310" s="1"/>
      <c r="CK310" s="6"/>
    </row>
    <row r="311" spans="55:89" x14ac:dyDescent="0.25">
      <c r="BC311">
        <v>5.3930673886624421</v>
      </c>
      <c r="BD311">
        <v>259.41972951811795</v>
      </c>
      <c r="BE311">
        <v>-264.72896848993679</v>
      </c>
      <c r="BF311" s="6">
        <f t="shared" si="225"/>
        <v>5.4876582291749161</v>
      </c>
      <c r="BG311" s="6">
        <f t="shared" si="226"/>
        <v>9.4590840512474017E-2</v>
      </c>
      <c r="BH311" s="6">
        <f t="shared" si="227"/>
        <v>0.50407028352680339</v>
      </c>
      <c r="BI311" s="6">
        <f t="shared" si="228"/>
        <v>0.50407028352680339</v>
      </c>
      <c r="BJ311">
        <v>288.24414390901995</v>
      </c>
      <c r="BK311">
        <v>-294.14329832215196</v>
      </c>
      <c r="BV311" s="37"/>
      <c r="BW311" s="6">
        <f t="shared" si="229"/>
        <v>5.1661745859031818</v>
      </c>
      <c r="BX311" s="9">
        <f t="shared" ca="1" si="230"/>
        <v>96.586170360318789</v>
      </c>
      <c r="BY311" s="9">
        <f t="shared" ca="1" si="231"/>
        <v>-282.83613090294034</v>
      </c>
      <c r="BZ311" s="9">
        <f t="shared" ca="1" si="232"/>
        <v>255.03982987116183</v>
      </c>
      <c r="CA311" s="6">
        <f t="shared" ca="1" si="233"/>
        <v>-267.57046478672163</v>
      </c>
      <c r="CB311" s="6">
        <f t="shared" ca="1" si="234"/>
        <v>-0.80937058528755534</v>
      </c>
      <c r="CC311" s="6">
        <f t="shared" ca="1" si="235"/>
        <v>-1.8322095467017965</v>
      </c>
      <c r="CD311" s="9">
        <f t="shared" si="236"/>
        <v>155.03982987116183</v>
      </c>
      <c r="CE311" s="9">
        <f t="shared" si="237"/>
        <v>-237.57046478672163</v>
      </c>
      <c r="CF311" s="6">
        <f t="shared" si="238"/>
        <v>-0.99259153995773497</v>
      </c>
      <c r="CG311" s="6"/>
      <c r="CH311" s="6"/>
      <c r="CI311" s="6"/>
      <c r="CJ311" s="1"/>
      <c r="CK311" s="6"/>
    </row>
    <row r="312" spans="55:89" x14ac:dyDescent="0.25">
      <c r="BC312">
        <v>5.4105206811823852</v>
      </c>
      <c r="BD312">
        <v>259.8184216506769</v>
      </c>
      <c r="BE312">
        <v>-264.40027001769181</v>
      </c>
      <c r="BF312" s="6">
        <f t="shared" si="225"/>
        <v>5.4890470286914308</v>
      </c>
      <c r="BG312" s="6">
        <f t="shared" si="226"/>
        <v>7.8526347509045635E-2</v>
      </c>
      <c r="BH312" s="6">
        <f t="shared" si="227"/>
        <v>0.50268148401028867</v>
      </c>
      <c r="BI312" s="6">
        <f t="shared" si="228"/>
        <v>0.50268148401028867</v>
      </c>
      <c r="BJ312">
        <v>288.68713516741877</v>
      </c>
      <c r="BK312">
        <v>-293.77807779743534</v>
      </c>
      <c r="BV312" s="37"/>
      <c r="BW312" s="6">
        <f t="shared" si="229"/>
        <v>5.1836278784231249</v>
      </c>
      <c r="BX312" s="9">
        <f t="shared" ca="1" si="230"/>
        <v>96.882553268947333</v>
      </c>
      <c r="BY312" s="9">
        <f t="shared" ca="1" si="231"/>
        <v>-282.68834578395365</v>
      </c>
      <c r="BZ312" s="9">
        <f t="shared" ca="1" si="232"/>
        <v>255.33621277979037</v>
      </c>
      <c r="CA312" s="6">
        <f t="shared" ca="1" si="233"/>
        <v>-267.42267966773494</v>
      </c>
      <c r="CB312" s="6">
        <f t="shared" ca="1" si="234"/>
        <v>-0.80851458304838908</v>
      </c>
      <c r="CC312" s="6">
        <f t="shared" ca="1" si="235"/>
        <v>-1.8291747400235114</v>
      </c>
      <c r="CD312" s="9">
        <f t="shared" si="236"/>
        <v>155.33621277979037</v>
      </c>
      <c r="CE312" s="9">
        <f t="shared" si="237"/>
        <v>-237.42267966773494</v>
      </c>
      <c r="CF312" s="6">
        <f t="shared" si="238"/>
        <v>-0.99143205705074022</v>
      </c>
      <c r="CG312" s="6"/>
      <c r="CH312" s="6"/>
      <c r="CI312" s="6"/>
      <c r="CJ312" s="1"/>
      <c r="CK312" s="6"/>
    </row>
    <row r="313" spans="55:89" x14ac:dyDescent="0.25">
      <c r="BC313">
        <v>5.4279739737023283</v>
      </c>
      <c r="BD313">
        <v>260.22896630096653</v>
      </c>
      <c r="BE313">
        <v>-264.04958557548287</v>
      </c>
      <c r="BF313" s="6">
        <f t="shared" si="225"/>
        <v>5.4904998885045124</v>
      </c>
      <c r="BG313" s="6">
        <f t="shared" si="226"/>
        <v>6.2525914802184168E-2</v>
      </c>
      <c r="BH313" s="6">
        <f t="shared" si="227"/>
        <v>0.50122862419720704</v>
      </c>
      <c r="BI313" s="6">
        <f t="shared" si="228"/>
        <v>0.50122862419720704</v>
      </c>
      <c r="BJ313">
        <v>289.14329588996281</v>
      </c>
      <c r="BK313">
        <v>-293.38842841720316</v>
      </c>
      <c r="BV313" s="37"/>
      <c r="BW313" s="6">
        <f t="shared" si="229"/>
        <v>5.201081170943068</v>
      </c>
      <c r="BX313" s="9">
        <f t="shared" ca="1" si="230"/>
        <v>97.184255426419071</v>
      </c>
      <c r="BY313" s="9">
        <f t="shared" ca="1" si="231"/>
        <v>-282.53127437891368</v>
      </c>
      <c r="BZ313" s="9">
        <f t="shared" ca="1" si="232"/>
        <v>255.63791493726211</v>
      </c>
      <c r="CA313" s="6">
        <f t="shared" ca="1" si="233"/>
        <v>-267.26560826269497</v>
      </c>
      <c r="CB313" s="6">
        <f t="shared" ca="1" si="234"/>
        <v>-0.80763128450864141</v>
      </c>
      <c r="CC313" s="6">
        <f t="shared" ca="1" si="235"/>
        <v>-1.826079812594309</v>
      </c>
      <c r="CD313" s="9">
        <f t="shared" si="236"/>
        <v>155.63791493726211</v>
      </c>
      <c r="CE313" s="9">
        <f t="shared" si="237"/>
        <v>-237.26560826269497</v>
      </c>
      <c r="CF313" s="6">
        <f t="shared" si="238"/>
        <v>-0.99023926576807231</v>
      </c>
      <c r="CG313" s="6"/>
      <c r="CH313" s="6"/>
      <c r="CI313" s="6"/>
      <c r="CJ313" s="1"/>
      <c r="CK313" s="6"/>
    </row>
    <row r="314" spans="55:89" x14ac:dyDescent="0.25">
      <c r="BC314">
        <v>5.4454272662222714</v>
      </c>
      <c r="BD314">
        <v>260.65216166911642</v>
      </c>
      <c r="BE314">
        <v>-263.67512310445863</v>
      </c>
      <c r="BF314" s="6">
        <f t="shared" si="225"/>
        <v>5.4920217983014838</v>
      </c>
      <c r="BG314" s="6">
        <f t="shared" si="226"/>
        <v>4.6594532079212492E-2</v>
      </c>
      <c r="BH314" s="6">
        <f t="shared" si="227"/>
        <v>0.49970671440023567</v>
      </c>
      <c r="BI314" s="6">
        <f t="shared" si="228"/>
        <v>0.49970671440023567</v>
      </c>
      <c r="BJ314">
        <v>289.61351296568489</v>
      </c>
      <c r="BK314">
        <v>-292.97235900495406</v>
      </c>
      <c r="BV314" s="37"/>
      <c r="BW314" s="6">
        <f t="shared" si="229"/>
        <v>5.2185344634630111</v>
      </c>
      <c r="BX314" s="9">
        <f t="shared" ca="1" si="230"/>
        <v>97.491610255580724</v>
      </c>
      <c r="BY314" s="9">
        <f t="shared" ca="1" si="231"/>
        <v>-282.36437786624191</v>
      </c>
      <c r="BZ314" s="9">
        <f t="shared" ca="1" si="232"/>
        <v>255.94526976642376</v>
      </c>
      <c r="CA314" s="6">
        <f t="shared" ca="1" si="233"/>
        <v>-267.0987117500232</v>
      </c>
      <c r="CB314" s="6">
        <f t="shared" ca="1" si="234"/>
        <v>-0.80671903178462689</v>
      </c>
      <c r="CC314" s="6">
        <f t="shared" ca="1" si="235"/>
        <v>-1.822920635087153</v>
      </c>
      <c r="CD314" s="9">
        <f t="shared" si="236"/>
        <v>155.94526976642376</v>
      </c>
      <c r="CE314" s="9">
        <f t="shared" si="237"/>
        <v>-237.0987117500232</v>
      </c>
      <c r="CF314" s="6">
        <f t="shared" si="238"/>
        <v>-0.98901109529334219</v>
      </c>
      <c r="CG314" s="6"/>
      <c r="CH314" s="6"/>
      <c r="CI314" s="6"/>
      <c r="CJ314" s="1"/>
      <c r="CK314" s="6"/>
    </row>
    <row r="315" spans="55:89" x14ac:dyDescent="0.25">
      <c r="BC315">
        <v>5.4628805587422145</v>
      </c>
      <c r="BD315">
        <v>261.088871838138</v>
      </c>
      <c r="BE315">
        <v>-263.27489589283107</v>
      </c>
      <c r="BF315" s="6">
        <f t="shared" si="225"/>
        <v>5.4936182604131147</v>
      </c>
      <c r="BG315" s="6">
        <f t="shared" si="226"/>
        <v>3.0737701670900286E-2</v>
      </c>
      <c r="BH315" s="6">
        <f t="shared" si="227"/>
        <v>0.49811025228860467</v>
      </c>
      <c r="BI315" s="6">
        <f t="shared" si="228"/>
        <v>0.49811025228860467</v>
      </c>
      <c r="BJ315">
        <v>290.09874648682</v>
      </c>
      <c r="BK315">
        <v>-292.52766210314564</v>
      </c>
      <c r="BV315" s="37"/>
      <c r="BW315" s="6">
        <f t="shared" si="229"/>
        <v>5.2359877559829542</v>
      </c>
      <c r="BX315" s="9">
        <f t="shared" ca="1" si="230"/>
        <v>97.804970816801955</v>
      </c>
      <c r="BY315" s="9">
        <f t="shared" ca="1" si="231"/>
        <v>-282.18706916632794</v>
      </c>
      <c r="BZ315" s="9">
        <f t="shared" ca="1" si="232"/>
        <v>256.25863032764499</v>
      </c>
      <c r="CA315" s="6">
        <f t="shared" ca="1" si="233"/>
        <v>-266.92140305010923</v>
      </c>
      <c r="CB315" s="6">
        <f t="shared" ca="1" si="234"/>
        <v>-0.80577603730021752</v>
      </c>
      <c r="CC315" s="6">
        <f t="shared" ca="1" si="235"/>
        <v>-1.8196927928291473</v>
      </c>
      <c r="CD315" s="9">
        <f t="shared" si="236"/>
        <v>156.25863032764499</v>
      </c>
      <c r="CE315" s="9">
        <f t="shared" si="237"/>
        <v>-236.92140305010923</v>
      </c>
      <c r="CF315" s="6">
        <f t="shared" si="238"/>
        <v>-0.98774531658313225</v>
      </c>
      <c r="CG315" s="6"/>
      <c r="CH315" s="6"/>
      <c r="CI315" s="6"/>
      <c r="CJ315" s="1"/>
      <c r="CK315" s="6"/>
    </row>
    <row r="316" spans="55:89" x14ac:dyDescent="0.25">
      <c r="BC316">
        <v>5.4803338512621576</v>
      </c>
      <c r="BD316">
        <v>261.5400340040419</v>
      </c>
      <c r="BE316">
        <v>-262.84669701021556</v>
      </c>
      <c r="BF316" s="6">
        <f t="shared" si="225"/>
        <v>5.4952953562815541</v>
      </c>
      <c r="BG316" s="6">
        <f t="shared" si="226"/>
        <v>1.4961505019396526E-2</v>
      </c>
      <c r="BH316" s="6">
        <f t="shared" si="227"/>
        <v>0.49643315642016539</v>
      </c>
      <c r="BI316" s="6">
        <f t="shared" si="228"/>
        <v>0.49643315642016539</v>
      </c>
      <c r="BJ316">
        <v>290.60003778226877</v>
      </c>
      <c r="BK316">
        <v>-292.05188556690615</v>
      </c>
      <c r="BV316" s="37"/>
      <c r="BW316" s="6">
        <f t="shared" si="229"/>
        <v>5.2534410485028973</v>
      </c>
      <c r="BX316" s="9">
        <f t="shared" ca="1" si="230"/>
        <v>98.12471157459774</v>
      </c>
      <c r="BY316" s="9">
        <f t="shared" ca="1" si="231"/>
        <v>-281.99870814520699</v>
      </c>
      <c r="BZ316" s="9">
        <f t="shared" ca="1" si="232"/>
        <v>256.57837108544078</v>
      </c>
      <c r="CA316" s="6">
        <f t="shared" ca="1" si="233"/>
        <v>-266.73304202898828</v>
      </c>
      <c r="CB316" s="6">
        <f t="shared" ca="1" si="234"/>
        <v>-0.80480037101197655</v>
      </c>
      <c r="CC316" s="6">
        <f t="shared" ca="1" si="235"/>
        <v>-1.8163915560329502</v>
      </c>
      <c r="CD316" s="9">
        <f t="shared" si="236"/>
        <v>156.57837108544078</v>
      </c>
      <c r="CE316" s="9">
        <f t="shared" si="237"/>
        <v>-236.73304202898828</v>
      </c>
      <c r="CF316" s="6">
        <f t="shared" si="238"/>
        <v>-0.98643952661527157</v>
      </c>
      <c r="CG316" s="6"/>
      <c r="CH316" s="6"/>
      <c r="CI316" s="6"/>
      <c r="CJ316" s="1"/>
      <c r="CK316" s="6"/>
    </row>
    <row r="317" spans="55:89" x14ac:dyDescent="0.25">
      <c r="BC317">
        <v>5.4977871437821006</v>
      </c>
      <c r="BD317">
        <v>262.00666666666569</v>
      </c>
      <c r="BE317">
        <v>-262.38806971677667</v>
      </c>
      <c r="BF317" s="6">
        <f t="shared" si="225"/>
        <v>5.4970598233946601</v>
      </c>
      <c r="BG317" s="6">
        <f t="shared" si="226"/>
        <v>7.2732038744049987E-4</v>
      </c>
      <c r="BH317" s="6">
        <f t="shared" si="227"/>
        <v>0.49466868930705932</v>
      </c>
      <c r="BI317" s="6">
        <f t="shared" si="228"/>
        <v>0.49466868930705932</v>
      </c>
      <c r="BJ317">
        <v>291.11851851851742</v>
      </c>
      <c r="BK317">
        <v>-291.5422996853074</v>
      </c>
      <c r="BV317" s="37"/>
      <c r="BW317" s="6">
        <f t="shared" si="229"/>
        <v>5.2708943410228404</v>
      </c>
      <c r="BX317" s="9">
        <f t="shared" ca="1" si="230"/>
        <v>98.451230341789909</v>
      </c>
      <c r="BY317" s="9">
        <f t="shared" ca="1" si="231"/>
        <v>-281.79859622569683</v>
      </c>
      <c r="BZ317" s="9">
        <f t="shared" ca="1" si="232"/>
        <v>256.90488985263295</v>
      </c>
      <c r="CA317" s="6">
        <f t="shared" ca="1" si="233"/>
        <v>-266.53293010947812</v>
      </c>
      <c r="CB317" s="6">
        <f t="shared" ca="1" si="234"/>
        <v>-0.80378994610604626</v>
      </c>
      <c r="CC317" s="6">
        <f t="shared" ca="1" si="235"/>
        <v>-1.8130118464138489</v>
      </c>
      <c r="CD317" s="9">
        <f t="shared" si="236"/>
        <v>156.90488985263295</v>
      </c>
      <c r="CE317" s="9">
        <f t="shared" si="237"/>
        <v>-236.53293010947812</v>
      </c>
      <c r="CF317" s="6">
        <f t="shared" si="238"/>
        <v>-0.98509113074743115</v>
      </c>
      <c r="CG317" s="6"/>
      <c r="CH317" s="6"/>
      <c r="CI317" s="6"/>
      <c r="CJ317" s="1"/>
      <c r="CK317" s="6"/>
    </row>
    <row r="318" spans="55:89" x14ac:dyDescent="0.25">
      <c r="BC318">
        <v>5.5152404363020437</v>
      </c>
      <c r="BD318">
        <v>262.48987893421742</v>
      </c>
      <c r="BE318">
        <v>-261.89627310747829</v>
      </c>
      <c r="BF318" s="6">
        <f t="shared" si="225"/>
        <v>5.4989191446385179</v>
      </c>
      <c r="BG318" s="6">
        <f t="shared" si="226"/>
        <v>1.6321291663525805E-2</v>
      </c>
      <c r="BH318" s="6">
        <f t="shared" si="227"/>
        <v>0.49280936806320152</v>
      </c>
      <c r="BI318" s="6">
        <f t="shared" si="228"/>
        <v>0.49280936806320152</v>
      </c>
      <c r="BJ318">
        <v>291.65542103801937</v>
      </c>
      <c r="BK318">
        <v>-290.9958590083092</v>
      </c>
      <c r="BV318" s="37"/>
      <c r="BW318" s="6">
        <f t="shared" si="229"/>
        <v>5.2883476335427835</v>
      </c>
      <c r="BX318" s="9">
        <f t="shared" ca="1" si="230"/>
        <v>98.784950423309141</v>
      </c>
      <c r="BY318" s="9">
        <f t="shared" ca="1" si="231"/>
        <v>-281.58597032269716</v>
      </c>
      <c r="BZ318" s="9">
        <f t="shared" ca="1" si="232"/>
        <v>257.23860993415218</v>
      </c>
      <c r="CA318" s="6">
        <f t="shared" ca="1" si="233"/>
        <v>-266.32030420647845</v>
      </c>
      <c r="CB318" s="6">
        <f t="shared" ca="1" si="234"/>
        <v>-0.80274250295224336</v>
      </c>
      <c r="CC318" s="6">
        <f t="shared" ca="1" si="235"/>
        <v>-1.8095481996511253</v>
      </c>
      <c r="CD318" s="9">
        <f t="shared" si="236"/>
        <v>157.23860993415218</v>
      </c>
      <c r="CE318" s="9">
        <f t="shared" si="237"/>
        <v>-236.32030420647845</v>
      </c>
      <c r="CF318" s="6">
        <f t="shared" si="238"/>
        <v>-0.9836973229173559</v>
      </c>
      <c r="CG318" s="6"/>
      <c r="CH318" s="6"/>
      <c r="CI318" s="6"/>
      <c r="CJ318" s="1"/>
      <c r="CK318" s="6"/>
    </row>
    <row r="319" spans="55:89" x14ac:dyDescent="0.25">
      <c r="BC319">
        <v>5.5326937288219868</v>
      </c>
      <c r="BD319">
        <v>262.99088112300126</v>
      </c>
      <c r="BE319">
        <v>-261.36824209514481</v>
      </c>
      <c r="BF319" s="6">
        <f t="shared" si="225"/>
        <v>5.5008816524433763</v>
      </c>
      <c r="BG319" s="6">
        <f t="shared" si="226"/>
        <v>3.1812076378610499E-2</v>
      </c>
      <c r="BH319" s="6">
        <f t="shared" si="227"/>
        <v>0.49084686025834312</v>
      </c>
      <c r="BI319" s="6">
        <f t="shared" si="228"/>
        <v>0.49084686025834312</v>
      </c>
      <c r="BJ319">
        <v>292.21209013666805</v>
      </c>
      <c r="BK319">
        <v>-290.40915788349423</v>
      </c>
      <c r="BV319" s="37"/>
      <c r="BW319" s="6">
        <f t="shared" si="229"/>
        <v>5.3058009260627266</v>
      </c>
      <c r="BX319" s="9">
        <f t="shared" ca="1" si="230"/>
        <v>99.126322984880034</v>
      </c>
      <c r="BY319" s="9">
        <f t="shared" ca="1" si="231"/>
        <v>-281.35999600580266</v>
      </c>
      <c r="BZ319" s="9">
        <f t="shared" ca="1" si="232"/>
        <v>257.57998249572307</v>
      </c>
      <c r="CA319" s="6">
        <f t="shared" ca="1" si="233"/>
        <v>-266.09432988958395</v>
      </c>
      <c r="CB319" s="6">
        <f t="shared" ca="1" si="234"/>
        <v>-0.80165559106587025</v>
      </c>
      <c r="CC319" s="6">
        <f t="shared" ca="1" si="235"/>
        <v>-1.8059947230581885</v>
      </c>
      <c r="CD319" s="9">
        <f t="shared" si="236"/>
        <v>157.57998249572307</v>
      </c>
      <c r="CE319" s="9">
        <f t="shared" si="237"/>
        <v>-236.09432988958395</v>
      </c>
      <c r="CF319" s="6">
        <f t="shared" si="238"/>
        <v>-0.98225506337168911</v>
      </c>
      <c r="CG319" s="6"/>
      <c r="CH319" s="6"/>
      <c r="CI319" s="6"/>
      <c r="CJ319" s="1"/>
      <c r="CK319" s="6"/>
    </row>
    <row r="320" spans="55:89" x14ac:dyDescent="0.25">
      <c r="BC320">
        <v>5.5501470213419299</v>
      </c>
      <c r="BD320">
        <v>263.51099686834249</v>
      </c>
      <c r="BE320">
        <v>-260.8005406417293</v>
      </c>
      <c r="BF320" s="6">
        <f t="shared" si="225"/>
        <v>5.5029566506270138</v>
      </c>
      <c r="BG320" s="6">
        <f t="shared" si="226"/>
        <v>4.7190370714916163E-2</v>
      </c>
      <c r="BH320" s="6">
        <f t="shared" si="227"/>
        <v>0.48877186207470563</v>
      </c>
      <c r="BI320" s="6">
        <f t="shared" si="228"/>
        <v>0.48877186207470563</v>
      </c>
      <c r="BJ320">
        <v>292.78999652038056</v>
      </c>
      <c r="BK320">
        <v>-289.77837849081033</v>
      </c>
      <c r="BV320" s="37"/>
      <c r="BW320" s="6">
        <f t="shared" si="229"/>
        <v>5.3232542185826697</v>
      </c>
      <c r="BX320" s="9">
        <f t="shared" ca="1" si="230"/>
        <v>99.475829675474955</v>
      </c>
      <c r="BY320" s="9">
        <f t="shared" ca="1" si="231"/>
        <v>-281.11975977634802</v>
      </c>
      <c r="BZ320" s="9">
        <f t="shared" ca="1" si="232"/>
        <v>257.92948918631799</v>
      </c>
      <c r="CA320" s="6">
        <f t="shared" ca="1" si="233"/>
        <v>-265.85409366012931</v>
      </c>
      <c r="CB320" s="6">
        <f t="shared" ca="1" si="234"/>
        <v>-0.80052654878634288</v>
      </c>
      <c r="CC320" s="6">
        <f t="shared" ca="1" si="235"/>
        <v>-1.8023450477133518</v>
      </c>
      <c r="CD320" s="9">
        <f t="shared" si="236"/>
        <v>157.92948918631799</v>
      </c>
      <c r="CE320" s="9">
        <f t="shared" si="237"/>
        <v>-235.85409366012931</v>
      </c>
      <c r="CF320" s="6">
        <f t="shared" si="238"/>
        <v>-0.98076105355767806</v>
      </c>
      <c r="CG320" s="6"/>
      <c r="CH320" s="6"/>
      <c r="CI320" s="6"/>
      <c r="CJ320" s="1"/>
      <c r="CK320" s="6"/>
    </row>
    <row r="321" spans="55:89" x14ac:dyDescent="0.25">
      <c r="BC321">
        <v>5.567600313861873</v>
      </c>
      <c r="BD321">
        <v>264.05167700487124</v>
      </c>
      <c r="BE321">
        <v>-260.18930690491806</v>
      </c>
      <c r="BF321" s="6">
        <f t="shared" si="225"/>
        <v>5.5051545575034195</v>
      </c>
      <c r="BG321" s="6">
        <f t="shared" si="226"/>
        <v>6.2445756358453508E-2</v>
      </c>
      <c r="BH321" s="6">
        <f t="shared" si="227"/>
        <v>0.48657395519829993</v>
      </c>
      <c r="BI321" s="6">
        <f t="shared" si="228"/>
        <v>0.48657395519829993</v>
      </c>
      <c r="BJ321">
        <v>293.39075222763472</v>
      </c>
      <c r="BK321">
        <v>-289.09922989435341</v>
      </c>
      <c r="BV321" s="37"/>
      <c r="BW321" s="6">
        <f t="shared" si="229"/>
        <v>5.3407075111026128</v>
      </c>
      <c r="BX321" s="9">
        <f t="shared" ca="1" si="230"/>
        <v>99.833985536695792</v>
      </c>
      <c r="BY321" s="9">
        <f t="shared" ca="1" si="231"/>
        <v>-280.86426032699194</v>
      </c>
      <c r="BZ321" s="9">
        <f t="shared" ca="1" si="232"/>
        <v>258.28764504753883</v>
      </c>
      <c r="CA321" s="6">
        <f t="shared" ca="1" si="233"/>
        <v>-265.59859421077323</v>
      </c>
      <c r="CB321" s="6">
        <f t="shared" ca="1" si="234"/>
        <v>-0.79935248033248985</v>
      </c>
      <c r="CC321" s="6">
        <f t="shared" ca="1" si="235"/>
        <v>-1.7985922741669746</v>
      </c>
      <c r="CD321" s="9">
        <f t="shared" si="236"/>
        <v>158.28764504753883</v>
      </c>
      <c r="CE321" s="9">
        <f t="shared" si="237"/>
        <v>-235.59859421077323</v>
      </c>
      <c r="CF321" s="6">
        <f t="shared" si="238"/>
        <v>-0.97921170774918731</v>
      </c>
      <c r="CG321" s="6"/>
      <c r="CH321" s="6"/>
      <c r="CI321" s="6"/>
      <c r="CJ321" s="1"/>
      <c r="CK321" s="6"/>
    </row>
    <row r="322" spans="55:89" x14ac:dyDescent="0.25">
      <c r="BC322">
        <v>5.5850536063818161</v>
      </c>
      <c r="BD322">
        <v>264.61451552594667</v>
      </c>
      <c r="BE322">
        <v>-259.5301886636409</v>
      </c>
      <c r="BF322" s="6">
        <f t="shared" si="225"/>
        <v>5.5074870746628681</v>
      </c>
      <c r="BG322" s="6">
        <f t="shared" si="226"/>
        <v>7.7566531718948006E-2</v>
      </c>
      <c r="BH322" s="6">
        <f t="shared" si="227"/>
        <v>0.48424143803885134</v>
      </c>
      <c r="BI322" s="6">
        <f t="shared" si="228"/>
        <v>0.48424143803885134</v>
      </c>
      <c r="BJ322">
        <v>294.01612836216299</v>
      </c>
      <c r="BK322">
        <v>-288.36687629293431</v>
      </c>
      <c r="BV322" s="37"/>
      <c r="BW322" s="6">
        <f t="shared" si="229"/>
        <v>5.3581608036225559</v>
      </c>
      <c r="BX322" s="9">
        <f t="shared" ca="1" si="230"/>
        <v>100.20134223722087</v>
      </c>
      <c r="BY322" s="9">
        <f t="shared" ca="1" si="231"/>
        <v>-280.59239862929587</v>
      </c>
      <c r="BZ322" s="9">
        <f t="shared" ca="1" si="232"/>
        <v>258.65500174806391</v>
      </c>
      <c r="CA322" s="6">
        <f t="shared" ca="1" si="233"/>
        <v>-265.32673251307716</v>
      </c>
      <c r="CB322" s="6">
        <f t="shared" ca="1" si="234"/>
        <v>-0.79813022983561421</v>
      </c>
      <c r="CC322" s="6">
        <f t="shared" ca="1" si="235"/>
        <v>-1.7947289106764761</v>
      </c>
      <c r="CD322" s="9">
        <f t="shared" si="236"/>
        <v>158.65500174806391</v>
      </c>
      <c r="CE322" s="9">
        <f t="shared" si="237"/>
        <v>-235.32673251307716</v>
      </c>
      <c r="CF322" s="6">
        <f t="shared" si="238"/>
        <v>-0.97760312090326185</v>
      </c>
      <c r="CG322" s="6"/>
      <c r="CH322" s="6"/>
      <c r="CI322" s="6"/>
      <c r="CJ322" s="1"/>
      <c r="CK322" s="6"/>
    </row>
    <row r="323" spans="55:89" x14ac:dyDescent="0.25">
      <c r="BC323">
        <v>5.6025068989017592</v>
      </c>
      <c r="BD323">
        <v>265.20126799554197</v>
      </c>
      <c r="BE323">
        <v>-258.81826700369231</v>
      </c>
      <c r="BF323" s="6">
        <f t="shared" ref="BF323:BF362" si="239">IF(BC323&lt;&gt;"",IF(AND(BD323=0,BE323=0),0,MOD(ATAN2(BD323,BE323),2*PI())),NA())</f>
        <v>5.5099673868939352</v>
      </c>
      <c r="BG323" s="6">
        <f t="shared" ref="BG323:BG362" si="240">ABS(BC323-BF323)</f>
        <v>9.2539512007824065E-2</v>
      </c>
      <c r="BH323" s="6">
        <f t="shared" ref="BH323:BH362" si="241">ATAN2(COS($U$13-BF323),SIN($U$13-BF323))</f>
        <v>0.4817611258077843</v>
      </c>
      <c r="BI323" s="6">
        <f t="shared" ref="BI323:BI362" si="242">ABS(BH323)</f>
        <v>0.4817611258077843</v>
      </c>
      <c r="BJ323">
        <v>294.66807555060217</v>
      </c>
      <c r="BK323">
        <v>-287.5758522263248</v>
      </c>
      <c r="BV323" s="37"/>
      <c r="BW323" s="6">
        <f t="shared" si="229"/>
        <v>5.375614096142499</v>
      </c>
      <c r="BX323" s="9">
        <f t="shared" ca="1" si="230"/>
        <v>100.57849167631426</v>
      </c>
      <c r="BY323" s="9">
        <f t="shared" ca="1" si="231"/>
        <v>-280.30296666773023</v>
      </c>
      <c r="BZ323" s="9">
        <f t="shared" ca="1" si="232"/>
        <v>259.0321511871573</v>
      </c>
      <c r="CA323" s="6">
        <f t="shared" ca="1" si="233"/>
        <v>-265.03730055151152</v>
      </c>
      <c r="CB323" s="6">
        <f t="shared" ca="1" si="234"/>
        <v>-0.7968563518810774</v>
      </c>
      <c r="CC323" s="6">
        <f t="shared" ca="1" si="235"/>
        <v>-1.7907468027209361</v>
      </c>
      <c r="CD323" s="9">
        <f t="shared" si="236"/>
        <v>159.0321511871573</v>
      </c>
      <c r="CE323" s="9">
        <f t="shared" si="237"/>
        <v>-235.03730055151152</v>
      </c>
      <c r="CF323" s="6">
        <f t="shared" si="238"/>
        <v>-0.97593103215317101</v>
      </c>
      <c r="CG323" s="6"/>
      <c r="CH323" s="6"/>
      <c r="CI323" s="6"/>
      <c r="CJ323" s="1"/>
      <c r="CK323" s="6"/>
    </row>
    <row r="324" spans="55:89" x14ac:dyDescent="0.25">
      <c r="BC324">
        <v>5.6199601914217023</v>
      </c>
      <c r="BD324">
        <v>265.81387286449126</v>
      </c>
      <c r="BE324">
        <v>-258.04796576039411</v>
      </c>
      <c r="BF324" s="6">
        <f t="shared" si="239"/>
        <v>5.5126104000781169</v>
      </c>
      <c r="BG324" s="6">
        <f t="shared" si="240"/>
        <v>0.10734979134358547</v>
      </c>
      <c r="BH324" s="6">
        <f t="shared" si="241"/>
        <v>0.47911811262360265</v>
      </c>
      <c r="BI324" s="6">
        <f t="shared" si="242"/>
        <v>0.47911811262360265</v>
      </c>
      <c r="BJ324">
        <v>295.3487476272125</v>
      </c>
      <c r="BK324">
        <v>-286.71996195599343</v>
      </c>
      <c r="BV324" s="37"/>
      <c r="BW324" s="6">
        <f t="shared" si="229"/>
        <v>5.3930673886624421</v>
      </c>
      <c r="BX324" s="9">
        <f t="shared" ca="1" si="230"/>
        <v>100.96607000727491</v>
      </c>
      <c r="BY324" s="9">
        <f t="shared" ca="1" si="231"/>
        <v>-279.9946346061555</v>
      </c>
      <c r="BZ324" s="9">
        <f t="shared" ca="1" si="232"/>
        <v>259.41972951811795</v>
      </c>
      <c r="CA324" s="6">
        <f t="shared" ca="1" si="233"/>
        <v>-264.72896848993679</v>
      </c>
      <c r="CB324" s="6">
        <f t="shared" ca="1" si="234"/>
        <v>-0.79552707800467037</v>
      </c>
      <c r="CC324" s="6">
        <f t="shared" ca="1" si="235"/>
        <v>-1.7866370523036523</v>
      </c>
      <c r="CD324" s="9">
        <f t="shared" si="236"/>
        <v>159.41972951811795</v>
      </c>
      <c r="CE324" s="9">
        <f t="shared" si="237"/>
        <v>-234.72896848993679</v>
      </c>
      <c r="CF324" s="6">
        <f t="shared" si="238"/>
        <v>-0.97419078323503561</v>
      </c>
      <c r="CG324" s="6"/>
      <c r="CH324" s="6"/>
      <c r="CI324" s="6"/>
      <c r="CJ324" s="1"/>
      <c r="CK324" s="6"/>
    </row>
    <row r="325" spans="55:89" x14ac:dyDescent="0.25">
      <c r="BC325">
        <v>5.6374134839416454</v>
      </c>
      <c r="BD325">
        <v>266.45447624070272</v>
      </c>
      <c r="BE325">
        <v>-257.2129435983685</v>
      </c>
      <c r="BF325" s="6">
        <f t="shared" si="239"/>
        <v>5.5154330256370265</v>
      </c>
      <c r="BG325" s="6">
        <f t="shared" si="240"/>
        <v>0.1219804583046189</v>
      </c>
      <c r="BH325" s="6">
        <f t="shared" si="241"/>
        <v>0.47629548706469288</v>
      </c>
      <c r="BI325" s="6">
        <f t="shared" si="242"/>
        <v>0.47629548706469288</v>
      </c>
      <c r="BJ325">
        <v>296.06052915633637</v>
      </c>
      <c r="BK325">
        <v>-285.79215955374275</v>
      </c>
      <c r="BV325" s="37"/>
      <c r="BW325" s="6">
        <f t="shared" si="229"/>
        <v>5.4105206811823852</v>
      </c>
      <c r="BX325" s="9">
        <f t="shared" ca="1" si="230"/>
        <v>101.36476213983386</v>
      </c>
      <c r="BY325" s="9">
        <f t="shared" ca="1" si="231"/>
        <v>-279.66593613391052</v>
      </c>
      <c r="BZ325" s="9">
        <f t="shared" ca="1" si="232"/>
        <v>259.8184216506769</v>
      </c>
      <c r="CA325" s="6">
        <f t="shared" ca="1" si="233"/>
        <v>-264.40027001769181</v>
      </c>
      <c r="CB325" s="6">
        <f t="shared" ca="1" si="234"/>
        <v>-0.79413827848815544</v>
      </c>
      <c r="CC325" s="6">
        <f t="shared" ca="1" si="235"/>
        <v>-1.7823899252529651</v>
      </c>
      <c r="CD325" s="9">
        <f t="shared" si="236"/>
        <v>159.8184216506769</v>
      </c>
      <c r="CE325" s="9">
        <f t="shared" si="237"/>
        <v>-234.40027001769181</v>
      </c>
      <c r="CF325" s="6">
        <f t="shared" si="238"/>
        <v>-0.97237727101345195</v>
      </c>
      <c r="CG325" s="6"/>
      <c r="CH325" s="6"/>
      <c r="CI325" s="6"/>
      <c r="CJ325" s="1"/>
      <c r="CK325" s="6"/>
    </row>
    <row r="326" spans="55:89" x14ac:dyDescent="0.25">
      <c r="BC326">
        <v>5.6548667764615885</v>
      </c>
      <c r="BD326">
        <v>267.12546078507319</v>
      </c>
      <c r="BE326">
        <v>-256.30596481797835</v>
      </c>
      <c r="BF326" s="6">
        <f t="shared" si="239"/>
        <v>5.5184545223771213</v>
      </c>
      <c r="BG326" s="6">
        <f t="shared" si="240"/>
        <v>0.13641225408446722</v>
      </c>
      <c r="BH326" s="6">
        <f t="shared" si="241"/>
        <v>0.47327399032459821</v>
      </c>
      <c r="BI326" s="6">
        <f t="shared" si="242"/>
        <v>0.47327399032459821</v>
      </c>
      <c r="BJ326">
        <v>296.80606753897018</v>
      </c>
      <c r="BK326">
        <v>-284.7844053533093</v>
      </c>
      <c r="BV326" s="37"/>
      <c r="BW326" s="6">
        <f t="shared" si="229"/>
        <v>5.4279739737023283</v>
      </c>
      <c r="BX326" s="9">
        <f t="shared" ca="1" si="230"/>
        <v>101.77530679012349</v>
      </c>
      <c r="BY326" s="9">
        <f t="shared" ca="1" si="231"/>
        <v>-279.31525169170158</v>
      </c>
      <c r="BZ326" s="9">
        <f t="shared" ca="1" si="232"/>
        <v>260.22896630096653</v>
      </c>
      <c r="CA326" s="6">
        <f t="shared" ca="1" si="233"/>
        <v>-264.04958557548287</v>
      </c>
      <c r="CB326" s="6">
        <f t="shared" ca="1" si="234"/>
        <v>-0.79268541867507403</v>
      </c>
      <c r="CC326" s="6">
        <f t="shared" ca="1" si="235"/>
        <v>-1.7779947443649591</v>
      </c>
      <c r="CD326" s="9">
        <f t="shared" si="236"/>
        <v>160.22896630096653</v>
      </c>
      <c r="CE326" s="9">
        <f t="shared" si="237"/>
        <v>-234.04958557548287</v>
      </c>
      <c r="CF326" s="6">
        <f t="shared" si="238"/>
        <v>-0.97048489311156994</v>
      </c>
      <c r="CG326" s="6"/>
      <c r="CH326" s="6"/>
      <c r="CI326" s="6"/>
      <c r="CJ326" s="1"/>
      <c r="CK326" s="6"/>
    </row>
    <row r="327" spans="55:89" x14ac:dyDescent="0.25">
      <c r="BC327">
        <v>5.6723200689815316</v>
      </c>
      <c r="BD327">
        <v>267.82947955835789</v>
      </c>
      <c r="BE327">
        <v>-255.31874395847993</v>
      </c>
      <c r="BF327" s="6">
        <f t="shared" si="239"/>
        <v>5.5216969095309079</v>
      </c>
      <c r="BG327" s="6">
        <f t="shared" si="240"/>
        <v>0.15062315945062377</v>
      </c>
      <c r="BH327" s="6">
        <f t="shared" si="241"/>
        <v>0.47003160317081161</v>
      </c>
      <c r="BI327" s="6">
        <f t="shared" si="242"/>
        <v>0.47003160317081161</v>
      </c>
      <c r="BJ327">
        <v>297.58831062039764</v>
      </c>
      <c r="BK327">
        <v>-283.68749328719991</v>
      </c>
      <c r="BV327" s="37"/>
      <c r="BW327" s="6">
        <f t="shared" si="229"/>
        <v>5.4454272662222714</v>
      </c>
      <c r="BX327" s="9">
        <f t="shared" ca="1" si="230"/>
        <v>102.19850215827339</v>
      </c>
      <c r="BY327" s="9">
        <f t="shared" ca="1" si="231"/>
        <v>-278.94078922067735</v>
      </c>
      <c r="BZ327" s="9">
        <f t="shared" ca="1" si="232"/>
        <v>260.65216166911642</v>
      </c>
      <c r="CA327" s="6">
        <f t="shared" ca="1" si="233"/>
        <v>-263.67512310445863</v>
      </c>
      <c r="CB327" s="6">
        <f t="shared" ca="1" si="234"/>
        <v>-0.79116350887810216</v>
      </c>
      <c r="CC327" s="6">
        <f t="shared" ca="1" si="235"/>
        <v>-1.773439765778565</v>
      </c>
      <c r="CD327" s="9">
        <f t="shared" si="236"/>
        <v>160.65216166911642</v>
      </c>
      <c r="CE327" s="9">
        <f t="shared" si="237"/>
        <v>-233.67512310445863</v>
      </c>
      <c r="CF327" s="6">
        <f t="shared" si="238"/>
        <v>-0.96850748545595866</v>
      </c>
      <c r="CG327" s="6"/>
      <c r="CH327" s="6"/>
      <c r="CI327" s="6"/>
      <c r="CJ327" s="1"/>
      <c r="CK327" s="6"/>
    </row>
    <row r="328" spans="55:89" x14ac:dyDescent="0.25">
      <c r="BC328">
        <v>5.6897733615014747</v>
      </c>
      <c r="BD328">
        <v>268.56918269074646</v>
      </c>
      <c r="BE328">
        <v>-254.24222150027131</v>
      </c>
      <c r="BF328" s="6">
        <f t="shared" si="239"/>
        <v>5.5251839762830839</v>
      </c>
      <c r="BG328" s="6">
        <f t="shared" si="240"/>
        <v>0.16458938521839084</v>
      </c>
      <c r="BH328" s="6">
        <f t="shared" si="241"/>
        <v>0.46654453641863558</v>
      </c>
      <c r="BI328" s="6">
        <f t="shared" si="242"/>
        <v>0.46654453641863558</v>
      </c>
      <c r="BJ328">
        <v>298.4102029897183</v>
      </c>
      <c r="BK328">
        <v>-282.49135722252367</v>
      </c>
      <c r="BV328" s="37"/>
      <c r="BW328" s="6">
        <f t="shared" si="229"/>
        <v>5.4628805587422145</v>
      </c>
      <c r="BX328" s="9">
        <f t="shared" ca="1" si="230"/>
        <v>102.63521232729497</v>
      </c>
      <c r="BY328" s="9">
        <f t="shared" ca="1" si="231"/>
        <v>-278.54056200904978</v>
      </c>
      <c r="BZ328" s="9">
        <f t="shared" ca="1" si="232"/>
        <v>261.088871838138</v>
      </c>
      <c r="CA328" s="6">
        <f t="shared" ca="1" si="233"/>
        <v>-263.27489589283107</v>
      </c>
      <c r="CB328" s="6">
        <f t="shared" ca="1" si="234"/>
        <v>-0.78956704676647183</v>
      </c>
      <c r="CC328" s="6">
        <f t="shared" ca="1" si="235"/>
        <v>-1.7687120354110031</v>
      </c>
      <c r="CD328" s="9">
        <f t="shared" si="236"/>
        <v>161.088871838138</v>
      </c>
      <c r="CE328" s="9">
        <f t="shared" si="237"/>
        <v>-233.27489589283107</v>
      </c>
      <c r="CF328" s="6">
        <f t="shared" si="238"/>
        <v>-0.96643825030757213</v>
      </c>
      <c r="CG328" s="6"/>
      <c r="CH328" s="6"/>
      <c r="CI328" s="6"/>
      <c r="CJ328" s="1"/>
      <c r="CK328" s="6"/>
    </row>
    <row r="329" spans="55:89" x14ac:dyDescent="0.25">
      <c r="BC329">
        <v>5.7072266540214178</v>
      </c>
      <c r="BD329">
        <v>269.32146639168428</v>
      </c>
      <c r="BE329">
        <v>-253.10556496727</v>
      </c>
      <c r="BF329" s="6">
        <f t="shared" si="239"/>
        <v>5.5288167339493013</v>
      </c>
      <c r="BG329" s="6">
        <f t="shared" si="240"/>
        <v>0.17840992007211653</v>
      </c>
      <c r="BH329" s="6">
        <f t="shared" si="241"/>
        <v>0.46291177875241818</v>
      </c>
      <c r="BI329" s="6">
        <f t="shared" si="242"/>
        <v>0.46291177875241818</v>
      </c>
      <c r="BJ329">
        <v>299.24607376853811</v>
      </c>
      <c r="BK329">
        <v>-281.22840551918887</v>
      </c>
      <c r="BV329" s="37"/>
      <c r="BW329" s="6">
        <f t="shared" si="229"/>
        <v>5.4803338512621576</v>
      </c>
      <c r="BX329" s="9">
        <f t="shared" ca="1" si="230"/>
        <v>103.08637449319886</v>
      </c>
      <c r="BY329" s="9">
        <f t="shared" ca="1" si="231"/>
        <v>-278.11236312643427</v>
      </c>
      <c r="BZ329" s="9">
        <f t="shared" ca="1" si="232"/>
        <v>261.5400340040419</v>
      </c>
      <c r="CA329" s="6">
        <f t="shared" ca="1" si="233"/>
        <v>-262.84669701021556</v>
      </c>
      <c r="CB329" s="6">
        <f t="shared" ca="1" si="234"/>
        <v>-0.78788995089803249</v>
      </c>
      <c r="CC329" s="6">
        <f t="shared" ca="1" si="235"/>
        <v>-1.7637972215791331</v>
      </c>
      <c r="CD329" s="9">
        <f t="shared" si="236"/>
        <v>161.5400340040419</v>
      </c>
      <c r="CE329" s="9">
        <f t="shared" si="237"/>
        <v>-232.84669701021556</v>
      </c>
      <c r="CF329" s="6">
        <f t="shared" si="238"/>
        <v>-0.9642696730559458</v>
      </c>
      <c r="CG329" s="6"/>
      <c r="CH329" s="6"/>
      <c r="CI329" s="6"/>
      <c r="CJ329" s="1"/>
      <c r="CK329" s="6"/>
    </row>
    <row r="330" spans="55:89" x14ac:dyDescent="0.25">
      <c r="BC330">
        <v>5.7246799465413609</v>
      </c>
      <c r="BD330">
        <v>270.07107457566741</v>
      </c>
      <c r="BE330">
        <v>-251.92882358601753</v>
      </c>
      <c r="BF330" s="6">
        <f t="shared" si="239"/>
        <v>5.5325284368191596</v>
      </c>
      <c r="BG330" s="6">
        <f t="shared" si="240"/>
        <v>0.1921515097222013</v>
      </c>
      <c r="BH330" s="6">
        <f t="shared" si="241"/>
        <v>0.45920007588255984</v>
      </c>
      <c r="BI330" s="6">
        <f t="shared" si="242"/>
        <v>0.45920007588255984</v>
      </c>
      <c r="BJ330">
        <v>300.07897175074157</v>
      </c>
      <c r="BK330">
        <v>-279.92091509557503</v>
      </c>
      <c r="BV330" s="37"/>
      <c r="BW330" s="6">
        <f t="shared" si="229"/>
        <v>5.4977871437821006</v>
      </c>
      <c r="BX330" s="9">
        <f t="shared" ca="1" si="230"/>
        <v>103.55300715582266</v>
      </c>
      <c r="BY330" s="9">
        <f t="shared" ca="1" si="231"/>
        <v>-277.65373583299538</v>
      </c>
      <c r="BZ330" s="9">
        <f t="shared" ca="1" si="232"/>
        <v>262.00666666666569</v>
      </c>
      <c r="CA330" s="6">
        <f t="shared" ca="1" si="233"/>
        <v>-262.38806971677667</v>
      </c>
      <c r="CB330" s="6">
        <f t="shared" ca="1" si="234"/>
        <v>-0.78612548378492575</v>
      </c>
      <c r="CC330" s="6">
        <f t="shared" ca="1" si="235"/>
        <v>-1.758679419051248</v>
      </c>
      <c r="CD330" s="9">
        <f t="shared" si="236"/>
        <v>162.00666666666569</v>
      </c>
      <c r="CE330" s="9">
        <f t="shared" si="237"/>
        <v>-232.38806971677667</v>
      </c>
      <c r="CF330" s="6">
        <f t="shared" si="238"/>
        <v>-0.96199342569005053</v>
      </c>
      <c r="CG330" s="6"/>
      <c r="CH330" s="6"/>
      <c r="CI330" s="6"/>
      <c r="CJ330" s="1"/>
      <c r="CK330" s="6"/>
    </row>
    <row r="331" spans="55:89" x14ac:dyDescent="0.25">
      <c r="BC331">
        <v>5.742133239061304</v>
      </c>
      <c r="BD331">
        <v>270.81889157655451</v>
      </c>
      <c r="BE331">
        <v>-250.70839084075794</v>
      </c>
      <c r="BF331" s="6">
        <f t="shared" si="239"/>
        <v>5.5363288320774187</v>
      </c>
      <c r="BG331" s="6">
        <f t="shared" si="240"/>
        <v>0.20580440698388536</v>
      </c>
      <c r="BH331" s="6">
        <f t="shared" si="241"/>
        <v>0.45539968062430086</v>
      </c>
      <c r="BI331" s="6">
        <f t="shared" si="242"/>
        <v>0.45539968062430086</v>
      </c>
      <c r="BJ331">
        <v>300.90987952950502</v>
      </c>
      <c r="BK331">
        <v>-278.56487871195327</v>
      </c>
      <c r="BV331" s="37"/>
      <c r="BW331" s="6">
        <f t="shared" si="229"/>
        <v>5.5152404363020437</v>
      </c>
      <c r="BX331" s="9">
        <f t="shared" ca="1" si="230"/>
        <v>104.03621942337438</v>
      </c>
      <c r="BY331" s="9">
        <f t="shared" ca="1" si="231"/>
        <v>-277.161939223697</v>
      </c>
      <c r="BZ331" s="9">
        <f t="shared" ca="1" si="232"/>
        <v>262.48987893421742</v>
      </c>
      <c r="CA331" s="6">
        <f t="shared" ca="1" si="233"/>
        <v>-261.89627310747829</v>
      </c>
      <c r="CB331" s="6">
        <f t="shared" ca="1" si="234"/>
        <v>-0.78426616254106807</v>
      </c>
      <c r="CC331" s="6">
        <f t="shared" ca="1" si="235"/>
        <v>-1.753340918662101</v>
      </c>
      <c r="CD331" s="9">
        <f t="shared" si="236"/>
        <v>162.48987893421742</v>
      </c>
      <c r="CE331" s="9">
        <f t="shared" si="237"/>
        <v>-231.89627310747829</v>
      </c>
      <c r="CF331" s="6">
        <f t="shared" si="238"/>
        <v>-0.95960025440727814</v>
      </c>
      <c r="CG331" s="6"/>
      <c r="CH331" s="6"/>
      <c r="CI331" s="6"/>
      <c r="CJ331" s="1"/>
      <c r="CK331" s="6"/>
    </row>
    <row r="332" spans="55:89" x14ac:dyDescent="0.25">
      <c r="BC332">
        <v>5.7595865315812471</v>
      </c>
      <c r="BD332">
        <v>271.56580774512526</v>
      </c>
      <c r="BE332">
        <v>-249.44025638113743</v>
      </c>
      <c r="BF332" s="6">
        <f t="shared" si="239"/>
        <v>5.5402286171732307</v>
      </c>
      <c r="BG332" s="6">
        <f t="shared" si="240"/>
        <v>0.21935791440801644</v>
      </c>
      <c r="BH332" s="6">
        <f t="shared" si="241"/>
        <v>0.45149989552848879</v>
      </c>
      <c r="BI332" s="6">
        <f t="shared" si="242"/>
        <v>0.45149989552848879</v>
      </c>
      <c r="BJ332">
        <v>301.73978638347251</v>
      </c>
      <c r="BK332">
        <v>-277.15584042348604</v>
      </c>
      <c r="BV332" s="37"/>
      <c r="BW332" s="6">
        <f t="shared" si="229"/>
        <v>5.5326937288219868</v>
      </c>
      <c r="BX332" s="9">
        <f t="shared" ca="1" si="230"/>
        <v>104.53722161215822</v>
      </c>
      <c r="BY332" s="9">
        <f t="shared" ca="1" si="231"/>
        <v>-276.63390821136352</v>
      </c>
      <c r="BZ332" s="9">
        <f t="shared" ca="1" si="232"/>
        <v>262.99088112300126</v>
      </c>
      <c r="CA332" s="6">
        <f t="shared" ca="1" si="233"/>
        <v>-261.36824209514481</v>
      </c>
      <c r="CB332" s="6">
        <f t="shared" ca="1" si="234"/>
        <v>-0.78230365473620955</v>
      </c>
      <c r="CC332" s="6">
        <f t="shared" ca="1" si="235"/>
        <v>-1.7477619352132434</v>
      </c>
      <c r="CD332" s="9">
        <f t="shared" si="236"/>
        <v>162.99088112300126</v>
      </c>
      <c r="CE332" s="9">
        <f t="shared" si="237"/>
        <v>-231.36824209514481</v>
      </c>
      <c r="CF332" s="6">
        <f t="shared" si="238"/>
        <v>-0.95707984825753389</v>
      </c>
      <c r="CG332" s="6"/>
      <c r="CH332" s="6"/>
      <c r="CI332" s="6"/>
      <c r="CJ332" s="1"/>
      <c r="CK332" s="6"/>
    </row>
    <row r="333" spans="55:89" x14ac:dyDescent="0.25">
      <c r="BC333">
        <v>5.7770398241011902</v>
      </c>
      <c r="BD333">
        <v>272.31272544339367</v>
      </c>
      <c r="BE333">
        <v>-248.11994283613669</v>
      </c>
      <c r="BF333" s="6">
        <f t="shared" si="239"/>
        <v>5.5442396058641421</v>
      </c>
      <c r="BG333" s="6">
        <f t="shared" si="240"/>
        <v>0.23280021823704811</v>
      </c>
      <c r="BH333" s="6">
        <f t="shared" si="241"/>
        <v>0.44748890683757736</v>
      </c>
      <c r="BI333" s="6">
        <f t="shared" si="242"/>
        <v>0.44748890683757736</v>
      </c>
      <c r="BJ333">
        <v>302.56969493710409</v>
      </c>
      <c r="BK333">
        <v>-275.6888253734852</v>
      </c>
      <c r="BV333" s="37"/>
      <c r="BW333" s="6">
        <f t="shared" si="229"/>
        <v>5.5501470213419299</v>
      </c>
      <c r="BX333" s="9">
        <f t="shared" ca="1" si="230"/>
        <v>105.05733735749945</v>
      </c>
      <c r="BY333" s="9">
        <f t="shared" ca="1" si="231"/>
        <v>-276.06620675794801</v>
      </c>
      <c r="BZ333" s="9">
        <f t="shared" ca="1" si="232"/>
        <v>263.51099686834249</v>
      </c>
      <c r="CA333" s="6">
        <f t="shared" ca="1" si="233"/>
        <v>-260.8005406417293</v>
      </c>
      <c r="CB333" s="6">
        <f t="shared" ca="1" si="234"/>
        <v>-0.78022865655257212</v>
      </c>
      <c r="CC333" s="6">
        <f t="shared" ca="1" si="235"/>
        <v>-1.7419202845798121</v>
      </c>
      <c r="CD333" s="9">
        <f t="shared" si="236"/>
        <v>163.51099686834249</v>
      </c>
      <c r="CE333" s="9">
        <f t="shared" si="237"/>
        <v>-230.8005406417293</v>
      </c>
      <c r="CF333" s="6">
        <f t="shared" si="238"/>
        <v>-0.95442068501055333</v>
      </c>
      <c r="CG333" s="6"/>
      <c r="CH333" s="6"/>
      <c r="CI333" s="6"/>
      <c r="CJ333" s="1"/>
      <c r="CK333" s="6"/>
    </row>
    <row r="334" spans="55:89" x14ac:dyDescent="0.25">
      <c r="BC334">
        <v>5.7944931166211333</v>
      </c>
      <c r="BD334">
        <v>273.06056546453215</v>
      </c>
      <c r="BE334">
        <v>-246.74243037639991</v>
      </c>
      <c r="BF334" s="6">
        <f t="shared" si="239"/>
        <v>5.5483749261011592</v>
      </c>
      <c r="BG334" s="6">
        <f t="shared" si="240"/>
        <v>0.24611819051997408</v>
      </c>
      <c r="BH334" s="6">
        <f t="shared" si="241"/>
        <v>0.44335358660056029</v>
      </c>
      <c r="BI334" s="6">
        <f t="shared" si="242"/>
        <v>0.44335358660056029</v>
      </c>
      <c r="BJ334">
        <v>303.40062829392463</v>
      </c>
      <c r="BK334">
        <v>-274.15825597377767</v>
      </c>
      <c r="BV334" s="37"/>
      <c r="BW334" s="6">
        <f t="shared" si="229"/>
        <v>5.567600313861873</v>
      </c>
      <c r="BX334" s="9">
        <f t="shared" ca="1" si="230"/>
        <v>105.5980174940282</v>
      </c>
      <c r="BY334" s="9">
        <f t="shared" ca="1" si="231"/>
        <v>-275.45497302113677</v>
      </c>
      <c r="BZ334" s="9">
        <f t="shared" ca="1" si="232"/>
        <v>264.05167700487124</v>
      </c>
      <c r="CA334" s="6">
        <f t="shared" ca="1" si="233"/>
        <v>-260.18930690491806</v>
      </c>
      <c r="CB334" s="6">
        <f t="shared" ca="1" si="234"/>
        <v>-0.77803074967616703</v>
      </c>
      <c r="CC334" s="6">
        <f t="shared" ca="1" si="235"/>
        <v>-1.7357909986311626</v>
      </c>
      <c r="CD334" s="9">
        <f t="shared" si="236"/>
        <v>164.05167700487124</v>
      </c>
      <c r="CE334" s="9">
        <f t="shared" si="237"/>
        <v>-230.18930690491806</v>
      </c>
      <c r="CF334" s="6">
        <f t="shared" si="238"/>
        <v>-0.95160984953928329</v>
      </c>
      <c r="CG334" s="6"/>
      <c r="CH334" s="6"/>
      <c r="CI334" s="6"/>
      <c r="CJ334" s="1"/>
      <c r="CK334" s="6"/>
    </row>
    <row r="335" spans="55:89" x14ac:dyDescent="0.25">
      <c r="BC335">
        <v>5.8119464091410764</v>
      </c>
      <c r="BD335">
        <v>273.81027401802857</v>
      </c>
      <c r="BE335">
        <v>-245.3020660940301</v>
      </c>
      <c r="BF335" s="6">
        <f t="shared" si="239"/>
        <v>5.5526492577370394</v>
      </c>
      <c r="BG335" s="6">
        <f t="shared" si="240"/>
        <v>0.25929715140403697</v>
      </c>
      <c r="BH335" s="6">
        <f t="shared" si="241"/>
        <v>0.43907925496467998</v>
      </c>
      <c r="BI335" s="6">
        <f t="shared" si="242"/>
        <v>0.43907925496467998</v>
      </c>
      <c r="BJ335">
        <v>304.23363779780954</v>
      </c>
      <c r="BK335">
        <v>-272.55785121558898</v>
      </c>
      <c r="BV335" s="37"/>
      <c r="BW335" s="6">
        <f t="shared" si="229"/>
        <v>5.5850536063818161</v>
      </c>
      <c r="BX335" s="9">
        <f t="shared" ca="1" si="230"/>
        <v>106.16085601510363</v>
      </c>
      <c r="BY335" s="9">
        <f t="shared" ca="1" si="231"/>
        <v>-274.79585477985961</v>
      </c>
      <c r="BZ335" s="9">
        <f t="shared" ca="1" si="232"/>
        <v>264.61451552594667</v>
      </c>
      <c r="CA335" s="6">
        <f t="shared" ca="1" si="233"/>
        <v>-259.5301886636409</v>
      </c>
      <c r="CB335" s="6">
        <f t="shared" ca="1" si="234"/>
        <v>-0.77569823251671788</v>
      </c>
      <c r="CC335" s="6">
        <f t="shared" ca="1" si="235"/>
        <v>-1.7293458635805015</v>
      </c>
      <c r="CD335" s="9">
        <f t="shared" si="236"/>
        <v>164.61451552594667</v>
      </c>
      <c r="CE335" s="9">
        <f t="shared" si="237"/>
        <v>-229.5301886636409</v>
      </c>
      <c r="CF335" s="6">
        <f t="shared" si="238"/>
        <v>-0.94863281887476802</v>
      </c>
      <c r="CG335" s="6"/>
      <c r="CH335" s="6"/>
      <c r="CI335" s="6"/>
      <c r="CJ335" s="1"/>
      <c r="CK335" s="6"/>
    </row>
    <row r="336" spans="55:89" x14ac:dyDescent="0.25">
      <c r="BC336">
        <v>5.8293997016610195</v>
      </c>
      <c r="BD336">
        <v>274.56283044666344</v>
      </c>
      <c r="BE336">
        <v>-243.79245443147465</v>
      </c>
      <c r="BF336" s="6">
        <f t="shared" si="239"/>
        <v>5.5570791203684502</v>
      </c>
      <c r="BG336" s="6">
        <f t="shared" si="240"/>
        <v>0.27232058129256931</v>
      </c>
      <c r="BH336" s="6">
        <f t="shared" si="241"/>
        <v>0.43464939233326921</v>
      </c>
      <c r="BI336" s="6">
        <f t="shared" si="242"/>
        <v>0.43464939233326921</v>
      </c>
      <c r="BJ336">
        <v>305.06981160740384</v>
      </c>
      <c r="BK336">
        <v>-270.88050492386071</v>
      </c>
      <c r="BV336" s="37"/>
      <c r="BW336" s="6">
        <f t="shared" ref="BW336:BW375" si="243">IF(BC323="",NA(),BC323)</f>
        <v>5.6025068989017592</v>
      </c>
      <c r="BX336" s="9">
        <f t="shared" ref="BX336:BX375" ca="1" si="244">BD323-$BW$5</f>
        <v>106.74760848469893</v>
      </c>
      <c r="BY336" s="9">
        <f t="shared" ref="BY336:BY375" ca="1" si="245">BE323-$BX$5</f>
        <v>-274.08393311991102</v>
      </c>
      <c r="BZ336" s="9">
        <f t="shared" ref="BZ336:BZ375" ca="1" si="246">BX336-$CE$5</f>
        <v>265.20126799554197</v>
      </c>
      <c r="CA336" s="6">
        <f t="shared" ref="CA336:CA375" ca="1" si="247">BY336-$CF$5</f>
        <v>-258.81826700369231</v>
      </c>
      <c r="CB336" s="6">
        <f t="shared" ref="CB336:CB375" ca="1" si="248">ATAN2(BZ336,CA336)</f>
        <v>-0.77321792028565117</v>
      </c>
      <c r="CC336" s="6">
        <f t="shared" ref="CC336:CC375" ca="1" si="249">ATAN2(COS(CF336-CB336),SIN(CF336-CB336))*10</f>
        <v>-1.7225528634821496</v>
      </c>
      <c r="CD336" s="9">
        <f t="shared" ref="CD336:CD375" si="250">BD323-$BW$6</f>
        <v>165.20126799554197</v>
      </c>
      <c r="CE336" s="9">
        <f t="shared" ref="CE336:CE375" si="251">BE323-$BX$6</f>
        <v>-228.81826700369231</v>
      </c>
      <c r="CF336" s="6">
        <f t="shared" ref="CF336:CF375" si="252">ATAN2(CD336,CE336)</f>
        <v>-0.94547320663386614</v>
      </c>
      <c r="CG336" s="6"/>
      <c r="CH336" s="6"/>
      <c r="CI336" s="6"/>
      <c r="CJ336" s="1"/>
      <c r="CK336" s="6"/>
    </row>
    <row r="337" spans="55:89" x14ac:dyDescent="0.25">
      <c r="BC337">
        <v>5.8468529941809626</v>
      </c>
      <c r="BD337">
        <v>275.31925587766716</v>
      </c>
      <c r="BE337">
        <v>-242.20632377152734</v>
      </c>
      <c r="BF337" s="6">
        <f t="shared" si="239"/>
        <v>5.5616832247602401</v>
      </c>
      <c r="BG337" s="6">
        <f t="shared" si="240"/>
        <v>0.28516976942072247</v>
      </c>
      <c r="BH337" s="6">
        <f t="shared" si="241"/>
        <v>0.43004528794147934</v>
      </c>
      <c r="BI337" s="6">
        <f t="shared" si="242"/>
        <v>0.43004528794147934</v>
      </c>
      <c r="BJ337">
        <v>305.91028430851907</v>
      </c>
      <c r="BK337">
        <v>-269.11813752391924</v>
      </c>
      <c r="BV337" s="37"/>
      <c r="BW337" s="6">
        <f t="shared" si="243"/>
        <v>5.6199601914217023</v>
      </c>
      <c r="BX337" s="9">
        <f t="shared" ca="1" si="244"/>
        <v>107.36021335364822</v>
      </c>
      <c r="BY337" s="9">
        <f t="shared" ca="1" si="245"/>
        <v>-273.31363187661282</v>
      </c>
      <c r="BZ337" s="9">
        <f t="shared" ca="1" si="246"/>
        <v>265.81387286449126</v>
      </c>
      <c r="CA337" s="6">
        <f t="shared" ca="1" si="247"/>
        <v>-258.04796576039411</v>
      </c>
      <c r="CB337" s="6">
        <f t="shared" ca="1" si="248"/>
        <v>-0.7705749071014697</v>
      </c>
      <c r="CC337" s="6">
        <f t="shared" ca="1" si="249"/>
        <v>-1.7153755054837727</v>
      </c>
      <c r="CD337" s="9">
        <f t="shared" si="250"/>
        <v>165.81387286449126</v>
      </c>
      <c r="CE337" s="9">
        <f t="shared" si="251"/>
        <v>-228.04796576039411</v>
      </c>
      <c r="CF337" s="6">
        <f t="shared" si="252"/>
        <v>-0.94211245764984697</v>
      </c>
      <c r="CG337" s="6"/>
      <c r="CH337" s="6"/>
      <c r="CI337" s="6"/>
      <c r="CJ337" s="1"/>
      <c r="CK337" s="6"/>
    </row>
    <row r="338" spans="55:89" x14ac:dyDescent="0.25">
      <c r="BC338">
        <v>5.8643062867009057</v>
      </c>
      <c r="BD338">
        <v>276.08062305788462</v>
      </c>
      <c r="BE338">
        <v>-240.53536278804592</v>
      </c>
      <c r="BF338" s="6">
        <f t="shared" si="239"/>
        <v>5.5664829055722889</v>
      </c>
      <c r="BG338" s="6">
        <f t="shared" si="240"/>
        <v>0.29782338112861684</v>
      </c>
      <c r="BH338" s="6">
        <f t="shared" si="241"/>
        <v>0.4252456071294306</v>
      </c>
      <c r="BI338" s="6">
        <f t="shared" si="242"/>
        <v>0.4252456071294306</v>
      </c>
      <c r="BJ338">
        <v>306.75624784209401</v>
      </c>
      <c r="BK338">
        <v>-267.2615142089399</v>
      </c>
      <c r="BV338" s="37"/>
      <c r="BW338" s="6">
        <f t="shared" si="243"/>
        <v>5.6374134839416454</v>
      </c>
      <c r="BX338" s="9">
        <f t="shared" ca="1" si="244"/>
        <v>108.00081672985968</v>
      </c>
      <c r="BY338" s="9">
        <f t="shared" ca="1" si="245"/>
        <v>-272.47860971458721</v>
      </c>
      <c r="BZ338" s="9">
        <f t="shared" ca="1" si="246"/>
        <v>266.45447624070272</v>
      </c>
      <c r="CA338" s="6">
        <f t="shared" ca="1" si="247"/>
        <v>-257.2129435983685</v>
      </c>
      <c r="CB338" s="6">
        <f t="shared" ca="1" si="248"/>
        <v>-0.76775228154256003</v>
      </c>
      <c r="CC338" s="6">
        <f t="shared" ca="1" si="249"/>
        <v>-1.7077719966850913</v>
      </c>
      <c r="CD338" s="9">
        <f t="shared" si="250"/>
        <v>166.45447624070272</v>
      </c>
      <c r="CE338" s="9">
        <f t="shared" si="251"/>
        <v>-227.2129435983685</v>
      </c>
      <c r="CF338" s="6">
        <f t="shared" si="252"/>
        <v>-0.93852948121106916</v>
      </c>
      <c r="CG338" s="6"/>
      <c r="CH338" s="6"/>
      <c r="CI338" s="6"/>
      <c r="CJ338" s="1"/>
      <c r="CK338" s="6"/>
    </row>
    <row r="339" spans="55:89" x14ac:dyDescent="0.25">
      <c r="BC339">
        <v>5.8817595792208488</v>
      </c>
      <c r="BD339">
        <v>276.84806768597929</v>
      </c>
      <c r="BE339">
        <v>-238.77001809114631</v>
      </c>
      <c r="BF339" s="6">
        <f t="shared" si="239"/>
        <v>5.5715026589927028</v>
      </c>
      <c r="BG339" s="6">
        <f t="shared" si="240"/>
        <v>0.31025692022814599</v>
      </c>
      <c r="BH339" s="6">
        <f t="shared" si="241"/>
        <v>0.42022585370901672</v>
      </c>
      <c r="BI339" s="6">
        <f t="shared" si="242"/>
        <v>0.42022585370901672</v>
      </c>
      <c r="BJ339">
        <v>307.60896409553254</v>
      </c>
      <c r="BK339">
        <v>-265.30002010127367</v>
      </c>
      <c r="BV339" s="37"/>
      <c r="BW339" s="6">
        <f t="shared" si="243"/>
        <v>5.6548667764615885</v>
      </c>
      <c r="BX339" s="9">
        <f t="shared" ca="1" si="244"/>
        <v>108.67180127423015</v>
      </c>
      <c r="BY339" s="9">
        <f t="shared" ca="1" si="245"/>
        <v>-271.57163093419706</v>
      </c>
      <c r="BZ339" s="9">
        <f t="shared" ca="1" si="246"/>
        <v>267.12546078507319</v>
      </c>
      <c r="CA339" s="6">
        <f t="shared" ca="1" si="247"/>
        <v>-256.30596481797835</v>
      </c>
      <c r="CB339" s="6">
        <f t="shared" ca="1" si="248"/>
        <v>-0.76473078480246481</v>
      </c>
      <c r="CC339" s="6">
        <f t="shared" ca="1" si="249"/>
        <v>-1.699694233452683</v>
      </c>
      <c r="CD339" s="9">
        <f t="shared" si="250"/>
        <v>167.12546078507319</v>
      </c>
      <c r="CE339" s="9">
        <f t="shared" si="251"/>
        <v>-226.30596481797835</v>
      </c>
      <c r="CF339" s="6">
        <f t="shared" si="252"/>
        <v>-0.93470020814773314</v>
      </c>
      <c r="CG339" s="6"/>
      <c r="CH339" s="6"/>
      <c r="CI339" s="6"/>
      <c r="CJ339" s="1"/>
      <c r="CK339" s="6"/>
    </row>
    <row r="340" spans="55:89" x14ac:dyDescent="0.25">
      <c r="BC340">
        <v>5.8992128717407919</v>
      </c>
      <c r="BD340">
        <v>277.62280163930677</v>
      </c>
      <c r="BE340">
        <v>-236.89924184472034</v>
      </c>
      <c r="BF340" s="6">
        <f t="shared" si="239"/>
        <v>5.5767708170832675</v>
      </c>
      <c r="BG340" s="6">
        <f t="shared" si="240"/>
        <v>0.3224420546575244</v>
      </c>
      <c r="BH340" s="6">
        <f t="shared" si="241"/>
        <v>0.41495769561845197</v>
      </c>
      <c r="BI340" s="6">
        <f t="shared" si="242"/>
        <v>0.41495769561845197</v>
      </c>
      <c r="BJ340">
        <v>308.46977959922975</v>
      </c>
      <c r="BK340">
        <v>-263.22137982746705</v>
      </c>
      <c r="BV340" s="37"/>
      <c r="BW340" s="6">
        <f t="shared" si="243"/>
        <v>5.6723200689815316</v>
      </c>
      <c r="BX340" s="9">
        <f t="shared" ca="1" si="244"/>
        <v>109.37582004751485</v>
      </c>
      <c r="BY340" s="9">
        <f t="shared" ca="1" si="245"/>
        <v>-270.58441007469867</v>
      </c>
      <c r="BZ340" s="9">
        <f t="shared" ca="1" si="246"/>
        <v>267.82947955835789</v>
      </c>
      <c r="CA340" s="6">
        <f t="shared" ca="1" si="247"/>
        <v>-255.31874395847993</v>
      </c>
      <c r="CB340" s="6">
        <f t="shared" ca="1" si="248"/>
        <v>-0.76148839764867837</v>
      </c>
      <c r="CC340" s="6">
        <f t="shared" ca="1" si="249"/>
        <v>-1.6910865519450413</v>
      </c>
      <c r="CD340" s="9">
        <f t="shared" si="250"/>
        <v>167.82947955835789</v>
      </c>
      <c r="CE340" s="9">
        <f t="shared" si="251"/>
        <v>-225.31874395847993</v>
      </c>
      <c r="CF340" s="6">
        <f t="shared" si="252"/>
        <v>-0.9305970528431825</v>
      </c>
      <c r="CG340" s="6"/>
      <c r="CH340" s="6"/>
      <c r="CI340" s="6"/>
      <c r="CJ340" s="1"/>
      <c r="CK340" s="6"/>
    </row>
    <row r="341" spans="55:89" x14ac:dyDescent="0.25">
      <c r="BC341">
        <v>5.916666164260735</v>
      </c>
      <c r="BD341">
        <v>278.40612860852065</v>
      </c>
      <c r="BE341">
        <v>-234.91017403600191</v>
      </c>
      <c r="BF341" s="6">
        <f t="shared" si="239"/>
        <v>5.5823204022306729</v>
      </c>
      <c r="BG341" s="6">
        <f t="shared" si="240"/>
        <v>0.33434576203006205</v>
      </c>
      <c r="BH341" s="6">
        <f t="shared" si="241"/>
        <v>0.40940811047104647</v>
      </c>
      <c r="BI341" s="6">
        <f t="shared" si="242"/>
        <v>0.40940811047104647</v>
      </c>
      <c r="BJ341">
        <v>309.34014289835625</v>
      </c>
      <c r="BK341">
        <v>-261.01130448444655</v>
      </c>
      <c r="BV341" s="37"/>
      <c r="BW341" s="6">
        <f t="shared" si="243"/>
        <v>5.6897733615014747</v>
      </c>
      <c r="BX341" s="9">
        <f t="shared" ca="1" si="244"/>
        <v>110.11552317990342</v>
      </c>
      <c r="BY341" s="9">
        <f t="shared" ca="1" si="245"/>
        <v>-269.50788761649005</v>
      </c>
      <c r="BZ341" s="9">
        <f t="shared" ca="1" si="246"/>
        <v>268.56918269074646</v>
      </c>
      <c r="CA341" s="6">
        <f t="shared" ca="1" si="247"/>
        <v>-254.24222150027131</v>
      </c>
      <c r="CB341" s="6">
        <f t="shared" ca="1" si="248"/>
        <v>-0.75800133089650223</v>
      </c>
      <c r="CC341" s="6">
        <f t="shared" ca="1" si="249"/>
        <v>-1.6818880998715158</v>
      </c>
      <c r="CD341" s="9">
        <f t="shared" si="250"/>
        <v>168.56918269074646</v>
      </c>
      <c r="CE341" s="9">
        <f t="shared" si="251"/>
        <v>-224.24222150027131</v>
      </c>
      <c r="CF341" s="6">
        <f t="shared" si="252"/>
        <v>-0.92619014088365381</v>
      </c>
      <c r="CG341" s="6"/>
      <c r="CH341" s="6"/>
      <c r="CI341" s="6"/>
      <c r="CJ341" s="1"/>
      <c r="CK341" s="6"/>
    </row>
    <row r="342" spans="55:89" x14ac:dyDescent="0.25">
      <c r="BC342">
        <v>5.9341194567806781</v>
      </c>
      <c r="BD342">
        <v>279.19946280731631</v>
      </c>
      <c r="BE342">
        <v>-232.78773839488713</v>
      </c>
      <c r="BF342" s="6">
        <f t="shared" si="239"/>
        <v>5.5881902217095245</v>
      </c>
      <c r="BG342" s="6">
        <f t="shared" si="240"/>
        <v>0.34592923507115358</v>
      </c>
      <c r="BH342" s="6">
        <f t="shared" si="241"/>
        <v>0.40353829099219496</v>
      </c>
      <c r="BI342" s="6">
        <f t="shared" si="242"/>
        <v>0.40353829099219496</v>
      </c>
      <c r="BJ342">
        <v>310.22162534146258</v>
      </c>
      <c r="BK342">
        <v>-258.6530426609857</v>
      </c>
      <c r="BV342" s="37"/>
      <c r="BW342" s="6">
        <f t="shared" si="243"/>
        <v>5.7072266540214178</v>
      </c>
      <c r="BX342" s="9">
        <f t="shared" ca="1" si="244"/>
        <v>110.86780688084124</v>
      </c>
      <c r="BY342" s="9">
        <f t="shared" ca="1" si="245"/>
        <v>-268.37123108348874</v>
      </c>
      <c r="BZ342" s="9">
        <f t="shared" ca="1" si="246"/>
        <v>269.32146639168428</v>
      </c>
      <c r="CA342" s="6">
        <f t="shared" ca="1" si="247"/>
        <v>-253.10556496727</v>
      </c>
      <c r="CB342" s="6">
        <f t="shared" ca="1" si="248"/>
        <v>-0.75436857323028506</v>
      </c>
      <c r="CC342" s="6">
        <f t="shared" ca="1" si="249"/>
        <v>-1.6723601312282954</v>
      </c>
      <c r="CD342" s="9">
        <f t="shared" si="250"/>
        <v>169.32146639168428</v>
      </c>
      <c r="CE342" s="9">
        <f t="shared" si="251"/>
        <v>-223.10556496727</v>
      </c>
      <c r="CF342" s="6">
        <f t="shared" si="252"/>
        <v>-0.9216045863531146</v>
      </c>
      <c r="CG342" s="6"/>
      <c r="CH342" s="6"/>
      <c r="CI342" s="6"/>
      <c r="CJ342" s="1"/>
      <c r="CK342" s="6"/>
    </row>
    <row r="343" spans="55:89" x14ac:dyDescent="0.25">
      <c r="BC343">
        <v>5.9515727493006212</v>
      </c>
      <c r="BD343">
        <v>280.00435164477841</v>
      </c>
      <c r="BE343">
        <v>-230.5141227750303</v>
      </c>
      <c r="BF343" s="6">
        <f t="shared" si="239"/>
        <v>5.594426286550739</v>
      </c>
      <c r="BG343" s="6">
        <f t="shared" si="240"/>
        <v>0.35714646274988215</v>
      </c>
      <c r="BH343" s="6">
        <f t="shared" si="241"/>
        <v>0.39730222615098049</v>
      </c>
      <c r="BI343" s="6">
        <f t="shared" si="242"/>
        <v>0.39730222615098049</v>
      </c>
      <c r="BJ343">
        <v>311.11594627197599</v>
      </c>
      <c r="BK343">
        <v>-256.12680308336701</v>
      </c>
      <c r="BV343" s="37"/>
      <c r="BW343" s="6">
        <f t="shared" si="243"/>
        <v>5.7246799465413609</v>
      </c>
      <c r="BX343" s="9">
        <f t="shared" ca="1" si="244"/>
        <v>111.61741506482437</v>
      </c>
      <c r="BY343" s="9">
        <f t="shared" ca="1" si="245"/>
        <v>-267.19448970223624</v>
      </c>
      <c r="BZ343" s="9">
        <f t="shared" ca="1" si="246"/>
        <v>270.07107457566741</v>
      </c>
      <c r="CA343" s="6">
        <f t="shared" ca="1" si="247"/>
        <v>-251.9288235860175</v>
      </c>
      <c r="CB343" s="6">
        <f t="shared" ca="1" si="248"/>
        <v>-0.75065687036042628</v>
      </c>
      <c r="CC343" s="6">
        <f t="shared" ca="1" si="249"/>
        <v>-1.6626778318592439</v>
      </c>
      <c r="CD343" s="9">
        <f t="shared" si="250"/>
        <v>170.07107457566741</v>
      </c>
      <c r="CE343" s="9">
        <f t="shared" si="251"/>
        <v>-221.92882358601753</v>
      </c>
      <c r="CF343" s="6">
        <f t="shared" si="252"/>
        <v>-0.91692465354635067</v>
      </c>
      <c r="CG343" s="6"/>
      <c r="CH343" s="6"/>
      <c r="CI343" s="6"/>
      <c r="CJ343" s="1"/>
      <c r="CK343" s="6"/>
    </row>
    <row r="344" spans="55:89" x14ac:dyDescent="0.25">
      <c r="BC344">
        <v>5.9690260418205643</v>
      </c>
      <c r="BD344">
        <v>280.82250354855955</v>
      </c>
      <c r="BE344">
        <v>-228.06810279672686</v>
      </c>
      <c r="BF344" s="6">
        <f t="shared" si="239"/>
        <v>5.6010836747509307</v>
      </c>
      <c r="BG344" s="6">
        <f t="shared" si="240"/>
        <v>0.36794236706963357</v>
      </c>
      <c r="BH344" s="6">
        <f t="shared" si="241"/>
        <v>0.3906448379507888</v>
      </c>
      <c r="BI344" s="6">
        <f t="shared" si="242"/>
        <v>0.3906448379507888</v>
      </c>
      <c r="BJ344">
        <v>312.02500394284397</v>
      </c>
      <c r="BK344">
        <v>-253.40900310747429</v>
      </c>
      <c r="BV344" s="37"/>
      <c r="BW344" s="6">
        <f t="shared" si="243"/>
        <v>5.742133239061304</v>
      </c>
      <c r="BX344" s="9">
        <f t="shared" ca="1" si="244"/>
        <v>112.36523206571147</v>
      </c>
      <c r="BY344" s="9">
        <f t="shared" ca="1" si="245"/>
        <v>-265.97405695697665</v>
      </c>
      <c r="BZ344" s="9">
        <f t="shared" ca="1" si="246"/>
        <v>270.81889157655451</v>
      </c>
      <c r="CA344" s="6">
        <f t="shared" ca="1" si="247"/>
        <v>-250.70839084075791</v>
      </c>
      <c r="CB344" s="6">
        <f t="shared" ca="1" si="248"/>
        <v>-0.74685647510216724</v>
      </c>
      <c r="CC344" s="6">
        <f t="shared" ca="1" si="249"/>
        <v>-1.6528148495611772</v>
      </c>
      <c r="CD344" s="9">
        <f t="shared" si="250"/>
        <v>170.81889157655451</v>
      </c>
      <c r="CE344" s="9">
        <f t="shared" si="251"/>
        <v>-220.70839084075794</v>
      </c>
      <c r="CF344" s="6">
        <f t="shared" si="252"/>
        <v>-0.91213796005828496</v>
      </c>
      <c r="CG344" s="6"/>
      <c r="CH344" s="6"/>
      <c r="CI344" s="6"/>
      <c r="CJ344" s="1"/>
      <c r="CK344" s="6"/>
    </row>
    <row r="345" spans="55:89" x14ac:dyDescent="0.25">
      <c r="BC345">
        <v>5.9864793343405074</v>
      </c>
      <c r="BD345">
        <v>281.65582256185763</v>
      </c>
      <c r="BE345">
        <v>-225.42414962119452</v>
      </c>
      <c r="BF345" s="6">
        <f t="shared" si="239"/>
        <v>5.6082290129727124</v>
      </c>
      <c r="BG345" s="6">
        <f t="shared" si="240"/>
        <v>0.37825032136779502</v>
      </c>
      <c r="BH345" s="6">
        <f t="shared" si="241"/>
        <v>0.38349949972900715</v>
      </c>
      <c r="BI345" s="6">
        <f t="shared" si="242"/>
        <v>0.38349949972900715</v>
      </c>
      <c r="BJ345">
        <v>312.9509139576196</v>
      </c>
      <c r="BK345">
        <v>-250.47127735688278</v>
      </c>
      <c r="BV345" s="37"/>
      <c r="BW345" s="6">
        <f t="shared" si="243"/>
        <v>5.7595865315812471</v>
      </c>
      <c r="BX345" s="9">
        <f t="shared" ca="1" si="244"/>
        <v>113.11214823428222</v>
      </c>
      <c r="BY345" s="9">
        <f t="shared" ca="1" si="245"/>
        <v>-264.70592249735614</v>
      </c>
      <c r="BZ345" s="9">
        <f t="shared" ca="1" si="246"/>
        <v>271.56580774512526</v>
      </c>
      <c r="CA345" s="6">
        <f t="shared" ca="1" si="247"/>
        <v>-249.4402563811374</v>
      </c>
      <c r="CB345" s="6">
        <f t="shared" ca="1" si="248"/>
        <v>-0.74295669000635534</v>
      </c>
      <c r="CC345" s="6">
        <f t="shared" ca="1" si="249"/>
        <v>-1.6427422223224786</v>
      </c>
      <c r="CD345" s="9">
        <f t="shared" si="250"/>
        <v>171.56580774512526</v>
      </c>
      <c r="CE345" s="9">
        <f t="shared" si="251"/>
        <v>-219.44025638113743</v>
      </c>
      <c r="CF345" s="6">
        <f t="shared" si="252"/>
        <v>-0.90723091223860319</v>
      </c>
      <c r="CG345" s="6"/>
      <c r="CH345" s="6"/>
      <c r="CI345" s="6"/>
      <c r="CJ345" s="1"/>
      <c r="CK345" s="6"/>
    </row>
    <row r="346" spans="55:89" x14ac:dyDescent="0.25">
      <c r="BC346">
        <v>6.0039326268604505</v>
      </c>
      <c r="BD346">
        <v>282.50645196431117</v>
      </c>
      <c r="BE346">
        <v>-222.55123540042015</v>
      </c>
      <c r="BF346" s="6">
        <f t="shared" si="239"/>
        <v>5.6159438343194914</v>
      </c>
      <c r="BG346" s="6">
        <f t="shared" si="240"/>
        <v>0.38798879254095908</v>
      </c>
      <c r="BH346" s="6">
        <f t="shared" si="241"/>
        <v>0.37578467838222807</v>
      </c>
      <c r="BI346" s="6">
        <f t="shared" si="242"/>
        <v>0.37578467838222807</v>
      </c>
      <c r="BJ346">
        <v>313.89605773812349</v>
      </c>
      <c r="BK346">
        <v>-247.27915044491127</v>
      </c>
      <c r="BV346" s="37"/>
      <c r="BW346" s="6">
        <f t="shared" si="243"/>
        <v>5.7770398241011902</v>
      </c>
      <c r="BX346" s="9">
        <f t="shared" ca="1" si="244"/>
        <v>113.85906593255064</v>
      </c>
      <c r="BY346" s="9">
        <f t="shared" ca="1" si="245"/>
        <v>-263.38560895235543</v>
      </c>
      <c r="BZ346" s="9">
        <f t="shared" ca="1" si="246"/>
        <v>272.31272544339367</v>
      </c>
      <c r="CA346" s="6">
        <f t="shared" ca="1" si="247"/>
        <v>-248.11994283613669</v>
      </c>
      <c r="CB346" s="6">
        <f t="shared" ca="1" si="248"/>
        <v>-0.73894570131544446</v>
      </c>
      <c r="CC346" s="6">
        <f t="shared" ca="1" si="249"/>
        <v>-1.6324278631483193</v>
      </c>
      <c r="CD346" s="9">
        <f t="shared" si="250"/>
        <v>172.31272544339367</v>
      </c>
      <c r="CE346" s="9">
        <f t="shared" si="251"/>
        <v>-218.11994283613669</v>
      </c>
      <c r="CF346" s="6">
        <f t="shared" si="252"/>
        <v>-0.90218848763027637</v>
      </c>
      <c r="CG346" s="6"/>
      <c r="CH346" s="6"/>
      <c r="CI346" s="6"/>
      <c r="CJ346" s="1"/>
      <c r="CK346" s="6"/>
    </row>
    <row r="347" spans="55:89" x14ac:dyDescent="0.25">
      <c r="BC347">
        <v>6.0213859193803936</v>
      </c>
      <c r="BD347">
        <v>283.37683009484272</v>
      </c>
      <c r="BE347">
        <v>-219.41120736987543</v>
      </c>
      <c r="BF347" s="6">
        <f t="shared" si="239"/>
        <v>5.624329201409763</v>
      </c>
      <c r="BG347" s="6">
        <f t="shared" si="240"/>
        <v>0.39705671797063058</v>
      </c>
      <c r="BH347" s="6">
        <f t="shared" si="241"/>
        <v>0.36739931129195647</v>
      </c>
      <c r="BI347" s="6">
        <f t="shared" si="242"/>
        <v>0.36739931129195647</v>
      </c>
      <c r="BJ347">
        <v>314.86314454982522</v>
      </c>
      <c r="BK347">
        <v>-243.7902304109727</v>
      </c>
      <c r="BV347" s="37"/>
      <c r="BW347" s="6">
        <f t="shared" si="243"/>
        <v>5.7944931166211333</v>
      </c>
      <c r="BX347" s="9">
        <f t="shared" ca="1" si="244"/>
        <v>114.60690595368911</v>
      </c>
      <c r="BY347" s="9">
        <f t="shared" ca="1" si="245"/>
        <v>-262.00809649261862</v>
      </c>
      <c r="BZ347" s="9">
        <f t="shared" ca="1" si="246"/>
        <v>273.06056546453215</v>
      </c>
      <c r="CA347" s="6">
        <f t="shared" ca="1" si="247"/>
        <v>-246.74243037639988</v>
      </c>
      <c r="CB347" s="6">
        <f t="shared" ca="1" si="248"/>
        <v>-0.73481038107842722</v>
      </c>
      <c r="CC347" s="6">
        <f t="shared" ca="1" si="249"/>
        <v>-1.6218359385343395</v>
      </c>
      <c r="CD347" s="9">
        <f t="shared" si="250"/>
        <v>173.06056546453215</v>
      </c>
      <c r="CE347" s="9">
        <f t="shared" si="251"/>
        <v>-216.74243037639991</v>
      </c>
      <c r="CF347" s="6">
        <f t="shared" si="252"/>
        <v>-0.89699397493186117</v>
      </c>
      <c r="CG347" s="6"/>
      <c r="CH347" s="6"/>
      <c r="CI347" s="6"/>
      <c r="CJ347" s="1"/>
      <c r="CK347" s="6"/>
    </row>
    <row r="348" spans="55:89" x14ac:dyDescent="0.25">
      <c r="BC348">
        <v>6.0388392119003367</v>
      </c>
      <c r="BD348">
        <v>284.26976295596995</v>
      </c>
      <c r="BE348">
        <v>-215.9565335367439</v>
      </c>
      <c r="BF348" s="6">
        <f t="shared" si="239"/>
        <v>5.6335121970946931</v>
      </c>
      <c r="BG348" s="6">
        <f t="shared" si="240"/>
        <v>0.40532701480564359</v>
      </c>
      <c r="BH348" s="6">
        <f t="shared" si="241"/>
        <v>0.35821631560702638</v>
      </c>
      <c r="BI348" s="6">
        <f t="shared" si="242"/>
        <v>0.35821631560702638</v>
      </c>
      <c r="BJ348">
        <v>315.85529217329992</v>
      </c>
      <c r="BK348">
        <v>-239.95170392971545</v>
      </c>
      <c r="BV348" s="37"/>
      <c r="BW348" s="6">
        <f t="shared" si="243"/>
        <v>5.8119464091410764</v>
      </c>
      <c r="BX348" s="9">
        <f t="shared" ca="1" si="244"/>
        <v>115.35661450718553</v>
      </c>
      <c r="BY348" s="9">
        <f t="shared" ca="1" si="245"/>
        <v>-260.56773221024883</v>
      </c>
      <c r="BZ348" s="9">
        <f t="shared" ca="1" si="246"/>
        <v>273.81027401802857</v>
      </c>
      <c r="CA348" s="6">
        <f t="shared" ca="1" si="247"/>
        <v>-245.3020660940301</v>
      </c>
      <c r="CB348" s="6">
        <f t="shared" ca="1" si="248"/>
        <v>-0.73053604944254691</v>
      </c>
      <c r="CC348" s="6">
        <f t="shared" ca="1" si="249"/>
        <v>-1.6109261117328355</v>
      </c>
      <c r="CD348" s="9">
        <f t="shared" si="250"/>
        <v>173.81027401802857</v>
      </c>
      <c r="CE348" s="9">
        <f t="shared" si="251"/>
        <v>-215.3020660940301</v>
      </c>
      <c r="CF348" s="6">
        <f t="shared" si="252"/>
        <v>-0.89162866061583046</v>
      </c>
      <c r="CG348" s="6"/>
      <c r="CH348" s="6"/>
      <c r="CI348" s="6"/>
      <c r="CJ348" s="1"/>
      <c r="CK348" s="6"/>
    </row>
    <row r="349" spans="55:89" x14ac:dyDescent="0.25">
      <c r="BC349">
        <v>6.0562925044202798</v>
      </c>
      <c r="BD349">
        <v>285.18852034841871</v>
      </c>
      <c r="BE349">
        <v>-212.1271111904158</v>
      </c>
      <c r="BF349" s="6">
        <f t="shared" si="239"/>
        <v>5.6436552402828077</v>
      </c>
      <c r="BG349" s="6">
        <f t="shared" si="240"/>
        <v>0.41263726413747204</v>
      </c>
      <c r="BH349" s="6">
        <f t="shared" si="241"/>
        <v>0.34807327241891173</v>
      </c>
      <c r="BI349" s="6">
        <f t="shared" si="242"/>
        <v>0.34807327241891173</v>
      </c>
      <c r="BJ349">
        <v>316.87613372046525</v>
      </c>
      <c r="BK349">
        <v>-235.6967902115731</v>
      </c>
      <c r="BV349" s="37"/>
      <c r="BW349" s="6">
        <f t="shared" si="243"/>
        <v>5.8293997016610195</v>
      </c>
      <c r="BX349" s="9">
        <f t="shared" ca="1" si="244"/>
        <v>116.1091709358204</v>
      </c>
      <c r="BY349" s="9">
        <f t="shared" ca="1" si="245"/>
        <v>-259.05812054769336</v>
      </c>
      <c r="BZ349" s="9">
        <f t="shared" ca="1" si="246"/>
        <v>274.56283044666344</v>
      </c>
      <c r="CA349" s="6">
        <f t="shared" ca="1" si="247"/>
        <v>-243.79245443147462</v>
      </c>
      <c r="CB349" s="6">
        <f t="shared" ca="1" si="248"/>
        <v>-0.72610618681113581</v>
      </c>
      <c r="CC349" s="6">
        <f t="shared" ca="1" si="249"/>
        <v>-1.5996526129235864</v>
      </c>
      <c r="CD349" s="9">
        <f t="shared" si="250"/>
        <v>174.56283044666344</v>
      </c>
      <c r="CE349" s="9">
        <f t="shared" si="251"/>
        <v>-213.79245443147465</v>
      </c>
      <c r="CF349" s="6">
        <f t="shared" si="252"/>
        <v>-0.88607144810349447</v>
      </c>
      <c r="CG349" s="6"/>
      <c r="CH349" s="6"/>
      <c r="CI349" s="6"/>
      <c r="CJ349" s="1"/>
      <c r="CK349" s="6"/>
    </row>
    <row r="350" spans="55:89" x14ac:dyDescent="0.25">
      <c r="BC350">
        <v>6.0737457969402229</v>
      </c>
      <c r="BD350">
        <v>286.13696573649651</v>
      </c>
      <c r="BE350">
        <v>-207.84564005151068</v>
      </c>
      <c r="BF350" s="6">
        <f t="shared" si="239"/>
        <v>5.6549697956476139</v>
      </c>
      <c r="BG350" s="6">
        <f t="shared" si="240"/>
        <v>0.41877600129260895</v>
      </c>
      <c r="BH350" s="6">
        <f t="shared" si="241"/>
        <v>0.33675871705410554</v>
      </c>
      <c r="BI350" s="6">
        <f t="shared" si="242"/>
        <v>0.33675871705410554</v>
      </c>
      <c r="BJ350">
        <v>317.92996192944054</v>
      </c>
      <c r="BK350">
        <v>-230.93960005723409</v>
      </c>
      <c r="BV350" s="37"/>
      <c r="BW350" s="6">
        <f t="shared" si="243"/>
        <v>5.8468529941809626</v>
      </c>
      <c r="BX350" s="9">
        <f t="shared" ca="1" si="244"/>
        <v>116.86559636682412</v>
      </c>
      <c r="BY350" s="9">
        <f t="shared" ca="1" si="245"/>
        <v>-257.47198988774608</v>
      </c>
      <c r="BZ350" s="9">
        <f t="shared" ca="1" si="246"/>
        <v>275.31925587766716</v>
      </c>
      <c r="CA350" s="6">
        <f t="shared" ca="1" si="247"/>
        <v>-242.20632377152734</v>
      </c>
      <c r="CB350" s="6">
        <f t="shared" ca="1" si="248"/>
        <v>-0.72150208241934621</v>
      </c>
      <c r="CC350" s="6">
        <f t="shared" ca="1" si="249"/>
        <v>-1.5879630860184324</v>
      </c>
      <c r="CD350" s="9">
        <f t="shared" si="250"/>
        <v>175.31925587766716</v>
      </c>
      <c r="CE350" s="9">
        <f t="shared" si="251"/>
        <v>-212.20632377152734</v>
      </c>
      <c r="CF350" s="6">
        <f t="shared" si="252"/>
        <v>-0.88029839102118945</v>
      </c>
      <c r="CG350" s="6"/>
      <c r="CH350" s="6"/>
      <c r="CI350" s="6"/>
      <c r="CJ350" s="1"/>
      <c r="CK350" s="6"/>
    </row>
    <row r="351" spans="55:89" x14ac:dyDescent="0.25">
      <c r="BC351">
        <v>6.091199089460166</v>
      </c>
      <c r="BD351">
        <v>287.11973571202651</v>
      </c>
      <c r="BE351">
        <v>-203.01072901292034</v>
      </c>
      <c r="BF351" s="6">
        <f t="shared" si="239"/>
        <v>5.6677371380210637</v>
      </c>
      <c r="BG351" s="6">
        <f t="shared" si="240"/>
        <v>0.42346195143910226</v>
      </c>
      <c r="BH351" s="6">
        <f t="shared" si="241"/>
        <v>0.32399137468065575</v>
      </c>
      <c r="BI351" s="6">
        <f t="shared" si="242"/>
        <v>0.32399137468065575</v>
      </c>
      <c r="BJ351">
        <v>319.02192856891833</v>
      </c>
      <c r="BK351">
        <v>-225.56747668102258</v>
      </c>
      <c r="BV351" s="37"/>
      <c r="BW351" s="6">
        <f t="shared" si="243"/>
        <v>5.8643062867009057</v>
      </c>
      <c r="BX351" s="9">
        <f t="shared" ca="1" si="244"/>
        <v>117.62696354704158</v>
      </c>
      <c r="BY351" s="9">
        <f t="shared" ca="1" si="245"/>
        <v>-255.80102890426465</v>
      </c>
      <c r="BZ351" s="9">
        <f t="shared" ca="1" si="246"/>
        <v>276.08062305788462</v>
      </c>
      <c r="CA351" s="6">
        <f t="shared" ca="1" si="247"/>
        <v>-240.53536278804592</v>
      </c>
      <c r="CB351" s="6">
        <f t="shared" ca="1" si="248"/>
        <v>-0.71670240160729715</v>
      </c>
      <c r="CC351" s="6">
        <f t="shared" ca="1" si="249"/>
        <v>-1.5757971446618069</v>
      </c>
      <c r="CD351" s="9">
        <f t="shared" si="250"/>
        <v>176.08062305788462</v>
      </c>
      <c r="CE351" s="9">
        <f t="shared" si="251"/>
        <v>-210.53536278804592</v>
      </c>
      <c r="CF351" s="6">
        <f t="shared" si="252"/>
        <v>-0.87428211607347783</v>
      </c>
      <c r="CG351" s="6"/>
      <c r="CH351" s="6"/>
      <c r="CI351" s="6"/>
      <c r="CJ351" s="1"/>
      <c r="CK351" s="6"/>
    </row>
    <row r="352" spans="55:89" x14ac:dyDescent="0.25">
      <c r="BC352">
        <v>6.1086523819801091</v>
      </c>
      <c r="BD352">
        <v>288.14249457253425</v>
      </c>
      <c r="BE352">
        <v>-197.48629575818151</v>
      </c>
      <c r="BF352" s="6">
        <f t="shared" si="239"/>
        <v>5.6823408677899003</v>
      </c>
      <c r="BG352" s="6">
        <f t="shared" si="240"/>
        <v>0.42631151419020874</v>
      </c>
      <c r="BH352" s="6">
        <f t="shared" si="241"/>
        <v>0.30938764491181908</v>
      </c>
      <c r="BI352" s="6">
        <f t="shared" si="242"/>
        <v>0.30938764491181908</v>
      </c>
      <c r="BJ352">
        <v>320.15832730281585</v>
      </c>
      <c r="BK352">
        <v>-219.42921750909056</v>
      </c>
      <c r="BV352" s="37"/>
      <c r="BW352" s="6">
        <f t="shared" si="243"/>
        <v>5.8817595792208488</v>
      </c>
      <c r="BX352" s="9">
        <f t="shared" ca="1" si="244"/>
        <v>118.39440817513625</v>
      </c>
      <c r="BY352" s="9">
        <f t="shared" ca="1" si="245"/>
        <v>-254.03568420736505</v>
      </c>
      <c r="BZ352" s="9">
        <f t="shared" ca="1" si="246"/>
        <v>276.84806768597929</v>
      </c>
      <c r="CA352" s="6">
        <f t="shared" ca="1" si="247"/>
        <v>-238.77001809114631</v>
      </c>
      <c r="CB352" s="6">
        <f t="shared" ca="1" si="248"/>
        <v>-0.71168264818688298</v>
      </c>
      <c r="CC352" s="6">
        <f t="shared" ca="1" si="249"/>
        <v>-1.5630845459008316</v>
      </c>
      <c r="CD352" s="9">
        <f t="shared" si="250"/>
        <v>176.84806768597929</v>
      </c>
      <c r="CE352" s="9">
        <f t="shared" si="251"/>
        <v>-208.77001809114631</v>
      </c>
      <c r="CF352" s="6">
        <f t="shared" si="252"/>
        <v>-0.86799110277696612</v>
      </c>
      <c r="CG352" s="6"/>
      <c r="CH352" s="6"/>
      <c r="CI352" s="6"/>
      <c r="CJ352" s="1"/>
      <c r="CK352" s="6"/>
    </row>
    <row r="353" spans="55:89" x14ac:dyDescent="0.25">
      <c r="BC353">
        <v>6.1261056745000522</v>
      </c>
      <c r="BD353">
        <v>289.21230665876959</v>
      </c>
      <c r="BE353">
        <v>-191.08464677085942</v>
      </c>
      <c r="BF353" s="6">
        <f t="shared" si="239"/>
        <v>5.6993198598154997</v>
      </c>
      <c r="BG353" s="6">
        <f t="shared" si="240"/>
        <v>0.42678581468455246</v>
      </c>
      <c r="BH353" s="6">
        <f t="shared" si="241"/>
        <v>0.29240865288621976</v>
      </c>
      <c r="BI353" s="6">
        <f t="shared" si="242"/>
        <v>0.29240865288621976</v>
      </c>
      <c r="BJ353">
        <v>321.34700739863285</v>
      </c>
      <c r="BK353">
        <v>-212.3162741898438</v>
      </c>
      <c r="BV353" s="37"/>
      <c r="BW353" s="6">
        <f t="shared" si="243"/>
        <v>5.8992128717407919</v>
      </c>
      <c r="BX353" s="9">
        <f t="shared" ca="1" si="244"/>
        <v>119.16914212846373</v>
      </c>
      <c r="BY353" s="9">
        <f t="shared" ca="1" si="245"/>
        <v>-252.16490796093908</v>
      </c>
      <c r="BZ353" s="9">
        <f t="shared" ca="1" si="246"/>
        <v>277.62280163930677</v>
      </c>
      <c r="CA353" s="6">
        <f t="shared" ca="1" si="247"/>
        <v>-236.89924184472034</v>
      </c>
      <c r="CB353" s="6">
        <f t="shared" ca="1" si="248"/>
        <v>-0.70641449009631874</v>
      </c>
      <c r="CC353" s="6">
        <f t="shared" ca="1" si="249"/>
        <v>-1.5497428557538251</v>
      </c>
      <c r="CD353" s="9">
        <f t="shared" si="250"/>
        <v>177.62280163930677</v>
      </c>
      <c r="CE353" s="9">
        <f t="shared" si="251"/>
        <v>-206.89924184472034</v>
      </c>
      <c r="CF353" s="6">
        <f t="shared" si="252"/>
        <v>-0.86138877567170125</v>
      </c>
      <c r="CG353" s="6"/>
      <c r="CH353" s="6"/>
      <c r="CI353" s="6"/>
      <c r="CJ353" s="1"/>
      <c r="CK353" s="6"/>
    </row>
    <row r="354" spans="55:89" x14ac:dyDescent="0.25">
      <c r="BC354">
        <v>6.1435589670199953</v>
      </c>
      <c r="BD354">
        <v>290.33820105403737</v>
      </c>
      <c r="BE354">
        <v>-183.5382413092247</v>
      </c>
      <c r="BF354" s="6">
        <f t="shared" si="239"/>
        <v>5.7194586014115876</v>
      </c>
      <c r="BG354" s="6">
        <f t="shared" si="240"/>
        <v>0.42410036560840769</v>
      </c>
      <c r="BH354" s="6">
        <f t="shared" si="241"/>
        <v>0.27226991129013189</v>
      </c>
      <c r="BI354" s="6">
        <f t="shared" si="242"/>
        <v>0.27226991129013189</v>
      </c>
      <c r="BJ354">
        <v>322.59800117115265</v>
      </c>
      <c r="BK354">
        <v>-203.9313792324719</v>
      </c>
      <c r="BV354" s="37"/>
      <c r="BW354" s="6">
        <f t="shared" si="243"/>
        <v>5.916666164260735</v>
      </c>
      <c r="BX354" s="9">
        <f t="shared" ca="1" si="244"/>
        <v>119.95246909767761</v>
      </c>
      <c r="BY354" s="9">
        <f t="shared" ca="1" si="245"/>
        <v>-250.17584015222064</v>
      </c>
      <c r="BZ354" s="9">
        <f t="shared" ca="1" si="246"/>
        <v>278.40612860852065</v>
      </c>
      <c r="CA354" s="6">
        <f t="shared" ca="1" si="247"/>
        <v>-234.91017403600191</v>
      </c>
      <c r="CB354" s="6">
        <f t="shared" ca="1" si="248"/>
        <v>-0.70086490494891296</v>
      </c>
      <c r="CC354" s="6">
        <f t="shared" ca="1" si="249"/>
        <v>-1.5356744315182635</v>
      </c>
      <c r="CD354" s="9">
        <f t="shared" si="250"/>
        <v>178.40612860852065</v>
      </c>
      <c r="CE354" s="9">
        <f t="shared" si="251"/>
        <v>-204.91017403600191</v>
      </c>
      <c r="CF354" s="6">
        <f t="shared" si="252"/>
        <v>-0.85443234810073931</v>
      </c>
      <c r="CG354" s="6"/>
      <c r="CH354" s="6"/>
      <c r="CI354" s="6"/>
      <c r="CJ354" s="1"/>
      <c r="CK354" s="6"/>
    </row>
    <row r="355" spans="55:89" x14ac:dyDescent="0.25">
      <c r="BC355">
        <v>6.1610122595399384</v>
      </c>
      <c r="BD355">
        <v>291.5320665123603</v>
      </c>
      <c r="BE355">
        <v>-174.44994993852552</v>
      </c>
      <c r="BF355" s="6">
        <f t="shared" si="239"/>
        <v>5.7439502777249487</v>
      </c>
      <c r="BG355" s="6">
        <f t="shared" si="240"/>
        <v>0.41706198181498966</v>
      </c>
      <c r="BH355" s="6">
        <f t="shared" si="241"/>
        <v>0.24777823497677071</v>
      </c>
      <c r="BI355" s="6">
        <f t="shared" si="242"/>
        <v>0.24777823497677071</v>
      </c>
      <c r="BJ355">
        <v>323.92451834706702</v>
      </c>
      <c r="BK355">
        <v>-193.83327770947278</v>
      </c>
      <c r="BV355" s="37"/>
      <c r="BW355" s="6">
        <f t="shared" si="243"/>
        <v>5.9341194567806781</v>
      </c>
      <c r="BX355" s="9">
        <f t="shared" ca="1" si="244"/>
        <v>120.74580329647327</v>
      </c>
      <c r="BY355" s="9">
        <f t="shared" ca="1" si="245"/>
        <v>-248.05340451110587</v>
      </c>
      <c r="BZ355" s="9">
        <f t="shared" ca="1" si="246"/>
        <v>279.19946280731631</v>
      </c>
      <c r="CA355" s="6">
        <f t="shared" ca="1" si="247"/>
        <v>-232.78773839488713</v>
      </c>
      <c r="CB355" s="6">
        <f t="shared" ca="1" si="248"/>
        <v>-0.69499508547006128</v>
      </c>
      <c r="CC355" s="6">
        <f t="shared" ca="1" si="249"/>
        <v>-1.5207624733590599</v>
      </c>
      <c r="CD355" s="9">
        <f t="shared" si="250"/>
        <v>179.19946280731631</v>
      </c>
      <c r="CE355" s="9">
        <f t="shared" si="251"/>
        <v>-202.78773839488713</v>
      </c>
      <c r="CF355" s="6">
        <f t="shared" si="252"/>
        <v>-0.84707133280596725</v>
      </c>
      <c r="CG355" s="6"/>
      <c r="CH355" s="6"/>
      <c r="CI355" s="6"/>
      <c r="CJ355" s="1"/>
      <c r="CK355" s="6"/>
    </row>
    <row r="356" spans="55:89" x14ac:dyDescent="0.25">
      <c r="BC356">
        <v>6.1784655520598815</v>
      </c>
      <c r="BD356">
        <v>292.81014916107461</v>
      </c>
      <c r="BE356">
        <v>-163.19931715163324</v>
      </c>
      <c r="BF356" s="6">
        <f t="shared" si="239"/>
        <v>5.7747125026210835</v>
      </c>
      <c r="BG356" s="6">
        <f t="shared" si="240"/>
        <v>0.40375304943879797</v>
      </c>
      <c r="BH356" s="6">
        <f t="shared" si="241"/>
        <v>0.21701601008063598</v>
      </c>
      <c r="BI356" s="6">
        <f t="shared" si="242"/>
        <v>0.21701601008063598</v>
      </c>
      <c r="BJ356">
        <v>325.34461017897178</v>
      </c>
      <c r="BK356">
        <v>-181.33257461292581</v>
      </c>
      <c r="BV356" s="37"/>
      <c r="BW356" s="6">
        <f t="shared" si="243"/>
        <v>5.9515727493006212</v>
      </c>
      <c r="BX356" s="9">
        <f t="shared" ca="1" si="244"/>
        <v>121.55069213393537</v>
      </c>
      <c r="BY356" s="9">
        <f t="shared" ca="1" si="245"/>
        <v>-245.77978889124904</v>
      </c>
      <c r="BZ356" s="9">
        <f t="shared" ca="1" si="246"/>
        <v>280.00435164477841</v>
      </c>
      <c r="CA356" s="6">
        <f t="shared" ca="1" si="247"/>
        <v>-230.5141227750303</v>
      </c>
      <c r="CB356" s="6">
        <f t="shared" ca="1" si="248"/>
        <v>-0.68875902062884709</v>
      </c>
      <c r="CC356" s="6">
        <f t="shared" ca="1" si="249"/>
        <v>-1.5048657900056772</v>
      </c>
      <c r="CD356" s="9">
        <f t="shared" si="250"/>
        <v>180.00435164477841</v>
      </c>
      <c r="CE356" s="9">
        <f t="shared" si="251"/>
        <v>-200.5141227750303</v>
      </c>
      <c r="CF356" s="6">
        <f t="shared" si="252"/>
        <v>-0.83924559962941481</v>
      </c>
      <c r="CG356" s="6"/>
      <c r="CH356" s="6"/>
      <c r="CI356" s="6"/>
      <c r="CJ356" s="1"/>
      <c r="CK356" s="6"/>
    </row>
    <row r="357" spans="55:89" x14ac:dyDescent="0.25">
      <c r="BC357">
        <v>6.1959188445798246</v>
      </c>
      <c r="BD357">
        <v>294.19573955750155</v>
      </c>
      <c r="BE357">
        <v>-148.74994871367821</v>
      </c>
      <c r="BF357" s="6">
        <f t="shared" si="239"/>
        <v>5.8150553347997853</v>
      </c>
      <c r="BG357" s="6">
        <f t="shared" si="240"/>
        <v>0.38086350978003924</v>
      </c>
      <c r="BH357" s="6">
        <f t="shared" si="241"/>
        <v>0.17667317790193415</v>
      </c>
      <c r="BI357" s="6">
        <f t="shared" si="242"/>
        <v>0.17667317790193415</v>
      </c>
      <c r="BJ357">
        <v>326.8841550638906</v>
      </c>
      <c r="BK357">
        <v>-165.27772079297577</v>
      </c>
      <c r="BV357" s="37"/>
      <c r="BW357" s="6">
        <f t="shared" si="243"/>
        <v>5.9690260418205643</v>
      </c>
      <c r="BX357" s="9">
        <f t="shared" ca="1" si="244"/>
        <v>122.36884403771651</v>
      </c>
      <c r="BY357" s="9">
        <f t="shared" ca="1" si="245"/>
        <v>-243.3337689129456</v>
      </c>
      <c r="BZ357" s="9">
        <f t="shared" ca="1" si="246"/>
        <v>280.82250354855955</v>
      </c>
      <c r="CA357" s="6">
        <f t="shared" ca="1" si="247"/>
        <v>-228.06810279672686</v>
      </c>
      <c r="CB357" s="6">
        <f t="shared" ca="1" si="248"/>
        <v>-0.68210163242865518</v>
      </c>
      <c r="CC357" s="6">
        <f t="shared" ca="1" si="249"/>
        <v>-1.4878117600719853</v>
      </c>
      <c r="CD357" s="9">
        <f t="shared" si="250"/>
        <v>180.82250354855955</v>
      </c>
      <c r="CE357" s="9">
        <f t="shared" si="251"/>
        <v>-198.06810279672686</v>
      </c>
      <c r="CF357" s="6">
        <f t="shared" si="252"/>
        <v>-0.83088280843585371</v>
      </c>
      <c r="CG357" s="6"/>
      <c r="CH357" s="6"/>
      <c r="CI357" s="6"/>
      <c r="CJ357" s="1"/>
      <c r="CK357" s="6"/>
    </row>
    <row r="358" spans="55:89" x14ac:dyDescent="0.25">
      <c r="BC358">
        <v>6.2133721370997677</v>
      </c>
      <c r="BD358">
        <v>295.72446013083072</v>
      </c>
      <c r="BE358">
        <v>-129.20518813100691</v>
      </c>
      <c r="BF358" s="6">
        <f t="shared" si="239"/>
        <v>5.8712695775941048</v>
      </c>
      <c r="BG358" s="6">
        <f t="shared" si="240"/>
        <v>0.34210255950566282</v>
      </c>
      <c r="BH358" s="6">
        <f t="shared" si="241"/>
        <v>0.12045893510761464</v>
      </c>
      <c r="BI358" s="6">
        <f t="shared" si="242"/>
        <v>0.12045893510761464</v>
      </c>
      <c r="BJ358">
        <v>328.58273347870079</v>
      </c>
      <c r="BK358">
        <v>-143.56132014556323</v>
      </c>
      <c r="BV358" s="37"/>
      <c r="BW358" s="6">
        <f t="shared" si="243"/>
        <v>5.9864793343405074</v>
      </c>
      <c r="BX358" s="9">
        <f t="shared" ca="1" si="244"/>
        <v>123.20216305101459</v>
      </c>
      <c r="BY358" s="9">
        <f t="shared" ca="1" si="245"/>
        <v>-240.68981573741326</v>
      </c>
      <c r="BZ358" s="9">
        <f t="shared" ca="1" si="246"/>
        <v>281.65582256185763</v>
      </c>
      <c r="CA358" s="6">
        <f t="shared" ca="1" si="247"/>
        <v>-225.42414962119452</v>
      </c>
      <c r="CB358" s="6">
        <f t="shared" ca="1" si="248"/>
        <v>-0.67495629420687431</v>
      </c>
      <c r="CC358" s="6">
        <f t="shared" ca="1" si="249"/>
        <v>-1.4693867177422693</v>
      </c>
      <c r="CD358" s="9">
        <f t="shared" si="250"/>
        <v>181.65582256185763</v>
      </c>
      <c r="CE358" s="9">
        <f t="shared" si="251"/>
        <v>-195.42414962119452</v>
      </c>
      <c r="CF358" s="6">
        <f t="shared" si="252"/>
        <v>-0.82189496598110123</v>
      </c>
      <c r="CG358" s="6"/>
      <c r="CH358" s="6"/>
      <c r="CI358" s="6"/>
      <c r="CJ358" s="1"/>
      <c r="CK358" s="6"/>
    </row>
    <row r="359" spans="55:89" x14ac:dyDescent="0.25">
      <c r="BC359">
        <v>6.2308254296197108</v>
      </c>
      <c r="BD359">
        <v>297.45611014821492</v>
      </c>
      <c r="BE359">
        <v>-100.6002917715348</v>
      </c>
      <c r="BF359" s="6">
        <f t="shared" si="239"/>
        <v>5.957059249527088</v>
      </c>
      <c r="BG359" s="6">
        <f t="shared" si="240"/>
        <v>0.27376618009262277</v>
      </c>
      <c r="BH359" s="6">
        <f t="shared" si="241"/>
        <v>3.4669263174631482E-2</v>
      </c>
      <c r="BI359" s="6">
        <f t="shared" si="242"/>
        <v>3.4669263174631482E-2</v>
      </c>
      <c r="BJ359">
        <v>330.50678905357211</v>
      </c>
      <c r="BK359">
        <v>-111.778101968372</v>
      </c>
      <c r="BV359" s="37"/>
      <c r="BW359" s="6">
        <f t="shared" si="243"/>
        <v>6.0039326268604505</v>
      </c>
      <c r="BX359" s="9">
        <f t="shared" ca="1" si="244"/>
        <v>124.05279245346813</v>
      </c>
      <c r="BY359" s="9">
        <f t="shared" ca="1" si="245"/>
        <v>-237.81690151663889</v>
      </c>
      <c r="BZ359" s="9">
        <f t="shared" ca="1" si="246"/>
        <v>282.50645196431117</v>
      </c>
      <c r="CA359" s="6">
        <f t="shared" ca="1" si="247"/>
        <v>-222.55123540042015</v>
      </c>
      <c r="CB359" s="6">
        <f t="shared" ca="1" si="248"/>
        <v>-0.66724147286009439</v>
      </c>
      <c r="CC359" s="6">
        <f t="shared" ca="1" si="249"/>
        <v>-1.4493225916911889</v>
      </c>
      <c r="CD359" s="9">
        <f t="shared" si="250"/>
        <v>182.50645196431117</v>
      </c>
      <c r="CE359" s="9">
        <f t="shared" si="251"/>
        <v>-192.55123540042015</v>
      </c>
      <c r="CF359" s="6">
        <f t="shared" si="252"/>
        <v>-0.81217373202921328</v>
      </c>
      <c r="CG359" s="6"/>
      <c r="CH359" s="6"/>
      <c r="CI359" s="6"/>
      <c r="CJ359" s="1"/>
      <c r="CK359" s="6"/>
    </row>
    <row r="360" spans="55:89" x14ac:dyDescent="0.25">
      <c r="BC360">
        <v>6.2482787221396539</v>
      </c>
      <c r="BD360">
        <v>299.42353522970814</v>
      </c>
      <c r="BE360">
        <v>-54.92325245909354</v>
      </c>
      <c r="BF360" s="6">
        <f t="shared" si="239"/>
        <v>6.101772032486438</v>
      </c>
      <c r="BG360" s="6">
        <f t="shared" si="240"/>
        <v>0.14650668965321589</v>
      </c>
      <c r="BH360" s="6">
        <f t="shared" si="241"/>
        <v>-0.11004351978471849</v>
      </c>
      <c r="BI360" s="6">
        <f t="shared" si="242"/>
        <v>0.11004351978471849</v>
      </c>
      <c r="BJ360">
        <v>332.69281692189793</v>
      </c>
      <c r="BK360">
        <v>-61.02583606565949</v>
      </c>
      <c r="BV360" s="37"/>
      <c r="BW360" s="6">
        <f t="shared" si="243"/>
        <v>6.0213859193803936</v>
      </c>
      <c r="BX360" s="9">
        <f t="shared" ca="1" si="244"/>
        <v>124.92317058399968</v>
      </c>
      <c r="BY360" s="9">
        <f t="shared" ca="1" si="245"/>
        <v>-234.67687348609417</v>
      </c>
      <c r="BZ360" s="9">
        <f t="shared" ca="1" si="246"/>
        <v>283.37683009484272</v>
      </c>
      <c r="CA360" s="6">
        <f t="shared" ca="1" si="247"/>
        <v>-219.41120736987543</v>
      </c>
      <c r="CB360" s="6">
        <f t="shared" ca="1" si="248"/>
        <v>-0.65885610576982334</v>
      </c>
      <c r="CC360" s="6">
        <f t="shared" ca="1" si="249"/>
        <v>-1.4272779778297884</v>
      </c>
      <c r="CD360" s="9">
        <f t="shared" si="250"/>
        <v>183.37683009484272</v>
      </c>
      <c r="CE360" s="9">
        <f t="shared" si="251"/>
        <v>-189.41120736987543</v>
      </c>
      <c r="CF360" s="6">
        <f t="shared" si="252"/>
        <v>-0.80158390355280218</v>
      </c>
      <c r="CG360" s="6"/>
      <c r="CH360" s="6"/>
      <c r="CI360" s="6"/>
      <c r="CJ360" s="1"/>
      <c r="CK360" s="6"/>
    </row>
    <row r="361" spans="55:89" x14ac:dyDescent="0.25">
      <c r="BC361">
        <v>6.2657320146595969</v>
      </c>
      <c r="BD361">
        <v>300.76716534255382</v>
      </c>
      <c r="BE361">
        <v>-3.6159987332678227</v>
      </c>
      <c r="BF361" s="6">
        <f t="shared" si="239"/>
        <v>6.2711633016445996</v>
      </c>
      <c r="BG361" s="6">
        <f t="shared" si="240"/>
        <v>5.4312869850026146E-3</v>
      </c>
      <c r="BH361" s="6">
        <f t="shared" si="241"/>
        <v>-0.2794347889428801</v>
      </c>
      <c r="BI361" s="6">
        <f t="shared" si="242"/>
        <v>0.2794347889428801</v>
      </c>
      <c r="BJ361">
        <v>334.18573926950427</v>
      </c>
      <c r="BK361">
        <v>-4.0177763702975806</v>
      </c>
      <c r="BV361" s="37"/>
      <c r="BW361" s="6">
        <f t="shared" si="243"/>
        <v>6.0388392119003367</v>
      </c>
      <c r="BX361" s="9">
        <f t="shared" ca="1" si="244"/>
        <v>125.81610344512691</v>
      </c>
      <c r="BY361" s="9">
        <f t="shared" ca="1" si="245"/>
        <v>-231.22219965296264</v>
      </c>
      <c r="BZ361" s="9">
        <f t="shared" ca="1" si="246"/>
        <v>284.26976295596995</v>
      </c>
      <c r="CA361" s="6">
        <f t="shared" ca="1" si="247"/>
        <v>-215.9565335367439</v>
      </c>
      <c r="CB361" s="6">
        <f t="shared" ca="1" si="248"/>
        <v>-0.64967311008489292</v>
      </c>
      <c r="CC361" s="6">
        <f t="shared" ca="1" si="249"/>
        <v>-1.4028107465892004</v>
      </c>
      <c r="CD361" s="9">
        <f t="shared" si="250"/>
        <v>184.26976295596995</v>
      </c>
      <c r="CE361" s="9">
        <f t="shared" si="251"/>
        <v>-185.9565335367439</v>
      </c>
      <c r="CF361" s="6">
        <f t="shared" si="252"/>
        <v>-0.78995418474381296</v>
      </c>
      <c r="CG361" s="6"/>
      <c r="CH361" s="6"/>
      <c r="CI361" s="6"/>
      <c r="CJ361" s="1"/>
      <c r="CK361" s="6"/>
    </row>
    <row r="362" spans="55:89" x14ac:dyDescent="0.25">
      <c r="BC362">
        <v>6.28318530717954</v>
      </c>
      <c r="BD362">
        <v>301.21467828612936</v>
      </c>
      <c r="BE362">
        <v>47.659999999863693</v>
      </c>
      <c r="BF362" s="6">
        <f t="shared" si="239"/>
        <v>0.15692508633081045</v>
      </c>
      <c r="BG362" s="6">
        <f t="shared" si="240"/>
        <v>6.1262602208487298</v>
      </c>
      <c r="BH362" s="6">
        <f t="shared" si="241"/>
        <v>-0.44838188080867725</v>
      </c>
      <c r="BI362" s="6">
        <f t="shared" si="242"/>
        <v>0.44838188080867725</v>
      </c>
      <c r="BJ362">
        <v>334.68297587347706</v>
      </c>
      <c r="BK362">
        <v>52.955555555404104</v>
      </c>
      <c r="BV362" s="37"/>
      <c r="BW362" s="6">
        <f t="shared" si="243"/>
        <v>6.0562925044202798</v>
      </c>
      <c r="BX362" s="9">
        <f t="shared" ca="1" si="244"/>
        <v>126.73486083757567</v>
      </c>
      <c r="BY362" s="9">
        <f t="shared" ca="1" si="245"/>
        <v>-227.39277730663454</v>
      </c>
      <c r="BZ362" s="9">
        <f t="shared" ca="1" si="246"/>
        <v>285.18852034841871</v>
      </c>
      <c r="CA362" s="6">
        <f t="shared" ca="1" si="247"/>
        <v>-212.1271111904158</v>
      </c>
      <c r="CB362" s="6">
        <f t="shared" ca="1" si="248"/>
        <v>-0.63953006689677871</v>
      </c>
      <c r="CC362" s="6">
        <f t="shared" ca="1" si="249"/>
        <v>-1.3753374312303923</v>
      </c>
      <c r="CD362" s="9">
        <f t="shared" si="250"/>
        <v>185.18852034841871</v>
      </c>
      <c r="CE362" s="9">
        <f t="shared" si="251"/>
        <v>-182.1271111904158</v>
      </c>
      <c r="CF362" s="6">
        <f t="shared" si="252"/>
        <v>-0.77706381001981795</v>
      </c>
      <c r="CG362" s="6"/>
      <c r="CH362" s="6"/>
      <c r="CI362" s="6"/>
      <c r="CJ362" s="1"/>
      <c r="CK362" s="6"/>
    </row>
    <row r="363" spans="55:89" x14ac:dyDescent="0.25">
      <c r="BC363" s="6">
        <v>6.3006385996994831</v>
      </c>
      <c r="BD363" s="6">
        <v>301.21467828612936</v>
      </c>
      <c r="BE363" s="6">
        <v>47.659999999999371</v>
      </c>
      <c r="BF363" s="6">
        <f t="shared" ref="BF363" si="253">IF(BC363&lt;&gt;"",IF(AND(BD363=0,BE363=0),0,MOD(ATAN2(BD363,BE363),2*PI())),NA())</f>
        <v>0.15692508633124991</v>
      </c>
      <c r="BG363" s="6">
        <f t="shared" ref="BG363" si="254">ABS(BC363-BF363)</f>
        <v>6.1437135133682332</v>
      </c>
      <c r="BH363" s="6">
        <f t="shared" ref="BH363" si="255">ATAN2(COS($U$13-BF363),SIN($U$13-BF363))</f>
        <v>-0.44838188080911695</v>
      </c>
      <c r="BI363" s="6">
        <f t="shared" ref="BI363" si="256">ABS(BH363)</f>
        <v>0.44838188080911695</v>
      </c>
      <c r="BJ363">
        <v>334.68297587347706</v>
      </c>
      <c r="BK363">
        <v>52.955555555554852</v>
      </c>
      <c r="BW363" s="6">
        <f t="shared" si="243"/>
        <v>6.0737457969402229</v>
      </c>
      <c r="BX363" s="9">
        <f t="shared" ca="1" si="244"/>
        <v>127.68330622565347</v>
      </c>
      <c r="BY363" s="9">
        <f t="shared" ca="1" si="245"/>
        <v>-223.11130616772942</v>
      </c>
      <c r="BZ363" s="9">
        <f t="shared" ca="1" si="246"/>
        <v>286.13696573649651</v>
      </c>
      <c r="CA363" s="6">
        <f t="shared" ca="1" si="247"/>
        <v>-207.84564005151068</v>
      </c>
      <c r="CB363" s="6">
        <f t="shared" ca="1" si="248"/>
        <v>-0.62821551153197264</v>
      </c>
      <c r="CC363" s="6">
        <f t="shared" ca="1" si="249"/>
        <v>-1.3440713494085788</v>
      </c>
      <c r="CD363" s="9">
        <f t="shared" si="250"/>
        <v>186.13696573649651</v>
      </c>
      <c r="CE363" s="9">
        <f t="shared" si="251"/>
        <v>-177.84564005151068</v>
      </c>
      <c r="CF363" s="6">
        <f t="shared" si="252"/>
        <v>-0.76262264647283051</v>
      </c>
      <c r="CG363" s="6"/>
      <c r="CH363" s="6"/>
      <c r="CI363" s="6"/>
      <c r="CJ363" s="1"/>
      <c r="CK363" s="6"/>
    </row>
    <row r="364" spans="55:89" x14ac:dyDescent="0.25">
      <c r="BC364" s="6">
        <f>COUNTIF(BC2:BC363,"&lt;&gt;")</f>
        <v>362</v>
      </c>
      <c r="BD364" s="48">
        <f>SUM(BD1:BD363)</f>
        <v>64226.784566261384</v>
      </c>
      <c r="BE364" s="48">
        <f>SUM(BE1:BE363)</f>
        <v>14491.22459181042</v>
      </c>
      <c r="BF364" s="6"/>
      <c r="BG364" s="6"/>
      <c r="BH364" s="6"/>
      <c r="BI364" s="6"/>
      <c r="BW364" s="6">
        <f t="shared" si="243"/>
        <v>6.091199089460166</v>
      </c>
      <c r="BX364" s="9">
        <f t="shared" ca="1" si="244"/>
        <v>128.66607620118347</v>
      </c>
      <c r="BY364" s="9">
        <f t="shared" ca="1" si="245"/>
        <v>-218.27639512913908</v>
      </c>
      <c r="BZ364" s="9">
        <f t="shared" ca="1" si="246"/>
        <v>287.11973571202651</v>
      </c>
      <c r="CA364" s="6">
        <f t="shared" ca="1" si="247"/>
        <v>-203.01072901292034</v>
      </c>
      <c r="CB364" s="6">
        <f t="shared" ca="1" si="248"/>
        <v>-0.61544816915852285</v>
      </c>
      <c r="CC364" s="6">
        <f t="shared" ca="1" si="249"/>
        <v>-1.3079253271350189</v>
      </c>
      <c r="CD364" s="9">
        <f t="shared" si="250"/>
        <v>187.11973571202651</v>
      </c>
      <c r="CE364" s="9">
        <f t="shared" si="251"/>
        <v>-173.01072901292034</v>
      </c>
      <c r="CF364" s="6">
        <f t="shared" si="252"/>
        <v>-0.74624070187202474</v>
      </c>
      <c r="CG364" s="6"/>
      <c r="CH364" s="6"/>
      <c r="CI364" s="6"/>
      <c r="CJ364" s="1"/>
      <c r="CK364" s="6"/>
    </row>
    <row r="365" spans="55:89" x14ac:dyDescent="0.25">
      <c r="BD365" s="6">
        <f>BD364/BC364</f>
        <v>177.42205681287675</v>
      </c>
      <c r="BE365" s="6">
        <f>BE364/BC364</f>
        <v>40.031007159697296</v>
      </c>
      <c r="BW365" s="6">
        <f t="shared" si="243"/>
        <v>6.1086523819801091</v>
      </c>
      <c r="BX365" s="9">
        <f t="shared" ca="1" si="244"/>
        <v>129.68883506169121</v>
      </c>
      <c r="BY365" s="9">
        <f t="shared" ca="1" si="245"/>
        <v>-212.75196187440025</v>
      </c>
      <c r="BZ365" s="9">
        <f t="shared" ca="1" si="246"/>
        <v>288.14249457253425</v>
      </c>
      <c r="CA365" s="6">
        <f t="shared" ca="1" si="247"/>
        <v>-197.48629575818151</v>
      </c>
      <c r="CB365" s="6">
        <f t="shared" ca="1" si="248"/>
        <v>-0.60084443938968635</v>
      </c>
      <c r="CC365" s="6">
        <f t="shared" ca="1" si="249"/>
        <v>-1.2653531553538122</v>
      </c>
      <c r="CD365" s="9">
        <f t="shared" si="250"/>
        <v>188.14249457253425</v>
      </c>
      <c r="CE365" s="9">
        <f t="shared" si="251"/>
        <v>-167.48629575818151</v>
      </c>
      <c r="CF365" s="6">
        <f t="shared" si="252"/>
        <v>-0.72737975492506757</v>
      </c>
      <c r="CG365" s="6"/>
      <c r="CH365" s="6"/>
      <c r="CI365" s="6"/>
      <c r="CJ365" s="1"/>
      <c r="CK365" s="6"/>
    </row>
    <row r="366" spans="55:89" x14ac:dyDescent="0.25">
      <c r="BW366" s="6">
        <f t="shared" si="243"/>
        <v>6.1261056745000522</v>
      </c>
      <c r="BX366" s="9">
        <f t="shared" ca="1" si="244"/>
        <v>130.75864714792655</v>
      </c>
      <c r="BY366" s="9">
        <f t="shared" ca="1" si="245"/>
        <v>-206.35031288707816</v>
      </c>
      <c r="BZ366" s="9">
        <f t="shared" ca="1" si="246"/>
        <v>289.21230665876959</v>
      </c>
      <c r="CA366" s="6">
        <f t="shared" ca="1" si="247"/>
        <v>-191.08464677085942</v>
      </c>
      <c r="CB366" s="6">
        <f t="shared" ca="1" si="248"/>
        <v>-0.58386544736408696</v>
      </c>
      <c r="CC366" s="6">
        <f t="shared" ca="1" si="249"/>
        <v>-1.2140800774075191</v>
      </c>
      <c r="CD366" s="9">
        <f t="shared" si="250"/>
        <v>189.21230665876959</v>
      </c>
      <c r="CE366" s="9">
        <f t="shared" si="251"/>
        <v>-161.08464677085942</v>
      </c>
      <c r="CF366" s="6">
        <f t="shared" si="252"/>
        <v>-0.70527345510483885</v>
      </c>
      <c r="CG366" s="6"/>
      <c r="CH366" s="6"/>
      <c r="CI366" s="6"/>
      <c r="CJ366" s="1"/>
      <c r="CK366" s="6"/>
    </row>
    <row r="367" spans="55:89" x14ac:dyDescent="0.25">
      <c r="BW367" s="6">
        <f t="shared" si="243"/>
        <v>6.1435589670199953</v>
      </c>
      <c r="BX367" s="9">
        <f t="shared" ca="1" si="244"/>
        <v>131.88454154319433</v>
      </c>
      <c r="BY367" s="9">
        <f t="shared" ca="1" si="245"/>
        <v>-198.80390742544344</v>
      </c>
      <c r="BZ367" s="9">
        <f t="shared" ca="1" si="246"/>
        <v>290.33820105403737</v>
      </c>
      <c r="CA367" s="6">
        <f t="shared" ca="1" si="247"/>
        <v>-183.5382413092247</v>
      </c>
      <c r="CB367" s="6">
        <f t="shared" ca="1" si="248"/>
        <v>-0.56372670576799855</v>
      </c>
      <c r="CC367" s="6">
        <f t="shared" ca="1" si="249"/>
        <v>-1.1506212872973165</v>
      </c>
      <c r="CD367" s="9">
        <f t="shared" si="250"/>
        <v>190.33820105403737</v>
      </c>
      <c r="CE367" s="9">
        <f t="shared" si="251"/>
        <v>-153.5382413092247</v>
      </c>
      <c r="CF367" s="6">
        <f t="shared" si="252"/>
        <v>-0.6787888344977302</v>
      </c>
      <c r="CG367" s="6"/>
      <c r="CH367" s="6"/>
      <c r="CI367" s="6"/>
      <c r="CJ367" s="1"/>
      <c r="CK367" s="6"/>
    </row>
    <row r="368" spans="55:89" x14ac:dyDescent="0.25">
      <c r="BW368" s="6">
        <f t="shared" si="243"/>
        <v>6.1610122595399384</v>
      </c>
      <c r="BX368" s="9">
        <f t="shared" ca="1" si="244"/>
        <v>133.07840700151726</v>
      </c>
      <c r="BY368" s="9">
        <f t="shared" ca="1" si="245"/>
        <v>-189.71561605474426</v>
      </c>
      <c r="BZ368" s="9">
        <f t="shared" ca="1" si="246"/>
        <v>291.5320665123603</v>
      </c>
      <c r="CA368" s="6">
        <f t="shared" ca="1" si="247"/>
        <v>-174.44994993852552</v>
      </c>
      <c r="CB368" s="6">
        <f t="shared" ca="1" si="248"/>
        <v>-0.53923502945463742</v>
      </c>
      <c r="CC368" s="6">
        <f t="shared" ca="1" si="249"/>
        <v>-1.069369013880378</v>
      </c>
      <c r="CD368" s="9">
        <f t="shared" si="250"/>
        <v>191.5320665123603</v>
      </c>
      <c r="CE368" s="9">
        <f t="shared" si="251"/>
        <v>-144.44994993852552</v>
      </c>
      <c r="CF368" s="6">
        <f t="shared" si="252"/>
        <v>-0.64617193084267521</v>
      </c>
      <c r="CG368" s="6"/>
      <c r="CH368" s="6"/>
      <c r="CI368" s="6"/>
      <c r="CJ368" s="1"/>
      <c r="CK368" s="6"/>
    </row>
    <row r="369" spans="75:89" x14ac:dyDescent="0.25">
      <c r="BW369" s="6">
        <f t="shared" si="243"/>
        <v>6.1784655520598815</v>
      </c>
      <c r="BX369" s="9">
        <f t="shared" ca="1" si="244"/>
        <v>134.35648965023157</v>
      </c>
      <c r="BY369" s="9">
        <f t="shared" ca="1" si="245"/>
        <v>-178.46498326785198</v>
      </c>
      <c r="BZ369" s="9">
        <f t="shared" ca="1" si="246"/>
        <v>292.81014916107461</v>
      </c>
      <c r="CA369" s="6">
        <f t="shared" ca="1" si="247"/>
        <v>-163.19931715163324</v>
      </c>
      <c r="CB369" s="6">
        <f t="shared" ca="1" si="248"/>
        <v>-0.50847280455850252</v>
      </c>
      <c r="CC369" s="6">
        <f t="shared" ca="1" si="249"/>
        <v>-0.9607323747992047</v>
      </c>
      <c r="CD369" s="9">
        <f t="shared" si="250"/>
        <v>192.81014916107461</v>
      </c>
      <c r="CE369" s="9">
        <f t="shared" si="251"/>
        <v>-133.19931715163324</v>
      </c>
      <c r="CF369" s="6">
        <f t="shared" si="252"/>
        <v>-0.60454604203842299</v>
      </c>
      <c r="CG369" s="6"/>
      <c r="CH369" s="6"/>
      <c r="CI369" s="6"/>
      <c r="CJ369" s="1"/>
      <c r="CK369" s="6"/>
    </row>
    <row r="370" spans="75:89" x14ac:dyDescent="0.25">
      <c r="BW370" s="6">
        <f t="shared" si="243"/>
        <v>6.1959188445798246</v>
      </c>
      <c r="BX370" s="9">
        <f t="shared" ca="1" si="244"/>
        <v>135.74208004665851</v>
      </c>
      <c r="BY370" s="9">
        <f t="shared" ca="1" si="245"/>
        <v>-164.01561482989695</v>
      </c>
      <c r="BZ370" s="9">
        <f t="shared" ca="1" si="246"/>
        <v>294.19573955750155</v>
      </c>
      <c r="CA370" s="6">
        <f t="shared" ca="1" si="247"/>
        <v>-148.74994871367821</v>
      </c>
      <c r="CB370" s="6">
        <f t="shared" ca="1" si="248"/>
        <v>-0.46812997237980136</v>
      </c>
      <c r="CC370" s="6">
        <f t="shared" ca="1" si="249"/>
        <v>-0.80699731065611124</v>
      </c>
      <c r="CD370" s="9">
        <f t="shared" si="250"/>
        <v>194.19573955750155</v>
      </c>
      <c r="CE370" s="9">
        <f t="shared" si="251"/>
        <v>-118.74994871367821</v>
      </c>
      <c r="CF370" s="6">
        <f t="shared" si="252"/>
        <v>-0.54882970344541249</v>
      </c>
      <c r="CG370" s="6"/>
      <c r="CH370" s="6"/>
      <c r="CI370" s="6"/>
      <c r="CJ370" s="1"/>
      <c r="CK370" s="6"/>
    </row>
    <row r="371" spans="75:89" x14ac:dyDescent="0.25">
      <c r="BW371" s="6">
        <f t="shared" si="243"/>
        <v>6.2133721370997677</v>
      </c>
      <c r="BX371" s="9">
        <f t="shared" ca="1" si="244"/>
        <v>137.27080061998768</v>
      </c>
      <c r="BY371" s="9">
        <f t="shared" ca="1" si="245"/>
        <v>-144.47085424722565</v>
      </c>
      <c r="BZ371" s="9">
        <f t="shared" ca="1" si="246"/>
        <v>295.72446013083072</v>
      </c>
      <c r="CA371" s="6">
        <f t="shared" ca="1" si="247"/>
        <v>-129.20518813100691</v>
      </c>
      <c r="CB371" s="6">
        <f t="shared" ca="1" si="248"/>
        <v>-0.41191572958548112</v>
      </c>
      <c r="CC371" s="6">
        <f t="shared" ca="1" si="249"/>
        <v>-0.57205978697647264</v>
      </c>
      <c r="CD371" s="9">
        <f t="shared" si="250"/>
        <v>195.72446013083072</v>
      </c>
      <c r="CE371" s="9">
        <f t="shared" si="251"/>
        <v>-99.205188131006906</v>
      </c>
      <c r="CF371" s="6">
        <f t="shared" si="252"/>
        <v>-0.46912170828312838</v>
      </c>
      <c r="CG371" s="6"/>
      <c r="CH371" s="6"/>
      <c r="CI371" s="6"/>
      <c r="CJ371" s="1"/>
      <c r="CK371" s="6"/>
    </row>
    <row r="372" spans="75:89" x14ac:dyDescent="0.25">
      <c r="BW372" s="6">
        <f t="shared" si="243"/>
        <v>6.2308254296197108</v>
      </c>
      <c r="BX372" s="9">
        <f t="shared" ca="1" si="244"/>
        <v>139.00245063737188</v>
      </c>
      <c r="BY372" s="9">
        <f t="shared" ca="1" si="245"/>
        <v>-115.86595788775352</v>
      </c>
      <c r="BZ372" s="9">
        <f t="shared" ca="1" si="246"/>
        <v>297.45611014821492</v>
      </c>
      <c r="CA372" s="6">
        <f t="shared" ca="1" si="247"/>
        <v>-100.6002917715348</v>
      </c>
      <c r="CB372" s="6">
        <f t="shared" ca="1" si="248"/>
        <v>-0.32612605765249791</v>
      </c>
      <c r="CC372" s="6">
        <f t="shared" ca="1" si="249"/>
        <v>-0.17258291665602388</v>
      </c>
      <c r="CD372" s="9">
        <f t="shared" si="250"/>
        <v>197.45611014821492</v>
      </c>
      <c r="CE372" s="9">
        <f t="shared" si="251"/>
        <v>-70.600291771534799</v>
      </c>
      <c r="CF372" s="6">
        <f t="shared" si="252"/>
        <v>-0.3433843493181003</v>
      </c>
      <c r="CG372" s="6"/>
      <c r="CH372" s="6"/>
      <c r="CI372" s="6"/>
      <c r="CJ372" s="1"/>
      <c r="CK372" s="6"/>
    </row>
    <row r="373" spans="75:89" x14ac:dyDescent="0.25">
      <c r="BW373" s="6">
        <f t="shared" si="243"/>
        <v>6.2482787221396539</v>
      </c>
      <c r="BX373" s="9">
        <f t="shared" ca="1" si="244"/>
        <v>140.9698757188651</v>
      </c>
      <c r="BY373" s="9">
        <f t="shared" ca="1" si="245"/>
        <v>-70.188918575312272</v>
      </c>
      <c r="BZ373" s="9">
        <f t="shared" ca="1" si="246"/>
        <v>299.42353522970814</v>
      </c>
      <c r="CA373" s="6">
        <f t="shared" ca="1" si="247"/>
        <v>-54.92325245909354</v>
      </c>
      <c r="CB373" s="6">
        <f t="shared" ca="1" si="248"/>
        <v>-0.18141327469314864</v>
      </c>
      <c r="CC373" s="6">
        <f t="shared" ca="1" si="249"/>
        <v>0.57081433445094909</v>
      </c>
      <c r="CD373" s="9">
        <f t="shared" si="250"/>
        <v>199.42353522970814</v>
      </c>
      <c r="CE373" s="9">
        <f t="shared" si="251"/>
        <v>-24.92325245909354</v>
      </c>
      <c r="CF373" s="6">
        <f t="shared" si="252"/>
        <v>-0.12433184124805373</v>
      </c>
      <c r="CG373" s="6"/>
      <c r="CH373" s="6"/>
      <c r="CI373" s="6"/>
      <c r="CJ373" s="1"/>
      <c r="CK373" s="6"/>
    </row>
    <row r="374" spans="75:89" x14ac:dyDescent="0.25">
      <c r="BW374" s="6">
        <f t="shared" si="243"/>
        <v>6.2657320146595969</v>
      </c>
      <c r="BX374" s="9">
        <f t="shared" ca="1" si="244"/>
        <v>142.31350583171078</v>
      </c>
      <c r="BY374" s="9">
        <f t="shared" ca="1" si="245"/>
        <v>-18.881664849486555</v>
      </c>
      <c r="BZ374" s="9">
        <f t="shared" ca="1" si="246"/>
        <v>300.76716534255382</v>
      </c>
      <c r="CA374" s="6">
        <f t="shared" ca="1" si="247"/>
        <v>-3.6159987332678245</v>
      </c>
      <c r="CB374" s="6">
        <f t="shared" ca="1" si="248"/>
        <v>-1.2022005534986988E-2</v>
      </c>
      <c r="CC374" s="6">
        <f t="shared" ca="1" si="249"/>
        <v>1.426891430107565</v>
      </c>
      <c r="CD374" s="9">
        <f t="shared" si="250"/>
        <v>200.76716534255382</v>
      </c>
      <c r="CE374" s="9">
        <f t="shared" si="251"/>
        <v>26.384001266732177</v>
      </c>
      <c r="CF374" s="6">
        <f t="shared" si="252"/>
        <v>0.13066713747576955</v>
      </c>
      <c r="CG374" s="6"/>
      <c r="CH374" s="6"/>
      <c r="CI374" s="6"/>
      <c r="CJ374" s="1"/>
      <c r="CK374" s="6"/>
    </row>
    <row r="375" spans="75:89" x14ac:dyDescent="0.25">
      <c r="BW375" s="6">
        <f t="shared" si="243"/>
        <v>6.28318530717954</v>
      </c>
      <c r="BX375" s="9">
        <f t="shared" ca="1" si="244"/>
        <v>142.76101877528632</v>
      </c>
      <c r="BY375" s="9">
        <f t="shared" ca="1" si="245"/>
        <v>32.394333883644961</v>
      </c>
      <c r="BZ375" s="9">
        <f t="shared" ca="1" si="246"/>
        <v>301.21467828612936</v>
      </c>
      <c r="CA375" s="6">
        <f t="shared" ca="1" si="247"/>
        <v>47.659999999863693</v>
      </c>
      <c r="CB375" s="6">
        <f t="shared" ca="1" si="248"/>
        <v>0.15692508633081045</v>
      </c>
      <c r="CC375" s="6">
        <f t="shared" ca="1" si="249"/>
        <v>2.1141602477285928</v>
      </c>
      <c r="CD375" s="9">
        <f t="shared" si="250"/>
        <v>201.21467828612936</v>
      </c>
      <c r="CE375" s="9">
        <f t="shared" si="251"/>
        <v>77.659999999863686</v>
      </c>
      <c r="CF375" s="6">
        <f t="shared" si="252"/>
        <v>0.36834111110366974</v>
      </c>
      <c r="CG375" s="6"/>
      <c r="CH375" s="6"/>
      <c r="CI375" s="6"/>
      <c r="CJ375" s="1"/>
      <c r="CK375" s="6"/>
    </row>
    <row r="376" spans="75:89" x14ac:dyDescent="0.25">
      <c r="BW376" s="6">
        <f t="shared" ref="BW376" si="257">IF(BC363="",NA(),BC363)</f>
        <v>6.3006385996994831</v>
      </c>
      <c r="BX376" s="9">
        <f t="shared" ref="BX376" ca="1" si="258">BD363-$BW$5</f>
        <v>142.76101877528632</v>
      </c>
      <c r="BY376" s="9">
        <f t="shared" ref="BY376" ca="1" si="259">BE363-$BX$5</f>
        <v>32.394333883780639</v>
      </c>
      <c r="BZ376" s="9">
        <f t="shared" ref="BZ376" ca="1" si="260">BX376-$CE$5</f>
        <v>301.21467828612936</v>
      </c>
      <c r="CA376" s="6">
        <f t="shared" ref="CA376" ca="1" si="261">BY376-$CF$5</f>
        <v>47.659999999999371</v>
      </c>
      <c r="CB376" s="6">
        <f t="shared" ref="CB376" ca="1" si="262">ATAN2(BZ376,CA376)</f>
        <v>0.15692508633124991</v>
      </c>
      <c r="CC376" s="6">
        <f t="shared" ref="CC376" ca="1" si="263">ATAN2(COS(CF376-CB376),SIN(CF376-CB376))*10</f>
        <v>2.1141602477300667</v>
      </c>
      <c r="CD376" s="9">
        <f t="shared" ref="CD376" si="264">BD363-$BW$6</f>
        <v>201.21467828612936</v>
      </c>
      <c r="CE376" s="9">
        <f t="shared" ref="CE376" si="265">BE363-$BX$6</f>
        <v>77.659999999999371</v>
      </c>
      <c r="CF376" s="6">
        <f t="shared" ref="CF376" si="266">ATAN2(CD376,CE376)</f>
        <v>0.3683411111042566</v>
      </c>
    </row>
    <row r="377" spans="75:89" x14ac:dyDescent="0.25">
      <c r="BW377" s="6"/>
      <c r="BX377" s="9"/>
      <c r="BY377" s="9"/>
      <c r="BZ377" s="9"/>
      <c r="CA377" s="6"/>
      <c r="CB377" s="6"/>
      <c r="CC377" s="6"/>
      <c r="CD377" s="9"/>
      <c r="CE377" s="9"/>
      <c r="CF377" s="6"/>
    </row>
    <row r="378" spans="75:89" x14ac:dyDescent="0.25">
      <c r="BW378" s="6"/>
    </row>
  </sheetData>
  <phoneticPr fontId="3" type="noConversion"/>
  <dataValidations count="6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  <dataValidation type="list" allowBlank="1" showInputMessage="1" showErrorMessage="1" sqref="AE2" xr:uid="{FC993A26-B9CA-4338-9813-199EC9B1DB94}">
      <formula1>"6,8,12,24,36,72,180,360"</formula1>
    </dataValidation>
    <dataValidation type="list" allowBlank="1" showInputMessage="1" showErrorMessage="1" sqref="B1" xr:uid="{9BC63E87-8495-41F0-9100-35456B261A63}">
      <formula1>"PCA_Parabolic,Whitney"</formula1>
    </dataValidation>
    <dataValidation type="list" allowBlank="1" showInputMessage="1" showErrorMessage="1" sqref="BW3" xr:uid="{74C220A8-5D00-42C7-8FC0-C95ABF5D33EA}">
      <formula1>"parametric, mx_my_pts"</formula1>
    </dataValidation>
    <dataValidation type="list" allowBlank="1" showInputMessage="1" showErrorMessage="1" sqref="E1" xr:uid="{5D9E9ABF-B34B-4E1F-B3BB-37E76194BAFE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aterfall_solver_vector">
                <anchor moveWithCells="1" sizeWithCells="1">
                  <from>
                    <xdr:col>19</xdr:col>
                    <xdr:colOff>295275</xdr:colOff>
                    <xdr:row>23</xdr:row>
                    <xdr:rowOff>95250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295275</xdr:colOff>
                    <xdr:row>2</xdr:row>
                    <xdr:rowOff>85725</xdr:rowOff>
                  </from>
                  <to>
                    <xdr:col>31</xdr:col>
                    <xdr:colOff>180975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bisection_method_for_na_alt_reference">
                <anchor moveWithCells="1" sizeWithCells="1">
                  <from>
                    <xdr:col>21</xdr:col>
                    <xdr:colOff>352425</xdr:colOff>
                    <xdr:row>23</xdr:row>
                    <xdr:rowOff>19050</xdr:rowOff>
                  </from>
                  <to>
                    <xdr:col>22</xdr:col>
                    <xdr:colOff>857250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TLR_Section_Capacity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2020-11-22T15:05:20Z</dcterms:modified>
</cp:coreProperties>
</file>