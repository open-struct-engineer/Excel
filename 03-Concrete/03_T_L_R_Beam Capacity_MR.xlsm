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2937667" documentId="114_{4C9766C2-934B-FE43-8898-95272A9847CE}" xr6:coauthVersionLast="45" xr6:coauthVersionMax="45" xr10:uidLastSave="{F2615B53-0A7C-4BE1-993D-B6FC399A032A}"/>
  <bookViews>
    <workbookView xWindow="1635" yWindow="555" windowWidth="25350" windowHeight="16815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4" i="1" l="1"/>
  <c r="N33" i="1"/>
  <c r="B184" i="1" l="1"/>
  <c r="C184" i="1"/>
  <c r="D184" i="1"/>
  <c r="E184" i="1"/>
  <c r="B185" i="1"/>
  <c r="D185" i="1"/>
  <c r="E185" i="1"/>
  <c r="G185" i="1" s="1"/>
  <c r="B186" i="1"/>
  <c r="D186" i="1"/>
  <c r="E186" i="1"/>
  <c r="B187" i="1"/>
  <c r="D187" i="1"/>
  <c r="E187" i="1"/>
  <c r="G187" i="1" s="1"/>
  <c r="B188" i="1"/>
  <c r="D188" i="1"/>
  <c r="E188" i="1"/>
  <c r="B189" i="1"/>
  <c r="D189" i="1"/>
  <c r="E189" i="1"/>
  <c r="B190" i="1"/>
  <c r="D190" i="1"/>
  <c r="E190" i="1"/>
  <c r="B191" i="1"/>
  <c r="D191" i="1"/>
  <c r="F191" i="1" s="1"/>
  <c r="E191" i="1"/>
  <c r="B192" i="1"/>
  <c r="D192" i="1"/>
  <c r="E192" i="1"/>
  <c r="B193" i="1"/>
  <c r="D193" i="1"/>
  <c r="F193" i="1" s="1"/>
  <c r="E193" i="1"/>
  <c r="G193" i="1" s="1"/>
  <c r="B194" i="1"/>
  <c r="D194" i="1"/>
  <c r="E194" i="1"/>
  <c r="A185" i="1"/>
  <c r="A186" i="1"/>
  <c r="A187" i="1"/>
  <c r="A188" i="1"/>
  <c r="A189" i="1"/>
  <c r="A190" i="1"/>
  <c r="A191" i="1"/>
  <c r="A192" i="1"/>
  <c r="A193" i="1"/>
  <c r="A194" i="1"/>
  <c r="A184" i="1"/>
  <c r="G194" i="1"/>
  <c r="F194" i="1"/>
  <c r="G192" i="1"/>
  <c r="F192" i="1"/>
  <c r="G191" i="1"/>
  <c r="G190" i="1"/>
  <c r="F190" i="1"/>
  <c r="I190" i="1" s="1"/>
  <c r="G189" i="1"/>
  <c r="H189" i="1" s="1"/>
  <c r="F189" i="1"/>
  <c r="G188" i="1"/>
  <c r="F188" i="1"/>
  <c r="I188" i="1" s="1"/>
  <c r="F187" i="1"/>
  <c r="G186" i="1"/>
  <c r="F186" i="1"/>
  <c r="F185" i="1"/>
  <c r="L169" i="1"/>
  <c r="M169" i="1" s="1"/>
  <c r="L170" i="1"/>
  <c r="M170" i="1" s="1"/>
  <c r="L171" i="1"/>
  <c r="M171" i="1" s="1"/>
  <c r="L172" i="1"/>
  <c r="M172" i="1"/>
  <c r="L173" i="1"/>
  <c r="M173" i="1" s="1"/>
  <c r="L174" i="1"/>
  <c r="M174" i="1" s="1"/>
  <c r="L175" i="1"/>
  <c r="M175" i="1" s="1"/>
  <c r="L168" i="1"/>
  <c r="M168" i="1" s="1"/>
  <c r="BF156" i="1"/>
  <c r="BG156" i="1" s="1"/>
  <c r="BF157" i="1"/>
  <c r="BG157" i="1" s="1"/>
  <c r="I191" i="1" l="1"/>
  <c r="H191" i="1"/>
  <c r="H190" i="1"/>
  <c r="I189" i="1"/>
  <c r="I192" i="1"/>
  <c r="H192" i="1"/>
  <c r="I185" i="1"/>
  <c r="H185" i="1"/>
  <c r="I193" i="1"/>
  <c r="H193" i="1"/>
  <c r="I186" i="1"/>
  <c r="H186" i="1"/>
  <c r="I194" i="1"/>
  <c r="H194" i="1"/>
  <c r="I187" i="1"/>
  <c r="H188" i="1"/>
  <c r="H187" i="1"/>
  <c r="B143" i="1" l="1"/>
  <c r="E167" i="1"/>
  <c r="A168" i="1"/>
  <c r="A169" i="1"/>
  <c r="A170" i="1"/>
  <c r="A171" i="1"/>
  <c r="A172" i="1"/>
  <c r="A173" i="1"/>
  <c r="A174" i="1"/>
  <c r="A175" i="1"/>
  <c r="C156" i="1"/>
  <c r="C167" i="1" s="1"/>
  <c r="D156" i="1"/>
  <c r="D167" i="1" s="1"/>
  <c r="E156" i="1"/>
  <c r="B156" i="1"/>
  <c r="B167" i="1" s="1"/>
  <c r="B150" i="1"/>
  <c r="AC53" i="1" l="1"/>
  <c r="AC52" i="1"/>
  <c r="AC50" i="1"/>
  <c r="AC51" i="1" s="1"/>
  <c r="AD49" i="1"/>
  <c r="AD53" i="1" s="1"/>
  <c r="AD50" i="1" l="1"/>
  <c r="AD51" i="1" s="1"/>
  <c r="AD52" i="1" s="1"/>
  <c r="AE37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G34" i="1" s="1"/>
  <c r="BF35" i="1"/>
  <c r="BF36" i="1"/>
  <c r="BF37" i="1"/>
  <c r="BF38" i="1"/>
  <c r="BF39" i="1"/>
  <c r="BF40" i="1"/>
  <c r="BF41" i="1"/>
  <c r="BF42" i="1"/>
  <c r="BG42" i="1" s="1"/>
  <c r="BF43" i="1"/>
  <c r="BF44" i="1"/>
  <c r="BF45" i="1"/>
  <c r="BF46" i="1"/>
  <c r="BF47" i="1"/>
  <c r="BF48" i="1"/>
  <c r="BF49" i="1"/>
  <c r="BF50" i="1"/>
  <c r="BG50" i="1" s="1"/>
  <c r="BF51" i="1"/>
  <c r="BF52" i="1"/>
  <c r="BF53" i="1"/>
  <c r="BF54" i="1"/>
  <c r="BF55" i="1"/>
  <c r="BF56" i="1"/>
  <c r="BF57" i="1"/>
  <c r="BF58" i="1"/>
  <c r="BG58" i="1" s="1"/>
  <c r="BF59" i="1"/>
  <c r="BF60" i="1"/>
  <c r="BF61" i="1"/>
  <c r="BF62" i="1"/>
  <c r="BF63" i="1"/>
  <c r="BF64" i="1"/>
  <c r="BF65" i="1"/>
  <c r="BF66" i="1"/>
  <c r="BG66" i="1" s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G106" i="1" s="1"/>
  <c r="BF107" i="1"/>
  <c r="BF108" i="1"/>
  <c r="BF109" i="1"/>
  <c r="BF110" i="1"/>
  <c r="BF111" i="1"/>
  <c r="BF112" i="1"/>
  <c r="BF113" i="1"/>
  <c r="BF114" i="1"/>
  <c r="BG114" i="1" s="1"/>
  <c r="BF115" i="1"/>
  <c r="BF116" i="1"/>
  <c r="BF117" i="1"/>
  <c r="BF118" i="1"/>
  <c r="BF119" i="1"/>
  <c r="BF120" i="1"/>
  <c r="BF121" i="1"/>
  <c r="BF122" i="1"/>
  <c r="BG122" i="1" s="1"/>
  <c r="BF123" i="1"/>
  <c r="BF124" i="1"/>
  <c r="BF125" i="1"/>
  <c r="BF126" i="1"/>
  <c r="BF127" i="1"/>
  <c r="BF128" i="1"/>
  <c r="BF129" i="1"/>
  <c r="BF130" i="1"/>
  <c r="BG130" i="1" s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8" i="1"/>
  <c r="BF159" i="1"/>
  <c r="BF160" i="1"/>
  <c r="BF161" i="1"/>
  <c r="BF162" i="1"/>
  <c r="BG162" i="1" s="1"/>
  <c r="BF163" i="1"/>
  <c r="BF164" i="1"/>
  <c r="BF165" i="1"/>
  <c r="BF166" i="1"/>
  <c r="BF167" i="1"/>
  <c r="BF168" i="1"/>
  <c r="BF169" i="1"/>
  <c r="BF170" i="1"/>
  <c r="BG170" i="1" s="1"/>
  <c r="BF171" i="1"/>
  <c r="BF172" i="1"/>
  <c r="BF173" i="1"/>
  <c r="BF174" i="1"/>
  <c r="BF175" i="1"/>
  <c r="BF176" i="1"/>
  <c r="BF177" i="1"/>
  <c r="BF178" i="1"/>
  <c r="BG178" i="1" s="1"/>
  <c r="BF179" i="1"/>
  <c r="BF180" i="1"/>
  <c r="BF181" i="1"/>
  <c r="BF182" i="1"/>
  <c r="BF183" i="1"/>
  <c r="BF184" i="1"/>
  <c r="BF185" i="1"/>
  <c r="BF186" i="1"/>
  <c r="BG186" i="1" s="1"/>
  <c r="BF187" i="1"/>
  <c r="BF188" i="1"/>
  <c r="BF189" i="1"/>
  <c r="BF190" i="1"/>
  <c r="BF191" i="1"/>
  <c r="BF192" i="1"/>
  <c r="BF193" i="1"/>
  <c r="BF194" i="1"/>
  <c r="BG194" i="1" s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G226" i="1" s="1"/>
  <c r="BF227" i="1"/>
  <c r="BF228" i="1"/>
  <c r="BF229" i="1"/>
  <c r="BF230" i="1"/>
  <c r="BF231" i="1"/>
  <c r="BF232" i="1"/>
  <c r="BF233" i="1"/>
  <c r="BF234" i="1"/>
  <c r="BG234" i="1" s="1"/>
  <c r="BF235" i="1"/>
  <c r="BF236" i="1"/>
  <c r="BF237" i="1"/>
  <c r="BF238" i="1"/>
  <c r="BF239" i="1"/>
  <c r="BF240" i="1"/>
  <c r="BF241" i="1"/>
  <c r="BF242" i="1"/>
  <c r="BG242" i="1" s="1"/>
  <c r="BF243" i="1"/>
  <c r="BF244" i="1"/>
  <c r="BF245" i="1"/>
  <c r="BF246" i="1"/>
  <c r="BF247" i="1"/>
  <c r="BF248" i="1"/>
  <c r="BF249" i="1"/>
  <c r="BF250" i="1"/>
  <c r="BG250" i="1" s="1"/>
  <c r="BF251" i="1"/>
  <c r="BF252" i="1"/>
  <c r="BF253" i="1"/>
  <c r="BF254" i="1"/>
  <c r="BF255" i="1"/>
  <c r="BF256" i="1"/>
  <c r="BF257" i="1"/>
  <c r="BF258" i="1"/>
  <c r="BG258" i="1" s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G290" i="1" s="1"/>
  <c r="BF291" i="1"/>
  <c r="BF292" i="1"/>
  <c r="BF293" i="1"/>
  <c r="BF294" i="1"/>
  <c r="BF295" i="1"/>
  <c r="BF296" i="1"/>
  <c r="BF297" i="1"/>
  <c r="BF298" i="1"/>
  <c r="BG298" i="1" s="1"/>
  <c r="BF299" i="1"/>
  <c r="BF300" i="1"/>
  <c r="BF301" i="1"/>
  <c r="BF302" i="1"/>
  <c r="BF303" i="1"/>
  <c r="BF304" i="1"/>
  <c r="BF305" i="1"/>
  <c r="BF306" i="1"/>
  <c r="BG306" i="1" s="1"/>
  <c r="BF307" i="1"/>
  <c r="BF308" i="1"/>
  <c r="BF309" i="1"/>
  <c r="BF310" i="1"/>
  <c r="BF311" i="1"/>
  <c r="BF312" i="1"/>
  <c r="BF313" i="1"/>
  <c r="BF314" i="1"/>
  <c r="BG314" i="1" s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2" i="1"/>
  <c r="U13" i="1"/>
  <c r="I3" i="1"/>
  <c r="I2" i="1"/>
  <c r="BH3" i="1" l="1"/>
  <c r="BH157" i="1"/>
  <c r="BI157" i="1" s="1"/>
  <c r="BH156" i="1"/>
  <c r="BI156" i="1" s="1"/>
  <c r="BH362" i="1"/>
  <c r="BH354" i="1"/>
  <c r="BH346" i="1"/>
  <c r="BH338" i="1"/>
  <c r="BH330" i="1"/>
  <c r="BH322" i="1"/>
  <c r="BH314" i="1"/>
  <c r="BH306" i="1"/>
  <c r="BH298" i="1"/>
  <c r="BH290" i="1"/>
  <c r="BH282" i="1"/>
  <c r="BH274" i="1"/>
  <c r="BH266" i="1"/>
  <c r="BH258" i="1"/>
  <c r="BH250" i="1"/>
  <c r="BH242" i="1"/>
  <c r="BH234" i="1"/>
  <c r="BH226" i="1"/>
  <c r="BH218" i="1"/>
  <c r="BH210" i="1"/>
  <c r="BH202" i="1"/>
  <c r="BH194" i="1"/>
  <c r="BH186" i="1"/>
  <c r="BH178" i="1"/>
  <c r="BH170" i="1"/>
  <c r="BH162" i="1"/>
  <c r="BH154" i="1"/>
  <c r="BH146" i="1"/>
  <c r="BH138" i="1"/>
  <c r="BH130" i="1"/>
  <c r="BH122" i="1"/>
  <c r="BH114" i="1"/>
  <c r="BH106" i="1"/>
  <c r="BH98" i="1"/>
  <c r="BH90" i="1"/>
  <c r="BH82" i="1"/>
  <c r="BH74" i="1"/>
  <c r="BH66" i="1"/>
  <c r="BH58" i="1"/>
  <c r="BH50" i="1"/>
  <c r="BH42" i="1"/>
  <c r="BH34" i="1"/>
  <c r="BH26" i="1"/>
  <c r="BH18" i="1"/>
  <c r="BH10" i="1"/>
  <c r="BH361" i="1"/>
  <c r="BH353" i="1"/>
  <c r="BH345" i="1"/>
  <c r="BH337" i="1"/>
  <c r="BH329" i="1"/>
  <c r="BH321" i="1"/>
  <c r="BH313" i="1"/>
  <c r="BH305" i="1"/>
  <c r="BH297" i="1"/>
  <c r="BH289" i="1"/>
  <c r="BH281" i="1"/>
  <c r="BH273" i="1"/>
  <c r="BH265" i="1"/>
  <c r="BH257" i="1"/>
  <c r="BH249" i="1"/>
  <c r="BH241" i="1"/>
  <c r="BH233" i="1"/>
  <c r="BH225" i="1"/>
  <c r="BH217" i="1"/>
  <c r="BH209" i="1"/>
  <c r="BH201" i="1"/>
  <c r="BH193" i="1"/>
  <c r="BH185" i="1"/>
  <c r="BH177" i="1"/>
  <c r="BH169" i="1"/>
  <c r="BH161" i="1"/>
  <c r="BH153" i="1"/>
  <c r="BH145" i="1"/>
  <c r="BH137" i="1"/>
  <c r="BH129" i="1"/>
  <c r="BH121" i="1"/>
  <c r="BH113" i="1"/>
  <c r="BH105" i="1"/>
  <c r="BH97" i="1"/>
  <c r="BH89" i="1"/>
  <c r="BH81" i="1"/>
  <c r="BH73" i="1"/>
  <c r="BH65" i="1"/>
  <c r="BH57" i="1"/>
  <c r="BH49" i="1"/>
  <c r="BH41" i="1"/>
  <c r="BH33" i="1"/>
  <c r="BH25" i="1"/>
  <c r="BH17" i="1"/>
  <c r="BH9" i="1"/>
  <c r="BH360" i="1"/>
  <c r="BH352" i="1"/>
  <c r="BH344" i="1"/>
  <c r="BH336" i="1"/>
  <c r="BH328" i="1"/>
  <c r="BH320" i="1"/>
  <c r="BH312" i="1"/>
  <c r="BH304" i="1"/>
  <c r="BH296" i="1"/>
  <c r="BH288" i="1"/>
  <c r="BH280" i="1"/>
  <c r="BH272" i="1"/>
  <c r="BH264" i="1"/>
  <c r="BH256" i="1"/>
  <c r="BH248" i="1"/>
  <c r="BH240" i="1"/>
  <c r="BH232" i="1"/>
  <c r="BH224" i="1"/>
  <c r="BH216" i="1"/>
  <c r="BH208" i="1"/>
  <c r="BH200" i="1"/>
  <c r="BH192" i="1"/>
  <c r="BH184" i="1"/>
  <c r="BH176" i="1"/>
  <c r="BH168" i="1"/>
  <c r="BH160" i="1"/>
  <c r="BH152" i="1"/>
  <c r="BH144" i="1"/>
  <c r="BH136" i="1"/>
  <c r="BH128" i="1"/>
  <c r="BH120" i="1"/>
  <c r="BH112" i="1"/>
  <c r="BH104" i="1"/>
  <c r="BH96" i="1"/>
  <c r="BH88" i="1"/>
  <c r="BH80" i="1"/>
  <c r="BH72" i="1"/>
  <c r="BH64" i="1"/>
  <c r="BH56" i="1"/>
  <c r="BH48" i="1"/>
  <c r="BH40" i="1"/>
  <c r="BH32" i="1"/>
  <c r="BH24" i="1"/>
  <c r="BH16" i="1"/>
  <c r="BH8" i="1"/>
  <c r="BH359" i="1"/>
  <c r="BH351" i="1"/>
  <c r="BH343" i="1"/>
  <c r="BH335" i="1"/>
  <c r="BH327" i="1"/>
  <c r="BH319" i="1"/>
  <c r="BH311" i="1"/>
  <c r="BH303" i="1"/>
  <c r="BH295" i="1"/>
  <c r="BH287" i="1"/>
  <c r="BH279" i="1"/>
  <c r="BH271" i="1"/>
  <c r="BH263" i="1"/>
  <c r="BH255" i="1"/>
  <c r="BH247" i="1"/>
  <c r="BH239" i="1"/>
  <c r="BH231" i="1"/>
  <c r="BH223" i="1"/>
  <c r="BH215" i="1"/>
  <c r="BH207" i="1"/>
  <c r="BH199" i="1"/>
  <c r="BH191" i="1"/>
  <c r="BH183" i="1"/>
  <c r="BH175" i="1"/>
  <c r="BH167" i="1"/>
  <c r="BH159" i="1"/>
  <c r="BH151" i="1"/>
  <c r="BH143" i="1"/>
  <c r="BH135" i="1"/>
  <c r="BH127" i="1"/>
  <c r="BH119" i="1"/>
  <c r="BH111" i="1"/>
  <c r="BH103" i="1"/>
  <c r="BH95" i="1"/>
  <c r="BH87" i="1"/>
  <c r="BH79" i="1"/>
  <c r="BH71" i="1"/>
  <c r="BH63" i="1"/>
  <c r="BH55" i="1"/>
  <c r="BH47" i="1"/>
  <c r="BH39" i="1"/>
  <c r="BH31" i="1"/>
  <c r="BH23" i="1"/>
  <c r="BH15" i="1"/>
  <c r="BH7" i="1"/>
  <c r="BH358" i="1"/>
  <c r="BH350" i="1"/>
  <c r="BH342" i="1"/>
  <c r="BH334" i="1"/>
  <c r="BH326" i="1"/>
  <c r="BH318" i="1"/>
  <c r="BH310" i="1"/>
  <c r="BH302" i="1"/>
  <c r="BH294" i="1"/>
  <c r="BH286" i="1"/>
  <c r="BH278" i="1"/>
  <c r="BH270" i="1"/>
  <c r="BH262" i="1"/>
  <c r="BH254" i="1"/>
  <c r="BH246" i="1"/>
  <c r="BH238" i="1"/>
  <c r="BH230" i="1"/>
  <c r="BH222" i="1"/>
  <c r="BH214" i="1"/>
  <c r="BH206" i="1"/>
  <c r="BH198" i="1"/>
  <c r="BH190" i="1"/>
  <c r="BH182" i="1"/>
  <c r="BH174" i="1"/>
  <c r="BH166" i="1"/>
  <c r="BH158" i="1"/>
  <c r="BH150" i="1"/>
  <c r="BH142" i="1"/>
  <c r="BH134" i="1"/>
  <c r="BH126" i="1"/>
  <c r="BH118" i="1"/>
  <c r="BH110" i="1"/>
  <c r="BH102" i="1"/>
  <c r="BH94" i="1"/>
  <c r="BH86" i="1"/>
  <c r="BH78" i="1"/>
  <c r="BH70" i="1"/>
  <c r="BH62" i="1"/>
  <c r="BH54" i="1"/>
  <c r="BH46" i="1"/>
  <c r="BH38" i="1"/>
  <c r="BH30" i="1"/>
  <c r="BH22" i="1"/>
  <c r="BH14" i="1"/>
  <c r="BH6" i="1"/>
  <c r="BH357" i="1"/>
  <c r="BH349" i="1"/>
  <c r="BH341" i="1"/>
  <c r="BH333" i="1"/>
  <c r="BH325" i="1"/>
  <c r="BH317" i="1"/>
  <c r="BH309" i="1"/>
  <c r="BH301" i="1"/>
  <c r="BH293" i="1"/>
  <c r="BH285" i="1"/>
  <c r="BH277" i="1"/>
  <c r="BH269" i="1"/>
  <c r="BH261" i="1"/>
  <c r="BH253" i="1"/>
  <c r="BH245" i="1"/>
  <c r="BH237" i="1"/>
  <c r="BH229" i="1"/>
  <c r="BH221" i="1"/>
  <c r="BH213" i="1"/>
  <c r="BH205" i="1"/>
  <c r="BH197" i="1"/>
  <c r="BH189" i="1"/>
  <c r="BH181" i="1"/>
  <c r="BH173" i="1"/>
  <c r="BH165" i="1"/>
  <c r="BH149" i="1"/>
  <c r="BH141" i="1"/>
  <c r="BH133" i="1"/>
  <c r="BH125" i="1"/>
  <c r="BH117" i="1"/>
  <c r="BH109" i="1"/>
  <c r="BH101" i="1"/>
  <c r="BH93" i="1"/>
  <c r="BH85" i="1"/>
  <c r="BH77" i="1"/>
  <c r="BH69" i="1"/>
  <c r="BH61" i="1"/>
  <c r="BH53" i="1"/>
  <c r="BH45" i="1"/>
  <c r="BH37" i="1"/>
  <c r="BH29" i="1"/>
  <c r="BH21" i="1"/>
  <c r="BH13" i="1"/>
  <c r="BH5" i="1"/>
  <c r="BH356" i="1"/>
  <c r="BH348" i="1"/>
  <c r="BH340" i="1"/>
  <c r="BH332" i="1"/>
  <c r="BH324" i="1"/>
  <c r="BH316" i="1"/>
  <c r="BH308" i="1"/>
  <c r="BH300" i="1"/>
  <c r="BH292" i="1"/>
  <c r="BH284" i="1"/>
  <c r="BH276" i="1"/>
  <c r="BH268" i="1"/>
  <c r="BH260" i="1"/>
  <c r="BH252" i="1"/>
  <c r="BH244" i="1"/>
  <c r="BH236" i="1"/>
  <c r="BH228" i="1"/>
  <c r="BH220" i="1"/>
  <c r="BH212" i="1"/>
  <c r="BH204" i="1"/>
  <c r="BH196" i="1"/>
  <c r="BH188" i="1"/>
  <c r="BH180" i="1"/>
  <c r="BH172" i="1"/>
  <c r="BH164" i="1"/>
  <c r="BH148" i="1"/>
  <c r="BH140" i="1"/>
  <c r="BH132" i="1"/>
  <c r="BH124" i="1"/>
  <c r="BH116" i="1"/>
  <c r="BH108" i="1"/>
  <c r="BH100" i="1"/>
  <c r="BH92" i="1"/>
  <c r="BH84" i="1"/>
  <c r="BH76" i="1"/>
  <c r="BH68" i="1"/>
  <c r="BH60" i="1"/>
  <c r="BH52" i="1"/>
  <c r="BH44" i="1"/>
  <c r="BH36" i="1"/>
  <c r="BH28" i="1"/>
  <c r="BH20" i="1"/>
  <c r="BH12" i="1"/>
  <c r="BH4" i="1"/>
  <c r="BH2" i="1"/>
  <c r="BH355" i="1"/>
  <c r="BH347" i="1"/>
  <c r="BH339" i="1"/>
  <c r="BH331" i="1"/>
  <c r="BH323" i="1"/>
  <c r="BH315" i="1"/>
  <c r="BH307" i="1"/>
  <c r="BH299" i="1"/>
  <c r="BH291" i="1"/>
  <c r="BH283" i="1"/>
  <c r="BH275" i="1"/>
  <c r="BH267" i="1"/>
  <c r="BH259" i="1"/>
  <c r="BH251" i="1"/>
  <c r="BH243" i="1"/>
  <c r="BH235" i="1"/>
  <c r="BH227" i="1"/>
  <c r="BH219" i="1"/>
  <c r="BH211" i="1"/>
  <c r="BH203" i="1"/>
  <c r="BH195" i="1"/>
  <c r="BH187" i="1"/>
  <c r="BH179" i="1"/>
  <c r="BH171" i="1"/>
  <c r="BH163" i="1"/>
  <c r="BH155" i="1"/>
  <c r="BH147" i="1"/>
  <c r="BH139" i="1"/>
  <c r="BH131" i="1"/>
  <c r="BH123" i="1"/>
  <c r="BH115" i="1"/>
  <c r="BH107" i="1"/>
  <c r="BH99" i="1"/>
  <c r="BH91" i="1"/>
  <c r="BH83" i="1"/>
  <c r="BH75" i="1"/>
  <c r="BH67" i="1"/>
  <c r="BH59" i="1"/>
  <c r="BH51" i="1"/>
  <c r="BH43" i="1"/>
  <c r="BH35" i="1"/>
  <c r="BH27" i="1"/>
  <c r="BH19" i="1"/>
  <c r="BH11" i="1"/>
  <c r="AD46" i="1"/>
  <c r="BG274" i="1"/>
  <c r="BG210" i="1"/>
  <c r="BG146" i="1"/>
  <c r="BG82" i="1"/>
  <c r="BG18" i="1"/>
  <c r="BG263" i="1"/>
  <c r="BG199" i="1"/>
  <c r="BG135" i="1"/>
  <c r="BG87" i="1"/>
  <c r="BG7" i="1"/>
  <c r="BG320" i="1"/>
  <c r="BG312" i="1"/>
  <c r="BG304" i="1"/>
  <c r="BG296" i="1"/>
  <c r="BG288" i="1"/>
  <c r="BG280" i="1"/>
  <c r="BG272" i="1"/>
  <c r="BG264" i="1"/>
  <c r="BG256" i="1"/>
  <c r="BG248" i="1"/>
  <c r="BG240" i="1"/>
  <c r="BG232" i="1"/>
  <c r="BG224" i="1"/>
  <c r="BG216" i="1"/>
  <c r="BG208" i="1"/>
  <c r="BG200" i="1"/>
  <c r="BG192" i="1"/>
  <c r="BG184" i="1"/>
  <c r="BG176" i="1"/>
  <c r="BG168" i="1"/>
  <c r="BG160" i="1"/>
  <c r="BG152" i="1"/>
  <c r="BG144" i="1"/>
  <c r="BG136" i="1"/>
  <c r="BG128" i="1"/>
  <c r="BG120" i="1"/>
  <c r="BG112" i="1"/>
  <c r="BG104" i="1"/>
  <c r="BG96" i="1"/>
  <c r="BG88" i="1"/>
  <c r="BG80" i="1"/>
  <c r="BG72" i="1"/>
  <c r="BG64" i="1"/>
  <c r="BG56" i="1"/>
  <c r="BG48" i="1"/>
  <c r="BG40" i="1"/>
  <c r="BG32" i="1"/>
  <c r="BG24" i="1"/>
  <c r="BG16" i="1"/>
  <c r="BG8" i="1"/>
  <c r="BG362" i="1"/>
  <c r="BG354" i="1"/>
  <c r="BG346" i="1"/>
  <c r="BG338" i="1"/>
  <c r="BG330" i="1"/>
  <c r="BG322" i="1"/>
  <c r="BG282" i="1"/>
  <c r="BG218" i="1"/>
  <c r="BG154" i="1"/>
  <c r="BG90" i="1"/>
  <c r="BG26" i="1"/>
  <c r="BG239" i="1"/>
  <c r="BG175" i="1"/>
  <c r="BG111" i="1"/>
  <c r="BG71" i="1"/>
  <c r="BG15" i="1"/>
  <c r="BG361" i="1"/>
  <c r="BG353" i="1"/>
  <c r="BG345" i="1"/>
  <c r="BG337" i="1"/>
  <c r="BG329" i="1"/>
  <c r="BG319" i="1"/>
  <c r="BG295" i="1"/>
  <c r="BG231" i="1"/>
  <c r="BG159" i="1"/>
  <c r="BG55" i="1"/>
  <c r="BG318" i="1"/>
  <c r="BG310" i="1"/>
  <c r="BG302" i="1"/>
  <c r="BG294" i="1"/>
  <c r="BG286" i="1"/>
  <c r="BG278" i="1"/>
  <c r="BG270" i="1"/>
  <c r="BG262" i="1"/>
  <c r="BG254" i="1"/>
  <c r="BG246" i="1"/>
  <c r="BG238" i="1"/>
  <c r="BG230" i="1"/>
  <c r="BG222" i="1"/>
  <c r="BG214" i="1"/>
  <c r="BG206" i="1"/>
  <c r="BG198" i="1"/>
  <c r="BG190" i="1"/>
  <c r="BG182" i="1"/>
  <c r="BG174" i="1"/>
  <c r="BG166" i="1"/>
  <c r="BG158" i="1"/>
  <c r="BG150" i="1"/>
  <c r="BG142" i="1"/>
  <c r="BG134" i="1"/>
  <c r="BG126" i="1"/>
  <c r="BG118" i="1"/>
  <c r="BG110" i="1"/>
  <c r="BG102" i="1"/>
  <c r="BG94" i="1"/>
  <c r="BG86" i="1"/>
  <c r="BG78" i="1"/>
  <c r="BG70" i="1"/>
  <c r="BG62" i="1"/>
  <c r="BG54" i="1"/>
  <c r="BG46" i="1"/>
  <c r="BG38" i="1"/>
  <c r="BG30" i="1"/>
  <c r="BG22" i="1"/>
  <c r="BG14" i="1"/>
  <c r="BG6" i="1"/>
  <c r="BG360" i="1"/>
  <c r="BG352" i="1"/>
  <c r="BG344" i="1"/>
  <c r="BG336" i="1"/>
  <c r="BG328" i="1"/>
  <c r="BG266" i="1"/>
  <c r="BG202" i="1"/>
  <c r="BG138" i="1"/>
  <c r="BG74" i="1"/>
  <c r="BG10" i="1"/>
  <c r="BG271" i="1"/>
  <c r="BG207" i="1"/>
  <c r="BG143" i="1"/>
  <c r="BG95" i="1"/>
  <c r="BG23" i="1"/>
  <c r="BG317" i="1"/>
  <c r="BG309" i="1"/>
  <c r="BG301" i="1"/>
  <c r="BG293" i="1"/>
  <c r="BG285" i="1"/>
  <c r="BG277" i="1"/>
  <c r="BG269" i="1"/>
  <c r="BG261" i="1"/>
  <c r="BG253" i="1"/>
  <c r="BG245" i="1"/>
  <c r="BG237" i="1"/>
  <c r="BG229" i="1"/>
  <c r="BG221" i="1"/>
  <c r="BG213" i="1"/>
  <c r="BG205" i="1"/>
  <c r="BG197" i="1"/>
  <c r="BG189" i="1"/>
  <c r="BG181" i="1"/>
  <c r="BG173" i="1"/>
  <c r="BG165" i="1"/>
  <c r="BG149" i="1"/>
  <c r="BG141" i="1"/>
  <c r="BG133" i="1"/>
  <c r="BG125" i="1"/>
  <c r="BG117" i="1"/>
  <c r="BG109" i="1"/>
  <c r="BG101" i="1"/>
  <c r="BG93" i="1"/>
  <c r="BG85" i="1"/>
  <c r="BG77" i="1"/>
  <c r="BG69" i="1"/>
  <c r="BG61" i="1"/>
  <c r="BG53" i="1"/>
  <c r="BG45" i="1"/>
  <c r="BG37" i="1"/>
  <c r="BG29" i="1"/>
  <c r="BG21" i="1"/>
  <c r="BG13" i="1"/>
  <c r="BG5" i="1"/>
  <c r="BG359" i="1"/>
  <c r="BG351" i="1"/>
  <c r="BG343" i="1"/>
  <c r="BG335" i="1"/>
  <c r="BG327" i="1"/>
  <c r="BG311" i="1"/>
  <c r="BG279" i="1"/>
  <c r="BG215" i="1"/>
  <c r="BG167" i="1"/>
  <c r="BG103" i="1"/>
  <c r="BG31" i="1"/>
  <c r="BG316" i="1"/>
  <c r="BG308" i="1"/>
  <c r="BG300" i="1"/>
  <c r="BG292" i="1"/>
  <c r="BG284" i="1"/>
  <c r="BG276" i="1"/>
  <c r="BG268" i="1"/>
  <c r="BG260" i="1"/>
  <c r="BG252" i="1"/>
  <c r="BG244" i="1"/>
  <c r="BG236" i="1"/>
  <c r="BG228" i="1"/>
  <c r="BG220" i="1"/>
  <c r="BG212" i="1"/>
  <c r="BG204" i="1"/>
  <c r="BG196" i="1"/>
  <c r="BG188" i="1"/>
  <c r="BG180" i="1"/>
  <c r="BG172" i="1"/>
  <c r="BG164" i="1"/>
  <c r="BG148" i="1"/>
  <c r="BG140" i="1"/>
  <c r="BG132" i="1"/>
  <c r="BG124" i="1"/>
  <c r="BG116" i="1"/>
  <c r="BG108" i="1"/>
  <c r="BG100" i="1"/>
  <c r="BG92" i="1"/>
  <c r="BG84" i="1"/>
  <c r="BG76" i="1"/>
  <c r="BG68" i="1"/>
  <c r="BG60" i="1"/>
  <c r="BG52" i="1"/>
  <c r="BG44" i="1"/>
  <c r="BG36" i="1"/>
  <c r="BG28" i="1"/>
  <c r="BG20" i="1"/>
  <c r="BG12" i="1"/>
  <c r="BG4" i="1"/>
  <c r="BG358" i="1"/>
  <c r="BG350" i="1"/>
  <c r="BG342" i="1"/>
  <c r="BG334" i="1"/>
  <c r="BG326" i="1"/>
  <c r="BG287" i="1"/>
  <c r="BG223" i="1"/>
  <c r="BG151" i="1"/>
  <c r="BG47" i="1"/>
  <c r="BG315" i="1"/>
  <c r="BG307" i="1"/>
  <c r="BG299" i="1"/>
  <c r="BG291" i="1"/>
  <c r="BG283" i="1"/>
  <c r="BG275" i="1"/>
  <c r="BG267" i="1"/>
  <c r="BG259" i="1"/>
  <c r="BG251" i="1"/>
  <c r="BG243" i="1"/>
  <c r="BG235" i="1"/>
  <c r="BG227" i="1"/>
  <c r="BG219" i="1"/>
  <c r="BG211" i="1"/>
  <c r="BG203" i="1"/>
  <c r="BG195" i="1"/>
  <c r="BG187" i="1"/>
  <c r="BG179" i="1"/>
  <c r="BG171" i="1"/>
  <c r="BG163" i="1"/>
  <c r="BG155" i="1"/>
  <c r="BG147" i="1"/>
  <c r="BG139" i="1"/>
  <c r="BG131" i="1"/>
  <c r="BG123" i="1"/>
  <c r="BG115" i="1"/>
  <c r="BG107" i="1"/>
  <c r="BG99" i="1"/>
  <c r="BG91" i="1"/>
  <c r="BG83" i="1"/>
  <c r="BG75" i="1"/>
  <c r="BG67" i="1"/>
  <c r="BG59" i="1"/>
  <c r="BG51" i="1"/>
  <c r="BG43" i="1"/>
  <c r="BG35" i="1"/>
  <c r="BG27" i="1"/>
  <c r="BG19" i="1"/>
  <c r="BG11" i="1"/>
  <c r="BG3" i="1"/>
  <c r="BG357" i="1"/>
  <c r="BG349" i="1"/>
  <c r="BG341" i="1"/>
  <c r="BG333" i="1"/>
  <c r="BG325" i="1"/>
  <c r="BG303" i="1"/>
  <c r="BG255" i="1"/>
  <c r="BG183" i="1"/>
  <c r="BG119" i="1"/>
  <c r="BG79" i="1"/>
  <c r="BG39" i="1"/>
  <c r="BG2" i="1"/>
  <c r="BG356" i="1"/>
  <c r="BG348" i="1"/>
  <c r="BG340" i="1"/>
  <c r="BG332" i="1"/>
  <c r="BG324" i="1"/>
  <c r="BG247" i="1"/>
  <c r="BG191" i="1"/>
  <c r="BG127" i="1"/>
  <c r="BG63" i="1"/>
  <c r="BG321" i="1"/>
  <c r="BG313" i="1"/>
  <c r="BG305" i="1"/>
  <c r="BG297" i="1"/>
  <c r="BG289" i="1"/>
  <c r="BG281" i="1"/>
  <c r="BG273" i="1"/>
  <c r="BG265" i="1"/>
  <c r="BG257" i="1"/>
  <c r="BG249" i="1"/>
  <c r="BG241" i="1"/>
  <c r="BG233" i="1"/>
  <c r="BG225" i="1"/>
  <c r="BG217" i="1"/>
  <c r="BG209" i="1"/>
  <c r="BG201" i="1"/>
  <c r="BG193" i="1"/>
  <c r="BG185" i="1"/>
  <c r="BG177" i="1"/>
  <c r="BG169" i="1"/>
  <c r="BG161" i="1"/>
  <c r="BG153" i="1"/>
  <c r="BG145" i="1"/>
  <c r="BG137" i="1"/>
  <c r="BG129" i="1"/>
  <c r="BG121" i="1"/>
  <c r="BG113" i="1"/>
  <c r="BG105" i="1"/>
  <c r="BG97" i="1"/>
  <c r="BG89" i="1"/>
  <c r="BG81" i="1"/>
  <c r="BG73" i="1"/>
  <c r="BG65" i="1"/>
  <c r="BG57" i="1"/>
  <c r="BG49" i="1"/>
  <c r="BG41" i="1"/>
  <c r="BG33" i="1"/>
  <c r="BG25" i="1"/>
  <c r="BG17" i="1"/>
  <c r="BG9" i="1"/>
  <c r="BG355" i="1"/>
  <c r="BG347" i="1"/>
  <c r="BG339" i="1"/>
  <c r="BG331" i="1"/>
  <c r="BG323" i="1"/>
  <c r="BG98" i="1"/>
  <c r="AD45" i="1"/>
  <c r="BW374" i="1" l="1"/>
  <c r="BW375" i="1"/>
  <c r="BW369" i="1"/>
  <c r="BW370" i="1"/>
  <c r="BW371" i="1"/>
  <c r="BW372" i="1"/>
  <c r="BW373" i="1"/>
  <c r="BW362" i="1"/>
  <c r="BW363" i="1"/>
  <c r="BW364" i="1"/>
  <c r="BW365" i="1"/>
  <c r="BW366" i="1"/>
  <c r="BW367" i="1"/>
  <c r="BW368" i="1"/>
  <c r="BW349" i="1"/>
  <c r="BW350" i="1"/>
  <c r="BW351" i="1"/>
  <c r="BW352" i="1"/>
  <c r="BW353" i="1"/>
  <c r="BW354" i="1"/>
  <c r="BW355" i="1"/>
  <c r="BW356" i="1"/>
  <c r="BW357" i="1"/>
  <c r="BW358" i="1"/>
  <c r="BW359" i="1"/>
  <c r="BW360" i="1"/>
  <c r="BW361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1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W122" i="1"/>
  <c r="BW123" i="1"/>
  <c r="BW124" i="1"/>
  <c r="BW125" i="1"/>
  <c r="BW126" i="1"/>
  <c r="BW127" i="1"/>
  <c r="BW128" i="1"/>
  <c r="BW129" i="1"/>
  <c r="BW130" i="1"/>
  <c r="BW131" i="1"/>
  <c r="BW132" i="1"/>
  <c r="BW133" i="1"/>
  <c r="BW134" i="1"/>
  <c r="BW135" i="1"/>
  <c r="BW136" i="1"/>
  <c r="BW137" i="1"/>
  <c r="BW138" i="1"/>
  <c r="BW139" i="1"/>
  <c r="BW140" i="1"/>
  <c r="BW141" i="1"/>
  <c r="BW142" i="1"/>
  <c r="BW143" i="1"/>
  <c r="BW144" i="1"/>
  <c r="BW145" i="1"/>
  <c r="BW146" i="1"/>
  <c r="BW147" i="1"/>
  <c r="BW148" i="1"/>
  <c r="BW149" i="1"/>
  <c r="BW150" i="1"/>
  <c r="BW151" i="1"/>
  <c r="BW152" i="1"/>
  <c r="BW153" i="1"/>
  <c r="BW154" i="1"/>
  <c r="BW155" i="1"/>
  <c r="BW156" i="1"/>
  <c r="BW157" i="1"/>
  <c r="BW158" i="1"/>
  <c r="BW159" i="1"/>
  <c r="BW160" i="1"/>
  <c r="BW161" i="1"/>
  <c r="BW162" i="1"/>
  <c r="BW163" i="1"/>
  <c r="BW164" i="1"/>
  <c r="BW165" i="1"/>
  <c r="BW166" i="1"/>
  <c r="BW167" i="1"/>
  <c r="BW168" i="1"/>
  <c r="BW169" i="1"/>
  <c r="BW170" i="1"/>
  <c r="BW171" i="1"/>
  <c r="BW172" i="1"/>
  <c r="BW173" i="1"/>
  <c r="BW174" i="1"/>
  <c r="BW175" i="1"/>
  <c r="BW176" i="1"/>
  <c r="BW177" i="1"/>
  <c r="BW178" i="1"/>
  <c r="BW179" i="1"/>
  <c r="BW180" i="1"/>
  <c r="BW181" i="1"/>
  <c r="BW182" i="1"/>
  <c r="BW183" i="1"/>
  <c r="BW184" i="1"/>
  <c r="BW185" i="1"/>
  <c r="BW186" i="1"/>
  <c r="BW187" i="1"/>
  <c r="BW188" i="1"/>
  <c r="BW189" i="1"/>
  <c r="BW190" i="1"/>
  <c r="BW191" i="1"/>
  <c r="BW192" i="1"/>
  <c r="BW193" i="1"/>
  <c r="BW194" i="1"/>
  <c r="BW195" i="1"/>
  <c r="BW196" i="1"/>
  <c r="BW197" i="1"/>
  <c r="BW198" i="1"/>
  <c r="BW199" i="1"/>
  <c r="BW200" i="1"/>
  <c r="BW201" i="1"/>
  <c r="BW202" i="1"/>
  <c r="BW203" i="1"/>
  <c r="BW204" i="1"/>
  <c r="BW205" i="1"/>
  <c r="BW206" i="1"/>
  <c r="BW207" i="1"/>
  <c r="BW208" i="1"/>
  <c r="BW209" i="1"/>
  <c r="BW210" i="1"/>
  <c r="BW211" i="1"/>
  <c r="BW212" i="1"/>
  <c r="BW213" i="1"/>
  <c r="BW214" i="1"/>
  <c r="BW215" i="1"/>
  <c r="BW216" i="1"/>
  <c r="BW217" i="1"/>
  <c r="BW218" i="1"/>
  <c r="BW219" i="1"/>
  <c r="BW220" i="1"/>
  <c r="BW221" i="1"/>
  <c r="BW222" i="1"/>
  <c r="BW223" i="1"/>
  <c r="BW224" i="1"/>
  <c r="BW225" i="1"/>
  <c r="BW226" i="1"/>
  <c r="BW227" i="1"/>
  <c r="BW228" i="1"/>
  <c r="BW229" i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75" i="1"/>
  <c r="BW276" i="1"/>
  <c r="BW277" i="1"/>
  <c r="BW278" i="1"/>
  <c r="BW279" i="1"/>
  <c r="BW280" i="1"/>
  <c r="BW281" i="1"/>
  <c r="BW282" i="1"/>
  <c r="BW283" i="1"/>
  <c r="BW284" i="1"/>
  <c r="BW285" i="1"/>
  <c r="BW286" i="1"/>
  <c r="BW287" i="1"/>
  <c r="BW288" i="1"/>
  <c r="BW289" i="1"/>
  <c r="BW290" i="1"/>
  <c r="BW291" i="1"/>
  <c r="BW292" i="1"/>
  <c r="BW293" i="1"/>
  <c r="BW294" i="1"/>
  <c r="BW295" i="1"/>
  <c r="BW296" i="1"/>
  <c r="BW297" i="1"/>
  <c r="BW298" i="1"/>
  <c r="BW299" i="1"/>
  <c r="BW300" i="1"/>
  <c r="BW301" i="1"/>
  <c r="BW302" i="1"/>
  <c r="BW303" i="1"/>
  <c r="BW304" i="1"/>
  <c r="BW305" i="1"/>
  <c r="BW306" i="1"/>
  <c r="BW307" i="1"/>
  <c r="BW308" i="1"/>
  <c r="BW309" i="1"/>
  <c r="BW310" i="1"/>
  <c r="BW311" i="1"/>
  <c r="BW312" i="1"/>
  <c r="BW313" i="1"/>
  <c r="BW314" i="1"/>
  <c r="BW315" i="1"/>
  <c r="BW316" i="1"/>
  <c r="BW317" i="1"/>
  <c r="BW318" i="1"/>
  <c r="BW319" i="1"/>
  <c r="BW320" i="1"/>
  <c r="BW321" i="1"/>
  <c r="BW322" i="1"/>
  <c r="BW323" i="1"/>
  <c r="BW324" i="1"/>
  <c r="BW325" i="1"/>
  <c r="BW326" i="1"/>
  <c r="BW327" i="1"/>
  <c r="BW328" i="1"/>
  <c r="BW329" i="1"/>
  <c r="BW330" i="1"/>
  <c r="BW331" i="1"/>
  <c r="BW332" i="1"/>
  <c r="BW333" i="1"/>
  <c r="BW334" i="1"/>
  <c r="BW335" i="1"/>
  <c r="BW336" i="1"/>
  <c r="BW337" i="1"/>
  <c r="BW338" i="1"/>
  <c r="BW339" i="1"/>
  <c r="BW340" i="1"/>
  <c r="BW341" i="1"/>
  <c r="BW342" i="1"/>
  <c r="BW343" i="1"/>
  <c r="BW344" i="1"/>
  <c r="BW345" i="1"/>
  <c r="BW346" i="1"/>
  <c r="BW347" i="1"/>
  <c r="BW348" i="1"/>
  <c r="BW15" i="1"/>
  <c r="D112" i="1" l="1"/>
  <c r="D110" i="1"/>
  <c r="D105" i="1"/>
  <c r="D113" i="1"/>
  <c r="A90" i="1"/>
  <c r="D111" i="1"/>
  <c r="D106" i="1"/>
  <c r="D109" i="1"/>
  <c r="D107" i="1"/>
  <c r="D104" i="1"/>
  <c r="A97" i="1"/>
  <c r="A98" i="1"/>
  <c r="D108" i="1"/>
  <c r="E105" i="1"/>
  <c r="E113" i="1"/>
  <c r="B90" i="1"/>
  <c r="B98" i="1"/>
  <c r="E106" i="1"/>
  <c r="B91" i="1"/>
  <c r="E107" i="1"/>
  <c r="E104" i="1"/>
  <c r="E108" i="1"/>
  <c r="E109" i="1"/>
  <c r="E112" i="1"/>
  <c r="E110" i="1"/>
  <c r="E111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41" i="1" l="1"/>
  <c r="AE38" i="1"/>
  <c r="AD38" i="1"/>
  <c r="AD39" i="1" s="1"/>
  <c r="BI3" i="1" l="1"/>
  <c r="AE40" i="1"/>
  <c r="AD40" i="1"/>
  <c r="AD41" i="1" s="1"/>
  <c r="BI328" i="1"/>
  <c r="BI264" i="1"/>
  <c r="BI200" i="1"/>
  <c r="BI136" i="1"/>
  <c r="BI72" i="1"/>
  <c r="BI360" i="1"/>
  <c r="BI320" i="1"/>
  <c r="BI256" i="1"/>
  <c r="BI192" i="1"/>
  <c r="BI128" i="1"/>
  <c r="BI64" i="1"/>
  <c r="BI359" i="1"/>
  <c r="BI312" i="1"/>
  <c r="BI248" i="1"/>
  <c r="BI184" i="1"/>
  <c r="BI120" i="1"/>
  <c r="BI56" i="1"/>
  <c r="BI352" i="1"/>
  <c r="BI304" i="1"/>
  <c r="BI240" i="1"/>
  <c r="BI176" i="1"/>
  <c r="BI112" i="1"/>
  <c r="BI48" i="1"/>
  <c r="BI351" i="1"/>
  <c r="BI296" i="1"/>
  <c r="BI232" i="1"/>
  <c r="BI168" i="1"/>
  <c r="BI104" i="1"/>
  <c r="BI40" i="1"/>
  <c r="BI344" i="1"/>
  <c r="BI288" i="1"/>
  <c r="BI224" i="1"/>
  <c r="BI160" i="1"/>
  <c r="BI96" i="1"/>
  <c r="BI32" i="1"/>
  <c r="BI336" i="1"/>
  <c r="BI280" i="1"/>
  <c r="BI216" i="1"/>
  <c r="BI152" i="1"/>
  <c r="BI88" i="1"/>
  <c r="BI24" i="1"/>
  <c r="BI335" i="1"/>
  <c r="BI272" i="1"/>
  <c r="BI208" i="1"/>
  <c r="BI144" i="1"/>
  <c r="BI80" i="1"/>
  <c r="BI16" i="1"/>
  <c r="BI287" i="1"/>
  <c r="BI239" i="1"/>
  <c r="BI207" i="1"/>
  <c r="BI167" i="1"/>
  <c r="BI151" i="1"/>
  <c r="BI119" i="1"/>
  <c r="BI95" i="1"/>
  <c r="BI63" i="1"/>
  <c r="BI47" i="1"/>
  <c r="BI362" i="1"/>
  <c r="BI354" i="1"/>
  <c r="BI346" i="1"/>
  <c r="BI338" i="1"/>
  <c r="BI330" i="1"/>
  <c r="BI322" i="1"/>
  <c r="BI314" i="1"/>
  <c r="BI306" i="1"/>
  <c r="BI298" i="1"/>
  <c r="BI290" i="1"/>
  <c r="BI282" i="1"/>
  <c r="BI274" i="1"/>
  <c r="BI266" i="1"/>
  <c r="BI258" i="1"/>
  <c r="BI250" i="1"/>
  <c r="BI242" i="1"/>
  <c r="BI234" i="1"/>
  <c r="BI226" i="1"/>
  <c r="BI218" i="1"/>
  <c r="BI210" i="1"/>
  <c r="BI202" i="1"/>
  <c r="BI194" i="1"/>
  <c r="BI186" i="1"/>
  <c r="BI178" i="1"/>
  <c r="BI170" i="1"/>
  <c r="BI162" i="1"/>
  <c r="BI154" i="1"/>
  <c r="BI146" i="1"/>
  <c r="BI138" i="1"/>
  <c r="BI130" i="1"/>
  <c r="BI122" i="1"/>
  <c r="BI114" i="1"/>
  <c r="BI106" i="1"/>
  <c r="BI98" i="1"/>
  <c r="BI90" i="1"/>
  <c r="BI82" i="1"/>
  <c r="BI74" i="1"/>
  <c r="BI66" i="1"/>
  <c r="BI58" i="1"/>
  <c r="BI50" i="1"/>
  <c r="BI42" i="1"/>
  <c r="BI34" i="1"/>
  <c r="BI26" i="1"/>
  <c r="BI18" i="1"/>
  <c r="BI10" i="1"/>
  <c r="BI311" i="1"/>
  <c r="BI295" i="1"/>
  <c r="BI247" i="1"/>
  <c r="BI215" i="1"/>
  <c r="BI175" i="1"/>
  <c r="BI143" i="1"/>
  <c r="BI111" i="1"/>
  <c r="BI87" i="1"/>
  <c r="BI55" i="1"/>
  <c r="BI39" i="1"/>
  <c r="BI361" i="1"/>
  <c r="BI353" i="1"/>
  <c r="BI345" i="1"/>
  <c r="BI337" i="1"/>
  <c r="BI329" i="1"/>
  <c r="BI321" i="1"/>
  <c r="BI313" i="1"/>
  <c r="BI305" i="1"/>
  <c r="BI297" i="1"/>
  <c r="BI289" i="1"/>
  <c r="BI281" i="1"/>
  <c r="BI273" i="1"/>
  <c r="BI265" i="1"/>
  <c r="BI257" i="1"/>
  <c r="BI249" i="1"/>
  <c r="BI241" i="1"/>
  <c r="BI233" i="1"/>
  <c r="BI225" i="1"/>
  <c r="BI217" i="1"/>
  <c r="BI209" i="1"/>
  <c r="BI201" i="1"/>
  <c r="BI193" i="1"/>
  <c r="BI185" i="1"/>
  <c r="BI177" i="1"/>
  <c r="BI169" i="1"/>
  <c r="BI161" i="1"/>
  <c r="BI153" i="1"/>
  <c r="BI145" i="1"/>
  <c r="BI137" i="1"/>
  <c r="BI129" i="1"/>
  <c r="BI121" i="1"/>
  <c r="BI113" i="1"/>
  <c r="BI105" i="1"/>
  <c r="BI97" i="1"/>
  <c r="BI89" i="1"/>
  <c r="BI81" i="1"/>
  <c r="BI73" i="1"/>
  <c r="BI65" i="1"/>
  <c r="BI57" i="1"/>
  <c r="BI49" i="1"/>
  <c r="BI41" i="1"/>
  <c r="BI33" i="1"/>
  <c r="BI25" i="1"/>
  <c r="BI17" i="1"/>
  <c r="BI9" i="1"/>
  <c r="BI8" i="1"/>
  <c r="BI7" i="1"/>
  <c r="BI327" i="1"/>
  <c r="BI271" i="1"/>
  <c r="BI231" i="1"/>
  <c r="BI183" i="1"/>
  <c r="BI127" i="1"/>
  <c r="BI71" i="1"/>
  <c r="BI23" i="1"/>
  <c r="BI358" i="1"/>
  <c r="BI350" i="1"/>
  <c r="BI342" i="1"/>
  <c r="BI334" i="1"/>
  <c r="BI326" i="1"/>
  <c r="BI318" i="1"/>
  <c r="BI310" i="1"/>
  <c r="BI302" i="1"/>
  <c r="BI294" i="1"/>
  <c r="BI286" i="1"/>
  <c r="BI278" i="1"/>
  <c r="BI270" i="1"/>
  <c r="BI262" i="1"/>
  <c r="BI254" i="1"/>
  <c r="BI246" i="1"/>
  <c r="BI238" i="1"/>
  <c r="BI230" i="1"/>
  <c r="BI222" i="1"/>
  <c r="BI214" i="1"/>
  <c r="BI206" i="1"/>
  <c r="BI198" i="1"/>
  <c r="BI190" i="1"/>
  <c r="BI182" i="1"/>
  <c r="BI174" i="1"/>
  <c r="BI166" i="1"/>
  <c r="BI158" i="1"/>
  <c r="BI150" i="1"/>
  <c r="BI142" i="1"/>
  <c r="BI134" i="1"/>
  <c r="BI126" i="1"/>
  <c r="BI118" i="1"/>
  <c r="BI110" i="1"/>
  <c r="BI102" i="1"/>
  <c r="BI94" i="1"/>
  <c r="BI86" i="1"/>
  <c r="BI78" i="1"/>
  <c r="BI70" i="1"/>
  <c r="BI62" i="1"/>
  <c r="BI54" i="1"/>
  <c r="BI46" i="1"/>
  <c r="BI38" i="1"/>
  <c r="BI30" i="1"/>
  <c r="BI22" i="1"/>
  <c r="BI14" i="1"/>
  <c r="BI6" i="1"/>
  <c r="BI343" i="1"/>
  <c r="BI303" i="1"/>
  <c r="BI279" i="1"/>
  <c r="BI255" i="1"/>
  <c r="BI199" i="1"/>
  <c r="BI135" i="1"/>
  <c r="BI79" i="1"/>
  <c r="BI31" i="1"/>
  <c r="BI357" i="1"/>
  <c r="BI349" i="1"/>
  <c r="BI341" i="1"/>
  <c r="BI333" i="1"/>
  <c r="BI325" i="1"/>
  <c r="BI317" i="1"/>
  <c r="BI309" i="1"/>
  <c r="BI301" i="1"/>
  <c r="BI293" i="1"/>
  <c r="BI285" i="1"/>
  <c r="BI277" i="1"/>
  <c r="BI269" i="1"/>
  <c r="BI261" i="1"/>
  <c r="BI253" i="1"/>
  <c r="BI245" i="1"/>
  <c r="BI237" i="1"/>
  <c r="BI229" i="1"/>
  <c r="BI221" i="1"/>
  <c r="BI213" i="1"/>
  <c r="BI205" i="1"/>
  <c r="BI197" i="1"/>
  <c r="BI189" i="1"/>
  <c r="BI181" i="1"/>
  <c r="BI173" i="1"/>
  <c r="BI165" i="1"/>
  <c r="BI149" i="1"/>
  <c r="BI141" i="1"/>
  <c r="BI133" i="1"/>
  <c r="BI125" i="1"/>
  <c r="BI117" i="1"/>
  <c r="BI109" i="1"/>
  <c r="BI101" i="1"/>
  <c r="BI93" i="1"/>
  <c r="BI85" i="1"/>
  <c r="BI77" i="1"/>
  <c r="BI69" i="1"/>
  <c r="BI61" i="1"/>
  <c r="BI53" i="1"/>
  <c r="BI45" i="1"/>
  <c r="BI37" i="1"/>
  <c r="BI29" i="1"/>
  <c r="BI21" i="1"/>
  <c r="BI13" i="1"/>
  <c r="BI5" i="1"/>
  <c r="BI319" i="1"/>
  <c r="BI263" i="1"/>
  <c r="BI223" i="1"/>
  <c r="BI191" i="1"/>
  <c r="BI159" i="1"/>
  <c r="BI103" i="1"/>
  <c r="BI15" i="1"/>
  <c r="BI356" i="1"/>
  <c r="BI348" i="1"/>
  <c r="BI340" i="1"/>
  <c r="BI332" i="1"/>
  <c r="BI324" i="1"/>
  <c r="BI316" i="1"/>
  <c r="BI308" i="1"/>
  <c r="BI300" i="1"/>
  <c r="BI292" i="1"/>
  <c r="BI284" i="1"/>
  <c r="BI276" i="1"/>
  <c r="BI268" i="1"/>
  <c r="BI260" i="1"/>
  <c r="BI252" i="1"/>
  <c r="BI244" i="1"/>
  <c r="BI236" i="1"/>
  <c r="BI228" i="1"/>
  <c r="BI220" i="1"/>
  <c r="BI212" i="1"/>
  <c r="BI204" i="1"/>
  <c r="BI196" i="1"/>
  <c r="BI188" i="1"/>
  <c r="BI180" i="1"/>
  <c r="BI172" i="1"/>
  <c r="BI164" i="1"/>
  <c r="BI148" i="1"/>
  <c r="BI140" i="1"/>
  <c r="BI132" i="1"/>
  <c r="BI124" i="1"/>
  <c r="BI116" i="1"/>
  <c r="BI108" i="1"/>
  <c r="BI100" i="1"/>
  <c r="BI92" i="1"/>
  <c r="BI84" i="1"/>
  <c r="BI76" i="1"/>
  <c r="BI68" i="1"/>
  <c r="BI60" i="1"/>
  <c r="BI52" i="1"/>
  <c r="BI44" i="1"/>
  <c r="BI36" i="1"/>
  <c r="BI28" i="1"/>
  <c r="BI20" i="1"/>
  <c r="BI12" i="1"/>
  <c r="BI4" i="1"/>
  <c r="BI2" i="1"/>
  <c r="BI355" i="1"/>
  <c r="BI347" i="1"/>
  <c r="BI339" i="1"/>
  <c r="BI331" i="1"/>
  <c r="BI323" i="1"/>
  <c r="BI315" i="1"/>
  <c r="BI307" i="1"/>
  <c r="BI299" i="1"/>
  <c r="BI291" i="1"/>
  <c r="BI283" i="1"/>
  <c r="BI275" i="1"/>
  <c r="BI267" i="1"/>
  <c r="BI259" i="1"/>
  <c r="BI251" i="1"/>
  <c r="BI243" i="1"/>
  <c r="BI235" i="1"/>
  <c r="BI227" i="1"/>
  <c r="BI219" i="1"/>
  <c r="BI211" i="1"/>
  <c r="BI203" i="1"/>
  <c r="BI195" i="1"/>
  <c r="BI187" i="1"/>
  <c r="BI179" i="1"/>
  <c r="BI171" i="1"/>
  <c r="BI163" i="1"/>
  <c r="BI155" i="1"/>
  <c r="BI147" i="1"/>
  <c r="BI139" i="1"/>
  <c r="BI131" i="1"/>
  <c r="BI123" i="1"/>
  <c r="BI115" i="1"/>
  <c r="BI107" i="1"/>
  <c r="BI99" i="1"/>
  <c r="BI91" i="1"/>
  <c r="BI83" i="1"/>
  <c r="BI75" i="1"/>
  <c r="BI67" i="1"/>
  <c r="BI59" i="1"/>
  <c r="BI51" i="1"/>
  <c r="BI43" i="1"/>
  <c r="BI35" i="1"/>
  <c r="BI27" i="1"/>
  <c r="BI19" i="1"/>
  <c r="BI11" i="1"/>
  <c r="AB6" i="1"/>
  <c r="U14" i="1"/>
  <c r="AA6" i="1" s="1"/>
  <c r="U15" i="1" l="1"/>
  <c r="W16" i="1" l="1"/>
  <c r="U16" i="1"/>
  <c r="V16" i="1"/>
  <c r="W12" i="1"/>
  <c r="W11" i="1"/>
  <c r="W10" i="1"/>
  <c r="E6" i="1" l="1"/>
  <c r="A93" i="1" s="1"/>
  <c r="F27" i="1" l="1" a="1"/>
  <c r="F27" i="1" s="1"/>
  <c r="I26" i="1" l="1"/>
  <c r="C16" i="1" s="1"/>
  <c r="F28" i="1"/>
  <c r="H27" i="1" s="1"/>
  <c r="I27" i="1" s="1"/>
  <c r="C17" i="1"/>
  <c r="C18" i="1"/>
  <c r="C19" i="1"/>
  <c r="C20" i="1"/>
  <c r="C21" i="1"/>
  <c r="C22" i="1"/>
  <c r="C192" i="1" s="1"/>
  <c r="K192" i="1" s="1"/>
  <c r="M192" i="1" s="1"/>
  <c r="C23" i="1"/>
  <c r="C24" i="1"/>
  <c r="N192" i="1" l="1"/>
  <c r="P192" i="1" s="1"/>
  <c r="L192" i="1"/>
  <c r="C110" i="1"/>
  <c r="J110" i="1" s="1"/>
  <c r="L110" i="1" s="1"/>
  <c r="C191" i="1"/>
  <c r="K191" i="1" s="1"/>
  <c r="M191" i="1" s="1"/>
  <c r="C109" i="1"/>
  <c r="J109" i="1" s="1"/>
  <c r="L109" i="1" s="1"/>
  <c r="C190" i="1"/>
  <c r="K190" i="1" s="1"/>
  <c r="M190" i="1" s="1"/>
  <c r="C108" i="1"/>
  <c r="J108" i="1" s="1"/>
  <c r="L108" i="1" s="1"/>
  <c r="C189" i="1"/>
  <c r="K189" i="1" s="1"/>
  <c r="M189" i="1" s="1"/>
  <c r="C107" i="1"/>
  <c r="J107" i="1" s="1"/>
  <c r="L107" i="1" s="1"/>
  <c r="C188" i="1"/>
  <c r="K188" i="1" s="1"/>
  <c r="M188" i="1" s="1"/>
  <c r="C106" i="1"/>
  <c r="J106" i="1" s="1"/>
  <c r="L106" i="1" s="1"/>
  <c r="C187" i="1"/>
  <c r="C113" i="1"/>
  <c r="J113" i="1" s="1"/>
  <c r="L113" i="1" s="1"/>
  <c r="C194" i="1"/>
  <c r="K194" i="1" s="1"/>
  <c r="M194" i="1" s="1"/>
  <c r="C112" i="1"/>
  <c r="J112" i="1" s="1"/>
  <c r="L112" i="1" s="1"/>
  <c r="C193" i="1"/>
  <c r="K193" i="1" s="1"/>
  <c r="M193" i="1" s="1"/>
  <c r="C105" i="1"/>
  <c r="J105" i="1" s="1"/>
  <c r="L105" i="1" s="1"/>
  <c r="C186" i="1"/>
  <c r="C111" i="1"/>
  <c r="J111" i="1" s="1"/>
  <c r="L111" i="1" s="1"/>
  <c r="K110" i="1"/>
  <c r="B82" i="1"/>
  <c r="K109" i="1" l="1"/>
  <c r="K106" i="1"/>
  <c r="K105" i="1"/>
  <c r="K107" i="1"/>
  <c r="O192" i="1"/>
  <c r="N194" i="1"/>
  <c r="P194" i="1" s="1"/>
  <c r="L194" i="1"/>
  <c r="N190" i="1"/>
  <c r="O190" i="1" s="1"/>
  <c r="L190" i="1"/>
  <c r="N188" i="1"/>
  <c r="P188" i="1" s="1"/>
  <c r="L188" i="1"/>
  <c r="N191" i="1"/>
  <c r="P191" i="1" s="1"/>
  <c r="L191" i="1"/>
  <c r="N189" i="1"/>
  <c r="P189" i="1" s="1"/>
  <c r="L189" i="1"/>
  <c r="N193" i="1"/>
  <c r="O193" i="1" s="1"/>
  <c r="L193" i="1"/>
  <c r="K113" i="1"/>
  <c r="K112" i="1"/>
  <c r="K108" i="1"/>
  <c r="K111" i="1"/>
  <c r="E61" i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O194" i="1" l="1"/>
  <c r="O188" i="1"/>
  <c r="P190" i="1"/>
  <c r="O191" i="1"/>
  <c r="O189" i="1"/>
  <c r="P193" i="1"/>
  <c r="F108" i="1"/>
  <c r="H108" i="1" s="1"/>
  <c r="F105" i="1"/>
  <c r="H105" i="1" s="1"/>
  <c r="F107" i="1"/>
  <c r="H107" i="1" s="1"/>
  <c r="F106" i="1"/>
  <c r="H106" i="1" s="1"/>
  <c r="F113" i="1"/>
  <c r="H113" i="1" s="1"/>
  <c r="F112" i="1"/>
  <c r="H112" i="1" s="1"/>
  <c r="F109" i="1"/>
  <c r="H109" i="1" s="1"/>
  <c r="F111" i="1"/>
  <c r="H111" i="1" s="1"/>
  <c r="F110" i="1"/>
  <c r="H110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B94" i="1" s="1"/>
  <c r="F5" i="1"/>
  <c r="B92" i="1" s="1"/>
  <c r="E4" i="1"/>
  <c r="A91" i="1" s="1"/>
  <c r="B4" i="1"/>
  <c r="B29" i="1" s="1"/>
  <c r="B3" i="1"/>
  <c r="B144" i="1" s="1"/>
  <c r="B145" i="1" s="1"/>
  <c r="B151" i="1" l="1"/>
  <c r="B147" i="1"/>
  <c r="G112" i="1"/>
  <c r="G113" i="1"/>
  <c r="G106" i="1"/>
  <c r="F8" i="1"/>
  <c r="B95" i="1" s="1"/>
  <c r="G107" i="1"/>
  <c r="G105" i="1"/>
  <c r="G109" i="1"/>
  <c r="D91" i="1"/>
  <c r="C91" i="1"/>
  <c r="E91" i="1"/>
  <c r="G110" i="1"/>
  <c r="G108" i="1"/>
  <c r="G111" i="1"/>
  <c r="E5" i="1"/>
  <c r="A92" i="1" s="1"/>
  <c r="E92" i="1" s="1"/>
  <c r="G4" i="1"/>
  <c r="F6" i="1"/>
  <c r="B93" i="1" s="1"/>
  <c r="E7" i="1"/>
  <c r="A94" i="1" s="1"/>
  <c r="G5" i="1" l="1"/>
  <c r="E8" i="1"/>
  <c r="A95" i="1" s="1"/>
  <c r="E95" i="1" s="1"/>
  <c r="F9" i="1"/>
  <c r="B96" i="1" s="1"/>
  <c r="E93" i="1"/>
  <c r="C94" i="1"/>
  <c r="D92" i="1"/>
  <c r="C92" i="1"/>
  <c r="G7" i="1"/>
  <c r="G6" i="1"/>
  <c r="E94" i="1" l="1"/>
  <c r="G8" i="1"/>
  <c r="E9" i="1"/>
  <c r="A96" i="1" s="1"/>
  <c r="D93" i="1"/>
  <c r="C93" i="1"/>
  <c r="F10" i="1"/>
  <c r="B97" i="1" s="1"/>
  <c r="D94" i="1"/>
  <c r="C95" i="1"/>
  <c r="D95" i="1"/>
  <c r="G9" i="1" l="1"/>
  <c r="E96" i="1"/>
  <c r="D96" i="1"/>
  <c r="D97" i="1"/>
  <c r="G11" i="1"/>
  <c r="X4" i="1" a="1"/>
  <c r="X4" i="1" s="1"/>
  <c r="C96" i="1"/>
  <c r="G10" i="1"/>
  <c r="G12" i="1" l="1"/>
  <c r="E97" i="1"/>
  <c r="E98" i="1"/>
  <c r="D98" i="1"/>
  <c r="C98" i="1"/>
  <c r="C97" i="1"/>
  <c r="Y4" i="1"/>
  <c r="X5" i="1"/>
  <c r="C15" i="1"/>
  <c r="C104" i="1" l="1"/>
  <c r="J104" i="1" s="1"/>
  <c r="C185" i="1"/>
  <c r="C99" i="1"/>
  <c r="B100" i="1" s="1"/>
  <c r="Y5" i="1"/>
  <c r="Y6" i="1" s="1"/>
  <c r="X6" i="1"/>
  <c r="C62" i="1"/>
  <c r="C25" i="1"/>
  <c r="D25" i="1" s="1"/>
  <c r="F104" i="1" l="1"/>
  <c r="F114" i="1" s="1"/>
  <c r="B115" i="1" s="1"/>
  <c r="B127" i="1" s="1"/>
  <c r="J114" i="1"/>
  <c r="J115" i="1" s="1"/>
  <c r="D127" i="1" s="1"/>
  <c r="L104" i="1"/>
  <c r="L114" i="1" s="1"/>
  <c r="J117" i="1" s="1"/>
  <c r="D99" i="1"/>
  <c r="B102" i="1" s="1"/>
  <c r="E99" i="1"/>
  <c r="B101" i="1" s="1"/>
  <c r="K104" i="1"/>
  <c r="K114" i="1" s="1"/>
  <c r="J116" i="1" s="1"/>
  <c r="G104" i="1" l="1"/>
  <c r="G114" i="1" s="1"/>
  <c r="B116" i="1" s="1"/>
  <c r="H104" i="1"/>
  <c r="H114" i="1" s="1"/>
  <c r="B117" i="1" s="1"/>
  <c r="D126" i="1"/>
  <c r="K117" i="1"/>
  <c r="D125" i="1"/>
  <c r="K116" i="1"/>
  <c r="F127" i="1"/>
  <c r="B131" i="1" s="1"/>
  <c r="J119" i="1"/>
  <c r="J120" i="1"/>
  <c r="F126" i="1" l="1"/>
  <c r="C117" i="1"/>
  <c r="B125" i="1"/>
  <c r="C116" i="1"/>
  <c r="F125" i="1"/>
  <c r="B120" i="1"/>
  <c r="B119" i="1"/>
  <c r="B126" i="1"/>
  <c r="B132" i="1" l="1"/>
  <c r="BW5" i="1" s="1"/>
  <c r="BW9" i="1" s="1"/>
  <c r="B133" i="1"/>
  <c r="BX5" i="1" s="1"/>
  <c r="BX9" i="1" s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CM13" i="1" l="1"/>
  <c r="CM16" i="1" s="1"/>
  <c r="CL13" i="1"/>
  <c r="CL16" i="1" s="1"/>
  <c r="BY16" i="1"/>
  <c r="CF16" i="1" s="1"/>
  <c r="BY24" i="1"/>
  <c r="CF24" i="1" s="1"/>
  <c r="BY32" i="1"/>
  <c r="CF32" i="1" s="1"/>
  <c r="BY40" i="1"/>
  <c r="CF40" i="1" s="1"/>
  <c r="BY48" i="1"/>
  <c r="CF48" i="1" s="1"/>
  <c r="BY56" i="1"/>
  <c r="CF56" i="1" s="1"/>
  <c r="BY64" i="1"/>
  <c r="CF64" i="1" s="1"/>
  <c r="BY72" i="1"/>
  <c r="CF72" i="1" s="1"/>
  <c r="BY80" i="1"/>
  <c r="CF80" i="1" s="1"/>
  <c r="BY88" i="1"/>
  <c r="CF88" i="1" s="1"/>
  <c r="BY96" i="1"/>
  <c r="CF96" i="1" s="1"/>
  <c r="BY104" i="1"/>
  <c r="CF104" i="1" s="1"/>
  <c r="BY112" i="1"/>
  <c r="CF112" i="1" s="1"/>
  <c r="BY120" i="1"/>
  <c r="CF120" i="1" s="1"/>
  <c r="BY128" i="1"/>
  <c r="CF128" i="1" s="1"/>
  <c r="BY136" i="1"/>
  <c r="CF136" i="1" s="1"/>
  <c r="BY144" i="1"/>
  <c r="CF144" i="1" s="1"/>
  <c r="BY152" i="1"/>
  <c r="CF152" i="1" s="1"/>
  <c r="BY160" i="1"/>
  <c r="CF160" i="1" s="1"/>
  <c r="BY168" i="1"/>
  <c r="CF168" i="1" s="1"/>
  <c r="BY176" i="1"/>
  <c r="CF176" i="1" s="1"/>
  <c r="BY184" i="1"/>
  <c r="CF184" i="1" s="1"/>
  <c r="BY192" i="1"/>
  <c r="CF192" i="1" s="1"/>
  <c r="BY200" i="1"/>
  <c r="CF200" i="1" s="1"/>
  <c r="BY208" i="1"/>
  <c r="CF208" i="1" s="1"/>
  <c r="BY216" i="1"/>
  <c r="CF216" i="1" s="1"/>
  <c r="BY224" i="1"/>
  <c r="CF224" i="1" s="1"/>
  <c r="BY232" i="1"/>
  <c r="CF232" i="1" s="1"/>
  <c r="BY240" i="1"/>
  <c r="CF240" i="1" s="1"/>
  <c r="BY248" i="1"/>
  <c r="CF248" i="1" s="1"/>
  <c r="BY256" i="1"/>
  <c r="CF256" i="1" s="1"/>
  <c r="BY264" i="1"/>
  <c r="CF264" i="1" s="1"/>
  <c r="BY272" i="1"/>
  <c r="CF272" i="1" s="1"/>
  <c r="BY280" i="1"/>
  <c r="CF280" i="1" s="1"/>
  <c r="BY288" i="1"/>
  <c r="CF288" i="1" s="1"/>
  <c r="BY296" i="1"/>
  <c r="CF296" i="1" s="1"/>
  <c r="BY304" i="1"/>
  <c r="CF304" i="1" s="1"/>
  <c r="BY312" i="1"/>
  <c r="CF312" i="1" s="1"/>
  <c r="BY320" i="1"/>
  <c r="CF320" i="1" s="1"/>
  <c r="BY328" i="1"/>
  <c r="CF328" i="1" s="1"/>
  <c r="BY336" i="1"/>
  <c r="CF336" i="1" s="1"/>
  <c r="BY344" i="1"/>
  <c r="CF344" i="1" s="1"/>
  <c r="BY352" i="1"/>
  <c r="CF352" i="1" s="1"/>
  <c r="BY360" i="1"/>
  <c r="CF360" i="1" s="1"/>
  <c r="BY368" i="1"/>
  <c r="CF368" i="1" s="1"/>
  <c r="BY17" i="1"/>
  <c r="CF17" i="1" s="1"/>
  <c r="BY25" i="1"/>
  <c r="CF25" i="1" s="1"/>
  <c r="BY33" i="1"/>
  <c r="CF33" i="1" s="1"/>
  <c r="BY41" i="1"/>
  <c r="CF41" i="1" s="1"/>
  <c r="BY49" i="1"/>
  <c r="CF49" i="1" s="1"/>
  <c r="BY57" i="1"/>
  <c r="CF57" i="1" s="1"/>
  <c r="BY65" i="1"/>
  <c r="CF65" i="1" s="1"/>
  <c r="BY73" i="1"/>
  <c r="CF73" i="1" s="1"/>
  <c r="BY81" i="1"/>
  <c r="CF81" i="1" s="1"/>
  <c r="BY89" i="1"/>
  <c r="CF89" i="1" s="1"/>
  <c r="BY97" i="1"/>
  <c r="CF97" i="1" s="1"/>
  <c r="BY105" i="1"/>
  <c r="CF105" i="1" s="1"/>
  <c r="BY113" i="1"/>
  <c r="CF113" i="1" s="1"/>
  <c r="BY121" i="1"/>
  <c r="CF121" i="1" s="1"/>
  <c r="BY129" i="1"/>
  <c r="CF129" i="1" s="1"/>
  <c r="BY137" i="1"/>
  <c r="CF137" i="1" s="1"/>
  <c r="BY145" i="1"/>
  <c r="CF145" i="1" s="1"/>
  <c r="BY153" i="1"/>
  <c r="CF153" i="1" s="1"/>
  <c r="BY161" i="1"/>
  <c r="CF161" i="1" s="1"/>
  <c r="BY169" i="1"/>
  <c r="CF169" i="1" s="1"/>
  <c r="BY177" i="1"/>
  <c r="CF177" i="1" s="1"/>
  <c r="BY185" i="1"/>
  <c r="CF185" i="1" s="1"/>
  <c r="BY193" i="1"/>
  <c r="CF193" i="1" s="1"/>
  <c r="BY201" i="1"/>
  <c r="CF201" i="1" s="1"/>
  <c r="BY209" i="1"/>
  <c r="CF209" i="1" s="1"/>
  <c r="BY217" i="1"/>
  <c r="CF217" i="1" s="1"/>
  <c r="BY225" i="1"/>
  <c r="CF225" i="1" s="1"/>
  <c r="BY233" i="1"/>
  <c r="CF233" i="1" s="1"/>
  <c r="BY241" i="1"/>
  <c r="CF241" i="1" s="1"/>
  <c r="BY249" i="1"/>
  <c r="CF249" i="1" s="1"/>
  <c r="BY257" i="1"/>
  <c r="CF257" i="1" s="1"/>
  <c r="BY265" i="1"/>
  <c r="CF265" i="1" s="1"/>
  <c r="BY273" i="1"/>
  <c r="CF273" i="1" s="1"/>
  <c r="BY281" i="1"/>
  <c r="CF281" i="1" s="1"/>
  <c r="BY289" i="1"/>
  <c r="CF289" i="1" s="1"/>
  <c r="BY297" i="1"/>
  <c r="CF297" i="1" s="1"/>
  <c r="BY305" i="1"/>
  <c r="CF305" i="1" s="1"/>
  <c r="BY313" i="1"/>
  <c r="CF313" i="1" s="1"/>
  <c r="BY321" i="1"/>
  <c r="CF321" i="1" s="1"/>
  <c r="BY329" i="1"/>
  <c r="CF329" i="1" s="1"/>
  <c r="BY18" i="1"/>
  <c r="CF18" i="1" s="1"/>
  <c r="BY26" i="1"/>
  <c r="CF26" i="1" s="1"/>
  <c r="BY34" i="1"/>
  <c r="CF34" i="1" s="1"/>
  <c r="BY42" i="1"/>
  <c r="CF42" i="1" s="1"/>
  <c r="BY50" i="1"/>
  <c r="CF50" i="1" s="1"/>
  <c r="BY58" i="1"/>
  <c r="CF58" i="1" s="1"/>
  <c r="BY66" i="1"/>
  <c r="CF66" i="1" s="1"/>
  <c r="BY74" i="1"/>
  <c r="CF74" i="1" s="1"/>
  <c r="BY82" i="1"/>
  <c r="CF82" i="1" s="1"/>
  <c r="BY90" i="1"/>
  <c r="CF90" i="1" s="1"/>
  <c r="BY98" i="1"/>
  <c r="CF98" i="1" s="1"/>
  <c r="BY106" i="1"/>
  <c r="CF106" i="1" s="1"/>
  <c r="BY114" i="1"/>
  <c r="CF114" i="1" s="1"/>
  <c r="BY122" i="1"/>
  <c r="CF122" i="1" s="1"/>
  <c r="BY130" i="1"/>
  <c r="CF130" i="1" s="1"/>
  <c r="BY138" i="1"/>
  <c r="CF138" i="1" s="1"/>
  <c r="BY146" i="1"/>
  <c r="CF146" i="1" s="1"/>
  <c r="BY154" i="1"/>
  <c r="CF154" i="1" s="1"/>
  <c r="BY162" i="1"/>
  <c r="CF162" i="1" s="1"/>
  <c r="BY178" i="1"/>
  <c r="CF178" i="1" s="1"/>
  <c r="BY186" i="1"/>
  <c r="CF186" i="1" s="1"/>
  <c r="BY194" i="1"/>
  <c r="CF194" i="1" s="1"/>
  <c r="BY202" i="1"/>
  <c r="CF202" i="1" s="1"/>
  <c r="BY210" i="1"/>
  <c r="CF210" i="1" s="1"/>
  <c r="BY218" i="1"/>
  <c r="CF218" i="1" s="1"/>
  <c r="BY226" i="1"/>
  <c r="CF226" i="1" s="1"/>
  <c r="BY234" i="1"/>
  <c r="CF234" i="1" s="1"/>
  <c r="BY242" i="1"/>
  <c r="CF242" i="1" s="1"/>
  <c r="BY250" i="1"/>
  <c r="CF250" i="1" s="1"/>
  <c r="BY258" i="1"/>
  <c r="CF258" i="1" s="1"/>
  <c r="BY266" i="1"/>
  <c r="CF266" i="1" s="1"/>
  <c r="BY274" i="1"/>
  <c r="CF274" i="1" s="1"/>
  <c r="BY282" i="1"/>
  <c r="CF282" i="1" s="1"/>
  <c r="BY290" i="1"/>
  <c r="CF290" i="1" s="1"/>
  <c r="BY298" i="1"/>
  <c r="CF298" i="1" s="1"/>
  <c r="BY306" i="1"/>
  <c r="CF306" i="1" s="1"/>
  <c r="BY314" i="1"/>
  <c r="CF314" i="1" s="1"/>
  <c r="BY322" i="1"/>
  <c r="CF322" i="1" s="1"/>
  <c r="BY330" i="1"/>
  <c r="CF330" i="1" s="1"/>
  <c r="BY338" i="1"/>
  <c r="CF338" i="1" s="1"/>
  <c r="BY346" i="1"/>
  <c r="CF346" i="1" s="1"/>
  <c r="BY354" i="1"/>
  <c r="CF354" i="1" s="1"/>
  <c r="BY362" i="1"/>
  <c r="CF362" i="1" s="1"/>
  <c r="BY370" i="1"/>
  <c r="CF370" i="1" s="1"/>
  <c r="BY28" i="1"/>
  <c r="CF28" i="1" s="1"/>
  <c r="BY44" i="1"/>
  <c r="CF44" i="1" s="1"/>
  <c r="BY60" i="1"/>
  <c r="CF60" i="1" s="1"/>
  <c r="BY76" i="1"/>
  <c r="CF76" i="1" s="1"/>
  <c r="BY92" i="1"/>
  <c r="CF92" i="1" s="1"/>
  <c r="BY108" i="1"/>
  <c r="CF108" i="1" s="1"/>
  <c r="BY124" i="1"/>
  <c r="CF124" i="1" s="1"/>
  <c r="BY140" i="1"/>
  <c r="CF140" i="1" s="1"/>
  <c r="BY156" i="1"/>
  <c r="CF156" i="1" s="1"/>
  <c r="BY172" i="1"/>
  <c r="CF172" i="1" s="1"/>
  <c r="BY188" i="1"/>
  <c r="CF188" i="1" s="1"/>
  <c r="BY204" i="1"/>
  <c r="CF204" i="1" s="1"/>
  <c r="BY228" i="1"/>
  <c r="CF228" i="1" s="1"/>
  <c r="BY252" i="1"/>
  <c r="CF252" i="1" s="1"/>
  <c r="BY268" i="1"/>
  <c r="CF268" i="1" s="1"/>
  <c r="BY284" i="1"/>
  <c r="CF284" i="1" s="1"/>
  <c r="BY300" i="1"/>
  <c r="CF300" i="1" s="1"/>
  <c r="BY324" i="1"/>
  <c r="CF324" i="1" s="1"/>
  <c r="BY340" i="1"/>
  <c r="CF340" i="1" s="1"/>
  <c r="BY364" i="1"/>
  <c r="CF364" i="1" s="1"/>
  <c r="BY21" i="1"/>
  <c r="CF21" i="1" s="1"/>
  <c r="BY37" i="1"/>
  <c r="CF37" i="1" s="1"/>
  <c r="BY53" i="1"/>
  <c r="CF53" i="1" s="1"/>
  <c r="BY69" i="1"/>
  <c r="CF69" i="1" s="1"/>
  <c r="BY85" i="1"/>
  <c r="CF85" i="1" s="1"/>
  <c r="BY101" i="1"/>
  <c r="CF101" i="1" s="1"/>
  <c r="BY109" i="1"/>
  <c r="CF109" i="1" s="1"/>
  <c r="BY125" i="1"/>
  <c r="CF125" i="1" s="1"/>
  <c r="BY141" i="1"/>
  <c r="CF141" i="1" s="1"/>
  <c r="BY157" i="1"/>
  <c r="CF157" i="1" s="1"/>
  <c r="BY165" i="1"/>
  <c r="CF165" i="1" s="1"/>
  <c r="BY181" i="1"/>
  <c r="CF181" i="1" s="1"/>
  <c r="BY205" i="1"/>
  <c r="CF205" i="1" s="1"/>
  <c r="BY221" i="1"/>
  <c r="CF221" i="1" s="1"/>
  <c r="BY237" i="1"/>
  <c r="CF237" i="1" s="1"/>
  <c r="BY253" i="1"/>
  <c r="CF253" i="1" s="1"/>
  <c r="BY19" i="1"/>
  <c r="CF19" i="1" s="1"/>
  <c r="BY27" i="1"/>
  <c r="CF27" i="1" s="1"/>
  <c r="BY35" i="1"/>
  <c r="CF35" i="1" s="1"/>
  <c r="BY43" i="1"/>
  <c r="CF43" i="1" s="1"/>
  <c r="BY51" i="1"/>
  <c r="CF51" i="1" s="1"/>
  <c r="BY59" i="1"/>
  <c r="CF59" i="1" s="1"/>
  <c r="BY67" i="1"/>
  <c r="CF67" i="1" s="1"/>
  <c r="BY75" i="1"/>
  <c r="CF75" i="1" s="1"/>
  <c r="BY83" i="1"/>
  <c r="CF83" i="1" s="1"/>
  <c r="BY91" i="1"/>
  <c r="CF91" i="1" s="1"/>
  <c r="BY99" i="1"/>
  <c r="CF99" i="1" s="1"/>
  <c r="BY107" i="1"/>
  <c r="CF107" i="1" s="1"/>
  <c r="BY115" i="1"/>
  <c r="CF115" i="1" s="1"/>
  <c r="BY123" i="1"/>
  <c r="CF123" i="1" s="1"/>
  <c r="BY131" i="1"/>
  <c r="CF131" i="1" s="1"/>
  <c r="BY139" i="1"/>
  <c r="CF139" i="1" s="1"/>
  <c r="BY147" i="1"/>
  <c r="CF147" i="1" s="1"/>
  <c r="BY155" i="1"/>
  <c r="CF155" i="1" s="1"/>
  <c r="BY163" i="1"/>
  <c r="CF163" i="1" s="1"/>
  <c r="BY171" i="1"/>
  <c r="CF171" i="1" s="1"/>
  <c r="BY179" i="1"/>
  <c r="CF179" i="1" s="1"/>
  <c r="BY187" i="1"/>
  <c r="CF187" i="1" s="1"/>
  <c r="BY195" i="1"/>
  <c r="CF195" i="1" s="1"/>
  <c r="BY203" i="1"/>
  <c r="CF203" i="1" s="1"/>
  <c r="BY211" i="1"/>
  <c r="CF211" i="1" s="1"/>
  <c r="BY219" i="1"/>
  <c r="CF219" i="1" s="1"/>
  <c r="BY227" i="1"/>
  <c r="CF227" i="1" s="1"/>
  <c r="BY235" i="1"/>
  <c r="CF235" i="1" s="1"/>
  <c r="BY243" i="1"/>
  <c r="CF243" i="1" s="1"/>
  <c r="BY251" i="1"/>
  <c r="CF251" i="1" s="1"/>
  <c r="BY259" i="1"/>
  <c r="CF259" i="1" s="1"/>
  <c r="BY267" i="1"/>
  <c r="CF267" i="1" s="1"/>
  <c r="BY275" i="1"/>
  <c r="CF275" i="1" s="1"/>
  <c r="BY283" i="1"/>
  <c r="CF283" i="1" s="1"/>
  <c r="BY291" i="1"/>
  <c r="CF291" i="1" s="1"/>
  <c r="BY299" i="1"/>
  <c r="CF299" i="1" s="1"/>
  <c r="BY307" i="1"/>
  <c r="CF307" i="1" s="1"/>
  <c r="BY315" i="1"/>
  <c r="CF315" i="1" s="1"/>
  <c r="BY323" i="1"/>
  <c r="CF323" i="1" s="1"/>
  <c r="BY331" i="1"/>
  <c r="CF331" i="1" s="1"/>
  <c r="BY339" i="1"/>
  <c r="CF339" i="1" s="1"/>
  <c r="BY347" i="1"/>
  <c r="CF347" i="1" s="1"/>
  <c r="BY355" i="1"/>
  <c r="CF355" i="1" s="1"/>
  <c r="BY363" i="1"/>
  <c r="CF363" i="1" s="1"/>
  <c r="BY371" i="1"/>
  <c r="CF371" i="1" s="1"/>
  <c r="BY20" i="1"/>
  <c r="CF20" i="1" s="1"/>
  <c r="BY36" i="1"/>
  <c r="CF36" i="1" s="1"/>
  <c r="BY52" i="1"/>
  <c r="CF52" i="1" s="1"/>
  <c r="BY68" i="1"/>
  <c r="CF68" i="1" s="1"/>
  <c r="BY84" i="1"/>
  <c r="CF84" i="1" s="1"/>
  <c r="BY100" i="1"/>
  <c r="CF100" i="1" s="1"/>
  <c r="BY116" i="1"/>
  <c r="CF116" i="1" s="1"/>
  <c r="BY132" i="1"/>
  <c r="CF132" i="1" s="1"/>
  <c r="BY148" i="1"/>
  <c r="CF148" i="1" s="1"/>
  <c r="BY164" i="1"/>
  <c r="CF164" i="1" s="1"/>
  <c r="BY180" i="1"/>
  <c r="CF180" i="1" s="1"/>
  <c r="BY196" i="1"/>
  <c r="CF196" i="1" s="1"/>
  <c r="BY212" i="1"/>
  <c r="CF212" i="1" s="1"/>
  <c r="BY220" i="1"/>
  <c r="CF220" i="1" s="1"/>
  <c r="BY236" i="1"/>
  <c r="CF236" i="1" s="1"/>
  <c r="BY244" i="1"/>
  <c r="CF244" i="1" s="1"/>
  <c r="BY260" i="1"/>
  <c r="CF260" i="1" s="1"/>
  <c r="BY276" i="1"/>
  <c r="CF276" i="1" s="1"/>
  <c r="BY292" i="1"/>
  <c r="CF292" i="1" s="1"/>
  <c r="BY308" i="1"/>
  <c r="CF308" i="1" s="1"/>
  <c r="BY316" i="1"/>
  <c r="CF316" i="1" s="1"/>
  <c r="BY332" i="1"/>
  <c r="CF332" i="1" s="1"/>
  <c r="BY348" i="1"/>
  <c r="CF348" i="1" s="1"/>
  <c r="BY356" i="1"/>
  <c r="CF356" i="1" s="1"/>
  <c r="BY372" i="1"/>
  <c r="CF372" i="1" s="1"/>
  <c r="BY29" i="1"/>
  <c r="CF29" i="1" s="1"/>
  <c r="BY45" i="1"/>
  <c r="CF45" i="1" s="1"/>
  <c r="BY61" i="1"/>
  <c r="CF61" i="1" s="1"/>
  <c r="BY77" i="1"/>
  <c r="CF77" i="1" s="1"/>
  <c r="BY93" i="1"/>
  <c r="CF93" i="1" s="1"/>
  <c r="BY117" i="1"/>
  <c r="CF117" i="1" s="1"/>
  <c r="BY133" i="1"/>
  <c r="CF133" i="1" s="1"/>
  <c r="BY149" i="1"/>
  <c r="CF149" i="1" s="1"/>
  <c r="BY173" i="1"/>
  <c r="CF173" i="1" s="1"/>
  <c r="BY189" i="1"/>
  <c r="CF189" i="1" s="1"/>
  <c r="BY197" i="1"/>
  <c r="CF197" i="1" s="1"/>
  <c r="BY213" i="1"/>
  <c r="CF213" i="1" s="1"/>
  <c r="BY229" i="1"/>
  <c r="CF229" i="1" s="1"/>
  <c r="BY245" i="1"/>
  <c r="CF245" i="1" s="1"/>
  <c r="BY261" i="1"/>
  <c r="CF261" i="1" s="1"/>
  <c r="BY30" i="1"/>
  <c r="CF30" i="1" s="1"/>
  <c r="BY62" i="1"/>
  <c r="CF62" i="1" s="1"/>
  <c r="BY94" i="1"/>
  <c r="CF94" i="1" s="1"/>
  <c r="BY126" i="1"/>
  <c r="CF126" i="1" s="1"/>
  <c r="BY158" i="1"/>
  <c r="CF158" i="1" s="1"/>
  <c r="BY190" i="1"/>
  <c r="CF190" i="1" s="1"/>
  <c r="BY222" i="1"/>
  <c r="CF222" i="1" s="1"/>
  <c r="BY254" i="1"/>
  <c r="CF254" i="1" s="1"/>
  <c r="BY278" i="1"/>
  <c r="CF278" i="1" s="1"/>
  <c r="BY301" i="1"/>
  <c r="CF301" i="1" s="1"/>
  <c r="BY319" i="1"/>
  <c r="CF319" i="1" s="1"/>
  <c r="BY341" i="1"/>
  <c r="CF341" i="1" s="1"/>
  <c r="BY357" i="1"/>
  <c r="CF357" i="1" s="1"/>
  <c r="BY373" i="1"/>
  <c r="CF373" i="1" s="1"/>
  <c r="BY111" i="1"/>
  <c r="CF111" i="1" s="1"/>
  <c r="BY86" i="1"/>
  <c r="CF86" i="1" s="1"/>
  <c r="BY182" i="1"/>
  <c r="CF182" i="1" s="1"/>
  <c r="BY271" i="1"/>
  <c r="CF271" i="1" s="1"/>
  <c r="BY335" i="1"/>
  <c r="CF335" i="1" s="1"/>
  <c r="BY55" i="1"/>
  <c r="CF55" i="1" s="1"/>
  <c r="BY119" i="1"/>
  <c r="CF119" i="1" s="1"/>
  <c r="BY183" i="1"/>
  <c r="CF183" i="1" s="1"/>
  <c r="BY295" i="1"/>
  <c r="CF295" i="1" s="1"/>
  <c r="BY31" i="1"/>
  <c r="CF31" i="1" s="1"/>
  <c r="BY63" i="1"/>
  <c r="CF63" i="1" s="1"/>
  <c r="BY95" i="1"/>
  <c r="CF95" i="1" s="1"/>
  <c r="BY127" i="1"/>
  <c r="CF127" i="1" s="1"/>
  <c r="BY159" i="1"/>
  <c r="CF159" i="1" s="1"/>
  <c r="BY191" i="1"/>
  <c r="CF191" i="1" s="1"/>
  <c r="BY223" i="1"/>
  <c r="CF223" i="1" s="1"/>
  <c r="BY255" i="1"/>
  <c r="CF255" i="1" s="1"/>
  <c r="BY279" i="1"/>
  <c r="CF279" i="1" s="1"/>
  <c r="BY302" i="1"/>
  <c r="CF302" i="1" s="1"/>
  <c r="BY325" i="1"/>
  <c r="CF325" i="1" s="1"/>
  <c r="BY342" i="1"/>
  <c r="CF342" i="1" s="1"/>
  <c r="BY358" i="1"/>
  <c r="CF358" i="1" s="1"/>
  <c r="BY374" i="1"/>
  <c r="CF374" i="1" s="1"/>
  <c r="BY39" i="1"/>
  <c r="CF39" i="1" s="1"/>
  <c r="BY103" i="1"/>
  <c r="CF103" i="1" s="1"/>
  <c r="BY135" i="1"/>
  <c r="CF135" i="1" s="1"/>
  <c r="BY167" i="1"/>
  <c r="CF167" i="1" s="1"/>
  <c r="BY231" i="1"/>
  <c r="CF231" i="1" s="1"/>
  <c r="BY263" i="1"/>
  <c r="CF263" i="1" s="1"/>
  <c r="BY309" i="1"/>
  <c r="CF309" i="1" s="1"/>
  <c r="BY345" i="1"/>
  <c r="CF345" i="1" s="1"/>
  <c r="BY46" i="1"/>
  <c r="CF46" i="1" s="1"/>
  <c r="BY110" i="1"/>
  <c r="CF110" i="1" s="1"/>
  <c r="BY206" i="1"/>
  <c r="CF206" i="1" s="1"/>
  <c r="BY269" i="1"/>
  <c r="CF269" i="1" s="1"/>
  <c r="BY310" i="1"/>
  <c r="CF310" i="1" s="1"/>
  <c r="BY365" i="1"/>
  <c r="CF365" i="1" s="1"/>
  <c r="BY79" i="1"/>
  <c r="CF79" i="1" s="1"/>
  <c r="BY175" i="1"/>
  <c r="CF175" i="1" s="1"/>
  <c r="BY239" i="1"/>
  <c r="CF239" i="1" s="1"/>
  <c r="BY293" i="1"/>
  <c r="CF293" i="1" s="1"/>
  <c r="BY311" i="1"/>
  <c r="CF311" i="1" s="1"/>
  <c r="BY350" i="1"/>
  <c r="CF350" i="1" s="1"/>
  <c r="BY22" i="1"/>
  <c r="CF22" i="1" s="1"/>
  <c r="BY150" i="1"/>
  <c r="CF150" i="1" s="1"/>
  <c r="BY246" i="1"/>
  <c r="CF246" i="1" s="1"/>
  <c r="BY317" i="1"/>
  <c r="CF317" i="1" s="1"/>
  <c r="BY367" i="1"/>
  <c r="CF367" i="1" s="1"/>
  <c r="BY87" i="1"/>
  <c r="CF87" i="1" s="1"/>
  <c r="BY151" i="1"/>
  <c r="CF151" i="1" s="1"/>
  <c r="BY247" i="1"/>
  <c r="CF247" i="1" s="1"/>
  <c r="BY277" i="1"/>
  <c r="CF277" i="1" s="1"/>
  <c r="BY318" i="1"/>
  <c r="CF318" i="1" s="1"/>
  <c r="BY353" i="1"/>
  <c r="CF353" i="1" s="1"/>
  <c r="BY369" i="1"/>
  <c r="CF369" i="1" s="1"/>
  <c r="BY38" i="1"/>
  <c r="CF38" i="1" s="1"/>
  <c r="BY70" i="1"/>
  <c r="CF70" i="1" s="1"/>
  <c r="BY102" i="1"/>
  <c r="CF102" i="1" s="1"/>
  <c r="BY134" i="1"/>
  <c r="CF134" i="1" s="1"/>
  <c r="BY166" i="1"/>
  <c r="CF166" i="1" s="1"/>
  <c r="BY198" i="1"/>
  <c r="CF198" i="1" s="1"/>
  <c r="BY230" i="1"/>
  <c r="CF230" i="1" s="1"/>
  <c r="BY262" i="1"/>
  <c r="CF262" i="1" s="1"/>
  <c r="BY285" i="1"/>
  <c r="CF285" i="1" s="1"/>
  <c r="BY303" i="1"/>
  <c r="CF303" i="1" s="1"/>
  <c r="BY326" i="1"/>
  <c r="CF326" i="1" s="1"/>
  <c r="BY343" i="1"/>
  <c r="CF343" i="1" s="1"/>
  <c r="BY359" i="1"/>
  <c r="CF359" i="1" s="1"/>
  <c r="BY375" i="1"/>
  <c r="CF375" i="1" s="1"/>
  <c r="BY71" i="1"/>
  <c r="CF71" i="1" s="1"/>
  <c r="BY199" i="1"/>
  <c r="CF199" i="1" s="1"/>
  <c r="BY286" i="1"/>
  <c r="CF286" i="1" s="1"/>
  <c r="BY327" i="1"/>
  <c r="CF327" i="1" s="1"/>
  <c r="BY361" i="1"/>
  <c r="CF361" i="1" s="1"/>
  <c r="BY78" i="1"/>
  <c r="CF78" i="1" s="1"/>
  <c r="BY142" i="1"/>
  <c r="CF142" i="1" s="1"/>
  <c r="BY174" i="1"/>
  <c r="CF174" i="1" s="1"/>
  <c r="BY238" i="1"/>
  <c r="CF238" i="1" s="1"/>
  <c r="BY287" i="1"/>
  <c r="CF287" i="1" s="1"/>
  <c r="BY333" i="1"/>
  <c r="CF333" i="1" s="1"/>
  <c r="BY349" i="1"/>
  <c r="CF349" i="1" s="1"/>
  <c r="BY47" i="1"/>
  <c r="CF47" i="1" s="1"/>
  <c r="BY143" i="1"/>
  <c r="CF143" i="1" s="1"/>
  <c r="BY207" i="1"/>
  <c r="CF207" i="1" s="1"/>
  <c r="BY270" i="1"/>
  <c r="CF270" i="1" s="1"/>
  <c r="BY334" i="1"/>
  <c r="CF334" i="1" s="1"/>
  <c r="BY366" i="1"/>
  <c r="CF366" i="1" s="1"/>
  <c r="BY54" i="1"/>
  <c r="CF54" i="1" s="1"/>
  <c r="BY118" i="1"/>
  <c r="CF118" i="1" s="1"/>
  <c r="BY214" i="1"/>
  <c r="CF214" i="1" s="1"/>
  <c r="BY294" i="1"/>
  <c r="CF294" i="1" s="1"/>
  <c r="BY351" i="1"/>
  <c r="CF351" i="1" s="1"/>
  <c r="BY23" i="1"/>
  <c r="CF23" i="1" s="1"/>
  <c r="BY215" i="1"/>
  <c r="CF215" i="1" s="1"/>
  <c r="BY337" i="1"/>
  <c r="CF337" i="1" s="1"/>
  <c r="BX16" i="1"/>
  <c r="CE16" i="1" s="1"/>
  <c r="BX24" i="1"/>
  <c r="CE24" i="1" s="1"/>
  <c r="BX32" i="1"/>
  <c r="CE32" i="1" s="1"/>
  <c r="BX40" i="1"/>
  <c r="CE40" i="1" s="1"/>
  <c r="BX48" i="1"/>
  <c r="CE48" i="1" s="1"/>
  <c r="BX56" i="1"/>
  <c r="CE56" i="1" s="1"/>
  <c r="BX64" i="1"/>
  <c r="CE64" i="1" s="1"/>
  <c r="BX72" i="1"/>
  <c r="CE72" i="1" s="1"/>
  <c r="BX80" i="1"/>
  <c r="CE80" i="1" s="1"/>
  <c r="BX88" i="1"/>
  <c r="CE88" i="1" s="1"/>
  <c r="BX96" i="1"/>
  <c r="CE96" i="1" s="1"/>
  <c r="BX104" i="1"/>
  <c r="CE104" i="1" s="1"/>
  <c r="BX112" i="1"/>
  <c r="CE112" i="1" s="1"/>
  <c r="BX120" i="1"/>
  <c r="CE120" i="1" s="1"/>
  <c r="BX128" i="1"/>
  <c r="CE128" i="1" s="1"/>
  <c r="BX136" i="1"/>
  <c r="CE136" i="1" s="1"/>
  <c r="BX144" i="1"/>
  <c r="CE144" i="1" s="1"/>
  <c r="BX152" i="1"/>
  <c r="CE152" i="1" s="1"/>
  <c r="BX160" i="1"/>
  <c r="CE160" i="1" s="1"/>
  <c r="BX168" i="1"/>
  <c r="CE168" i="1" s="1"/>
  <c r="BX176" i="1"/>
  <c r="CE176" i="1" s="1"/>
  <c r="BX184" i="1"/>
  <c r="CE184" i="1" s="1"/>
  <c r="BX192" i="1"/>
  <c r="CE192" i="1" s="1"/>
  <c r="BX200" i="1"/>
  <c r="CE200" i="1" s="1"/>
  <c r="BX208" i="1"/>
  <c r="CE208" i="1" s="1"/>
  <c r="BX216" i="1"/>
  <c r="CE216" i="1" s="1"/>
  <c r="BX224" i="1"/>
  <c r="CE224" i="1" s="1"/>
  <c r="BX232" i="1"/>
  <c r="CE232" i="1" s="1"/>
  <c r="BX240" i="1"/>
  <c r="CE240" i="1" s="1"/>
  <c r="BX248" i="1"/>
  <c r="CE248" i="1" s="1"/>
  <c r="BX256" i="1"/>
  <c r="CE256" i="1" s="1"/>
  <c r="BX264" i="1"/>
  <c r="CE264" i="1" s="1"/>
  <c r="BX272" i="1"/>
  <c r="CE272" i="1" s="1"/>
  <c r="BX280" i="1"/>
  <c r="CE280" i="1" s="1"/>
  <c r="BX288" i="1"/>
  <c r="CE288" i="1" s="1"/>
  <c r="BX296" i="1"/>
  <c r="CE296" i="1" s="1"/>
  <c r="BX304" i="1"/>
  <c r="CE304" i="1" s="1"/>
  <c r="BX312" i="1"/>
  <c r="CE312" i="1" s="1"/>
  <c r="BX320" i="1"/>
  <c r="CE320" i="1" s="1"/>
  <c r="BX328" i="1"/>
  <c r="CE328" i="1" s="1"/>
  <c r="BX336" i="1"/>
  <c r="CE336" i="1" s="1"/>
  <c r="BX344" i="1"/>
  <c r="CE344" i="1" s="1"/>
  <c r="BX352" i="1"/>
  <c r="CE352" i="1" s="1"/>
  <c r="BX360" i="1"/>
  <c r="CE360" i="1" s="1"/>
  <c r="BX368" i="1"/>
  <c r="CE368" i="1" s="1"/>
  <c r="BX211" i="1"/>
  <c r="CE211" i="1" s="1"/>
  <c r="BX315" i="1"/>
  <c r="CE315" i="1" s="1"/>
  <c r="BX371" i="1"/>
  <c r="CE371" i="1" s="1"/>
  <c r="BX20" i="1"/>
  <c r="CE20" i="1" s="1"/>
  <c r="BX44" i="1"/>
  <c r="CE44" i="1" s="1"/>
  <c r="BX52" i="1"/>
  <c r="CE52" i="1" s="1"/>
  <c r="BX60" i="1"/>
  <c r="CE60" i="1" s="1"/>
  <c r="BX76" i="1"/>
  <c r="CE76" i="1" s="1"/>
  <c r="BX92" i="1"/>
  <c r="CE92" i="1" s="1"/>
  <c r="BX116" i="1"/>
  <c r="CE116" i="1" s="1"/>
  <c r="BX132" i="1"/>
  <c r="CE132" i="1" s="1"/>
  <c r="BX17" i="1"/>
  <c r="CE17" i="1" s="1"/>
  <c r="BX25" i="1"/>
  <c r="CE25" i="1" s="1"/>
  <c r="BX33" i="1"/>
  <c r="CE33" i="1" s="1"/>
  <c r="BX41" i="1"/>
  <c r="CE41" i="1" s="1"/>
  <c r="BX49" i="1"/>
  <c r="CE49" i="1" s="1"/>
  <c r="BX57" i="1"/>
  <c r="CE57" i="1" s="1"/>
  <c r="BX65" i="1"/>
  <c r="CE65" i="1" s="1"/>
  <c r="BX73" i="1"/>
  <c r="CE73" i="1" s="1"/>
  <c r="BX81" i="1"/>
  <c r="CE81" i="1" s="1"/>
  <c r="BX89" i="1"/>
  <c r="CE89" i="1" s="1"/>
  <c r="BX97" i="1"/>
  <c r="CE97" i="1" s="1"/>
  <c r="BX105" i="1"/>
  <c r="CE105" i="1" s="1"/>
  <c r="BX113" i="1"/>
  <c r="CE113" i="1" s="1"/>
  <c r="BX121" i="1"/>
  <c r="CE121" i="1" s="1"/>
  <c r="BX129" i="1"/>
  <c r="CE129" i="1" s="1"/>
  <c r="BX137" i="1"/>
  <c r="CE137" i="1" s="1"/>
  <c r="BX145" i="1"/>
  <c r="CE145" i="1" s="1"/>
  <c r="BX153" i="1"/>
  <c r="CE153" i="1" s="1"/>
  <c r="BX161" i="1"/>
  <c r="CE161" i="1" s="1"/>
  <c r="BX169" i="1"/>
  <c r="CE169" i="1" s="1"/>
  <c r="BX177" i="1"/>
  <c r="CE177" i="1" s="1"/>
  <c r="BX185" i="1"/>
  <c r="CE185" i="1" s="1"/>
  <c r="BX193" i="1"/>
  <c r="CE193" i="1" s="1"/>
  <c r="BX201" i="1"/>
  <c r="CE201" i="1" s="1"/>
  <c r="BX209" i="1"/>
  <c r="CE209" i="1" s="1"/>
  <c r="BX217" i="1"/>
  <c r="CE217" i="1" s="1"/>
  <c r="BX225" i="1"/>
  <c r="CE225" i="1" s="1"/>
  <c r="BX233" i="1"/>
  <c r="CE233" i="1" s="1"/>
  <c r="BX241" i="1"/>
  <c r="CE241" i="1" s="1"/>
  <c r="BX249" i="1"/>
  <c r="CE249" i="1" s="1"/>
  <c r="BX257" i="1"/>
  <c r="CE257" i="1" s="1"/>
  <c r="BX265" i="1"/>
  <c r="CE265" i="1" s="1"/>
  <c r="BX273" i="1"/>
  <c r="CE273" i="1" s="1"/>
  <c r="BX281" i="1"/>
  <c r="CE281" i="1" s="1"/>
  <c r="BX289" i="1"/>
  <c r="CE289" i="1" s="1"/>
  <c r="BX297" i="1"/>
  <c r="CE297" i="1" s="1"/>
  <c r="BX305" i="1"/>
  <c r="CE305" i="1" s="1"/>
  <c r="BX313" i="1"/>
  <c r="CE313" i="1" s="1"/>
  <c r="BX321" i="1"/>
  <c r="CE321" i="1" s="1"/>
  <c r="BX329" i="1"/>
  <c r="CE329" i="1" s="1"/>
  <c r="BX337" i="1"/>
  <c r="CE337" i="1" s="1"/>
  <c r="BX345" i="1"/>
  <c r="CE345" i="1" s="1"/>
  <c r="BX353" i="1"/>
  <c r="CE353" i="1" s="1"/>
  <c r="BX361" i="1"/>
  <c r="CE361" i="1" s="1"/>
  <c r="BX369" i="1"/>
  <c r="CE369" i="1" s="1"/>
  <c r="BX186" i="1"/>
  <c r="CE186" i="1" s="1"/>
  <c r="BX282" i="1"/>
  <c r="CE282" i="1" s="1"/>
  <c r="BX306" i="1"/>
  <c r="CE306" i="1" s="1"/>
  <c r="BX330" i="1"/>
  <c r="CE330" i="1" s="1"/>
  <c r="BX346" i="1"/>
  <c r="CE346" i="1" s="1"/>
  <c r="BX354" i="1"/>
  <c r="CE354" i="1" s="1"/>
  <c r="BX370" i="1"/>
  <c r="CE370" i="1" s="1"/>
  <c r="BX19" i="1"/>
  <c r="CE19" i="1" s="1"/>
  <c r="BX35" i="1"/>
  <c r="CE35" i="1" s="1"/>
  <c r="BX43" i="1"/>
  <c r="CE43" i="1" s="1"/>
  <c r="BX51" i="1"/>
  <c r="CE51" i="1" s="1"/>
  <c r="BX59" i="1"/>
  <c r="CE59" i="1" s="1"/>
  <c r="BX67" i="1"/>
  <c r="CE67" i="1" s="1"/>
  <c r="BX75" i="1"/>
  <c r="CE75" i="1" s="1"/>
  <c r="BX83" i="1"/>
  <c r="CE83" i="1" s="1"/>
  <c r="BX91" i="1"/>
  <c r="CE91" i="1" s="1"/>
  <c r="BX99" i="1"/>
  <c r="CE99" i="1" s="1"/>
  <c r="BX107" i="1"/>
  <c r="CE107" i="1" s="1"/>
  <c r="BX123" i="1"/>
  <c r="CE123" i="1" s="1"/>
  <c r="BX131" i="1"/>
  <c r="CE131" i="1" s="1"/>
  <c r="BX139" i="1"/>
  <c r="CE139" i="1" s="1"/>
  <c r="BX155" i="1"/>
  <c r="CE155" i="1" s="1"/>
  <c r="BX163" i="1"/>
  <c r="CE163" i="1" s="1"/>
  <c r="BX179" i="1"/>
  <c r="CE179" i="1" s="1"/>
  <c r="BX187" i="1"/>
  <c r="CE187" i="1" s="1"/>
  <c r="BX195" i="1"/>
  <c r="CE195" i="1" s="1"/>
  <c r="BX219" i="1"/>
  <c r="CE219" i="1" s="1"/>
  <c r="BX235" i="1"/>
  <c r="CE235" i="1" s="1"/>
  <c r="BX243" i="1"/>
  <c r="CE243" i="1" s="1"/>
  <c r="BX259" i="1"/>
  <c r="CE259" i="1" s="1"/>
  <c r="BX267" i="1"/>
  <c r="CE267" i="1" s="1"/>
  <c r="BX283" i="1"/>
  <c r="CE283" i="1" s="1"/>
  <c r="BX291" i="1"/>
  <c r="CE291" i="1" s="1"/>
  <c r="BX307" i="1"/>
  <c r="CE307" i="1" s="1"/>
  <c r="BX323" i="1"/>
  <c r="CE323" i="1" s="1"/>
  <c r="BX339" i="1"/>
  <c r="CE339" i="1" s="1"/>
  <c r="BX347" i="1"/>
  <c r="CE347" i="1" s="1"/>
  <c r="BX355" i="1"/>
  <c r="CE355" i="1" s="1"/>
  <c r="BX36" i="1"/>
  <c r="CE36" i="1" s="1"/>
  <c r="BX100" i="1"/>
  <c r="CE100" i="1" s="1"/>
  <c r="BX18" i="1"/>
  <c r="CE18" i="1" s="1"/>
  <c r="BX26" i="1"/>
  <c r="CE26" i="1" s="1"/>
  <c r="BX34" i="1"/>
  <c r="CE34" i="1" s="1"/>
  <c r="BX42" i="1"/>
  <c r="CE42" i="1" s="1"/>
  <c r="BX50" i="1"/>
  <c r="CE50" i="1" s="1"/>
  <c r="BX58" i="1"/>
  <c r="CE58" i="1" s="1"/>
  <c r="BX66" i="1"/>
  <c r="CE66" i="1" s="1"/>
  <c r="BX74" i="1"/>
  <c r="CE74" i="1" s="1"/>
  <c r="BX82" i="1"/>
  <c r="CE82" i="1" s="1"/>
  <c r="BX90" i="1"/>
  <c r="CE90" i="1" s="1"/>
  <c r="BX98" i="1"/>
  <c r="CE98" i="1" s="1"/>
  <c r="BX106" i="1"/>
  <c r="CE106" i="1" s="1"/>
  <c r="BX114" i="1"/>
  <c r="CE114" i="1" s="1"/>
  <c r="BX122" i="1"/>
  <c r="CE122" i="1" s="1"/>
  <c r="BX130" i="1"/>
  <c r="CE130" i="1" s="1"/>
  <c r="BX138" i="1"/>
  <c r="CE138" i="1" s="1"/>
  <c r="BX146" i="1"/>
  <c r="CE146" i="1" s="1"/>
  <c r="BX154" i="1"/>
  <c r="CE154" i="1" s="1"/>
  <c r="BX162" i="1"/>
  <c r="CE162" i="1" s="1"/>
  <c r="BX178" i="1"/>
  <c r="CE178" i="1" s="1"/>
  <c r="BX194" i="1"/>
  <c r="CE194" i="1" s="1"/>
  <c r="BX202" i="1"/>
  <c r="CE202" i="1" s="1"/>
  <c r="BX210" i="1"/>
  <c r="CE210" i="1" s="1"/>
  <c r="BX218" i="1"/>
  <c r="CE218" i="1" s="1"/>
  <c r="BX226" i="1"/>
  <c r="CE226" i="1" s="1"/>
  <c r="BX234" i="1"/>
  <c r="CE234" i="1" s="1"/>
  <c r="BX242" i="1"/>
  <c r="CE242" i="1" s="1"/>
  <c r="BX250" i="1"/>
  <c r="CE250" i="1" s="1"/>
  <c r="BX258" i="1"/>
  <c r="CE258" i="1" s="1"/>
  <c r="BX266" i="1"/>
  <c r="CE266" i="1" s="1"/>
  <c r="BX274" i="1"/>
  <c r="CE274" i="1" s="1"/>
  <c r="BX290" i="1"/>
  <c r="CE290" i="1" s="1"/>
  <c r="BX298" i="1"/>
  <c r="CE298" i="1" s="1"/>
  <c r="BX314" i="1"/>
  <c r="CE314" i="1" s="1"/>
  <c r="BX322" i="1"/>
  <c r="CE322" i="1" s="1"/>
  <c r="BX338" i="1"/>
  <c r="CE338" i="1" s="1"/>
  <c r="BX362" i="1"/>
  <c r="CE362" i="1" s="1"/>
  <c r="BX27" i="1"/>
  <c r="CE27" i="1" s="1"/>
  <c r="BX115" i="1"/>
  <c r="CE115" i="1" s="1"/>
  <c r="BX147" i="1"/>
  <c r="CE147" i="1" s="1"/>
  <c r="BX171" i="1"/>
  <c r="CE171" i="1" s="1"/>
  <c r="BX203" i="1"/>
  <c r="CE203" i="1" s="1"/>
  <c r="BX227" i="1"/>
  <c r="CE227" i="1" s="1"/>
  <c r="BX251" i="1"/>
  <c r="CE251" i="1" s="1"/>
  <c r="BX275" i="1"/>
  <c r="CE275" i="1" s="1"/>
  <c r="BX299" i="1"/>
  <c r="CE299" i="1" s="1"/>
  <c r="BX331" i="1"/>
  <c r="CE331" i="1" s="1"/>
  <c r="BX363" i="1"/>
  <c r="CE363" i="1" s="1"/>
  <c r="BX28" i="1"/>
  <c r="CE28" i="1" s="1"/>
  <c r="BX68" i="1"/>
  <c r="CE68" i="1" s="1"/>
  <c r="BX84" i="1"/>
  <c r="CE84" i="1" s="1"/>
  <c r="BX108" i="1"/>
  <c r="CE108" i="1" s="1"/>
  <c r="BX124" i="1"/>
  <c r="CE124" i="1" s="1"/>
  <c r="BX21" i="1"/>
  <c r="CE21" i="1" s="1"/>
  <c r="BX39" i="1"/>
  <c r="CE39" i="1" s="1"/>
  <c r="BX62" i="1"/>
  <c r="CE62" i="1" s="1"/>
  <c r="BX85" i="1"/>
  <c r="CE85" i="1" s="1"/>
  <c r="BX103" i="1"/>
  <c r="CE103" i="1" s="1"/>
  <c r="BX126" i="1"/>
  <c r="CE126" i="1" s="1"/>
  <c r="BX143" i="1"/>
  <c r="CE143" i="1" s="1"/>
  <c r="BX159" i="1"/>
  <c r="CE159" i="1" s="1"/>
  <c r="BX175" i="1"/>
  <c r="CE175" i="1" s="1"/>
  <c r="BX191" i="1"/>
  <c r="CE191" i="1" s="1"/>
  <c r="BX207" i="1"/>
  <c r="CE207" i="1" s="1"/>
  <c r="BX223" i="1"/>
  <c r="CE223" i="1" s="1"/>
  <c r="BX239" i="1"/>
  <c r="CE239" i="1" s="1"/>
  <c r="BX255" i="1"/>
  <c r="CE255" i="1" s="1"/>
  <c r="BX271" i="1"/>
  <c r="CE271" i="1" s="1"/>
  <c r="BX287" i="1"/>
  <c r="CE287" i="1" s="1"/>
  <c r="BX303" i="1"/>
  <c r="CE303" i="1" s="1"/>
  <c r="BX319" i="1"/>
  <c r="CE319" i="1" s="1"/>
  <c r="BX335" i="1"/>
  <c r="CE335" i="1" s="1"/>
  <c r="BX351" i="1"/>
  <c r="CE351" i="1" s="1"/>
  <c r="BX367" i="1"/>
  <c r="CE367" i="1" s="1"/>
  <c r="BX22" i="1"/>
  <c r="CE22" i="1" s="1"/>
  <c r="BX127" i="1"/>
  <c r="CE127" i="1" s="1"/>
  <c r="BX164" i="1"/>
  <c r="CE164" i="1" s="1"/>
  <c r="BX180" i="1"/>
  <c r="CE180" i="1" s="1"/>
  <c r="BX212" i="1"/>
  <c r="CE212" i="1" s="1"/>
  <c r="BX244" i="1"/>
  <c r="CE244" i="1" s="1"/>
  <c r="BX260" i="1"/>
  <c r="CE260" i="1" s="1"/>
  <c r="BX308" i="1"/>
  <c r="CE308" i="1" s="1"/>
  <c r="BX356" i="1"/>
  <c r="CE356" i="1" s="1"/>
  <c r="BX118" i="1"/>
  <c r="CE118" i="1" s="1"/>
  <c r="BX252" i="1"/>
  <c r="CE252" i="1" s="1"/>
  <c r="BX300" i="1"/>
  <c r="CE300" i="1" s="1"/>
  <c r="BX348" i="1"/>
  <c r="CE348" i="1" s="1"/>
  <c r="BX55" i="1"/>
  <c r="CE55" i="1" s="1"/>
  <c r="BX141" i="1"/>
  <c r="CE141" i="1" s="1"/>
  <c r="BX189" i="1"/>
  <c r="CE189" i="1" s="1"/>
  <c r="BX253" i="1"/>
  <c r="CE253" i="1" s="1"/>
  <c r="BX317" i="1"/>
  <c r="CE317" i="1" s="1"/>
  <c r="BX45" i="1"/>
  <c r="CE45" i="1" s="1"/>
  <c r="BX63" i="1"/>
  <c r="CE63" i="1" s="1"/>
  <c r="BX86" i="1"/>
  <c r="CE86" i="1" s="1"/>
  <c r="BX109" i="1"/>
  <c r="CE109" i="1" s="1"/>
  <c r="BX148" i="1"/>
  <c r="CE148" i="1" s="1"/>
  <c r="BX196" i="1"/>
  <c r="CE196" i="1" s="1"/>
  <c r="BX228" i="1"/>
  <c r="CE228" i="1" s="1"/>
  <c r="BX276" i="1"/>
  <c r="CE276" i="1" s="1"/>
  <c r="BX292" i="1"/>
  <c r="CE292" i="1" s="1"/>
  <c r="BX324" i="1"/>
  <c r="CE324" i="1" s="1"/>
  <c r="BX340" i="1"/>
  <c r="CE340" i="1" s="1"/>
  <c r="BX372" i="1"/>
  <c r="CE372" i="1" s="1"/>
  <c r="BX172" i="1"/>
  <c r="CE172" i="1" s="1"/>
  <c r="BX332" i="1"/>
  <c r="CE332" i="1" s="1"/>
  <c r="BX37" i="1"/>
  <c r="CE37" i="1" s="1"/>
  <c r="BX101" i="1"/>
  <c r="CE101" i="1" s="1"/>
  <c r="BX119" i="1"/>
  <c r="CE119" i="1" s="1"/>
  <c r="BX173" i="1"/>
  <c r="CE173" i="1" s="1"/>
  <c r="BX221" i="1"/>
  <c r="CE221" i="1" s="1"/>
  <c r="BX285" i="1"/>
  <c r="CE285" i="1" s="1"/>
  <c r="BX349" i="1"/>
  <c r="CE349" i="1" s="1"/>
  <c r="BX23" i="1"/>
  <c r="CE23" i="1" s="1"/>
  <c r="BX46" i="1"/>
  <c r="CE46" i="1" s="1"/>
  <c r="BX69" i="1"/>
  <c r="CE69" i="1" s="1"/>
  <c r="BX87" i="1"/>
  <c r="CE87" i="1" s="1"/>
  <c r="BX110" i="1"/>
  <c r="CE110" i="1" s="1"/>
  <c r="BX133" i="1"/>
  <c r="CE133" i="1" s="1"/>
  <c r="BX149" i="1"/>
  <c r="CE149" i="1" s="1"/>
  <c r="BX165" i="1"/>
  <c r="CE165" i="1" s="1"/>
  <c r="BX181" i="1"/>
  <c r="CE181" i="1" s="1"/>
  <c r="BX197" i="1"/>
  <c r="CE197" i="1" s="1"/>
  <c r="BX213" i="1"/>
  <c r="CE213" i="1" s="1"/>
  <c r="BX229" i="1"/>
  <c r="CE229" i="1" s="1"/>
  <c r="BX245" i="1"/>
  <c r="CE245" i="1" s="1"/>
  <c r="BX261" i="1"/>
  <c r="CE261" i="1" s="1"/>
  <c r="BX277" i="1"/>
  <c r="CE277" i="1" s="1"/>
  <c r="BX293" i="1"/>
  <c r="CE293" i="1" s="1"/>
  <c r="BX309" i="1"/>
  <c r="CE309" i="1" s="1"/>
  <c r="BX325" i="1"/>
  <c r="CE325" i="1" s="1"/>
  <c r="BX341" i="1"/>
  <c r="CE341" i="1" s="1"/>
  <c r="BX357" i="1"/>
  <c r="CE357" i="1" s="1"/>
  <c r="BX373" i="1"/>
  <c r="CE373" i="1" s="1"/>
  <c r="BX29" i="1"/>
  <c r="CE29" i="1" s="1"/>
  <c r="BX47" i="1"/>
  <c r="CE47" i="1" s="1"/>
  <c r="BX70" i="1"/>
  <c r="CE70" i="1" s="1"/>
  <c r="BX93" i="1"/>
  <c r="CE93" i="1" s="1"/>
  <c r="BX111" i="1"/>
  <c r="CE111" i="1" s="1"/>
  <c r="BX134" i="1"/>
  <c r="CE134" i="1" s="1"/>
  <c r="BX150" i="1"/>
  <c r="CE150" i="1" s="1"/>
  <c r="BX166" i="1"/>
  <c r="CE166" i="1" s="1"/>
  <c r="BX182" i="1"/>
  <c r="CE182" i="1" s="1"/>
  <c r="BX198" i="1"/>
  <c r="CE198" i="1" s="1"/>
  <c r="BX214" i="1"/>
  <c r="CE214" i="1" s="1"/>
  <c r="BX230" i="1"/>
  <c r="CE230" i="1" s="1"/>
  <c r="BX246" i="1"/>
  <c r="CE246" i="1" s="1"/>
  <c r="BX262" i="1"/>
  <c r="CE262" i="1" s="1"/>
  <c r="BX278" i="1"/>
  <c r="CE278" i="1" s="1"/>
  <c r="BX294" i="1"/>
  <c r="CE294" i="1" s="1"/>
  <c r="BX310" i="1"/>
  <c r="CE310" i="1" s="1"/>
  <c r="BX326" i="1"/>
  <c r="CE326" i="1" s="1"/>
  <c r="BX342" i="1"/>
  <c r="CE342" i="1" s="1"/>
  <c r="BX358" i="1"/>
  <c r="CE358" i="1" s="1"/>
  <c r="BX374" i="1"/>
  <c r="CE374" i="1" s="1"/>
  <c r="BX30" i="1"/>
  <c r="CE30" i="1" s="1"/>
  <c r="BX53" i="1"/>
  <c r="CE53" i="1" s="1"/>
  <c r="BX71" i="1"/>
  <c r="CE71" i="1" s="1"/>
  <c r="BX94" i="1"/>
  <c r="CE94" i="1" s="1"/>
  <c r="BX117" i="1"/>
  <c r="CE117" i="1" s="1"/>
  <c r="BX135" i="1"/>
  <c r="CE135" i="1" s="1"/>
  <c r="BX151" i="1"/>
  <c r="CE151" i="1" s="1"/>
  <c r="BX167" i="1"/>
  <c r="CE167" i="1" s="1"/>
  <c r="BX183" i="1"/>
  <c r="CE183" i="1" s="1"/>
  <c r="BX199" i="1"/>
  <c r="CE199" i="1" s="1"/>
  <c r="BX215" i="1"/>
  <c r="CE215" i="1" s="1"/>
  <c r="BX231" i="1"/>
  <c r="CE231" i="1" s="1"/>
  <c r="BX247" i="1"/>
  <c r="CE247" i="1" s="1"/>
  <c r="BX263" i="1"/>
  <c r="CE263" i="1" s="1"/>
  <c r="BX279" i="1"/>
  <c r="CE279" i="1" s="1"/>
  <c r="BX295" i="1"/>
  <c r="CE295" i="1" s="1"/>
  <c r="BX311" i="1"/>
  <c r="CE311" i="1" s="1"/>
  <c r="BX327" i="1"/>
  <c r="CE327" i="1" s="1"/>
  <c r="BX343" i="1"/>
  <c r="CE343" i="1" s="1"/>
  <c r="BX359" i="1"/>
  <c r="CE359" i="1" s="1"/>
  <c r="BX375" i="1"/>
  <c r="CE375" i="1" s="1"/>
  <c r="BX31" i="1"/>
  <c r="CE31" i="1" s="1"/>
  <c r="BX54" i="1"/>
  <c r="CE54" i="1" s="1"/>
  <c r="BX77" i="1"/>
  <c r="CE77" i="1" s="1"/>
  <c r="BX95" i="1"/>
  <c r="CE95" i="1" s="1"/>
  <c r="BX140" i="1"/>
  <c r="CE140" i="1" s="1"/>
  <c r="BX156" i="1"/>
  <c r="CE156" i="1" s="1"/>
  <c r="BX188" i="1"/>
  <c r="CE188" i="1" s="1"/>
  <c r="BX204" i="1"/>
  <c r="CE204" i="1" s="1"/>
  <c r="BX220" i="1"/>
  <c r="CE220" i="1" s="1"/>
  <c r="BX236" i="1"/>
  <c r="CE236" i="1" s="1"/>
  <c r="BX268" i="1"/>
  <c r="CE268" i="1" s="1"/>
  <c r="BX284" i="1"/>
  <c r="CE284" i="1" s="1"/>
  <c r="BX316" i="1"/>
  <c r="CE316" i="1" s="1"/>
  <c r="BX364" i="1"/>
  <c r="CE364" i="1" s="1"/>
  <c r="BX78" i="1"/>
  <c r="CE78" i="1" s="1"/>
  <c r="BX157" i="1"/>
  <c r="CE157" i="1" s="1"/>
  <c r="BX205" i="1"/>
  <c r="CE205" i="1" s="1"/>
  <c r="BX237" i="1"/>
  <c r="CE237" i="1" s="1"/>
  <c r="BX269" i="1"/>
  <c r="CE269" i="1" s="1"/>
  <c r="BX301" i="1"/>
  <c r="CE301" i="1" s="1"/>
  <c r="BX333" i="1"/>
  <c r="CE333" i="1" s="1"/>
  <c r="BX365" i="1"/>
  <c r="CE365" i="1" s="1"/>
  <c r="BX38" i="1"/>
  <c r="CE38" i="1" s="1"/>
  <c r="BX190" i="1"/>
  <c r="CE190" i="1" s="1"/>
  <c r="BX318" i="1"/>
  <c r="CE318" i="1" s="1"/>
  <c r="BX61" i="1"/>
  <c r="CE61" i="1" s="1"/>
  <c r="BX206" i="1"/>
  <c r="CE206" i="1" s="1"/>
  <c r="BX334" i="1"/>
  <c r="CE334" i="1" s="1"/>
  <c r="BX222" i="1"/>
  <c r="CE222" i="1" s="1"/>
  <c r="BX102" i="1"/>
  <c r="CE102" i="1" s="1"/>
  <c r="BX238" i="1"/>
  <c r="CE238" i="1" s="1"/>
  <c r="BX366" i="1"/>
  <c r="CE366" i="1" s="1"/>
  <c r="BX125" i="1"/>
  <c r="CE125" i="1" s="1"/>
  <c r="BX254" i="1"/>
  <c r="CE254" i="1" s="1"/>
  <c r="BX142" i="1"/>
  <c r="CE142" i="1" s="1"/>
  <c r="BX270" i="1"/>
  <c r="CE270" i="1" s="1"/>
  <c r="BX158" i="1"/>
  <c r="CE158" i="1" s="1"/>
  <c r="BX286" i="1"/>
  <c r="CE286" i="1" s="1"/>
  <c r="BX174" i="1"/>
  <c r="CE174" i="1" s="1"/>
  <c r="BX302" i="1"/>
  <c r="CE302" i="1" s="1"/>
  <c r="BX79" i="1"/>
  <c r="CE79" i="1" s="1"/>
  <c r="BX350" i="1"/>
  <c r="CE350" i="1" s="1"/>
  <c r="BY15" i="1"/>
  <c r="CF15" i="1" s="1"/>
  <c r="BX15" i="1"/>
  <c r="CE15" i="1" s="1"/>
  <c r="F65" i="1"/>
  <c r="I65" i="1" s="1"/>
  <c r="R65" i="1" s="1"/>
  <c r="A45" i="1"/>
  <c r="C45" i="1" s="1"/>
  <c r="D56" i="1" s="1"/>
  <c r="D164" i="1" s="1"/>
  <c r="D175" i="1" s="1"/>
  <c r="F62" i="1"/>
  <c r="H62" i="1" s="1"/>
  <c r="Q62" i="1" s="1"/>
  <c r="A44" i="1"/>
  <c r="D44" i="1" s="1"/>
  <c r="E55" i="1" s="1"/>
  <c r="F68" i="1"/>
  <c r="H68" i="1" s="1"/>
  <c r="Q68" i="1" s="1"/>
  <c r="F70" i="1"/>
  <c r="H70" i="1" s="1"/>
  <c r="Q70" i="1" s="1"/>
  <c r="A37" i="1"/>
  <c r="C37" i="1" s="1"/>
  <c r="B49" i="1" s="1"/>
  <c r="B157" i="1" s="1"/>
  <c r="B168" i="1" s="1"/>
  <c r="F71" i="1"/>
  <c r="I71" i="1" s="1"/>
  <c r="R71" i="1" s="1"/>
  <c r="A38" i="1"/>
  <c r="D38" i="1" s="1"/>
  <c r="E49" i="1" s="1"/>
  <c r="F63" i="1"/>
  <c r="I63" i="1" s="1"/>
  <c r="R63" i="1" s="1"/>
  <c r="F67" i="1"/>
  <c r="A41" i="1"/>
  <c r="C41" i="1" s="1"/>
  <c r="D52" i="1" s="1"/>
  <c r="F64" i="1"/>
  <c r="I64" i="1" s="1"/>
  <c r="R64" i="1" s="1"/>
  <c r="G67" i="1"/>
  <c r="I66" i="1"/>
  <c r="R66" i="1" s="1"/>
  <c r="H69" i="1"/>
  <c r="Q69" i="1" s="1"/>
  <c r="D39" i="1"/>
  <c r="E50" i="1" s="1"/>
  <c r="C40" i="1"/>
  <c r="D51" i="1" s="1"/>
  <c r="C43" i="1"/>
  <c r="D54" i="1" s="1"/>
  <c r="D40" i="1"/>
  <c r="E51" i="1" s="1"/>
  <c r="C42" i="1"/>
  <c r="D53" i="1" s="1"/>
  <c r="C39" i="1"/>
  <c r="D50" i="1" s="1"/>
  <c r="D42" i="1"/>
  <c r="E53" i="1" s="1"/>
  <c r="H66" i="1"/>
  <c r="Q66" i="1" s="1"/>
  <c r="I69" i="1"/>
  <c r="R69" i="1" s="1"/>
  <c r="D43" i="1"/>
  <c r="E54" i="1" s="1"/>
  <c r="C52" i="1" l="1"/>
  <c r="C160" i="1" s="1"/>
  <c r="C171" i="1" s="1"/>
  <c r="E159" i="1"/>
  <c r="B53" i="1"/>
  <c r="B161" i="1" s="1"/>
  <c r="B172" i="1" s="1"/>
  <c r="D160" i="1"/>
  <c r="D171" i="1" s="1"/>
  <c r="B55" i="1"/>
  <c r="B163" i="1" s="1"/>
  <c r="B174" i="1" s="1"/>
  <c r="D162" i="1"/>
  <c r="D173" i="1" s="1"/>
  <c r="B52" i="1"/>
  <c r="B160" i="1" s="1"/>
  <c r="B171" i="1" s="1"/>
  <c r="D159" i="1"/>
  <c r="D170" i="1" s="1"/>
  <c r="C51" i="1"/>
  <c r="C159" i="1" s="1"/>
  <c r="C170" i="1" s="1"/>
  <c r="E158" i="1"/>
  <c r="C50" i="1"/>
  <c r="C158" i="1" s="1"/>
  <c r="C169" i="1" s="1"/>
  <c r="E157" i="1"/>
  <c r="C54" i="1"/>
  <c r="C162" i="1" s="1"/>
  <c r="C173" i="1" s="1"/>
  <c r="E161" i="1"/>
  <c r="C56" i="1"/>
  <c r="C164" i="1" s="1"/>
  <c r="C175" i="1" s="1"/>
  <c r="E163" i="1"/>
  <c r="C55" i="1"/>
  <c r="C163" i="1" s="1"/>
  <c r="C174" i="1" s="1"/>
  <c r="E162" i="1"/>
  <c r="B51" i="1"/>
  <c r="B159" i="1" s="1"/>
  <c r="B170" i="1" s="1"/>
  <c r="D158" i="1"/>
  <c r="D169" i="1" s="1"/>
  <c r="B54" i="1"/>
  <c r="B162" i="1" s="1"/>
  <c r="B173" i="1" s="1"/>
  <c r="D161" i="1"/>
  <c r="D172" i="1" s="1"/>
  <c r="H65" i="1"/>
  <c r="Q65" i="1" s="1"/>
  <c r="CG311" i="1"/>
  <c r="CG279" i="1"/>
  <c r="CG244" i="1"/>
  <c r="CG352" i="1"/>
  <c r="CI352" i="1" s="1"/>
  <c r="CG86" i="1"/>
  <c r="CH86" i="1" s="1"/>
  <c r="CG58" i="1"/>
  <c r="CG185" i="1"/>
  <c r="CH185" i="1" s="1"/>
  <c r="CG178" i="1"/>
  <c r="CG270" i="1"/>
  <c r="CH270" i="1" s="1"/>
  <c r="CG198" i="1"/>
  <c r="CG318" i="1"/>
  <c r="CI318" i="1" s="1"/>
  <c r="CG150" i="1"/>
  <c r="CH150" i="1" s="1"/>
  <c r="CG342" i="1"/>
  <c r="CH342" i="1" s="1"/>
  <c r="CG319" i="1"/>
  <c r="CH319" i="1" s="1"/>
  <c r="CG94" i="1"/>
  <c r="CH94" i="1" s="1"/>
  <c r="CG292" i="1"/>
  <c r="CG203" i="1"/>
  <c r="CI203" i="1" s="1"/>
  <c r="CG274" i="1"/>
  <c r="CG210" i="1"/>
  <c r="CG146" i="1"/>
  <c r="CG145" i="1"/>
  <c r="CH145" i="1" s="1"/>
  <c r="CG248" i="1"/>
  <c r="CG184" i="1"/>
  <c r="CG120" i="1"/>
  <c r="CI120" i="1" s="1"/>
  <c r="CG56" i="1"/>
  <c r="CG115" i="1"/>
  <c r="CG307" i="1"/>
  <c r="CG51" i="1"/>
  <c r="CH51" i="1" s="1"/>
  <c r="CG122" i="1"/>
  <c r="CI122" i="1" s="1"/>
  <c r="CG31" i="1"/>
  <c r="CI31" i="1" s="1"/>
  <c r="CG243" i="1"/>
  <c r="CG255" i="1"/>
  <c r="CH255" i="1" s="1"/>
  <c r="CG18" i="1"/>
  <c r="CG127" i="1"/>
  <c r="CH127" i="1" s="1"/>
  <c r="CG209" i="1"/>
  <c r="CH209" i="1" s="1"/>
  <c r="CG312" i="1"/>
  <c r="CH312" i="1" s="1"/>
  <c r="CG174" i="1"/>
  <c r="CG359" i="1"/>
  <c r="CI359" i="1" s="1"/>
  <c r="CG310" i="1"/>
  <c r="CG261" i="1"/>
  <c r="CI261" i="1" s="1"/>
  <c r="CG133" i="1"/>
  <c r="CH133" i="1" s="1"/>
  <c r="CG340" i="1"/>
  <c r="CH340" i="1" s="1"/>
  <c r="CG138" i="1"/>
  <c r="CH138" i="1" s="1"/>
  <c r="CG74" i="1"/>
  <c r="CI74" i="1" s="1"/>
  <c r="CG179" i="1"/>
  <c r="CG19" i="1"/>
  <c r="CI19" i="1" s="1"/>
  <c r="CG305" i="1"/>
  <c r="CH305" i="1" s="1"/>
  <c r="CG177" i="1"/>
  <c r="CH177" i="1" s="1"/>
  <c r="CG113" i="1"/>
  <c r="CH113" i="1" s="1"/>
  <c r="CG368" i="1"/>
  <c r="CI368" i="1" s="1"/>
  <c r="CG304" i="1"/>
  <c r="CG240" i="1"/>
  <c r="CI240" i="1" s="1"/>
  <c r="CG176" i="1"/>
  <c r="CH176" i="1" s="1"/>
  <c r="CG112" i="1"/>
  <c r="CI112" i="1" s="1"/>
  <c r="CG48" i="1"/>
  <c r="CH48" i="1" s="1"/>
  <c r="CG301" i="1"/>
  <c r="CH301" i="1" s="1"/>
  <c r="CG62" i="1"/>
  <c r="CH62" i="1" s="1"/>
  <c r="CG259" i="1"/>
  <c r="CH259" i="1" s="1"/>
  <c r="CG67" i="1"/>
  <c r="CH67" i="1" s="1"/>
  <c r="CG188" i="1"/>
  <c r="CH188" i="1" s="1"/>
  <c r="CG60" i="1"/>
  <c r="CH60" i="1" s="1"/>
  <c r="CG201" i="1"/>
  <c r="CH201" i="1" s="1"/>
  <c r="CG365" i="1"/>
  <c r="CH365" i="1" s="1"/>
  <c r="CG364" i="1"/>
  <c r="CH364" i="1" s="1"/>
  <c r="CG166" i="1"/>
  <c r="CI166" i="1" s="1"/>
  <c r="CG245" i="1"/>
  <c r="CH245" i="1" s="1"/>
  <c r="CG173" i="1"/>
  <c r="CI173" i="1" s="1"/>
  <c r="CG180" i="1"/>
  <c r="CI180" i="1" s="1"/>
  <c r="CG303" i="1"/>
  <c r="CG266" i="1"/>
  <c r="CI266" i="1" s="1"/>
  <c r="CG202" i="1"/>
  <c r="CH202" i="1" s="1"/>
  <c r="CG36" i="1"/>
  <c r="CI36" i="1" s="1"/>
  <c r="CG267" i="1"/>
  <c r="CH267" i="1" s="1"/>
  <c r="CG361" i="1"/>
  <c r="CI361" i="1" s="1"/>
  <c r="CG143" i="1"/>
  <c r="CH143" i="1" s="1"/>
  <c r="CG134" i="1"/>
  <c r="CH134" i="1" s="1"/>
  <c r="CG269" i="1"/>
  <c r="CH269" i="1" s="1"/>
  <c r="CG167" i="1"/>
  <c r="CH167" i="1" s="1"/>
  <c r="CG278" i="1"/>
  <c r="CH278" i="1" s="1"/>
  <c r="CG149" i="1"/>
  <c r="CH149" i="1" s="1"/>
  <c r="CG148" i="1"/>
  <c r="CH148" i="1" s="1"/>
  <c r="CG187" i="1"/>
  <c r="CH187" i="1" s="1"/>
  <c r="CG123" i="1"/>
  <c r="CH123" i="1" s="1"/>
  <c r="CG101" i="1"/>
  <c r="CH101" i="1" s="1"/>
  <c r="CG322" i="1"/>
  <c r="CH322" i="1" s="1"/>
  <c r="CG130" i="1"/>
  <c r="CH130" i="1" s="1"/>
  <c r="CG66" i="1"/>
  <c r="CH66" i="1" s="1"/>
  <c r="CG129" i="1"/>
  <c r="CH129" i="1" s="1"/>
  <c r="CG40" i="1"/>
  <c r="CH40" i="1" s="1"/>
  <c r="CG247" i="1"/>
  <c r="CH247" i="1" s="1"/>
  <c r="CG47" i="1"/>
  <c r="CH47" i="1" s="1"/>
  <c r="CG335" i="1"/>
  <c r="CH335" i="1" s="1"/>
  <c r="CG363" i="1"/>
  <c r="CH363" i="1" s="1"/>
  <c r="CG186" i="1"/>
  <c r="CH186" i="1" s="1"/>
  <c r="CG121" i="1"/>
  <c r="CG164" i="1"/>
  <c r="CI164" i="1" s="1"/>
  <c r="CG258" i="1"/>
  <c r="CH258" i="1" s="1"/>
  <c r="CG155" i="1"/>
  <c r="CH155" i="1" s="1"/>
  <c r="CG102" i="1"/>
  <c r="CH102" i="1" s="1"/>
  <c r="CG69" i="1"/>
  <c r="CI69" i="1" s="1"/>
  <c r="CG317" i="1"/>
  <c r="CH317" i="1" s="1"/>
  <c r="CG338" i="1"/>
  <c r="CH338" i="1" s="1"/>
  <c r="CG114" i="1"/>
  <c r="CI114" i="1" s="1"/>
  <c r="CG24" i="1"/>
  <c r="CI24" i="1" s="1"/>
  <c r="CG110" i="1"/>
  <c r="CH110" i="1" s="1"/>
  <c r="CG295" i="1"/>
  <c r="CH295" i="1" s="1"/>
  <c r="CG171" i="1"/>
  <c r="CH171" i="1" s="1"/>
  <c r="CG325" i="1"/>
  <c r="CH325" i="1" s="1"/>
  <c r="CG253" i="1"/>
  <c r="CH253" i="1" s="1"/>
  <c r="CG22" i="1"/>
  <c r="CH22" i="1" s="1"/>
  <c r="CG242" i="1"/>
  <c r="CH242" i="1" s="1"/>
  <c r="CG59" i="1"/>
  <c r="CH59" i="1" s="1"/>
  <c r="CG330" i="1"/>
  <c r="CI330" i="1" s="1"/>
  <c r="CG273" i="1"/>
  <c r="CI273" i="1" s="1"/>
  <c r="CG81" i="1"/>
  <c r="CG17" i="1"/>
  <c r="CH17" i="1" s="1"/>
  <c r="CG16" i="1"/>
  <c r="CH16" i="1" s="1"/>
  <c r="CG54" i="1"/>
  <c r="CH54" i="1" s="1"/>
  <c r="CG286" i="1"/>
  <c r="CH286" i="1" s="1"/>
  <c r="CG367" i="1"/>
  <c r="CH367" i="1" s="1"/>
  <c r="CG39" i="1"/>
  <c r="CH39" i="1" s="1"/>
  <c r="CG223" i="1"/>
  <c r="CH223" i="1" s="1"/>
  <c r="CG229" i="1"/>
  <c r="CH229" i="1" s="1"/>
  <c r="CG93" i="1"/>
  <c r="CH93" i="1" s="1"/>
  <c r="CG220" i="1"/>
  <c r="CH220" i="1" s="1"/>
  <c r="CG100" i="1"/>
  <c r="CH100" i="1" s="1"/>
  <c r="CG355" i="1"/>
  <c r="CH355" i="1" s="1"/>
  <c r="CG291" i="1"/>
  <c r="CH291" i="1" s="1"/>
  <c r="CG35" i="1"/>
  <c r="CH35" i="1" s="1"/>
  <c r="CG165" i="1"/>
  <c r="CH165" i="1" s="1"/>
  <c r="CG53" i="1"/>
  <c r="CH53" i="1" s="1"/>
  <c r="CG268" i="1"/>
  <c r="CH268" i="1" s="1"/>
  <c r="CG124" i="1"/>
  <c r="CH124" i="1" s="1"/>
  <c r="CG298" i="1"/>
  <c r="CH298" i="1" s="1"/>
  <c r="CG106" i="1"/>
  <c r="CH106" i="1" s="1"/>
  <c r="CG42" i="1"/>
  <c r="CH42" i="1" s="1"/>
  <c r="CG297" i="1"/>
  <c r="CH297" i="1" s="1"/>
  <c r="CG233" i="1"/>
  <c r="CH233" i="1" s="1"/>
  <c r="CG105" i="1"/>
  <c r="CH105" i="1" s="1"/>
  <c r="CG41" i="1"/>
  <c r="CH41" i="1" s="1"/>
  <c r="CG272" i="1"/>
  <c r="CH272" i="1" s="1"/>
  <c r="CG80" i="1"/>
  <c r="CH80" i="1" s="1"/>
  <c r="CG117" i="1"/>
  <c r="CH117" i="1" s="1"/>
  <c r="CG277" i="1"/>
  <c r="CH277" i="1" s="1"/>
  <c r="CG313" i="1"/>
  <c r="CG333" i="1"/>
  <c r="CH333" i="1" s="1"/>
  <c r="CG87" i="1"/>
  <c r="CI87" i="1" s="1"/>
  <c r="CG75" i="1"/>
  <c r="CH75" i="1" s="1"/>
  <c r="CG97" i="1"/>
  <c r="CH97" i="1" s="1"/>
  <c r="CG132" i="1"/>
  <c r="CH132" i="1" s="1"/>
  <c r="CG28" i="1"/>
  <c r="CH28" i="1" s="1"/>
  <c r="CG160" i="1"/>
  <c r="CH160" i="1" s="1"/>
  <c r="CG95" i="1"/>
  <c r="CI95" i="1" s="1"/>
  <c r="CG30" i="1"/>
  <c r="CH30" i="1" s="1"/>
  <c r="CG250" i="1"/>
  <c r="CG50" i="1"/>
  <c r="CI50" i="1" s="1"/>
  <c r="CG44" i="1"/>
  <c r="CH44" i="1" s="1"/>
  <c r="CG152" i="1"/>
  <c r="CH152" i="1" s="1"/>
  <c r="CG235" i="1"/>
  <c r="CH235" i="1" s="1"/>
  <c r="CG43" i="1"/>
  <c r="CH43" i="1" s="1"/>
  <c r="CG206" i="1"/>
  <c r="CI206" i="1" s="1"/>
  <c r="CG350" i="1"/>
  <c r="CH350" i="1" s="1"/>
  <c r="CG236" i="1"/>
  <c r="CG151" i="1"/>
  <c r="CH151" i="1" s="1"/>
  <c r="CG181" i="1"/>
  <c r="CH181" i="1" s="1"/>
  <c r="CG23" i="1"/>
  <c r="CH23" i="1" s="1"/>
  <c r="CG332" i="1"/>
  <c r="CH332" i="1" s="1"/>
  <c r="CG189" i="1"/>
  <c r="CG103" i="1"/>
  <c r="CI103" i="1" s="1"/>
  <c r="CG314" i="1"/>
  <c r="CI314" i="1" s="1"/>
  <c r="CG323" i="1"/>
  <c r="CH323" i="1" s="1"/>
  <c r="CG306" i="1"/>
  <c r="CI306" i="1" s="1"/>
  <c r="CG329" i="1"/>
  <c r="CH329" i="1" s="1"/>
  <c r="CG265" i="1"/>
  <c r="CI265" i="1" s="1"/>
  <c r="CG137" i="1"/>
  <c r="CH137" i="1" s="1"/>
  <c r="CG73" i="1"/>
  <c r="CI73" i="1" s="1"/>
  <c r="CG371" i="1"/>
  <c r="CH371" i="1" s="1"/>
  <c r="CG366" i="1"/>
  <c r="CH366" i="1" s="1"/>
  <c r="CG262" i="1"/>
  <c r="CH262" i="1" s="1"/>
  <c r="CG369" i="1"/>
  <c r="CH369" i="1" s="1"/>
  <c r="CG357" i="1"/>
  <c r="CH357" i="1" s="1"/>
  <c r="CG158" i="1"/>
  <c r="CH158" i="1" s="1"/>
  <c r="CG213" i="1"/>
  <c r="CH213" i="1" s="1"/>
  <c r="CG212" i="1"/>
  <c r="CH212" i="1" s="1"/>
  <c r="CG283" i="1"/>
  <c r="CH283" i="1" s="1"/>
  <c r="CG219" i="1"/>
  <c r="CH219" i="1" s="1"/>
  <c r="CG108" i="1"/>
  <c r="CH108" i="1" s="1"/>
  <c r="CG354" i="1"/>
  <c r="CH354" i="1" s="1"/>
  <c r="CG290" i="1"/>
  <c r="CH290" i="1" s="1"/>
  <c r="CG98" i="1"/>
  <c r="CH98" i="1" s="1"/>
  <c r="CG225" i="1"/>
  <c r="CH225" i="1" s="1"/>
  <c r="CG200" i="1"/>
  <c r="CH200" i="1" s="1"/>
  <c r="CG72" i="1"/>
  <c r="CH72" i="1" s="1"/>
  <c r="CG375" i="1"/>
  <c r="CI375" i="1" s="1"/>
  <c r="CG207" i="1"/>
  <c r="CI207" i="1" s="1"/>
  <c r="CG82" i="1"/>
  <c r="CG249" i="1"/>
  <c r="CI249" i="1" s="1"/>
  <c r="CG140" i="1"/>
  <c r="CI140" i="1" s="1"/>
  <c r="CG161" i="1"/>
  <c r="CH161" i="1" s="1"/>
  <c r="CG52" i="1"/>
  <c r="CI52" i="1" s="1"/>
  <c r="CG224" i="1"/>
  <c r="CH224" i="1" s="1"/>
  <c r="CG32" i="1"/>
  <c r="CI32" i="1" s="1"/>
  <c r="CG156" i="1"/>
  <c r="CH156" i="1" s="1"/>
  <c r="CG96" i="1"/>
  <c r="CH96" i="1" s="1"/>
  <c r="CG276" i="1"/>
  <c r="CI276" i="1" s="1"/>
  <c r="CG271" i="1"/>
  <c r="CH271" i="1" s="1"/>
  <c r="CG251" i="1"/>
  <c r="CH251" i="1" s="1"/>
  <c r="CG216" i="1"/>
  <c r="CG222" i="1"/>
  <c r="CH222" i="1" s="1"/>
  <c r="CG299" i="1"/>
  <c r="CH299" i="1" s="1"/>
  <c r="CG107" i="1"/>
  <c r="CH107" i="1" s="1"/>
  <c r="CG344" i="1"/>
  <c r="CH344" i="1" s="1"/>
  <c r="CG88" i="1"/>
  <c r="CH88" i="1" s="1"/>
  <c r="CG142" i="1"/>
  <c r="CI142" i="1" s="1"/>
  <c r="CG254" i="1"/>
  <c r="CH254" i="1" s="1"/>
  <c r="CG237" i="1"/>
  <c r="CH237" i="1" s="1"/>
  <c r="CG125" i="1"/>
  <c r="CI125" i="1" s="1"/>
  <c r="CG205" i="1"/>
  <c r="CH205" i="1" s="1"/>
  <c r="CG263" i="1"/>
  <c r="CI263" i="1" s="1"/>
  <c r="CG135" i="1"/>
  <c r="CG70" i="1"/>
  <c r="CI70" i="1" s="1"/>
  <c r="CG293" i="1"/>
  <c r="CH293" i="1" s="1"/>
  <c r="CG349" i="1"/>
  <c r="CI349" i="1" s="1"/>
  <c r="CG172" i="1"/>
  <c r="CH172" i="1" s="1"/>
  <c r="CG351" i="1"/>
  <c r="CH351" i="1" s="1"/>
  <c r="CG85" i="1"/>
  <c r="CH85" i="1" s="1"/>
  <c r="CG226" i="1"/>
  <c r="CH226" i="1" s="1"/>
  <c r="CG257" i="1"/>
  <c r="CH257" i="1" s="1"/>
  <c r="CG193" i="1"/>
  <c r="CH193" i="1" s="1"/>
  <c r="CG65" i="1"/>
  <c r="CH65" i="1" s="1"/>
  <c r="CG116" i="1"/>
  <c r="CI116" i="1" s="1"/>
  <c r="CG64" i="1"/>
  <c r="CH64" i="1" s="1"/>
  <c r="CG334" i="1"/>
  <c r="CH334" i="1" s="1"/>
  <c r="CG230" i="1"/>
  <c r="CH230" i="1" s="1"/>
  <c r="CG79" i="1"/>
  <c r="CH79" i="1" s="1"/>
  <c r="CG358" i="1"/>
  <c r="CH358" i="1" s="1"/>
  <c r="CG341" i="1"/>
  <c r="CH341" i="1" s="1"/>
  <c r="CG308" i="1"/>
  <c r="CH308" i="1" s="1"/>
  <c r="CG275" i="1"/>
  <c r="CH275" i="1" s="1"/>
  <c r="CG83" i="1"/>
  <c r="CH83" i="1" s="1"/>
  <c r="CG141" i="1"/>
  <c r="CH141" i="1" s="1"/>
  <c r="CG92" i="1"/>
  <c r="CH92" i="1" s="1"/>
  <c r="CG282" i="1"/>
  <c r="CH282" i="1" s="1"/>
  <c r="CG218" i="1"/>
  <c r="CH218" i="1" s="1"/>
  <c r="CG154" i="1"/>
  <c r="CH154" i="1" s="1"/>
  <c r="CG90" i="1"/>
  <c r="CH90" i="1" s="1"/>
  <c r="CG217" i="1"/>
  <c r="CH217" i="1" s="1"/>
  <c r="CG153" i="1"/>
  <c r="CH153" i="1" s="1"/>
  <c r="CG25" i="1"/>
  <c r="CH25" i="1" s="1"/>
  <c r="CG15" i="1"/>
  <c r="CI15" i="1" s="1"/>
  <c r="CN16" i="1"/>
  <c r="CO16" i="1" s="1"/>
  <c r="CN13" i="1"/>
  <c r="CO13" i="1" s="1"/>
  <c r="BZ237" i="1"/>
  <c r="CA237" i="1" s="1"/>
  <c r="BZ279" i="1"/>
  <c r="CA279" i="1" s="1"/>
  <c r="BZ93" i="1"/>
  <c r="CA93" i="1" s="1"/>
  <c r="BZ332" i="1"/>
  <c r="CA332" i="1" s="1"/>
  <c r="BZ367" i="1"/>
  <c r="CB367" i="1" s="1"/>
  <c r="BZ103" i="1"/>
  <c r="CB103" i="1" s="1"/>
  <c r="BZ314" i="1"/>
  <c r="CB314" i="1" s="1"/>
  <c r="BZ162" i="1"/>
  <c r="CB162" i="1" s="1"/>
  <c r="BZ323" i="1"/>
  <c r="CA323" i="1" s="1"/>
  <c r="BZ123" i="1"/>
  <c r="CB123" i="1" s="1"/>
  <c r="BZ306" i="1"/>
  <c r="CA306" i="1" s="1"/>
  <c r="BZ265" i="1"/>
  <c r="CB265" i="1" s="1"/>
  <c r="BZ73" i="1"/>
  <c r="CB73" i="1" s="1"/>
  <c r="BZ132" i="1"/>
  <c r="CA132" i="1" s="1"/>
  <c r="BZ371" i="1"/>
  <c r="CA371" i="1" s="1"/>
  <c r="BZ328" i="1"/>
  <c r="CA328" i="1" s="1"/>
  <c r="BZ264" i="1"/>
  <c r="CA264" i="1" s="1"/>
  <c r="BZ200" i="1"/>
  <c r="CA200" i="1" s="1"/>
  <c r="BZ136" i="1"/>
  <c r="CA136" i="1" s="1"/>
  <c r="BZ72" i="1"/>
  <c r="CB72" i="1" s="1"/>
  <c r="BZ79" i="1"/>
  <c r="CB79" i="1" s="1"/>
  <c r="BZ125" i="1"/>
  <c r="CA125" i="1" s="1"/>
  <c r="BZ318" i="1"/>
  <c r="CB318" i="1" s="1"/>
  <c r="BZ205" i="1"/>
  <c r="CB205" i="1" s="1"/>
  <c r="BZ220" i="1"/>
  <c r="CA220" i="1" s="1"/>
  <c r="BZ31" i="1"/>
  <c r="CA31" i="1" s="1"/>
  <c r="BZ263" i="1"/>
  <c r="CB263" i="1" s="1"/>
  <c r="BZ135" i="1"/>
  <c r="CB135" i="1" s="1"/>
  <c r="BZ342" i="1"/>
  <c r="CB342" i="1" s="1"/>
  <c r="BZ214" i="1"/>
  <c r="CA214" i="1" s="1"/>
  <c r="BZ70" i="1"/>
  <c r="CB70" i="1" s="1"/>
  <c r="BZ293" i="1"/>
  <c r="CB293" i="1" s="1"/>
  <c r="BZ165" i="1"/>
  <c r="CA165" i="1" s="1"/>
  <c r="BZ349" i="1"/>
  <c r="CB349" i="1" s="1"/>
  <c r="BZ172" i="1"/>
  <c r="CA172" i="1" s="1"/>
  <c r="BZ148" i="1"/>
  <c r="CA148" i="1" s="1"/>
  <c r="BZ141" i="1"/>
  <c r="CA141" i="1" s="1"/>
  <c r="BZ260" i="1"/>
  <c r="CB260" i="1" s="1"/>
  <c r="BZ351" i="1"/>
  <c r="CA351" i="1" s="1"/>
  <c r="BZ223" i="1"/>
  <c r="CB223" i="1" s="1"/>
  <c r="BZ85" i="1"/>
  <c r="CA85" i="1" s="1"/>
  <c r="BZ28" i="1"/>
  <c r="CA28" i="1" s="1"/>
  <c r="BZ171" i="1"/>
  <c r="CA171" i="1" s="1"/>
  <c r="BZ298" i="1"/>
  <c r="CB298" i="1" s="1"/>
  <c r="BZ154" i="1"/>
  <c r="CB154" i="1" s="1"/>
  <c r="BZ90" i="1"/>
  <c r="CA90" i="1" s="1"/>
  <c r="BZ26" i="1"/>
  <c r="CB26" i="1" s="1"/>
  <c r="BZ307" i="1"/>
  <c r="CA307" i="1" s="1"/>
  <c r="BZ195" i="1"/>
  <c r="CA195" i="1" s="1"/>
  <c r="BZ107" i="1"/>
  <c r="CB107" i="1" s="1"/>
  <c r="BZ43" i="1"/>
  <c r="CA43" i="1" s="1"/>
  <c r="BZ282" i="1"/>
  <c r="CB282" i="1" s="1"/>
  <c r="BZ321" i="1"/>
  <c r="CA321" i="1" s="1"/>
  <c r="BZ257" i="1"/>
  <c r="CA257" i="1" s="1"/>
  <c r="BZ193" i="1"/>
  <c r="CB193" i="1" s="1"/>
  <c r="BZ129" i="1"/>
  <c r="CB129" i="1" s="1"/>
  <c r="BZ65" i="1"/>
  <c r="CA65" i="1" s="1"/>
  <c r="BZ116" i="1"/>
  <c r="CB116" i="1" s="1"/>
  <c r="BZ315" i="1"/>
  <c r="CA315" i="1" s="1"/>
  <c r="BZ320" i="1"/>
  <c r="CB320" i="1" s="1"/>
  <c r="BZ256" i="1"/>
  <c r="CB256" i="1" s="1"/>
  <c r="BZ192" i="1"/>
  <c r="CA192" i="1" s="1"/>
  <c r="BZ128" i="1"/>
  <c r="CB128" i="1" s="1"/>
  <c r="BZ64" i="1"/>
  <c r="CB64" i="1" s="1"/>
  <c r="BZ302" i="1"/>
  <c r="CB302" i="1" s="1"/>
  <c r="BZ190" i="1"/>
  <c r="CB190" i="1" s="1"/>
  <c r="BZ204" i="1"/>
  <c r="CB204" i="1" s="1"/>
  <c r="BZ375" i="1"/>
  <c r="CB375" i="1" s="1"/>
  <c r="BZ247" i="1"/>
  <c r="CA247" i="1" s="1"/>
  <c r="BZ117" i="1"/>
  <c r="CA117" i="1" s="1"/>
  <c r="BZ326" i="1"/>
  <c r="CA326" i="1" s="1"/>
  <c r="BZ198" i="1"/>
  <c r="CB198" i="1" s="1"/>
  <c r="BZ47" i="1"/>
  <c r="CA47" i="1" s="1"/>
  <c r="BZ277" i="1"/>
  <c r="CB277" i="1" s="1"/>
  <c r="BZ149" i="1"/>
  <c r="CA149" i="1" s="1"/>
  <c r="BZ285" i="1"/>
  <c r="CA285" i="1" s="1"/>
  <c r="BZ372" i="1"/>
  <c r="CB372" i="1" s="1"/>
  <c r="BZ109" i="1"/>
  <c r="CB109" i="1" s="1"/>
  <c r="BZ244" i="1"/>
  <c r="CB244" i="1" s="1"/>
  <c r="BZ335" i="1"/>
  <c r="CB335" i="1" s="1"/>
  <c r="BZ207" i="1"/>
  <c r="CB207" i="1" s="1"/>
  <c r="BZ62" i="1"/>
  <c r="CB62" i="1" s="1"/>
  <c r="BZ363" i="1"/>
  <c r="CB363" i="1" s="1"/>
  <c r="BZ146" i="1"/>
  <c r="CA146" i="1" s="1"/>
  <c r="BZ82" i="1"/>
  <c r="CA82" i="1" s="1"/>
  <c r="BZ18" i="1"/>
  <c r="CA18" i="1" s="1"/>
  <c r="BZ291" i="1"/>
  <c r="CB291" i="1" s="1"/>
  <c r="BZ187" i="1"/>
  <c r="CB187" i="1" s="1"/>
  <c r="BZ99" i="1"/>
  <c r="CB99" i="1" s="1"/>
  <c r="BZ35" i="1"/>
  <c r="CB35" i="1" s="1"/>
  <c r="BZ186" i="1"/>
  <c r="CA186" i="1" s="1"/>
  <c r="BZ313" i="1"/>
  <c r="CA313" i="1" s="1"/>
  <c r="BZ249" i="1"/>
  <c r="CA249" i="1" s="1"/>
  <c r="BZ185" i="1"/>
  <c r="CA185" i="1" s="1"/>
  <c r="BZ121" i="1"/>
  <c r="CB121" i="1" s="1"/>
  <c r="BZ57" i="1"/>
  <c r="CB57" i="1" s="1"/>
  <c r="BZ312" i="1"/>
  <c r="CA312" i="1" s="1"/>
  <c r="BZ248" i="1"/>
  <c r="CA248" i="1" s="1"/>
  <c r="BZ184" i="1"/>
  <c r="CA184" i="1" s="1"/>
  <c r="BZ120" i="1"/>
  <c r="CB120" i="1" s="1"/>
  <c r="BZ56" i="1"/>
  <c r="CB56" i="1" s="1"/>
  <c r="BZ61" i="1"/>
  <c r="CB61" i="1" s="1"/>
  <c r="BZ151" i="1"/>
  <c r="CB151" i="1" s="1"/>
  <c r="BZ309" i="1"/>
  <c r="CA309" i="1" s="1"/>
  <c r="BZ196" i="1"/>
  <c r="CA196" i="1" s="1"/>
  <c r="BZ239" i="1"/>
  <c r="CB239" i="1" s="1"/>
  <c r="BZ234" i="1"/>
  <c r="CB234" i="1" s="1"/>
  <c r="BZ219" i="1"/>
  <c r="CA219" i="1" s="1"/>
  <c r="BZ201" i="1"/>
  <c r="CB201" i="1" s="1"/>
  <c r="BZ188" i="1"/>
  <c r="CB188" i="1" s="1"/>
  <c r="BZ231" i="1"/>
  <c r="CA231" i="1" s="1"/>
  <c r="BZ182" i="1"/>
  <c r="CA182" i="1" s="1"/>
  <c r="BZ221" i="1"/>
  <c r="CB221" i="1" s="1"/>
  <c r="BZ39" i="1"/>
  <c r="CA39" i="1" s="1"/>
  <c r="BZ177" i="1"/>
  <c r="CA177" i="1" s="1"/>
  <c r="BZ240" i="1"/>
  <c r="CB240" i="1" s="1"/>
  <c r="BZ48" i="1"/>
  <c r="CB48" i="1" s="1"/>
  <c r="BZ343" i="1"/>
  <c r="CA343" i="1" s="1"/>
  <c r="BZ300" i="1"/>
  <c r="CB300" i="1" s="1"/>
  <c r="BZ130" i="1"/>
  <c r="CA130" i="1" s="1"/>
  <c r="BZ370" i="1"/>
  <c r="CA370" i="1" s="1"/>
  <c r="BZ233" i="1"/>
  <c r="CB233" i="1" s="1"/>
  <c r="BZ41" i="1"/>
  <c r="CB41" i="1" s="1"/>
  <c r="BZ360" i="1"/>
  <c r="CA360" i="1" s="1"/>
  <c r="BZ232" i="1"/>
  <c r="CA232" i="1" s="1"/>
  <c r="BZ104" i="1"/>
  <c r="CB104" i="1" s="1"/>
  <c r="BZ222" i="1"/>
  <c r="CB222" i="1" s="1"/>
  <c r="BZ333" i="1"/>
  <c r="CB333" i="1" s="1"/>
  <c r="BZ140" i="1"/>
  <c r="CB140" i="1" s="1"/>
  <c r="BZ327" i="1"/>
  <c r="CB327" i="1" s="1"/>
  <c r="BZ53" i="1"/>
  <c r="CA53" i="1" s="1"/>
  <c r="BZ229" i="1"/>
  <c r="CB229" i="1" s="1"/>
  <c r="BZ87" i="1"/>
  <c r="CA87" i="1" s="1"/>
  <c r="BZ124" i="1"/>
  <c r="CA124" i="1" s="1"/>
  <c r="BZ362" i="1"/>
  <c r="CA362" i="1" s="1"/>
  <c r="BZ122" i="1"/>
  <c r="CB122" i="1" s="1"/>
  <c r="BZ58" i="1"/>
  <c r="CA58" i="1" s="1"/>
  <c r="BZ355" i="1"/>
  <c r="CA355" i="1" s="1"/>
  <c r="BZ352" i="1"/>
  <c r="CB352" i="1" s="1"/>
  <c r="BZ288" i="1"/>
  <c r="CB288" i="1" s="1"/>
  <c r="BZ224" i="1"/>
  <c r="CB224" i="1" s="1"/>
  <c r="BZ160" i="1"/>
  <c r="CA160" i="1" s="1"/>
  <c r="BZ96" i="1"/>
  <c r="CA96" i="1" s="1"/>
  <c r="BZ32" i="1"/>
  <c r="CA32" i="1" s="1"/>
  <c r="BZ350" i="1"/>
  <c r="CA350" i="1" s="1"/>
  <c r="BZ54" i="1"/>
  <c r="CA54" i="1" s="1"/>
  <c r="BZ230" i="1"/>
  <c r="CA230" i="1" s="1"/>
  <c r="BZ23" i="1"/>
  <c r="CB23" i="1" s="1"/>
  <c r="BZ308" i="1"/>
  <c r="CB308" i="1" s="1"/>
  <c r="BZ203" i="1"/>
  <c r="CB203" i="1" s="1"/>
  <c r="BZ98" i="1"/>
  <c r="CB98" i="1" s="1"/>
  <c r="BZ51" i="1"/>
  <c r="CB51" i="1" s="1"/>
  <c r="BZ137" i="1"/>
  <c r="CA137" i="1" s="1"/>
  <c r="BZ78" i="1"/>
  <c r="CA78" i="1" s="1"/>
  <c r="BZ29" i="1"/>
  <c r="CB29" i="1" s="1"/>
  <c r="BZ133" i="1"/>
  <c r="CB133" i="1" s="1"/>
  <c r="BZ86" i="1"/>
  <c r="CA86" i="1" s="1"/>
  <c r="BZ115" i="1"/>
  <c r="CA115" i="1" s="1"/>
  <c r="BZ138" i="1"/>
  <c r="CA138" i="1" s="1"/>
  <c r="BZ100" i="1"/>
  <c r="CB100" i="1" s="1"/>
  <c r="BZ305" i="1"/>
  <c r="CB305" i="1" s="1"/>
  <c r="BZ113" i="1"/>
  <c r="CA113" i="1" s="1"/>
  <c r="BZ368" i="1"/>
  <c r="CA368" i="1" s="1"/>
  <c r="BZ176" i="1"/>
  <c r="CB176" i="1" s="1"/>
  <c r="BZ286" i="1"/>
  <c r="CA286" i="1" s="1"/>
  <c r="BZ294" i="1"/>
  <c r="CB294" i="1" s="1"/>
  <c r="BZ245" i="1"/>
  <c r="CB245" i="1" s="1"/>
  <c r="BZ324" i="1"/>
  <c r="CA324" i="1" s="1"/>
  <c r="BZ303" i="1"/>
  <c r="CB303" i="1" s="1"/>
  <c r="BZ299" i="1"/>
  <c r="CB299" i="1" s="1"/>
  <c r="BZ66" i="1"/>
  <c r="CB66" i="1" s="1"/>
  <c r="BZ163" i="1"/>
  <c r="CB163" i="1" s="1"/>
  <c r="BZ297" i="1"/>
  <c r="CA297" i="1" s="1"/>
  <c r="BZ168" i="1"/>
  <c r="CB168" i="1" s="1"/>
  <c r="BZ284" i="1"/>
  <c r="CB284" i="1" s="1"/>
  <c r="BZ311" i="1"/>
  <c r="CA311" i="1" s="1"/>
  <c r="BZ183" i="1"/>
  <c r="CA183" i="1" s="1"/>
  <c r="BZ69" i="1"/>
  <c r="CB69" i="1" s="1"/>
  <c r="BZ118" i="1"/>
  <c r="CA118" i="1" s="1"/>
  <c r="BZ250" i="1"/>
  <c r="CB250" i="1" s="1"/>
  <c r="BZ178" i="1"/>
  <c r="CA178" i="1" s="1"/>
  <c r="BZ114" i="1"/>
  <c r="CA114" i="1" s="1"/>
  <c r="BZ50" i="1"/>
  <c r="CB50" i="1" s="1"/>
  <c r="BZ243" i="1"/>
  <c r="CB243" i="1" s="1"/>
  <c r="BZ344" i="1"/>
  <c r="CA344" i="1" s="1"/>
  <c r="BZ280" i="1"/>
  <c r="CA280" i="1" s="1"/>
  <c r="BZ216" i="1"/>
  <c r="CB216" i="1" s="1"/>
  <c r="BZ152" i="1"/>
  <c r="CB152" i="1" s="1"/>
  <c r="BZ88" i="1"/>
  <c r="CB88" i="1" s="1"/>
  <c r="BZ24" i="1"/>
  <c r="CA24" i="1" s="1"/>
  <c r="BZ254" i="1"/>
  <c r="CA254" i="1" s="1"/>
  <c r="BZ236" i="1"/>
  <c r="CB236" i="1" s="1"/>
  <c r="BZ358" i="1"/>
  <c r="CB358" i="1" s="1"/>
  <c r="BZ181" i="1"/>
  <c r="CA181" i="1" s="1"/>
  <c r="BZ189" i="1"/>
  <c r="CA189" i="1" s="1"/>
  <c r="BZ68" i="1"/>
  <c r="CA68" i="1" s="1"/>
  <c r="BZ34" i="1"/>
  <c r="CB34" i="1" s="1"/>
  <c r="BZ329" i="1"/>
  <c r="CB329" i="1" s="1"/>
  <c r="BZ38" i="1"/>
  <c r="CA38" i="1" s="1"/>
  <c r="BZ359" i="1"/>
  <c r="CB359" i="1" s="1"/>
  <c r="BZ310" i="1"/>
  <c r="CA310" i="1" s="1"/>
  <c r="BZ261" i="1"/>
  <c r="CB261" i="1" s="1"/>
  <c r="BZ340" i="1"/>
  <c r="CA340" i="1" s="1"/>
  <c r="BZ348" i="1"/>
  <c r="CA348" i="1" s="1"/>
  <c r="BZ74" i="1"/>
  <c r="CB74" i="1" s="1"/>
  <c r="BZ179" i="1"/>
  <c r="CB179" i="1" s="1"/>
  <c r="BZ241" i="1"/>
  <c r="CB241" i="1" s="1"/>
  <c r="BZ49" i="1"/>
  <c r="CA49" i="1" s="1"/>
  <c r="BZ304" i="1"/>
  <c r="CA304" i="1" s="1"/>
  <c r="BZ112" i="1"/>
  <c r="CB112" i="1" s="1"/>
  <c r="BZ102" i="1"/>
  <c r="BZ156" i="1"/>
  <c r="CA156" i="1" s="1"/>
  <c r="BZ373" i="1"/>
  <c r="CA373" i="1" s="1"/>
  <c r="BZ110" i="1"/>
  <c r="CA110" i="1" s="1"/>
  <c r="BZ63" i="1"/>
  <c r="CB63" i="1" s="1"/>
  <c r="BZ361" i="1"/>
  <c r="CB361" i="1" s="1"/>
  <c r="BZ169" i="1"/>
  <c r="CB169" i="1" s="1"/>
  <c r="BZ105" i="1"/>
  <c r="CB105" i="1" s="1"/>
  <c r="BZ296" i="1"/>
  <c r="BZ40" i="1"/>
  <c r="CA40" i="1" s="1"/>
  <c r="BZ206" i="1"/>
  <c r="CA206" i="1" s="1"/>
  <c r="BZ269" i="1"/>
  <c r="CB269" i="1" s="1"/>
  <c r="BZ268" i="1"/>
  <c r="CB268" i="1" s="1"/>
  <c r="BZ295" i="1"/>
  <c r="CB295" i="1" s="1"/>
  <c r="BZ167" i="1"/>
  <c r="CB167" i="1" s="1"/>
  <c r="BZ111" i="1"/>
  <c r="CB111" i="1" s="1"/>
  <c r="BZ46" i="1"/>
  <c r="CA46" i="1" s="1"/>
  <c r="BZ356" i="1"/>
  <c r="CB356" i="1" s="1"/>
  <c r="BZ255" i="1"/>
  <c r="CB255" i="1" s="1"/>
  <c r="BZ227" i="1"/>
  <c r="CB227" i="1" s="1"/>
  <c r="BZ242" i="1"/>
  <c r="CB242" i="1" s="1"/>
  <c r="BZ106" i="1"/>
  <c r="CA106" i="1" s="1"/>
  <c r="BZ42" i="1"/>
  <c r="CA42" i="1" s="1"/>
  <c r="BZ235" i="1"/>
  <c r="BZ336" i="1"/>
  <c r="CB336" i="1" s="1"/>
  <c r="BZ272" i="1"/>
  <c r="CB272" i="1" s="1"/>
  <c r="BZ208" i="1"/>
  <c r="CB208" i="1" s="1"/>
  <c r="BZ144" i="1"/>
  <c r="CA144" i="1" s="1"/>
  <c r="BZ80" i="1"/>
  <c r="CA80" i="1" s="1"/>
  <c r="BZ16" i="1"/>
  <c r="CA16" i="1" s="1"/>
  <c r="BZ55" i="1"/>
  <c r="CA55" i="1" s="1"/>
  <c r="BZ147" i="1"/>
  <c r="BZ211" i="1"/>
  <c r="CB211" i="1" s="1"/>
  <c r="BZ238" i="1"/>
  <c r="CB238" i="1" s="1"/>
  <c r="BZ94" i="1"/>
  <c r="CA94" i="1" s="1"/>
  <c r="BZ319" i="1"/>
  <c r="CB319" i="1" s="1"/>
  <c r="BZ283" i="1"/>
  <c r="CB283" i="1" s="1"/>
  <c r="BZ91" i="1"/>
  <c r="CA91" i="1" s="1"/>
  <c r="BZ369" i="1"/>
  <c r="CA369" i="1" s="1"/>
  <c r="BZ76" i="1"/>
  <c r="CA76" i="1" s="1"/>
  <c r="BZ71" i="1"/>
  <c r="CB71" i="1" s="1"/>
  <c r="BZ21" i="1"/>
  <c r="CB21" i="1" s="1"/>
  <c r="BZ27" i="1"/>
  <c r="CA27" i="1" s="1"/>
  <c r="BZ202" i="1"/>
  <c r="CA202" i="1" s="1"/>
  <c r="BW10" i="1"/>
  <c r="BW11" i="1" s="1"/>
  <c r="BZ158" i="1"/>
  <c r="CA158" i="1" s="1"/>
  <c r="BZ316" i="1"/>
  <c r="CA316" i="1" s="1"/>
  <c r="BZ199" i="1"/>
  <c r="CA199" i="1" s="1"/>
  <c r="BZ278" i="1"/>
  <c r="CB278" i="1" s="1"/>
  <c r="BZ150" i="1"/>
  <c r="CA150" i="1" s="1"/>
  <c r="BZ357" i="1"/>
  <c r="CA357" i="1" s="1"/>
  <c r="BZ119" i="1"/>
  <c r="CA119" i="1" s="1"/>
  <c r="BZ292" i="1"/>
  <c r="CA292" i="1" s="1"/>
  <c r="BZ45" i="1"/>
  <c r="CA45" i="1" s="1"/>
  <c r="BZ252" i="1"/>
  <c r="CB252" i="1" s="1"/>
  <c r="BZ164" i="1"/>
  <c r="BZ287" i="1"/>
  <c r="CA287" i="1" s="1"/>
  <c r="BZ159" i="1"/>
  <c r="CA159" i="1" s="1"/>
  <c r="BZ275" i="1"/>
  <c r="CA275" i="1" s="1"/>
  <c r="BZ258" i="1"/>
  <c r="CA258" i="1" s="1"/>
  <c r="BZ194" i="1"/>
  <c r="CB194" i="1" s="1"/>
  <c r="BZ259" i="1"/>
  <c r="CA259" i="1" s="1"/>
  <c r="BZ155" i="1"/>
  <c r="CB155" i="1" s="1"/>
  <c r="BZ75" i="1"/>
  <c r="BZ354" i="1"/>
  <c r="CB354" i="1" s="1"/>
  <c r="BZ353" i="1"/>
  <c r="CB353" i="1" s="1"/>
  <c r="BZ289" i="1"/>
  <c r="CB289" i="1" s="1"/>
  <c r="BZ225" i="1"/>
  <c r="CA225" i="1" s="1"/>
  <c r="BZ161" i="1"/>
  <c r="CB161" i="1" s="1"/>
  <c r="BZ97" i="1"/>
  <c r="CB97" i="1" s="1"/>
  <c r="BZ33" i="1"/>
  <c r="CA33" i="1" s="1"/>
  <c r="BZ52" i="1"/>
  <c r="BZ226" i="1"/>
  <c r="CA226" i="1" s="1"/>
  <c r="BZ157" i="1"/>
  <c r="CB157" i="1" s="1"/>
  <c r="BZ218" i="1"/>
  <c r="CA218" i="1" s="1"/>
  <c r="BZ174" i="1"/>
  <c r="CA174" i="1" s="1"/>
  <c r="BZ191" i="1"/>
  <c r="CB191" i="1" s="1"/>
  <c r="BZ331" i="1"/>
  <c r="CB331" i="1" s="1"/>
  <c r="BZ210" i="1"/>
  <c r="CA210" i="1" s="1"/>
  <c r="BZ19" i="1"/>
  <c r="BZ365" i="1"/>
  <c r="CA365" i="1" s="1"/>
  <c r="BZ166" i="1"/>
  <c r="CA166" i="1" s="1"/>
  <c r="BZ173" i="1"/>
  <c r="CB173" i="1" s="1"/>
  <c r="BZ180" i="1"/>
  <c r="CA180" i="1" s="1"/>
  <c r="BZ175" i="1"/>
  <c r="CA175" i="1" s="1"/>
  <c r="BZ266" i="1"/>
  <c r="CB266" i="1" s="1"/>
  <c r="BZ36" i="1"/>
  <c r="CB36" i="1" s="1"/>
  <c r="BZ267" i="1"/>
  <c r="CB267" i="1" s="1"/>
  <c r="BZ83" i="1"/>
  <c r="CA83" i="1" s="1"/>
  <c r="BZ60" i="1"/>
  <c r="CA60" i="1" s="1"/>
  <c r="BZ270" i="1"/>
  <c r="CB270" i="1" s="1"/>
  <c r="BZ334" i="1"/>
  <c r="CB334" i="1" s="1"/>
  <c r="BZ301" i="1"/>
  <c r="CB301" i="1" s="1"/>
  <c r="BZ95" i="1"/>
  <c r="CA95" i="1" s="1"/>
  <c r="BZ30" i="1"/>
  <c r="CA30" i="1" s="1"/>
  <c r="BZ262" i="1"/>
  <c r="CB262" i="1" s="1"/>
  <c r="BZ134" i="1"/>
  <c r="CB134" i="1" s="1"/>
  <c r="BZ341" i="1"/>
  <c r="CA341" i="1" s="1"/>
  <c r="BZ213" i="1"/>
  <c r="CB213" i="1" s="1"/>
  <c r="BZ101" i="1"/>
  <c r="CB101" i="1" s="1"/>
  <c r="BZ276" i="1"/>
  <c r="CA276" i="1" s="1"/>
  <c r="BZ317" i="1"/>
  <c r="CA317" i="1" s="1"/>
  <c r="BZ127" i="1"/>
  <c r="CA127" i="1" s="1"/>
  <c r="BZ271" i="1"/>
  <c r="BZ143" i="1"/>
  <c r="CB143" i="1" s="1"/>
  <c r="BZ108" i="1"/>
  <c r="CB108" i="1" s="1"/>
  <c r="BZ251" i="1"/>
  <c r="CA251" i="1" s="1"/>
  <c r="BZ338" i="1"/>
  <c r="CA338" i="1" s="1"/>
  <c r="BZ347" i="1"/>
  <c r="CA347" i="1" s="1"/>
  <c r="BZ139" i="1"/>
  <c r="CB139" i="1" s="1"/>
  <c r="BZ67" i="1"/>
  <c r="CA67" i="1" s="1"/>
  <c r="BZ346" i="1"/>
  <c r="CA346" i="1" s="1"/>
  <c r="BZ345" i="1"/>
  <c r="CB345" i="1" s="1"/>
  <c r="BZ281" i="1"/>
  <c r="CA281" i="1" s="1"/>
  <c r="BZ217" i="1"/>
  <c r="CB217" i="1" s="1"/>
  <c r="BZ153" i="1"/>
  <c r="CA153" i="1" s="1"/>
  <c r="BZ89" i="1"/>
  <c r="CB89" i="1" s="1"/>
  <c r="BZ25" i="1"/>
  <c r="CB25" i="1" s="1"/>
  <c r="BZ44" i="1"/>
  <c r="CA44" i="1" s="1"/>
  <c r="BZ366" i="1"/>
  <c r="BZ290" i="1"/>
  <c r="CB290" i="1" s="1"/>
  <c r="BZ92" i="1"/>
  <c r="CA92" i="1" s="1"/>
  <c r="BZ212" i="1"/>
  <c r="CB212" i="1" s="1"/>
  <c r="BZ274" i="1"/>
  <c r="CA274" i="1" s="1"/>
  <c r="BZ364" i="1"/>
  <c r="CA364" i="1" s="1"/>
  <c r="BZ215" i="1"/>
  <c r="CB215" i="1" s="1"/>
  <c r="BZ142" i="1"/>
  <c r="CA142" i="1" s="1"/>
  <c r="BZ77" i="1"/>
  <c r="CB77" i="1" s="1"/>
  <c r="BZ374" i="1"/>
  <c r="CA374" i="1" s="1"/>
  <c r="BZ246" i="1"/>
  <c r="CB246" i="1" s="1"/>
  <c r="BZ325" i="1"/>
  <c r="CB325" i="1" s="1"/>
  <c r="BZ197" i="1"/>
  <c r="CA197" i="1" s="1"/>
  <c r="BZ37" i="1"/>
  <c r="CB37" i="1" s="1"/>
  <c r="BZ228" i="1"/>
  <c r="CB228" i="1" s="1"/>
  <c r="BZ253" i="1"/>
  <c r="CB253" i="1" s="1"/>
  <c r="BZ22" i="1"/>
  <c r="BZ126" i="1"/>
  <c r="CA126" i="1" s="1"/>
  <c r="BZ84" i="1"/>
  <c r="CB84" i="1" s="1"/>
  <c r="BZ322" i="1"/>
  <c r="CB322" i="1" s="1"/>
  <c r="BZ339" i="1"/>
  <c r="CA339" i="1" s="1"/>
  <c r="BZ131" i="1"/>
  <c r="CA131" i="1" s="1"/>
  <c r="BZ59" i="1"/>
  <c r="CB59" i="1" s="1"/>
  <c r="BZ330" i="1"/>
  <c r="CA330" i="1" s="1"/>
  <c r="BZ337" i="1"/>
  <c r="BZ273" i="1"/>
  <c r="CB273" i="1" s="1"/>
  <c r="BZ209" i="1"/>
  <c r="CA209" i="1" s="1"/>
  <c r="BZ145" i="1"/>
  <c r="CA145" i="1" s="1"/>
  <c r="BZ81" i="1"/>
  <c r="CB81" i="1" s="1"/>
  <c r="BZ17" i="1"/>
  <c r="CB17" i="1" s="1"/>
  <c r="BZ20" i="1"/>
  <c r="CB20" i="1" s="1"/>
  <c r="BZ15" i="1"/>
  <c r="CA15" i="1" s="1"/>
  <c r="D45" i="1"/>
  <c r="E56" i="1" s="1"/>
  <c r="E164" i="1" s="1"/>
  <c r="C44" i="1"/>
  <c r="D55" i="1" s="1"/>
  <c r="I62" i="1"/>
  <c r="R62" i="1" s="1"/>
  <c r="D37" i="1"/>
  <c r="C49" i="1" s="1"/>
  <c r="C157" i="1" s="1"/>
  <c r="C38" i="1"/>
  <c r="D49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H67" i="1"/>
  <c r="Q67" i="1" s="1"/>
  <c r="F54" i="1" l="1"/>
  <c r="G54" i="1" s="1"/>
  <c r="F51" i="1"/>
  <c r="G51" i="1" s="1"/>
  <c r="C168" i="1"/>
  <c r="E174" i="1"/>
  <c r="B56" i="1"/>
  <c r="B164" i="1" s="1"/>
  <c r="B175" i="1" s="1"/>
  <c r="D163" i="1"/>
  <c r="D174" i="1" s="1"/>
  <c r="E175" i="1"/>
  <c r="E172" i="1"/>
  <c r="E168" i="1"/>
  <c r="B50" i="1"/>
  <c r="D157" i="1"/>
  <c r="D168" i="1" s="1"/>
  <c r="E173" i="1"/>
  <c r="E169" i="1"/>
  <c r="G159" i="1"/>
  <c r="F159" i="1"/>
  <c r="E170" i="1"/>
  <c r="C53" i="1"/>
  <c r="E160" i="1"/>
  <c r="CH112" i="1"/>
  <c r="CJ112" i="1" s="1"/>
  <c r="CK112" i="1" s="1"/>
  <c r="CI305" i="1"/>
  <c r="CJ305" i="1" s="1"/>
  <c r="CK305" i="1" s="1"/>
  <c r="CH24" i="1"/>
  <c r="CJ24" i="1" s="1"/>
  <c r="CK24" i="1" s="1"/>
  <c r="CH164" i="1"/>
  <c r="CJ164" i="1" s="1"/>
  <c r="CK164" i="1" s="1"/>
  <c r="CI117" i="1"/>
  <c r="CJ117" i="1" s="1"/>
  <c r="CK117" i="1" s="1"/>
  <c r="CH173" i="1"/>
  <c r="CJ173" i="1" s="1"/>
  <c r="CK173" i="1" s="1"/>
  <c r="CH87" i="1"/>
  <c r="CJ87" i="1" s="1"/>
  <c r="CK87" i="1" s="1"/>
  <c r="CI186" i="1"/>
  <c r="CJ186" i="1" s="1"/>
  <c r="CK186" i="1" s="1"/>
  <c r="CI176" i="1"/>
  <c r="CJ176" i="1" s="1"/>
  <c r="CK176" i="1" s="1"/>
  <c r="CH261" i="1"/>
  <c r="CJ261" i="1" s="1"/>
  <c r="CK261" i="1" s="1"/>
  <c r="CH125" i="1"/>
  <c r="CJ125" i="1" s="1"/>
  <c r="CK125" i="1" s="1"/>
  <c r="CI371" i="1"/>
  <c r="CJ371" i="1" s="1"/>
  <c r="CK371" i="1" s="1"/>
  <c r="CH103" i="1"/>
  <c r="CJ103" i="1" s="1"/>
  <c r="CK103" i="1" s="1"/>
  <c r="CH306" i="1"/>
  <c r="CJ306" i="1" s="1"/>
  <c r="CK306" i="1" s="1"/>
  <c r="CH50" i="1"/>
  <c r="CJ50" i="1" s="1"/>
  <c r="CK50" i="1" s="1"/>
  <c r="CI335" i="1"/>
  <c r="CJ335" i="1" s="1"/>
  <c r="CK335" i="1" s="1"/>
  <c r="CH249" i="1"/>
  <c r="CJ249" i="1" s="1"/>
  <c r="CK249" i="1" s="1"/>
  <c r="CH73" i="1"/>
  <c r="CJ73" i="1" s="1"/>
  <c r="CK73" i="1" s="1"/>
  <c r="CH314" i="1"/>
  <c r="CJ314" i="1" s="1"/>
  <c r="CK314" i="1" s="1"/>
  <c r="CH166" i="1"/>
  <c r="CJ166" i="1" s="1"/>
  <c r="CK166" i="1" s="1"/>
  <c r="CI152" i="1"/>
  <c r="CJ152" i="1" s="1"/>
  <c r="CK152" i="1" s="1"/>
  <c r="CH266" i="1"/>
  <c r="CJ266" i="1" s="1"/>
  <c r="CK266" i="1" s="1"/>
  <c r="CH74" i="1"/>
  <c r="CJ74" i="1" s="1"/>
  <c r="CK74" i="1" s="1"/>
  <c r="CH359" i="1"/>
  <c r="CJ359" i="1" s="1"/>
  <c r="CK359" i="1" s="1"/>
  <c r="CI248" i="1"/>
  <c r="CH248" i="1"/>
  <c r="CH244" i="1"/>
  <c r="CI244" i="1"/>
  <c r="CI274" i="1"/>
  <c r="CH274" i="1"/>
  <c r="CI311" i="1"/>
  <c r="CH311" i="1"/>
  <c r="CI253" i="1"/>
  <c r="CJ253" i="1" s="1"/>
  <c r="CK253" i="1" s="1"/>
  <c r="CI113" i="1"/>
  <c r="CJ113" i="1" s="1"/>
  <c r="CK113" i="1" s="1"/>
  <c r="CH375" i="1"/>
  <c r="CJ375" i="1" s="1"/>
  <c r="CK375" i="1" s="1"/>
  <c r="CG139" i="1"/>
  <c r="CH139" i="1" s="1"/>
  <c r="CH330" i="1"/>
  <c r="CJ330" i="1" s="1"/>
  <c r="CK330" i="1" s="1"/>
  <c r="CI245" i="1"/>
  <c r="CJ245" i="1" s="1"/>
  <c r="CK245" i="1" s="1"/>
  <c r="CH114" i="1"/>
  <c r="CJ114" i="1" s="1"/>
  <c r="CK114" i="1" s="1"/>
  <c r="CH368" i="1"/>
  <c r="CJ368" i="1" s="1"/>
  <c r="CK368" i="1" s="1"/>
  <c r="CH276" i="1"/>
  <c r="CJ276" i="1" s="1"/>
  <c r="CK276" i="1" s="1"/>
  <c r="CH32" i="1"/>
  <c r="CJ32" i="1" s="1"/>
  <c r="CK32" i="1" s="1"/>
  <c r="CH207" i="1"/>
  <c r="CJ207" i="1" s="1"/>
  <c r="CK207" i="1" s="1"/>
  <c r="CI16" i="1"/>
  <c r="CJ16" i="1" s="1"/>
  <c r="CK16" i="1" s="1"/>
  <c r="CH240" i="1"/>
  <c r="CJ240" i="1" s="1"/>
  <c r="CK240" i="1" s="1"/>
  <c r="CI94" i="1"/>
  <c r="CJ94" i="1" s="1"/>
  <c r="CK94" i="1" s="1"/>
  <c r="CI138" i="1"/>
  <c r="CJ138" i="1" s="1"/>
  <c r="CK138" i="1" s="1"/>
  <c r="CI75" i="1"/>
  <c r="CJ75" i="1" s="1"/>
  <c r="CK75" i="1" s="1"/>
  <c r="CI133" i="1"/>
  <c r="CJ133" i="1" s="1"/>
  <c r="CK133" i="1" s="1"/>
  <c r="CH265" i="1"/>
  <c r="CJ265" i="1" s="1"/>
  <c r="CK265" i="1" s="1"/>
  <c r="CH70" i="1"/>
  <c r="CJ70" i="1" s="1"/>
  <c r="CK70" i="1" s="1"/>
  <c r="CG356" i="1"/>
  <c r="CH356" i="1" s="1"/>
  <c r="CI242" i="1"/>
  <c r="CJ242" i="1" s="1"/>
  <c r="CK242" i="1" s="1"/>
  <c r="CI364" i="1"/>
  <c r="CJ364" i="1" s="1"/>
  <c r="CK364" i="1" s="1"/>
  <c r="CI178" i="1"/>
  <c r="CH178" i="1"/>
  <c r="CH292" i="1"/>
  <c r="CI292" i="1"/>
  <c r="CH58" i="1"/>
  <c r="CI58" i="1"/>
  <c r="CH115" i="1"/>
  <c r="CI115" i="1"/>
  <c r="CI181" i="1"/>
  <c r="CJ181" i="1" s="1"/>
  <c r="CK181" i="1" s="1"/>
  <c r="CI342" i="1"/>
  <c r="CJ342" i="1" s="1"/>
  <c r="CK342" i="1" s="1"/>
  <c r="CI237" i="1"/>
  <c r="CJ237" i="1" s="1"/>
  <c r="CK237" i="1" s="1"/>
  <c r="CG331" i="1"/>
  <c r="CH331" i="1" s="1"/>
  <c r="CI17" i="1"/>
  <c r="CJ17" i="1" s="1"/>
  <c r="CK17" i="1" s="1"/>
  <c r="CG204" i="1"/>
  <c r="CH204" i="1" s="1"/>
  <c r="CI185" i="1"/>
  <c r="CJ185" i="1" s="1"/>
  <c r="CK185" i="1" s="1"/>
  <c r="CI270" i="1"/>
  <c r="CJ270" i="1" s="1"/>
  <c r="CK270" i="1" s="1"/>
  <c r="CH206" i="1"/>
  <c r="CJ206" i="1" s="1"/>
  <c r="CK206" i="1" s="1"/>
  <c r="CH95" i="1"/>
  <c r="CJ95" i="1" s="1"/>
  <c r="CK95" i="1" s="1"/>
  <c r="CG20" i="1"/>
  <c r="CI20" i="1" s="1"/>
  <c r="CI51" i="1"/>
  <c r="CJ51" i="1" s="1"/>
  <c r="CK51" i="1" s="1"/>
  <c r="CI267" i="1"/>
  <c r="CJ267" i="1" s="1"/>
  <c r="CK267" i="1" s="1"/>
  <c r="CH361" i="1"/>
  <c r="CJ361" i="1" s="1"/>
  <c r="CK361" i="1" s="1"/>
  <c r="CI145" i="1"/>
  <c r="CJ145" i="1" s="1"/>
  <c r="CK145" i="1" s="1"/>
  <c r="CI177" i="1"/>
  <c r="CJ177" i="1" s="1"/>
  <c r="CK177" i="1" s="1"/>
  <c r="CG370" i="1"/>
  <c r="CH370" i="1" s="1"/>
  <c r="CG76" i="1"/>
  <c r="CH76" i="1" s="1"/>
  <c r="CH52" i="1"/>
  <c r="CJ52" i="1" s="1"/>
  <c r="CK52" i="1" s="1"/>
  <c r="CI319" i="1"/>
  <c r="CJ319" i="1" s="1"/>
  <c r="CK319" i="1" s="1"/>
  <c r="CH116" i="1"/>
  <c r="CJ116" i="1" s="1"/>
  <c r="CK116" i="1" s="1"/>
  <c r="CH142" i="1"/>
  <c r="CJ142" i="1" s="1"/>
  <c r="CK142" i="1" s="1"/>
  <c r="CH203" i="1"/>
  <c r="CJ203" i="1" s="1"/>
  <c r="CK203" i="1" s="1"/>
  <c r="CI47" i="1"/>
  <c r="CJ47" i="1" s="1"/>
  <c r="CK47" i="1" s="1"/>
  <c r="CI22" i="1"/>
  <c r="CJ22" i="1" s="1"/>
  <c r="CK22" i="1" s="1"/>
  <c r="CH140" i="1"/>
  <c r="CJ140" i="1" s="1"/>
  <c r="CK140" i="1" s="1"/>
  <c r="CI338" i="1"/>
  <c r="CJ338" i="1" s="1"/>
  <c r="CK338" i="1" s="1"/>
  <c r="CI224" i="1"/>
  <c r="CJ224" i="1" s="1"/>
  <c r="CK224" i="1" s="1"/>
  <c r="CI277" i="1"/>
  <c r="CJ277" i="1" s="1"/>
  <c r="CK277" i="1" s="1"/>
  <c r="CG55" i="1"/>
  <c r="CH55" i="1" s="1"/>
  <c r="CG169" i="1"/>
  <c r="CH169" i="1" s="1"/>
  <c r="CG190" i="1"/>
  <c r="CH190" i="1" s="1"/>
  <c r="CG296" i="1"/>
  <c r="CH296" i="1" s="1"/>
  <c r="CG128" i="1"/>
  <c r="CH128" i="1" s="1"/>
  <c r="CG238" i="1"/>
  <c r="CH238" i="1" s="1"/>
  <c r="CG241" i="1"/>
  <c r="CH241" i="1" s="1"/>
  <c r="CG131" i="1"/>
  <c r="CH131" i="1" s="1"/>
  <c r="CG26" i="1"/>
  <c r="CH26" i="1" s="1"/>
  <c r="CH263" i="1"/>
  <c r="CJ263" i="1" s="1"/>
  <c r="CK263" i="1" s="1"/>
  <c r="CG57" i="1"/>
  <c r="CH57" i="1" s="1"/>
  <c r="CG136" i="1"/>
  <c r="CH136" i="1" s="1"/>
  <c r="CG347" i="1"/>
  <c r="CH347" i="1" s="1"/>
  <c r="CG119" i="1"/>
  <c r="CH119" i="1" s="1"/>
  <c r="CG199" i="1"/>
  <c r="CH199" i="1" s="1"/>
  <c r="CH243" i="1"/>
  <c r="CI243" i="1"/>
  <c r="CH303" i="1"/>
  <c r="CI303" i="1"/>
  <c r="CI216" i="1"/>
  <c r="CH216" i="1"/>
  <c r="CH184" i="1"/>
  <c r="CI184" i="1"/>
  <c r="CI200" i="1"/>
  <c r="CJ200" i="1" s="1"/>
  <c r="CK200" i="1" s="1"/>
  <c r="CG34" i="1"/>
  <c r="CH34" i="1" s="1"/>
  <c r="CG37" i="1"/>
  <c r="CH37" i="1" s="1"/>
  <c r="CG191" i="1"/>
  <c r="CH191" i="1" s="1"/>
  <c r="CG287" i="1"/>
  <c r="CH287" i="1" s="1"/>
  <c r="CI189" i="1"/>
  <c r="CH189" i="1"/>
  <c r="CG111" i="1"/>
  <c r="CH111" i="1" s="1"/>
  <c r="CH146" i="1"/>
  <c r="CI146" i="1"/>
  <c r="CI325" i="1"/>
  <c r="CJ325" i="1" s="1"/>
  <c r="CK325" i="1" s="1"/>
  <c r="CI174" i="1"/>
  <c r="CH174" i="1"/>
  <c r="CG71" i="1"/>
  <c r="CH71" i="1" s="1"/>
  <c r="CI130" i="1"/>
  <c r="CJ130" i="1" s="1"/>
  <c r="CK130" i="1" s="1"/>
  <c r="CG281" i="1"/>
  <c r="CH281" i="1" s="1"/>
  <c r="CG288" i="1"/>
  <c r="CH288" i="1" s="1"/>
  <c r="CI107" i="1"/>
  <c r="CJ107" i="1" s="1"/>
  <c r="CK107" i="1" s="1"/>
  <c r="CI198" i="1"/>
  <c r="CH198" i="1"/>
  <c r="CI85" i="1"/>
  <c r="CJ85" i="1" s="1"/>
  <c r="CK85" i="1" s="1"/>
  <c r="CG182" i="1"/>
  <c r="CH182" i="1" s="1"/>
  <c r="CG343" i="1"/>
  <c r="CH343" i="1" s="1"/>
  <c r="CG300" i="1"/>
  <c r="CH300" i="1" s="1"/>
  <c r="CI210" i="1"/>
  <c r="CH210" i="1"/>
  <c r="CI312" i="1"/>
  <c r="CJ312" i="1" s="1"/>
  <c r="CK312" i="1" s="1"/>
  <c r="CG147" i="1"/>
  <c r="CH147" i="1" s="1"/>
  <c r="CG197" i="1"/>
  <c r="CH197" i="1" s="1"/>
  <c r="CG246" i="1"/>
  <c r="CH246" i="1" s="1"/>
  <c r="CI299" i="1"/>
  <c r="CJ299" i="1" s="1"/>
  <c r="CK299" i="1" s="1"/>
  <c r="CI156" i="1"/>
  <c r="CJ156" i="1" s="1"/>
  <c r="CK156" i="1" s="1"/>
  <c r="CG362" i="1"/>
  <c r="CH362" i="1" s="1"/>
  <c r="CG328" i="1"/>
  <c r="CH328" i="1" s="1"/>
  <c r="CG162" i="1"/>
  <c r="CH162" i="1" s="1"/>
  <c r="CG316" i="1"/>
  <c r="CH316" i="1" s="1"/>
  <c r="CG345" i="1"/>
  <c r="CH345" i="1" s="1"/>
  <c r="CG337" i="1"/>
  <c r="CH337" i="1" s="1"/>
  <c r="CI279" i="1"/>
  <c r="CH279" i="1"/>
  <c r="CG118" i="1"/>
  <c r="CH118" i="1" s="1"/>
  <c r="CG336" i="1"/>
  <c r="CH336" i="1" s="1"/>
  <c r="CI35" i="1"/>
  <c r="CJ35" i="1" s="1"/>
  <c r="CK35" i="1" s="1"/>
  <c r="CI332" i="1"/>
  <c r="CJ332" i="1" s="1"/>
  <c r="CK332" i="1" s="1"/>
  <c r="CH81" i="1"/>
  <c r="CI81" i="1"/>
  <c r="CG228" i="1"/>
  <c r="CH228" i="1" s="1"/>
  <c r="CG327" i="1"/>
  <c r="CH327" i="1" s="1"/>
  <c r="CG104" i="1"/>
  <c r="CH104" i="1" s="1"/>
  <c r="CI257" i="1"/>
  <c r="CJ257" i="1" s="1"/>
  <c r="CK257" i="1" s="1"/>
  <c r="CI172" i="1"/>
  <c r="CJ172" i="1" s="1"/>
  <c r="CK172" i="1" s="1"/>
  <c r="CG315" i="1"/>
  <c r="CH315" i="1" s="1"/>
  <c r="CI179" i="1"/>
  <c r="CH179" i="1"/>
  <c r="CG348" i="1"/>
  <c r="CH348" i="1" s="1"/>
  <c r="CH310" i="1"/>
  <c r="CI310" i="1"/>
  <c r="CI365" i="1"/>
  <c r="CJ365" i="1" s="1"/>
  <c r="CK365" i="1" s="1"/>
  <c r="CG221" i="1"/>
  <c r="CH221" i="1" s="1"/>
  <c r="CG326" i="1"/>
  <c r="CH326" i="1" s="1"/>
  <c r="CH313" i="1"/>
  <c r="CI313" i="1"/>
  <c r="CH121" i="1"/>
  <c r="CI121" i="1"/>
  <c r="CH304" i="1"/>
  <c r="CI304" i="1"/>
  <c r="CG89" i="1"/>
  <c r="CH89" i="1" s="1"/>
  <c r="CI282" i="1"/>
  <c r="CJ282" i="1" s="1"/>
  <c r="CK282" i="1" s="1"/>
  <c r="CG211" i="1"/>
  <c r="CH211" i="1" s="1"/>
  <c r="CG126" i="1"/>
  <c r="CH126" i="1" s="1"/>
  <c r="CG353" i="1"/>
  <c r="CH353" i="1" s="1"/>
  <c r="CG192" i="1"/>
  <c r="CH192" i="1" s="1"/>
  <c r="CH307" i="1"/>
  <c r="CI307" i="1"/>
  <c r="CI344" i="1"/>
  <c r="CJ344" i="1" s="1"/>
  <c r="CK344" i="1" s="1"/>
  <c r="CI222" i="1"/>
  <c r="CJ222" i="1" s="1"/>
  <c r="CK222" i="1" s="1"/>
  <c r="CI205" i="1"/>
  <c r="CJ205" i="1" s="1"/>
  <c r="CK205" i="1" s="1"/>
  <c r="CG159" i="1"/>
  <c r="CH159" i="1" s="1"/>
  <c r="CG33" i="1"/>
  <c r="CH33" i="1" s="1"/>
  <c r="CI226" i="1"/>
  <c r="CJ226" i="1" s="1"/>
  <c r="CK226" i="1" s="1"/>
  <c r="CG91" i="1"/>
  <c r="CH91" i="1" s="1"/>
  <c r="CG77" i="1"/>
  <c r="CH77" i="1" s="1"/>
  <c r="CG175" i="1"/>
  <c r="CH175" i="1" s="1"/>
  <c r="CI132" i="1"/>
  <c r="CJ132" i="1" s="1"/>
  <c r="CK132" i="1" s="1"/>
  <c r="CG289" i="1"/>
  <c r="CH289" i="1" s="1"/>
  <c r="CI150" i="1"/>
  <c r="CJ150" i="1" s="1"/>
  <c r="CK150" i="1" s="1"/>
  <c r="CG46" i="1"/>
  <c r="CH46" i="1" s="1"/>
  <c r="CI23" i="1"/>
  <c r="CJ23" i="1" s="1"/>
  <c r="CK23" i="1" s="1"/>
  <c r="CG109" i="1"/>
  <c r="CH109" i="1" s="1"/>
  <c r="CI56" i="1"/>
  <c r="CH56" i="1"/>
  <c r="CG339" i="1"/>
  <c r="CH339" i="1" s="1"/>
  <c r="CI135" i="1"/>
  <c r="CH135" i="1"/>
  <c r="CI43" i="1"/>
  <c r="CJ43" i="1" s="1"/>
  <c r="CK43" i="1" s="1"/>
  <c r="CG227" i="1"/>
  <c r="CH227" i="1" s="1"/>
  <c r="CG38" i="1"/>
  <c r="CH38" i="1" s="1"/>
  <c r="CG68" i="1"/>
  <c r="CH68" i="1" s="1"/>
  <c r="CI18" i="1"/>
  <c r="CH18" i="1"/>
  <c r="CI153" i="1"/>
  <c r="CJ153" i="1" s="1"/>
  <c r="CK153" i="1" s="1"/>
  <c r="CH318" i="1"/>
  <c r="CJ318" i="1" s="1"/>
  <c r="CK318" i="1" s="1"/>
  <c r="CG49" i="1"/>
  <c r="CH49" i="1" s="1"/>
  <c r="CI255" i="1"/>
  <c r="CJ255" i="1" s="1"/>
  <c r="CK255" i="1" s="1"/>
  <c r="CG346" i="1"/>
  <c r="CH346" i="1" s="1"/>
  <c r="CG252" i="1"/>
  <c r="CH252" i="1" s="1"/>
  <c r="CH82" i="1"/>
  <c r="CI82" i="1"/>
  <c r="CH236" i="1"/>
  <c r="CI236" i="1"/>
  <c r="CG284" i="1"/>
  <c r="CH284" i="1" s="1"/>
  <c r="CI250" i="1"/>
  <c r="CH250" i="1"/>
  <c r="CG84" i="1"/>
  <c r="CH84" i="1" s="1"/>
  <c r="CG260" i="1"/>
  <c r="CH260" i="1" s="1"/>
  <c r="CI167" i="1"/>
  <c r="CJ167" i="1" s="1"/>
  <c r="CK167" i="1" s="1"/>
  <c r="CG27" i="1"/>
  <c r="CH27" i="1" s="1"/>
  <c r="CG294" i="1"/>
  <c r="CH294" i="1" s="1"/>
  <c r="CI41" i="1"/>
  <c r="CJ41" i="1" s="1"/>
  <c r="CK41" i="1" s="1"/>
  <c r="CI93" i="1"/>
  <c r="CJ93" i="1" s="1"/>
  <c r="CK93" i="1" s="1"/>
  <c r="CI171" i="1"/>
  <c r="CJ171" i="1" s="1"/>
  <c r="CK171" i="1" s="1"/>
  <c r="CG168" i="1"/>
  <c r="CH168" i="1" s="1"/>
  <c r="CI351" i="1"/>
  <c r="CJ351" i="1" s="1"/>
  <c r="CK351" i="1" s="1"/>
  <c r="CI64" i="1"/>
  <c r="CJ64" i="1" s="1"/>
  <c r="CK64" i="1" s="1"/>
  <c r="CI217" i="1"/>
  <c r="CJ217" i="1" s="1"/>
  <c r="CK217" i="1" s="1"/>
  <c r="CI92" i="1"/>
  <c r="CJ92" i="1" s="1"/>
  <c r="CK92" i="1" s="1"/>
  <c r="CI275" i="1"/>
  <c r="CJ275" i="1" s="1"/>
  <c r="CK275" i="1" s="1"/>
  <c r="CI341" i="1"/>
  <c r="CJ341" i="1" s="1"/>
  <c r="CK341" i="1" s="1"/>
  <c r="CI230" i="1"/>
  <c r="CJ230" i="1" s="1"/>
  <c r="CK230" i="1" s="1"/>
  <c r="CI96" i="1"/>
  <c r="CJ96" i="1" s="1"/>
  <c r="CK96" i="1" s="1"/>
  <c r="CI98" i="1"/>
  <c r="CJ98" i="1" s="1"/>
  <c r="CK98" i="1" s="1"/>
  <c r="CI212" i="1"/>
  <c r="CJ212" i="1" s="1"/>
  <c r="CK212" i="1" s="1"/>
  <c r="CI366" i="1"/>
  <c r="CJ366" i="1" s="1"/>
  <c r="CK366" i="1" s="1"/>
  <c r="CG264" i="1"/>
  <c r="CH264" i="1" s="1"/>
  <c r="CG374" i="1"/>
  <c r="CH374" i="1" s="1"/>
  <c r="CI160" i="1"/>
  <c r="CJ160" i="1" s="1"/>
  <c r="CK160" i="1" s="1"/>
  <c r="CG157" i="1"/>
  <c r="CH157" i="1" s="1"/>
  <c r="CI105" i="1"/>
  <c r="CJ105" i="1" s="1"/>
  <c r="CK105" i="1" s="1"/>
  <c r="CI298" i="1"/>
  <c r="CJ298" i="1" s="1"/>
  <c r="CK298" i="1" s="1"/>
  <c r="CI229" i="1"/>
  <c r="CJ229" i="1" s="1"/>
  <c r="CK229" i="1" s="1"/>
  <c r="CI367" i="1"/>
  <c r="CJ367" i="1" s="1"/>
  <c r="CK367" i="1" s="1"/>
  <c r="CI363" i="1"/>
  <c r="CJ363" i="1" s="1"/>
  <c r="CK363" i="1" s="1"/>
  <c r="CH69" i="1"/>
  <c r="CJ69" i="1" s="1"/>
  <c r="CK69" i="1" s="1"/>
  <c r="CI66" i="1"/>
  <c r="CJ66" i="1" s="1"/>
  <c r="CK66" i="1" s="1"/>
  <c r="CI101" i="1"/>
  <c r="CJ101" i="1" s="1"/>
  <c r="CK101" i="1" s="1"/>
  <c r="CI148" i="1"/>
  <c r="CJ148" i="1" s="1"/>
  <c r="CK148" i="1" s="1"/>
  <c r="CI143" i="1"/>
  <c r="CJ143" i="1" s="1"/>
  <c r="CK143" i="1" s="1"/>
  <c r="CG232" i="1"/>
  <c r="CH232" i="1" s="1"/>
  <c r="CG163" i="1"/>
  <c r="CH163" i="1" s="1"/>
  <c r="CH180" i="1"/>
  <c r="CJ180" i="1" s="1"/>
  <c r="CK180" i="1" s="1"/>
  <c r="CI202" i="1"/>
  <c r="CJ202" i="1" s="1"/>
  <c r="CK202" i="1" s="1"/>
  <c r="CI67" i="1"/>
  <c r="CJ67" i="1" s="1"/>
  <c r="CK67" i="1" s="1"/>
  <c r="CI124" i="1"/>
  <c r="CJ124" i="1" s="1"/>
  <c r="CK124" i="1" s="1"/>
  <c r="CI269" i="1"/>
  <c r="CJ269" i="1" s="1"/>
  <c r="CK269" i="1" s="1"/>
  <c r="CI137" i="1"/>
  <c r="CJ137" i="1" s="1"/>
  <c r="CK137" i="1" s="1"/>
  <c r="CI209" i="1"/>
  <c r="CJ209" i="1" s="1"/>
  <c r="CK209" i="1" s="1"/>
  <c r="CI90" i="1"/>
  <c r="CJ90" i="1" s="1"/>
  <c r="CK90" i="1" s="1"/>
  <c r="CI141" i="1"/>
  <c r="CJ141" i="1" s="1"/>
  <c r="CK141" i="1" s="1"/>
  <c r="CI358" i="1"/>
  <c r="CJ358" i="1" s="1"/>
  <c r="CK358" i="1" s="1"/>
  <c r="CI334" i="1"/>
  <c r="CJ334" i="1" s="1"/>
  <c r="CK334" i="1" s="1"/>
  <c r="CG256" i="1"/>
  <c r="CH256" i="1" s="1"/>
  <c r="CH349" i="1"/>
  <c r="CJ349" i="1" s="1"/>
  <c r="CK349" i="1" s="1"/>
  <c r="CH31" i="1"/>
  <c r="CJ31" i="1" s="1"/>
  <c r="CK31" i="1" s="1"/>
  <c r="CI88" i="1"/>
  <c r="CJ88" i="1" s="1"/>
  <c r="CK88" i="1" s="1"/>
  <c r="CI293" i="1"/>
  <c r="CJ293" i="1" s="1"/>
  <c r="CK293" i="1" s="1"/>
  <c r="CI86" i="1"/>
  <c r="CJ86" i="1" s="1"/>
  <c r="CK86" i="1" s="1"/>
  <c r="CH122" i="1"/>
  <c r="CJ122" i="1" s="1"/>
  <c r="CK122" i="1" s="1"/>
  <c r="CG99" i="1"/>
  <c r="CH99" i="1" s="1"/>
  <c r="CI97" i="1"/>
  <c r="CJ97" i="1" s="1"/>
  <c r="CK97" i="1" s="1"/>
  <c r="CI290" i="1"/>
  <c r="CJ290" i="1" s="1"/>
  <c r="CK290" i="1" s="1"/>
  <c r="CI155" i="1"/>
  <c r="CJ155" i="1" s="1"/>
  <c r="CK155" i="1" s="1"/>
  <c r="CI213" i="1"/>
  <c r="CJ213" i="1" s="1"/>
  <c r="CK213" i="1" s="1"/>
  <c r="CI317" i="1"/>
  <c r="CJ317" i="1" s="1"/>
  <c r="CK317" i="1" s="1"/>
  <c r="CG234" i="1"/>
  <c r="CH234" i="1" s="1"/>
  <c r="CI235" i="1"/>
  <c r="CJ235" i="1" s="1"/>
  <c r="CK235" i="1" s="1"/>
  <c r="CH352" i="1"/>
  <c r="CJ352" i="1" s="1"/>
  <c r="CK352" i="1" s="1"/>
  <c r="CG45" i="1"/>
  <c r="CH45" i="1" s="1"/>
  <c r="CH120" i="1"/>
  <c r="CJ120" i="1" s="1"/>
  <c r="CK120" i="1" s="1"/>
  <c r="CI297" i="1"/>
  <c r="CJ297" i="1" s="1"/>
  <c r="CK297" i="1" s="1"/>
  <c r="CI268" i="1"/>
  <c r="CJ268" i="1" s="1"/>
  <c r="CK268" i="1" s="1"/>
  <c r="CI355" i="1"/>
  <c r="CJ355" i="1" s="1"/>
  <c r="CK355" i="1" s="1"/>
  <c r="CI286" i="1"/>
  <c r="CJ286" i="1" s="1"/>
  <c r="CK286" i="1" s="1"/>
  <c r="CG144" i="1"/>
  <c r="CH144" i="1" s="1"/>
  <c r="CH273" i="1"/>
  <c r="CJ273" i="1" s="1"/>
  <c r="CK273" i="1" s="1"/>
  <c r="CI295" i="1"/>
  <c r="CJ295" i="1" s="1"/>
  <c r="CK295" i="1" s="1"/>
  <c r="CG183" i="1"/>
  <c r="CH183" i="1" s="1"/>
  <c r="CI65" i="1"/>
  <c r="CJ65" i="1" s="1"/>
  <c r="CK65" i="1" s="1"/>
  <c r="CI258" i="1"/>
  <c r="CJ258" i="1" s="1"/>
  <c r="CK258" i="1" s="1"/>
  <c r="CI123" i="1"/>
  <c r="CJ123" i="1" s="1"/>
  <c r="CK123" i="1" s="1"/>
  <c r="CI149" i="1"/>
  <c r="CJ149" i="1" s="1"/>
  <c r="CK149" i="1" s="1"/>
  <c r="CI350" i="1"/>
  <c r="CJ350" i="1" s="1"/>
  <c r="CK350" i="1" s="1"/>
  <c r="CI48" i="1"/>
  <c r="CJ48" i="1" s="1"/>
  <c r="CK48" i="1" s="1"/>
  <c r="CI201" i="1"/>
  <c r="CJ201" i="1" s="1"/>
  <c r="CK201" i="1" s="1"/>
  <c r="CI60" i="1"/>
  <c r="CJ60" i="1" s="1"/>
  <c r="CK60" i="1" s="1"/>
  <c r="CI259" i="1"/>
  <c r="CJ259" i="1" s="1"/>
  <c r="CK259" i="1" s="1"/>
  <c r="CI301" i="1"/>
  <c r="CJ301" i="1" s="1"/>
  <c r="CK301" i="1" s="1"/>
  <c r="CH19" i="1"/>
  <c r="CJ19" i="1" s="1"/>
  <c r="CK19" i="1" s="1"/>
  <c r="CG78" i="1"/>
  <c r="CH78" i="1" s="1"/>
  <c r="CI233" i="1"/>
  <c r="CJ233" i="1" s="1"/>
  <c r="CK233" i="1" s="1"/>
  <c r="CI59" i="1"/>
  <c r="CJ59" i="1" s="1"/>
  <c r="CK59" i="1" s="1"/>
  <c r="CI62" i="1"/>
  <c r="CJ62" i="1" s="1"/>
  <c r="CK62" i="1" s="1"/>
  <c r="CI154" i="1"/>
  <c r="CJ154" i="1" s="1"/>
  <c r="CK154" i="1" s="1"/>
  <c r="CI308" i="1"/>
  <c r="CJ308" i="1" s="1"/>
  <c r="CK308" i="1" s="1"/>
  <c r="CG321" i="1"/>
  <c r="CH321" i="1" s="1"/>
  <c r="CG195" i="1"/>
  <c r="CH195" i="1" s="1"/>
  <c r="CG214" i="1"/>
  <c r="CH214" i="1" s="1"/>
  <c r="CI161" i="1"/>
  <c r="CJ161" i="1" s="1"/>
  <c r="CK161" i="1" s="1"/>
  <c r="CI354" i="1"/>
  <c r="CJ354" i="1" s="1"/>
  <c r="CK354" i="1" s="1"/>
  <c r="CI219" i="1"/>
  <c r="CJ219" i="1" s="1"/>
  <c r="CK219" i="1" s="1"/>
  <c r="CI158" i="1"/>
  <c r="CJ158" i="1" s="1"/>
  <c r="CK158" i="1" s="1"/>
  <c r="CI369" i="1"/>
  <c r="CJ369" i="1" s="1"/>
  <c r="CK369" i="1" s="1"/>
  <c r="CG239" i="1"/>
  <c r="CH239" i="1" s="1"/>
  <c r="CI42" i="1"/>
  <c r="CJ42" i="1" s="1"/>
  <c r="CK42" i="1" s="1"/>
  <c r="CI53" i="1"/>
  <c r="CJ53" i="1" s="1"/>
  <c r="CK53" i="1" s="1"/>
  <c r="CI100" i="1"/>
  <c r="CJ100" i="1" s="1"/>
  <c r="CK100" i="1" s="1"/>
  <c r="CI223" i="1"/>
  <c r="CJ223" i="1" s="1"/>
  <c r="CK223" i="1" s="1"/>
  <c r="CI333" i="1"/>
  <c r="CJ333" i="1" s="1"/>
  <c r="CK333" i="1" s="1"/>
  <c r="CG208" i="1"/>
  <c r="CH208" i="1" s="1"/>
  <c r="CI110" i="1"/>
  <c r="CJ110" i="1" s="1"/>
  <c r="CK110" i="1" s="1"/>
  <c r="CI129" i="1"/>
  <c r="CJ129" i="1" s="1"/>
  <c r="CK129" i="1" s="1"/>
  <c r="CI322" i="1"/>
  <c r="CJ322" i="1" s="1"/>
  <c r="CK322" i="1" s="1"/>
  <c r="CI187" i="1"/>
  <c r="CJ187" i="1" s="1"/>
  <c r="CK187" i="1" s="1"/>
  <c r="CI30" i="1"/>
  <c r="CJ30" i="1" s="1"/>
  <c r="CK30" i="1" s="1"/>
  <c r="CI247" i="1"/>
  <c r="CJ247" i="1" s="1"/>
  <c r="CK247" i="1" s="1"/>
  <c r="CG63" i="1"/>
  <c r="CH63" i="1" s="1"/>
  <c r="CI188" i="1"/>
  <c r="CJ188" i="1" s="1"/>
  <c r="CK188" i="1" s="1"/>
  <c r="CI323" i="1"/>
  <c r="CJ323" i="1" s="1"/>
  <c r="CK323" i="1" s="1"/>
  <c r="CI271" i="1"/>
  <c r="CJ271" i="1" s="1"/>
  <c r="CK271" i="1" s="1"/>
  <c r="CG231" i="1"/>
  <c r="CH231" i="1" s="1"/>
  <c r="CI80" i="1"/>
  <c r="CJ80" i="1" s="1"/>
  <c r="CK80" i="1" s="1"/>
  <c r="CI291" i="1"/>
  <c r="CJ291" i="1" s="1"/>
  <c r="CK291" i="1" s="1"/>
  <c r="CI254" i="1"/>
  <c r="CJ254" i="1" s="1"/>
  <c r="CK254" i="1" s="1"/>
  <c r="CI25" i="1"/>
  <c r="CJ25" i="1" s="1"/>
  <c r="CK25" i="1" s="1"/>
  <c r="CI218" i="1"/>
  <c r="CJ218" i="1" s="1"/>
  <c r="CK218" i="1" s="1"/>
  <c r="CI83" i="1"/>
  <c r="CJ83" i="1" s="1"/>
  <c r="CK83" i="1" s="1"/>
  <c r="CI79" i="1"/>
  <c r="CJ79" i="1" s="1"/>
  <c r="CK79" i="1" s="1"/>
  <c r="CG320" i="1"/>
  <c r="CH320" i="1" s="1"/>
  <c r="CI151" i="1"/>
  <c r="CJ151" i="1" s="1"/>
  <c r="CK151" i="1" s="1"/>
  <c r="CG285" i="1"/>
  <c r="CH285" i="1" s="1"/>
  <c r="CI72" i="1"/>
  <c r="CJ72" i="1" s="1"/>
  <c r="CK72" i="1" s="1"/>
  <c r="CI225" i="1"/>
  <c r="CJ225" i="1" s="1"/>
  <c r="CK225" i="1" s="1"/>
  <c r="CI108" i="1"/>
  <c r="CJ108" i="1" s="1"/>
  <c r="CK108" i="1" s="1"/>
  <c r="CI283" i="1"/>
  <c r="CJ283" i="1" s="1"/>
  <c r="CK283" i="1" s="1"/>
  <c r="CI357" i="1"/>
  <c r="CJ357" i="1" s="1"/>
  <c r="CK357" i="1" s="1"/>
  <c r="CI262" i="1"/>
  <c r="CJ262" i="1" s="1"/>
  <c r="CK262" i="1" s="1"/>
  <c r="CG196" i="1"/>
  <c r="CH196" i="1" s="1"/>
  <c r="CG309" i="1"/>
  <c r="CH309" i="1" s="1"/>
  <c r="CG61" i="1"/>
  <c r="CH61" i="1" s="1"/>
  <c r="CG280" i="1"/>
  <c r="CH280" i="1" s="1"/>
  <c r="CI28" i="1"/>
  <c r="CJ28" i="1" s="1"/>
  <c r="CK28" i="1" s="1"/>
  <c r="CG194" i="1"/>
  <c r="CH194" i="1" s="1"/>
  <c r="CI272" i="1"/>
  <c r="CJ272" i="1" s="1"/>
  <c r="CK272" i="1" s="1"/>
  <c r="CI106" i="1"/>
  <c r="CJ106" i="1" s="1"/>
  <c r="CK106" i="1" s="1"/>
  <c r="CI165" i="1"/>
  <c r="CJ165" i="1" s="1"/>
  <c r="CK165" i="1" s="1"/>
  <c r="CI220" i="1"/>
  <c r="CJ220" i="1" s="1"/>
  <c r="CK220" i="1" s="1"/>
  <c r="CI39" i="1"/>
  <c r="CJ39" i="1" s="1"/>
  <c r="CK39" i="1" s="1"/>
  <c r="CI54" i="1"/>
  <c r="CJ54" i="1" s="1"/>
  <c r="CK54" i="1" s="1"/>
  <c r="CI102" i="1"/>
  <c r="CJ102" i="1" s="1"/>
  <c r="CK102" i="1" s="1"/>
  <c r="CG372" i="1"/>
  <c r="CH372" i="1" s="1"/>
  <c r="CI40" i="1"/>
  <c r="CJ40" i="1" s="1"/>
  <c r="CK40" i="1" s="1"/>
  <c r="CI193" i="1"/>
  <c r="CJ193" i="1" s="1"/>
  <c r="CK193" i="1" s="1"/>
  <c r="CI44" i="1"/>
  <c r="CJ44" i="1" s="1"/>
  <c r="CK44" i="1" s="1"/>
  <c r="CI251" i="1"/>
  <c r="CJ251" i="1" s="1"/>
  <c r="CK251" i="1" s="1"/>
  <c r="CI278" i="1"/>
  <c r="CJ278" i="1" s="1"/>
  <c r="CK278" i="1" s="1"/>
  <c r="CI134" i="1"/>
  <c r="CJ134" i="1" s="1"/>
  <c r="CK134" i="1" s="1"/>
  <c r="CG360" i="1"/>
  <c r="CH360" i="1" s="1"/>
  <c r="CH36" i="1"/>
  <c r="CJ36" i="1" s="1"/>
  <c r="CK36" i="1" s="1"/>
  <c r="CG324" i="1"/>
  <c r="CH324" i="1" s="1"/>
  <c r="CG373" i="1"/>
  <c r="CH373" i="1" s="1"/>
  <c r="CG215" i="1"/>
  <c r="CH215" i="1" s="1"/>
  <c r="CI329" i="1"/>
  <c r="CJ329" i="1" s="1"/>
  <c r="CK329" i="1" s="1"/>
  <c r="CI340" i="1"/>
  <c r="CJ340" i="1" s="1"/>
  <c r="CK340" i="1" s="1"/>
  <c r="CG29" i="1"/>
  <c r="CH29" i="1" s="1"/>
  <c r="CI127" i="1"/>
  <c r="CJ127" i="1" s="1"/>
  <c r="CK127" i="1" s="1"/>
  <c r="CG302" i="1"/>
  <c r="CH302" i="1" s="1"/>
  <c r="CH15" i="1"/>
  <c r="CJ15" i="1" s="1"/>
  <c r="CK15" i="1" s="1"/>
  <c r="CP16" i="1"/>
  <c r="CQ16" i="1" s="1"/>
  <c r="CP13" i="1"/>
  <c r="CQ13" i="1" s="1"/>
  <c r="CB39" i="1"/>
  <c r="CC39" i="1" s="1"/>
  <c r="CA104" i="1"/>
  <c r="CC104" i="1" s="1"/>
  <c r="CB132" i="1"/>
  <c r="CC132" i="1" s="1"/>
  <c r="CA252" i="1"/>
  <c r="CC252" i="1" s="1"/>
  <c r="CB374" i="1"/>
  <c r="CC374" i="1" s="1"/>
  <c r="CB192" i="1"/>
  <c r="CC192" i="1" s="1"/>
  <c r="CB343" i="1"/>
  <c r="CC343" i="1" s="1"/>
  <c r="CB124" i="1"/>
  <c r="CC124" i="1" s="1"/>
  <c r="CB153" i="1"/>
  <c r="CC153" i="1" s="1"/>
  <c r="CB254" i="1"/>
  <c r="CC254" i="1" s="1"/>
  <c r="CB38" i="1"/>
  <c r="CC38" i="1" s="1"/>
  <c r="CA270" i="1"/>
  <c r="CC270" i="1" s="1"/>
  <c r="CB357" i="1"/>
  <c r="CC357" i="1" s="1"/>
  <c r="CA208" i="1"/>
  <c r="CC208" i="1" s="1"/>
  <c r="CA176" i="1"/>
  <c r="CC176" i="1" s="1"/>
  <c r="CB257" i="1"/>
  <c r="CC257" i="1" s="1"/>
  <c r="CB127" i="1"/>
  <c r="CC127" i="1" s="1"/>
  <c r="CA241" i="1"/>
  <c r="CC241" i="1" s="1"/>
  <c r="CB174" i="1"/>
  <c r="CC174" i="1" s="1"/>
  <c r="CB24" i="1"/>
  <c r="CC24" i="1" s="1"/>
  <c r="CA179" i="1"/>
  <c r="CC179" i="1" s="1"/>
  <c r="CA260" i="1"/>
  <c r="CC260" i="1" s="1"/>
  <c r="CA290" i="1"/>
  <c r="CC290" i="1" s="1"/>
  <c r="CB85" i="1"/>
  <c r="CC85" i="1" s="1"/>
  <c r="CA318" i="1"/>
  <c r="CC318" i="1" s="1"/>
  <c r="CA227" i="1"/>
  <c r="CC227" i="1" s="1"/>
  <c r="CA245" i="1"/>
  <c r="CC245" i="1" s="1"/>
  <c r="CB181" i="1"/>
  <c r="CC181" i="1" s="1"/>
  <c r="CB251" i="1"/>
  <c r="CC251" i="1" s="1"/>
  <c r="CA103" i="1"/>
  <c r="CC103" i="1" s="1"/>
  <c r="CB275" i="1"/>
  <c r="CC275" i="1" s="1"/>
  <c r="CA71" i="1"/>
  <c r="CC71" i="1" s="1"/>
  <c r="CA278" i="1"/>
  <c r="CC278" i="1" s="1"/>
  <c r="CB285" i="1"/>
  <c r="CC285" i="1" s="1"/>
  <c r="CA289" i="1"/>
  <c r="CC289" i="1" s="1"/>
  <c r="CA212" i="1"/>
  <c r="CC212" i="1" s="1"/>
  <c r="CA169" i="1"/>
  <c r="CC169" i="1" s="1"/>
  <c r="CB350" i="1"/>
  <c r="CC350" i="1" s="1"/>
  <c r="CB27" i="1"/>
  <c r="CC27" i="1" s="1"/>
  <c r="CA26" i="1"/>
  <c r="CC26" i="1" s="1"/>
  <c r="CA59" i="1"/>
  <c r="CC59" i="1" s="1"/>
  <c r="CA217" i="1"/>
  <c r="CC217" i="1" s="1"/>
  <c r="CB304" i="1"/>
  <c r="CC304" i="1" s="1"/>
  <c r="CA268" i="1"/>
  <c r="CC268" i="1" s="1"/>
  <c r="CB92" i="1"/>
  <c r="CC92" i="1" s="1"/>
  <c r="CA294" i="1"/>
  <c r="CC294" i="1" s="1"/>
  <c r="CA168" i="1"/>
  <c r="CC168" i="1" s="1"/>
  <c r="CA73" i="1"/>
  <c r="CC73" i="1" s="1"/>
  <c r="CA99" i="1"/>
  <c r="CC99" i="1" s="1"/>
  <c r="CA239" i="1"/>
  <c r="CC239" i="1" s="1"/>
  <c r="CB365" i="1"/>
  <c r="CC365" i="1" s="1"/>
  <c r="CA221" i="1"/>
  <c r="CC221" i="1" s="1"/>
  <c r="CA211" i="1"/>
  <c r="CC211" i="1" s="1"/>
  <c r="CB106" i="1"/>
  <c r="CC106" i="1" s="1"/>
  <c r="CB195" i="1"/>
  <c r="CC195" i="1" s="1"/>
  <c r="CA269" i="1"/>
  <c r="CC269" i="1" s="1"/>
  <c r="CB219" i="1"/>
  <c r="CC219" i="1" s="1"/>
  <c r="CB90" i="1"/>
  <c r="CC90" i="1" s="1"/>
  <c r="CA163" i="1"/>
  <c r="CC163" i="1" s="1"/>
  <c r="CB18" i="1"/>
  <c r="CC18" i="1" s="1"/>
  <c r="CA291" i="1"/>
  <c r="CC291" i="1" s="1"/>
  <c r="CA358" i="1"/>
  <c r="CC358" i="1" s="1"/>
  <c r="CB83" i="1"/>
  <c r="CC83" i="1" s="1"/>
  <c r="CA152" i="1"/>
  <c r="CC152" i="1" s="1"/>
  <c r="CA342" i="1"/>
  <c r="CC342" i="1" s="1"/>
  <c r="CB362" i="1"/>
  <c r="CC362" i="1" s="1"/>
  <c r="CA322" i="1"/>
  <c r="CC322" i="1" s="1"/>
  <c r="CA101" i="1"/>
  <c r="CC101" i="1" s="1"/>
  <c r="CB259" i="1"/>
  <c r="CC259" i="1" s="1"/>
  <c r="CB68" i="1"/>
  <c r="CC68" i="1" s="1"/>
  <c r="CA215" i="1"/>
  <c r="CC215" i="1" s="1"/>
  <c r="CB125" i="1"/>
  <c r="CC125" i="1" s="1"/>
  <c r="CA61" i="1"/>
  <c r="CC61" i="1" s="1"/>
  <c r="CB337" i="1"/>
  <c r="CA337" i="1"/>
  <c r="CB75" i="1"/>
  <c r="CA75" i="1"/>
  <c r="CB164" i="1"/>
  <c r="CA164" i="1"/>
  <c r="CB147" i="1"/>
  <c r="CA147" i="1"/>
  <c r="CB296" i="1"/>
  <c r="CA296" i="1"/>
  <c r="CB271" i="1"/>
  <c r="CA271" i="1"/>
  <c r="CA19" i="1"/>
  <c r="CB19" i="1"/>
  <c r="CA235" i="1"/>
  <c r="CB235" i="1"/>
  <c r="CA102" i="1"/>
  <c r="CB102" i="1"/>
  <c r="CB22" i="1"/>
  <c r="CA22" i="1"/>
  <c r="CB366" i="1"/>
  <c r="CA366" i="1"/>
  <c r="CA52" i="1"/>
  <c r="CB52" i="1"/>
  <c r="CB136" i="1"/>
  <c r="CC136" i="1" s="1"/>
  <c r="CA327" i="1"/>
  <c r="CC327" i="1" s="1"/>
  <c r="CB200" i="1"/>
  <c r="CC200" i="1" s="1"/>
  <c r="CB344" i="1"/>
  <c r="CC344" i="1" s="1"/>
  <c r="CB368" i="1"/>
  <c r="CC368" i="1" s="1"/>
  <c r="CA29" i="1"/>
  <c r="CC29" i="1" s="1"/>
  <c r="CA302" i="1"/>
  <c r="CC302" i="1" s="1"/>
  <c r="CB16" i="1"/>
  <c r="CC16" i="1" s="1"/>
  <c r="CB113" i="1"/>
  <c r="CC113" i="1" s="1"/>
  <c r="CB279" i="1"/>
  <c r="CC279" i="1" s="1"/>
  <c r="CA305" i="1"/>
  <c r="CC305" i="1" s="1"/>
  <c r="CB231" i="1"/>
  <c r="CC231" i="1" s="1"/>
  <c r="CA20" i="1"/>
  <c r="CC20" i="1" s="1"/>
  <c r="CA228" i="1"/>
  <c r="CC228" i="1" s="1"/>
  <c r="CB114" i="1"/>
  <c r="CC114" i="1" s="1"/>
  <c r="CA139" i="1"/>
  <c r="CC139" i="1" s="1"/>
  <c r="CB185" i="1"/>
  <c r="CC185" i="1" s="1"/>
  <c r="CB47" i="1"/>
  <c r="CC47" i="1" s="1"/>
  <c r="CB330" i="1"/>
  <c r="CC330" i="1" s="1"/>
  <c r="CB310" i="1"/>
  <c r="CC310" i="1" s="1"/>
  <c r="CA331" i="1"/>
  <c r="CC331" i="1" s="1"/>
  <c r="CA222" i="1"/>
  <c r="CC222" i="1" s="1"/>
  <c r="CA233" i="1"/>
  <c r="CC233" i="1" s="1"/>
  <c r="CA256" i="1"/>
  <c r="CC256" i="1" s="1"/>
  <c r="CA201" i="1"/>
  <c r="CC201" i="1" s="1"/>
  <c r="CB33" i="1"/>
  <c r="CC33" i="1" s="1"/>
  <c r="CB258" i="1"/>
  <c r="CC258" i="1" s="1"/>
  <c r="CA36" i="1"/>
  <c r="CC36" i="1" s="1"/>
  <c r="CA193" i="1"/>
  <c r="CC193" i="1" s="1"/>
  <c r="CA329" i="1"/>
  <c r="CC329" i="1" s="1"/>
  <c r="CA121" i="1"/>
  <c r="CC121" i="1" s="1"/>
  <c r="CA62" i="1"/>
  <c r="CC62" i="1" s="1"/>
  <c r="CB126" i="1"/>
  <c r="CC126" i="1" s="1"/>
  <c r="CA265" i="1"/>
  <c r="CC265" i="1" s="1"/>
  <c r="CA23" i="1"/>
  <c r="CC23" i="1" s="1"/>
  <c r="CB43" i="1"/>
  <c r="CC43" i="1" s="1"/>
  <c r="CA234" i="1"/>
  <c r="CC234" i="1" s="1"/>
  <c r="CA277" i="1"/>
  <c r="CC277" i="1" s="1"/>
  <c r="CB171" i="1"/>
  <c r="CC171" i="1" s="1"/>
  <c r="CB30" i="1"/>
  <c r="CC30" i="1" s="1"/>
  <c r="CB65" i="1"/>
  <c r="CC65" i="1" s="1"/>
  <c r="CB53" i="1"/>
  <c r="CC53" i="1" s="1"/>
  <c r="CA25" i="1"/>
  <c r="CC25" i="1" s="1"/>
  <c r="CA155" i="1"/>
  <c r="CC155" i="1" s="1"/>
  <c r="CB369" i="1"/>
  <c r="CC369" i="1" s="1"/>
  <c r="CA349" i="1"/>
  <c r="CC349" i="1" s="1"/>
  <c r="CB91" i="1"/>
  <c r="CC91" i="1" s="1"/>
  <c r="CB220" i="1"/>
  <c r="CC220" i="1" s="1"/>
  <c r="CA273" i="1"/>
  <c r="CC273" i="1" s="1"/>
  <c r="CA111" i="1"/>
  <c r="CC111" i="1" s="1"/>
  <c r="CB306" i="1"/>
  <c r="CC306" i="1" s="1"/>
  <c r="CB110" i="1"/>
  <c r="CC110" i="1" s="1"/>
  <c r="CA50" i="1"/>
  <c r="CC50" i="1" s="1"/>
  <c r="CB58" i="1"/>
  <c r="CC58" i="1" s="1"/>
  <c r="CB214" i="1"/>
  <c r="CC214" i="1" s="1"/>
  <c r="CB237" i="1"/>
  <c r="CC237" i="1" s="1"/>
  <c r="CA300" i="1"/>
  <c r="CC300" i="1" s="1"/>
  <c r="CA203" i="1"/>
  <c r="CC203" i="1" s="1"/>
  <c r="CB149" i="1"/>
  <c r="CC149" i="1" s="1"/>
  <c r="CB226" i="1"/>
  <c r="CC226" i="1" s="1"/>
  <c r="CB172" i="1"/>
  <c r="CC172" i="1" s="1"/>
  <c r="CA299" i="1"/>
  <c r="CC299" i="1" s="1"/>
  <c r="CA107" i="1"/>
  <c r="CC107" i="1" s="1"/>
  <c r="CB184" i="1"/>
  <c r="CC184" i="1" s="1"/>
  <c r="CB45" i="1"/>
  <c r="CC45" i="1" s="1"/>
  <c r="CA207" i="1"/>
  <c r="CC207" i="1" s="1"/>
  <c r="CA123" i="1"/>
  <c r="CC123" i="1" s="1"/>
  <c r="CB40" i="1"/>
  <c r="CC40" i="1" s="1"/>
  <c r="CB315" i="1"/>
  <c r="CC315" i="1" s="1"/>
  <c r="CB280" i="1"/>
  <c r="CC280" i="1" s="1"/>
  <c r="CA66" i="1"/>
  <c r="CC66" i="1" s="1"/>
  <c r="CB210" i="1"/>
  <c r="CC210" i="1" s="1"/>
  <c r="CA204" i="1"/>
  <c r="CC204" i="1" s="1"/>
  <c r="CA216" i="1"/>
  <c r="CC216" i="1" s="1"/>
  <c r="CA190" i="1"/>
  <c r="CC190" i="1" s="1"/>
  <c r="CA266" i="1"/>
  <c r="CC266" i="1" s="1"/>
  <c r="CB54" i="1"/>
  <c r="CC54" i="1" s="1"/>
  <c r="CB137" i="1"/>
  <c r="CC137" i="1" s="1"/>
  <c r="CB264" i="1"/>
  <c r="CC264" i="1" s="1"/>
  <c r="CB165" i="1"/>
  <c r="CC165" i="1" s="1"/>
  <c r="CB177" i="1"/>
  <c r="CC177" i="1" s="1"/>
  <c r="CA69" i="1"/>
  <c r="CC69" i="1" s="1"/>
  <c r="CB138" i="1"/>
  <c r="CC138" i="1" s="1"/>
  <c r="CB44" i="1"/>
  <c r="CC44" i="1" s="1"/>
  <c r="CB42" i="1"/>
  <c r="CC42" i="1" s="1"/>
  <c r="CA167" i="1"/>
  <c r="CC167" i="1" s="1"/>
  <c r="CB370" i="1"/>
  <c r="CC370" i="1" s="1"/>
  <c r="CB118" i="1"/>
  <c r="CC118" i="1" s="1"/>
  <c r="CB28" i="1"/>
  <c r="CC28" i="1" s="1"/>
  <c r="CA224" i="1"/>
  <c r="CC224" i="1" s="1"/>
  <c r="CB67" i="1"/>
  <c r="CC67" i="1" s="1"/>
  <c r="CB351" i="1"/>
  <c r="CC351" i="1" s="1"/>
  <c r="CA319" i="1"/>
  <c r="CC319" i="1" s="1"/>
  <c r="CA173" i="1"/>
  <c r="CC173" i="1" s="1"/>
  <c r="CA284" i="1"/>
  <c r="CC284" i="1" s="1"/>
  <c r="CB78" i="1"/>
  <c r="CC78" i="1" s="1"/>
  <c r="CB317" i="1"/>
  <c r="CC317" i="1" s="1"/>
  <c r="CA303" i="1"/>
  <c r="CC303" i="1" s="1"/>
  <c r="CB248" i="1"/>
  <c r="CC248" i="1" s="1"/>
  <c r="CB189" i="1"/>
  <c r="CC189" i="1" s="1"/>
  <c r="CA35" i="1"/>
  <c r="CC35" i="1" s="1"/>
  <c r="CA109" i="1"/>
  <c r="CC109" i="1" s="1"/>
  <c r="CA314" i="1"/>
  <c r="CC314" i="1" s="1"/>
  <c r="CA188" i="1"/>
  <c r="CC188" i="1" s="1"/>
  <c r="CB32" i="1"/>
  <c r="CC32" i="1" s="1"/>
  <c r="CA359" i="1"/>
  <c r="CC359" i="1" s="1"/>
  <c r="CA293" i="1"/>
  <c r="CC293" i="1" s="1"/>
  <c r="CB328" i="1"/>
  <c r="CC328" i="1" s="1"/>
  <c r="CB364" i="1"/>
  <c r="CC364" i="1" s="1"/>
  <c r="CB80" i="1"/>
  <c r="CC80" i="1" s="1"/>
  <c r="CB373" i="1"/>
  <c r="CC373" i="1" s="1"/>
  <c r="CA272" i="1"/>
  <c r="CC272" i="1" s="1"/>
  <c r="CA356" i="1"/>
  <c r="CC356" i="1" s="1"/>
  <c r="CA246" i="1"/>
  <c r="CC246" i="1" s="1"/>
  <c r="CB178" i="1"/>
  <c r="CC178" i="1" s="1"/>
  <c r="CB348" i="1"/>
  <c r="CC348" i="1" s="1"/>
  <c r="CA89" i="1"/>
  <c r="CC89" i="1" s="1"/>
  <c r="CA243" i="1"/>
  <c r="CC243" i="1" s="1"/>
  <c r="CA108" i="1"/>
  <c r="CC108" i="1" s="1"/>
  <c r="CB96" i="1"/>
  <c r="CC96" i="1" s="1"/>
  <c r="CB249" i="1"/>
  <c r="CC249" i="1" s="1"/>
  <c r="CB156" i="1"/>
  <c r="CC156" i="1" s="1"/>
  <c r="CB307" i="1"/>
  <c r="CC307" i="1" s="1"/>
  <c r="CB86" i="1"/>
  <c r="CC86" i="1" s="1"/>
  <c r="CB326" i="1"/>
  <c r="CC326" i="1" s="1"/>
  <c r="CA288" i="1"/>
  <c r="CC288" i="1" s="1"/>
  <c r="CA353" i="1"/>
  <c r="CC353" i="1" s="1"/>
  <c r="CA194" i="1"/>
  <c r="CC194" i="1" s="1"/>
  <c r="CB202" i="1"/>
  <c r="CC202" i="1" s="1"/>
  <c r="CA48" i="1"/>
  <c r="CC48" i="1" s="1"/>
  <c r="CA283" i="1"/>
  <c r="CC283" i="1" s="1"/>
  <c r="CA133" i="1"/>
  <c r="CC133" i="1" s="1"/>
  <c r="CA295" i="1"/>
  <c r="CC295" i="1" s="1"/>
  <c r="CB141" i="1"/>
  <c r="CC141" i="1" s="1"/>
  <c r="CA135" i="1"/>
  <c r="CC135" i="1" s="1"/>
  <c r="CA51" i="1"/>
  <c r="CC51" i="1" s="1"/>
  <c r="CA301" i="1"/>
  <c r="CC301" i="1" s="1"/>
  <c r="CB182" i="1"/>
  <c r="CC182" i="1" s="1"/>
  <c r="CA361" i="1"/>
  <c r="CC361" i="1" s="1"/>
  <c r="CB197" i="1"/>
  <c r="CC197" i="1" s="1"/>
  <c r="CA154" i="1"/>
  <c r="CC154" i="1" s="1"/>
  <c r="CA64" i="1"/>
  <c r="CC64" i="1" s="1"/>
  <c r="CA70" i="1"/>
  <c r="CC70" i="1" s="1"/>
  <c r="CB82" i="1"/>
  <c r="CC82" i="1" s="1"/>
  <c r="CB180" i="1"/>
  <c r="CC180" i="1" s="1"/>
  <c r="CA129" i="1"/>
  <c r="CC129" i="1" s="1"/>
  <c r="CB347" i="1"/>
  <c r="CC347" i="1" s="1"/>
  <c r="CA236" i="1"/>
  <c r="CC236" i="1" s="1"/>
  <c r="CB144" i="1"/>
  <c r="CC144" i="1" s="1"/>
  <c r="CB297" i="1"/>
  <c r="CC297" i="1" s="1"/>
  <c r="CB355" i="1"/>
  <c r="CC355" i="1" s="1"/>
  <c r="CB183" i="1"/>
  <c r="CC183" i="1" s="1"/>
  <c r="CB286" i="1"/>
  <c r="CC286" i="1" s="1"/>
  <c r="CA336" i="1"/>
  <c r="CC336" i="1" s="1"/>
  <c r="CA242" i="1"/>
  <c r="CC242" i="1" s="1"/>
  <c r="CA253" i="1"/>
  <c r="CC253" i="1" s="1"/>
  <c r="CB49" i="1"/>
  <c r="CC49" i="1" s="1"/>
  <c r="CB117" i="1"/>
  <c r="CC117" i="1" s="1"/>
  <c r="CA88" i="1"/>
  <c r="CC88" i="1" s="1"/>
  <c r="CA143" i="1"/>
  <c r="CC143" i="1" s="1"/>
  <c r="CA213" i="1"/>
  <c r="CC213" i="1" s="1"/>
  <c r="CB160" i="1"/>
  <c r="CC160" i="1" s="1"/>
  <c r="CB313" i="1"/>
  <c r="CC313" i="1" s="1"/>
  <c r="CB371" i="1"/>
  <c r="CC371" i="1" s="1"/>
  <c r="CB31" i="1"/>
  <c r="CC31" i="1" s="1"/>
  <c r="CA352" i="1"/>
  <c r="CC352" i="1" s="1"/>
  <c r="CA354" i="1"/>
  <c r="CC354" i="1" s="1"/>
  <c r="CB131" i="1"/>
  <c r="CC131" i="1" s="1"/>
  <c r="CA112" i="1"/>
  <c r="CC112" i="1" s="1"/>
  <c r="CA100" i="1"/>
  <c r="CC100" i="1" s="1"/>
  <c r="CA191" i="1"/>
  <c r="CC191" i="1" s="1"/>
  <c r="CA261" i="1"/>
  <c r="CC261" i="1" s="1"/>
  <c r="CA77" i="1"/>
  <c r="CC77" i="1" s="1"/>
  <c r="CB360" i="1"/>
  <c r="CC360" i="1" s="1"/>
  <c r="CB148" i="1"/>
  <c r="CC148" i="1" s="1"/>
  <c r="CA41" i="1"/>
  <c r="CC41" i="1" s="1"/>
  <c r="CA375" i="1"/>
  <c r="CC375" i="1" s="1"/>
  <c r="CA205" i="1"/>
  <c r="CC205" i="1" s="1"/>
  <c r="CB158" i="1"/>
  <c r="CC158" i="1" s="1"/>
  <c r="CA98" i="1"/>
  <c r="CC98" i="1" s="1"/>
  <c r="CA334" i="1"/>
  <c r="CC334" i="1" s="1"/>
  <c r="CB130" i="1"/>
  <c r="CC130" i="1" s="1"/>
  <c r="CA267" i="1"/>
  <c r="CC267" i="1" s="1"/>
  <c r="CB159" i="1"/>
  <c r="CC159" i="1" s="1"/>
  <c r="CB287" i="1"/>
  <c r="CC287" i="1" s="1"/>
  <c r="CA140" i="1"/>
  <c r="CC140" i="1" s="1"/>
  <c r="CB346" i="1"/>
  <c r="CC346" i="1" s="1"/>
  <c r="CA320" i="1"/>
  <c r="CC320" i="1" s="1"/>
  <c r="CA263" i="1"/>
  <c r="CC263" i="1" s="1"/>
  <c r="CB316" i="1"/>
  <c r="CC316" i="1" s="1"/>
  <c r="CB312" i="1"/>
  <c r="CC312" i="1" s="1"/>
  <c r="CB146" i="1"/>
  <c r="CC146" i="1" s="1"/>
  <c r="CB292" i="1"/>
  <c r="CC292" i="1" s="1"/>
  <c r="CA57" i="1"/>
  <c r="CC57" i="1" s="1"/>
  <c r="CA187" i="1"/>
  <c r="CC187" i="1" s="1"/>
  <c r="CA363" i="1"/>
  <c r="CC363" i="1" s="1"/>
  <c r="CA198" i="1"/>
  <c r="CC198" i="1" s="1"/>
  <c r="CB196" i="1"/>
  <c r="CC196" i="1" s="1"/>
  <c r="CA282" i="1"/>
  <c r="CC282" i="1" s="1"/>
  <c r="CA34" i="1"/>
  <c r="CC34" i="1" s="1"/>
  <c r="CB87" i="1"/>
  <c r="CC87" i="1" s="1"/>
  <c r="CA333" i="1"/>
  <c r="CC333" i="1" s="1"/>
  <c r="CA162" i="1"/>
  <c r="CC162" i="1" s="1"/>
  <c r="CA56" i="1"/>
  <c r="CC56" i="1" s="1"/>
  <c r="CB119" i="1"/>
  <c r="CC119" i="1" s="1"/>
  <c r="CA17" i="1"/>
  <c r="CC17" i="1" s="1"/>
  <c r="CA240" i="1"/>
  <c r="CC240" i="1" s="1"/>
  <c r="CB341" i="1"/>
  <c r="CC341" i="1" s="1"/>
  <c r="CA367" i="1"/>
  <c r="CC367" i="1" s="1"/>
  <c r="CB339" i="1"/>
  <c r="CC339" i="1" s="1"/>
  <c r="CA120" i="1"/>
  <c r="CC120" i="1" s="1"/>
  <c r="CB332" i="1"/>
  <c r="CC332" i="1" s="1"/>
  <c r="CB46" i="1"/>
  <c r="CC46" i="1" s="1"/>
  <c r="CA81" i="1"/>
  <c r="CC81" i="1" s="1"/>
  <c r="CA84" i="1"/>
  <c r="CC84" i="1" s="1"/>
  <c r="CA345" i="1"/>
  <c r="CC345" i="1" s="1"/>
  <c r="CA262" i="1"/>
  <c r="CC262" i="1" s="1"/>
  <c r="CB186" i="1"/>
  <c r="CC186" i="1" s="1"/>
  <c r="CB206" i="1"/>
  <c r="CC206" i="1" s="1"/>
  <c r="CA97" i="1"/>
  <c r="CC97" i="1" s="1"/>
  <c r="CB323" i="1"/>
  <c r="CC323" i="1" s="1"/>
  <c r="CB309" i="1"/>
  <c r="CC309" i="1" s="1"/>
  <c r="CA21" i="1"/>
  <c r="CC21" i="1" s="1"/>
  <c r="CA372" i="1"/>
  <c r="CC372" i="1" s="1"/>
  <c r="CA128" i="1"/>
  <c r="CC128" i="1" s="1"/>
  <c r="CA229" i="1"/>
  <c r="CC229" i="1" s="1"/>
  <c r="CA105" i="1"/>
  <c r="CC105" i="1" s="1"/>
  <c r="CA63" i="1"/>
  <c r="CC63" i="1" s="1"/>
  <c r="CA308" i="1"/>
  <c r="CC308" i="1" s="1"/>
  <c r="CB145" i="1"/>
  <c r="CC145" i="1" s="1"/>
  <c r="CB338" i="1"/>
  <c r="CC338" i="1" s="1"/>
  <c r="CB94" i="1"/>
  <c r="CC94" i="1" s="1"/>
  <c r="CA335" i="1"/>
  <c r="CC335" i="1" s="1"/>
  <c r="CB199" i="1"/>
  <c r="CC199" i="1" s="1"/>
  <c r="CA151" i="1"/>
  <c r="CC151" i="1" s="1"/>
  <c r="CA122" i="1"/>
  <c r="CC122" i="1" s="1"/>
  <c r="CB276" i="1"/>
  <c r="CC276" i="1" s="1"/>
  <c r="CA74" i="1"/>
  <c r="CC74" i="1" s="1"/>
  <c r="CB247" i="1"/>
  <c r="CC247" i="1" s="1"/>
  <c r="CA37" i="1"/>
  <c r="CC37" i="1" s="1"/>
  <c r="CA134" i="1"/>
  <c r="CC134" i="1" s="1"/>
  <c r="CB321" i="1"/>
  <c r="CC321" i="1" s="1"/>
  <c r="CB232" i="1"/>
  <c r="CC232" i="1" s="1"/>
  <c r="CB274" i="1"/>
  <c r="CC274" i="1" s="1"/>
  <c r="CB150" i="1"/>
  <c r="CC150" i="1" s="1"/>
  <c r="CB93" i="1"/>
  <c r="CC93" i="1" s="1"/>
  <c r="CA250" i="1"/>
  <c r="CC250" i="1" s="1"/>
  <c r="CB115" i="1"/>
  <c r="CC115" i="1" s="1"/>
  <c r="CB311" i="1"/>
  <c r="CC311" i="1" s="1"/>
  <c r="CA161" i="1"/>
  <c r="CC161" i="1" s="1"/>
  <c r="CB340" i="1"/>
  <c r="CC340" i="1" s="1"/>
  <c r="CB95" i="1"/>
  <c r="CC95" i="1" s="1"/>
  <c r="CB142" i="1"/>
  <c r="CC142" i="1" s="1"/>
  <c r="CB281" i="1"/>
  <c r="CC281" i="1" s="1"/>
  <c r="CB230" i="1"/>
  <c r="CC230" i="1" s="1"/>
  <c r="CA223" i="1"/>
  <c r="CC223" i="1" s="1"/>
  <c r="CA116" i="1"/>
  <c r="CC116" i="1" s="1"/>
  <c r="CA157" i="1"/>
  <c r="CC157" i="1" s="1"/>
  <c r="CB55" i="1"/>
  <c r="CC55" i="1" s="1"/>
  <c r="CB209" i="1"/>
  <c r="CC209" i="1" s="1"/>
  <c r="CB76" i="1"/>
  <c r="CC76" i="1" s="1"/>
  <c r="CA244" i="1"/>
  <c r="CC244" i="1" s="1"/>
  <c r="CA72" i="1"/>
  <c r="CC72" i="1" s="1"/>
  <c r="CA238" i="1"/>
  <c r="CC238" i="1" s="1"/>
  <c r="CB60" i="1"/>
  <c r="CC60" i="1" s="1"/>
  <c r="CB166" i="1"/>
  <c r="CC166" i="1" s="1"/>
  <c r="CB225" i="1"/>
  <c r="CC225" i="1" s="1"/>
  <c r="CA298" i="1"/>
  <c r="CC298" i="1" s="1"/>
  <c r="CB175" i="1"/>
  <c r="CC175" i="1" s="1"/>
  <c r="CA255" i="1"/>
  <c r="CC255" i="1" s="1"/>
  <c r="CA325" i="1"/>
  <c r="CC325" i="1" s="1"/>
  <c r="CB324" i="1"/>
  <c r="CC324" i="1" s="1"/>
  <c r="CB218" i="1"/>
  <c r="CC218" i="1" s="1"/>
  <c r="CA79" i="1"/>
  <c r="CC79" i="1" s="1"/>
  <c r="CB15" i="1"/>
  <c r="CC15" i="1" s="1"/>
  <c r="BX11" i="1"/>
  <c r="F55" i="1"/>
  <c r="G55" i="1" s="1"/>
  <c r="J38" i="1"/>
  <c r="N38" i="1" s="1"/>
  <c r="F49" i="1"/>
  <c r="G49" i="1" s="1"/>
  <c r="J39" i="1"/>
  <c r="N39" i="1" s="1"/>
  <c r="F52" i="1"/>
  <c r="G52" i="1" s="1"/>
  <c r="G38" i="1"/>
  <c r="G37" i="1"/>
  <c r="J188" i="1" l="1"/>
  <c r="J190" i="1"/>
  <c r="J189" i="1"/>
  <c r="J191" i="1"/>
  <c r="J185" i="1"/>
  <c r="K185" i="1" s="1"/>
  <c r="J192" i="1"/>
  <c r="J193" i="1"/>
  <c r="J186" i="1"/>
  <c r="K186" i="1" s="1"/>
  <c r="J194" i="1"/>
  <c r="J187" i="1"/>
  <c r="K187" i="1" s="1"/>
  <c r="F56" i="1"/>
  <c r="G56" i="1" s="1"/>
  <c r="E171" i="1"/>
  <c r="F53" i="1"/>
  <c r="G53" i="1" s="1"/>
  <c r="C161" i="1"/>
  <c r="F170" i="1"/>
  <c r="G170" i="1"/>
  <c r="H159" i="1"/>
  <c r="I159" i="1"/>
  <c r="K159" i="1"/>
  <c r="J159" i="1"/>
  <c r="J64" i="1"/>
  <c r="K64" i="1" s="1"/>
  <c r="L64" i="1" s="1"/>
  <c r="M64" i="1" s="1"/>
  <c r="O64" i="1" s="1"/>
  <c r="B148" i="1"/>
  <c r="F50" i="1"/>
  <c r="G50" i="1" s="1"/>
  <c r="B158" i="1"/>
  <c r="B169" i="1" s="1"/>
  <c r="CJ244" i="1"/>
  <c r="CK244" i="1" s="1"/>
  <c r="CJ250" i="1"/>
  <c r="CK250" i="1" s="1"/>
  <c r="CJ179" i="1"/>
  <c r="CK179" i="1" s="1"/>
  <c r="CJ248" i="1"/>
  <c r="CK248" i="1" s="1"/>
  <c r="CJ311" i="1"/>
  <c r="CK311" i="1" s="1"/>
  <c r="CJ274" i="1"/>
  <c r="CK274" i="1" s="1"/>
  <c r="CJ178" i="1"/>
  <c r="CK178" i="1" s="1"/>
  <c r="CJ189" i="1"/>
  <c r="CK189" i="1" s="1"/>
  <c r="CJ292" i="1"/>
  <c r="CK292" i="1" s="1"/>
  <c r="CI356" i="1"/>
  <c r="CJ356" i="1" s="1"/>
  <c r="CK356" i="1" s="1"/>
  <c r="CJ121" i="1"/>
  <c r="CK121" i="1" s="1"/>
  <c r="CJ115" i="1"/>
  <c r="CK115" i="1" s="1"/>
  <c r="CI260" i="1"/>
  <c r="CJ260" i="1" s="1"/>
  <c r="CK260" i="1" s="1"/>
  <c r="CJ216" i="1"/>
  <c r="CK216" i="1" s="1"/>
  <c r="CI294" i="1"/>
  <c r="CJ294" i="1" s="1"/>
  <c r="CK294" i="1" s="1"/>
  <c r="CI78" i="1"/>
  <c r="CJ78" i="1" s="1"/>
  <c r="CK78" i="1" s="1"/>
  <c r="CI281" i="1"/>
  <c r="CJ281" i="1" s="1"/>
  <c r="CK281" i="1" s="1"/>
  <c r="CI370" i="1"/>
  <c r="CJ370" i="1" s="1"/>
  <c r="CK370" i="1" s="1"/>
  <c r="CI337" i="1"/>
  <c r="CJ337" i="1" s="1"/>
  <c r="CK337" i="1" s="1"/>
  <c r="CI372" i="1"/>
  <c r="CJ372" i="1" s="1"/>
  <c r="CK372" i="1" s="1"/>
  <c r="CI302" i="1"/>
  <c r="CJ302" i="1" s="1"/>
  <c r="CK302" i="1" s="1"/>
  <c r="CI343" i="1"/>
  <c r="CJ343" i="1" s="1"/>
  <c r="CK343" i="1" s="1"/>
  <c r="CI227" i="1"/>
  <c r="CJ227" i="1" s="1"/>
  <c r="CK227" i="1" s="1"/>
  <c r="CI128" i="1"/>
  <c r="CJ128" i="1" s="1"/>
  <c r="CK128" i="1" s="1"/>
  <c r="CJ58" i="1"/>
  <c r="CK58" i="1" s="1"/>
  <c r="CI204" i="1"/>
  <c r="CJ204" i="1" s="1"/>
  <c r="CK204" i="1" s="1"/>
  <c r="CI126" i="1"/>
  <c r="CJ126" i="1" s="1"/>
  <c r="CK126" i="1" s="1"/>
  <c r="CI109" i="1"/>
  <c r="CJ109" i="1" s="1"/>
  <c r="CK109" i="1" s="1"/>
  <c r="CI256" i="1"/>
  <c r="CJ256" i="1" s="1"/>
  <c r="CK256" i="1" s="1"/>
  <c r="CI45" i="1"/>
  <c r="CJ45" i="1" s="1"/>
  <c r="CK45" i="1" s="1"/>
  <c r="CI315" i="1"/>
  <c r="CJ315" i="1" s="1"/>
  <c r="CK315" i="1" s="1"/>
  <c r="CI147" i="1"/>
  <c r="CJ147" i="1" s="1"/>
  <c r="CK147" i="1" s="1"/>
  <c r="CI139" i="1"/>
  <c r="CJ139" i="1" s="1"/>
  <c r="CK139" i="1" s="1"/>
  <c r="CI68" i="1"/>
  <c r="CJ68" i="1" s="1"/>
  <c r="CK68" i="1" s="1"/>
  <c r="CJ243" i="1"/>
  <c r="CK243" i="1" s="1"/>
  <c r="CI175" i="1"/>
  <c r="CJ175" i="1" s="1"/>
  <c r="CK175" i="1" s="1"/>
  <c r="CJ313" i="1"/>
  <c r="CK313" i="1" s="1"/>
  <c r="CI144" i="1"/>
  <c r="CJ144" i="1" s="1"/>
  <c r="CK144" i="1" s="1"/>
  <c r="CI29" i="1"/>
  <c r="CJ29" i="1" s="1"/>
  <c r="CK29" i="1" s="1"/>
  <c r="CI163" i="1"/>
  <c r="CJ163" i="1" s="1"/>
  <c r="CK163" i="1" s="1"/>
  <c r="CI374" i="1"/>
  <c r="CJ374" i="1" s="1"/>
  <c r="CK374" i="1" s="1"/>
  <c r="CI214" i="1"/>
  <c r="CJ214" i="1" s="1"/>
  <c r="CK214" i="1" s="1"/>
  <c r="CI27" i="1"/>
  <c r="CJ27" i="1" s="1"/>
  <c r="CK27" i="1" s="1"/>
  <c r="CI246" i="1"/>
  <c r="CJ246" i="1" s="1"/>
  <c r="CK246" i="1" s="1"/>
  <c r="CJ198" i="1"/>
  <c r="CK198" i="1" s="1"/>
  <c r="CJ174" i="1"/>
  <c r="CK174" i="1" s="1"/>
  <c r="CJ146" i="1"/>
  <c r="CK146" i="1" s="1"/>
  <c r="CI84" i="1"/>
  <c r="CJ84" i="1" s="1"/>
  <c r="CK84" i="1" s="1"/>
  <c r="CI241" i="1"/>
  <c r="CJ241" i="1" s="1"/>
  <c r="CK241" i="1" s="1"/>
  <c r="CI157" i="1"/>
  <c r="CJ157" i="1" s="1"/>
  <c r="CK157" i="1" s="1"/>
  <c r="CJ236" i="1"/>
  <c r="CK236" i="1" s="1"/>
  <c r="CJ18" i="1"/>
  <c r="CK18" i="1" s="1"/>
  <c r="CJ304" i="1"/>
  <c r="CK304" i="1" s="1"/>
  <c r="CI221" i="1"/>
  <c r="CJ221" i="1" s="1"/>
  <c r="CK221" i="1" s="1"/>
  <c r="CI119" i="1"/>
  <c r="CJ119" i="1" s="1"/>
  <c r="CK119" i="1" s="1"/>
  <c r="CI238" i="1"/>
  <c r="CJ238" i="1" s="1"/>
  <c r="CK238" i="1" s="1"/>
  <c r="CI287" i="1"/>
  <c r="CJ287" i="1" s="1"/>
  <c r="CK287" i="1" s="1"/>
  <c r="CI195" i="1"/>
  <c r="CJ195" i="1" s="1"/>
  <c r="CK195" i="1" s="1"/>
  <c r="CI232" i="1"/>
  <c r="CJ232" i="1" s="1"/>
  <c r="CK232" i="1" s="1"/>
  <c r="CI49" i="1"/>
  <c r="CJ49" i="1" s="1"/>
  <c r="CK49" i="1" s="1"/>
  <c r="CI327" i="1"/>
  <c r="CJ327" i="1" s="1"/>
  <c r="CK327" i="1" s="1"/>
  <c r="CI34" i="1"/>
  <c r="CJ34" i="1" s="1"/>
  <c r="CK34" i="1" s="1"/>
  <c r="CI76" i="1"/>
  <c r="CJ76" i="1" s="1"/>
  <c r="CK76" i="1" s="1"/>
  <c r="CI345" i="1"/>
  <c r="CJ345" i="1" s="1"/>
  <c r="CK345" i="1" s="1"/>
  <c r="CI296" i="1"/>
  <c r="CJ296" i="1" s="1"/>
  <c r="CK296" i="1" s="1"/>
  <c r="CI183" i="1"/>
  <c r="CJ183" i="1" s="1"/>
  <c r="CK183" i="1" s="1"/>
  <c r="CI239" i="1"/>
  <c r="CJ239" i="1" s="1"/>
  <c r="CK239" i="1" s="1"/>
  <c r="CJ135" i="1"/>
  <c r="CK135" i="1" s="1"/>
  <c r="CI331" i="1"/>
  <c r="CJ331" i="1" s="1"/>
  <c r="CK331" i="1" s="1"/>
  <c r="CI208" i="1"/>
  <c r="CJ208" i="1" s="1"/>
  <c r="CK208" i="1" s="1"/>
  <c r="CI320" i="1"/>
  <c r="CJ320" i="1" s="1"/>
  <c r="CK320" i="1" s="1"/>
  <c r="CI196" i="1"/>
  <c r="CJ196" i="1" s="1"/>
  <c r="CK196" i="1" s="1"/>
  <c r="CJ307" i="1"/>
  <c r="CK307" i="1" s="1"/>
  <c r="CI211" i="1"/>
  <c r="CJ211" i="1" s="1"/>
  <c r="CK211" i="1" s="1"/>
  <c r="CI326" i="1"/>
  <c r="CJ326" i="1" s="1"/>
  <c r="CK326" i="1" s="1"/>
  <c r="CJ310" i="1"/>
  <c r="CK310" i="1" s="1"/>
  <c r="CI118" i="1"/>
  <c r="CJ118" i="1" s="1"/>
  <c r="CK118" i="1" s="1"/>
  <c r="CI197" i="1"/>
  <c r="CJ197" i="1" s="1"/>
  <c r="CK197" i="1" s="1"/>
  <c r="CI182" i="1"/>
  <c r="CJ182" i="1" s="1"/>
  <c r="CK182" i="1" s="1"/>
  <c r="CI111" i="1"/>
  <c r="CJ111" i="1" s="1"/>
  <c r="CK111" i="1" s="1"/>
  <c r="CI199" i="1"/>
  <c r="CJ199" i="1" s="1"/>
  <c r="CK199" i="1" s="1"/>
  <c r="CI136" i="1"/>
  <c r="CJ136" i="1" s="1"/>
  <c r="CK136" i="1" s="1"/>
  <c r="CI131" i="1"/>
  <c r="CJ131" i="1" s="1"/>
  <c r="CK131" i="1" s="1"/>
  <c r="CI228" i="1"/>
  <c r="CJ228" i="1" s="1"/>
  <c r="CK228" i="1" s="1"/>
  <c r="CI280" i="1"/>
  <c r="CJ280" i="1" s="1"/>
  <c r="CK280" i="1" s="1"/>
  <c r="CI360" i="1"/>
  <c r="CJ360" i="1" s="1"/>
  <c r="CK360" i="1" s="1"/>
  <c r="CI63" i="1"/>
  <c r="CJ63" i="1" s="1"/>
  <c r="CK63" i="1" s="1"/>
  <c r="CJ82" i="1"/>
  <c r="CK82" i="1" s="1"/>
  <c r="CI33" i="1"/>
  <c r="CJ33" i="1" s="1"/>
  <c r="CK33" i="1" s="1"/>
  <c r="CJ279" i="1"/>
  <c r="CK279" i="1" s="1"/>
  <c r="CI316" i="1"/>
  <c r="CJ316" i="1" s="1"/>
  <c r="CK316" i="1" s="1"/>
  <c r="CI300" i="1"/>
  <c r="CJ300" i="1" s="1"/>
  <c r="CK300" i="1" s="1"/>
  <c r="CI71" i="1"/>
  <c r="CJ71" i="1" s="1"/>
  <c r="CK71" i="1" s="1"/>
  <c r="CI191" i="1"/>
  <c r="CJ191" i="1" s="1"/>
  <c r="CK191" i="1" s="1"/>
  <c r="CJ184" i="1"/>
  <c r="CK184" i="1" s="1"/>
  <c r="CI348" i="1"/>
  <c r="CJ348" i="1" s="1"/>
  <c r="CK348" i="1" s="1"/>
  <c r="CI190" i="1"/>
  <c r="CJ190" i="1" s="1"/>
  <c r="CK190" i="1" s="1"/>
  <c r="CI55" i="1"/>
  <c r="CJ55" i="1" s="1"/>
  <c r="CK55" i="1" s="1"/>
  <c r="CI38" i="1"/>
  <c r="CJ38" i="1" s="1"/>
  <c r="CK38" i="1" s="1"/>
  <c r="CI89" i="1"/>
  <c r="CJ89" i="1" s="1"/>
  <c r="CK89" i="1" s="1"/>
  <c r="CI104" i="1"/>
  <c r="CJ104" i="1" s="1"/>
  <c r="CK104" i="1" s="1"/>
  <c r="CI362" i="1"/>
  <c r="CJ362" i="1" s="1"/>
  <c r="CK362" i="1" s="1"/>
  <c r="CJ303" i="1"/>
  <c r="CK303" i="1" s="1"/>
  <c r="CI169" i="1"/>
  <c r="CJ169" i="1" s="1"/>
  <c r="CK169" i="1" s="1"/>
  <c r="CI61" i="1"/>
  <c r="CJ61" i="1" s="1"/>
  <c r="CK61" i="1" s="1"/>
  <c r="CH20" i="1"/>
  <c r="CJ20" i="1" s="1"/>
  <c r="CK20" i="1" s="1"/>
  <c r="CI215" i="1"/>
  <c r="CJ215" i="1" s="1"/>
  <c r="CK215" i="1" s="1"/>
  <c r="CI373" i="1"/>
  <c r="CJ373" i="1" s="1"/>
  <c r="CK373" i="1" s="1"/>
  <c r="CI264" i="1"/>
  <c r="CJ264" i="1" s="1"/>
  <c r="CK264" i="1" s="1"/>
  <c r="CI168" i="1"/>
  <c r="CJ168" i="1" s="1"/>
  <c r="CK168" i="1" s="1"/>
  <c r="CI99" i="1"/>
  <c r="CJ99" i="1" s="1"/>
  <c r="CK99" i="1" s="1"/>
  <c r="CJ56" i="1"/>
  <c r="CK56" i="1" s="1"/>
  <c r="CI77" i="1"/>
  <c r="CJ77" i="1" s="1"/>
  <c r="CK77" i="1" s="1"/>
  <c r="CI353" i="1"/>
  <c r="CJ353" i="1" s="1"/>
  <c r="CK353" i="1" s="1"/>
  <c r="CJ81" i="1"/>
  <c r="CK81" i="1" s="1"/>
  <c r="CI336" i="1"/>
  <c r="CJ336" i="1" s="1"/>
  <c r="CK336" i="1" s="1"/>
  <c r="CI162" i="1"/>
  <c r="CJ162" i="1" s="1"/>
  <c r="CK162" i="1" s="1"/>
  <c r="CI288" i="1"/>
  <c r="CJ288" i="1" s="1"/>
  <c r="CK288" i="1" s="1"/>
  <c r="CI37" i="1"/>
  <c r="CJ37" i="1" s="1"/>
  <c r="CK37" i="1" s="1"/>
  <c r="CI347" i="1"/>
  <c r="CJ347" i="1" s="1"/>
  <c r="CK347" i="1" s="1"/>
  <c r="CI57" i="1"/>
  <c r="CJ57" i="1" s="1"/>
  <c r="CK57" i="1" s="1"/>
  <c r="CI26" i="1"/>
  <c r="CJ26" i="1" s="1"/>
  <c r="CK26" i="1" s="1"/>
  <c r="CI284" i="1"/>
  <c r="CJ284" i="1" s="1"/>
  <c r="CK284" i="1" s="1"/>
  <c r="CI159" i="1"/>
  <c r="CJ159" i="1" s="1"/>
  <c r="CK159" i="1" s="1"/>
  <c r="CI309" i="1"/>
  <c r="CJ309" i="1" s="1"/>
  <c r="CK309" i="1" s="1"/>
  <c r="CI194" i="1"/>
  <c r="CJ194" i="1" s="1"/>
  <c r="CK194" i="1" s="1"/>
  <c r="CI231" i="1"/>
  <c r="CJ231" i="1" s="1"/>
  <c r="CK231" i="1" s="1"/>
  <c r="CI234" i="1"/>
  <c r="CJ234" i="1" s="1"/>
  <c r="CK234" i="1" s="1"/>
  <c r="CI252" i="1"/>
  <c r="CJ252" i="1" s="1"/>
  <c r="CK252" i="1" s="1"/>
  <c r="CI192" i="1"/>
  <c r="CJ192" i="1" s="1"/>
  <c r="CK192" i="1" s="1"/>
  <c r="BZ11" i="1"/>
  <c r="CD371" i="1" s="1"/>
  <c r="CI324" i="1"/>
  <c r="CJ324" i="1" s="1"/>
  <c r="CK324" i="1" s="1"/>
  <c r="CI321" i="1"/>
  <c r="CJ321" i="1" s="1"/>
  <c r="CK321" i="1" s="1"/>
  <c r="CI346" i="1"/>
  <c r="CJ346" i="1" s="1"/>
  <c r="CK346" i="1" s="1"/>
  <c r="CI339" i="1"/>
  <c r="CJ339" i="1" s="1"/>
  <c r="CK339" i="1" s="1"/>
  <c r="CI285" i="1"/>
  <c r="CJ285" i="1" s="1"/>
  <c r="CK285" i="1" s="1"/>
  <c r="CI91" i="1"/>
  <c r="CJ91" i="1" s="1"/>
  <c r="CK91" i="1" s="1"/>
  <c r="CI46" i="1"/>
  <c r="CJ46" i="1" s="1"/>
  <c r="CK46" i="1" s="1"/>
  <c r="CI328" i="1"/>
  <c r="CJ328" i="1" s="1"/>
  <c r="CK328" i="1" s="1"/>
  <c r="CJ210" i="1"/>
  <c r="CK210" i="1" s="1"/>
  <c r="CI289" i="1"/>
  <c r="CJ289" i="1" s="1"/>
  <c r="CK289" i="1" s="1"/>
  <c r="CC366" i="1"/>
  <c r="CC164" i="1"/>
  <c r="CC75" i="1"/>
  <c r="CC337" i="1"/>
  <c r="CC52" i="1"/>
  <c r="CC235" i="1"/>
  <c r="CC296" i="1"/>
  <c r="CC147" i="1"/>
  <c r="CC22" i="1"/>
  <c r="CC19" i="1"/>
  <c r="CC271" i="1"/>
  <c r="CC102" i="1"/>
  <c r="G41" i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J65" i="1"/>
  <c r="K65" i="1" s="1"/>
  <c r="L65" i="1" s="1"/>
  <c r="M65" i="1" s="1"/>
  <c r="O65" i="1" s="1"/>
  <c r="G40" i="1"/>
  <c r="K38" i="1" s="1"/>
  <c r="K39" i="1" s="1"/>
  <c r="J34" i="1" s="1"/>
  <c r="J69" i="1"/>
  <c r="J62" i="1"/>
  <c r="K62" i="1" s="1"/>
  <c r="L62" i="1" s="1"/>
  <c r="M62" i="1" s="1"/>
  <c r="N62" i="1" s="1"/>
  <c r="AC158" i="1" l="1"/>
  <c r="AC160" i="1"/>
  <c r="AJ162" i="1"/>
  <c r="AC159" i="1"/>
  <c r="AC162" i="1"/>
  <c r="AC164" i="1"/>
  <c r="AJ157" i="1"/>
  <c r="AQ160" i="1"/>
  <c r="AQ161" i="1"/>
  <c r="AC163" i="1"/>
  <c r="AQ164" i="1"/>
  <c r="AJ159" i="1"/>
  <c r="AQ159" i="1"/>
  <c r="AQ158" i="1"/>
  <c r="AJ161" i="1"/>
  <c r="AQ163" i="1"/>
  <c r="AJ164" i="1"/>
  <c r="AJ160" i="1"/>
  <c r="AQ162" i="1"/>
  <c r="AJ158" i="1"/>
  <c r="AC161" i="1"/>
  <c r="AJ163" i="1"/>
  <c r="AQ157" i="1"/>
  <c r="BY170" i="1" s="1"/>
  <c r="CF170" i="1" s="1"/>
  <c r="L186" i="1"/>
  <c r="M186" i="1" s="1"/>
  <c r="N186" i="1" s="1"/>
  <c r="AM159" i="1"/>
  <c r="AD159" i="1"/>
  <c r="AF159" i="1"/>
  <c r="AR159" i="1"/>
  <c r="AT159" i="1"/>
  <c r="AK159" i="1"/>
  <c r="L185" i="1"/>
  <c r="M185" i="1" s="1"/>
  <c r="N185" i="1" s="1"/>
  <c r="K195" i="1"/>
  <c r="AB159" i="1"/>
  <c r="AL159" i="1"/>
  <c r="AP159" i="1"/>
  <c r="Q159" i="1"/>
  <c r="AE159" i="1"/>
  <c r="AI159" i="1"/>
  <c r="AS159" i="1"/>
  <c r="L187" i="1"/>
  <c r="M187" i="1" s="1"/>
  <c r="N187" i="1" s="1"/>
  <c r="F173" i="1"/>
  <c r="AC157" i="1"/>
  <c r="N64" i="1"/>
  <c r="B153" i="1"/>
  <c r="G161" i="1" s="1"/>
  <c r="B152" i="1"/>
  <c r="G171" i="1" s="1"/>
  <c r="F171" i="1"/>
  <c r="F174" i="1"/>
  <c r="F168" i="1"/>
  <c r="F175" i="1"/>
  <c r="J170" i="1"/>
  <c r="K170" i="1"/>
  <c r="I170" i="1"/>
  <c r="H170" i="1"/>
  <c r="X159" i="1"/>
  <c r="M159" i="1"/>
  <c r="P159" i="1"/>
  <c r="U159" i="1"/>
  <c r="S159" i="1"/>
  <c r="V159" i="1"/>
  <c r="C172" i="1"/>
  <c r="W159" i="1"/>
  <c r="R159" i="1"/>
  <c r="F169" i="1"/>
  <c r="CD329" i="1"/>
  <c r="CD122" i="1"/>
  <c r="CD84" i="1"/>
  <c r="CD41" i="1"/>
  <c r="CD173" i="1"/>
  <c r="CD225" i="1"/>
  <c r="CD298" i="1"/>
  <c r="CD268" i="1"/>
  <c r="CD348" i="1"/>
  <c r="CD38" i="1"/>
  <c r="CD161" i="1"/>
  <c r="CD49" i="1"/>
  <c r="CD156" i="1"/>
  <c r="CD271" i="1"/>
  <c r="CD75" i="1"/>
  <c r="CD304" i="1"/>
  <c r="CD243" i="1"/>
  <c r="CD278" i="1"/>
  <c r="CD310" i="1"/>
  <c r="CD181" i="1"/>
  <c r="CD367" i="1"/>
  <c r="CD323" i="1"/>
  <c r="CD335" i="1"/>
  <c r="CD130" i="1"/>
  <c r="CD256" i="1"/>
  <c r="CD35" i="1"/>
  <c r="CD57" i="1"/>
  <c r="CD152" i="1"/>
  <c r="CD234" i="1"/>
  <c r="CD246" i="1"/>
  <c r="CD93" i="1"/>
  <c r="CD118" i="1"/>
  <c r="CD90" i="1"/>
  <c r="CD189" i="1"/>
  <c r="CD242" i="1"/>
  <c r="CD37" i="1"/>
  <c r="CD214" i="1"/>
  <c r="CD203" i="1"/>
  <c r="CD27" i="1"/>
  <c r="CD344" i="1"/>
  <c r="CD111" i="1"/>
  <c r="CD355" i="1"/>
  <c r="CD273" i="1"/>
  <c r="CD106" i="1"/>
  <c r="CD19" i="1"/>
  <c r="CD164" i="1"/>
  <c r="CD168" i="1"/>
  <c r="CD277" i="1"/>
  <c r="CD109" i="1"/>
  <c r="CD31" i="1"/>
  <c r="CD308" i="1"/>
  <c r="CD279" i="1"/>
  <c r="CD218" i="1"/>
  <c r="CD129" i="1"/>
  <c r="CD43" i="1"/>
  <c r="CD208" i="1"/>
  <c r="CD124" i="1"/>
  <c r="CD125" i="1"/>
  <c r="CD107" i="1"/>
  <c r="CD288" i="1"/>
  <c r="CD316" i="1"/>
  <c r="CD281" i="1"/>
  <c r="CD69" i="1"/>
  <c r="CD305" i="1"/>
  <c r="CD374" i="1"/>
  <c r="CD158" i="1"/>
  <c r="CD172" i="1"/>
  <c r="CD59" i="1"/>
  <c r="CD62" i="1"/>
  <c r="CD78" i="1"/>
  <c r="CD88" i="1"/>
  <c r="CD21" i="1"/>
  <c r="CD322" i="1"/>
  <c r="CD134" i="1"/>
  <c r="CD336" i="1"/>
  <c r="CD110" i="1"/>
  <c r="CD104" i="1"/>
  <c r="CD362" i="1"/>
  <c r="CD300" i="1"/>
  <c r="CD96" i="1"/>
  <c r="CD159" i="1"/>
  <c r="CD115" i="1"/>
  <c r="CD224" i="1"/>
  <c r="CD221" i="1"/>
  <c r="CD199" i="1"/>
  <c r="CD283" i="1"/>
  <c r="CD368" i="1"/>
  <c r="CD253" i="1"/>
  <c r="CD274" i="1"/>
  <c r="CD22" i="1"/>
  <c r="CD366" i="1"/>
  <c r="CD195" i="1"/>
  <c r="CD349" i="1"/>
  <c r="CD80" i="1"/>
  <c r="CD77" i="1"/>
  <c r="CD276" i="1"/>
  <c r="CD265" i="1"/>
  <c r="CD270" i="1"/>
  <c r="CD100" i="1"/>
  <c r="CD266" i="1"/>
  <c r="CD103" i="1"/>
  <c r="CD257" i="1"/>
  <c r="CD302" i="1"/>
  <c r="CD66" i="1"/>
  <c r="CD141" i="1"/>
  <c r="CD196" i="1"/>
  <c r="CD244" i="1"/>
  <c r="CD249" i="1"/>
  <c r="CD23" i="1"/>
  <c r="CD169" i="1"/>
  <c r="CD120" i="1"/>
  <c r="CD54" i="1"/>
  <c r="CD99" i="1"/>
  <c r="CD30" i="1"/>
  <c r="CD188" i="1"/>
  <c r="CD354" i="1"/>
  <c r="CD338" i="1"/>
  <c r="CD327" i="1"/>
  <c r="CD60" i="1"/>
  <c r="CD140" i="1"/>
  <c r="CD44" i="1"/>
  <c r="CD254" i="1"/>
  <c r="CD136" i="1"/>
  <c r="CD45" i="1"/>
  <c r="CD194" i="1"/>
  <c r="CD146" i="1"/>
  <c r="CD223" i="1"/>
  <c r="CD359" i="1"/>
  <c r="CD258" i="1"/>
  <c r="CD166" i="1"/>
  <c r="CD313" i="1"/>
  <c r="CD193" i="1"/>
  <c r="CD236" i="1"/>
  <c r="CD95" i="1"/>
  <c r="CD83" i="1"/>
  <c r="CD334" i="1"/>
  <c r="CD212" i="1"/>
  <c r="CD358" i="1"/>
  <c r="CD64" i="1"/>
  <c r="CD286" i="1"/>
  <c r="CD232" i="1"/>
  <c r="CD220" i="1"/>
  <c r="CD247" i="1"/>
  <c r="CD339" i="1"/>
  <c r="CD113" i="1"/>
  <c r="CD34" i="1"/>
  <c r="CD306" i="1"/>
  <c r="CD187" i="1"/>
  <c r="CD363" i="1"/>
  <c r="CD209" i="1"/>
  <c r="CD296" i="1"/>
  <c r="CD299" i="1"/>
  <c r="CD263" i="1"/>
  <c r="CD101" i="1"/>
  <c r="CD331" i="1"/>
  <c r="CD370" i="1"/>
  <c r="CD245" i="1"/>
  <c r="CD36" i="1"/>
  <c r="CD342" i="1"/>
  <c r="CD267" i="1"/>
  <c r="CD18" i="1"/>
  <c r="CD227" i="1"/>
  <c r="CD82" i="1"/>
  <c r="CD324" i="1"/>
  <c r="CD190" i="1"/>
  <c r="CD56" i="1"/>
  <c r="CD235" i="1"/>
  <c r="CD176" i="1"/>
  <c r="CD29" i="1"/>
  <c r="CD280" i="1"/>
  <c r="CD295" i="1"/>
  <c r="CD198" i="1"/>
  <c r="CD76" i="1"/>
  <c r="CD301" i="1"/>
  <c r="CD330" i="1"/>
  <c r="CD79" i="1"/>
  <c r="CD191" i="1"/>
  <c r="CD369" i="1"/>
  <c r="CD26" i="1"/>
  <c r="CD121" i="1"/>
  <c r="CD284" i="1"/>
  <c r="CD117" i="1"/>
  <c r="CD309" i="1"/>
  <c r="CD289" i="1"/>
  <c r="CD262" i="1"/>
  <c r="CD182" i="1"/>
  <c r="CD226" i="1"/>
  <c r="CD294" i="1"/>
  <c r="CD153" i="1"/>
  <c r="CD61" i="1"/>
  <c r="CD184" i="1"/>
  <c r="CD353" i="1"/>
  <c r="CD312" i="1"/>
  <c r="CD230" i="1"/>
  <c r="CD356" i="1"/>
  <c r="CD200" i="1"/>
  <c r="CD157" i="1"/>
  <c r="CD346" i="1"/>
  <c r="CD285" i="1"/>
  <c r="CD201" i="1"/>
  <c r="CD28" i="1"/>
  <c r="CD183" i="1"/>
  <c r="CD345" i="1"/>
  <c r="CD132" i="1"/>
  <c r="CD292" i="1"/>
  <c r="CD248" i="1"/>
  <c r="CD231" i="1"/>
  <c r="CD55" i="1"/>
  <c r="CD86" i="1"/>
  <c r="CD332" i="1"/>
  <c r="CD98" i="1"/>
  <c r="CD147" i="1"/>
  <c r="CD58" i="1"/>
  <c r="CD150" i="1"/>
  <c r="CD333" i="1"/>
  <c r="CD85" i="1"/>
  <c r="CD264" i="1"/>
  <c r="CD255" i="1"/>
  <c r="CD259" i="1"/>
  <c r="CD219" i="1"/>
  <c r="CD148" i="1"/>
  <c r="CD24" i="1"/>
  <c r="CD241" i="1"/>
  <c r="CD51" i="1"/>
  <c r="CD202" i="1"/>
  <c r="CD50" i="1"/>
  <c r="CD215" i="1"/>
  <c r="CD142" i="1"/>
  <c r="CD361" i="1"/>
  <c r="CD233" i="1"/>
  <c r="CD81" i="1"/>
  <c r="CD293" i="1"/>
  <c r="CD39" i="1"/>
  <c r="CD108" i="1"/>
  <c r="CD216" i="1"/>
  <c r="CD347" i="1"/>
  <c r="CD185" i="1"/>
  <c r="CD341" i="1"/>
  <c r="CD213" i="1"/>
  <c r="CD92" i="1"/>
  <c r="CD319" i="1"/>
  <c r="CD261" i="1"/>
  <c r="CD52" i="1"/>
  <c r="CD290" i="1"/>
  <c r="CD228" i="1"/>
  <c r="CD137" i="1"/>
  <c r="CD154" i="1"/>
  <c r="CD119" i="1"/>
  <c r="CD175" i="1"/>
  <c r="CD112" i="1"/>
  <c r="CD149" i="1"/>
  <c r="CD179" i="1"/>
  <c r="CD162" i="1"/>
  <c r="CD315" i="1"/>
  <c r="CD73" i="1"/>
  <c r="CD171" i="1"/>
  <c r="CD314" i="1"/>
  <c r="CD352" i="1"/>
  <c r="CD145" i="1"/>
  <c r="CD365" i="1"/>
  <c r="CD311" i="1"/>
  <c r="CD205" i="1"/>
  <c r="CD351" i="1"/>
  <c r="CD68" i="1"/>
  <c r="CD127" i="1"/>
  <c r="CD16" i="1"/>
  <c r="CD210" i="1"/>
  <c r="CD135" i="1"/>
  <c r="CD282" i="1"/>
  <c r="CD72" i="1"/>
  <c r="CD180" i="1"/>
  <c r="CD25" i="1"/>
  <c r="CD357" i="1"/>
  <c r="CD206" i="1"/>
  <c r="CD217" i="1"/>
  <c r="CD126" i="1"/>
  <c r="CD317" i="1"/>
  <c r="CD143" i="1"/>
  <c r="CD372" i="1"/>
  <c r="CD163" i="1"/>
  <c r="CD128" i="1"/>
  <c r="CD48" i="1"/>
  <c r="CD155" i="1"/>
  <c r="CD192" i="1"/>
  <c r="CD197" i="1"/>
  <c r="CD97" i="1"/>
  <c r="CD320" i="1"/>
  <c r="CD15" i="1"/>
  <c r="CD89" i="1"/>
  <c r="CD207" i="1"/>
  <c r="CD328" i="1"/>
  <c r="CD114" i="1"/>
  <c r="CD17" i="1"/>
  <c r="CD123" i="1"/>
  <c r="CD364" i="1"/>
  <c r="CD272" i="1"/>
  <c r="CD53" i="1"/>
  <c r="CD178" i="1"/>
  <c r="CD204" i="1"/>
  <c r="CD238" i="1"/>
  <c r="CD251" i="1"/>
  <c r="CD343" i="1"/>
  <c r="CD326" i="1"/>
  <c r="CD303" i="1"/>
  <c r="CD321" i="1"/>
  <c r="CD71" i="1"/>
  <c r="CD297" i="1"/>
  <c r="CD287" i="1"/>
  <c r="CD260" i="1"/>
  <c r="CD237" i="1"/>
  <c r="CD250" i="1"/>
  <c r="CD229" i="1"/>
  <c r="CD177" i="1"/>
  <c r="CD105" i="1"/>
  <c r="CD102" i="1"/>
  <c r="CD337" i="1"/>
  <c r="CD275" i="1"/>
  <c r="CD222" i="1"/>
  <c r="CD167" i="1"/>
  <c r="CD144" i="1"/>
  <c r="CD46" i="1"/>
  <c r="CD174" i="1"/>
  <c r="CD87" i="1"/>
  <c r="CD67" i="1"/>
  <c r="CD291" i="1"/>
  <c r="CD151" i="1"/>
  <c r="CD42" i="1"/>
  <c r="CD269" i="1"/>
  <c r="CD91" i="1"/>
  <c r="CD373" i="1"/>
  <c r="CD360" i="1"/>
  <c r="CD74" i="1"/>
  <c r="CD47" i="1"/>
  <c r="CD252" i="1"/>
  <c r="CD186" i="1"/>
  <c r="CD307" i="1"/>
  <c r="CD20" i="1"/>
  <c r="CD318" i="1"/>
  <c r="CD139" i="1"/>
  <c r="CD165" i="1"/>
  <c r="CD70" i="1"/>
  <c r="CD240" i="1"/>
  <c r="CD325" i="1"/>
  <c r="CD375" i="1"/>
  <c r="CD138" i="1"/>
  <c r="CD211" i="1"/>
  <c r="CD340" i="1"/>
  <c r="CD239" i="1"/>
  <c r="CD65" i="1"/>
  <c r="CD32" i="1"/>
  <c r="CD131" i="1"/>
  <c r="CD94" i="1"/>
  <c r="CD33" i="1"/>
  <c r="CD116" i="1"/>
  <c r="CD160" i="1"/>
  <c r="CD40" i="1"/>
  <c r="CD350" i="1"/>
  <c r="CD133" i="1"/>
  <c r="CD63" i="1"/>
  <c r="CG21" i="1"/>
  <c r="CH21" i="1" s="1"/>
  <c r="K71" i="1"/>
  <c r="L71" i="1" s="1"/>
  <c r="M71" i="1" s="1"/>
  <c r="K70" i="1"/>
  <c r="L70" i="1" s="1"/>
  <c r="M70" i="1" s="1"/>
  <c r="K69" i="1"/>
  <c r="L69" i="1" s="1"/>
  <c r="M69" i="1" s="1"/>
  <c r="H54" i="1"/>
  <c r="J52" i="1"/>
  <c r="K50" i="1"/>
  <c r="J55" i="1"/>
  <c r="O39" i="1"/>
  <c r="O34" i="1" s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T159" i="1" l="1"/>
  <c r="P185" i="1"/>
  <c r="O185" i="1"/>
  <c r="N195" i="1"/>
  <c r="B196" i="1" s="1"/>
  <c r="O186" i="1"/>
  <c r="P186" i="1"/>
  <c r="AU159" i="1"/>
  <c r="AV159" i="1" s="1"/>
  <c r="P187" i="1"/>
  <c r="O187" i="1"/>
  <c r="N170" i="1"/>
  <c r="O170" i="1"/>
  <c r="P170" i="1"/>
  <c r="AG159" i="1"/>
  <c r="AH159" i="1" s="1"/>
  <c r="AN159" i="1"/>
  <c r="AO159" i="1" s="1"/>
  <c r="F161" i="1"/>
  <c r="H161" i="1" s="1"/>
  <c r="H171" i="1"/>
  <c r="F163" i="1"/>
  <c r="F162" i="1"/>
  <c r="F164" i="1"/>
  <c r="F157" i="1"/>
  <c r="F158" i="1"/>
  <c r="G169" i="1"/>
  <c r="H169" i="1" s="1"/>
  <c r="G173" i="1"/>
  <c r="G175" i="1"/>
  <c r="H175" i="1" s="1"/>
  <c r="F160" i="1"/>
  <c r="G168" i="1"/>
  <c r="H168" i="1" s="1"/>
  <c r="G174" i="1"/>
  <c r="I174" i="1" s="1"/>
  <c r="K171" i="1"/>
  <c r="J171" i="1"/>
  <c r="I171" i="1"/>
  <c r="G163" i="1"/>
  <c r="G162" i="1"/>
  <c r="G157" i="1"/>
  <c r="G158" i="1"/>
  <c r="G164" i="1"/>
  <c r="G160" i="1"/>
  <c r="Y159" i="1"/>
  <c r="G172" i="1"/>
  <c r="F172" i="1"/>
  <c r="CI21" i="1"/>
  <c r="CJ21" i="1" s="1"/>
  <c r="CK21" i="1" s="1"/>
  <c r="K72" i="1"/>
  <c r="U3" i="1" s="1"/>
  <c r="N71" i="1"/>
  <c r="O71" i="1"/>
  <c r="N70" i="1"/>
  <c r="O70" i="1"/>
  <c r="N69" i="1"/>
  <c r="O69" i="1"/>
  <c r="M72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N171" i="1" l="1"/>
  <c r="O171" i="1"/>
  <c r="P171" i="1"/>
  <c r="AW159" i="1"/>
  <c r="O159" i="1" s="1"/>
  <c r="O195" i="1"/>
  <c r="B197" i="1" s="1"/>
  <c r="P195" i="1"/>
  <c r="B198" i="1" s="1"/>
  <c r="K161" i="1"/>
  <c r="I161" i="1"/>
  <c r="J161" i="1"/>
  <c r="K168" i="1"/>
  <c r="I168" i="1"/>
  <c r="J168" i="1"/>
  <c r="K174" i="1"/>
  <c r="J174" i="1"/>
  <c r="H174" i="1"/>
  <c r="K175" i="1"/>
  <c r="K169" i="1"/>
  <c r="I169" i="1"/>
  <c r="J169" i="1"/>
  <c r="J172" i="1"/>
  <c r="I172" i="1"/>
  <c r="K172" i="1"/>
  <c r="H172" i="1"/>
  <c r="H173" i="1"/>
  <c r="I173" i="1"/>
  <c r="J173" i="1"/>
  <c r="K173" i="1"/>
  <c r="J158" i="1"/>
  <c r="K158" i="1"/>
  <c r="H158" i="1"/>
  <c r="I158" i="1"/>
  <c r="J175" i="1"/>
  <c r="K157" i="1"/>
  <c r="H157" i="1"/>
  <c r="J157" i="1"/>
  <c r="I157" i="1"/>
  <c r="I175" i="1"/>
  <c r="H164" i="1"/>
  <c r="I164" i="1"/>
  <c r="K164" i="1"/>
  <c r="J164" i="1"/>
  <c r="J162" i="1"/>
  <c r="H162" i="1"/>
  <c r="K162" i="1"/>
  <c r="I162" i="1"/>
  <c r="Z159" i="1"/>
  <c r="N159" i="1" s="1"/>
  <c r="H160" i="1"/>
  <c r="J160" i="1"/>
  <c r="I160" i="1"/>
  <c r="K160" i="1"/>
  <c r="J163" i="1"/>
  <c r="H163" i="1"/>
  <c r="I163" i="1"/>
  <c r="K163" i="1"/>
  <c r="O72" i="1"/>
  <c r="O73" i="1" s="1"/>
  <c r="N72" i="1"/>
  <c r="N73" i="1" s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AK163" i="1" l="1"/>
  <c r="AD163" i="1"/>
  <c r="AM163" i="1"/>
  <c r="AF163" i="1"/>
  <c r="AR163" i="1"/>
  <c r="AT163" i="1"/>
  <c r="N172" i="1"/>
  <c r="O172" i="1"/>
  <c r="P172" i="1"/>
  <c r="P173" i="1"/>
  <c r="N173" i="1"/>
  <c r="O173" i="1"/>
  <c r="AT162" i="1"/>
  <c r="AK162" i="1"/>
  <c r="AD162" i="1"/>
  <c r="AR162" i="1"/>
  <c r="AM162" i="1"/>
  <c r="AF162" i="1"/>
  <c r="AM160" i="1"/>
  <c r="AD160" i="1"/>
  <c r="AF160" i="1"/>
  <c r="AR160" i="1"/>
  <c r="AK160" i="1"/>
  <c r="AT160" i="1"/>
  <c r="O168" i="1"/>
  <c r="N168" i="1"/>
  <c r="P168" i="1"/>
  <c r="AK158" i="1"/>
  <c r="AD158" i="1"/>
  <c r="AM158" i="1"/>
  <c r="AF158" i="1"/>
  <c r="AR158" i="1"/>
  <c r="AT158" i="1"/>
  <c r="N174" i="1"/>
  <c r="O174" i="1"/>
  <c r="P174" i="1"/>
  <c r="AS157" i="1"/>
  <c r="AP157" i="1"/>
  <c r="AI157" i="1"/>
  <c r="AL157" i="1"/>
  <c r="AP160" i="1"/>
  <c r="AE160" i="1"/>
  <c r="AI160" i="1"/>
  <c r="AS160" i="1"/>
  <c r="AB160" i="1"/>
  <c r="AL160" i="1"/>
  <c r="Q160" i="1"/>
  <c r="AD157" i="1"/>
  <c r="AM157" i="1"/>
  <c r="AT157" i="1"/>
  <c r="AF157" i="1"/>
  <c r="AR157" i="1"/>
  <c r="AK157" i="1"/>
  <c r="N169" i="1"/>
  <c r="O169" i="1"/>
  <c r="P169" i="1"/>
  <c r="AB162" i="1"/>
  <c r="Q162" i="1"/>
  <c r="AL162" i="1"/>
  <c r="AE162" i="1"/>
  <c r="AP162" i="1"/>
  <c r="AI162" i="1"/>
  <c r="AS162" i="1"/>
  <c r="AM164" i="1"/>
  <c r="AR164" i="1"/>
  <c r="AD164" i="1"/>
  <c r="AF164" i="1"/>
  <c r="AT164" i="1"/>
  <c r="AK164" i="1"/>
  <c r="N175" i="1"/>
  <c r="P175" i="1"/>
  <c r="O175" i="1"/>
  <c r="S161" i="1"/>
  <c r="Q161" i="1"/>
  <c r="AE161" i="1"/>
  <c r="AP161" i="1"/>
  <c r="AL161" i="1"/>
  <c r="AI161" i="1"/>
  <c r="AB161" i="1"/>
  <c r="AS161" i="1"/>
  <c r="AI163" i="1"/>
  <c r="AB163" i="1"/>
  <c r="AL163" i="1"/>
  <c r="Q163" i="1"/>
  <c r="AP163" i="1"/>
  <c r="AS163" i="1"/>
  <c r="AE163" i="1"/>
  <c r="AB164" i="1"/>
  <c r="AL164" i="1"/>
  <c r="AP164" i="1"/>
  <c r="AE164" i="1"/>
  <c r="Q164" i="1"/>
  <c r="AI164" i="1"/>
  <c r="AS164" i="1"/>
  <c r="AL158" i="1"/>
  <c r="AE158" i="1"/>
  <c r="AP158" i="1"/>
  <c r="Q158" i="1"/>
  <c r="AI158" i="1"/>
  <c r="AS158" i="1"/>
  <c r="AB158" i="1"/>
  <c r="W161" i="1"/>
  <c r="AD161" i="1"/>
  <c r="AR161" i="1"/>
  <c r="AF161" i="1"/>
  <c r="AK161" i="1"/>
  <c r="AT161" i="1"/>
  <c r="AM161" i="1"/>
  <c r="AB157" i="1"/>
  <c r="AE157" i="1"/>
  <c r="P161" i="1"/>
  <c r="R161" i="1"/>
  <c r="X161" i="1"/>
  <c r="U161" i="1"/>
  <c r="V161" i="1"/>
  <c r="M161" i="1"/>
  <c r="W163" i="1"/>
  <c r="R163" i="1"/>
  <c r="X164" i="1"/>
  <c r="P164" i="1"/>
  <c r="S164" i="1"/>
  <c r="M164" i="1"/>
  <c r="U164" i="1"/>
  <c r="V164" i="1"/>
  <c r="U158" i="1"/>
  <c r="M158" i="1"/>
  <c r="V158" i="1"/>
  <c r="S158" i="1"/>
  <c r="P158" i="1"/>
  <c r="X158" i="1"/>
  <c r="U163" i="1"/>
  <c r="V163" i="1"/>
  <c r="X163" i="1"/>
  <c r="P163" i="1"/>
  <c r="M163" i="1"/>
  <c r="S163" i="1"/>
  <c r="P162" i="1"/>
  <c r="S162" i="1"/>
  <c r="U162" i="1"/>
  <c r="V162" i="1"/>
  <c r="M162" i="1"/>
  <c r="X162" i="1"/>
  <c r="R160" i="1"/>
  <c r="W160" i="1"/>
  <c r="R162" i="1"/>
  <c r="W162" i="1"/>
  <c r="R158" i="1"/>
  <c r="W158" i="1"/>
  <c r="P160" i="1"/>
  <c r="U160" i="1"/>
  <c r="S160" i="1"/>
  <c r="V160" i="1"/>
  <c r="M160" i="1"/>
  <c r="X160" i="1"/>
  <c r="P157" i="1"/>
  <c r="M157" i="1"/>
  <c r="X157" i="1"/>
  <c r="V157" i="1"/>
  <c r="S157" i="1"/>
  <c r="Q157" i="1"/>
  <c r="U157" i="1"/>
  <c r="R164" i="1"/>
  <c r="W164" i="1"/>
  <c r="W157" i="1"/>
  <c r="R157" i="1"/>
  <c r="F76" i="1"/>
  <c r="E76" i="1"/>
  <c r="P57" i="1"/>
  <c r="N57" i="1"/>
  <c r="B75" i="1" s="1"/>
  <c r="O57" i="1"/>
  <c r="AU163" i="1" l="1"/>
  <c r="AV163" i="1" s="1"/>
  <c r="T160" i="1"/>
  <c r="T161" i="1"/>
  <c r="T163" i="1"/>
  <c r="AN161" i="1"/>
  <c r="AO161" i="1" s="1"/>
  <c r="M165" i="1"/>
  <c r="T157" i="1"/>
  <c r="AN158" i="1"/>
  <c r="AO158" i="1" s="1"/>
  <c r="P176" i="1"/>
  <c r="T162" i="1"/>
  <c r="T158" i="1"/>
  <c r="AU158" i="1"/>
  <c r="AV158" i="1" s="1"/>
  <c r="AG161" i="1"/>
  <c r="AH161" i="1" s="1"/>
  <c r="N176" i="1"/>
  <c r="AU164" i="1"/>
  <c r="AV164" i="1" s="1"/>
  <c r="AG160" i="1"/>
  <c r="AH160" i="1" s="1"/>
  <c r="O176" i="1"/>
  <c r="AG158" i="1"/>
  <c r="AH158" i="1" s="1"/>
  <c r="AU161" i="1"/>
  <c r="AV161" i="1" s="1"/>
  <c r="AG164" i="1"/>
  <c r="AH164" i="1" s="1"/>
  <c r="AG162" i="1"/>
  <c r="AH162" i="1" s="1"/>
  <c r="AN157" i="1"/>
  <c r="AO157" i="1" s="1"/>
  <c r="AN164" i="1"/>
  <c r="AO164" i="1" s="1"/>
  <c r="AG163" i="1"/>
  <c r="AH163" i="1" s="1"/>
  <c r="AN162" i="1"/>
  <c r="AO162" i="1" s="1"/>
  <c r="AU160" i="1"/>
  <c r="AV160" i="1" s="1"/>
  <c r="AU157" i="1"/>
  <c r="AV157" i="1" s="1"/>
  <c r="BX170" i="1"/>
  <c r="T164" i="1"/>
  <c r="AN163" i="1"/>
  <c r="AO163" i="1" s="1"/>
  <c r="AU162" i="1"/>
  <c r="AV162" i="1" s="1"/>
  <c r="AN160" i="1"/>
  <c r="AO160" i="1" s="1"/>
  <c r="AG157" i="1"/>
  <c r="Y161" i="1"/>
  <c r="Y158" i="1"/>
  <c r="Y157" i="1"/>
  <c r="Y162" i="1"/>
  <c r="Y164" i="1"/>
  <c r="Y163" i="1"/>
  <c r="Y160" i="1"/>
  <c r="B77" i="1"/>
  <c r="P59" i="1"/>
  <c r="B76" i="1"/>
  <c r="O59" i="1"/>
  <c r="O58" i="1"/>
  <c r="P58" i="1"/>
  <c r="AW163" i="1" l="1"/>
  <c r="O163" i="1" s="1"/>
  <c r="B178" i="1"/>
  <c r="B200" i="1" s="1"/>
  <c r="U4" i="1" s="1"/>
  <c r="W4" i="1" s="1"/>
  <c r="AW158" i="1"/>
  <c r="O158" i="1" s="1"/>
  <c r="AW164" i="1"/>
  <c r="O164" i="1" s="1"/>
  <c r="BZ170" i="1"/>
  <c r="CB170" i="1" s="1"/>
  <c r="CE170" i="1"/>
  <c r="AW160" i="1"/>
  <c r="O160" i="1" s="1"/>
  <c r="AW162" i="1"/>
  <c r="O162" i="1" s="1"/>
  <c r="AW161" i="1"/>
  <c r="O161" i="1" s="1"/>
  <c r="AH157" i="1"/>
  <c r="AW157" i="1" s="1"/>
  <c r="O157" i="1" s="1"/>
  <c r="Z158" i="1"/>
  <c r="N158" i="1" s="1"/>
  <c r="Z161" i="1"/>
  <c r="N161" i="1" s="1"/>
  <c r="Z157" i="1"/>
  <c r="N157" i="1" s="1"/>
  <c r="Z163" i="1"/>
  <c r="N163" i="1" s="1"/>
  <c r="Z162" i="1"/>
  <c r="N162" i="1" s="1"/>
  <c r="Z164" i="1"/>
  <c r="N164" i="1" s="1"/>
  <c r="Z160" i="1"/>
  <c r="N160" i="1" s="1"/>
  <c r="B79" i="1"/>
  <c r="B80" i="1"/>
  <c r="F75" i="1"/>
  <c r="E75" i="1"/>
  <c r="S58" i="1"/>
  <c r="T58" i="1"/>
  <c r="AB7" i="1" l="1"/>
  <c r="CA170" i="1"/>
  <c r="CC170" i="1" s="1"/>
  <c r="CD170" i="1" s="1"/>
  <c r="O165" i="1"/>
  <c r="B180" i="1" s="1"/>
  <c r="B202" i="1" s="1"/>
  <c r="N165" i="1"/>
  <c r="B179" i="1" s="1"/>
  <c r="B201" i="1" s="1"/>
  <c r="CG170" i="1"/>
  <c r="CI170" i="1" s="1"/>
  <c r="B83" i="1"/>
  <c r="CH170" i="1" l="1"/>
  <c r="CJ170" i="1" s="1"/>
  <c r="CK170" i="1" s="1"/>
  <c r="B205" i="1"/>
  <c r="U6" i="1" s="1"/>
  <c r="B204" i="1"/>
  <c r="U5" i="1" s="1"/>
  <c r="U8" i="1" l="1"/>
  <c r="AA7" i="1" s="1"/>
  <c r="U7" i="1"/>
  <c r="W7" i="1" s="1"/>
  <c r="AA9" i="1"/>
  <c r="CE9" i="1"/>
  <c r="CF9" i="1"/>
  <c r="CM9" i="1" s="1"/>
  <c r="AB9" i="1"/>
  <c r="W6" i="1"/>
  <c r="U18" i="1"/>
  <c r="U19" i="1" s="1"/>
  <c r="U21" i="1" s="1"/>
  <c r="X8" i="1" l="1"/>
  <c r="X7" i="1"/>
  <c r="V19" i="1"/>
  <c r="V21" i="1" s="1"/>
  <c r="CL9" i="1"/>
  <c r="CG9" i="1"/>
  <c r="CH9" i="1" s="1"/>
  <c r="W19" i="1"/>
  <c r="W21" i="1" s="1"/>
  <c r="AC9" i="1"/>
  <c r="CI9" i="1" l="1"/>
  <c r="CJ9" i="1" s="1"/>
  <c r="CK9" i="1" s="1"/>
  <c r="CN9" i="1"/>
  <c r="CP9" i="1" s="1"/>
  <c r="U23" i="1"/>
  <c r="V23" i="1" s="1"/>
  <c r="CO9" i="1" l="1"/>
  <c r="CQ9" i="1" s="1"/>
  <c r="CR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<sst xmlns="http://schemas.openxmlformats.org/spreadsheetml/2006/main" count="369" uniqueCount="203">
  <si>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</si>
  <si>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</si>
  <si>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</si>
  <si>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</si>
  <si>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</si>
  <si>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</si>
  <si>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</si>
  <si>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</si>
  <si>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</si>
  <si>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</si>
  <si>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</si>
  <si>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</si>
  <si>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</si>
  <si>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</si>
  <si>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</si>
  <si>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</si>
  <si>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</si>
  <si>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</si>
  <si>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</si>
  <si>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</si>
  <si>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</si>
  <si>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</si>
  <si>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</si>
  <si>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</si>
  <si>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</si>
  <si>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</si>
  <si>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</si>
  <si>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</si>
  <si>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</si>
  <si>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</si>
  <si>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</si>
  <si>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</si>
  <si>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</si>
  <si>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</si>
  <si>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</si>
  <si>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</si>
  <si>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</si>
  <si>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</si>
  <si>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</si>
  <si>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</si>
  <si>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</si>
  <si>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</si>
  <si>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</si>
  <si>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</si>
  <si>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</si>
  <si>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</si>
  <si>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</si>
  <si>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</si>
  <si>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</si>
  <si>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</si>
  <si>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</si>
  <si>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</si>
  <si>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</si>
  <si>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</si>
  <si>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</si>
  <si>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</si>
  <si>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</si>
  <si>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</si>
  <si>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</si>
  <si>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</si>
  <si>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</si>
  <si>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</si>
  <si>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</si>
  <si>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</si>
  <si>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</si>
  <si>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</si>
  <si>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</si>
  <si>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</si>
  <si>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</si>
  <si>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</si>
  <si>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</si>
  <si>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</si>
  <si>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</si>
  <si>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</si>
  <si>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</si>
  <si>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</si>
  <si>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</si>
  <si>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</si>
  <si>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</si>
  <si>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</si>
  <si>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</si>
  <si>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</si>
  <si>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</si>
  <si>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</si>
  <si>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</si>
  <si>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</si>
  <si>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</si>
  <si>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</si>
  <si>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</si>
  <si>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</si>
  <si>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</si>
  <si>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</si>
  <si>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</si>
  <si>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</si>
  <si>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</si>
  <si>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</si>
  <si>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</si>
  <si>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</si>
  <si>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</si>
  <si>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</si>
  <si>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</si>
  <si>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</si>
  <si>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</si>
  <si>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</si>
  <si>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</si>
  <si>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</si>
  <si>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</si>
  <si>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</si>
  <si>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</si>
  <si>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</si>
  <si>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</si>
  <si>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</si>
  <si>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</si>
  <si>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</si>
  <si>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</si>
  <si>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</si>
  <si>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</si>
  <si>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</si>
  <si>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</si>
  <si>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</si>
  <si>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</si>
  <si>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</si>
  <si>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</si>
  <si>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</si>
  <si>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</si>
  <si>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</si>
  <si>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</si>
  <si>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</si>
  <si>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</si>
  <si>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</si>
  <si>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</si>
  <si>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</si>
  <si>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</si>
  <si>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</si>
  <si>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</si>
  <si>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</si>
  <si>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</si>
  <si>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</si>
  <si>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</si>
  <si>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ak1</t>
  </si>
  <si>
    <t>adelt</t>
  </si>
  <si>
    <t>amk</t>
  </si>
  <si>
    <t>amk1</t>
  </si>
  <si>
    <t>Newton-Raphson Steps</t>
  </si>
  <si>
    <t>Newton_Raphson Relax Factor:</t>
  </si>
  <si>
    <t>Abs(Alpha - Tan-1)</t>
  </si>
  <si>
    <t>Tan-1 - User Tan-1</t>
  </si>
  <si>
    <t>abs(Tan-1 - User Tan-1)</t>
  </si>
  <si>
    <t>Try Working with a guess center point of Mx vs My instead of 0,0</t>
  </si>
  <si>
    <t>Guess Point - determined via parametric line between full compression and tension</t>
  </si>
  <si>
    <t>2D Vector Between User Load and New Center Point - moving from load to point</t>
  </si>
  <si>
    <t>UG</t>
  </si>
  <si>
    <t>|UG|</t>
  </si>
  <si>
    <t>unit V</t>
  </si>
  <si>
    <t>2D Vectors from Guess to Mx v My Plot</t>
  </si>
  <si>
    <t>|v|</t>
  </si>
  <si>
    <t>Ux</t>
  </si>
  <si>
    <t>Uy</t>
  </si>
  <si>
    <t>Tan-1 Ux/Uy</t>
  </si>
  <si>
    <t>delta</t>
  </si>
  <si>
    <t>M0</t>
  </si>
  <si>
    <t>Mrd</t>
  </si>
  <si>
    <t>Screen Update:</t>
  </si>
  <si>
    <t># of Points:</t>
  </si>
  <si>
    <t>Concrete Force  and Moment by Line Integrals - PCA Parabolic Stress Block</t>
  </si>
  <si>
    <t>PCA Parabolic Strain-Strain Curve Formulas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</si>
  <si>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</si>
  <si>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</si>
  <si>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</si>
  <si>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</si>
  <si>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</si>
  <si>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</si>
  <si>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</si>
  <si>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</si>
  <si>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</si>
  <si>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</si>
  <si>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</si>
  <si>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</si>
  <si>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</si>
  <si>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</si>
  <si>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</si>
  <si>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</si>
  <si>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</si>
  <si>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</si>
  <si>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</si>
  <si>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</si>
  <si>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</si>
  <si>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</si>
  <si>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Parabolic Region</t>
  </si>
  <si>
    <t>xi'</t>
  </si>
  <si>
    <t>yi'</t>
  </si>
  <si>
    <t>xj'</t>
  </si>
  <si>
    <t>yj'</t>
  </si>
  <si>
    <t>Constant Stress Region</t>
  </si>
  <si>
    <t>tj</t>
  </si>
  <si>
    <t>ti</t>
  </si>
  <si>
    <t>Mx sub calcs:</t>
  </si>
  <si>
    <t>My sub calcs:</t>
  </si>
  <si>
    <t>Cc</t>
  </si>
  <si>
    <t>Conc Stress</t>
  </si>
  <si>
    <t>Ts</t>
  </si>
  <si>
    <t>Stress Block:</t>
  </si>
  <si>
    <t>PCA_Parabolic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</si>
</sst>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7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164" fontId="0" fillId="0" borderId="1" xfId="0" applyNumberFormat="1" applyBorder="1"/>
    <xf numFmtId="0" fontId="6" fillId="0" borderId="0" xfId="0" applyFont="1" applyBorder="1"/>
    <xf numFmtId="0" fontId="0" fillId="0" borderId="0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-24</c:v>
                </c:pt>
                <c:pt idx="6">
                  <c:v>-24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6</c:v>
                </c:pt>
                <c:pt idx="1">
                  <c:v>6</c:v>
                </c:pt>
                <c:pt idx="2">
                  <c:v>-12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2</c:v>
                </c:pt>
                <c:pt idx="1">
                  <c:v>22</c:v>
                </c:pt>
                <c:pt idx="2">
                  <c:v>22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-34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-25.042303541716556</c:v>
                </c:pt>
                <c:pt idx="1">
                  <c:v>13.929174556859799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23.048504695097343</c:v>
                </c:pt>
                <c:pt idx="1">
                  <c:v>21.354505954601308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23.55986598068197</c:v>
                </c:pt>
                <c:pt idx="1">
                  <c:v>21.865867240185931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-2.2944700180274413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23.28601860010081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-5.4732199355286753</c:v>
                </c:pt>
                <c:pt idx="1">
                  <c:v>6.515459482231325</c:v>
                </c:pt>
                <c:pt idx="2">
                  <c:v>5.8206331177628918</c:v>
                </c:pt>
                <c:pt idx="3">
                  <c:v>5.8206331177628918</c:v>
                </c:pt>
                <c:pt idx="4">
                  <c:v>5.4732199355286753</c:v>
                </c:pt>
                <c:pt idx="5">
                  <c:v>-30.492818317751322</c:v>
                </c:pt>
                <c:pt idx="6">
                  <c:v>-30.145405135517105</c:v>
                </c:pt>
                <c:pt idx="7">
                  <c:v>-6.1680462999971084</c:v>
                </c:pt>
                <c:pt idx="8">
                  <c:v>-5.4732199355286753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-12.249239304435662</c:v>
                </c:pt>
                <c:pt idx="1">
                  <c:v>-11.728119531084339</c:v>
                </c:pt>
                <c:pt idx="2">
                  <c:v>4.2567863592623292</c:v>
                </c:pt>
                <c:pt idx="3">
                  <c:v>4.2567863592623292</c:v>
                </c:pt>
                <c:pt idx="4">
                  <c:v>12.249239304435662</c:v>
                </c:pt>
                <c:pt idx="5">
                  <c:v>10.685879984381689</c:v>
                </c:pt>
                <c:pt idx="6">
                  <c:v>2.693427039208355</c:v>
                </c:pt>
                <c:pt idx="7">
                  <c:v>3.7356665859110043</c:v>
                </c:pt>
                <c:pt idx="8">
                  <c:v>-12.249239304435662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0.43426647779277061</c:v>
                </c:pt>
                <c:pt idx="1">
                  <c:v>-0.43426647779277061</c:v>
                </c:pt>
                <c:pt idx="2">
                  <c:v>-18.417285604432774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-9.9905661814666669</c:v>
                </c:pt>
                <c:pt idx="1">
                  <c:v>9.9905661814666669</c:v>
                </c:pt>
                <c:pt idx="2">
                  <c:v>9.2088865214396805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-31.492818317751322</c:v>
                </c:pt>
                <c:pt idx="1">
                  <c:v>7.515459482231325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9.6900185540979926</c:v>
                </c:pt>
                <c:pt idx="1">
                  <c:v>9.6900185540979926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-31.492818317751322</c:v>
                </c:pt>
                <c:pt idx="1">
                  <c:v>7.515459482231325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10.201862704165526</c:v>
                </c:pt>
                <c:pt idx="1">
                  <c:v>10.201862704165526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5.5622145939659537</c:v>
                </c:pt>
                <c:pt idx="4">
                  <c:v>5.4732199355286753</c:v>
                </c:pt>
                <c:pt idx="5">
                  <c:v>-30.492818317751322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10.201862704165526</c:v>
                </c:pt>
                <c:pt idx="4">
                  <c:v>12.249239304435662</c:v>
                </c:pt>
                <c:pt idx="5">
                  <c:v>10.685879984381689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5.4732199355286753</c:v>
                </c:pt>
                <c:pt idx="4">
                  <c:v>-30.492818317751322</c:v>
                </c:pt>
                <c:pt idx="5">
                  <c:v>-30.471779221903052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12.249239304435662</c:v>
                </c:pt>
                <c:pt idx="4">
                  <c:v>10.685879984381689</c:v>
                </c:pt>
                <c:pt idx="5">
                  <c:v>10.201862704165526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99249114108941E-2"/>
          <c:y val="9.5394347156804546E-2"/>
          <c:w val="0.84232733481796163"/>
          <c:h val="0.75111090356007637"/>
        </c:manualLayout>
      </c:layout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109.65856099730654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214.37296280143244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99.999999999948571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109.65856099730654</c:v>
                </c:pt>
                <c:pt idx="1">
                  <c:v>214.37296280143244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100</c:v>
                </c:pt>
                <c:pt idx="1">
                  <c:v>99.999999999948571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L_Section_Capacity!$BD$2:$BD$362</c:f>
              <c:numCache>
                <c:formatCode>General</c:formatCode>
                <c:ptCount val="361"/>
                <c:pt idx="0">
                  <c:v>198.94534872263469</c:v>
                </c:pt>
                <c:pt idx="1">
                  <c:v>198.52653350180574</c:v>
                </c:pt>
                <c:pt idx="2">
                  <c:v>197.76127285231973</c:v>
                </c:pt>
                <c:pt idx="3">
                  <c:v>196.64303889645146</c:v>
                </c:pt>
                <c:pt idx="4">
                  <c:v>195.1651118936071</c:v>
                </c:pt>
                <c:pt idx="5">
                  <c:v>193.65877418097222</c:v>
                </c:pt>
                <c:pt idx="6">
                  <c:v>192.36816046005029</c:v>
                </c:pt>
                <c:pt idx="7">
                  <c:v>191.19861097580318</c:v>
                </c:pt>
                <c:pt idx="8">
                  <c:v>190.09990869099934</c:v>
                </c:pt>
                <c:pt idx="9">
                  <c:v>189.0429933610713</c:v>
                </c:pt>
                <c:pt idx="10">
                  <c:v>188.00990735441158</c:v>
                </c:pt>
                <c:pt idx="11">
                  <c:v>186.98895333585415</c:v>
                </c:pt>
                <c:pt idx="12">
                  <c:v>185.97216148050245</c:v>
                </c:pt>
                <c:pt idx="13">
                  <c:v>184.95387681534649</c:v>
                </c:pt>
                <c:pt idx="14">
                  <c:v>183.92992958696368</c:v>
                </c:pt>
                <c:pt idx="15">
                  <c:v>182.8971268329359</c:v>
                </c:pt>
                <c:pt idx="16">
                  <c:v>181.85292937883793</c:v>
                </c:pt>
                <c:pt idx="17">
                  <c:v>180.79524012303958</c:v>
                </c:pt>
                <c:pt idx="18">
                  <c:v>179.72226136332637</c:v>
                </c:pt>
                <c:pt idx="19">
                  <c:v>178.63239614012983</c:v>
                </c:pt>
                <c:pt idx="20">
                  <c:v>177.52417833184631</c:v>
                </c:pt>
                <c:pt idx="21">
                  <c:v>176.47976189225201</c:v>
                </c:pt>
                <c:pt idx="22">
                  <c:v>175.50118828972677</c:v>
                </c:pt>
                <c:pt idx="23">
                  <c:v>174.52256396342113</c:v>
                </c:pt>
                <c:pt idx="24">
                  <c:v>173.54231969025628</c:v>
                </c:pt>
                <c:pt idx="25">
                  <c:v>172.55896820406781</c:v>
                </c:pt>
                <c:pt idx="26">
                  <c:v>171.57108299142084</c:v>
                </c:pt>
                <c:pt idx="27">
                  <c:v>170.57728043815467</c:v>
                </c:pt>
                <c:pt idx="28">
                  <c:v>169.57620448609146</c:v>
                </c:pt>
                <c:pt idx="29">
                  <c:v>168.56651317138687</c:v>
                </c:pt>
                <c:pt idx="30">
                  <c:v>167.54686653596559</c:v>
                </c:pt>
                <c:pt idx="31">
                  <c:v>166.5204633229867</c:v>
                </c:pt>
                <c:pt idx="32">
                  <c:v>165.53512397495086</c:v>
                </c:pt>
                <c:pt idx="33">
                  <c:v>164.60013232404611</c:v>
                </c:pt>
                <c:pt idx="34">
                  <c:v>163.71110031553224</c:v>
                </c:pt>
                <c:pt idx="35">
                  <c:v>162.86413068746907</c:v>
                </c:pt>
                <c:pt idx="36">
                  <c:v>162.05574942476056</c:v>
                </c:pt>
                <c:pt idx="37">
                  <c:v>161.28284910181577</c:v>
                </c:pt>
                <c:pt idx="38">
                  <c:v>160.54264110464447</c:v>
                </c:pt>
                <c:pt idx="39">
                  <c:v>159.83261515748387</c:v>
                </c:pt>
                <c:pt idx="40">
                  <c:v>159.15050486913987</c:v>
                </c:pt>
                <c:pt idx="41">
                  <c:v>158.49425828143711</c:v>
                </c:pt>
                <c:pt idx="42">
                  <c:v>157.86201259062523</c:v>
                </c:pt>
                <c:pt idx="43">
                  <c:v>157.25207236049002</c:v>
                </c:pt>
                <c:pt idx="44">
                  <c:v>156.66289067994347</c:v>
                </c:pt>
                <c:pt idx="45">
                  <c:v>156.09305280098454</c:v>
                </c:pt>
                <c:pt idx="46">
                  <c:v>155.54126189981889</c:v>
                </c:pt>
                <c:pt idx="47">
                  <c:v>155.00632661649081</c:v>
                </c:pt>
                <c:pt idx="48">
                  <c:v>154.48715015075038</c:v>
                </c:pt>
                <c:pt idx="49">
                  <c:v>153.98272066153976</c:v>
                </c:pt>
                <c:pt idx="50">
                  <c:v>153.49210280820427</c:v>
                </c:pt>
                <c:pt idx="51">
                  <c:v>153.01443026888865</c:v>
                </c:pt>
                <c:pt idx="52">
                  <c:v>152.5488991136969</c:v>
                </c:pt>
                <c:pt idx="53">
                  <c:v>152.09476190460884</c:v>
                </c:pt>
                <c:pt idx="54">
                  <c:v>151.65132244980342</c:v>
                </c:pt>
                <c:pt idx="55">
                  <c:v>151.21793110583769</c:v>
                </c:pt>
                <c:pt idx="56">
                  <c:v>150.79398058089993</c:v>
                </c:pt>
                <c:pt idx="57">
                  <c:v>150.3789021693832</c:v>
                </c:pt>
                <c:pt idx="58">
                  <c:v>149.972162352645</c:v>
                </c:pt>
                <c:pt idx="59">
                  <c:v>149.57325975208585</c:v>
                </c:pt>
                <c:pt idx="60">
                  <c:v>149.18172235877219</c:v>
                </c:pt>
                <c:pt idx="61">
                  <c:v>148.79710504477268</c:v>
                </c:pt>
                <c:pt idx="62">
                  <c:v>148.41898728393568</c:v>
                </c:pt>
                <c:pt idx="63">
                  <c:v>148.04697109553879</c:v>
                </c:pt>
                <c:pt idx="64">
                  <c:v>147.68067916263303</c:v>
                </c:pt>
                <c:pt idx="65">
                  <c:v>147.31975311614696</c:v>
                </c:pt>
                <c:pt idx="66">
                  <c:v>146.96385196335558</c:v>
                </c:pt>
                <c:pt idx="67">
                  <c:v>146.61265064218895</c:v>
                </c:pt>
                <c:pt idx="68">
                  <c:v>146.26583869999209</c:v>
                </c:pt>
                <c:pt idx="69">
                  <c:v>145.92311907415154</c:v>
                </c:pt>
                <c:pt idx="70">
                  <c:v>145.58420695143838</c:v>
                </c:pt>
                <c:pt idx="71">
                  <c:v>145.24882873530376</c:v>
                </c:pt>
                <c:pt idx="72">
                  <c:v>144.91672106397675</c:v>
                </c:pt>
                <c:pt idx="73">
                  <c:v>144.58762990934372</c:v>
                </c:pt>
                <c:pt idx="74">
                  <c:v>144.26130973187327</c:v>
                </c:pt>
                <c:pt idx="75">
                  <c:v>143.93752268363767</c:v>
                </c:pt>
                <c:pt idx="76">
                  <c:v>143.6160378670578</c:v>
                </c:pt>
                <c:pt idx="77">
                  <c:v>143.29663063141831</c:v>
                </c:pt>
                <c:pt idx="78">
                  <c:v>142.97908189908134</c:v>
                </c:pt>
                <c:pt idx="79">
                  <c:v>142.6631775454718</c:v>
                </c:pt>
                <c:pt idx="80">
                  <c:v>142.34870778002022</c:v>
                </c:pt>
                <c:pt idx="81">
                  <c:v>142.0354665757024</c:v>
                </c:pt>
                <c:pt idx="82">
                  <c:v>141.7232511088761</c:v>
                </c:pt>
                <c:pt idx="83">
                  <c:v>141.41186121423996</c:v>
                </c:pt>
                <c:pt idx="84">
                  <c:v>141.10109886819163</c:v>
                </c:pt>
                <c:pt idx="85">
                  <c:v>140.79076766624226</c:v>
                </c:pt>
                <c:pt idx="86">
                  <c:v>140.48067232492298</c:v>
                </c:pt>
                <c:pt idx="87">
                  <c:v>140.17061818136426</c:v>
                </c:pt>
                <c:pt idx="88">
                  <c:v>139.86041069718971</c:v>
                </c:pt>
                <c:pt idx="89">
                  <c:v>139.54985497059977</c:v>
                </c:pt>
                <c:pt idx="90">
                  <c:v>139.2387552350618</c:v>
                </c:pt>
                <c:pt idx="91">
                  <c:v>139.00578390181656</c:v>
                </c:pt>
                <c:pt idx="92">
                  <c:v>138.77261606996112</c:v>
                </c:pt>
                <c:pt idx="93">
                  <c:v>138.53911019790553</c:v>
                </c:pt>
                <c:pt idx="94">
                  <c:v>138.30512389647441</c:v>
                </c:pt>
                <c:pt idx="95">
                  <c:v>138.0705135890766</c:v>
                </c:pt>
                <c:pt idx="96">
                  <c:v>137.83513415815827</c:v>
                </c:pt>
                <c:pt idx="97">
                  <c:v>137.59883857759297</c:v>
                </c:pt>
                <c:pt idx="98">
                  <c:v>137.36147754498325</c:v>
                </c:pt>
                <c:pt idx="99">
                  <c:v>137.12289909924118</c:v>
                </c:pt>
                <c:pt idx="100">
                  <c:v>136.88294821658522</c:v>
                </c:pt>
                <c:pt idx="101">
                  <c:v>136.64146640343449</c:v>
                </c:pt>
                <c:pt idx="102">
                  <c:v>136.39829125928387</c:v>
                </c:pt>
                <c:pt idx="103">
                  <c:v>136.15325601781797</c:v>
                </c:pt>
                <c:pt idx="104">
                  <c:v>135.90618907428245</c:v>
                </c:pt>
                <c:pt idx="105">
                  <c:v>135.65691347397313</c:v>
                </c:pt>
                <c:pt idx="106">
                  <c:v>135.40524637908692</c:v>
                </c:pt>
                <c:pt idx="107">
                  <c:v>135.15099849269544</c:v>
                </c:pt>
                <c:pt idx="108">
                  <c:v>134.89397344809308</c:v>
                </c:pt>
                <c:pt idx="109">
                  <c:v>134.63396715949617</c:v>
                </c:pt>
                <c:pt idx="110">
                  <c:v>134.37076712262848</c:v>
                </c:pt>
                <c:pt idx="111">
                  <c:v>134.1041516561981</c:v>
                </c:pt>
                <c:pt idx="112">
                  <c:v>133.83388909526082</c:v>
                </c:pt>
                <c:pt idx="113">
                  <c:v>133.55973690905265</c:v>
                </c:pt>
                <c:pt idx="114">
                  <c:v>133.2814407555951</c:v>
                </c:pt>
                <c:pt idx="115">
                  <c:v>132.99873344638539</c:v>
                </c:pt>
                <c:pt idx="116">
                  <c:v>132.71133382982319</c:v>
                </c:pt>
                <c:pt idx="117">
                  <c:v>132.41894556099032</c:v>
                </c:pt>
                <c:pt idx="118">
                  <c:v>132.12125577140358</c:v>
                </c:pt>
                <c:pt idx="119">
                  <c:v>131.81793361165643</c:v>
                </c:pt>
                <c:pt idx="120">
                  <c:v>131.50862864163665</c:v>
                </c:pt>
                <c:pt idx="121">
                  <c:v>131.19296907470999</c:v>
                </c:pt>
                <c:pt idx="122">
                  <c:v>129.50590963090741</c:v>
                </c:pt>
                <c:pt idx="123">
                  <c:v>125.06885404142761</c:v>
                </c:pt>
                <c:pt idx="124">
                  <c:v>120.54313159322342</c:v>
                </c:pt>
                <c:pt idx="125">
                  <c:v>115.93281940444984</c:v>
                </c:pt>
                <c:pt idx="126">
                  <c:v>111.23288574250263</c:v>
                </c:pt>
                <c:pt idx="127">
                  <c:v>106.43801414347834</c:v>
                </c:pt>
                <c:pt idx="128">
                  <c:v>101.54258014504472</c:v>
                </c:pt>
                <c:pt idx="129">
                  <c:v>96.540626011048232</c:v>
                </c:pt>
                <c:pt idx="130">
                  <c:v>91.425833244193882</c:v>
                </c:pt>
                <c:pt idx="131">
                  <c:v>85.808660936213997</c:v>
                </c:pt>
                <c:pt idx="132">
                  <c:v>78.62529117745612</c:v>
                </c:pt>
                <c:pt idx="133">
                  <c:v>69.979067506237897</c:v>
                </c:pt>
                <c:pt idx="134">
                  <c:v>60.002454686285866</c:v>
                </c:pt>
                <c:pt idx="135">
                  <c:v>48.785580022571459</c:v>
                </c:pt>
                <c:pt idx="136">
                  <c:v>36.385789266071143</c:v>
                </c:pt>
                <c:pt idx="137">
                  <c:v>22.834063737110533</c:v>
                </c:pt>
                <c:pt idx="138">
                  <c:v>8.139296436879965</c:v>
                </c:pt>
                <c:pt idx="139">
                  <c:v>-7.7089529045579299</c:v>
                </c:pt>
                <c:pt idx="140">
                  <c:v>-24.73883705959955</c:v>
                </c:pt>
                <c:pt idx="141">
                  <c:v>-42.995498330187111</c:v>
                </c:pt>
                <c:pt idx="142">
                  <c:v>-62.348828941282875</c:v>
                </c:pt>
                <c:pt idx="143">
                  <c:v>-82.455899505531789</c:v>
                </c:pt>
                <c:pt idx="144">
                  <c:v>-102.75466581901884</c:v>
                </c:pt>
                <c:pt idx="145">
                  <c:v>-119.60231953417409</c:v>
                </c:pt>
                <c:pt idx="146">
                  <c:v>-136.35232425912901</c:v>
                </c:pt>
                <c:pt idx="147">
                  <c:v>-150.40174280769457</c:v>
                </c:pt>
                <c:pt idx="148">
                  <c:v>-166.51198222716306</c:v>
                </c:pt>
                <c:pt idx="149">
                  <c:v>-181.9973302355624</c:v>
                </c:pt>
                <c:pt idx="150">
                  <c:v>-196.81227297614976</c:v>
                </c:pt>
                <c:pt idx="151">
                  <c:v>-210.88522024304905</c:v>
                </c:pt>
                <c:pt idx="152">
                  <c:v>-224.09342752582171</c:v>
                </c:pt>
                <c:pt idx="153">
                  <c:v>-236.01894385042868</c:v>
                </c:pt>
                <c:pt idx="154">
                  <c:v>-246.48463884819353</c:v>
                </c:pt>
                <c:pt idx="155">
                  <c:v>-255.38003889197901</c:v>
                </c:pt>
                <c:pt idx="156">
                  <c:v>-262.51712936310042</c:v>
                </c:pt>
                <c:pt idx="157">
                  <c:v>-267.57968253538775</c:v>
                </c:pt>
                <c:pt idx="158">
                  <c:v>-270.01927884823704</c:v>
                </c:pt>
                <c:pt idx="159">
                  <c:v>-270.46285629257181</c:v>
                </c:pt>
                <c:pt idx="160">
                  <c:v>-270.86008911341634</c:v>
                </c:pt>
                <c:pt idx="161">
                  <c:v>-271.23625234411492</c:v>
                </c:pt>
                <c:pt idx="162">
                  <c:v>-271.59234297383836</c:v>
                </c:pt>
                <c:pt idx="163">
                  <c:v>-271.92928669709875</c:v>
                </c:pt>
                <c:pt idx="164">
                  <c:v>-272.24794379311624</c:v>
                </c:pt>
                <c:pt idx="165">
                  <c:v>-272.54911453385341</c:v>
                </c:pt>
                <c:pt idx="166">
                  <c:v>-272.83354415193526</c:v>
                </c:pt>
                <c:pt idx="167">
                  <c:v>-273.10192745699629</c:v>
                </c:pt>
                <c:pt idx="168">
                  <c:v>-273.35491313313048</c:v>
                </c:pt>
                <c:pt idx="169">
                  <c:v>-273.59310778310709</c:v>
                </c:pt>
                <c:pt idx="170">
                  <c:v>-273.81707976587643</c:v>
                </c:pt>
                <c:pt idx="171">
                  <c:v>-274.02736287341361</c:v>
                </c:pt>
                <c:pt idx="172">
                  <c:v>-274.22445991739596</c:v>
                </c:pt>
                <c:pt idx="173">
                  <c:v>-274.40884625943625</c:v>
                </c:pt>
                <c:pt idx="174">
                  <c:v>-274.58097336097904</c:v>
                </c:pt>
                <c:pt idx="175">
                  <c:v>-274.74127242572678</c:v>
                </c:pt>
                <c:pt idx="176">
                  <c:v>-274.89015820608859</c:v>
                </c:pt>
                <c:pt idx="177">
                  <c:v>-275.02803307169501</c:v>
                </c:pt>
                <c:pt idx="178">
                  <c:v>-275.15529147495891</c:v>
                </c:pt>
                <c:pt idx="179">
                  <c:v>-275.27232493579692</c:v>
                </c:pt>
                <c:pt idx="180">
                  <c:v>-275.37952776860283</c:v>
                </c:pt>
                <c:pt idx="181">
                  <c:v>-275.27232493584404</c:v>
                </c:pt>
                <c:pt idx="182">
                  <c:v>-275.155291474325</c:v>
                </c:pt>
                <c:pt idx="183">
                  <c:v>-275.02803307280203</c:v>
                </c:pt>
                <c:pt idx="184">
                  <c:v>-274.8901582055351</c:v>
                </c:pt>
                <c:pt idx="185">
                  <c:v>-274.74127242580164</c:v>
                </c:pt>
                <c:pt idx="186">
                  <c:v>-274.58097336064071</c:v>
                </c:pt>
                <c:pt idx="187">
                  <c:v>-274.4088462596302</c:v>
                </c:pt>
                <c:pt idx="188">
                  <c:v>-274.22445991742131</c:v>
                </c:pt>
                <c:pt idx="189">
                  <c:v>-274.02736287430844</c:v>
                </c:pt>
                <c:pt idx="190">
                  <c:v>-273.81707976612699</c:v>
                </c:pt>
                <c:pt idx="191">
                  <c:v>-273.59310778364164</c:v>
                </c:pt>
                <c:pt idx="192">
                  <c:v>-273.35491313307796</c:v>
                </c:pt>
                <c:pt idx="193">
                  <c:v>-273.10192745615296</c:v>
                </c:pt>
                <c:pt idx="194">
                  <c:v>-272.8335441516266</c:v>
                </c:pt>
                <c:pt idx="195">
                  <c:v>-272.54911453325695</c:v>
                </c:pt>
                <c:pt idx="196">
                  <c:v>-272.24794379366324</c:v>
                </c:pt>
                <c:pt idx="197">
                  <c:v>-271.92928669636422</c:v>
                </c:pt>
                <c:pt idx="198">
                  <c:v>-271.59234297412434</c:v>
                </c:pt>
                <c:pt idx="199">
                  <c:v>-271.23625234426208</c:v>
                </c:pt>
                <c:pt idx="200">
                  <c:v>-270.86008911366099</c:v>
                </c:pt>
                <c:pt idx="201">
                  <c:v>-270.46285629256624</c:v>
                </c:pt>
                <c:pt idx="202">
                  <c:v>-270.04347915159821</c:v>
                </c:pt>
                <c:pt idx="203">
                  <c:v>-269.60079814559845</c:v>
                </c:pt>
                <c:pt idx="204">
                  <c:v>-269.133561128579</c:v>
                </c:pt>
                <c:pt idx="205">
                  <c:v>-268.64041473663838</c:v>
                </c:pt>
                <c:pt idx="206">
                  <c:v>-268.1198948719408</c:v>
                </c:pt>
                <c:pt idx="207">
                  <c:v>-267.57041612132412</c:v>
                </c:pt>
                <c:pt idx="208">
                  <c:v>-266.99025999997446</c:v>
                </c:pt>
                <c:pt idx="209">
                  <c:v>-266.37756185372024</c:v>
                </c:pt>
                <c:pt idx="210">
                  <c:v>-265.73029621794683</c:v>
                </c:pt>
                <c:pt idx="211">
                  <c:v>-265.04626045225734</c:v>
                </c:pt>
                <c:pt idx="212">
                  <c:v>-264.32305638001253</c:v>
                </c:pt>
                <c:pt idx="213">
                  <c:v>-263.558069655076</c:v>
                </c:pt>
                <c:pt idx="214">
                  <c:v>-262.74873914232847</c:v>
                </c:pt>
                <c:pt idx="215">
                  <c:v>-261.91574061555957</c:v>
                </c:pt>
                <c:pt idx="216">
                  <c:v>-261.07239599156708</c:v>
                </c:pt>
                <c:pt idx="217">
                  <c:v>-260.21751429604251</c:v>
                </c:pt>
                <c:pt idx="218">
                  <c:v>-259.34986265497906</c:v>
                </c:pt>
                <c:pt idx="219">
                  <c:v>-258.46815790040728</c:v>
                </c:pt>
                <c:pt idx="220">
                  <c:v>-257.57105775484723</c:v>
                </c:pt>
                <c:pt idx="221">
                  <c:v>-256.65715144481862</c:v>
                </c:pt>
                <c:pt idx="222">
                  <c:v>-255.72494960025372</c:v>
                </c:pt>
                <c:pt idx="223">
                  <c:v>-254.77287327588797</c:v>
                </c:pt>
                <c:pt idx="224">
                  <c:v>-253.79924190031477</c:v>
                </c:pt>
                <c:pt idx="225">
                  <c:v>-252.8022599632192</c:v>
                </c:pt>
                <c:pt idx="226">
                  <c:v>-251.78000219652716</c:v>
                </c:pt>
                <c:pt idx="227">
                  <c:v>-250.73039697898767</c:v>
                </c:pt>
                <c:pt idx="228">
                  <c:v>-249.65120763938776</c:v>
                </c:pt>
                <c:pt idx="229">
                  <c:v>-248.54001129932624</c:v>
                </c:pt>
                <c:pt idx="230">
                  <c:v>-247.39417479528572</c:v>
                </c:pt>
                <c:pt idx="231">
                  <c:v>-246.21082715674004</c:v>
                </c:pt>
                <c:pt idx="232">
                  <c:v>-244.98682800047368</c:v>
                </c:pt>
                <c:pt idx="233">
                  <c:v>-243.71873107148124</c:v>
                </c:pt>
                <c:pt idx="234">
                  <c:v>-242.40274200050604</c:v>
                </c:pt>
                <c:pt idx="235">
                  <c:v>-241.03466912051863</c:v>
                </c:pt>
                <c:pt idx="236">
                  <c:v>-239.60986594908729</c:v>
                </c:pt>
                <c:pt idx="237">
                  <c:v>-238.12316360221621</c:v>
                </c:pt>
                <c:pt idx="238">
                  <c:v>-236.56879095473442</c:v>
                </c:pt>
                <c:pt idx="239">
                  <c:v>-234.94027987120856</c:v>
                </c:pt>
                <c:pt idx="240">
                  <c:v>-233.23035206090313</c:v>
                </c:pt>
                <c:pt idx="241">
                  <c:v>-231.4307832390715</c:v>
                </c:pt>
                <c:pt idx="242">
                  <c:v>-229.53223904047331</c:v>
                </c:pt>
                <c:pt idx="243">
                  <c:v>-227.52407550466796</c:v>
                </c:pt>
                <c:pt idx="244">
                  <c:v>-225.39409483496934</c:v>
                </c:pt>
                <c:pt idx="245">
                  <c:v>-223.1282441536984</c:v>
                </c:pt>
                <c:pt idx="246">
                  <c:v>-222.34472564073511</c:v>
                </c:pt>
                <c:pt idx="247">
                  <c:v>-219.81234383476817</c:v>
                </c:pt>
                <c:pt idx="248">
                  <c:v>-217.09008641829848</c:v>
                </c:pt>
                <c:pt idx="249">
                  <c:v>-214.15206631148163</c:v>
                </c:pt>
                <c:pt idx="250">
                  <c:v>-210.96744033254532</c:v>
                </c:pt>
                <c:pt idx="251">
                  <c:v>-207.49914491779595</c:v>
                </c:pt>
                <c:pt idx="252">
                  <c:v>-203.70222111268598</c:v>
                </c:pt>
                <c:pt idx="253">
                  <c:v>-199.52156330444478</c:v>
                </c:pt>
                <c:pt idx="254">
                  <c:v>-194.88884493292437</c:v>
                </c:pt>
                <c:pt idx="255">
                  <c:v>-189.71824524581567</c:v>
                </c:pt>
                <c:pt idx="256">
                  <c:v>-183.90039029058107</c:v>
                </c:pt>
                <c:pt idx="257">
                  <c:v>-177.29356688569661</c:v>
                </c:pt>
                <c:pt idx="258">
                  <c:v>-169.71065237185047</c:v>
                </c:pt>
                <c:pt idx="259">
                  <c:v>-160.95474247340658</c:v>
                </c:pt>
                <c:pt idx="260">
                  <c:v>-151.76962798155924</c:v>
                </c:pt>
                <c:pt idx="261">
                  <c:v>-142.46937866668418</c:v>
                </c:pt>
                <c:pt idx="262">
                  <c:v>-133.03691679945746</c:v>
                </c:pt>
                <c:pt idx="263">
                  <c:v>-123.45425676481767</c:v>
                </c:pt>
                <c:pt idx="264">
                  <c:v>-113.70246562546448</c:v>
                </c:pt>
                <c:pt idx="265">
                  <c:v>-103.76164097768238</c:v>
                </c:pt>
                <c:pt idx="266">
                  <c:v>-93.610911470198147</c:v>
                </c:pt>
                <c:pt idx="267">
                  <c:v>-83.228465941433853</c:v>
                </c:pt>
                <c:pt idx="268">
                  <c:v>-72.336388621268256</c:v>
                </c:pt>
                <c:pt idx="269">
                  <c:v>-60.236204297836139</c:v>
                </c:pt>
                <c:pt idx="270">
                  <c:v>-47.520000000021355</c:v>
                </c:pt>
                <c:pt idx="271">
                  <c:v>-34.803795702200148</c:v>
                </c:pt>
                <c:pt idx="272">
                  <c:v>-22.703611378786519</c:v>
                </c:pt>
                <c:pt idx="273">
                  <c:v>-11.81153405862792</c:v>
                </c:pt>
                <c:pt idx="274">
                  <c:v>-1.4290885297389515</c:v>
                </c:pt>
                <c:pt idx="275">
                  <c:v>8.7216409775420125</c:v>
                </c:pt>
                <c:pt idx="276">
                  <c:v>18.662465625323097</c:v>
                </c:pt>
                <c:pt idx="277">
                  <c:v>28.414256764796463</c:v>
                </c:pt>
                <c:pt idx="278">
                  <c:v>37.996916799578415</c:v>
                </c:pt>
                <c:pt idx="279">
                  <c:v>47.429378666463471</c:v>
                </c:pt>
                <c:pt idx="280">
                  <c:v>56.729627981575277</c:v>
                </c:pt>
                <c:pt idx="281">
                  <c:v>65.914742473497853</c:v>
                </c:pt>
                <c:pt idx="282">
                  <c:v>74.670652371728409</c:v>
                </c:pt>
                <c:pt idx="283">
                  <c:v>82.253566885727778</c:v>
                </c:pt>
                <c:pt idx="284">
                  <c:v>88.860390290440378</c:v>
                </c:pt>
                <c:pt idx="285">
                  <c:v>94.678245245773965</c:v>
                </c:pt>
                <c:pt idx="286">
                  <c:v>99.848844932983269</c:v>
                </c:pt>
                <c:pt idx="287">
                  <c:v>104.48156330470215</c:v>
                </c:pt>
                <c:pt idx="288">
                  <c:v>108.66222111278411</c:v>
                </c:pt>
                <c:pt idx="289">
                  <c:v>112.45914491745317</c:v>
                </c:pt>
                <c:pt idx="290">
                  <c:v>115.92744033198269</c:v>
                </c:pt>
                <c:pt idx="291">
                  <c:v>119.11206631165447</c:v>
                </c:pt>
                <c:pt idx="292">
                  <c:v>122.05008641772116</c:v>
                </c:pt>
                <c:pt idx="293">
                  <c:v>124.77234383466691</c:v>
                </c:pt>
                <c:pt idx="294">
                  <c:v>127.30472564063578</c:v>
                </c:pt>
                <c:pt idx="295">
                  <c:v>128.08824415370438</c:v>
                </c:pt>
                <c:pt idx="296">
                  <c:v>130.35409483468149</c:v>
                </c:pt>
                <c:pt idx="297">
                  <c:v>132.48407550513784</c:v>
                </c:pt>
                <c:pt idx="298">
                  <c:v>134.4922390404036</c:v>
                </c:pt>
                <c:pt idx="299">
                  <c:v>136.04047241186223</c:v>
                </c:pt>
                <c:pt idx="300">
                  <c:v>136.54905500304443</c:v>
                </c:pt>
                <c:pt idx="301">
                  <c:v>136.99449325275717</c:v>
                </c:pt>
                <c:pt idx="302">
                  <c:v>137.38430556193933</c:v>
                </c:pt>
                <c:pt idx="303">
                  <c:v>137.72495364889485</c:v>
                </c:pt>
                <c:pt idx="304">
                  <c:v>138.02201519011652</c:v>
                </c:pt>
                <c:pt idx="305">
                  <c:v>138.28032454989989</c:v>
                </c:pt>
                <c:pt idx="306">
                  <c:v>138.50408818760707</c:v>
                </c:pt>
                <c:pt idx="307">
                  <c:v>138.69697984909305</c:v>
                </c:pt>
                <c:pt idx="308">
                  <c:v>138.86221950665703</c:v>
                </c:pt>
                <c:pt idx="309">
                  <c:v>139.00263917225095</c:v>
                </c:pt>
                <c:pt idx="310">
                  <c:v>139.12073803529927</c:v>
                </c:pt>
                <c:pt idx="311">
                  <c:v>139.2187288839383</c:v>
                </c:pt>
                <c:pt idx="312">
                  <c:v>139.3200682995666</c:v>
                </c:pt>
                <c:pt idx="313">
                  <c:v>141.07015295880575</c:v>
                </c:pt>
                <c:pt idx="314">
                  <c:v>142.81835395389027</c:v>
                </c:pt>
                <c:pt idx="315">
                  <c:v>144.56777093414581</c:v>
                </c:pt>
                <c:pt idx="316">
                  <c:v>146.32148753262277</c:v>
                </c:pt>
                <c:pt idx="317">
                  <c:v>148.08259666987598</c:v>
                </c:pt>
                <c:pt idx="318">
                  <c:v>149.85422577542334</c:v>
                </c:pt>
                <c:pt idx="319">
                  <c:v>151.63956239830904</c:v>
                </c:pt>
                <c:pt idx="320">
                  <c:v>153.44188067901342</c:v>
                </c:pt>
                <c:pt idx="321">
                  <c:v>155.26456919172409</c:v>
                </c:pt>
                <c:pt idx="322">
                  <c:v>157.11116068794121</c:v>
                </c:pt>
                <c:pt idx="323">
                  <c:v>158.98536435141233</c:v>
                </c:pt>
                <c:pt idx="324">
                  <c:v>160.89110123990713</c:v>
                </c:pt>
                <c:pt idx="325">
                  <c:v>162.83254370952901</c:v>
                </c:pt>
                <c:pt idx="326">
                  <c:v>164.81415975426367</c:v>
                </c:pt>
                <c:pt idx="327">
                  <c:v>166.84076335977642</c:v>
                </c:pt>
                <c:pt idx="328">
                  <c:v>168.91757223521168</c:v>
                </c:pt>
                <c:pt idx="329">
                  <c:v>170.15710862418985</c:v>
                </c:pt>
                <c:pt idx="330">
                  <c:v>170.96007595172753</c:v>
                </c:pt>
                <c:pt idx="331">
                  <c:v>171.84652265227032</c:v>
                </c:pt>
                <c:pt idx="332">
                  <c:v>172.81144815872455</c:v>
                </c:pt>
                <c:pt idx="333">
                  <c:v>173.75549500569471</c:v>
                </c:pt>
                <c:pt idx="334">
                  <c:v>174.6799517890579</c:v>
                </c:pt>
                <c:pt idx="335">
                  <c:v>175.58606821182426</c:v>
                </c:pt>
                <c:pt idx="336">
                  <c:v>176.4750672085396</c:v>
                </c:pt>
                <c:pt idx="337">
                  <c:v>177.34815840819488</c:v>
                </c:pt>
                <c:pt idx="338">
                  <c:v>178.20655357604596</c:v>
                </c:pt>
                <c:pt idx="339">
                  <c:v>179.0514848660182</c:v>
                </c:pt>
                <c:pt idx="340">
                  <c:v>179.8842270086127</c:v>
                </c:pt>
                <c:pt idx="341">
                  <c:v>180.70612501866452</c:v>
                </c:pt>
                <c:pt idx="342">
                  <c:v>181.51862963136534</c:v>
                </c:pt>
                <c:pt idx="343">
                  <c:v>182.32334368959619</c:v>
                </c:pt>
                <c:pt idx="344">
                  <c:v>183.12208418168791</c:v>
                </c:pt>
                <c:pt idx="345">
                  <c:v>183.91696701067485</c:v>
                </c:pt>
                <c:pt idx="346">
                  <c:v>184.71052536620803</c:v>
                </c:pt>
                <c:pt idx="347">
                  <c:v>185.50587881508665</c:v>
                </c:pt>
                <c:pt idx="348">
                  <c:v>186.30698087383206</c:v>
                </c:pt>
                <c:pt idx="349">
                  <c:v>187.11899152682867</c:v>
                </c:pt>
                <c:pt idx="350">
                  <c:v>187.94885548496154</c:v>
                </c:pt>
                <c:pt idx="351">
                  <c:v>188.80623277902009</c:v>
                </c:pt>
                <c:pt idx="352">
                  <c:v>189.70506201688715</c:v>
                </c:pt>
                <c:pt idx="353">
                  <c:v>190.66632647317309</c:v>
                </c:pt>
                <c:pt idx="354">
                  <c:v>191.72327558811156</c:v>
                </c:pt>
                <c:pt idx="355">
                  <c:v>192.9321346207696</c:v>
                </c:pt>
                <c:pt idx="356">
                  <c:v>194.39665131709842</c:v>
                </c:pt>
                <c:pt idx="357">
                  <c:v>195.88115687504711</c:v>
                </c:pt>
                <c:pt idx="358">
                  <c:v>197.23849605347988</c:v>
                </c:pt>
                <c:pt idx="359">
                  <c:v>198.25993768425815</c:v>
                </c:pt>
                <c:pt idx="360">
                  <c:v>198.94534872248289</c:v>
                </c:pt>
              </c:numCache>
            </c:numRef>
          </c:xVal>
          <c:yVal>
            <c:numRef>
              <c:f>L_Section_Capacity!$BE$2:$BE$362</c:f>
              <c:numCache>
                <c:formatCode>General</c:formatCode>
                <c:ptCount val="361"/>
                <c:pt idx="0">
                  <c:v>164.45558313118602</c:v>
                </c:pt>
                <c:pt idx="1">
                  <c:v>194.54504567631534</c:v>
                </c:pt>
                <c:pt idx="2">
                  <c:v>221.98338963939489</c:v>
                </c:pt>
                <c:pt idx="3">
                  <c:v>247.81808459857513</c:v>
                </c:pt>
                <c:pt idx="4">
                  <c:v>272.63560718143589</c:v>
                </c:pt>
                <c:pt idx="5">
                  <c:v>293.57432764964324</c:v>
                </c:pt>
                <c:pt idx="6">
                  <c:v>309.7368583013191</c:v>
                </c:pt>
                <c:pt idx="7">
                  <c:v>323.12185775633338</c:v>
                </c:pt>
                <c:pt idx="8">
                  <c:v>334.71446322831838</c:v>
                </c:pt>
                <c:pt idx="9">
                  <c:v>345.060862068468</c:v>
                </c:pt>
                <c:pt idx="10">
                  <c:v>354.49159901585205</c:v>
                </c:pt>
                <c:pt idx="11">
                  <c:v>363.22077712980411</c:v>
                </c:pt>
                <c:pt idx="12">
                  <c:v>371.39480955051619</c:v>
                </c:pt>
                <c:pt idx="13">
                  <c:v>379.1183546127711</c:v>
                </c:pt>
                <c:pt idx="14">
                  <c:v>386.46902681033498</c:v>
                </c:pt>
                <c:pt idx="15">
                  <c:v>393.50619639876868</c:v>
                </c:pt>
                <c:pt idx="16">
                  <c:v>400.27649420697469</c:v>
                </c:pt>
                <c:pt idx="17">
                  <c:v>406.81738992116362</c:v>
                </c:pt>
                <c:pt idx="18">
                  <c:v>413.15959668000255</c:v>
                </c:pt>
                <c:pt idx="19">
                  <c:v>419.32873464199611</c:v>
                </c:pt>
                <c:pt idx="20">
                  <c:v>425.34651189110537</c:v>
                </c:pt>
                <c:pt idx="21">
                  <c:v>429.46477264255486</c:v>
                </c:pt>
                <c:pt idx="22">
                  <c:v>431.98828377332489</c:v>
                </c:pt>
                <c:pt idx="23">
                  <c:v>434.39779071656636</c:v>
                </c:pt>
                <c:pt idx="24">
                  <c:v>436.70680762696952</c:v>
                </c:pt>
                <c:pt idx="25">
                  <c:v>438.9269424719439</c:v>
                </c:pt>
                <c:pt idx="26">
                  <c:v>441.06824701484368</c:v>
                </c:pt>
                <c:pt idx="27">
                  <c:v>443.13949256700801</c:v>
                </c:pt>
                <c:pt idx="28">
                  <c:v>445.14838951221054</c:v>
                </c:pt>
                <c:pt idx="29">
                  <c:v>447.10176379288691</c:v>
                </c:pt>
                <c:pt idx="30">
                  <c:v>449.00570006795289</c:v>
                </c:pt>
                <c:pt idx="31">
                  <c:v>450.85774180434407</c:v>
                </c:pt>
                <c:pt idx="32">
                  <c:v>452.57960070399082</c:v>
                </c:pt>
                <c:pt idx="33">
                  <c:v>454.16383451109778</c:v>
                </c:pt>
                <c:pt idx="34">
                  <c:v>455.62581839939918</c:v>
                </c:pt>
                <c:pt idx="35">
                  <c:v>456.97880131699924</c:v>
                </c:pt>
                <c:pt idx="36">
                  <c:v>458.23425222277984</c:v>
                </c:pt>
                <c:pt idx="37">
                  <c:v>459.40214203271501</c:v>
                </c:pt>
                <c:pt idx="38">
                  <c:v>460.49117456878378</c:v>
                </c:pt>
                <c:pt idx="39">
                  <c:v>461.50897684050619</c:v>
                </c:pt>
                <c:pt idx="40">
                  <c:v>462.46225663437241</c:v>
                </c:pt>
                <c:pt idx="41">
                  <c:v>463.35693370534364</c:v>
                </c:pt>
                <c:pt idx="42">
                  <c:v>464.19824952203817</c:v>
                </c:pt>
                <c:pt idx="43">
                  <c:v>464.99085947963681</c:v>
                </c:pt>
                <c:pt idx="44">
                  <c:v>465.73891073254873</c:v>
                </c:pt>
                <c:pt idx="45">
                  <c:v>466.44610814099519</c:v>
                </c:pt>
                <c:pt idx="46">
                  <c:v>467.11577041335619</c:v>
                </c:pt>
                <c:pt idx="47">
                  <c:v>467.75087800805636</c:v>
                </c:pt>
                <c:pt idx="48">
                  <c:v>468.35411423868061</c:v>
                </c:pt>
                <c:pt idx="49">
                  <c:v>468.92790059234858</c:v>
                </c:pt>
                <c:pt idx="50">
                  <c:v>469.47442722251049</c:v>
                </c:pt>
                <c:pt idx="51">
                  <c:v>469.99567933809686</c:v>
                </c:pt>
                <c:pt idx="52">
                  <c:v>470.49346013137483</c:v>
                </c:pt>
                <c:pt idx="53">
                  <c:v>470.96941071758403</c:v>
                </c:pt>
                <c:pt idx="54">
                  <c:v>471.42502757631934</c:v>
                </c:pt>
                <c:pt idx="55">
                  <c:v>471.86167779099134</c:v>
                </c:pt>
                <c:pt idx="56">
                  <c:v>472.28061245011969</c:v>
                </c:pt>
                <c:pt idx="57">
                  <c:v>472.68297844227959</c:v>
                </c:pt>
                <c:pt idx="58">
                  <c:v>473.06982882834473</c:v>
                </c:pt>
                <c:pt idx="59">
                  <c:v>473.44213205557844</c:v>
                </c:pt>
                <c:pt idx="60">
                  <c:v>473.8007800767449</c:v>
                </c:pt>
                <c:pt idx="61">
                  <c:v>474.14659560897553</c:v>
                </c:pt>
                <c:pt idx="62">
                  <c:v>474.48033853871044</c:v>
                </c:pt>
                <c:pt idx="63">
                  <c:v>474.80271167232786</c:v>
                </c:pt>
                <c:pt idx="64">
                  <c:v>475.11436585284696</c:v>
                </c:pt>
                <c:pt idx="65">
                  <c:v>475.41590454462226</c:v>
                </c:pt>
                <c:pt idx="66">
                  <c:v>475.70788794021411</c:v>
                </c:pt>
                <c:pt idx="67">
                  <c:v>475.99083663735092</c:v>
                </c:pt>
                <c:pt idx="68">
                  <c:v>476.26523496546884</c:v>
                </c:pt>
                <c:pt idx="69">
                  <c:v>476.53153397753005</c:v>
                </c:pt>
                <c:pt idx="70">
                  <c:v>476.79015411300321</c:v>
                </c:pt>
                <c:pt idx="71">
                  <c:v>477.04148766217304</c:v>
                </c:pt>
                <c:pt idx="72">
                  <c:v>477.28590093784794</c:v>
                </c:pt>
                <c:pt idx="73">
                  <c:v>477.52373627427653</c:v>
                </c:pt>
                <c:pt idx="74">
                  <c:v>477.75531383036434</c:v>
                </c:pt>
                <c:pt idx="75">
                  <c:v>477.98093321240577</c:v>
                </c:pt>
                <c:pt idx="76">
                  <c:v>478.20087496663132</c:v>
                </c:pt>
                <c:pt idx="77">
                  <c:v>478.41540192460991</c:v>
                </c:pt>
                <c:pt idx="78">
                  <c:v>478.6247604066034</c:v>
                </c:pt>
                <c:pt idx="79">
                  <c:v>478.82918136526905</c:v>
                </c:pt>
                <c:pt idx="80">
                  <c:v>479.02888135873195</c:v>
                </c:pt>
                <c:pt idx="81">
                  <c:v>479.22406348990671</c:v>
                </c:pt>
                <c:pt idx="82">
                  <c:v>479.41491823362082</c:v>
                </c:pt>
                <c:pt idx="83">
                  <c:v>479.60162417895367</c:v>
                </c:pt>
                <c:pt idx="84">
                  <c:v>479.78434873348795</c:v>
                </c:pt>
                <c:pt idx="85">
                  <c:v>479.96324871755326</c:v>
                </c:pt>
                <c:pt idx="86">
                  <c:v>480.13847093545644</c:v>
                </c:pt>
                <c:pt idx="87">
                  <c:v>480.31015266859333</c:v>
                </c:pt>
                <c:pt idx="88">
                  <c:v>480.47842211719933</c:v>
                </c:pt>
                <c:pt idx="89">
                  <c:v>480.64339880985119</c:v>
                </c:pt>
                <c:pt idx="90">
                  <c:v>480.80519393703594</c:v>
                </c:pt>
                <c:pt idx="91">
                  <c:v>480.79356477887956</c:v>
                </c:pt>
                <c:pt idx="92">
                  <c:v>480.77789711580738</c:v>
                </c:pt>
                <c:pt idx="93">
                  <c:v>480.75816824285914</c:v>
                </c:pt>
                <c:pt idx="94">
                  <c:v>480.73434551918183</c:v>
                </c:pt>
                <c:pt idx="95">
                  <c:v>480.70638622971182</c:v>
                </c:pt>
                <c:pt idx="96">
                  <c:v>480.67423737584437</c:v>
                </c:pt>
                <c:pt idx="97">
                  <c:v>480.63783539684971</c:v>
                </c:pt>
                <c:pt idx="98">
                  <c:v>480.59710585865787</c:v>
                </c:pt>
                <c:pt idx="99">
                  <c:v>480.55196307627381</c:v>
                </c:pt>
                <c:pt idx="100">
                  <c:v>480.50230965470314</c:v>
                </c:pt>
                <c:pt idx="101">
                  <c:v>480.44803599526654</c:v>
                </c:pt>
                <c:pt idx="102">
                  <c:v>480.38901970237163</c:v>
                </c:pt>
                <c:pt idx="103">
                  <c:v>480.32512491183923</c:v>
                </c:pt>
                <c:pt idx="104">
                  <c:v>480.25620156113956</c:v>
                </c:pt>
                <c:pt idx="105">
                  <c:v>480.18208453983794</c:v>
                </c:pt>
                <c:pt idx="106">
                  <c:v>480.1025927625725</c:v>
                </c:pt>
                <c:pt idx="107">
                  <c:v>480.01752811164351</c:v>
                </c:pt>
                <c:pt idx="108">
                  <c:v>479.9266742685445</c:v>
                </c:pt>
                <c:pt idx="109">
                  <c:v>479.82979542307316</c:v>
                </c:pt>
                <c:pt idx="110">
                  <c:v>479.72663482963463</c:v>
                </c:pt>
                <c:pt idx="111">
                  <c:v>479.61691318572628</c:v>
                </c:pt>
                <c:pt idx="112">
                  <c:v>479.50032685644362</c:v>
                </c:pt>
                <c:pt idx="113">
                  <c:v>479.376545872782</c:v>
                </c:pt>
                <c:pt idx="114">
                  <c:v>479.2452117289493</c:v>
                </c:pt>
                <c:pt idx="115">
                  <c:v>479.10593490602332</c:v>
                </c:pt>
                <c:pt idx="116">
                  <c:v>478.95829213559932</c:v>
                </c:pt>
                <c:pt idx="117">
                  <c:v>478.80182331345088</c:v>
                </c:pt>
                <c:pt idx="118">
                  <c:v>478.63602808571034</c:v>
                </c:pt>
                <c:pt idx="119">
                  <c:v>478.46036202651572</c:v>
                </c:pt>
                <c:pt idx="120">
                  <c:v>478.27423232757297</c:v>
                </c:pt>
                <c:pt idx="121">
                  <c:v>478.07699299587898</c:v>
                </c:pt>
                <c:pt idx="122">
                  <c:v>476.27725075552075</c:v>
                </c:pt>
                <c:pt idx="123">
                  <c:v>471.34326637738911</c:v>
                </c:pt>
                <c:pt idx="124">
                  <c:v>466.2679545596302</c:v>
                </c:pt>
                <c:pt idx="125">
                  <c:v>461.07580143887805</c:v>
                </c:pt>
                <c:pt idx="126">
                  <c:v>455.75968264571708</c:v>
                </c:pt>
                <c:pt idx="127">
                  <c:v>450.3119972070632</c:v>
                </c:pt>
                <c:pt idx="128">
                  <c:v>444.7246238329115</c:v>
                </c:pt>
                <c:pt idx="129">
                  <c:v>438.98887257629474</c:v>
                </c:pt>
                <c:pt idx="130">
                  <c:v>433.09543125249013</c:v>
                </c:pt>
                <c:pt idx="131">
                  <c:v>426.77153608129089</c:v>
                </c:pt>
                <c:pt idx="132">
                  <c:v>419.22778776557021</c:v>
                </c:pt>
                <c:pt idx="133">
                  <c:v>410.42989453537012</c:v>
                </c:pt>
                <c:pt idx="134">
                  <c:v>400.37543222153658</c:v>
                </c:pt>
                <c:pt idx="135">
                  <c:v>389.0405040689318</c:v>
                </c:pt>
                <c:pt idx="136">
                  <c:v>376.38174673709301</c:v>
                </c:pt>
                <c:pt idx="137">
                  <c:v>362.33726385113118</c:v>
                </c:pt>
                <c:pt idx="138">
                  <c:v>346.82671222271847</c:v>
                </c:pt>
                <c:pt idx="139">
                  <c:v>329.75066634838731</c:v>
                </c:pt>
                <c:pt idx="140">
                  <c:v>310.98931641527122</c:v>
                </c:pt>
                <c:pt idx="141">
                  <c:v>290.40050090996226</c:v>
                </c:pt>
                <c:pt idx="142">
                  <c:v>268.10025200348218</c:v>
                </c:pt>
                <c:pt idx="143">
                  <c:v>244.55331493613346</c:v>
                </c:pt>
                <c:pt idx="144">
                  <c:v>219.9776824247549</c:v>
                </c:pt>
                <c:pt idx="145">
                  <c:v>196.11950331960145</c:v>
                </c:pt>
                <c:pt idx="146">
                  <c:v>171.61242439666049</c:v>
                </c:pt>
                <c:pt idx="147">
                  <c:v>150.38575032073331</c:v>
                </c:pt>
                <c:pt idx="148">
                  <c:v>125.20043900545465</c:v>
                </c:pt>
                <c:pt idx="149">
                  <c:v>100.11800047543008</c:v>
                </c:pt>
                <c:pt idx="150">
                  <c:v>75.220574151265879</c:v>
                </c:pt>
                <c:pt idx="151">
                  <c:v>50.649270626202906</c:v>
                </c:pt>
                <c:pt idx="152">
                  <c:v>26.660031318841675</c:v>
                </c:pt>
                <c:pt idx="153">
                  <c:v>4.121215810410348</c:v>
                </c:pt>
                <c:pt idx="154">
                  <c:v>-16.477784775616339</c:v>
                </c:pt>
                <c:pt idx="155">
                  <c:v>-34.728045900393155</c:v>
                </c:pt>
                <c:pt idx="156">
                  <c:v>-50.002292963213975</c:v>
                </c:pt>
                <c:pt idx="157">
                  <c:v>-61.300542719054576</c:v>
                </c:pt>
                <c:pt idx="158">
                  <c:v>-66.93246723206093</c:v>
                </c:pt>
                <c:pt idx="159">
                  <c:v>-67.916640791874102</c:v>
                </c:pt>
                <c:pt idx="160">
                  <c:v>-68.829766247180956</c:v>
                </c:pt>
                <c:pt idx="161">
                  <c:v>-69.731362550003979</c:v>
                </c:pt>
                <c:pt idx="162">
                  <c:v>-70.622185942909198</c:v>
                </c:pt>
                <c:pt idx="163">
                  <c:v>-71.502961721047114</c:v>
                </c:pt>
                <c:pt idx="164">
                  <c:v>-72.37438679367034</c:v>
                </c:pt>
                <c:pt idx="165">
                  <c:v>-73.237132067411125</c:v>
                </c:pt>
                <c:pt idx="166">
                  <c:v>-74.091844669497618</c:v>
                </c:pt>
                <c:pt idx="167">
                  <c:v>-74.939150027336268</c:v>
                </c:pt>
                <c:pt idx="168">
                  <c:v>-75.779653819345583</c:v>
                </c:pt>
                <c:pt idx="169">
                  <c:v>-76.613943810578292</c:v>
                </c:pt>
                <c:pt idx="170">
                  <c:v>-77.442591585481097</c:v>
                </c:pt>
                <c:pt idx="171">
                  <c:v>-78.266154189103361</c:v>
                </c:pt>
                <c:pt idx="172">
                  <c:v>-79.08517568715979</c:v>
                </c:pt>
                <c:pt idx="173">
                  <c:v>-79.900188654556246</c:v>
                </c:pt>
                <c:pt idx="174">
                  <c:v>-80.711715601304988</c:v>
                </c:pt>
                <c:pt idx="175">
                  <c:v>-81.520270344159627</c:v>
                </c:pt>
                <c:pt idx="176">
                  <c:v>-82.326359331792389</c:v>
                </c:pt>
                <c:pt idx="177">
                  <c:v>-83.130482930907931</c:v>
                </c:pt>
                <c:pt idx="178">
                  <c:v>-83.933136680328289</c:v>
                </c:pt>
                <c:pt idx="179">
                  <c:v>-84.734812519794303</c:v>
                </c:pt>
                <c:pt idx="180">
                  <c:v>-85.535999999999518</c:v>
                </c:pt>
                <c:pt idx="181">
                  <c:v>-86.337187480204662</c:v>
                </c:pt>
                <c:pt idx="182">
                  <c:v>-87.138863319670705</c:v>
                </c:pt>
                <c:pt idx="183">
                  <c:v>-87.941517069091077</c:v>
                </c:pt>
                <c:pt idx="184">
                  <c:v>-88.74564066820659</c:v>
                </c:pt>
                <c:pt idx="185">
                  <c:v>-89.551729655839353</c:v>
                </c:pt>
                <c:pt idx="186">
                  <c:v>-90.360284398693992</c:v>
                </c:pt>
                <c:pt idx="187">
                  <c:v>-91.171811345442748</c:v>
                </c:pt>
                <c:pt idx="188">
                  <c:v>-91.98682431283919</c:v>
                </c:pt>
                <c:pt idx="189">
                  <c:v>-92.805845810895619</c:v>
                </c:pt>
                <c:pt idx="190">
                  <c:v>-93.629408414517926</c:v>
                </c:pt>
                <c:pt idx="191">
                  <c:v>-94.45805618942066</c:v>
                </c:pt>
                <c:pt idx="192">
                  <c:v>-95.292346180653396</c:v>
                </c:pt>
                <c:pt idx="193">
                  <c:v>-96.132849972662726</c:v>
                </c:pt>
                <c:pt idx="194">
                  <c:v>-96.980155330501333</c:v>
                </c:pt>
                <c:pt idx="195">
                  <c:v>-97.834867932587841</c:v>
                </c:pt>
                <c:pt idx="196">
                  <c:v>-98.697613206328583</c:v>
                </c:pt>
                <c:pt idx="197">
                  <c:v>-99.569038278951837</c:v>
                </c:pt>
                <c:pt idx="198">
                  <c:v>-100.44981405708968</c:v>
                </c:pt>
                <c:pt idx="199">
                  <c:v>-101.34063744999487</c:v>
                </c:pt>
                <c:pt idx="200">
                  <c:v>-102.24223375281792</c:v>
                </c:pt>
                <c:pt idx="201">
                  <c:v>-103.15535920812482</c:v>
                </c:pt>
                <c:pt idx="202">
                  <c:v>-104.08080376583287</c:v>
                </c:pt>
                <c:pt idx="203">
                  <c:v>-105.01939406402005</c:v>
                </c:pt>
                <c:pt idx="204">
                  <c:v>-105.97199665566092</c:v>
                </c:pt>
                <c:pt idx="205">
                  <c:v>-106.93952150931358</c:v>
                </c:pt>
                <c:pt idx="206">
                  <c:v>-107.92292581517211</c:v>
                </c:pt>
                <c:pt idx="207">
                  <c:v>-108.92321813179332</c:v>
                </c:pt>
                <c:pt idx="208">
                  <c:v>-109.94146291326092</c:v>
                </c:pt>
                <c:pt idx="209">
                  <c:v>-110.97878546168108</c:v>
                </c:pt>
                <c:pt idx="210">
                  <c:v>-112.03637735580281</c:v>
                </c:pt>
                <c:pt idx="211">
                  <c:v>-113.11550241336398</c:v>
                </c:pt>
                <c:pt idx="212">
                  <c:v>-114.21750325263703</c:v>
                </c:pt>
                <c:pt idx="213">
                  <c:v>-115.34380852776462</c:v>
                </c:pt>
                <c:pt idx="214">
                  <c:v>-116.49547912714783</c:v>
                </c:pt>
                <c:pt idx="215">
                  <c:v>-117.63761928284319</c:v>
                </c:pt>
                <c:pt idx="216">
                  <c:v>-118.74985551734882</c:v>
                </c:pt>
                <c:pt idx="217">
                  <c:v>-119.83502622152793</c:v>
                </c:pt>
                <c:pt idx="218">
                  <c:v>-120.89573563404618</c:v>
                </c:pt>
                <c:pt idx="219">
                  <c:v>-121.93438536837519</c:v>
                </c:pt>
                <c:pt idx="220">
                  <c:v>-122.95320174133992</c:v>
                </c:pt>
                <c:pt idx="221">
                  <c:v>-123.95425963411977</c:v>
                </c:pt>
                <c:pt idx="222">
                  <c:v>-124.9395034878481</c:v>
                </c:pt>
                <c:pt idx="223">
                  <c:v>-125.91076593381382</c:v>
                </c:pt>
                <c:pt idx="224">
                  <c:v>-126.86978447636366</c:v>
                </c:pt>
                <c:pt idx="225">
                  <c:v>-127.81821658554277</c:v>
                </c:pt>
                <c:pt idx="226">
                  <c:v>-128.75765350479264</c:v>
                </c:pt>
                <c:pt idx="227">
                  <c:v>-129.68963304123264</c:v>
                </c:pt>
                <c:pt idx="228">
                  <c:v>-130.61565157563442</c:v>
                </c:pt>
                <c:pt idx="229">
                  <c:v>-131.5371755110136</c:v>
                </c:pt>
                <c:pt idx="230">
                  <c:v>-132.45565236028062</c:v>
                </c:pt>
                <c:pt idx="231">
                  <c:v>-133.37252166850064</c:v>
                </c:pt>
                <c:pt idx="232">
                  <c:v>-134.2892259622958</c:v>
                </c:pt>
                <c:pt idx="233">
                  <c:v>-135.20722192379395</c:v>
                </c:pt>
                <c:pt idx="234">
                  <c:v>-136.12799199881297</c:v>
                </c:pt>
                <c:pt idx="235">
                  <c:v>-137.05305666308772</c:v>
                </c:pt>
                <c:pt idx="236">
                  <c:v>-137.98398760234437</c:v>
                </c:pt>
                <c:pt idx="237">
                  <c:v>-138.92242209767784</c:v>
                </c:pt>
                <c:pt idx="238">
                  <c:v>-139.87007894994821</c:v>
                </c:pt>
                <c:pt idx="239">
                  <c:v>-140.8287763551125</c:v>
                </c:pt>
                <c:pt idx="240">
                  <c:v>-141.80045221082679</c:v>
                </c:pt>
                <c:pt idx="241">
                  <c:v>-142.78718745789132</c:v>
                </c:pt>
                <c:pt idx="242">
                  <c:v>-143.79123319901908</c:v>
                </c:pt>
                <c:pt idx="243">
                  <c:v>-144.81504252129162</c:v>
                </c:pt>
                <c:pt idx="244">
                  <c:v>-145.86130821288305</c:v>
                </c:pt>
                <c:pt idx="245">
                  <c:v>-146.93300788002421</c:v>
                </c:pt>
                <c:pt idx="246">
                  <c:v>-147.28717748318735</c:v>
                </c:pt>
                <c:pt idx="247">
                  <c:v>-148.40046009215578</c:v>
                </c:pt>
                <c:pt idx="248">
                  <c:v>-149.55035020230224</c:v>
                </c:pt>
                <c:pt idx="249">
                  <c:v>-150.74162174422503</c:v>
                </c:pt>
                <c:pt idx="250">
                  <c:v>-151.97976422166101</c:v>
                </c:pt>
                <c:pt idx="251">
                  <c:v>-153.27114485683319</c:v>
                </c:pt>
                <c:pt idx="252">
                  <c:v>-154.62321728084231</c:v>
                </c:pt>
                <c:pt idx="253">
                  <c:v>-156.04479372693868</c:v>
                </c:pt>
                <c:pt idx="254">
                  <c:v>-157.54640527358887</c:v>
                </c:pt>
                <c:pt idx="255">
                  <c:v>-159.14078639784111</c:v>
                </c:pt>
                <c:pt idx="256">
                  <c:v>-160.84353860061779</c:v>
                </c:pt>
                <c:pt idx="257">
                  <c:v>-162.67405793395039</c:v>
                </c:pt>
                <c:pt idx="258">
                  <c:v>-164.65686161981898</c:v>
                </c:pt>
                <c:pt idx="259">
                  <c:v>-166.81149026684821</c:v>
                </c:pt>
                <c:pt idx="260">
                  <c:v>-168.95531388764834</c:v>
                </c:pt>
                <c:pt idx="261">
                  <c:v>-171.01946696499556</c:v>
                </c:pt>
                <c:pt idx="262">
                  <c:v>-173.00953574899239</c:v>
                </c:pt>
                <c:pt idx="263">
                  <c:v>-174.93082017792295</c:v>
                </c:pt>
                <c:pt idx="264">
                  <c:v>-176.7883064177401</c:v>
                </c:pt>
                <c:pt idx="265">
                  <c:v>-178.58662490186396</c:v>
                </c:pt>
                <c:pt idx="266">
                  <c:v>-180.32999188724176</c:v>
                </c:pt>
                <c:pt idx="267">
                  <c:v>-182.02213264417074</c:v>
                </c:pt>
                <c:pt idx="268">
                  <c:v>-183.62188750133549</c:v>
                </c:pt>
                <c:pt idx="269">
                  <c:v>-185.02933411093321</c:v>
                </c:pt>
                <c:pt idx="270">
                  <c:v>-186.36943828793892</c:v>
                </c:pt>
                <c:pt idx="271">
                  <c:v>-185.02933411088708</c:v>
                </c:pt>
                <c:pt idx="272">
                  <c:v>-183.62188750144571</c:v>
                </c:pt>
                <c:pt idx="273">
                  <c:v>-182.02213264415323</c:v>
                </c:pt>
                <c:pt idx="274">
                  <c:v>-180.32999188733726</c:v>
                </c:pt>
                <c:pt idx="275">
                  <c:v>-178.58662490175931</c:v>
                </c:pt>
                <c:pt idx="276">
                  <c:v>-176.78830641762275</c:v>
                </c:pt>
                <c:pt idx="277">
                  <c:v>-174.93082017794214</c:v>
                </c:pt>
                <c:pt idx="278">
                  <c:v>-173.00953574920527</c:v>
                </c:pt>
                <c:pt idx="279">
                  <c:v>-171.01946696472069</c:v>
                </c:pt>
                <c:pt idx="280">
                  <c:v>-168.95531388772991</c:v>
                </c:pt>
                <c:pt idx="281">
                  <c:v>-166.81149026706777</c:v>
                </c:pt>
                <c:pt idx="282">
                  <c:v>-164.65686161968571</c:v>
                </c:pt>
                <c:pt idx="283">
                  <c:v>-162.67405793402099</c:v>
                </c:pt>
                <c:pt idx="284">
                  <c:v>-160.84353860050254</c:v>
                </c:pt>
                <c:pt idx="285">
                  <c:v>-159.14078639782565</c:v>
                </c:pt>
                <c:pt idx="286">
                  <c:v>-157.54640527365257</c:v>
                </c:pt>
                <c:pt idx="287">
                  <c:v>-156.04479372713553</c:v>
                </c:pt>
                <c:pt idx="288">
                  <c:v>-154.62321728091871</c:v>
                </c:pt>
                <c:pt idx="289">
                  <c:v>-153.27114485664038</c:v>
                </c:pt>
                <c:pt idx="290">
                  <c:v>-151.97976422135986</c:v>
                </c:pt>
                <c:pt idx="291">
                  <c:v>-150.74162174432348</c:v>
                </c:pt>
                <c:pt idx="292">
                  <c:v>-149.55035020203098</c:v>
                </c:pt>
                <c:pt idx="293">
                  <c:v>-148.40046009211727</c:v>
                </c:pt>
                <c:pt idx="294">
                  <c:v>-147.28717748315171</c:v>
                </c:pt>
                <c:pt idx="295">
                  <c:v>-146.9330078800333</c:v>
                </c:pt>
                <c:pt idx="296">
                  <c:v>-145.8613082127782</c:v>
                </c:pt>
                <c:pt idx="297">
                  <c:v>-144.81504252146928</c:v>
                </c:pt>
                <c:pt idx="298">
                  <c:v>-143.79123319900049</c:v>
                </c:pt>
                <c:pt idx="299">
                  <c:v>-142.2813138249746</c:v>
                </c:pt>
                <c:pt idx="300">
                  <c:v>-139.46169980467312</c:v>
                </c:pt>
                <c:pt idx="301">
                  <c:v>-136.73972546866537</c:v>
                </c:pt>
                <c:pt idx="302">
                  <c:v>-134.10628136126559</c:v>
                </c:pt>
                <c:pt idx="303">
                  <c:v>-131.55316348361114</c:v>
                </c:pt>
                <c:pt idx="304">
                  <c:v>-129.07294639595784</c:v>
                </c:pt>
                <c:pt idx="305">
                  <c:v>-126.65887596258395</c:v>
                </c:pt>
                <c:pt idx="306">
                  <c:v>-124.30477809390885</c:v>
                </c:pt>
                <c:pt idx="307">
                  <c:v>-122.00498057503873</c:v>
                </c:pt>
                <c:pt idx="308">
                  <c:v>-119.75424564494847</c:v>
                </c:pt>
                <c:pt idx="309">
                  <c:v>-117.54771142883131</c:v>
                </c:pt>
                <c:pt idx="310">
                  <c:v>-115.38084067840715</c:v>
                </c:pt>
                <c:pt idx="311">
                  <c:v>-113.24937554314631</c:v>
                </c:pt>
                <c:pt idx="312">
                  <c:v>-111.17646009625292</c:v>
                </c:pt>
                <c:pt idx="313">
                  <c:v>-111.22219311036213</c:v>
                </c:pt>
                <c:pt idx="314">
                  <c:v>-111.28239696418396</c:v>
                </c:pt>
                <c:pt idx="315">
                  <c:v>-111.35686011068842</c:v>
                </c:pt>
                <c:pt idx="316">
                  <c:v>-111.44542567953505</c:v>
                </c:pt>
                <c:pt idx="317">
                  <c:v>-111.5479875557802</c:v>
                </c:pt>
                <c:pt idx="318">
                  <c:v>-111.66448679729032</c:v>
                </c:pt>
                <c:pt idx="319">
                  <c:v>-111.79490827051104</c:v>
                </c:pt>
                <c:pt idx="320">
                  <c:v>-111.93927738198319</c:v>
                </c:pt>
                <c:pt idx="321">
                  <c:v>-112.09765676590666</c:v>
                </c:pt>
                <c:pt idx="322">
                  <c:v>-112.27014277715165</c:v>
                </c:pt>
                <c:pt idx="323">
                  <c:v>-112.45686160258728</c:v>
                </c:pt>
                <c:pt idx="324">
                  <c:v>-112.65796477106753</c:v>
                </c:pt>
                <c:pt idx="325">
                  <c:v>-112.87362378218252</c:v>
                </c:pt>
                <c:pt idx="326">
                  <c:v>-113.10402350060599</c:v>
                </c:pt>
                <c:pt idx="327">
                  <c:v>-113.3493538694182</c:v>
                </c:pt>
                <c:pt idx="328">
                  <c:v>-113.60979934225037</c:v>
                </c:pt>
                <c:pt idx="329">
                  <c:v>-112.85692510160393</c:v>
                </c:pt>
                <c:pt idx="330">
                  <c:v>-111.56068033603597</c:v>
                </c:pt>
                <c:pt idx="331">
                  <c:v>-109.15369677934677</c:v>
                </c:pt>
                <c:pt idx="332">
                  <c:v>-105.55675488104795</c:v>
                </c:pt>
                <c:pt idx="333">
                  <c:v>-101.92314880058549</c:v>
                </c:pt>
                <c:pt idx="334">
                  <c:v>-98.246319006805791</c:v>
                </c:pt>
                <c:pt idx="335">
                  <c:v>-94.519122505427418</c:v>
                </c:pt>
                <c:pt idx="336">
                  <c:v>-90.73371038416748</c:v>
                </c:pt>
                <c:pt idx="337">
                  <c:v>-86.881377194200923</c:v>
                </c:pt>
                <c:pt idx="338">
                  <c:v>-82.952373369240462</c:v>
                </c:pt>
                <c:pt idx="339">
                  <c:v>-78.935668607749832</c:v>
                </c:pt>
                <c:pt idx="340">
                  <c:v>-74.81864938532982</c:v>
                </c:pt>
                <c:pt idx="341">
                  <c:v>-70.58672672979128</c:v>
                </c:pt>
                <c:pt idx="342">
                  <c:v>-66.222819858974304</c:v>
                </c:pt>
                <c:pt idx="343">
                  <c:v>-61.706665094684809</c:v>
                </c:pt>
                <c:pt idx="344">
                  <c:v>-57.013874146570771</c:v>
                </c:pt>
                <c:pt idx="345">
                  <c:v>-52.114625147855463</c:v>
                </c:pt>
                <c:pt idx="346">
                  <c:v>-46.971802630550059</c:v>
                </c:pt>
                <c:pt idx="347">
                  <c:v>-41.538288237176204</c:v>
                </c:pt>
                <c:pt idx="348">
                  <c:v>-35.752902343285726</c:v>
                </c:pt>
                <c:pt idx="349">
                  <c:v>-29.534127181266093</c:v>
                </c:pt>
                <c:pt idx="350">
                  <c:v>-22.770033149008487</c:v>
                </c:pt>
                <c:pt idx="351">
                  <c:v>-15.301396987558064</c:v>
                </c:pt>
                <c:pt idx="352">
                  <c:v>-6.8919182400598986</c:v>
                </c:pt>
                <c:pt idx="353">
                  <c:v>2.8277007352000028</c:v>
                </c:pt>
                <c:pt idx="354">
                  <c:v>14.47317168463259</c:v>
                </c:pt>
                <c:pt idx="355">
                  <c:v>29.160515594865618</c:v>
                </c:pt>
                <c:pt idx="356">
                  <c:v>49.154423314095823</c:v>
                </c:pt>
                <c:pt idx="357">
                  <c:v>71.963528161691585</c:v>
                </c:pt>
                <c:pt idx="358">
                  <c:v>100.41338464774709</c:v>
                </c:pt>
                <c:pt idx="359">
                  <c:v>130.91550617780035</c:v>
                </c:pt>
                <c:pt idx="360">
                  <c:v>164.45558313093886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195.49131496325651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87.971091582412299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0.000</c:formatCode>
                <c:ptCount val="1"/>
                <c:pt idx="0">
                  <c:v>100</c:v>
                </c:pt>
              </c:numCache>
            </c:numRef>
          </c:xVal>
          <c:yVal>
            <c:numRef>
              <c:f>L_Section_Capacity!$U$12</c:f>
              <c:numCache>
                <c:formatCode>0.000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3"/>
          <c:order val="3"/>
          <c:tx>
            <c:v>guess_center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L_Section_Capacity!$B$132</c:f>
              <c:numCache>
                <c:formatCode>General</c:formatCode>
                <c:ptCount val="1"/>
                <c:pt idx="0">
                  <c:v>25.30004186435599</c:v>
                </c:pt>
              </c:numCache>
            </c:numRef>
          </c:xVal>
          <c:yVal>
            <c:numRef>
              <c:f>L_Section_Capacity!$B$133</c:f>
              <c:numCache>
                <c:formatCode>General</c:formatCode>
                <c:ptCount val="1"/>
                <c:pt idx="0">
                  <c:v>72.299623220795937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L_Section_Capacity!$BF$2:$BF$362</c:f>
              <c:numCache>
                <c:formatCode>0.000</c:formatCode>
                <c:ptCount val="361"/>
                <c:pt idx="0">
                  <c:v>0.69077329546460831</c:v>
                </c:pt>
                <c:pt idx="1">
                  <c:v>0.77526934239423428</c:v>
                </c:pt>
                <c:pt idx="2">
                  <c:v>0.84304102440343898</c:v>
                </c:pt>
                <c:pt idx="3">
                  <c:v>0.90003289864873082</c:v>
                </c:pt>
                <c:pt idx="4">
                  <c:v>0.94951443353934994</c:v>
                </c:pt>
                <c:pt idx="5">
                  <c:v>0.98766129952446158</c:v>
                </c:pt>
                <c:pt idx="6">
                  <c:v>1.0150283283722785</c:v>
                </c:pt>
                <c:pt idx="7">
                  <c:v>1.0364851404236044</c:v>
                </c:pt>
                <c:pt idx="8">
                  <c:v>1.0542790940896809</c:v>
                </c:pt>
                <c:pt idx="9">
                  <c:v>1.0696021653086567</c:v>
                </c:pt>
                <c:pt idx="10">
                  <c:v>1.0831528995119144</c:v>
                </c:pt>
                <c:pt idx="11">
                  <c:v>1.0953726360937268</c:v>
                </c:pt>
                <c:pt idx="12">
                  <c:v>1.106557055477815</c:v>
                </c:pt>
                <c:pt idx="13">
                  <c:v>1.1169137730793854</c:v>
                </c:pt>
                <c:pt idx="14">
                  <c:v>1.1265942655044088</c:v>
                </c:pt>
                <c:pt idx="15">
                  <c:v>1.1357126251143634</c:v>
                </c:pt>
                <c:pt idx="16">
                  <c:v>1.1443571224902713</c:v>
                </c:pt>
                <c:pt idx="17">
                  <c:v>1.1525976324344445</c:v>
                </c:pt>
                <c:pt idx="18">
                  <c:v>1.1604905735485316</c:v>
                </c:pt>
                <c:pt idx="19">
                  <c:v>1.1680822953581198</c:v>
                </c:pt>
                <c:pt idx="20">
                  <c:v>1.1754114635528283</c:v>
                </c:pt>
                <c:pt idx="21">
                  <c:v>1.1809035837010411</c:v>
                </c:pt>
                <c:pt idx="22">
                  <c:v>1.1849018390449315</c:v>
                </c:pt>
                <c:pt idx="23">
                  <c:v>1.1887757950367241</c:v>
                </c:pt>
                <c:pt idx="24">
                  <c:v>1.1925431564590865</c:v>
                </c:pt>
                <c:pt idx="25">
                  <c:v>1.1962192150610249</c:v>
                </c:pt>
                <c:pt idx="26">
                  <c:v>1.1998173197204292</c:v>
                </c:pt>
                <c:pt idx="27">
                  <c:v>1.2033492445878597</c:v>
                </c:pt>
                <c:pt idx="28">
                  <c:v>1.2068254808983834</c:v>
                </c:pt>
                <c:pt idx="29">
                  <c:v>1.2102554710298701</c:v>
                </c:pt>
                <c:pt idx="30">
                  <c:v>1.2136477984335001</c:v>
                </c:pt>
                <c:pt idx="31">
                  <c:v>1.2169957604724606</c:v>
                </c:pt>
                <c:pt idx="32">
                  <c:v>1.2201517449162462</c:v>
                </c:pt>
                <c:pt idx="33">
                  <c:v>1.2230960100041965</c:v>
                </c:pt>
                <c:pt idx="34">
                  <c:v>1.2258513517038014</c:v>
                </c:pt>
                <c:pt idx="35">
                  <c:v>1.2284374113850065</c:v>
                </c:pt>
                <c:pt idx="36">
                  <c:v>1.230871205404436</c:v>
                </c:pt>
                <c:pt idx="37">
                  <c:v>1.2331675515017508</c:v>
                </c:pt>
                <c:pt idx="38">
                  <c:v>1.2353394147103145</c:v>
                </c:pt>
                <c:pt idx="39">
                  <c:v>1.2373981899546196</c:v>
                </c:pt>
                <c:pt idx="40">
                  <c:v>1.2393539344501259</c:v>
                </c:pt>
                <c:pt idx="41">
                  <c:v>1.2412155600067249</c:v>
                </c:pt>
                <c:pt idx="42">
                  <c:v>1.2429909930810437</c:v>
                </c:pt>
                <c:pt idx="43">
                  <c:v>1.2446873087186661</c:v>
                </c:pt>
                <c:pt idx="44">
                  <c:v>1.2463108432255783</c:v>
                </c:pt>
                <c:pt idx="45">
                  <c:v>1.2478672894126301</c:v>
                </c:pt>
                <c:pt idx="46">
                  <c:v>1.24936177747788</c:v>
                </c:pt>
                <c:pt idx="47">
                  <c:v>1.250798944001086</c:v>
                </c:pt>
                <c:pt idx="48">
                  <c:v>1.2521829910356679</c:v>
                </c:pt>
                <c:pt idx="49">
                  <c:v>1.253517736927539</c:v>
                </c:pt>
                <c:pt idx="50">
                  <c:v>1.254806660180293</c:v>
                </c:pt>
                <c:pt idx="51">
                  <c:v>1.256052937457069</c:v>
                </c:pt>
                <c:pt idx="52">
                  <c:v>1.2572594766142098</c:v>
                </c:pt>
                <c:pt idx="53">
                  <c:v>1.2584289455156508</c:v>
                </c:pt>
                <c:pt idx="54">
                  <c:v>1.259563797240606</c:v>
                </c:pt>
                <c:pt idx="55">
                  <c:v>1.2606662922100376</c:v>
                </c:pt>
                <c:pt idx="56">
                  <c:v>1.2617385176592235</c:v>
                </c:pt>
                <c:pt idx="57">
                  <c:v>1.262782404825268</c:v>
                </c:pt>
                <c:pt idx="58">
                  <c:v>1.263799744163822</c:v>
                </c:pt>
                <c:pt idx="59">
                  <c:v>1.2647921988468054</c:v>
                </c:pt>
                <c:pt idx="60">
                  <c:v>1.2657613167775639</c:v>
                </c:pt>
                <c:pt idx="61">
                  <c:v>1.2667085413003039</c:v>
                </c:pt>
                <c:pt idx="62">
                  <c:v>1.2676352207830617</c:v>
                </c:pt>
                <c:pt idx="63">
                  <c:v>1.2685426172001839</c:v>
                </c:pt>
                <c:pt idx="64">
                  <c:v>1.269431913844963</c:v>
                </c:pt>
                <c:pt idx="65">
                  <c:v>1.2703042222730028</c:v>
                </c:pt>
                <c:pt idx="66">
                  <c:v>1.271160588568544</c:v>
                </c:pt>
                <c:pt idx="67">
                  <c:v>1.2720019990139646</c:v>
                </c:pt>
                <c:pt idx="68">
                  <c:v>1.2728293852260162</c:v>
                </c:pt>
                <c:pt idx="69">
                  <c:v>1.2736436288230397</c:v>
                </c:pt>
                <c:pt idx="70">
                  <c:v>1.2744455656813509</c:v>
                </c:pt>
                <c:pt idx="71">
                  <c:v>1.275235989810003</c:v>
                </c:pt>
                <c:pt idx="72">
                  <c:v>1.2760156569057661</c:v>
                </c:pt>
                <c:pt idx="73">
                  <c:v>1.276785287607709</c:v>
                </c:pt>
                <c:pt idx="74">
                  <c:v>1.2775455704909073</c:v>
                </c:pt>
                <c:pt idx="75">
                  <c:v>1.2782971648284214</c:v>
                </c:pt>
                <c:pt idx="76">
                  <c:v>1.2790407031404043</c:v>
                </c:pt>
                <c:pt idx="77">
                  <c:v>1.2797767935586297</c:v>
                </c:pt>
                <c:pt idx="78">
                  <c:v>1.2805060220283233</c:v>
                </c:pt>
                <c:pt idx="79">
                  <c:v>1.2812289543513702</c:v>
                </c:pt>
                <c:pt idx="80">
                  <c:v>1.2819461381110058</c:v>
                </c:pt>
                <c:pt idx="81">
                  <c:v>1.2826581044674752</c:v>
                </c:pt>
                <c:pt idx="82">
                  <c:v>1.2833653698550818</c:v>
                </c:pt>
                <c:pt idx="83">
                  <c:v>1.2840684375890032</c:v>
                </c:pt>
                <c:pt idx="84">
                  <c:v>1.2847677993844686</c:v>
                </c:pt>
                <c:pt idx="85">
                  <c:v>1.2854639368148455</c:v>
                </c:pt>
                <c:pt idx="86">
                  <c:v>1.2861573227008714</c:v>
                </c:pt>
                <c:pt idx="87">
                  <c:v>1.2868484224524577</c:v>
                </c:pt>
                <c:pt idx="88">
                  <c:v>1.2875376953666027</c:v>
                </c:pt>
                <c:pt idx="89">
                  <c:v>1.2882255958856266</c:v>
                </c:pt>
                <c:pt idx="90">
                  <c:v>1.2889125748336516</c:v>
                </c:pt>
                <c:pt idx="91">
                  <c:v>1.2893532312794771</c:v>
                </c:pt>
                <c:pt idx="92">
                  <c:v>1.2897921605438396</c:v>
                </c:pt>
                <c:pt idx="93">
                  <c:v>1.2902296312599071</c:v>
                </c:pt>
                <c:pt idx="94">
                  <c:v>1.2906659085207135</c:v>
                </c:pt>
                <c:pt idx="95">
                  <c:v>1.2911012545141798</c:v>
                </c:pt>
                <c:pt idx="96">
                  <c:v>1.2915359291473194</c:v>
                </c:pt>
                <c:pt idx="97">
                  <c:v>1.2919701906619523</c:v>
                </c:pt>
                <c:pt idx="98">
                  <c:v>1.2924042962358631</c:v>
                </c:pt>
                <c:pt idx="99">
                  <c:v>1.2928385025794851</c:v>
                </c:pt>
                <c:pt idx="100">
                  <c:v>1.293273066533732</c:v>
                </c:pt>
                <c:pt idx="101">
                  <c:v>1.293708245659891</c:v>
                </c:pt>
                <c:pt idx="102">
                  <c:v>1.2941442988384515</c:v>
                </c:pt>
                <c:pt idx="103">
                  <c:v>1.2945814868735033</c:v>
                </c:pt>
                <c:pt idx="104">
                  <c:v>1.2950200730992603</c:v>
                </c:pt>
                <c:pt idx="105">
                  <c:v>1.295460324004406</c:v>
                </c:pt>
                <c:pt idx="106">
                  <c:v>1.2959025098653232</c:v>
                </c:pt>
                <c:pt idx="107">
                  <c:v>1.2963469054015242</c:v>
                </c:pt>
                <c:pt idx="108">
                  <c:v>1.2967937904493636</c:v>
                </c:pt>
                <c:pt idx="109">
                  <c:v>1.2972434506571255</c:v>
                </c:pt>
                <c:pt idx="110">
                  <c:v>1.2976961782088474</c:v>
                </c:pt>
                <c:pt idx="111">
                  <c:v>1.298152272582747</c:v>
                </c:pt>
                <c:pt idx="112">
                  <c:v>1.2986120413381641</c:v>
                </c:pt>
                <c:pt idx="113">
                  <c:v>1.2990758009474308</c:v>
                </c:pt>
                <c:pt idx="114">
                  <c:v>1.2995438776654302</c:v>
                </c:pt>
                <c:pt idx="115">
                  <c:v>1.300016608452504</c:v>
                </c:pt>
                <c:pt idx="116">
                  <c:v>1.3004943419450938</c:v>
                </c:pt>
                <c:pt idx="117">
                  <c:v>1.3009774394926708</c:v>
                </c:pt>
                <c:pt idx="118">
                  <c:v>1.3014662762516267</c:v>
                </c:pt>
                <c:pt idx="119">
                  <c:v>1.3019612423506117</c:v>
                </c:pt>
                <c:pt idx="120">
                  <c:v>1.3024627441403613</c:v>
                </c:pt>
                <c:pt idx="121">
                  <c:v>1.3029712055211355</c:v>
                </c:pt>
                <c:pt idx="122">
                  <c:v>1.3053024641106299</c:v>
                </c:pt>
                <c:pt idx="123">
                  <c:v>1.3114277166218427</c:v>
                </c:pt>
                <c:pt idx="124">
                  <c:v>1.317807937668477</c:v>
                </c:pt>
                <c:pt idx="125">
                  <c:v>1.3244629928424514</c:v>
                </c:pt>
                <c:pt idx="126">
                  <c:v>1.3314156502565266</c:v>
                </c:pt>
                <c:pt idx="127">
                  <c:v>1.338691157436279</c:v>
                </c:pt>
                <c:pt idx="128">
                  <c:v>1.3463175893652419</c:v>
                </c:pt>
                <c:pt idx="129">
                  <c:v>1.3543262559003448</c:v>
                </c:pt>
                <c:pt idx="130">
                  <c:v>1.3627521805152438</c:v>
                </c:pt>
                <c:pt idx="131">
                  <c:v>1.3723772942886787</c:v>
                </c:pt>
                <c:pt idx="132">
                  <c:v>1.3854021040844622</c:v>
                </c:pt>
                <c:pt idx="133">
                  <c:v>1.4019184297142231</c:v>
                </c:pt>
                <c:pt idx="134">
                  <c:v>1.4220379456985592</c:v>
                </c:pt>
                <c:pt idx="135">
                  <c:v>1.4460477565105361</c:v>
                </c:pt>
                <c:pt idx="136">
                  <c:v>1.4744232371700254</c:v>
                </c:pt>
                <c:pt idx="137">
                  <c:v>1.5078607407389855</c:v>
                </c:pt>
                <c:pt idx="138">
                  <c:v>1.5473327283331351</c:v>
                </c:pt>
                <c:pt idx="139">
                  <c:v>1.5941701960319543</c:v>
                </c:pt>
                <c:pt idx="140">
                  <c:v>1.6501779981286198</c:v>
                </c:pt>
                <c:pt idx="141">
                  <c:v>1.7177843830210136</c:v>
                </c:pt>
                <c:pt idx="142">
                  <c:v>1.7992927294502221</c:v>
                </c:pt>
                <c:pt idx="143">
                  <c:v>1.8959953774359461</c:v>
                </c:pt>
                <c:pt idx="144">
                  <c:v>2.0077907992194506</c:v>
                </c:pt>
                <c:pt idx="145">
                  <c:v>2.1184227020357795</c:v>
                </c:pt>
                <c:pt idx="146">
                  <c:v>2.2421969381850388</c:v>
                </c:pt>
                <c:pt idx="147">
                  <c:v>2.356247658915485</c:v>
                </c:pt>
                <c:pt idx="148">
                  <c:v>2.496876348105102</c:v>
                </c:pt>
                <c:pt idx="149">
                  <c:v>2.6386673171972972</c:v>
                </c:pt>
                <c:pt idx="150">
                  <c:v>2.7765294174594315</c:v>
                </c:pt>
                <c:pt idx="151">
                  <c:v>2.905882601155314</c:v>
                </c:pt>
                <c:pt idx="152">
                  <c:v>3.0231808300759773</c:v>
                </c:pt>
                <c:pt idx="153">
                  <c:v>3.1241330506981315</c:v>
                </c:pt>
                <c:pt idx="154">
                  <c:v>3.2083444951204232</c:v>
                </c:pt>
                <c:pt idx="155">
                  <c:v>3.2767493601350113</c:v>
                </c:pt>
                <c:pt idx="156">
                  <c:v>3.3298105940963327</c:v>
                </c:pt>
                <c:pt idx="157">
                  <c:v>3.3667991229812886</c:v>
                </c:pt>
                <c:pt idx="158">
                  <c:v>3.3845753378561589</c:v>
                </c:pt>
                <c:pt idx="159">
                  <c:v>3.3876182291077686</c:v>
                </c:pt>
                <c:pt idx="160">
                  <c:v>3.3904410288008346</c:v>
                </c:pt>
                <c:pt idx="161">
                  <c:v>3.3932303983325389</c:v>
                </c:pt>
                <c:pt idx="162">
                  <c:v>3.3959889123629901</c:v>
                </c:pt>
                <c:pt idx="163">
                  <c:v>3.3987190247927477</c:v>
                </c:pt>
                <c:pt idx="164">
                  <c:v>3.4014230797966083</c:v>
                </c:pt>
                <c:pt idx="165">
                  <c:v>3.4041033218096981</c:v>
                </c:pt>
                <c:pt idx="166">
                  <c:v>3.4067619046016668</c:v>
                </c:pt>
                <c:pt idx="167">
                  <c:v>3.4094008995021854</c:v>
                </c:pt>
                <c:pt idx="168">
                  <c:v>3.4120223028735497</c:v>
                </c:pt>
                <c:pt idx="169">
                  <c:v>3.4146280428802518</c:v>
                </c:pt>
                <c:pt idx="170">
                  <c:v>3.4172199856088676</c:v>
                </c:pt>
                <c:pt idx="171">
                  <c:v>3.4197999405798538</c:v>
                </c:pt>
                <c:pt idx="172">
                  <c:v>3.4223696656582079</c:v>
                </c:pt>
                <c:pt idx="173">
                  <c:v>3.4249308713946602</c:v>
                </c:pt>
                <c:pt idx="174">
                  <c:v>3.4274852247791348</c:v>
                </c:pt>
                <c:pt idx="175">
                  <c:v>3.4300343523815591</c:v>
                </c:pt>
                <c:pt idx="176">
                  <c:v>3.4325798428475056</c:v>
                </c:pt>
                <c:pt idx="177">
                  <c:v>3.4351232486810335</c:v>
                </c:pt>
                <c:pt idx="178">
                  <c:v>3.4376660872002347</c:v>
                </c:pt>
                <c:pt idx="179">
                  <c:v>3.4402098405529373</c:v>
                </c:pt>
                <c:pt idx="180">
                  <c:v>3.4427559545659978</c:v>
                </c:pt>
                <c:pt idx="181">
                  <c:v>3.445518325994962</c:v>
                </c:pt>
                <c:pt idx="182">
                  <c:v>3.4482899618213021</c:v>
                </c:pt>
                <c:pt idx="183">
                  <c:v>3.4510731036086661</c:v>
                </c:pt>
                <c:pt idx="184">
                  <c:v>3.4538700038215153</c:v>
                </c:pt>
                <c:pt idx="185">
                  <c:v>3.4566829362302713</c:v>
                </c:pt>
                <c:pt idx="186">
                  <c:v>3.4595142059197115</c:v>
                </c:pt>
                <c:pt idx="187">
                  <c:v>3.4623661590461245</c:v>
                </c:pt>
                <c:pt idx="188">
                  <c:v>3.4652411925372091</c:v>
                </c:pt>
                <c:pt idx="189">
                  <c:v>3.4681417638497694</c:v>
                </c:pt>
                <c:pt idx="190">
                  <c:v>3.4710704009462323</c:v>
                </c:pt>
                <c:pt idx="191">
                  <c:v>3.4740297125627864</c:v>
                </c:pt>
                <c:pt idx="192">
                  <c:v>3.4770223989257825</c:v>
                </c:pt>
                <c:pt idx="193">
                  <c:v>3.4800512630082072</c:v>
                </c:pt>
                <c:pt idx="194">
                  <c:v>3.4831192224442877</c:v>
                </c:pt>
                <c:pt idx="195">
                  <c:v>3.4862293222379508</c:v>
                </c:pt>
                <c:pt idx="196">
                  <c:v>3.4893847483709894</c:v>
                </c:pt>
                <c:pt idx="197">
                  <c:v>3.4925888424819607</c:v>
                </c:pt>
                <c:pt idx="198">
                  <c:v>3.4958451177340861</c:v>
                </c:pt>
                <c:pt idx="199">
                  <c:v>3.4991572760828813</c:v>
                </c:pt>
                <c:pt idx="200">
                  <c:v>3.5025292270967165</c:v>
                </c:pt>
                <c:pt idx="201">
                  <c:v>3.5059651085643346</c:v>
                </c:pt>
                <c:pt idx="202">
                  <c:v>3.5094693091258691</c:v>
                </c:pt>
                <c:pt idx="203">
                  <c:v>3.5130464932003713</c:v>
                </c:pt>
                <c:pt idx="204">
                  <c:v>3.5167016285089066</c:v>
                </c:pt>
                <c:pt idx="205">
                  <c:v>3.5204400165833416</c:v>
                </c:pt>
                <c:pt idx="206">
                  <c:v>3.5242673266176516</c:v>
                </c:pt>
                <c:pt idx="207">
                  <c:v>3.5281896331873588</c:v>
                </c:pt>
                <c:pt idx="208">
                  <c:v>3.5322134583428371</c:v>
                </c:pt>
                <c:pt idx="209">
                  <c:v>3.5363458187147194</c:v>
                </c:pt>
                <c:pt idx="210">
                  <c:v>3.540594278389078</c:v>
                </c:pt>
                <c:pt idx="211">
                  <c:v>3.5449670083677396</c:v>
                </c:pt>
                <c:pt idx="212">
                  <c:v>3.5494728536501325</c:v>
                </c:pt>
                <c:pt idx="213">
                  <c:v>3.554121409106203</c:v>
                </c:pt>
                <c:pt idx="214">
                  <c:v>3.558921224055688</c:v>
                </c:pt>
                <c:pt idx="215">
                  <c:v>3.5637336622917504</c:v>
                </c:pt>
                <c:pt idx="216">
                  <c:v>3.5684759305981748</c:v>
                </c:pt>
                <c:pt idx="217">
                  <c:v>3.5731594051572078</c:v>
                </c:pt>
                <c:pt idx="218">
                  <c:v>3.5777948168309521</c:v>
                </c:pt>
                <c:pt idx="219">
                  <c:v>3.5823923739199306</c:v>
                </c:pt>
                <c:pt idx="220">
                  <c:v>3.5869618723940193</c:v>
                </c:pt>
                <c:pt idx="221">
                  <c:v>3.5915127964269176</c:v>
                </c:pt>
                <c:pt idx="222">
                  <c:v>3.5960544116440945</c:v>
                </c:pt>
                <c:pt idx="223">
                  <c:v>3.6005958532099931</c:v>
                </c:pt>
                <c:pt idx="224">
                  <c:v>3.6051462106885657</c:v>
                </c:pt>
                <c:pt idx="225">
                  <c:v>3.6097146114437146</c:v>
                </c:pt>
                <c:pt idx="226">
                  <c:v>3.6143103043135989</c:v>
                </c:pt>
                <c:pt idx="227">
                  <c:v>3.6189427452770278</c:v>
                </c:pt>
                <c:pt idx="228">
                  <c:v>3.6236216869007061</c:v>
                </c:pt>
                <c:pt idx="229">
                  <c:v>3.6283572734554417</c:v>
                </c:pt>
                <c:pt idx="230">
                  <c:v>3.6331601438243211</c:v>
                </c:pt>
                <c:pt idx="231">
                  <c:v>3.6380415445782517</c:v>
                </c:pt>
                <c:pt idx="232">
                  <c:v>3.643013455984708</c:v>
                </c:pt>
                <c:pt idx="233">
                  <c:v>3.6480887342117105</c:v>
                </c:pt>
                <c:pt idx="234">
                  <c:v>3.6532812736345495</c:v>
                </c:pt>
                <c:pt idx="235">
                  <c:v>3.6586061940183052</c:v>
                </c:pt>
                <c:pt idx="236">
                  <c:v>3.6640800584134734</c:v>
                </c:pt>
                <c:pt idx="237">
                  <c:v>3.6697211290325003</c:v>
                </c:pt>
                <c:pt idx="238">
                  <c:v>3.6755496702522805</c:v>
                </c:pt>
                <c:pt idx="239">
                  <c:v>3.6815883102598539</c:v>
                </c:pt>
                <c:pt idx="240">
                  <c:v>3.6878624761291237</c:v>
                </c:pt>
                <c:pt idx="241">
                  <c:v>3.6944009213314684</c:v>
                </c:pt>
                <c:pt idx="242">
                  <c:v>3.7012363704346325</c:v>
                </c:pt>
                <c:pt idx="243">
                  <c:v>3.7084063135200314</c:v>
                </c:pt>
                <c:pt idx="244">
                  <c:v>3.7159539934409471</c:v>
                </c:pt>
                <c:pt idx="245">
                  <c:v>3.7239296438129923</c:v>
                </c:pt>
                <c:pt idx="246">
                  <c:v>3.7266544443369125</c:v>
                </c:pt>
                <c:pt idx="247">
                  <c:v>3.7354270999073633</c:v>
                </c:pt>
                <c:pt idx="248">
                  <c:v>3.7448206377432722</c:v>
                </c:pt>
                <c:pt idx="249">
                  <c:v>3.7549312193705831</c:v>
                </c:pt>
                <c:pt idx="250">
                  <c:v>3.7658754101617302</c:v>
                </c:pt>
                <c:pt idx="251">
                  <c:v>3.7777960300645903</c:v>
                </c:pt>
                <c:pt idx="252">
                  <c:v>3.7908701349622067</c:v>
                </c:pt>
                <c:pt idx="253">
                  <c:v>3.8053200888264325</c:v>
                </c:pt>
                <c:pt idx="254">
                  <c:v>3.8214292107852739</c:v>
                </c:pt>
                <c:pt idx="255">
                  <c:v>3.8395643460355111</c:v>
                </c:pt>
                <c:pt idx="256">
                  <c:v>3.8602091760500343</c:v>
                </c:pt>
                <c:pt idx="257">
                  <c:v>3.8840146443487766</c:v>
                </c:pt>
                <c:pt idx="258">
                  <c:v>3.9118774888336336</c:v>
                </c:pt>
                <c:pt idx="259">
                  <c:v>3.944857589080244</c:v>
                </c:pt>
                <c:pt idx="260">
                  <c:v>3.980523498461447</c:v>
                </c:pt>
                <c:pt idx="261">
                  <c:v>4.0178123772923557</c:v>
                </c:pt>
                <c:pt idx="262">
                  <c:v>4.0568652888467813</c:v>
                </c:pt>
                <c:pt idx="263">
                  <c:v>4.0978264660627257</c:v>
                </c:pt>
                <c:pt idx="264">
                  <c:v>4.1408400410937363</c:v>
                </c:pt>
                <c:pt idx="265">
                  <c:v>4.1860454610174926</c:v>
                </c:pt>
                <c:pt idx="266">
                  <c:v>4.2335713430035256</c:v>
                </c:pt>
                <c:pt idx="267">
                  <c:v>4.283527578518675</c:v>
                </c:pt>
                <c:pt idx="268">
                  <c:v>4.3371158307818742</c:v>
                </c:pt>
                <c:pt idx="269">
                  <c:v>4.3976601718574635</c:v>
                </c:pt>
                <c:pt idx="270">
                  <c:v>4.462731193493056</c:v>
                </c:pt>
                <c:pt idx="271">
                  <c:v>4.526462629837928</c:v>
                </c:pt>
                <c:pt idx="272">
                  <c:v>4.5893700612743054</c:v>
                </c:pt>
                <c:pt idx="273">
                  <c:v>4.6475891838253105</c:v>
                </c:pt>
                <c:pt idx="274">
                  <c:v>4.7044642940984005</c:v>
                </c:pt>
                <c:pt idx="275">
                  <c:v>4.7611872429709745</c:v>
                </c:pt>
                <c:pt idx="276">
                  <c:v>4.817563370222647</c:v>
                </c:pt>
                <c:pt idx="277">
                  <c:v>4.8734140420448764</c:v>
                </c:pt>
                <c:pt idx="278">
                  <c:v>4.9285799013774492</c:v>
                </c:pt>
                <c:pt idx="279">
                  <c:v>4.9829230664750206</c:v>
                </c:pt>
                <c:pt idx="280">
                  <c:v>5.0363282817367425</c:v>
                </c:pt>
                <c:pt idx="281">
                  <c:v>5.0887031023867024</c:v>
                </c:pt>
                <c:pt idx="282">
                  <c:v>5.138143476127544</c:v>
                </c:pt>
                <c:pt idx="283">
                  <c:v>5.1805337824961883</c:v>
                </c:pt>
                <c:pt idx="284">
                  <c:v>5.2171225676499997</c:v>
                </c:pt>
                <c:pt idx="285">
                  <c:v>5.2490750640833754</c:v>
                </c:pt>
                <c:pt idx="286">
                  <c:v>5.2772729571830119</c:v>
                </c:pt>
                <c:pt idx="287">
                  <c:v>5.3023929214575354</c:v>
                </c:pt>
                <c:pt idx="288">
                  <c:v>5.3249614682143296</c:v>
                </c:pt>
                <c:pt idx="289">
                  <c:v>5.3453936270929985</c:v>
                </c:pt>
                <c:pt idx="290">
                  <c:v>5.3640205550557187</c:v>
                </c:pt>
                <c:pt idx="291">
                  <c:v>5.3811094961848154</c:v>
                </c:pt>
                <c:pt idx="292">
                  <c:v>5.3968783988041018</c:v>
                </c:pt>
                <c:pt idx="293">
                  <c:v>5.4115067558280909</c:v>
                </c:pt>
                <c:pt idx="294">
                  <c:v>5.4251437421165267</c:v>
                </c:pt>
                <c:pt idx="295">
                  <c:v>5.4293729632916081</c:v>
                </c:pt>
                <c:pt idx="296">
                  <c:v>5.4417042766439092</c:v>
                </c:pt>
                <c:pt idx="297">
                  <c:v>5.4533483120596093</c:v>
                </c:pt>
                <c:pt idx="298">
                  <c:v>5.4643840267407437</c:v>
                </c:pt>
                <c:pt idx="299">
                  <c:v>5.4753677857576308</c:v>
                </c:pt>
                <c:pt idx="300">
                  <c:v>5.4872348857911604</c:v>
                </c:pt>
                <c:pt idx="301">
                  <c:v>5.4987178557395966</c:v>
                </c:pt>
                <c:pt idx="302">
                  <c:v>5.5098607296676185</c:v>
                </c:pt>
                <c:pt idx="303">
                  <c:v>5.520702892968286</c:v>
                </c:pt>
                <c:pt idx="304">
                  <c:v>5.5312798096824318</c:v>
                </c:pt>
                <c:pt idx="305">
                  <c:v>5.5416236298156214</c:v>
                </c:pt>
                <c:pt idx="306">
                  <c:v>5.5517637004596114</c:v>
                </c:pt>
                <c:pt idx="307">
                  <c:v>5.5617269995307081</c:v>
                </c:pt>
                <c:pt idx="308">
                  <c:v>5.5715385070061068</c:v>
                </c:pt>
                <c:pt idx="309">
                  <c:v>5.5812215256571953</c:v>
                </c:pt>
                <c:pt idx="310">
                  <c:v>5.5907979609072571</c:v>
                </c:pt>
                <c:pt idx="311">
                  <c:v>5.6002885677344718</c:v>
                </c:pt>
                <c:pt idx="312">
                  <c:v>5.6096692527556824</c:v>
                </c:pt>
                <c:pt idx="313">
                  <c:v>5.6155468063578233</c:v>
                </c:pt>
                <c:pt idx="314">
                  <c:v>5.6212638465702938</c:v>
                </c:pt>
                <c:pt idx="315">
                  <c:v>5.6268343168111583</c:v>
                </c:pt>
                <c:pt idx="316">
                  <c:v>5.6322712465838309</c:v>
                </c:pt>
                <c:pt idx="317">
                  <c:v>5.637586883218682</c:v>
                </c:pt>
                <c:pt idx="318">
                  <c:v>5.6427928120040312</c:v>
                </c:pt>
                <c:pt idx="319">
                  <c:v>5.6479000672789788</c:v>
                </c:pt>
                <c:pt idx="320">
                  <c:v>5.6529192367905079</c:v>
                </c:pt>
                <c:pt idx="321">
                  <c:v>5.6578605615324431</c:v>
                </c:pt>
                <c:pt idx="322">
                  <c:v>5.6627340331186842</c:v>
                </c:pt>
                <c:pt idx="323">
                  <c:v>5.6675494908479562</c:v>
                </c:pt>
                <c:pt idx="324">
                  <c:v>5.6723167206265268</c:v>
                </c:pt>
                <c:pt idx="325">
                  <c:v>5.677045558158575</c:v>
                </c:pt>
                <c:pt idx="326">
                  <c:v>5.681745999086603</c:v>
                </c:pt>
                <c:pt idx="327">
                  <c:v>5.6864283191122897</c:v>
                </c:pt>
                <c:pt idx="328">
                  <c:v>5.6911032078756829</c:v>
                </c:pt>
                <c:pt idx="329">
                  <c:v>5.6975509103562452</c:v>
                </c:pt>
                <c:pt idx="330">
                  <c:v>5.7050167551850972</c:v>
                </c:pt>
                <c:pt idx="331">
                  <c:v>5.7172980893107193</c:v>
                </c:pt>
                <c:pt idx="332">
                  <c:v>5.7348476086043378</c:v>
                </c:pt>
                <c:pt idx="333">
                  <c:v>5.7526848307514156</c:v>
                </c:pt>
                <c:pt idx="334">
                  <c:v>5.7708443538900438</c:v>
                </c:pt>
                <c:pt idx="335">
                  <c:v>5.7893641334134935</c:v>
                </c:pt>
                <c:pt idx="336">
                  <c:v>5.8082861213126185</c:v>
                </c:pt>
                <c:pt idx="337">
                  <c:v>5.8276570513076722</c:v>
                </c:pt>
                <c:pt idx="338">
                  <c:v>5.8475294140618121</c:v>
                </c:pt>
                <c:pt idx="339">
                  <c:v>5.8679626829214655</c:v>
                </c:pt>
                <c:pt idx="340">
                  <c:v>5.8890248739815192</c:v>
                </c:pt>
                <c:pt idx="341">
                  <c:v>5.9107945586150903</c:v>
                </c:pt>
                <c:pt idx="342">
                  <c:v>5.9333634975132776</c:v>
                </c:pt>
                <c:pt idx="343">
                  <c:v>5.9568401429801643</c:v>
                </c:pt>
                <c:pt idx="344">
                  <c:v>5.9813543763989303</c:v>
                </c:pt>
                <c:pt idx="345">
                  <c:v>6.007064038937699</c:v>
                </c:pt>
                <c:pt idx="346">
                  <c:v>6.0341641247806717</c:v>
                </c:pt>
                <c:pt idx="347">
                  <c:v>6.0629000276422049</c:v>
                </c:pt>
                <c:pt idx="348">
                  <c:v>6.0935871332221776</c:v>
                </c:pt>
                <c:pt idx="349">
                  <c:v>6.126640665643464</c:v>
                </c:pt>
                <c:pt idx="350">
                  <c:v>6.1626227070979791</c:v>
                </c:pt>
                <c:pt idx="351">
                  <c:v>6.2023191801329087</c:v>
                </c:pt>
                <c:pt idx="352">
                  <c:v>6.2468716290863835</c:v>
                </c:pt>
                <c:pt idx="353">
                  <c:v>1.4829537547014483E-2</c:v>
                </c:pt>
                <c:pt idx="354">
                  <c:v>7.5346993659979059E-2</c:v>
                </c:pt>
                <c:pt idx="355">
                  <c:v>0.15000848973504821</c:v>
                </c:pt>
                <c:pt idx="356">
                  <c:v>0.24766515928372018</c:v>
                </c:pt>
                <c:pt idx="357">
                  <c:v>0.35207663225908054</c:v>
                </c:pt>
                <c:pt idx="358">
                  <c:v>0.47089812453284213</c:v>
                </c:pt>
                <c:pt idx="359">
                  <c:v>0.5835976482078119</c:v>
                </c:pt>
                <c:pt idx="360">
                  <c:v>0.69077329546424493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-4.3440308904967959E-2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0.42285392549037554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2*pi bounding box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6.2831853071795862</c:v>
                </c:pt>
                <c:pt idx="1">
                  <c:v>6.2831853071795862</c:v>
                </c:pt>
                <c:pt idx="2">
                  <c:v>0</c:v>
                </c:pt>
                <c:pt idx="3">
                  <c:v>0</c:v>
                </c:pt>
                <c:pt idx="4">
                  <c:v>6.2831853071795862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1"/>
          <c:order val="0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L_Section_Capacity!$BH$2:$BH$362</c:f>
              <c:numCache>
                <c:formatCode>0.000</c:formatCode>
                <c:ptCount val="361"/>
                <c:pt idx="0">
                  <c:v>-0.2679193693316676</c:v>
                </c:pt>
                <c:pt idx="1">
                  <c:v>-0.35241541626129358</c:v>
                </c:pt>
                <c:pt idx="2">
                  <c:v>-0.42018709827049827</c:v>
                </c:pt>
                <c:pt idx="3">
                  <c:v>-0.47717897251579011</c:v>
                </c:pt>
                <c:pt idx="4">
                  <c:v>-0.52666050740640924</c:v>
                </c:pt>
                <c:pt idx="5">
                  <c:v>-0.56480737339152087</c:v>
                </c:pt>
                <c:pt idx="6">
                  <c:v>-0.59217440223933782</c:v>
                </c:pt>
                <c:pt idx="7">
                  <c:v>-0.6136312142906637</c:v>
                </c:pt>
                <c:pt idx="8">
                  <c:v>-0.6314251679567402</c:v>
                </c:pt>
                <c:pt idx="9">
                  <c:v>-0.646748239175716</c:v>
                </c:pt>
                <c:pt idx="10">
                  <c:v>-0.6602989733789737</c:v>
                </c:pt>
                <c:pt idx="11">
                  <c:v>-0.672518709960786</c:v>
                </c:pt>
                <c:pt idx="12">
                  <c:v>-0.68370312934487443</c:v>
                </c:pt>
                <c:pt idx="13">
                  <c:v>-0.69405984694644463</c:v>
                </c:pt>
                <c:pt idx="14">
                  <c:v>-0.70374033937146818</c:v>
                </c:pt>
                <c:pt idx="15">
                  <c:v>-0.71285869898142273</c:v>
                </c:pt>
                <c:pt idx="16">
                  <c:v>-0.72150319635733062</c:v>
                </c:pt>
                <c:pt idx="17">
                  <c:v>-0.72974370630150376</c:v>
                </c:pt>
                <c:pt idx="18">
                  <c:v>-0.73763664741559087</c:v>
                </c:pt>
                <c:pt idx="19">
                  <c:v>-0.7452283692251791</c:v>
                </c:pt>
                <c:pt idx="20">
                  <c:v>-0.75255753741988762</c:v>
                </c:pt>
                <c:pt idx="21">
                  <c:v>-0.75804965756810039</c:v>
                </c:pt>
                <c:pt idx="22">
                  <c:v>-0.76204791291199081</c:v>
                </c:pt>
                <c:pt idx="23">
                  <c:v>-0.76592186890378333</c:v>
                </c:pt>
                <c:pt idx="24">
                  <c:v>-0.76968923032614589</c:v>
                </c:pt>
                <c:pt idx="25">
                  <c:v>-0.7733652889280842</c:v>
                </c:pt>
                <c:pt idx="26">
                  <c:v>-0.77696339358748845</c:v>
                </c:pt>
                <c:pt idx="27">
                  <c:v>-0.78049531845491915</c:v>
                </c:pt>
                <c:pt idx="28">
                  <c:v>-0.78397155476544267</c:v>
                </c:pt>
                <c:pt idx="29">
                  <c:v>-0.78740154489692937</c:v>
                </c:pt>
                <c:pt idx="30">
                  <c:v>-0.79079387230055942</c:v>
                </c:pt>
                <c:pt idx="31">
                  <c:v>-0.7941418343395199</c:v>
                </c:pt>
                <c:pt idx="32">
                  <c:v>-0.79729781878330552</c:v>
                </c:pt>
                <c:pt idx="33">
                  <c:v>-0.80024208387125584</c:v>
                </c:pt>
                <c:pt idx="34">
                  <c:v>-0.80299742557086062</c:v>
                </c:pt>
                <c:pt idx="35">
                  <c:v>-0.8055834852520658</c:v>
                </c:pt>
                <c:pt idx="36">
                  <c:v>-0.80801727927149536</c:v>
                </c:pt>
                <c:pt idx="37">
                  <c:v>-0.81031362536881013</c:v>
                </c:pt>
                <c:pt idx="38">
                  <c:v>-0.81248548857737368</c:v>
                </c:pt>
                <c:pt idx="39">
                  <c:v>-0.81454426382167888</c:v>
                </c:pt>
                <c:pt idx="40">
                  <c:v>-0.81650000831718528</c:v>
                </c:pt>
                <c:pt idx="41">
                  <c:v>-0.81836163387378424</c:v>
                </c:pt>
                <c:pt idx="42">
                  <c:v>-0.82013706694810296</c:v>
                </c:pt>
                <c:pt idx="43">
                  <c:v>-0.82183338258572536</c:v>
                </c:pt>
                <c:pt idx="44">
                  <c:v>-0.82345691709263769</c:v>
                </c:pt>
                <c:pt idx="45">
                  <c:v>-0.82501336327968944</c:v>
                </c:pt>
                <c:pt idx="46">
                  <c:v>-0.82650785134493931</c:v>
                </c:pt>
                <c:pt idx="47">
                  <c:v>-0.82794501786814534</c:v>
                </c:pt>
                <c:pt idx="48">
                  <c:v>-0.82932906490272706</c:v>
                </c:pt>
                <c:pt idx="49">
                  <c:v>-0.83066381079459817</c:v>
                </c:pt>
                <c:pt idx="50">
                  <c:v>-0.83195273404735215</c:v>
                </c:pt>
                <c:pt idx="51">
                  <c:v>-0.83319901132412832</c:v>
                </c:pt>
                <c:pt idx="52">
                  <c:v>-0.83440555048126908</c:v>
                </c:pt>
                <c:pt idx="53">
                  <c:v>-0.83557501938270995</c:v>
                </c:pt>
                <c:pt idx="54">
                  <c:v>-0.83670987110766526</c:v>
                </c:pt>
                <c:pt idx="55">
                  <c:v>-0.83781236607709686</c:v>
                </c:pt>
                <c:pt idx="56">
                  <c:v>-0.83888459152628281</c:v>
                </c:pt>
                <c:pt idx="57">
                  <c:v>-0.83992847869232734</c:v>
                </c:pt>
                <c:pt idx="58">
                  <c:v>-0.84094581803088131</c:v>
                </c:pt>
                <c:pt idx="59">
                  <c:v>-0.84193827271386479</c:v>
                </c:pt>
                <c:pt idx="60">
                  <c:v>-0.84290739064462328</c:v>
                </c:pt>
                <c:pt idx="61">
                  <c:v>-0.84385461516736315</c:v>
                </c:pt>
                <c:pt idx="62">
                  <c:v>-0.84478129465012097</c:v>
                </c:pt>
                <c:pt idx="63">
                  <c:v>-0.8456886910672432</c:v>
                </c:pt>
                <c:pt idx="64">
                  <c:v>-0.84657798771202231</c:v>
                </c:pt>
                <c:pt idx="65">
                  <c:v>-0.84745029614006206</c:v>
                </c:pt>
                <c:pt idx="66">
                  <c:v>-0.84830666243560326</c:v>
                </c:pt>
                <c:pt idx="67">
                  <c:v>-0.8491480728810239</c:v>
                </c:pt>
                <c:pt idx="68">
                  <c:v>-0.84997545909307548</c:v>
                </c:pt>
                <c:pt idx="69">
                  <c:v>-0.85078970269009901</c:v>
                </c:pt>
                <c:pt idx="70">
                  <c:v>-0.85159163954841022</c:v>
                </c:pt>
                <c:pt idx="71">
                  <c:v>-0.85238206367706226</c:v>
                </c:pt>
                <c:pt idx="72">
                  <c:v>-0.85316173077282542</c:v>
                </c:pt>
                <c:pt idx="73">
                  <c:v>-0.85393136147476834</c:v>
                </c:pt>
                <c:pt idx="74">
                  <c:v>-0.85469164435796663</c:v>
                </c:pt>
                <c:pt idx="75">
                  <c:v>-0.85544323869548056</c:v>
                </c:pt>
                <c:pt idx="76">
                  <c:v>-0.8561867770074636</c:v>
                </c:pt>
                <c:pt idx="77">
                  <c:v>-0.85692286742568891</c:v>
                </c:pt>
                <c:pt idx="78">
                  <c:v>-0.8576520958953826</c:v>
                </c:pt>
                <c:pt idx="79">
                  <c:v>-0.85837502821842948</c:v>
                </c:pt>
                <c:pt idx="80">
                  <c:v>-0.85909221197806507</c:v>
                </c:pt>
                <c:pt idx="81">
                  <c:v>-0.85980417833453449</c:v>
                </c:pt>
                <c:pt idx="82">
                  <c:v>-0.86051144372214106</c:v>
                </c:pt>
                <c:pt idx="83">
                  <c:v>-0.86121451145606265</c:v>
                </c:pt>
                <c:pt idx="84">
                  <c:v>-0.86191387325152791</c:v>
                </c:pt>
                <c:pt idx="85">
                  <c:v>-0.86261001068190479</c:v>
                </c:pt>
                <c:pt idx="86">
                  <c:v>-0.86330339656793065</c:v>
                </c:pt>
                <c:pt idx="87">
                  <c:v>-0.86399449631951697</c:v>
                </c:pt>
                <c:pt idx="88">
                  <c:v>-0.86468376923366197</c:v>
                </c:pt>
                <c:pt idx="89">
                  <c:v>-0.86537166975268587</c:v>
                </c:pt>
                <c:pt idx="90">
                  <c:v>-0.86605864870071092</c:v>
                </c:pt>
                <c:pt idx="91">
                  <c:v>-0.86649930514653639</c:v>
                </c:pt>
                <c:pt idx="92">
                  <c:v>-0.86693823441089901</c:v>
                </c:pt>
                <c:pt idx="93">
                  <c:v>-0.86737570512696638</c:v>
                </c:pt>
                <c:pt idx="94">
                  <c:v>-0.8678119823877728</c:v>
                </c:pt>
                <c:pt idx="95">
                  <c:v>-0.86824732838123908</c:v>
                </c:pt>
                <c:pt idx="96">
                  <c:v>-0.8686820030143787</c:v>
                </c:pt>
                <c:pt idx="97">
                  <c:v>-0.86911626452901158</c:v>
                </c:pt>
                <c:pt idx="98">
                  <c:v>-0.86955037010292247</c:v>
                </c:pt>
                <c:pt idx="99">
                  <c:v>-0.86998457644654437</c:v>
                </c:pt>
                <c:pt idx="100">
                  <c:v>-0.87041914040079127</c:v>
                </c:pt>
                <c:pt idx="101">
                  <c:v>-0.87085431952695025</c:v>
                </c:pt>
                <c:pt idx="102">
                  <c:v>-0.8712903727055108</c:v>
                </c:pt>
                <c:pt idx="103">
                  <c:v>-0.87172756074056257</c:v>
                </c:pt>
                <c:pt idx="104">
                  <c:v>-0.87216614696631967</c:v>
                </c:pt>
                <c:pt idx="105">
                  <c:v>-0.87260639787146532</c:v>
                </c:pt>
                <c:pt idx="106">
                  <c:v>-0.87304858373238237</c:v>
                </c:pt>
                <c:pt idx="107">
                  <c:v>-0.8734929792685836</c:v>
                </c:pt>
                <c:pt idx="108">
                  <c:v>-0.8739398643164229</c:v>
                </c:pt>
                <c:pt idx="109">
                  <c:v>-0.87438952452418484</c:v>
                </c:pt>
                <c:pt idx="110">
                  <c:v>-0.8748422520759066</c:v>
                </c:pt>
                <c:pt idx="111">
                  <c:v>-0.87529834644980631</c:v>
                </c:pt>
                <c:pt idx="112">
                  <c:v>-0.87575811520522351</c:v>
                </c:pt>
                <c:pt idx="113">
                  <c:v>-0.8762218748144901</c:v>
                </c:pt>
                <c:pt idx="114">
                  <c:v>-0.87668995153248963</c:v>
                </c:pt>
                <c:pt idx="115">
                  <c:v>-0.87716268231956318</c:v>
                </c:pt>
                <c:pt idx="116">
                  <c:v>-0.87764041581215313</c:v>
                </c:pt>
                <c:pt idx="117">
                  <c:v>-0.87812351335973005</c:v>
                </c:pt>
                <c:pt idx="118">
                  <c:v>-0.87861235011868599</c:v>
                </c:pt>
                <c:pt idx="119">
                  <c:v>-0.87910731621767102</c:v>
                </c:pt>
                <c:pt idx="120">
                  <c:v>-0.87960881800742063</c:v>
                </c:pt>
                <c:pt idx="121">
                  <c:v>-0.88011727938819495</c:v>
                </c:pt>
                <c:pt idx="122">
                  <c:v>-0.88244853797768918</c:v>
                </c:pt>
                <c:pt idx="123">
                  <c:v>-0.88857379048890206</c:v>
                </c:pt>
                <c:pt idx="124">
                  <c:v>-0.89495401153553633</c:v>
                </c:pt>
                <c:pt idx="125">
                  <c:v>-0.90160906670951069</c:v>
                </c:pt>
                <c:pt idx="126">
                  <c:v>-0.90856172412358593</c:v>
                </c:pt>
                <c:pt idx="127">
                  <c:v>-0.91583723130333827</c:v>
                </c:pt>
                <c:pt idx="128">
                  <c:v>-0.92346366323230122</c:v>
                </c:pt>
                <c:pt idx="129">
                  <c:v>-0.93147232976740413</c:v>
                </c:pt>
                <c:pt idx="130">
                  <c:v>-0.93989825438230312</c:v>
                </c:pt>
                <c:pt idx="131">
                  <c:v>-0.94952336815573801</c:v>
                </c:pt>
                <c:pt idx="132">
                  <c:v>-0.96254817795152148</c:v>
                </c:pt>
                <c:pt idx="133">
                  <c:v>-0.9790645035812825</c:v>
                </c:pt>
                <c:pt idx="134">
                  <c:v>-0.99918401956561853</c:v>
                </c:pt>
                <c:pt idx="135">
                  <c:v>-1.0231938303775954</c:v>
                </c:pt>
                <c:pt idx="136">
                  <c:v>-1.0515693110370847</c:v>
                </c:pt>
                <c:pt idx="137">
                  <c:v>-1.0850068146060448</c:v>
                </c:pt>
                <c:pt idx="138">
                  <c:v>-1.1244788022001944</c:v>
                </c:pt>
                <c:pt idx="139">
                  <c:v>-1.1713162698990136</c:v>
                </c:pt>
                <c:pt idx="140">
                  <c:v>-1.2273240719956791</c:v>
                </c:pt>
                <c:pt idx="141">
                  <c:v>-1.2949304568880728</c:v>
                </c:pt>
                <c:pt idx="142">
                  <c:v>-1.3764388033172814</c:v>
                </c:pt>
                <c:pt idx="143">
                  <c:v>-1.4731414513030054</c:v>
                </c:pt>
                <c:pt idx="144">
                  <c:v>-1.5849368730865097</c:v>
                </c:pt>
                <c:pt idx="145">
                  <c:v>-1.6955687759028386</c:v>
                </c:pt>
                <c:pt idx="146">
                  <c:v>-1.8193430120520981</c:v>
                </c:pt>
                <c:pt idx="147">
                  <c:v>-1.9333937327825441</c:v>
                </c:pt>
                <c:pt idx="148">
                  <c:v>-2.0740224219721615</c:v>
                </c:pt>
                <c:pt idx="149">
                  <c:v>-2.2158133910643567</c:v>
                </c:pt>
                <c:pt idx="150">
                  <c:v>-2.3536754913264906</c:v>
                </c:pt>
                <c:pt idx="151">
                  <c:v>-2.4830286750223731</c:v>
                </c:pt>
                <c:pt idx="152">
                  <c:v>-2.6003269039430368</c:v>
                </c:pt>
                <c:pt idx="153">
                  <c:v>-2.7012791245651906</c:v>
                </c:pt>
                <c:pt idx="154">
                  <c:v>-2.7854905689874823</c:v>
                </c:pt>
                <c:pt idx="155">
                  <c:v>-2.8538954340020704</c:v>
                </c:pt>
                <c:pt idx="156">
                  <c:v>-2.9069566679633922</c:v>
                </c:pt>
                <c:pt idx="157">
                  <c:v>-2.9439451968483477</c:v>
                </c:pt>
                <c:pt idx="158">
                  <c:v>-2.961721411723218</c:v>
                </c:pt>
                <c:pt idx="159">
                  <c:v>-2.9647643029748281</c:v>
                </c:pt>
                <c:pt idx="160">
                  <c:v>-2.9675871026678937</c:v>
                </c:pt>
                <c:pt idx="161">
                  <c:v>-2.9703764721995984</c:v>
                </c:pt>
                <c:pt idx="162">
                  <c:v>-2.9731349862300496</c:v>
                </c:pt>
                <c:pt idx="163">
                  <c:v>-2.9758650986598072</c:v>
                </c:pt>
                <c:pt idx="164">
                  <c:v>-2.9785691536636678</c:v>
                </c:pt>
                <c:pt idx="165">
                  <c:v>-2.9812493956767572</c:v>
                </c:pt>
                <c:pt idx="166">
                  <c:v>-2.9839079784687259</c:v>
                </c:pt>
                <c:pt idx="167">
                  <c:v>-2.9865469733692445</c:v>
                </c:pt>
                <c:pt idx="168">
                  <c:v>-2.9891683767406088</c:v>
                </c:pt>
                <c:pt idx="169">
                  <c:v>-2.9917741167473109</c:v>
                </c:pt>
                <c:pt idx="170">
                  <c:v>-2.9943660594759267</c:v>
                </c:pt>
                <c:pt idx="171">
                  <c:v>-2.9969460144469133</c:v>
                </c:pt>
                <c:pt idx="172">
                  <c:v>-2.9995157395252674</c:v>
                </c:pt>
                <c:pt idx="173">
                  <c:v>-3.0020769452617193</c:v>
                </c:pt>
                <c:pt idx="174">
                  <c:v>-3.0046312986461938</c:v>
                </c:pt>
                <c:pt idx="175">
                  <c:v>-3.0071804262486186</c:v>
                </c:pt>
                <c:pt idx="176">
                  <c:v>-3.0097259167145651</c:v>
                </c:pt>
                <c:pt idx="177">
                  <c:v>-3.012269322548093</c:v>
                </c:pt>
                <c:pt idx="178">
                  <c:v>-3.0148121610672938</c:v>
                </c:pt>
                <c:pt idx="179">
                  <c:v>-3.0173559144199968</c:v>
                </c:pt>
                <c:pt idx="180">
                  <c:v>-3.0199020284330569</c:v>
                </c:pt>
                <c:pt idx="181">
                  <c:v>-3.0226643998620215</c:v>
                </c:pt>
                <c:pt idx="182">
                  <c:v>-3.0254360356883616</c:v>
                </c:pt>
                <c:pt idx="183">
                  <c:v>-3.0282191774757257</c:v>
                </c:pt>
                <c:pt idx="184">
                  <c:v>-3.0310160776885748</c:v>
                </c:pt>
                <c:pt idx="185">
                  <c:v>-3.0338290100973309</c:v>
                </c:pt>
                <c:pt idx="186">
                  <c:v>-3.036660279786771</c:v>
                </c:pt>
                <c:pt idx="187">
                  <c:v>-3.0395122329131841</c:v>
                </c:pt>
                <c:pt idx="188">
                  <c:v>-3.0423872664042682</c:v>
                </c:pt>
                <c:pt idx="189">
                  <c:v>-3.0452878377168284</c:v>
                </c:pt>
                <c:pt idx="190">
                  <c:v>-3.0482164748132918</c:v>
                </c:pt>
                <c:pt idx="191">
                  <c:v>-3.0511757864298454</c:v>
                </c:pt>
                <c:pt idx="192">
                  <c:v>-3.054168472792842</c:v>
                </c:pt>
                <c:pt idx="193">
                  <c:v>-3.0571973368752667</c:v>
                </c:pt>
                <c:pt idx="194">
                  <c:v>-3.0602652963113472</c:v>
                </c:pt>
                <c:pt idx="195">
                  <c:v>-3.0633753961050099</c:v>
                </c:pt>
                <c:pt idx="196">
                  <c:v>-3.0665308222380485</c:v>
                </c:pt>
                <c:pt idx="197">
                  <c:v>-3.0697349163490202</c:v>
                </c:pt>
                <c:pt idx="198">
                  <c:v>-3.0729911916011456</c:v>
                </c:pt>
                <c:pt idx="199">
                  <c:v>-3.0763033499499404</c:v>
                </c:pt>
                <c:pt idx="200">
                  <c:v>-3.0796753009637756</c:v>
                </c:pt>
                <c:pt idx="201">
                  <c:v>-3.0831111824313941</c:v>
                </c:pt>
                <c:pt idx="202">
                  <c:v>-3.0866153829929281</c:v>
                </c:pt>
                <c:pt idx="203">
                  <c:v>-3.0901925670674304</c:v>
                </c:pt>
                <c:pt idx="204">
                  <c:v>-3.0938477023759656</c:v>
                </c:pt>
                <c:pt idx="205">
                  <c:v>-3.0975860904504007</c:v>
                </c:pt>
                <c:pt idx="206">
                  <c:v>-3.1014134004847111</c:v>
                </c:pt>
                <c:pt idx="207">
                  <c:v>-3.1053357070544179</c:v>
                </c:pt>
                <c:pt idx="208">
                  <c:v>-3.1093595322098961</c:v>
                </c:pt>
                <c:pt idx="209">
                  <c:v>-3.1134918925817789</c:v>
                </c:pt>
                <c:pt idx="210">
                  <c:v>-3.1177403522561375</c:v>
                </c:pt>
                <c:pt idx="211">
                  <c:v>-3.1221130822347991</c:v>
                </c:pt>
                <c:pt idx="212">
                  <c:v>-3.1266189275171916</c:v>
                </c:pt>
                <c:pt idx="213">
                  <c:v>-3.1312674829732625</c:v>
                </c:pt>
                <c:pt idx="214">
                  <c:v>-3.1360672979227475</c:v>
                </c:pt>
                <c:pt idx="215">
                  <c:v>-3.1408797361588094</c:v>
                </c:pt>
                <c:pt idx="216">
                  <c:v>3.1375633027143524</c:v>
                </c:pt>
                <c:pt idx="217">
                  <c:v>3.1328798281553194</c:v>
                </c:pt>
                <c:pt idx="218">
                  <c:v>3.128244416481575</c:v>
                </c:pt>
                <c:pt idx="219">
                  <c:v>3.1236468593925961</c:v>
                </c:pt>
                <c:pt idx="220">
                  <c:v>3.1190773609185074</c:v>
                </c:pt>
                <c:pt idx="221">
                  <c:v>3.1145264368856092</c:v>
                </c:pt>
                <c:pt idx="222">
                  <c:v>3.1099848216684327</c:v>
                </c:pt>
                <c:pt idx="223">
                  <c:v>3.1054433801025336</c:v>
                </c:pt>
                <c:pt idx="224">
                  <c:v>3.1008930226239615</c:v>
                </c:pt>
                <c:pt idx="225">
                  <c:v>3.0963246218688125</c:v>
                </c:pt>
                <c:pt idx="226">
                  <c:v>3.0917289289989283</c:v>
                </c:pt>
                <c:pt idx="227">
                  <c:v>3.087096488035499</c:v>
                </c:pt>
                <c:pt idx="228">
                  <c:v>3.0824175464118211</c:v>
                </c:pt>
                <c:pt idx="229">
                  <c:v>3.0776819598570855</c:v>
                </c:pt>
                <c:pt idx="230">
                  <c:v>3.0728790894882057</c:v>
                </c:pt>
                <c:pt idx="231">
                  <c:v>3.067997688734275</c:v>
                </c:pt>
                <c:pt idx="232">
                  <c:v>3.0630257773278187</c:v>
                </c:pt>
                <c:pt idx="233">
                  <c:v>3.0579504991008166</c:v>
                </c:pt>
                <c:pt idx="234">
                  <c:v>3.0527579596779777</c:v>
                </c:pt>
                <c:pt idx="235">
                  <c:v>3.0474330392942219</c:v>
                </c:pt>
                <c:pt idx="236">
                  <c:v>3.0419591748990538</c:v>
                </c:pt>
                <c:pt idx="237">
                  <c:v>3.0363181042800269</c:v>
                </c:pt>
                <c:pt idx="238">
                  <c:v>3.0304895630602466</c:v>
                </c:pt>
                <c:pt idx="239">
                  <c:v>3.0244509230526733</c:v>
                </c:pt>
                <c:pt idx="240">
                  <c:v>3.0181767571834035</c:v>
                </c:pt>
                <c:pt idx="241">
                  <c:v>3.0116383119810584</c:v>
                </c:pt>
                <c:pt idx="242">
                  <c:v>3.0048028628778942</c:v>
                </c:pt>
                <c:pt idx="243">
                  <c:v>2.9976329197924958</c:v>
                </c:pt>
                <c:pt idx="244">
                  <c:v>2.99008523987158</c:v>
                </c:pt>
                <c:pt idx="245">
                  <c:v>2.9821095894995349</c:v>
                </c:pt>
                <c:pt idx="246">
                  <c:v>2.9793847889756142</c:v>
                </c:pt>
                <c:pt idx="247">
                  <c:v>2.9706121334051634</c:v>
                </c:pt>
                <c:pt idx="248">
                  <c:v>2.9612185955692549</c:v>
                </c:pt>
                <c:pt idx="249">
                  <c:v>2.9511080139419441</c:v>
                </c:pt>
                <c:pt idx="250">
                  <c:v>2.9401638231507965</c:v>
                </c:pt>
                <c:pt idx="251">
                  <c:v>2.9282432032479369</c:v>
                </c:pt>
                <c:pt idx="252">
                  <c:v>2.9151690983503205</c:v>
                </c:pt>
                <c:pt idx="253">
                  <c:v>2.9007191444860947</c:v>
                </c:pt>
                <c:pt idx="254">
                  <c:v>2.8846100225272533</c:v>
                </c:pt>
                <c:pt idx="255">
                  <c:v>2.8664748872770156</c:v>
                </c:pt>
                <c:pt idx="256">
                  <c:v>2.8458300572624928</c:v>
                </c:pt>
                <c:pt idx="257">
                  <c:v>2.8220245889637505</c:v>
                </c:pt>
                <c:pt idx="258">
                  <c:v>2.7941617444788935</c:v>
                </c:pt>
                <c:pt idx="259">
                  <c:v>2.7611816442322832</c:v>
                </c:pt>
                <c:pt idx="260">
                  <c:v>2.7255157348510801</c:v>
                </c:pt>
                <c:pt idx="261">
                  <c:v>2.6882268560201714</c:v>
                </c:pt>
                <c:pt idx="262">
                  <c:v>2.6491739444657458</c:v>
                </c:pt>
                <c:pt idx="263">
                  <c:v>2.6082127672498014</c:v>
                </c:pt>
                <c:pt idx="264">
                  <c:v>2.5651991922187909</c:v>
                </c:pt>
                <c:pt idx="265">
                  <c:v>2.5199937722950345</c:v>
                </c:pt>
                <c:pt idx="266">
                  <c:v>2.4724678903090016</c:v>
                </c:pt>
                <c:pt idx="267">
                  <c:v>2.4225116547938521</c:v>
                </c:pt>
                <c:pt idx="268">
                  <c:v>2.3689234025306529</c:v>
                </c:pt>
                <c:pt idx="269">
                  <c:v>2.3083790614550637</c:v>
                </c:pt>
                <c:pt idx="270">
                  <c:v>2.2433080398194711</c:v>
                </c:pt>
                <c:pt idx="271">
                  <c:v>2.1795766034745991</c:v>
                </c:pt>
                <c:pt idx="272">
                  <c:v>2.1166691720382218</c:v>
                </c:pt>
                <c:pt idx="273">
                  <c:v>2.0584500494872167</c:v>
                </c:pt>
                <c:pt idx="274">
                  <c:v>2.0015749392141267</c:v>
                </c:pt>
                <c:pt idx="275">
                  <c:v>1.9448519903415526</c:v>
                </c:pt>
                <c:pt idx="276">
                  <c:v>1.8884758630898804</c:v>
                </c:pt>
                <c:pt idx="277">
                  <c:v>1.832625191267651</c:v>
                </c:pt>
                <c:pt idx="278">
                  <c:v>1.7774593319350782</c:v>
                </c:pt>
                <c:pt idx="279">
                  <c:v>1.7231161668375068</c:v>
                </c:pt>
                <c:pt idx="280">
                  <c:v>1.6697109515757849</c:v>
                </c:pt>
                <c:pt idx="281">
                  <c:v>1.617336130925825</c:v>
                </c:pt>
                <c:pt idx="282">
                  <c:v>1.5678957571849834</c:v>
                </c:pt>
                <c:pt idx="283">
                  <c:v>1.525505450816339</c:v>
                </c:pt>
                <c:pt idx="284">
                  <c:v>1.4889166656625277</c:v>
                </c:pt>
                <c:pt idx="285">
                  <c:v>1.456964169229152</c:v>
                </c:pt>
                <c:pt idx="286">
                  <c:v>1.4287662761295155</c:v>
                </c:pt>
                <c:pt idx="287">
                  <c:v>1.403646311854992</c:v>
                </c:pt>
                <c:pt idx="288">
                  <c:v>1.3810777650981978</c:v>
                </c:pt>
                <c:pt idx="289">
                  <c:v>1.3606456062195289</c:v>
                </c:pt>
                <c:pt idx="290">
                  <c:v>1.3420186782568087</c:v>
                </c:pt>
                <c:pt idx="291">
                  <c:v>1.324929737127712</c:v>
                </c:pt>
                <c:pt idx="292">
                  <c:v>1.3091608345084256</c:v>
                </c:pt>
                <c:pt idx="293">
                  <c:v>1.2945324774844365</c:v>
                </c:pt>
                <c:pt idx="294">
                  <c:v>1.2808954911960007</c:v>
                </c:pt>
                <c:pt idx="295">
                  <c:v>1.2766662700209193</c:v>
                </c:pt>
                <c:pt idx="296">
                  <c:v>1.2643349566686182</c:v>
                </c:pt>
                <c:pt idx="297">
                  <c:v>1.252690921252918</c:v>
                </c:pt>
                <c:pt idx="298">
                  <c:v>1.2416552065717836</c:v>
                </c:pt>
                <c:pt idx="299">
                  <c:v>1.2306714475548965</c:v>
                </c:pt>
                <c:pt idx="300">
                  <c:v>1.218804347521367</c:v>
                </c:pt>
                <c:pt idx="301">
                  <c:v>1.2073213775729308</c:v>
                </c:pt>
                <c:pt idx="302">
                  <c:v>1.1961785036449089</c:v>
                </c:pt>
                <c:pt idx="303">
                  <c:v>1.1853363403442414</c:v>
                </c:pt>
                <c:pt idx="304">
                  <c:v>1.1747594236300956</c:v>
                </c:pt>
                <c:pt idx="305">
                  <c:v>1.164415603496906</c:v>
                </c:pt>
                <c:pt idx="306">
                  <c:v>1.154275532852916</c:v>
                </c:pt>
                <c:pt idx="307">
                  <c:v>1.1443122337818192</c:v>
                </c:pt>
                <c:pt idx="308">
                  <c:v>1.1345007263064206</c:v>
                </c:pt>
                <c:pt idx="309">
                  <c:v>1.1248177076553321</c:v>
                </c:pt>
                <c:pt idx="310">
                  <c:v>1.1152412724052703</c:v>
                </c:pt>
                <c:pt idx="311">
                  <c:v>1.1057506655780556</c:v>
                </c:pt>
                <c:pt idx="312">
                  <c:v>1.096369980556845</c:v>
                </c:pt>
                <c:pt idx="313">
                  <c:v>1.0904924269547041</c:v>
                </c:pt>
                <c:pt idx="314">
                  <c:v>1.0847753867422336</c:v>
                </c:pt>
                <c:pt idx="315">
                  <c:v>1.0792049165013691</c:v>
                </c:pt>
                <c:pt idx="316">
                  <c:v>1.0737679867286964</c:v>
                </c:pt>
                <c:pt idx="317">
                  <c:v>1.0684523500938454</c:v>
                </c:pt>
                <c:pt idx="318">
                  <c:v>1.0632464213084962</c:v>
                </c:pt>
                <c:pt idx="319">
                  <c:v>1.0581391660335486</c:v>
                </c:pt>
                <c:pt idx="320">
                  <c:v>1.0531199965220195</c:v>
                </c:pt>
                <c:pt idx="321">
                  <c:v>1.0481786717800843</c:v>
                </c:pt>
                <c:pt idx="322">
                  <c:v>1.0433052001938432</c:v>
                </c:pt>
                <c:pt idx="323">
                  <c:v>1.0384897424645712</c:v>
                </c:pt>
                <c:pt idx="324">
                  <c:v>1.0337225126860006</c:v>
                </c:pt>
                <c:pt idx="325">
                  <c:v>1.0289936751539523</c:v>
                </c:pt>
                <c:pt idx="326">
                  <c:v>1.0242932342259243</c:v>
                </c:pt>
                <c:pt idx="327">
                  <c:v>1.0196109142002376</c:v>
                </c:pt>
                <c:pt idx="328">
                  <c:v>1.0149360254368445</c:v>
                </c:pt>
                <c:pt idx="329">
                  <c:v>1.0084883229562822</c:v>
                </c:pt>
                <c:pt idx="330">
                  <c:v>1.0010224781274302</c:v>
                </c:pt>
                <c:pt idx="331">
                  <c:v>0.98874114400180813</c:v>
                </c:pt>
                <c:pt idx="332">
                  <c:v>0.97119162470818954</c:v>
                </c:pt>
                <c:pt idx="333">
                  <c:v>0.95335440256111181</c:v>
                </c:pt>
                <c:pt idx="334">
                  <c:v>0.93519487942248358</c:v>
                </c:pt>
                <c:pt idx="335">
                  <c:v>0.91667509989903395</c:v>
                </c:pt>
                <c:pt idx="336">
                  <c:v>0.89775311199990893</c:v>
                </c:pt>
                <c:pt idx="337">
                  <c:v>0.87838218200485529</c:v>
                </c:pt>
                <c:pt idx="338">
                  <c:v>0.85850981925071534</c:v>
                </c:pt>
                <c:pt idx="339">
                  <c:v>0.83807655039106188</c:v>
                </c:pt>
                <c:pt idx="340">
                  <c:v>0.81701435933100819</c:v>
                </c:pt>
                <c:pt idx="341">
                  <c:v>0.7952446746974372</c:v>
                </c:pt>
                <c:pt idx="342">
                  <c:v>0.77267573579924986</c:v>
                </c:pt>
                <c:pt idx="343">
                  <c:v>0.74919909033236309</c:v>
                </c:pt>
                <c:pt idx="344">
                  <c:v>0.72468485691359708</c:v>
                </c:pt>
                <c:pt idx="345">
                  <c:v>0.69897519437482836</c:v>
                </c:pt>
                <c:pt idx="346">
                  <c:v>0.67187510853185572</c:v>
                </c:pt>
                <c:pt idx="347">
                  <c:v>0.64313920567032246</c:v>
                </c:pt>
                <c:pt idx="348">
                  <c:v>0.61245210009034978</c:v>
                </c:pt>
                <c:pt idx="349">
                  <c:v>0.5793985676690635</c:v>
                </c:pt>
                <c:pt idx="350">
                  <c:v>0.54341652621454839</c:v>
                </c:pt>
                <c:pt idx="351">
                  <c:v>0.50372005317961865</c:v>
                </c:pt>
                <c:pt idx="352">
                  <c:v>0.45916760422614394</c:v>
                </c:pt>
                <c:pt idx="353">
                  <c:v>0.40802438858592621</c:v>
                </c:pt>
                <c:pt idx="354">
                  <c:v>0.34750693247296166</c:v>
                </c:pt>
                <c:pt idx="355">
                  <c:v>0.27284543639789249</c:v>
                </c:pt>
                <c:pt idx="356">
                  <c:v>0.17518876684922052</c:v>
                </c:pt>
                <c:pt idx="357">
                  <c:v>7.0777293873860156E-2</c:v>
                </c:pt>
                <c:pt idx="358">
                  <c:v>-4.8044198399901435E-2</c:v>
                </c:pt>
                <c:pt idx="359">
                  <c:v>-0.16074372207487117</c:v>
                </c:pt>
                <c:pt idx="360">
                  <c:v>-0.26791936933130428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1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-4.3440308904967959E-2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6.4256516774108263E-10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2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0.42285392613294071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3"/>
          <c:tx>
            <c:v>User+/-pi/3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1.4700514773295383</c:v>
                </c:pt>
                <c:pt idx="1">
                  <c:v>-0.62434362506365693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4"/>
          <c:tx>
            <c:v>2*pi box</c:v>
          </c:tx>
          <c:spPr>
            <a:ln w="158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L_Section_Capacity!$AC$49:$AC$53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L_Section_Capacity!$AD$49:$AD$53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C8-4CF1-8E8A-41825DE61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2</xdr:row>
      <xdr:rowOff>85724</xdr:rowOff>
    </xdr:from>
    <xdr:to>
      <xdr:col>18</xdr:col>
      <xdr:colOff>381000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24</xdr:row>
          <xdr:rowOff>85725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136525</xdr:colOff>
      <xdr:row>19</xdr:row>
      <xdr:rowOff>43656</xdr:rowOff>
    </xdr:from>
    <xdr:to>
      <xdr:col>30</xdr:col>
      <xdr:colOff>473075</xdr:colOff>
      <xdr:row>34</xdr:row>
      <xdr:rowOff>74612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383382</xdr:colOff>
      <xdr:row>0</xdr:row>
      <xdr:rowOff>121443</xdr:rowOff>
    </xdr:from>
    <xdr:to>
      <xdr:col>43</xdr:col>
      <xdr:colOff>526256</xdr:colOff>
      <xdr:row>25</xdr:row>
      <xdr:rowOff>128588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431006</xdr:colOff>
      <xdr:row>26</xdr:row>
      <xdr:rowOff>50005</xdr:rowOff>
    </xdr:from>
    <xdr:to>
      <xdr:col>43</xdr:col>
      <xdr:colOff>573880</xdr:colOff>
      <xdr:row>51</xdr:row>
      <xdr:rowOff>126206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385761</xdr:colOff>
      <xdr:row>52</xdr:row>
      <xdr:rowOff>30957</xdr:rowOff>
    </xdr:from>
    <xdr:to>
      <xdr:col>43</xdr:col>
      <xdr:colOff>583406</xdr:colOff>
      <xdr:row>82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2</xdr:row>
          <xdr:rowOff>85725</xdr:rowOff>
        </xdr:from>
        <xdr:to>
          <xdr:col>31</xdr:col>
          <xdr:colOff>180975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DA378"/>
  <sheetViews>
    <sheetView tabSelected="1" zoomScale="80" zoomScaleNormal="80" workbookViewId="0">
      <selection activeCell="D9" sqref="D9"/>
    </sheetView>
  </sheetViews>
  <sheetFormatPr defaultColWidth="8.85546875" defaultRowHeight="15" x14ac:dyDescent="0.25"/>
  <cols>
    <col min="1" max="1" width="15.28515625" customWidth="1"/>
    <col min="2" max="2" width="16" customWidth="1"/>
    <col min="3" max="3" width="12.42578125" customWidth="1"/>
    <col min="4" max="5" width="11.140625" customWidth="1"/>
    <col min="12" max="12" width="12.42578125" customWidth="1"/>
    <col min="13" max="13" width="13.140625" bestFit="1" customWidth="1"/>
    <col min="14" max="14" width="11.42578125" bestFit="1" customWidth="1"/>
    <col min="15" max="15" width="12.140625" bestFit="1" customWidth="1"/>
    <col min="16" max="16" width="10.7109375" bestFit="1" customWidth="1"/>
    <col min="20" max="20" width="16.5703125" customWidth="1"/>
    <col min="21" max="21" width="12.85546875" bestFit="1" customWidth="1"/>
    <col min="22" max="22" width="12.7109375" bestFit="1" customWidth="1"/>
    <col min="23" max="23" width="12.140625" bestFit="1" customWidth="1"/>
    <col min="24" max="24" width="11" bestFit="1" customWidth="1"/>
    <col min="25" max="25" width="10.28515625" bestFit="1" customWidth="1"/>
    <col min="27" max="27" width="10.7109375" bestFit="1" customWidth="1"/>
    <col min="30" max="30" width="13.7109375" bestFit="1" customWidth="1"/>
    <col min="45" max="47" width="13.7109375" style="6" bestFit="1" customWidth="1"/>
    <col min="48" max="48" width="14.42578125" style="6" bestFit="1" customWidth="1"/>
    <col min="49" max="49" width="19.42578125" style="6" bestFit="1" customWidth="1"/>
    <col min="50" max="50" width="19.140625" style="6" bestFit="1" customWidth="1"/>
    <col min="51" max="51" width="24.28515625" style="6" bestFit="1" customWidth="1"/>
    <col min="52" max="52" width="11" style="50" bestFit="1" customWidth="1"/>
    <col min="53" max="53" width="19.42578125" style="50" bestFit="1" customWidth="1"/>
    <col min="54" max="54" width="19.140625" style="50" bestFit="1" customWidth="1"/>
    <col min="55" max="56" width="24.28515625" style="50" bestFit="1" customWidth="1"/>
    <col min="57" max="57" width="10.7109375" bestFit="1" customWidth="1"/>
    <col min="58" max="58" width="14.42578125" bestFit="1" customWidth="1"/>
    <col min="59" max="59" width="19.42578125" bestFit="1" customWidth="1"/>
    <col min="60" max="60" width="19.140625" bestFit="1" customWidth="1"/>
    <col min="61" max="61" width="24.28515625" bestFit="1" customWidth="1"/>
    <col min="65" max="65" width="13.7109375" bestFit="1" customWidth="1"/>
    <col min="70" max="71" width="13.7109375" bestFit="1" customWidth="1"/>
    <col min="72" max="72" width="11" bestFit="1" customWidth="1"/>
    <col min="73" max="73" width="13" bestFit="1" customWidth="1"/>
    <col min="78" max="78" width="13" bestFit="1" customWidth="1"/>
    <col min="80" max="80" width="10.7109375" bestFit="1" customWidth="1"/>
  </cols>
  <sheetData>
    <row r="1" spans="1:105" x14ac:dyDescent="0.25">
      <c r="A1" s="8" t="s">
        <v>201</v>
      </c>
      <c r="B1" s="21" t="s">
        <v>202</v>
      </c>
      <c r="K1" s="8" t="s">
        <v>71</v>
      </c>
      <c r="L1" s="14">
        <v>1.0000000000000001E-9</v>
      </c>
      <c r="P1" s="8" t="s">
        <v>144</v>
      </c>
      <c r="Q1" s="4">
        <v>0.375</v>
      </c>
      <c r="T1" t="s">
        <v>162</v>
      </c>
      <c r="U1" s="4">
        <v>0</v>
      </c>
      <c r="BC1" s="6" t="s">
        <v>111</v>
      </c>
      <c r="BD1" s="6" t="s">
        <v>100</v>
      </c>
      <c r="BE1" s="6" t="s">
        <v>101</v>
      </c>
      <c r="BF1" s="6" t="s">
        <v>112</v>
      </c>
      <c r="BG1" s="6" t="s">
        <v>145</v>
      </c>
      <c r="BH1" s="6" t="s">
        <v>146</v>
      </c>
      <c r="BI1" s="6" t="s">
        <v>147</v>
      </c>
      <c r="BW1" s="46" t="s">
        <v>148</v>
      </c>
      <c r="CM1" t="s">
        <v>113</v>
      </c>
      <c r="CU1" t="s">
        <v>136</v>
      </c>
      <c r="DA1" t="s">
        <v>143</v>
      </c>
    </row>
    <row r="2" spans="1:105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75</v>
      </c>
      <c r="M2">
        <v>5835</v>
      </c>
      <c r="N2">
        <v>45</v>
      </c>
      <c r="O2">
        <v>1</v>
      </c>
      <c r="AD2" s="8" t="s">
        <v>163</v>
      </c>
      <c r="AE2" s="21">
        <v>360</v>
      </c>
      <c r="BC2">
        <v>0</v>
      </c>
      <c r="BD2">
        <v>198.94534872263469</v>
      </c>
      <c r="BE2">
        <v>164.45558313118602</v>
      </c>
      <c r="BF2" s="6">
        <f t="shared" ref="BF2:BF33" si="0">IF(BC2&lt;&gt;"",IF(AND(BD2=0,BE2=0),0,MOD(ATAN2(BD2,BE2),2*PI())),NA())</f>
        <v>0.69077329546460831</v>
      </c>
      <c r="BG2" s="6">
        <f t="shared" ref="BG2:BG33" si="1">ABS(BC2-BF2)</f>
        <v>0.69077329546460831</v>
      </c>
      <c r="BH2" s="6">
        <f>ATAN2(COS($U$13-BF2),SIN($U$13-BF2))</f>
        <v>-0.2679193693316676</v>
      </c>
      <c r="BI2" s="6">
        <f>ABS(BH2)</f>
        <v>0.2679193693316676</v>
      </c>
      <c r="BT2">
        <v>0.42285392613294071</v>
      </c>
      <c r="BV2" s="39"/>
      <c r="CJ2">
        <v>3.1415926535897931</v>
      </c>
      <c r="CM2" s="1" t="s">
        <v>114</v>
      </c>
      <c r="CN2" s="1" t="s">
        <v>33</v>
      </c>
      <c r="CO2" s="1" t="s">
        <v>115</v>
      </c>
      <c r="CP2" s="1" t="s">
        <v>116</v>
      </c>
      <c r="CQ2" s="1" t="s">
        <v>117</v>
      </c>
      <c r="CR2" s="1" t="s">
        <v>118</v>
      </c>
      <c r="CU2" s="1" t="s">
        <v>137</v>
      </c>
      <c r="CV2">
        <v>3.1415926535897931</v>
      </c>
    </row>
    <row r="3" spans="1:105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6" t="s">
        <v>78</v>
      </c>
      <c r="U3" s="19">
        <f ca="1">IF(ABS(K72)&lt;0.002,0.65,IF(ABS(K72)&gt;0.005,0.9,0.65+((ABS(K72)-0.002)*(250/3))))</f>
        <v>0.9</v>
      </c>
      <c r="V3" s="16"/>
      <c r="W3" s="30" t="s">
        <v>95</v>
      </c>
      <c r="X3" t="s">
        <v>79</v>
      </c>
      <c r="AA3" t="s">
        <v>110</v>
      </c>
      <c r="BC3">
        <v>1.7453292519943295E-2</v>
      </c>
      <c r="BD3">
        <v>198.52653350180574</v>
      </c>
      <c r="BE3">
        <v>194.54504567631534</v>
      </c>
      <c r="BF3" s="6">
        <f t="shared" si="0"/>
        <v>0.77526934239423428</v>
      </c>
      <c r="BG3" s="6">
        <f t="shared" si="1"/>
        <v>0.75781604987429096</v>
      </c>
      <c r="BH3" s="6">
        <f t="shared" ref="BH3:BH66" si="2">ATAN2(COS($U$13-BF3),SIN($U$13-BF3))</f>
        <v>-0.35241541626129358</v>
      </c>
      <c r="BI3" s="6">
        <f t="shared" ref="BI3:BI66" si="3">ABS(BH3)</f>
        <v>0.35241541626129358</v>
      </c>
      <c r="BV3" s="39"/>
      <c r="BW3" t="s">
        <v>149</v>
      </c>
      <c r="CU3" t="s">
        <v>138</v>
      </c>
      <c r="CV3" t="s">
        <v>139</v>
      </c>
      <c r="CW3" t="s">
        <v>141</v>
      </c>
      <c r="CX3" t="s">
        <v>142</v>
      </c>
      <c r="CY3" t="s">
        <v>140</v>
      </c>
    </row>
    <row r="4" spans="1:105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7" t="s">
        <v>75</v>
      </c>
      <c r="U4" s="10">
        <f ca="1">U3*IF(B1="PCA_Parabolic",B200,B75)</f>
        <v>99.999999999948571</v>
      </c>
      <c r="V4" s="17" t="s">
        <v>68</v>
      </c>
      <c r="W4" s="31">
        <f ca="1">U4-U10</f>
        <v>-5.1429083214316051E-11</v>
      </c>
      <c r="X4" cm="1">
        <f t="array" ref="X4">MAX(ABS(E3:F11))+10</f>
        <v>34</v>
      </c>
      <c r="Y4">
        <f>X4</f>
        <v>34</v>
      </c>
      <c r="AA4" t="s">
        <v>8</v>
      </c>
      <c r="AB4" t="s">
        <v>9</v>
      </c>
      <c r="BC4">
        <v>3.4906585039886591E-2</v>
      </c>
      <c r="BD4">
        <v>197.76127285231973</v>
      </c>
      <c r="BE4">
        <v>221.98338963939489</v>
      </c>
      <c r="BF4" s="6">
        <f t="shared" si="0"/>
        <v>0.84304102440343898</v>
      </c>
      <c r="BG4" s="6">
        <f t="shared" si="1"/>
        <v>0.80813443936355234</v>
      </c>
      <c r="BH4" s="6">
        <f t="shared" si="2"/>
        <v>-0.42018709827049827</v>
      </c>
      <c r="BI4" s="6">
        <f t="shared" si="3"/>
        <v>0.42018709827049827</v>
      </c>
      <c r="BV4" s="39"/>
      <c r="BW4" s="1" t="s">
        <v>100</v>
      </c>
      <c r="BX4" s="1" t="s">
        <v>101</v>
      </c>
    </row>
    <row r="5" spans="1:105" x14ac:dyDescent="0.25">
      <c r="A5" s="8" t="s">
        <v>5</v>
      </c>
      <c r="B5" s="45">
        <v>12</v>
      </c>
      <c r="C5" t="s">
        <v>4</v>
      </c>
      <c r="E5" s="5">
        <f>E4</f>
        <v>12</v>
      </c>
      <c r="F5">
        <f>(B8-B9)</f>
        <v>16</v>
      </c>
      <c r="G5">
        <f t="shared" ref="G5:G11" si="4">((E4*F5)-(E5*F4))*0.5</f>
        <v>96</v>
      </c>
      <c r="T5" s="27" t="s">
        <v>77</v>
      </c>
      <c r="U5" s="10">
        <f ca="1">U3*IF(B1="PCA_Parabolic",B204*(1/12),B79*(1/12))</f>
        <v>195.49131496325651</v>
      </c>
      <c r="V5" s="17" t="s">
        <v>70</v>
      </c>
      <c r="W5" s="32"/>
      <c r="X5">
        <f>X4</f>
        <v>34</v>
      </c>
      <c r="Y5">
        <f>X5</f>
        <v>34</v>
      </c>
      <c r="AA5">
        <v>0</v>
      </c>
      <c r="AB5">
        <v>0</v>
      </c>
      <c r="BC5">
        <v>5.235987755982989E-2</v>
      </c>
      <c r="BD5">
        <v>196.64303889645146</v>
      </c>
      <c r="BE5">
        <v>247.81808459857513</v>
      </c>
      <c r="BF5" s="6">
        <f t="shared" si="0"/>
        <v>0.90003289864873082</v>
      </c>
      <c r="BG5" s="6">
        <f t="shared" si="1"/>
        <v>0.84767302108890097</v>
      </c>
      <c r="BH5" s="6">
        <f t="shared" si="2"/>
        <v>-0.47717897251579011</v>
      </c>
      <c r="BI5" s="6">
        <f t="shared" si="3"/>
        <v>0.47717897251579011</v>
      </c>
      <c r="BV5" s="39"/>
      <c r="BW5">
        <f ca="1">B132</f>
        <v>25.30004186435599</v>
      </c>
      <c r="BX5">
        <f ca="1">B133</f>
        <v>72.299623220795937</v>
      </c>
    </row>
    <row r="6" spans="1:105" x14ac:dyDescent="0.25">
      <c r="A6" s="8" t="s">
        <v>92</v>
      </c>
      <c r="B6" s="45">
        <v>24</v>
      </c>
      <c r="C6" t="s">
        <v>4</v>
      </c>
      <c r="E6" s="5">
        <f>B7+B5</f>
        <v>12</v>
      </c>
      <c r="F6">
        <f>F5</f>
        <v>16</v>
      </c>
      <c r="G6">
        <f t="shared" si="4"/>
        <v>0</v>
      </c>
      <c r="T6" s="27" t="s">
        <v>76</v>
      </c>
      <c r="U6" s="10">
        <f ca="1">U3*IF(B1="PCA_Parabolic",B205*(1/12),B80*(1/12))</f>
        <v>87.971091582412299</v>
      </c>
      <c r="V6" s="17" t="s">
        <v>70</v>
      </c>
      <c r="W6" s="31">
        <f t="shared" ref="W6" ca="1" si="5">U6</f>
        <v>87.971091582412299</v>
      </c>
      <c r="X6">
        <f>IF(B6=0,0,-1*X5)</f>
        <v>-34</v>
      </c>
      <c r="Y6">
        <f>IF(B6=0,0,Y5)</f>
        <v>34</v>
      </c>
      <c r="AA6">
        <f>U14</f>
        <v>109.65856099730654</v>
      </c>
      <c r="AB6">
        <f>U10</f>
        <v>100</v>
      </c>
      <c r="BC6">
        <v>6.9813170079773182E-2</v>
      </c>
      <c r="BD6">
        <v>195.1651118936071</v>
      </c>
      <c r="BE6">
        <v>272.63560718143589</v>
      </c>
      <c r="BF6" s="6">
        <f t="shared" si="0"/>
        <v>0.94951443353934994</v>
      </c>
      <c r="BG6" s="6">
        <f t="shared" si="1"/>
        <v>0.87970126345957678</v>
      </c>
      <c r="BH6" s="6">
        <f t="shared" si="2"/>
        <v>-0.52666050740640924</v>
      </c>
      <c r="BI6" s="6">
        <f t="shared" si="3"/>
        <v>0.52666050740640924</v>
      </c>
      <c r="BV6" s="39"/>
    </row>
    <row r="7" spans="1:105" ht="15.75" thickBot="1" x14ac:dyDescent="0.3">
      <c r="A7" s="8" t="s">
        <v>91</v>
      </c>
      <c r="B7" s="45">
        <v>0</v>
      </c>
      <c r="C7" t="s">
        <v>4</v>
      </c>
      <c r="E7" s="5">
        <f>E6</f>
        <v>12</v>
      </c>
      <c r="F7">
        <f>B8</f>
        <v>24</v>
      </c>
      <c r="G7">
        <f t="shared" si="4"/>
        <v>48</v>
      </c>
      <c r="T7" s="28" t="s">
        <v>96</v>
      </c>
      <c r="U7" s="29">
        <f ca="1">IF(AND(U5=0,U6=0),0,MOD(ATAN2(U5,U6),2*PI()))</f>
        <v>0.42285392549037554</v>
      </c>
      <c r="V7" s="18" t="s">
        <v>97</v>
      </c>
      <c r="W7" s="33">
        <f ca="1">IF((U13-U7)=0,0,ATAN2(COS(U13-U7),SIN(U13-U7)))</f>
        <v>6.4256516774108263E-10</v>
      </c>
      <c r="X7" s="39">
        <f ca="1">U7+2*PI()</f>
        <v>6.706039232669962</v>
      </c>
      <c r="AA7">
        <f ca="1">U8</f>
        <v>214.37296280143244</v>
      </c>
      <c r="AB7" s="9">
        <f ca="1">U4</f>
        <v>99.999999999948571</v>
      </c>
      <c r="BC7">
        <v>8.7266462599716474E-2</v>
      </c>
      <c r="BD7">
        <v>193.65877418097222</v>
      </c>
      <c r="BE7">
        <v>293.57432764964324</v>
      </c>
      <c r="BF7" s="6">
        <f t="shared" si="0"/>
        <v>0.98766129952446158</v>
      </c>
      <c r="BG7" s="6">
        <f t="shared" si="1"/>
        <v>0.90039483692474509</v>
      </c>
      <c r="BH7" s="6">
        <f t="shared" si="2"/>
        <v>-0.56480737339152087</v>
      </c>
      <c r="BI7" s="6">
        <f t="shared" si="3"/>
        <v>0.56480737339152087</v>
      </c>
      <c r="BV7" s="39"/>
      <c r="BW7" t="s">
        <v>150</v>
      </c>
    </row>
    <row r="8" spans="1:105" ht="15.75" thickBot="1" x14ac:dyDescent="0.3">
      <c r="A8" s="8" t="s">
        <v>6</v>
      </c>
      <c r="B8" s="7">
        <v>24</v>
      </c>
      <c r="C8" t="s">
        <v>4</v>
      </c>
      <c r="E8" s="5">
        <f>E7-(B7+B6+B5)</f>
        <v>-24</v>
      </c>
      <c r="F8">
        <f>F7</f>
        <v>24</v>
      </c>
      <c r="G8">
        <f t="shared" si="4"/>
        <v>432</v>
      </c>
      <c r="T8" s="37" t="s">
        <v>109</v>
      </c>
      <c r="U8" s="6">
        <f ca="1">SQRT(POWER(U5,2)+POWER(U6,2))</f>
        <v>214.37296280143244</v>
      </c>
      <c r="V8" s="41" t="s">
        <v>70</v>
      </c>
      <c r="X8">
        <f ca="1">DEGREES(U7)</f>
        <v>24.227745281137899</v>
      </c>
      <c r="BC8">
        <v>0.10471975511965977</v>
      </c>
      <c r="BD8">
        <v>192.36816046005029</v>
      </c>
      <c r="BE8">
        <v>309.7368583013191</v>
      </c>
      <c r="BF8" s="6">
        <f t="shared" si="0"/>
        <v>1.0150283283722785</v>
      </c>
      <c r="BG8" s="6">
        <f t="shared" si="1"/>
        <v>0.91030857325261871</v>
      </c>
      <c r="BH8" s="6">
        <f t="shared" si="2"/>
        <v>-0.59217440223933782</v>
      </c>
      <c r="BI8" s="6">
        <f t="shared" si="3"/>
        <v>0.59217440223933782</v>
      </c>
      <c r="BV8" s="39"/>
      <c r="BW8" s="1" t="s">
        <v>100</v>
      </c>
      <c r="BX8" s="1" t="s">
        <v>101</v>
      </c>
      <c r="CE8" t="s">
        <v>100</v>
      </c>
      <c r="CF8" t="s">
        <v>101</v>
      </c>
      <c r="CG8" s="1" t="s">
        <v>155</v>
      </c>
      <c r="CH8" s="1" t="s">
        <v>156</v>
      </c>
      <c r="CI8" s="1" t="s">
        <v>157</v>
      </c>
      <c r="CJ8" s="1" t="s">
        <v>158</v>
      </c>
      <c r="CK8" s="1" t="s">
        <v>159</v>
      </c>
      <c r="CL8" s="1"/>
      <c r="CN8" s="1" t="s">
        <v>155</v>
      </c>
      <c r="CO8" s="1" t="s">
        <v>156</v>
      </c>
      <c r="CP8" s="1" t="s">
        <v>157</v>
      </c>
      <c r="CQ8" s="1" t="s">
        <v>158</v>
      </c>
    </row>
    <row r="9" spans="1:105" x14ac:dyDescent="0.25">
      <c r="A9" s="8" t="s">
        <v>7</v>
      </c>
      <c r="B9" s="7">
        <v>8</v>
      </c>
      <c r="C9" t="s">
        <v>4</v>
      </c>
      <c r="E9" s="5">
        <f>E8</f>
        <v>-24</v>
      </c>
      <c r="F9">
        <f>F6</f>
        <v>16</v>
      </c>
      <c r="G9">
        <f t="shared" si="4"/>
        <v>96</v>
      </c>
      <c r="T9" s="35" t="s">
        <v>98</v>
      </c>
      <c r="U9" s="36"/>
      <c r="V9" s="16"/>
      <c r="AA9" s="9">
        <f ca="1">U5-U11</f>
        <v>95.491314963256514</v>
      </c>
      <c r="AB9" s="9">
        <f ca="1">U6-U12</f>
        <v>42.971091582412299</v>
      </c>
      <c r="AC9" s="9">
        <f ca="1">AA9+AB9</f>
        <v>138.46240654566881</v>
      </c>
      <c r="BC9">
        <v>0.12217304763960306</v>
      </c>
      <c r="BD9">
        <v>191.19861097580318</v>
      </c>
      <c r="BE9">
        <v>323.12185775633338</v>
      </c>
      <c r="BF9" s="6">
        <f t="shared" si="0"/>
        <v>1.0364851404236044</v>
      </c>
      <c r="BG9" s="6">
        <f t="shared" si="1"/>
        <v>0.91431209278400138</v>
      </c>
      <c r="BH9" s="6">
        <f t="shared" si="2"/>
        <v>-0.6136312142906637</v>
      </c>
      <c r="BI9" s="6">
        <f t="shared" si="3"/>
        <v>0.6136312142906637</v>
      </c>
      <c r="BV9" s="39" t="s">
        <v>151</v>
      </c>
      <c r="BW9">
        <f ca="1">(U11-BW5)</f>
        <v>74.69995813564401</v>
      </c>
      <c r="BX9">
        <f ca="1">(U12 -BX5)</f>
        <v>-27.299623220795937</v>
      </c>
      <c r="CE9" s="9">
        <f ca="1">U5-BW5</f>
        <v>170.19127309890052</v>
      </c>
      <c r="CF9" s="9">
        <f ca="1">U6-BX5</f>
        <v>15.671468361616363</v>
      </c>
      <c r="CG9">
        <f ca="1">SQRT(POWER(CE9,2)+POWER(CF9,2))</f>
        <v>170.91127627992742</v>
      </c>
      <c r="CH9">
        <f ca="1">CE9/CG9</f>
        <v>0.9957872692972719</v>
      </c>
      <c r="CI9">
        <f ca="1">CF9/CG9</f>
        <v>9.1693589227833119E-2</v>
      </c>
      <c r="CJ9">
        <f ca="1">ATAN2(CH9,CI9)</f>
        <v>9.1822566725869803E-2</v>
      </c>
      <c r="CK9" s="39">
        <f ca="1">CJ9-BZ11</f>
        <v>0.44220064385191654</v>
      </c>
      <c r="CL9" s="9">
        <f ca="1">CE9+$BW$5</f>
        <v>195.49131496325651</v>
      </c>
      <c r="CM9" s="9">
        <f ca="1">CF9+$BX$5</f>
        <v>87.971091582412299</v>
      </c>
      <c r="CN9">
        <f ca="1">SQRT(POWER(CL9,2)+POWER(CM9,2))</f>
        <v>214.37296280143244</v>
      </c>
      <c r="CO9">
        <f ca="1">CL9/CN9</f>
        <v>0.91192150543879247</v>
      </c>
      <c r="CP9">
        <f ca="1">CM9/CN9</f>
        <v>0.41036467674282889</v>
      </c>
      <c r="CQ9">
        <f ca="1">ATAN2(CO9,CP9)</f>
        <v>0.42285392549037554</v>
      </c>
      <c r="CR9" s="39">
        <f ca="1">CQ9-$U$13</f>
        <v>-6.4256516774108263E-10</v>
      </c>
    </row>
    <row r="10" spans="1:105" x14ac:dyDescent="0.25">
      <c r="E10">
        <v>0</v>
      </c>
      <c r="F10">
        <f>F9</f>
        <v>16</v>
      </c>
      <c r="G10">
        <f t="shared" si="4"/>
        <v>-192</v>
      </c>
      <c r="T10" s="37" t="s">
        <v>99</v>
      </c>
      <c r="U10" s="48">
        <v>100</v>
      </c>
      <c r="V10" s="17" t="s">
        <v>68</v>
      </c>
      <c r="W10" t="str">
        <f>"+ Compression"</f>
        <v>+ Compression</v>
      </c>
      <c r="BC10">
        <v>0.13962634015954636</v>
      </c>
      <c r="BD10">
        <v>190.09990869099934</v>
      </c>
      <c r="BE10">
        <v>334.71446322831838</v>
      </c>
      <c r="BF10" s="6">
        <f t="shared" si="0"/>
        <v>1.0542790940896809</v>
      </c>
      <c r="BG10" s="6">
        <f t="shared" si="1"/>
        <v>0.91465275393013457</v>
      </c>
      <c r="BH10" s="6">
        <f t="shared" si="2"/>
        <v>-0.6314251679567402</v>
      </c>
      <c r="BI10" s="6">
        <f t="shared" si="3"/>
        <v>0.6314251679567402</v>
      </c>
      <c r="BV10" s="39" t="s">
        <v>152</v>
      </c>
      <c r="BW10">
        <f ca="1">SQRT(POWER(BW9,2)+POWER(BX9,2))</f>
        <v>79.532088954486724</v>
      </c>
      <c r="BZ10" s="1" t="s">
        <v>158</v>
      </c>
    </row>
    <row r="11" spans="1:105" x14ac:dyDescent="0.25">
      <c r="A11" t="s">
        <v>10</v>
      </c>
      <c r="E11">
        <v>0</v>
      </c>
      <c r="F11">
        <v>0</v>
      </c>
      <c r="G11">
        <f t="shared" si="4"/>
        <v>0</v>
      </c>
      <c r="T11" s="37" t="s">
        <v>100</v>
      </c>
      <c r="U11" s="48">
        <v>100</v>
      </c>
      <c r="V11" s="17" t="s">
        <v>70</v>
      </c>
      <c r="W11" t="str">
        <f>"+ Puts Top of Section in Compression"</f>
        <v>+ Puts Top of Section in Compression</v>
      </c>
      <c r="BC11">
        <v>0.15707963267948966</v>
      </c>
      <c r="BD11">
        <v>189.0429933610713</v>
      </c>
      <c r="BE11">
        <v>345.060862068468</v>
      </c>
      <c r="BF11" s="6">
        <f t="shared" si="0"/>
        <v>1.0696021653086567</v>
      </c>
      <c r="BG11" s="6">
        <f t="shared" si="1"/>
        <v>0.91252253262916705</v>
      </c>
      <c r="BH11" s="6">
        <f t="shared" si="2"/>
        <v>-0.646748239175716</v>
      </c>
      <c r="BI11" s="6">
        <f t="shared" si="3"/>
        <v>0.646748239175716</v>
      </c>
      <c r="BV11" s="39" t="s">
        <v>153</v>
      </c>
      <c r="BW11">
        <f ca="1">BW9/BW10</f>
        <v>0.9392430038948435</v>
      </c>
      <c r="BX11">
        <f ca="1">BX9/BW10</f>
        <v>-0.34325293827524767</v>
      </c>
      <c r="BZ11">
        <f ca="1">ATAN2(BW11,BX11)</f>
        <v>-0.35037807712604674</v>
      </c>
      <c r="CE11" s="9"/>
      <c r="CF11" s="9"/>
    </row>
    <row r="12" spans="1:105" x14ac:dyDescent="0.25">
      <c r="A12" s="8" t="s">
        <v>11</v>
      </c>
      <c r="B12" s="2">
        <v>60</v>
      </c>
      <c r="C12" t="s">
        <v>1</v>
      </c>
      <c r="G12">
        <f>SUM(G4:G11)</f>
        <v>480</v>
      </c>
      <c r="T12" s="37" t="s">
        <v>101</v>
      </c>
      <c r="U12" s="48">
        <v>45</v>
      </c>
      <c r="V12" s="17" t="s">
        <v>70</v>
      </c>
      <c r="W12" t="str">
        <f>"+ Puts Left of Section in Compression"</f>
        <v>+ Puts Left of Section in Compression</v>
      </c>
      <c r="BC12">
        <v>0.17453292519943295</v>
      </c>
      <c r="BD12">
        <v>188.00990735441158</v>
      </c>
      <c r="BE12">
        <v>354.49159901585205</v>
      </c>
      <c r="BF12" s="6">
        <f t="shared" si="0"/>
        <v>1.0831528995119144</v>
      </c>
      <c r="BG12" s="6">
        <f t="shared" si="1"/>
        <v>0.90861997431248143</v>
      </c>
      <c r="BH12" s="6">
        <f t="shared" si="2"/>
        <v>-0.6602989733789737</v>
      </c>
      <c r="BI12" s="6">
        <f t="shared" si="3"/>
        <v>0.6602989733789737</v>
      </c>
      <c r="BV12" s="39"/>
      <c r="CL12" t="s">
        <v>160</v>
      </c>
      <c r="CN12" s="1" t="s">
        <v>155</v>
      </c>
      <c r="CO12" s="1" t="s">
        <v>156</v>
      </c>
      <c r="CP12" s="1" t="s">
        <v>157</v>
      </c>
      <c r="CQ12" s="1" t="s">
        <v>158</v>
      </c>
    </row>
    <row r="13" spans="1:105" ht="15.75" thickBot="1" x14ac:dyDescent="0.3">
      <c r="A13" s="8" t="s">
        <v>12</v>
      </c>
      <c r="B13" s="3">
        <v>29000</v>
      </c>
      <c r="C13" t="s">
        <v>1</v>
      </c>
      <c r="T13" s="28" t="s">
        <v>96</v>
      </c>
      <c r="U13" s="29">
        <f>IF(AND(U11=0,U12=0),0,MOD(ATAN2(U11,U12),2*PI()))</f>
        <v>0.42285392613294071</v>
      </c>
      <c r="V13" s="18" t="s">
        <v>97</v>
      </c>
      <c r="X13" s="39"/>
      <c r="Y13" s="9"/>
      <c r="AA13" s="49"/>
      <c r="BC13">
        <v>0.19198621771937624</v>
      </c>
      <c r="BD13">
        <v>186.98895333585415</v>
      </c>
      <c r="BE13">
        <v>363.22077712980411</v>
      </c>
      <c r="BF13" s="6">
        <f t="shared" si="0"/>
        <v>1.0953726360937268</v>
      </c>
      <c r="BG13" s="6">
        <f t="shared" si="1"/>
        <v>0.90338641837435052</v>
      </c>
      <c r="BH13" s="6">
        <f t="shared" si="2"/>
        <v>-0.672518709960786</v>
      </c>
      <c r="BI13" s="6">
        <f t="shared" si="3"/>
        <v>0.672518709960786</v>
      </c>
      <c r="BV13" s="39"/>
      <c r="BW13" t="s">
        <v>154</v>
      </c>
      <c r="CL13">
        <f ca="1">BW5</f>
        <v>25.30004186435599</v>
      </c>
      <c r="CM13">
        <f ca="1">BX5</f>
        <v>72.299623220795937</v>
      </c>
      <c r="CN13">
        <f ca="1">SQRT(POWER(CL13,2)+POWER(CM13,2))</f>
        <v>76.598483250043671</v>
      </c>
      <c r="CO13">
        <f ca="1">CL13/CN13</f>
        <v>0.33029429292702822</v>
      </c>
      <c r="CP13">
        <f ca="1">CM13/CN13</f>
        <v>0.94387800062287419</v>
      </c>
      <c r="CQ13">
        <f ca="1">ATAN2(CO13,CP13)</f>
        <v>1.2341809773663059</v>
      </c>
    </row>
    <row r="14" spans="1:105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2" t="s">
        <v>109</v>
      </c>
      <c r="U14" s="43">
        <f>SQRT(POWER(U11,2)+POWER(U12,2))</f>
        <v>109.65856099730654</v>
      </c>
      <c r="V14" s="44" t="s">
        <v>70</v>
      </c>
      <c r="Y14" s="9"/>
      <c r="AA14" s="49"/>
      <c r="BC14">
        <v>0.20943951023931953</v>
      </c>
      <c r="BD14">
        <v>185.97216148050245</v>
      </c>
      <c r="BE14">
        <v>371.39480955051619</v>
      </c>
      <c r="BF14" s="6">
        <f t="shared" si="0"/>
        <v>1.106557055477815</v>
      </c>
      <c r="BG14" s="6">
        <f t="shared" si="1"/>
        <v>0.89711754523849552</v>
      </c>
      <c r="BH14" s="6">
        <f t="shared" si="2"/>
        <v>-0.68370312934487443</v>
      </c>
      <c r="BI14" s="6">
        <f t="shared" si="3"/>
        <v>0.68370312934487443</v>
      </c>
      <c r="BV14" s="39"/>
      <c r="BW14" t="s">
        <v>111</v>
      </c>
      <c r="BX14" s="1" t="s">
        <v>100</v>
      </c>
      <c r="BY14" s="1" t="s">
        <v>101</v>
      </c>
      <c r="BZ14" s="1" t="s">
        <v>155</v>
      </c>
      <c r="CA14" s="1" t="s">
        <v>156</v>
      </c>
      <c r="CB14" s="1" t="s">
        <v>157</v>
      </c>
      <c r="CC14" s="1" t="s">
        <v>158</v>
      </c>
      <c r="CD14" s="1" t="s">
        <v>159</v>
      </c>
      <c r="CE14" s="1"/>
      <c r="CG14" s="1" t="s">
        <v>155</v>
      </c>
      <c r="CH14" s="1" t="s">
        <v>156</v>
      </c>
      <c r="CI14" s="1" t="s">
        <v>157</v>
      </c>
      <c r="CJ14" s="1" t="s">
        <v>158</v>
      </c>
      <c r="CL14" s="1"/>
      <c r="CM14" s="1"/>
      <c r="CN14" s="1"/>
      <c r="CO14" s="1"/>
      <c r="CP14" s="1"/>
    </row>
    <row r="15" spans="1:105" x14ac:dyDescent="0.25">
      <c r="A15">
        <v>1</v>
      </c>
      <c r="B15" s="20" t="s">
        <v>81</v>
      </c>
      <c r="C15" s="6">
        <f ca="1">OFFSET($G$14,MATCH(B15,$G$14:$G$29,0)-1,2)</f>
        <v>1.056</v>
      </c>
      <c r="D15" s="2">
        <v>6</v>
      </c>
      <c r="E15" s="2">
        <v>2</v>
      </c>
      <c r="G15" s="1">
        <v>3</v>
      </c>
      <c r="H15" s="6">
        <v>0.375</v>
      </c>
      <c r="I15" s="6">
        <v>0.11</v>
      </c>
      <c r="K15" s="1">
        <f t="shared" ref="K15:K24" si="6">IF($B15=0,NA(),D15)</f>
        <v>6</v>
      </c>
      <c r="L15" s="1">
        <f t="shared" ref="L15:L24" si="7">IF($B15=0,NA(),E15)</f>
        <v>2</v>
      </c>
      <c r="T15" s="38" t="s">
        <v>103</v>
      </c>
      <c r="U15" s="6">
        <f>SQRT(POWER(U12,2)+POWER(U11,2)+POWER(U10,2))</f>
        <v>148.40822079655831</v>
      </c>
      <c r="Y15" s="9"/>
      <c r="AA15" s="9"/>
      <c r="BC15">
        <v>0.22689280275926282</v>
      </c>
      <c r="BD15">
        <v>184.95387681534649</v>
      </c>
      <c r="BE15">
        <v>379.1183546127711</v>
      </c>
      <c r="BF15" s="6">
        <f t="shared" si="0"/>
        <v>1.1169137730793854</v>
      </c>
      <c r="BG15" s="6">
        <f t="shared" si="1"/>
        <v>0.89002097032012262</v>
      </c>
      <c r="BH15" s="6">
        <f t="shared" si="2"/>
        <v>-0.69405984694644463</v>
      </c>
      <c r="BI15" s="6">
        <f t="shared" si="3"/>
        <v>0.69405984694644463</v>
      </c>
      <c r="BV15" s="39"/>
      <c r="BW15" s="6">
        <f t="shared" ref="BW15:BW46" si="8">BC2</f>
        <v>0</v>
      </c>
      <c r="BX15" s="9">
        <f t="shared" ref="BX15:BX46" ca="1" si="9">BD2-$BW$5</f>
        <v>173.6453068582787</v>
      </c>
      <c r="BY15" s="9">
        <f t="shared" ref="BY15:BY46" ca="1" si="10">BE2-$BX$5</f>
        <v>92.155959910390081</v>
      </c>
      <c r="BZ15">
        <f ca="1">SQRT(POWER(BX15,2)+POWER(BY15,2))</f>
        <v>196.58436748864645</v>
      </c>
      <c r="CA15" s="6">
        <f t="shared" ref="CA15" ca="1" si="11">BX15/BZ15</f>
        <v>0.8833118781344983</v>
      </c>
      <c r="CB15" s="6">
        <f t="shared" ref="CB15" ca="1" si="12">BY15/BZ15</f>
        <v>0.46878579964255024</v>
      </c>
      <c r="CC15" s="6">
        <f t="shared" ref="CC15" ca="1" si="13">ATAN2(CA15,CB15)</f>
        <v>0.4879156759860695</v>
      </c>
      <c r="CD15" s="6">
        <f t="shared" ref="CD15:CD78" ca="1" si="14">CC15-$BZ$11</f>
        <v>0.83829375311211618</v>
      </c>
      <c r="CE15" s="9">
        <f t="shared" ref="CE15:CE78" ca="1" si="15">BX15+$BW$5</f>
        <v>198.94534872263469</v>
      </c>
      <c r="CF15" s="9">
        <f t="shared" ref="CF15:CF78" ca="1" si="16">BY15+$BX$5</f>
        <v>164.45558313118602</v>
      </c>
      <c r="CG15">
        <f ca="1">SQRT(POWER(CE15,2)+POWER(CF15,2))</f>
        <v>258.11797806698615</v>
      </c>
      <c r="CH15">
        <f ca="1">CE15/CG15</f>
        <v>0.77075355313299743</v>
      </c>
      <c r="CI15">
        <f ca="1">CF15/CG15</f>
        <v>0.63713339288790993</v>
      </c>
      <c r="CJ15">
        <f ca="1">ATAN2(CH15,CI15)</f>
        <v>0.69077329546460831</v>
      </c>
      <c r="CK15" s="39">
        <f ca="1">CJ15-$U$13</f>
        <v>0.2679193693316676</v>
      </c>
      <c r="CL15" s="9" t="s">
        <v>161</v>
      </c>
      <c r="CM15" s="9"/>
      <c r="CN15" s="1" t="s">
        <v>155</v>
      </c>
      <c r="CO15" s="1" t="s">
        <v>156</v>
      </c>
      <c r="CP15" s="1" t="s">
        <v>157</v>
      </c>
      <c r="CQ15" s="1" t="s">
        <v>158</v>
      </c>
    </row>
    <row r="16" spans="1:105" x14ac:dyDescent="0.25">
      <c r="A16">
        <v>2</v>
      </c>
      <c r="B16" s="20" t="s">
        <v>81</v>
      </c>
      <c r="C16" s="6">
        <f t="shared" ref="C16:C24" ca="1" si="17">OFFSET($G$14,MATCH(B16,$G$14:$G$29,0)-1,2)</f>
        <v>1.056</v>
      </c>
      <c r="D16" s="2">
        <v>6</v>
      </c>
      <c r="E16" s="2">
        <v>22</v>
      </c>
      <c r="G16" s="1">
        <v>4</v>
      </c>
      <c r="H16" s="6">
        <v>0.5</v>
      </c>
      <c r="I16" s="6">
        <v>0.2</v>
      </c>
      <c r="K16" s="1">
        <f t="shared" si="6"/>
        <v>6</v>
      </c>
      <c r="L16" s="1">
        <f t="shared" si="7"/>
        <v>22</v>
      </c>
      <c r="T16" s="38" t="s">
        <v>104</v>
      </c>
      <c r="U16" s="40">
        <f>U10/U15</f>
        <v>0.67381712052920906</v>
      </c>
      <c r="V16" s="40">
        <f>U11/U15</f>
        <v>0.67381712052920906</v>
      </c>
      <c r="W16" s="40">
        <f>U12/U15</f>
        <v>0.30321770423814409</v>
      </c>
      <c r="X16" s="39"/>
      <c r="Y16" s="9"/>
      <c r="AA16" s="9"/>
      <c r="BC16">
        <v>0.24434609527920612</v>
      </c>
      <c r="BD16">
        <v>183.92992958696368</v>
      </c>
      <c r="BE16">
        <v>386.46902681033498</v>
      </c>
      <c r="BF16" s="6">
        <f t="shared" si="0"/>
        <v>1.1265942655044088</v>
      </c>
      <c r="BG16" s="6">
        <f t="shared" si="1"/>
        <v>0.88224817022520263</v>
      </c>
      <c r="BH16" s="6">
        <f t="shared" si="2"/>
        <v>-0.70374033937146818</v>
      </c>
      <c r="BI16" s="6">
        <f t="shared" si="3"/>
        <v>0.70374033937146818</v>
      </c>
      <c r="BV16" s="39"/>
      <c r="BW16" s="6">
        <f t="shared" si="8"/>
        <v>1.7453292519943295E-2</v>
      </c>
      <c r="BX16" s="9">
        <f t="shared" ca="1" si="9"/>
        <v>173.22649163744975</v>
      </c>
      <c r="BY16" s="9">
        <f t="shared" ca="1" si="10"/>
        <v>122.2454224555194</v>
      </c>
      <c r="BZ16">
        <f t="shared" ref="BZ16:BZ79" ca="1" si="18">SQRT(POWER(BX16,2)+POWER(BY16,2))</f>
        <v>212.01735946933181</v>
      </c>
      <c r="CA16" s="6">
        <f t="shared" ref="CA16:CA79" ca="1" si="19">BX16/BZ16</f>
        <v>0.81703918995607938</v>
      </c>
      <c r="CB16" s="6">
        <f t="shared" ref="CB16:CB79" ca="1" si="20">BY16/BZ16</f>
        <v>0.57658213818667114</v>
      </c>
      <c r="CC16" s="6">
        <f t="shared" ref="CC16:CC79" ca="1" si="21">ATAN2(CA16,CB16)</f>
        <v>0.61453925672555532</v>
      </c>
      <c r="CD16" s="6">
        <f t="shared" ca="1" si="14"/>
        <v>0.96491733385160205</v>
      </c>
      <c r="CE16" s="9">
        <f t="shared" ca="1" si="15"/>
        <v>198.52653350180574</v>
      </c>
      <c r="CF16" s="9">
        <f t="shared" ca="1" si="16"/>
        <v>194.54504567631534</v>
      </c>
      <c r="CG16">
        <f t="shared" ref="CG16:CG79" ca="1" si="22">SQRT(POWER(CE16,2)+POWER(CF16,2))</f>
        <v>277.95783727292746</v>
      </c>
      <c r="CH16">
        <f t="shared" ref="CH16:CH79" ca="1" si="23">CE16/CG16</f>
        <v>0.71423254494123889</v>
      </c>
      <c r="CI16">
        <f t="shared" ref="CI16:CI79" ca="1" si="24">CF16/CG16</f>
        <v>0.69990847383551591</v>
      </c>
      <c r="CJ16">
        <f t="shared" ref="CJ16:CJ79" ca="1" si="25">ATAN2(CH16,CI16)</f>
        <v>0.77526934239423428</v>
      </c>
      <c r="CK16" s="39">
        <f t="shared" ref="CK16:CK79" ca="1" si="26">CJ16-$U$13</f>
        <v>0.35241541626129358</v>
      </c>
      <c r="CL16">
        <f ca="1">BW9+CL13</f>
        <v>100</v>
      </c>
      <c r="CM16">
        <f ca="1">CM13+BX9</f>
        <v>45</v>
      </c>
      <c r="CN16">
        <f ca="1">SQRT(POWER(CL16,2)+POWER(CM16,2))</f>
        <v>109.65856099730654</v>
      </c>
      <c r="CO16">
        <f ca="1">CL16/CN16</f>
        <v>0.91192150517510651</v>
      </c>
      <c r="CP16">
        <f ca="1">CM16/CN16</f>
        <v>0.41036467732879789</v>
      </c>
      <c r="CQ16">
        <f ca="1">ATAN2(CO16,CP16)</f>
        <v>0.42285392613294065</v>
      </c>
    </row>
    <row r="17" spans="1:89" x14ac:dyDescent="0.25">
      <c r="A17">
        <v>3</v>
      </c>
      <c r="B17" s="20" t="s">
        <v>81</v>
      </c>
      <c r="C17" s="6">
        <f t="shared" ca="1" si="17"/>
        <v>1.056</v>
      </c>
      <c r="D17" s="2">
        <v>-12</v>
      </c>
      <c r="E17" s="2">
        <v>22</v>
      </c>
      <c r="G17" s="1">
        <v>5</v>
      </c>
      <c r="H17" s="6">
        <v>0.625</v>
      </c>
      <c r="I17" s="6">
        <v>0.31</v>
      </c>
      <c r="K17" s="1">
        <f t="shared" si="6"/>
        <v>-12</v>
      </c>
      <c r="L17" s="1">
        <f t="shared" si="7"/>
        <v>22</v>
      </c>
      <c r="BC17">
        <v>0.26179938779914941</v>
      </c>
      <c r="BD17">
        <v>182.8971268329359</v>
      </c>
      <c r="BE17">
        <v>393.50619639876868</v>
      </c>
      <c r="BF17" s="6">
        <f t="shared" si="0"/>
        <v>1.1357126251143634</v>
      </c>
      <c r="BG17" s="6">
        <f t="shared" si="1"/>
        <v>0.87391323731521409</v>
      </c>
      <c r="BH17" s="6">
        <f t="shared" si="2"/>
        <v>-0.71285869898142273</v>
      </c>
      <c r="BI17" s="6">
        <f t="shared" si="3"/>
        <v>0.71285869898142273</v>
      </c>
      <c r="BV17" s="39"/>
      <c r="BW17" s="6">
        <f t="shared" si="8"/>
        <v>3.4906585039886591E-2</v>
      </c>
      <c r="BX17" s="9">
        <f t="shared" ca="1" si="9"/>
        <v>172.46123098796375</v>
      </c>
      <c r="BY17" s="9">
        <f t="shared" ca="1" si="10"/>
        <v>149.68376641859896</v>
      </c>
      <c r="BZ17">
        <f t="shared" ca="1" si="18"/>
        <v>228.35959827242095</v>
      </c>
      <c r="CA17" s="6">
        <f t="shared" ca="1" si="19"/>
        <v>0.75521778936669259</v>
      </c>
      <c r="CB17" s="6">
        <f t="shared" ca="1" si="20"/>
        <v>0.65547394351269672</v>
      </c>
      <c r="CC17" s="6">
        <f t="shared" ca="1" si="21"/>
        <v>0.71481000842726139</v>
      </c>
      <c r="CD17" s="6">
        <f t="shared" ca="1" si="14"/>
        <v>1.065188085553308</v>
      </c>
      <c r="CE17" s="9">
        <f t="shared" ca="1" si="15"/>
        <v>197.76127285231973</v>
      </c>
      <c r="CF17" s="9">
        <f t="shared" ca="1" si="16"/>
        <v>221.98338963939489</v>
      </c>
      <c r="CG17">
        <f t="shared" ca="1" si="22"/>
        <v>297.29807654265954</v>
      </c>
      <c r="CH17">
        <f t="shared" ca="1" si="23"/>
        <v>0.66519526514307203</v>
      </c>
      <c r="CI17">
        <f t="shared" ca="1" si="24"/>
        <v>0.74666944442051342</v>
      </c>
      <c r="CJ17">
        <f t="shared" ca="1" si="25"/>
        <v>0.84304102440343898</v>
      </c>
      <c r="CK17" s="39">
        <f t="shared" ca="1" si="26"/>
        <v>0.42018709827049827</v>
      </c>
    </row>
    <row r="18" spans="1:89" x14ac:dyDescent="0.25">
      <c r="A18">
        <v>4</v>
      </c>
      <c r="B18" s="20">
        <v>0</v>
      </c>
      <c r="C18" s="6">
        <f t="shared" ca="1" si="17"/>
        <v>0</v>
      </c>
      <c r="D18" s="2">
        <v>4</v>
      </c>
      <c r="E18" s="2">
        <v>22</v>
      </c>
      <c r="G18" s="1">
        <v>6</v>
      </c>
      <c r="H18" s="6">
        <v>0.75</v>
      </c>
      <c r="I18" s="6">
        <v>0.44</v>
      </c>
      <c r="K18" s="1" t="e">
        <f t="shared" si="6"/>
        <v>#N/A</v>
      </c>
      <c r="L18" s="1" t="e">
        <f t="shared" si="7"/>
        <v>#N/A</v>
      </c>
      <c r="T18" s="8" t="s">
        <v>105</v>
      </c>
      <c r="U18" s="6">
        <f ca="1">SQRT(POWER(U6,2)+POWER(U5,2)+POWER(U4,2))</f>
        <v>236.54971397204022</v>
      </c>
      <c r="BC18">
        <v>0.27925268031909273</v>
      </c>
      <c r="BD18">
        <v>181.85292937883793</v>
      </c>
      <c r="BE18">
        <v>400.27649420697469</v>
      </c>
      <c r="BF18" s="6">
        <f t="shared" si="0"/>
        <v>1.1443571224902713</v>
      </c>
      <c r="BG18" s="6">
        <f t="shared" si="1"/>
        <v>0.86510444217117866</v>
      </c>
      <c r="BH18" s="6">
        <f t="shared" si="2"/>
        <v>-0.72150319635733062</v>
      </c>
      <c r="BI18" s="6">
        <f t="shared" si="3"/>
        <v>0.72150319635733062</v>
      </c>
      <c r="BV18" s="39"/>
      <c r="BW18" s="6">
        <f t="shared" si="8"/>
        <v>5.235987755982989E-2</v>
      </c>
      <c r="BX18" s="9">
        <f t="shared" ca="1" si="9"/>
        <v>171.34299703209547</v>
      </c>
      <c r="BY18" s="9">
        <f t="shared" ca="1" si="10"/>
        <v>175.5184613777792</v>
      </c>
      <c r="BZ18">
        <f t="shared" ca="1" si="18"/>
        <v>245.28585959317681</v>
      </c>
      <c r="CA18" s="6">
        <f t="shared" ca="1" si="19"/>
        <v>0.69854412853753334</v>
      </c>
      <c r="CB18" s="6">
        <f t="shared" ca="1" si="20"/>
        <v>0.71556697833657612</v>
      </c>
      <c r="CC18" s="6">
        <f t="shared" ca="1" si="21"/>
        <v>0.79743542661465705</v>
      </c>
      <c r="CD18" s="6">
        <f t="shared" ca="1" si="14"/>
        <v>1.1478135037407038</v>
      </c>
      <c r="CE18" s="9">
        <f t="shared" ca="1" si="15"/>
        <v>196.64303889645146</v>
      </c>
      <c r="CF18" s="9">
        <f t="shared" ca="1" si="16"/>
        <v>247.81808459857513</v>
      </c>
      <c r="CG18">
        <f t="shared" ca="1" si="22"/>
        <v>316.35784769867468</v>
      </c>
      <c r="CH18">
        <f t="shared" ca="1" si="23"/>
        <v>0.62158419753743721</v>
      </c>
      <c r="CI18">
        <f t="shared" ca="1" si="24"/>
        <v>0.78334735933156785</v>
      </c>
      <c r="CJ18">
        <f t="shared" ca="1" si="25"/>
        <v>0.90003289864873071</v>
      </c>
      <c r="CK18" s="39">
        <f t="shared" ca="1" si="26"/>
        <v>0.47717897251579</v>
      </c>
    </row>
    <row r="19" spans="1:89" x14ac:dyDescent="0.25">
      <c r="A19">
        <v>5</v>
      </c>
      <c r="B19" s="20">
        <v>0</v>
      </c>
      <c r="C19" s="6">
        <f t="shared" ca="1" si="17"/>
        <v>0</v>
      </c>
      <c r="D19" s="2">
        <v>8</v>
      </c>
      <c r="E19" s="2">
        <v>22</v>
      </c>
      <c r="G19" s="1">
        <v>7</v>
      </c>
      <c r="H19" s="6">
        <v>0.875</v>
      </c>
      <c r="I19" s="6">
        <v>0.6</v>
      </c>
      <c r="K19" s="1" t="e">
        <f t="shared" si="6"/>
        <v>#N/A</v>
      </c>
      <c r="L19" s="1" t="e">
        <f t="shared" si="7"/>
        <v>#N/A</v>
      </c>
      <c r="T19" s="8" t="s">
        <v>106</v>
      </c>
      <c r="U19" s="40">
        <f ca="1">U4/U18</f>
        <v>0.42274411717009475</v>
      </c>
      <c r="V19" s="40">
        <f ca="1">U5/U18</f>
        <v>0.8264280335860531</v>
      </c>
      <c r="W19" s="40">
        <f ca="1">U6/U18</f>
        <v>0.37189261447515565</v>
      </c>
      <c r="X19" s="39"/>
      <c r="BC19">
        <v>0.29670597283903605</v>
      </c>
      <c r="BD19">
        <v>180.79524012303958</v>
      </c>
      <c r="BE19">
        <v>406.81738992116362</v>
      </c>
      <c r="BF19" s="6">
        <f t="shared" si="0"/>
        <v>1.1525976324344445</v>
      </c>
      <c r="BG19" s="6">
        <f t="shared" si="1"/>
        <v>0.85589165959540847</v>
      </c>
      <c r="BH19" s="6">
        <f t="shared" si="2"/>
        <v>-0.72974370630150376</v>
      </c>
      <c r="BI19" s="6">
        <f t="shared" si="3"/>
        <v>0.72974370630150376</v>
      </c>
      <c r="BV19" s="39"/>
      <c r="BW19" s="6">
        <f t="shared" si="8"/>
        <v>6.9813170079773182E-2</v>
      </c>
      <c r="BX19" s="9">
        <f t="shared" ca="1" si="9"/>
        <v>169.86507002925111</v>
      </c>
      <c r="BY19" s="9">
        <f t="shared" ca="1" si="10"/>
        <v>200.33598396063996</v>
      </c>
      <c r="BZ19">
        <f t="shared" ca="1" si="18"/>
        <v>262.65690260398674</v>
      </c>
      <c r="CA19" s="6">
        <f t="shared" ca="1" si="19"/>
        <v>0.64671846939945155</v>
      </c>
      <c r="CB19" s="6">
        <f t="shared" ca="1" si="20"/>
        <v>0.76272879933671756</v>
      </c>
      <c r="CC19" s="6">
        <f t="shared" ca="1" si="21"/>
        <v>0.86752213535035927</v>
      </c>
      <c r="CD19" s="6">
        <f t="shared" ca="1" si="14"/>
        <v>1.217900212476406</v>
      </c>
      <c r="CE19" s="9">
        <f t="shared" ca="1" si="15"/>
        <v>195.1651118936071</v>
      </c>
      <c r="CF19" s="9">
        <f t="shared" ca="1" si="16"/>
        <v>272.63560718143589</v>
      </c>
      <c r="CG19">
        <f t="shared" ca="1" si="22"/>
        <v>335.2903148073836</v>
      </c>
      <c r="CH19">
        <f t="shared" ca="1" si="23"/>
        <v>0.58207798816295919</v>
      </c>
      <c r="CI19">
        <f t="shared" ca="1" si="24"/>
        <v>0.81313296311006966</v>
      </c>
      <c r="CJ19">
        <f t="shared" ca="1" si="25"/>
        <v>0.94951443353935006</v>
      </c>
      <c r="CK19" s="39">
        <f t="shared" ca="1" si="26"/>
        <v>0.52666050740640935</v>
      </c>
    </row>
    <row r="20" spans="1:89" x14ac:dyDescent="0.25">
      <c r="A20">
        <v>6</v>
      </c>
      <c r="B20" s="20">
        <v>0</v>
      </c>
      <c r="C20" s="6">
        <f t="shared" ca="1" si="17"/>
        <v>0</v>
      </c>
      <c r="D20" s="2">
        <v>10</v>
      </c>
      <c r="E20" s="2">
        <v>22</v>
      </c>
      <c r="G20" s="1">
        <v>8</v>
      </c>
      <c r="H20" s="6">
        <v>1</v>
      </c>
      <c r="I20" s="6">
        <v>0.79</v>
      </c>
      <c r="K20" s="1" t="e">
        <f t="shared" si="6"/>
        <v>#N/A</v>
      </c>
      <c r="L20" s="1" t="e">
        <f t="shared" si="7"/>
        <v>#N/A</v>
      </c>
      <c r="BC20">
        <v>0.31415926535897937</v>
      </c>
      <c r="BD20">
        <v>179.72226136332637</v>
      </c>
      <c r="BE20">
        <v>413.15959668000255</v>
      </c>
      <c r="BF20" s="6">
        <f t="shared" si="0"/>
        <v>1.1604905735485316</v>
      </c>
      <c r="BG20" s="6">
        <f t="shared" si="1"/>
        <v>0.84633130818955227</v>
      </c>
      <c r="BH20" s="6">
        <f t="shared" si="2"/>
        <v>-0.73763664741559087</v>
      </c>
      <c r="BI20" s="6">
        <f t="shared" si="3"/>
        <v>0.73763664741559087</v>
      </c>
      <c r="BV20" s="39"/>
      <c r="BW20" s="6">
        <f t="shared" si="8"/>
        <v>8.7266462599716474E-2</v>
      </c>
      <c r="BX20" s="9">
        <f t="shared" ca="1" si="9"/>
        <v>168.35873231661623</v>
      </c>
      <c r="BY20" s="9">
        <f t="shared" ca="1" si="10"/>
        <v>221.27470442884731</v>
      </c>
      <c r="BZ20">
        <f t="shared" ca="1" si="18"/>
        <v>278.04164718137417</v>
      </c>
      <c r="CA20" s="6">
        <f t="shared" ca="1" si="19"/>
        <v>0.60551623838852897</v>
      </c>
      <c r="CB20" s="6">
        <f t="shared" ca="1" si="20"/>
        <v>0.79583295046624358</v>
      </c>
      <c r="CC20" s="6">
        <f t="shared" ca="1" si="21"/>
        <v>0.92038194250253513</v>
      </c>
      <c r="CD20" s="6">
        <f t="shared" ca="1" si="14"/>
        <v>1.270760019628582</v>
      </c>
      <c r="CE20" s="9">
        <f t="shared" ca="1" si="15"/>
        <v>193.65877418097222</v>
      </c>
      <c r="CF20" s="9">
        <f t="shared" ca="1" si="16"/>
        <v>293.57432764964324</v>
      </c>
      <c r="CG20">
        <f t="shared" ca="1" si="22"/>
        <v>351.69533217291479</v>
      </c>
      <c r="CH20">
        <f t="shared" ca="1" si="23"/>
        <v>0.55064357261858055</v>
      </c>
      <c r="CI20">
        <f t="shared" ca="1" si="24"/>
        <v>0.834740472203095</v>
      </c>
      <c r="CJ20">
        <f t="shared" ca="1" si="25"/>
        <v>0.98766129952446158</v>
      </c>
      <c r="CK20" s="39">
        <f t="shared" ca="1" si="26"/>
        <v>0.56480737339152087</v>
      </c>
    </row>
    <row r="21" spans="1:89" x14ac:dyDescent="0.25">
      <c r="A21">
        <v>7</v>
      </c>
      <c r="B21" s="20">
        <v>0</v>
      </c>
      <c r="C21" s="6">
        <f t="shared" ca="1" si="17"/>
        <v>0</v>
      </c>
      <c r="D21" s="2">
        <v>2</v>
      </c>
      <c r="E21" s="2">
        <v>2</v>
      </c>
      <c r="G21" s="1">
        <v>9</v>
      </c>
      <c r="H21" s="6">
        <v>1.1279999999999999</v>
      </c>
      <c r="I21" s="6">
        <v>1</v>
      </c>
      <c r="K21" s="1" t="e">
        <f t="shared" si="6"/>
        <v>#N/A</v>
      </c>
      <c r="L21" s="1" t="e">
        <f t="shared" si="7"/>
        <v>#N/A</v>
      </c>
      <c r="T21" s="8" t="s">
        <v>107</v>
      </c>
      <c r="U21" s="40">
        <f ca="1">U16-U19</f>
        <v>0.25107300335911431</v>
      </c>
      <c r="V21" s="40">
        <f t="shared" ref="V21:W21" ca="1" si="27">V16-V19</f>
        <v>-0.15261091305684404</v>
      </c>
      <c r="W21" s="40">
        <f t="shared" ca="1" si="27"/>
        <v>-6.8674910237011555E-2</v>
      </c>
      <c r="BC21">
        <v>0.33161255787892269</v>
      </c>
      <c r="BD21">
        <v>178.63239614012983</v>
      </c>
      <c r="BE21">
        <v>419.32873464199611</v>
      </c>
      <c r="BF21" s="6">
        <f t="shared" si="0"/>
        <v>1.1680822953581198</v>
      </c>
      <c r="BG21" s="6">
        <f t="shared" si="1"/>
        <v>0.83646973747919717</v>
      </c>
      <c r="BH21" s="6">
        <f t="shared" si="2"/>
        <v>-0.7452283692251791</v>
      </c>
      <c r="BI21" s="6">
        <f t="shared" si="3"/>
        <v>0.7452283692251791</v>
      </c>
      <c r="BV21" s="39"/>
      <c r="BW21" s="6">
        <f t="shared" si="8"/>
        <v>0.10471975511965977</v>
      </c>
      <c r="BX21" s="9">
        <f t="shared" ca="1" si="9"/>
        <v>167.0681185956943</v>
      </c>
      <c r="BY21" s="9">
        <f t="shared" ca="1" si="10"/>
        <v>237.43723508052318</v>
      </c>
      <c r="BZ21">
        <f t="shared" ca="1" si="18"/>
        <v>290.32429601014894</v>
      </c>
      <c r="CA21" s="6">
        <f t="shared" ca="1" si="19"/>
        <v>0.5754534528858517</v>
      </c>
      <c r="CB21" s="6">
        <f t="shared" ca="1" si="20"/>
        <v>0.81783453311886456</v>
      </c>
      <c r="CC21" s="6">
        <f t="shared" ca="1" si="21"/>
        <v>0.9576378312933661</v>
      </c>
      <c r="CD21" s="6">
        <f t="shared" ca="1" si="14"/>
        <v>1.3080159084194127</v>
      </c>
      <c r="CE21" s="9">
        <f t="shared" ca="1" si="15"/>
        <v>192.36816046005029</v>
      </c>
      <c r="CF21" s="9">
        <f t="shared" ca="1" si="16"/>
        <v>309.7368583013191</v>
      </c>
      <c r="CG21">
        <f t="shared" ca="1" si="22"/>
        <v>364.6127130931601</v>
      </c>
      <c r="CH21">
        <f t="shared" ca="1" si="23"/>
        <v>0.52759586693538962</v>
      </c>
      <c r="CI21">
        <f t="shared" ca="1" si="24"/>
        <v>0.84949549804145208</v>
      </c>
      <c r="CJ21">
        <f t="shared" ca="1" si="25"/>
        <v>1.0150283283722785</v>
      </c>
      <c r="CK21" s="39">
        <f t="shared" ca="1" si="26"/>
        <v>0.59217440223933782</v>
      </c>
    </row>
    <row r="22" spans="1:89" x14ac:dyDescent="0.25">
      <c r="A22">
        <v>8</v>
      </c>
      <c r="B22" s="20">
        <v>0</v>
      </c>
      <c r="C22" s="6">
        <f t="shared" ca="1" si="17"/>
        <v>0</v>
      </c>
      <c r="D22" s="2">
        <v>4</v>
      </c>
      <c r="E22" s="2">
        <v>2</v>
      </c>
      <c r="G22" s="1">
        <v>10</v>
      </c>
      <c r="H22" s="6">
        <v>1.27</v>
      </c>
      <c r="I22" s="6">
        <v>1.27</v>
      </c>
      <c r="K22" s="1" t="e">
        <f t="shared" si="6"/>
        <v>#N/A</v>
      </c>
      <c r="L22" s="1" t="e">
        <f t="shared" si="7"/>
        <v>#N/A</v>
      </c>
      <c r="U22" s="1" t="s">
        <v>99</v>
      </c>
      <c r="V22" s="1" t="s">
        <v>100</v>
      </c>
      <c r="W22" s="1" t="s">
        <v>101</v>
      </c>
      <c r="BC22">
        <v>0.34906585039886601</v>
      </c>
      <c r="BD22">
        <v>177.52417833184631</v>
      </c>
      <c r="BE22">
        <v>425.34651189110537</v>
      </c>
      <c r="BF22" s="6">
        <f t="shared" si="0"/>
        <v>1.1754114635528283</v>
      </c>
      <c r="BG22" s="6">
        <f t="shared" si="1"/>
        <v>0.82634561315396238</v>
      </c>
      <c r="BH22" s="6">
        <f t="shared" si="2"/>
        <v>-0.75255753741988762</v>
      </c>
      <c r="BI22" s="6">
        <f t="shared" si="3"/>
        <v>0.75255753741988762</v>
      </c>
      <c r="BV22" s="39"/>
      <c r="BW22" s="6">
        <f t="shared" si="8"/>
        <v>0.12217304763960306</v>
      </c>
      <c r="BX22" s="9">
        <f t="shared" ca="1" si="9"/>
        <v>165.89856911144719</v>
      </c>
      <c r="BY22" s="9">
        <f t="shared" ca="1" si="10"/>
        <v>250.82223453553746</v>
      </c>
      <c r="BZ22">
        <f t="shared" ca="1" si="18"/>
        <v>300.72267718053087</v>
      </c>
      <c r="CA22" s="6">
        <f t="shared" ca="1" si="19"/>
        <v>0.55166630819748386</v>
      </c>
      <c r="CB22" s="6">
        <f t="shared" ca="1" si="20"/>
        <v>0.83406491617844636</v>
      </c>
      <c r="CC22" s="6">
        <f t="shared" ca="1" si="21"/>
        <v>0.98643558985456214</v>
      </c>
      <c r="CD22" s="6">
        <f t="shared" ca="1" si="14"/>
        <v>1.3368136669806088</v>
      </c>
      <c r="CE22" s="9">
        <f t="shared" ca="1" si="15"/>
        <v>191.19861097580318</v>
      </c>
      <c r="CF22" s="9">
        <f t="shared" ca="1" si="16"/>
        <v>323.12185775633338</v>
      </c>
      <c r="CG22">
        <f t="shared" ca="1" si="22"/>
        <v>375.45258528738447</v>
      </c>
      <c r="CH22">
        <f t="shared" ca="1" si="23"/>
        <v>0.50924835376870059</v>
      </c>
      <c r="CI22">
        <f t="shared" ca="1" si="24"/>
        <v>0.86061961062008585</v>
      </c>
      <c r="CJ22">
        <f t="shared" ca="1" si="25"/>
        <v>1.0364851404236042</v>
      </c>
      <c r="CK22" s="39">
        <f t="shared" ca="1" si="26"/>
        <v>0.61363121429066347</v>
      </c>
    </row>
    <row r="23" spans="1:89" x14ac:dyDescent="0.25">
      <c r="A23">
        <v>9</v>
      </c>
      <c r="B23" s="20">
        <v>0</v>
      </c>
      <c r="C23" s="6">
        <f t="shared" ca="1" si="17"/>
        <v>0</v>
      </c>
      <c r="D23" s="2">
        <v>8</v>
      </c>
      <c r="E23" s="2">
        <v>2</v>
      </c>
      <c r="G23" s="1">
        <v>11</v>
      </c>
      <c r="H23" s="6">
        <v>1.41</v>
      </c>
      <c r="I23" s="6">
        <v>1.56</v>
      </c>
      <c r="K23" s="1" t="e">
        <f t="shared" si="6"/>
        <v>#N/A</v>
      </c>
      <c r="L23" s="1" t="e">
        <f t="shared" si="7"/>
        <v>#N/A</v>
      </c>
      <c r="T23" s="8" t="s">
        <v>108</v>
      </c>
      <c r="U23" s="40">
        <f ca="1">SQRT(POWER(U21,2)+POWER(V21,2)+POWER(W21,2))</f>
        <v>0.30173496167310648</v>
      </c>
      <c r="V23" t="str">
        <f ca="1">IF(ABS(U23)&lt;=L1,"","NG")</f>
        <v>NG</v>
      </c>
      <c r="BC23">
        <v>0.36651914291880933</v>
      </c>
      <c r="BD23">
        <v>176.47976189225201</v>
      </c>
      <c r="BE23">
        <v>429.46477264255486</v>
      </c>
      <c r="BF23" s="6">
        <f t="shared" si="0"/>
        <v>1.1809035837010411</v>
      </c>
      <c r="BG23" s="6">
        <f t="shared" si="1"/>
        <v>0.81438444078223182</v>
      </c>
      <c r="BH23" s="6">
        <f t="shared" si="2"/>
        <v>-0.75804965756810039</v>
      </c>
      <c r="BI23" s="6">
        <f t="shared" si="3"/>
        <v>0.75804965756810039</v>
      </c>
      <c r="BV23" s="39"/>
      <c r="BW23" s="6">
        <f t="shared" si="8"/>
        <v>0.13962634015954636</v>
      </c>
      <c r="BX23" s="9">
        <f t="shared" ca="1" si="9"/>
        <v>164.79986682664335</v>
      </c>
      <c r="BY23" s="9">
        <f t="shared" ca="1" si="10"/>
        <v>262.41484000752246</v>
      </c>
      <c r="BZ23">
        <f t="shared" ca="1" si="18"/>
        <v>309.87181924507593</v>
      </c>
      <c r="CA23" s="6">
        <f t="shared" ca="1" si="19"/>
        <v>0.53183237904026393</v>
      </c>
      <c r="CB23" s="6">
        <f t="shared" ca="1" si="20"/>
        <v>0.84684964462670287</v>
      </c>
      <c r="CC23" s="6">
        <f t="shared" ca="1" si="21"/>
        <v>1.0100334683165269</v>
      </c>
      <c r="CD23" s="6">
        <f t="shared" ca="1" si="14"/>
        <v>1.3604115454425736</v>
      </c>
      <c r="CE23" s="9">
        <f t="shared" ca="1" si="15"/>
        <v>190.09990869099934</v>
      </c>
      <c r="CF23" s="9">
        <f t="shared" ca="1" si="16"/>
        <v>334.71446322831838</v>
      </c>
      <c r="CG23">
        <f t="shared" ca="1" si="22"/>
        <v>384.93083427876701</v>
      </c>
      <c r="CH23">
        <f t="shared" ca="1" si="23"/>
        <v>0.49385471820459292</v>
      </c>
      <c r="CI23">
        <f t="shared" ca="1" si="24"/>
        <v>0.86954443089876787</v>
      </c>
      <c r="CJ23">
        <f t="shared" ca="1" si="25"/>
        <v>1.0542790940896809</v>
      </c>
      <c r="CK23" s="39">
        <f t="shared" ca="1" si="26"/>
        <v>0.6314251679567402</v>
      </c>
    </row>
    <row r="24" spans="1:89" ht="15.75" thickBot="1" x14ac:dyDescent="0.3">
      <c r="A24">
        <v>10</v>
      </c>
      <c r="B24" s="20">
        <v>0</v>
      </c>
      <c r="C24" s="11">
        <f t="shared" ca="1" si="17"/>
        <v>0</v>
      </c>
      <c r="D24" s="2">
        <v>10</v>
      </c>
      <c r="E24" s="2">
        <v>2</v>
      </c>
      <c r="G24" s="1">
        <v>14</v>
      </c>
      <c r="H24" s="6">
        <v>1.6930000000000001</v>
      </c>
      <c r="I24" s="6">
        <v>2.25</v>
      </c>
      <c r="K24" s="1" t="e">
        <f t="shared" si="6"/>
        <v>#N/A</v>
      </c>
      <c r="L24" s="1" t="e">
        <f t="shared" si="7"/>
        <v>#N/A</v>
      </c>
      <c r="BC24">
        <v>0.38397243543875265</v>
      </c>
      <c r="BD24">
        <v>175.50118828972677</v>
      </c>
      <c r="BE24">
        <v>431.98828377332489</v>
      </c>
      <c r="BF24" s="6">
        <f t="shared" si="0"/>
        <v>1.1849018390449315</v>
      </c>
      <c r="BG24" s="6">
        <f t="shared" si="1"/>
        <v>0.80092940360617892</v>
      </c>
      <c r="BH24" s="6">
        <f t="shared" si="2"/>
        <v>-0.76204791291199081</v>
      </c>
      <c r="BI24" s="6">
        <f t="shared" si="3"/>
        <v>0.76204791291199081</v>
      </c>
      <c r="BV24" s="39"/>
      <c r="BW24" s="6">
        <f t="shared" si="8"/>
        <v>0.15707963267948966</v>
      </c>
      <c r="BX24" s="9">
        <f t="shared" ca="1" si="9"/>
        <v>163.74295149671531</v>
      </c>
      <c r="BY24" s="9">
        <f t="shared" ca="1" si="10"/>
        <v>272.76123884767208</v>
      </c>
      <c r="BZ24">
        <f t="shared" ca="1" si="18"/>
        <v>318.13589483516705</v>
      </c>
      <c r="CA24" s="6">
        <f t="shared" ca="1" si="19"/>
        <v>0.51469499089863469</v>
      </c>
      <c r="CB24" s="6">
        <f t="shared" ca="1" si="20"/>
        <v>0.85737335294715944</v>
      </c>
      <c r="CC24" s="6">
        <f t="shared" ca="1" si="21"/>
        <v>1.03014446383494</v>
      </c>
      <c r="CD24" s="6">
        <f t="shared" ca="1" si="14"/>
        <v>1.3805225409609867</v>
      </c>
      <c r="CE24" s="9">
        <f t="shared" ca="1" si="15"/>
        <v>189.0429933610713</v>
      </c>
      <c r="CF24" s="9">
        <f t="shared" ca="1" si="16"/>
        <v>345.060862068468</v>
      </c>
      <c r="CG24">
        <f t="shared" ca="1" si="22"/>
        <v>393.45171478892854</v>
      </c>
      <c r="CH24">
        <f t="shared" ca="1" si="23"/>
        <v>0.4804731718159761</v>
      </c>
      <c r="CI24">
        <f t="shared" ca="1" si="24"/>
        <v>0.87700942478692634</v>
      </c>
      <c r="CJ24">
        <f t="shared" ca="1" si="25"/>
        <v>1.0696021653086569</v>
      </c>
      <c r="CK24" s="39">
        <f t="shared" ca="1" si="26"/>
        <v>0.64674823917571622</v>
      </c>
    </row>
    <row r="25" spans="1:89" ht="15.75" thickTop="1" x14ac:dyDescent="0.25">
      <c r="C25" s="6">
        <f ca="1">SUM(C15:C24)</f>
        <v>3.1680000000000001</v>
      </c>
      <c r="D25" s="25">
        <f ca="1">C25/(B5*F27)</f>
        <v>1.2E-2</v>
      </c>
      <c r="G25" s="1">
        <v>18</v>
      </c>
      <c r="H25" s="6">
        <v>2.2570000000000001</v>
      </c>
      <c r="I25" s="6">
        <v>4</v>
      </c>
      <c r="BC25">
        <v>0.40142572795869597</v>
      </c>
      <c r="BD25">
        <v>174.52256396342113</v>
      </c>
      <c r="BE25">
        <v>434.39779071656636</v>
      </c>
      <c r="BF25" s="6">
        <f t="shared" si="0"/>
        <v>1.1887757950367241</v>
      </c>
      <c r="BG25" s="6">
        <f t="shared" si="1"/>
        <v>0.78735006707802824</v>
      </c>
      <c r="BH25" s="6">
        <f t="shared" si="2"/>
        <v>-0.76592186890378333</v>
      </c>
      <c r="BI25" s="6">
        <f t="shared" si="3"/>
        <v>0.76592186890378333</v>
      </c>
      <c r="BV25" s="39"/>
      <c r="BW25" s="6">
        <f t="shared" si="8"/>
        <v>0.17453292519943295</v>
      </c>
      <c r="BX25" s="9">
        <f t="shared" ca="1" si="9"/>
        <v>162.70986549005559</v>
      </c>
      <c r="BY25" s="9">
        <f t="shared" ca="1" si="10"/>
        <v>282.19197579505612</v>
      </c>
      <c r="BZ25">
        <f t="shared" ca="1" si="18"/>
        <v>325.74040512486249</v>
      </c>
      <c r="CA25" s="6">
        <f t="shared" ca="1" si="19"/>
        <v>0.49950777653047312</v>
      </c>
      <c r="CB25" s="6">
        <f t="shared" ca="1" si="20"/>
        <v>0.8663094026879673</v>
      </c>
      <c r="CC25" s="6">
        <f t="shared" ca="1" si="21"/>
        <v>1.0477658287078977</v>
      </c>
      <c r="CD25" s="6">
        <f t="shared" ca="1" si="14"/>
        <v>1.3981439058339444</v>
      </c>
      <c r="CE25" s="9">
        <f t="shared" ca="1" si="15"/>
        <v>188.00990735441158</v>
      </c>
      <c r="CF25" s="9">
        <f t="shared" ca="1" si="16"/>
        <v>354.49159901585205</v>
      </c>
      <c r="CG25">
        <f t="shared" ca="1" si="22"/>
        <v>401.26302974013197</v>
      </c>
      <c r="CH25">
        <f t="shared" ca="1" si="23"/>
        <v>0.46854530175922643</v>
      </c>
      <c r="CI25">
        <f t="shared" ca="1" si="24"/>
        <v>0.88343947172364656</v>
      </c>
      <c r="CJ25">
        <f t="shared" ca="1" si="25"/>
        <v>1.0831528995119144</v>
      </c>
      <c r="CK25" s="39">
        <f t="shared" ca="1" si="26"/>
        <v>0.6602989733789737</v>
      </c>
    </row>
    <row r="26" spans="1:89" x14ac:dyDescent="0.25">
      <c r="E26" s="8" t="s">
        <v>86</v>
      </c>
      <c r="F26" s="21" t="s">
        <v>80</v>
      </c>
      <c r="G26" s="1" t="s">
        <v>81</v>
      </c>
      <c r="H26" s="24">
        <v>4.0000000000000001E-3</v>
      </c>
      <c r="I26" s="6">
        <f>IF(F26="web",(B5*F27)*H26,G12*H26)</f>
        <v>1.056</v>
      </c>
      <c r="BC26">
        <v>0.41887902047863929</v>
      </c>
      <c r="BD26">
        <v>173.54231969025628</v>
      </c>
      <c r="BE26">
        <v>436.70680762696952</v>
      </c>
      <c r="BF26" s="6">
        <f t="shared" si="0"/>
        <v>1.1925431564590865</v>
      </c>
      <c r="BG26" s="6">
        <f t="shared" si="1"/>
        <v>0.77366413598044725</v>
      </c>
      <c r="BH26" s="6">
        <f t="shared" si="2"/>
        <v>-0.76968923032614589</v>
      </c>
      <c r="BI26" s="6">
        <f t="shared" si="3"/>
        <v>0.76968923032614589</v>
      </c>
      <c r="BV26" s="39"/>
      <c r="BW26" s="6">
        <f t="shared" si="8"/>
        <v>0.19198621771937624</v>
      </c>
      <c r="BX26" s="9">
        <f t="shared" ca="1" si="9"/>
        <v>161.68891147149816</v>
      </c>
      <c r="BY26" s="9">
        <f t="shared" ca="1" si="10"/>
        <v>290.92115390900818</v>
      </c>
      <c r="BZ26">
        <f t="shared" ca="1" si="18"/>
        <v>332.83392538109274</v>
      </c>
      <c r="CA26" s="6">
        <f t="shared" ca="1" si="19"/>
        <v>0.48579456341887439</v>
      </c>
      <c r="CB26" s="6">
        <f t="shared" ca="1" si="20"/>
        <v>0.87407301877627197</v>
      </c>
      <c r="CC26" s="6">
        <f t="shared" ca="1" si="21"/>
        <v>1.0635243529914591</v>
      </c>
      <c r="CD26" s="6">
        <f t="shared" ca="1" si="14"/>
        <v>1.4139024301175058</v>
      </c>
      <c r="CE26" s="9">
        <f t="shared" ca="1" si="15"/>
        <v>186.98895333585415</v>
      </c>
      <c r="CF26" s="9">
        <f t="shared" ca="1" si="16"/>
        <v>363.22077712980411</v>
      </c>
      <c r="CG26">
        <f t="shared" ca="1" si="22"/>
        <v>408.52686767019014</v>
      </c>
      <c r="CH26">
        <f t="shared" ca="1" si="23"/>
        <v>0.45771519117516923</v>
      </c>
      <c r="CI26">
        <f t="shared" ca="1" si="24"/>
        <v>0.8890988717614472</v>
      </c>
      <c r="CJ26">
        <f t="shared" ca="1" si="25"/>
        <v>1.0953726360937268</v>
      </c>
      <c r="CK26" s="39">
        <f t="shared" ca="1" si="26"/>
        <v>0.67251870996078611</v>
      </c>
    </row>
    <row r="27" spans="1:89" x14ac:dyDescent="0.25">
      <c r="A27" s="8" t="s">
        <v>15</v>
      </c>
      <c r="B27" s="34">
        <v>-4.3440308904967959E-2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4">
        <f>F28</f>
        <v>3.5355339059327377E-3</v>
      </c>
      <c r="I27" s="6">
        <f>IF(F26="web",(B5*F27)*H27,G12*H27)</f>
        <v>0.93338095116624276</v>
      </c>
      <c r="BC27">
        <v>0.43633231299858261</v>
      </c>
      <c r="BD27">
        <v>172.55896820406781</v>
      </c>
      <c r="BE27">
        <v>438.9269424719439</v>
      </c>
      <c r="BF27" s="6">
        <f t="shared" si="0"/>
        <v>1.1962192150610249</v>
      </c>
      <c r="BG27" s="6">
        <f t="shared" si="1"/>
        <v>0.75988690206244236</v>
      </c>
      <c r="BH27" s="6">
        <f t="shared" si="2"/>
        <v>-0.7733652889280842</v>
      </c>
      <c r="BI27" s="6">
        <f t="shared" si="3"/>
        <v>0.7733652889280842</v>
      </c>
      <c r="BV27" s="39"/>
      <c r="BW27" s="6">
        <f t="shared" si="8"/>
        <v>0.20943951023931953</v>
      </c>
      <c r="BX27" s="9">
        <f t="shared" ca="1" si="9"/>
        <v>160.67211961614646</v>
      </c>
      <c r="BY27" s="9">
        <f t="shared" ca="1" si="10"/>
        <v>299.09518632972026</v>
      </c>
      <c r="BZ27">
        <f t="shared" ca="1" si="18"/>
        <v>339.5194552710571</v>
      </c>
      <c r="CA27" s="6">
        <f t="shared" ca="1" si="19"/>
        <v>0.47323391081631255</v>
      </c>
      <c r="CB27" s="6">
        <f t="shared" ca="1" si="20"/>
        <v>0.88093681138518587</v>
      </c>
      <c r="CC27" s="6">
        <f t="shared" ca="1" si="21"/>
        <v>1.0778381624395625</v>
      </c>
      <c r="CD27" s="6">
        <f t="shared" ca="1" si="14"/>
        <v>1.4282162395656093</v>
      </c>
      <c r="CE27" s="9">
        <f t="shared" ca="1" si="15"/>
        <v>185.97216148050245</v>
      </c>
      <c r="CF27" s="9">
        <f t="shared" ca="1" si="16"/>
        <v>371.39480955051619</v>
      </c>
      <c r="CG27">
        <f t="shared" ca="1" si="22"/>
        <v>415.35496795728142</v>
      </c>
      <c r="CH27">
        <f t="shared" ca="1" si="23"/>
        <v>0.44774271605589505</v>
      </c>
      <c r="CI27">
        <f t="shared" ca="1" si="24"/>
        <v>0.8941624350300621</v>
      </c>
      <c r="CJ27">
        <f t="shared" ca="1" si="25"/>
        <v>1.106557055477815</v>
      </c>
      <c r="CK27" s="39">
        <f t="shared" ca="1" si="26"/>
        <v>0.68370312934487432</v>
      </c>
    </row>
    <row r="28" spans="1:89" x14ac:dyDescent="0.25">
      <c r="A28" s="8" t="s">
        <v>17</v>
      </c>
      <c r="B28" s="34">
        <v>2.5592207503376696</v>
      </c>
      <c r="C28" t="s">
        <v>4</v>
      </c>
      <c r="E28" s="8" t="s">
        <v>87</v>
      </c>
      <c r="F28" s="23">
        <f>MAX(200/(B12*1000),(3*SQRT(B2*1000))/(B12*1000))</f>
        <v>3.5355339059327377E-3</v>
      </c>
      <c r="G28" s="1" t="s">
        <v>83</v>
      </c>
      <c r="H28" s="22" t="s">
        <v>85</v>
      </c>
      <c r="I28" s="7">
        <v>10</v>
      </c>
      <c r="BC28">
        <v>0.45378560551852593</v>
      </c>
      <c r="BD28">
        <v>171.57108299142084</v>
      </c>
      <c r="BE28">
        <v>441.06824701484368</v>
      </c>
      <c r="BF28" s="6">
        <f t="shared" si="0"/>
        <v>1.1998173197204292</v>
      </c>
      <c r="BG28" s="6">
        <f t="shared" si="1"/>
        <v>0.74603171420190328</v>
      </c>
      <c r="BH28" s="6">
        <f t="shared" si="2"/>
        <v>-0.77696339358748845</v>
      </c>
      <c r="BI28" s="6">
        <f t="shared" si="3"/>
        <v>0.77696339358748845</v>
      </c>
      <c r="BV28" s="39"/>
      <c r="BW28" s="6">
        <f t="shared" si="8"/>
        <v>0.22689280275926282</v>
      </c>
      <c r="BX28" s="9">
        <f t="shared" ca="1" si="9"/>
        <v>159.6538349509905</v>
      </c>
      <c r="BY28" s="9">
        <f t="shared" ca="1" si="10"/>
        <v>306.81873139197518</v>
      </c>
      <c r="BZ28">
        <f t="shared" ca="1" si="18"/>
        <v>345.87148039053341</v>
      </c>
      <c r="CA28" s="6">
        <f t="shared" ca="1" si="19"/>
        <v>0.46159872670253349</v>
      </c>
      <c r="CB28" s="6">
        <f t="shared" ca="1" si="20"/>
        <v>0.88708884307413072</v>
      </c>
      <c r="CC28" s="6">
        <f t="shared" ca="1" si="21"/>
        <v>1.0909997544365901</v>
      </c>
      <c r="CD28" s="6">
        <f t="shared" ca="1" si="14"/>
        <v>1.4413778315626369</v>
      </c>
      <c r="CE28" s="9">
        <f t="shared" ca="1" si="15"/>
        <v>184.95387681534649</v>
      </c>
      <c r="CF28" s="9">
        <f t="shared" ca="1" si="16"/>
        <v>379.1183546127711</v>
      </c>
      <c r="CG28">
        <f t="shared" ca="1" si="22"/>
        <v>421.82776503369388</v>
      </c>
      <c r="CH28">
        <f t="shared" ca="1" si="23"/>
        <v>0.43845828119107599</v>
      </c>
      <c r="CI28">
        <f t="shared" ca="1" si="24"/>
        <v>0.89875154278308034</v>
      </c>
      <c r="CJ28">
        <f t="shared" ca="1" si="25"/>
        <v>1.1169137730793854</v>
      </c>
      <c r="CK28" s="39">
        <f t="shared" ca="1" si="26"/>
        <v>0.69405984694644474</v>
      </c>
    </row>
    <row r="29" spans="1:89" x14ac:dyDescent="0.25">
      <c r="A29" s="8" t="s">
        <v>18</v>
      </c>
      <c r="B29" s="6">
        <f>B28*B4</f>
        <v>2.0473766002701357</v>
      </c>
      <c r="C29" t="s">
        <v>4</v>
      </c>
      <c r="G29" s="1" t="s">
        <v>84</v>
      </c>
      <c r="H29" s="22" t="s">
        <v>85</v>
      </c>
      <c r="I29" s="7">
        <v>5</v>
      </c>
      <c r="BC29">
        <v>0.47123889803846924</v>
      </c>
      <c r="BD29">
        <v>170.57728043815467</v>
      </c>
      <c r="BE29">
        <v>443.13949256700801</v>
      </c>
      <c r="BF29" s="6">
        <f t="shared" si="0"/>
        <v>1.2033492445878597</v>
      </c>
      <c r="BG29" s="6">
        <f t="shared" si="1"/>
        <v>0.73211034654939056</v>
      </c>
      <c r="BH29" s="6">
        <f t="shared" si="2"/>
        <v>-0.78049531845491915</v>
      </c>
      <c r="BI29" s="6">
        <f t="shared" si="3"/>
        <v>0.78049531845491915</v>
      </c>
      <c r="BV29" s="39"/>
      <c r="BW29" s="6">
        <f t="shared" si="8"/>
        <v>0.24434609527920612</v>
      </c>
      <c r="BX29" s="9">
        <f t="shared" ca="1" si="9"/>
        <v>158.62988772260769</v>
      </c>
      <c r="BY29" s="9">
        <f t="shared" ca="1" si="10"/>
        <v>314.16940358953906</v>
      </c>
      <c r="BZ29">
        <f t="shared" ca="1" si="18"/>
        <v>351.94581320239314</v>
      </c>
      <c r="CA29" s="6">
        <f t="shared" ca="1" si="19"/>
        <v>0.45072247423322681</v>
      </c>
      <c r="CB29" s="6">
        <f t="shared" ca="1" si="20"/>
        <v>0.89266413125042621</v>
      </c>
      <c r="CC29" s="6">
        <f t="shared" ca="1" si="21"/>
        <v>1.1032218068629176</v>
      </c>
      <c r="CD29" s="6">
        <f t="shared" ca="1" si="14"/>
        <v>1.4535998839889643</v>
      </c>
      <c r="CE29" s="9">
        <f t="shared" ca="1" si="15"/>
        <v>183.92992958696368</v>
      </c>
      <c r="CF29" s="9">
        <f t="shared" ca="1" si="16"/>
        <v>386.46902681033498</v>
      </c>
      <c r="CG29">
        <f t="shared" ca="1" si="22"/>
        <v>428.00528931497195</v>
      </c>
      <c r="CH29">
        <f t="shared" ca="1" si="23"/>
        <v>0.42973751535020965</v>
      </c>
      <c r="CI29">
        <f t="shared" ca="1" si="24"/>
        <v>0.90295385701630859</v>
      </c>
      <c r="CJ29">
        <f t="shared" ca="1" si="25"/>
        <v>1.1265942655044088</v>
      </c>
      <c r="CK29" s="39">
        <f t="shared" ca="1" si="26"/>
        <v>0.70374033937146807</v>
      </c>
    </row>
    <row r="30" spans="1:89" x14ac:dyDescent="0.25">
      <c r="A30" s="8" t="s">
        <v>102</v>
      </c>
      <c r="B30" s="1">
        <v>3.0000000000000001E-3</v>
      </c>
      <c r="BC30">
        <v>0.48869219055841256</v>
      </c>
      <c r="BD30">
        <v>169.57620448609146</v>
      </c>
      <c r="BE30">
        <v>445.14838951221054</v>
      </c>
      <c r="BF30" s="6">
        <f t="shared" si="0"/>
        <v>1.2068254808983834</v>
      </c>
      <c r="BG30" s="6">
        <f t="shared" si="1"/>
        <v>0.71813329033997086</v>
      </c>
      <c r="BH30" s="6">
        <f t="shared" si="2"/>
        <v>-0.78397155476544267</v>
      </c>
      <c r="BI30" s="6">
        <f t="shared" si="3"/>
        <v>0.78397155476544267</v>
      </c>
      <c r="BV30" s="39"/>
      <c r="BW30" s="6">
        <f t="shared" si="8"/>
        <v>0.26179938779914941</v>
      </c>
      <c r="BX30" s="9">
        <f t="shared" ca="1" si="9"/>
        <v>157.59708496857991</v>
      </c>
      <c r="BY30" s="9">
        <f t="shared" ca="1" si="10"/>
        <v>321.20657317797276</v>
      </c>
      <c r="BZ30">
        <f t="shared" ca="1" si="18"/>
        <v>357.78555566614222</v>
      </c>
      <c r="CA30" s="6">
        <f t="shared" ca="1" si="19"/>
        <v>0.44047917103628775</v>
      </c>
      <c r="CB30" s="6">
        <f t="shared" ca="1" si="20"/>
        <v>0.89776283053108452</v>
      </c>
      <c r="CC30" s="6">
        <f t="shared" ca="1" si="21"/>
        <v>1.1146639842407013</v>
      </c>
      <c r="CD30" s="6">
        <f t="shared" ca="1" si="14"/>
        <v>1.4650420613667481</v>
      </c>
      <c r="CE30" s="9">
        <f t="shared" ca="1" si="15"/>
        <v>182.8971268329359</v>
      </c>
      <c r="CF30" s="9">
        <f t="shared" ca="1" si="16"/>
        <v>393.50619639876868</v>
      </c>
      <c r="CG30">
        <f t="shared" ca="1" si="22"/>
        <v>433.93373412074033</v>
      </c>
      <c r="CH30">
        <f t="shared" ca="1" si="23"/>
        <v>0.42148630643693052</v>
      </c>
      <c r="CI30">
        <f t="shared" ca="1" si="24"/>
        <v>0.90683476636383642</v>
      </c>
      <c r="CJ30">
        <f t="shared" ca="1" si="25"/>
        <v>1.1357126251143634</v>
      </c>
      <c r="CK30" s="39">
        <f t="shared" ca="1" si="26"/>
        <v>0.71285869898142273</v>
      </c>
    </row>
    <row r="31" spans="1:89" x14ac:dyDescent="0.25">
      <c r="A31" s="8" t="s">
        <v>49</v>
      </c>
      <c r="B31" s="1">
        <f>B2*0.85</f>
        <v>4.25</v>
      </c>
      <c r="C31" t="s">
        <v>1</v>
      </c>
      <c r="BC31">
        <v>0.50614548307835583</v>
      </c>
      <c r="BD31">
        <v>168.56651317138687</v>
      </c>
      <c r="BE31">
        <v>447.10176379288691</v>
      </c>
      <c r="BF31" s="6">
        <f t="shared" si="0"/>
        <v>1.2102554710298701</v>
      </c>
      <c r="BG31" s="6">
        <f t="shared" si="1"/>
        <v>0.70410998795151425</v>
      </c>
      <c r="BH31" s="6">
        <f t="shared" si="2"/>
        <v>-0.78740154489692937</v>
      </c>
      <c r="BI31" s="6">
        <f t="shared" si="3"/>
        <v>0.78740154489692937</v>
      </c>
      <c r="BV31" s="39"/>
      <c r="BW31" s="6">
        <f t="shared" si="8"/>
        <v>0.27925268031909273</v>
      </c>
      <c r="BX31" s="9">
        <f t="shared" ca="1" si="9"/>
        <v>156.55288751448194</v>
      </c>
      <c r="BY31" s="9">
        <f t="shared" ca="1" si="10"/>
        <v>327.97687098617877</v>
      </c>
      <c r="BZ31">
        <f t="shared" ca="1" si="18"/>
        <v>363.42486773885821</v>
      </c>
      <c r="CA31" s="6">
        <f t="shared" ca="1" si="19"/>
        <v>0.4307709829779019</v>
      </c>
      <c r="CB31" s="6">
        <f t="shared" ca="1" si="20"/>
        <v>0.90246127907199003</v>
      </c>
      <c r="CC31" s="6">
        <f t="shared" ca="1" si="21"/>
        <v>1.1254494124518839</v>
      </c>
      <c r="CD31" s="6">
        <f t="shared" ca="1" si="14"/>
        <v>1.4758274895779306</v>
      </c>
      <c r="CE31" s="9">
        <f t="shared" ca="1" si="15"/>
        <v>181.85292937883793</v>
      </c>
      <c r="CF31" s="9">
        <f t="shared" ca="1" si="16"/>
        <v>400.27649420697469</v>
      </c>
      <c r="CG31">
        <f t="shared" ca="1" si="22"/>
        <v>439.64958744242085</v>
      </c>
      <c r="CH31">
        <f t="shared" ca="1" si="23"/>
        <v>0.41363152513512702</v>
      </c>
      <c r="CI31">
        <f t="shared" ca="1" si="24"/>
        <v>0.91044437579370485</v>
      </c>
      <c r="CJ31">
        <f t="shared" ca="1" si="25"/>
        <v>1.1443571224902713</v>
      </c>
      <c r="CK31" s="39">
        <f t="shared" ca="1" si="26"/>
        <v>0.72150319635733062</v>
      </c>
    </row>
    <row r="32" spans="1:89" x14ac:dyDescent="0.25">
      <c r="J32" t="s">
        <v>88</v>
      </c>
      <c r="N32" t="s">
        <v>89</v>
      </c>
      <c r="BC32">
        <v>0.52359877559829915</v>
      </c>
      <c r="BD32">
        <v>167.54686653596559</v>
      </c>
      <c r="BE32">
        <v>449.00570006795289</v>
      </c>
      <c r="BF32" s="6">
        <f t="shared" si="0"/>
        <v>1.2136477984335001</v>
      </c>
      <c r="BG32" s="6">
        <f t="shared" si="1"/>
        <v>0.69004902283520098</v>
      </c>
      <c r="BH32" s="6">
        <f t="shared" si="2"/>
        <v>-0.79079387230055942</v>
      </c>
      <c r="BI32" s="6">
        <f t="shared" si="3"/>
        <v>0.79079387230055942</v>
      </c>
      <c r="BV32" s="39"/>
      <c r="BW32" s="6">
        <f t="shared" si="8"/>
        <v>0.29670597283903605</v>
      </c>
      <c r="BX32" s="9">
        <f t="shared" ca="1" si="9"/>
        <v>155.49519825868359</v>
      </c>
      <c r="BY32" s="9">
        <f t="shared" ca="1" si="10"/>
        <v>334.5177667003677</v>
      </c>
      <c r="BZ32">
        <f t="shared" ca="1" si="18"/>
        <v>368.89143785090613</v>
      </c>
      <c r="CA32" s="6">
        <f t="shared" ca="1" si="19"/>
        <v>0.42152021517379229</v>
      </c>
      <c r="CB32" s="6">
        <f t="shared" ca="1" si="20"/>
        <v>0.9068190052043682</v>
      </c>
      <c r="CC32" s="6">
        <f t="shared" ca="1" si="21"/>
        <v>1.1356752323799955</v>
      </c>
      <c r="CD32" s="6">
        <f t="shared" ca="1" si="14"/>
        <v>1.4860533095060422</v>
      </c>
      <c r="CE32" s="9">
        <f t="shared" ca="1" si="15"/>
        <v>180.79524012303958</v>
      </c>
      <c r="CF32" s="9">
        <f t="shared" ca="1" si="16"/>
        <v>406.81738992116362</v>
      </c>
      <c r="CG32">
        <f t="shared" ca="1" si="22"/>
        <v>445.18233072912454</v>
      </c>
      <c r="CH32">
        <f t="shared" ca="1" si="23"/>
        <v>0.4061150401610305</v>
      </c>
      <c r="CI32">
        <f t="shared" ca="1" si="24"/>
        <v>0.91382195976842473</v>
      </c>
      <c r="CJ32">
        <f t="shared" ca="1" si="25"/>
        <v>1.1525976324344445</v>
      </c>
      <c r="CK32" s="39">
        <f t="shared" ca="1" si="26"/>
        <v>0.72974370630150376</v>
      </c>
    </row>
    <row r="33" spans="1:89" x14ac:dyDescent="0.25">
      <c r="A33" t="s">
        <v>19</v>
      </c>
      <c r="J33">
        <f>(J38*COS(-1*$B$27))+(K38*SIN(-1*$B$27))+$I$2</f>
        <v>-25.042303541716556</v>
      </c>
      <c r="K33">
        <f>(-1*J38*SIN(-1*$B$27))+(K38*COS(-1*$B$27))+$I$3</f>
        <v>23.048504695097343</v>
      </c>
      <c r="N33" t="e">
        <f>IF(B1="PCA_Parabolic",NA(),(N38*COS(-1*$B$27))+(O38*SIN(-1*$B$27))+$I$2)</f>
        <v>#N/A</v>
      </c>
      <c r="O33">
        <f>(-1*N38*SIN(-1*$B$27))+(O38*COS(-1*$B$27))+$I$3</f>
        <v>23.55986598068197</v>
      </c>
      <c r="BC33">
        <v>0.54105206811824247</v>
      </c>
      <c r="BD33">
        <v>166.5204633229867</v>
      </c>
      <c r="BE33">
        <v>450.85774180434407</v>
      </c>
      <c r="BF33" s="6">
        <f t="shared" si="0"/>
        <v>1.2169957604724606</v>
      </c>
      <c r="BG33" s="6">
        <f t="shared" si="1"/>
        <v>0.67594369235421814</v>
      </c>
      <c r="BH33" s="6">
        <f t="shared" si="2"/>
        <v>-0.7941418343395199</v>
      </c>
      <c r="BI33" s="6">
        <f t="shared" si="3"/>
        <v>0.7941418343395199</v>
      </c>
      <c r="BV33" s="39"/>
      <c r="BW33" s="6">
        <f t="shared" si="8"/>
        <v>0.31415926535897937</v>
      </c>
      <c r="BX33" s="9">
        <f t="shared" ca="1" si="9"/>
        <v>154.42221949897038</v>
      </c>
      <c r="BY33" s="9">
        <f t="shared" ca="1" si="10"/>
        <v>340.85997345920663</v>
      </c>
      <c r="BZ33">
        <f t="shared" ca="1" si="18"/>
        <v>374.20815515111275</v>
      </c>
      <c r="CA33" s="6">
        <f t="shared" ca="1" si="19"/>
        <v>0.41266396088190965</v>
      </c>
      <c r="CB33" s="6">
        <f t="shared" ca="1" si="20"/>
        <v>0.91088333796883858</v>
      </c>
      <c r="CC33" s="6">
        <f t="shared" ca="1" si="21"/>
        <v>1.1454196047167098</v>
      </c>
      <c r="CD33" s="6">
        <f t="shared" ca="1" si="14"/>
        <v>1.4957976818427565</v>
      </c>
      <c r="CE33" s="9">
        <f t="shared" ca="1" si="15"/>
        <v>179.72226136332637</v>
      </c>
      <c r="CF33" s="9">
        <f t="shared" ca="1" si="16"/>
        <v>413.15959668000255</v>
      </c>
      <c r="CG33">
        <f t="shared" ca="1" si="22"/>
        <v>450.55626014775356</v>
      </c>
      <c r="CH33">
        <f t="shared" ca="1" si="23"/>
        <v>0.39888972201693301</v>
      </c>
      <c r="CI33">
        <f t="shared" ca="1" si="24"/>
        <v>0.91699890385389982</v>
      </c>
      <c r="CJ33">
        <f t="shared" ca="1" si="25"/>
        <v>1.1604905735485316</v>
      </c>
      <c r="CK33" s="39">
        <f t="shared" ca="1" si="26"/>
        <v>0.73763664741559087</v>
      </c>
    </row>
    <row r="34" spans="1:89" x14ac:dyDescent="0.25">
      <c r="J34">
        <f>(J39*COS(-1*$B$27))+(K39*SIN(-1*$B$27))+$I$2</f>
        <v>13.929174556859799</v>
      </c>
      <c r="K34">
        <f>(-1*J39*SIN(-1*$B$27))+(K39*COS(-1*$B$27))+$I$3</f>
        <v>21.354505954601308</v>
      </c>
      <c r="N34" t="e">
        <f>IF(B1="PCA_Parabolic",NA(),(N39*COS(-1*$B$27))+(O39*SIN(-1*$B$27))+$I$2)</f>
        <v>#N/A</v>
      </c>
      <c r="O34">
        <f>(-1*N39*SIN(-1*$B$27))+(O39*COS(-1*$B$27))+$I$3</f>
        <v>21.865867240185931</v>
      </c>
      <c r="BC34">
        <v>0.55850536063818579</v>
      </c>
      <c r="BD34">
        <v>165.53512397495086</v>
      </c>
      <c r="BE34">
        <v>452.57960070399082</v>
      </c>
      <c r="BF34" s="6">
        <f t="shared" ref="BF34:BF65" si="28">IF(BC34&lt;&gt;"",IF(AND(BD34=0,BE34=0),0,MOD(ATAN2(BD34,BE34),2*PI())),NA())</f>
        <v>1.2201517449162462</v>
      </c>
      <c r="BG34" s="6">
        <f t="shared" ref="BG34:BG65" si="29">ABS(BC34-BF34)</f>
        <v>0.66164638427806044</v>
      </c>
      <c r="BH34" s="6">
        <f t="shared" si="2"/>
        <v>-0.79729781878330552</v>
      </c>
      <c r="BI34" s="6">
        <f t="shared" si="3"/>
        <v>0.79729781878330552</v>
      </c>
      <c r="BV34" s="39"/>
      <c r="BW34" s="6">
        <f t="shared" si="8"/>
        <v>0.33161255787892269</v>
      </c>
      <c r="BX34" s="9">
        <f t="shared" ca="1" si="9"/>
        <v>153.33235427577384</v>
      </c>
      <c r="BY34" s="9">
        <f t="shared" ca="1" si="10"/>
        <v>347.02911142120018</v>
      </c>
      <c r="BZ34">
        <f t="shared" ca="1" si="18"/>
        <v>379.39427386498494</v>
      </c>
      <c r="CA34" s="6">
        <f t="shared" ca="1" si="19"/>
        <v>0.40415041775337979</v>
      </c>
      <c r="CB34" s="6">
        <f t="shared" ca="1" si="20"/>
        <v>0.91469253841373854</v>
      </c>
      <c r="CC34" s="6">
        <f t="shared" ca="1" si="21"/>
        <v>1.154746504268503</v>
      </c>
      <c r="CD34" s="6">
        <f t="shared" ca="1" si="14"/>
        <v>1.5051245813945497</v>
      </c>
      <c r="CE34" s="9">
        <f t="shared" ca="1" si="15"/>
        <v>178.63239614012983</v>
      </c>
      <c r="CF34" s="9">
        <f t="shared" ca="1" si="16"/>
        <v>419.32873464199611</v>
      </c>
      <c r="CG34">
        <f t="shared" ca="1" si="22"/>
        <v>455.79175140322781</v>
      </c>
      <c r="CH34">
        <f t="shared" ca="1" si="23"/>
        <v>0.39191669351229247</v>
      </c>
      <c r="CI34">
        <f t="shared" ca="1" si="24"/>
        <v>0.92000070942711343</v>
      </c>
      <c r="CJ34">
        <f t="shared" ca="1" si="25"/>
        <v>1.1680822953581198</v>
      </c>
      <c r="CK34" s="39">
        <f t="shared" ca="1" si="26"/>
        <v>0.7452283692251791</v>
      </c>
    </row>
    <row r="35" spans="1:89" x14ac:dyDescent="0.25">
      <c r="A35" s="8" t="s">
        <v>20</v>
      </c>
      <c r="AD35" t="s">
        <v>135</v>
      </c>
      <c r="BC35">
        <v>0.57595865315812911</v>
      </c>
      <c r="BD35">
        <v>164.60013232404611</v>
      </c>
      <c r="BE35">
        <v>454.16383451109778</v>
      </c>
      <c r="BF35" s="6">
        <f t="shared" si="28"/>
        <v>1.2230960100041965</v>
      </c>
      <c r="BG35" s="6">
        <f t="shared" si="29"/>
        <v>0.64713735684606744</v>
      </c>
      <c r="BH35" s="6">
        <f t="shared" si="2"/>
        <v>-0.80024208387125584</v>
      </c>
      <c r="BI35" s="6">
        <f t="shared" si="3"/>
        <v>0.80024208387125584</v>
      </c>
      <c r="BV35" s="39"/>
      <c r="BW35" s="6">
        <f t="shared" si="8"/>
        <v>0.34906585039886601</v>
      </c>
      <c r="BX35" s="9">
        <f t="shared" ca="1" si="9"/>
        <v>152.22413646749033</v>
      </c>
      <c r="BY35" s="9">
        <f t="shared" ca="1" si="10"/>
        <v>353.04688867030944</v>
      </c>
      <c r="BZ35">
        <f t="shared" ca="1" si="18"/>
        <v>384.46624471214506</v>
      </c>
      <c r="CA35" s="6">
        <f t="shared" ca="1" si="19"/>
        <v>0.39593628455330987</v>
      </c>
      <c r="CB35" s="6">
        <f t="shared" ca="1" si="20"/>
        <v>0.91827798545653938</v>
      </c>
      <c r="CC35" s="6">
        <f t="shared" ca="1" si="21"/>
        <v>1.1637090905268761</v>
      </c>
      <c r="CD35" s="6">
        <f t="shared" ca="1" si="14"/>
        <v>1.5140871676529228</v>
      </c>
      <c r="CE35" s="9">
        <f t="shared" ca="1" si="15"/>
        <v>177.52417833184631</v>
      </c>
      <c r="CF35" s="9">
        <f t="shared" ca="1" si="16"/>
        <v>425.34651189110537</v>
      </c>
      <c r="CG35">
        <f t="shared" ca="1" si="22"/>
        <v>460.90616080751988</v>
      </c>
      <c r="CH35">
        <f t="shared" ca="1" si="23"/>
        <v>0.3851633877508151</v>
      </c>
      <c r="CI35">
        <f t="shared" ca="1" si="24"/>
        <v>0.92284839748266101</v>
      </c>
      <c r="CJ35">
        <f t="shared" ca="1" si="25"/>
        <v>1.1754114635528283</v>
      </c>
      <c r="CK35" s="39">
        <f t="shared" ca="1" si="26"/>
        <v>0.75255753741988762</v>
      </c>
    </row>
    <row r="36" spans="1:89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72.221316692618188</v>
      </c>
      <c r="H36" s="15" t="s">
        <v>4</v>
      </c>
      <c r="J36" t="s">
        <v>52</v>
      </c>
      <c r="N36" t="s">
        <v>53</v>
      </c>
      <c r="AD36" t="s">
        <v>8</v>
      </c>
      <c r="AE36" t="s">
        <v>9</v>
      </c>
      <c r="BC36">
        <v>0.59341194567807243</v>
      </c>
      <c r="BD36">
        <v>163.71110031553224</v>
      </c>
      <c r="BE36">
        <v>455.62581839939918</v>
      </c>
      <c r="BF36" s="6">
        <f t="shared" si="28"/>
        <v>1.2258513517038014</v>
      </c>
      <c r="BG36" s="6">
        <f t="shared" si="29"/>
        <v>0.63243940602572901</v>
      </c>
      <c r="BH36" s="6">
        <f t="shared" si="2"/>
        <v>-0.80299742557086062</v>
      </c>
      <c r="BI36" s="6">
        <f t="shared" si="3"/>
        <v>0.80299742557086062</v>
      </c>
      <c r="BV36" s="39"/>
      <c r="BW36" s="6">
        <f t="shared" si="8"/>
        <v>0.36651914291880933</v>
      </c>
      <c r="BX36" s="9">
        <f t="shared" ca="1" si="9"/>
        <v>151.17972002789602</v>
      </c>
      <c r="BY36" s="9">
        <f t="shared" ca="1" si="10"/>
        <v>357.16514942175894</v>
      </c>
      <c r="BZ36">
        <f t="shared" ca="1" si="18"/>
        <v>387.84307613928138</v>
      </c>
      <c r="CA36" s="6">
        <f t="shared" ca="1" si="19"/>
        <v>0.38979610396243014</v>
      </c>
      <c r="CB36" s="6">
        <f t="shared" ca="1" si="20"/>
        <v>0.92090118760685202</v>
      </c>
      <c r="CC36" s="6">
        <f t="shared" ca="1" si="21"/>
        <v>1.1703861537172353</v>
      </c>
      <c r="CD36" s="6">
        <f t="shared" ca="1" si="14"/>
        <v>1.520764230843282</v>
      </c>
      <c r="CE36" s="9">
        <f t="shared" ca="1" si="15"/>
        <v>176.47976189225201</v>
      </c>
      <c r="CF36" s="9">
        <f t="shared" ca="1" si="16"/>
        <v>429.46477264255486</v>
      </c>
      <c r="CG36">
        <f t="shared" ca="1" si="22"/>
        <v>464.31142275251779</v>
      </c>
      <c r="CH36">
        <f t="shared" ca="1" si="23"/>
        <v>0.3800892100522742</v>
      </c>
      <c r="CI36">
        <f t="shared" ca="1" si="24"/>
        <v>0.92494983237029582</v>
      </c>
      <c r="CJ36">
        <f t="shared" ca="1" si="25"/>
        <v>1.1809035837010411</v>
      </c>
      <c r="CK36" s="39">
        <f t="shared" ca="1" si="26"/>
        <v>0.75804965756810039</v>
      </c>
    </row>
    <row r="37" spans="1:89" x14ac:dyDescent="0.25">
      <c r="A37" s="3">
        <f t="shared" ref="A37:A45" si="30">E3-$I$2</f>
        <v>-6</v>
      </c>
      <c r="B37" s="6">
        <f t="shared" ref="B37:B45" si="31">F3-$I$3</f>
        <v>-12</v>
      </c>
      <c r="C37" s="6">
        <f t="shared" ref="C37:C45" si="32">A37*COS($B$27)+B37*SIN($B$27)</f>
        <v>-5.4732199355286753</v>
      </c>
      <c r="D37" s="6">
        <f t="shared" ref="D37:D45" si="33">-1*A37*SIN($B$27)+B37*COS($B$27)</f>
        <v>-12.249239304435662</v>
      </c>
      <c r="F37" s="8" t="s">
        <v>23</v>
      </c>
      <c r="G37" s="1">
        <f>MAX(D37:D41)-MIN(D37:D41)</f>
        <v>24.498478608871324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v>0</v>
      </c>
      <c r="AE37">
        <f>2*PI()</f>
        <v>6.2831853071795862</v>
      </c>
      <c r="BC37">
        <v>0.61086523819801575</v>
      </c>
      <c r="BD37">
        <v>162.86413068746907</v>
      </c>
      <c r="BE37">
        <v>456.97880131699924</v>
      </c>
      <c r="BF37" s="6">
        <f t="shared" si="28"/>
        <v>1.2284374113850065</v>
      </c>
      <c r="BG37" s="6">
        <f t="shared" si="29"/>
        <v>0.61757217318699076</v>
      </c>
      <c r="BH37" s="6">
        <f t="shared" si="2"/>
        <v>-0.8055834852520658</v>
      </c>
      <c r="BI37" s="6">
        <f t="shared" si="3"/>
        <v>0.8055834852520658</v>
      </c>
      <c r="BV37" s="39"/>
      <c r="BW37" s="6">
        <f t="shared" si="8"/>
        <v>0.38397243543875265</v>
      </c>
      <c r="BX37" s="9">
        <f t="shared" ca="1" si="9"/>
        <v>150.20114642537078</v>
      </c>
      <c r="BY37" s="9">
        <f t="shared" ca="1" si="10"/>
        <v>359.68866055252897</v>
      </c>
      <c r="BZ37">
        <f t="shared" ca="1" si="18"/>
        <v>389.79009340614095</v>
      </c>
      <c r="CA37" s="6">
        <f t="shared" ca="1" si="19"/>
        <v>0.38533854237508552</v>
      </c>
      <c r="CB37" s="6">
        <f t="shared" ca="1" si="20"/>
        <v>0.92277527478809507</v>
      </c>
      <c r="CC37" s="6">
        <f t="shared" ca="1" si="21"/>
        <v>1.1752216582026085</v>
      </c>
      <c r="CD37" s="6">
        <f t="shared" ca="1" si="14"/>
        <v>1.5255997353286552</v>
      </c>
      <c r="CE37" s="9">
        <f t="shared" ca="1" si="15"/>
        <v>175.50118828972677</v>
      </c>
      <c r="CF37" s="9">
        <f t="shared" ca="1" si="16"/>
        <v>431.98828377332489</v>
      </c>
      <c r="CG37">
        <f t="shared" ca="1" si="22"/>
        <v>466.27732564272179</v>
      </c>
      <c r="CH37">
        <f t="shared" ca="1" si="23"/>
        <v>0.37638799623767683</v>
      </c>
      <c r="CI37">
        <f t="shared" ca="1" si="24"/>
        <v>0.92646212890122315</v>
      </c>
      <c r="CJ37">
        <f t="shared" ca="1" si="25"/>
        <v>1.1849018390449315</v>
      </c>
      <c r="CK37" s="39">
        <f t="shared" ca="1" si="26"/>
        <v>0.76204791291199081</v>
      </c>
    </row>
    <row r="38" spans="1:89" x14ac:dyDescent="0.25">
      <c r="A38" s="3">
        <f t="shared" si="30"/>
        <v>6</v>
      </c>
      <c r="B38" s="6">
        <f t="shared" si="31"/>
        <v>-12</v>
      </c>
      <c r="C38" s="6">
        <f t="shared" si="32"/>
        <v>6.515459482231325</v>
      </c>
      <c r="D38" s="6">
        <f t="shared" si="33"/>
        <v>-11.728119531084339</v>
      </c>
      <c r="F38" s="8" t="s">
        <v>24</v>
      </c>
      <c r="G38" s="6">
        <f>MAX(D37:D43)</f>
        <v>12.249239304435662</v>
      </c>
      <c r="H38" t="s">
        <v>4</v>
      </c>
      <c r="J38" s="9">
        <f>MIN(C37:C43,A37:A43)-1</f>
        <v>-31.492818317751322</v>
      </c>
      <c r="K38" s="9">
        <f>G40</f>
        <v>9.6900185540979926</v>
      </c>
      <c r="N38" s="9">
        <f>J38</f>
        <v>-31.492818317751322</v>
      </c>
      <c r="O38" s="9">
        <f>G41</f>
        <v>10.201862704165526</v>
      </c>
      <c r="AD38">
        <f>AE37</f>
        <v>6.2831853071795862</v>
      </c>
      <c r="AE38">
        <f>AE37</f>
        <v>6.2831853071795862</v>
      </c>
      <c r="BC38">
        <v>0.62831853071795907</v>
      </c>
      <c r="BD38">
        <v>162.05574942476056</v>
      </c>
      <c r="BE38">
        <v>458.23425222277984</v>
      </c>
      <c r="BF38" s="6">
        <f t="shared" si="28"/>
        <v>1.230871205404436</v>
      </c>
      <c r="BG38" s="6">
        <f t="shared" si="29"/>
        <v>0.60255267468647689</v>
      </c>
      <c r="BH38" s="6">
        <f t="shared" si="2"/>
        <v>-0.80801727927149536</v>
      </c>
      <c r="BI38" s="6">
        <f t="shared" si="3"/>
        <v>0.80801727927149536</v>
      </c>
      <c r="BV38" s="39"/>
      <c r="BW38" s="6">
        <f t="shared" si="8"/>
        <v>0.40142572795869597</v>
      </c>
      <c r="BX38" s="9">
        <f t="shared" ca="1" si="9"/>
        <v>149.22252209906515</v>
      </c>
      <c r="BY38" s="9">
        <f t="shared" ca="1" si="10"/>
        <v>362.09816749577044</v>
      </c>
      <c r="BZ38">
        <f t="shared" ca="1" si="18"/>
        <v>391.6407077991268</v>
      </c>
      <c r="CA38" s="6">
        <f t="shared" ca="1" si="19"/>
        <v>0.38101892660147485</v>
      </c>
      <c r="CB38" s="6">
        <f t="shared" ca="1" si="20"/>
        <v>0.92456723799378693</v>
      </c>
      <c r="CC38" s="6">
        <f t="shared" ca="1" si="21"/>
        <v>1.1798982223710066</v>
      </c>
      <c r="CD38" s="6">
        <f t="shared" ca="1" si="14"/>
        <v>1.5302762994970533</v>
      </c>
      <c r="CE38" s="9">
        <f t="shared" ca="1" si="15"/>
        <v>174.52256396342113</v>
      </c>
      <c r="CF38" s="9">
        <f t="shared" ca="1" si="16"/>
        <v>434.39779071656636</v>
      </c>
      <c r="CG38">
        <f t="shared" ca="1" si="22"/>
        <v>468.14481297115765</v>
      </c>
      <c r="CH38">
        <f t="shared" ca="1" si="23"/>
        <v>0.37279610737494906</v>
      </c>
      <c r="CI38">
        <f t="shared" ca="1" si="24"/>
        <v>0.92791328383965144</v>
      </c>
      <c r="CJ38">
        <f t="shared" ca="1" si="25"/>
        <v>1.1887757950367241</v>
      </c>
      <c r="CK38" s="39">
        <f t="shared" ca="1" si="26"/>
        <v>0.76592186890378344</v>
      </c>
    </row>
    <row r="39" spans="1:89" x14ac:dyDescent="0.25">
      <c r="A39" s="3">
        <f t="shared" si="30"/>
        <v>6</v>
      </c>
      <c r="B39" s="6">
        <f t="shared" si="31"/>
        <v>4</v>
      </c>
      <c r="C39" s="6">
        <f t="shared" si="32"/>
        <v>5.8206331177628918</v>
      </c>
      <c r="D39" s="6">
        <f t="shared" si="33"/>
        <v>4.2567863592623292</v>
      </c>
      <c r="J39" s="9">
        <f>MAX(C37:C43,A37:A43)+1</f>
        <v>7.515459482231325</v>
      </c>
      <c r="K39" s="9">
        <f>K38</f>
        <v>9.6900185540979926</v>
      </c>
      <c r="N39" s="9">
        <f>J39</f>
        <v>7.515459482231325</v>
      </c>
      <c r="O39" s="9">
        <f>G41</f>
        <v>10.201862704165526</v>
      </c>
      <c r="AD39">
        <f>AD38</f>
        <v>6.2831853071795862</v>
      </c>
      <c r="AE39">
        <v>0</v>
      </c>
      <c r="BC39">
        <v>0.64577182323790239</v>
      </c>
      <c r="BD39">
        <v>161.28284910181577</v>
      </c>
      <c r="BE39">
        <v>459.40214203271501</v>
      </c>
      <c r="BF39" s="6">
        <f t="shared" si="28"/>
        <v>1.2331675515017508</v>
      </c>
      <c r="BG39" s="6">
        <f t="shared" si="29"/>
        <v>0.58739572826384845</v>
      </c>
      <c r="BH39" s="6">
        <f t="shared" si="2"/>
        <v>-0.81031362536881013</v>
      </c>
      <c r="BI39" s="6">
        <f t="shared" si="3"/>
        <v>0.81031362536881013</v>
      </c>
      <c r="BV39" s="39"/>
      <c r="BW39" s="6">
        <f t="shared" si="8"/>
        <v>0.41887902047863929</v>
      </c>
      <c r="BX39" s="9">
        <f t="shared" ca="1" si="9"/>
        <v>148.24227782590029</v>
      </c>
      <c r="BY39" s="9">
        <f t="shared" ca="1" si="10"/>
        <v>364.4071844061736</v>
      </c>
      <c r="BZ39">
        <f t="shared" ca="1" si="18"/>
        <v>393.40611202909196</v>
      </c>
      <c r="CA39" s="6">
        <f t="shared" ca="1" si="19"/>
        <v>0.37681742426751602</v>
      </c>
      <c r="CB39" s="6">
        <f t="shared" ca="1" si="20"/>
        <v>0.92628755188029732</v>
      </c>
      <c r="CC39" s="6">
        <f t="shared" ca="1" si="21"/>
        <v>1.1844382815264995</v>
      </c>
      <c r="CD39" s="6">
        <f t="shared" ca="1" si="14"/>
        <v>1.5348163586525463</v>
      </c>
      <c r="CE39" s="9">
        <f t="shared" ca="1" si="15"/>
        <v>173.54231969025628</v>
      </c>
      <c r="CF39" s="9">
        <f t="shared" ca="1" si="16"/>
        <v>436.70680762696952</v>
      </c>
      <c r="CG39">
        <f t="shared" ca="1" si="22"/>
        <v>469.92528400929234</v>
      </c>
      <c r="CH39">
        <f t="shared" ca="1" si="23"/>
        <v>0.3692976853886939</v>
      </c>
      <c r="CI39">
        <f t="shared" ca="1" si="24"/>
        <v>0.92931115325629943</v>
      </c>
      <c r="CJ39">
        <f t="shared" ca="1" si="25"/>
        <v>1.1925431564590865</v>
      </c>
      <c r="CK39" s="39">
        <f t="shared" ca="1" si="26"/>
        <v>0.76968923032614578</v>
      </c>
    </row>
    <row r="40" spans="1:89" x14ac:dyDescent="0.25">
      <c r="A40" s="3">
        <f t="shared" si="30"/>
        <v>6</v>
      </c>
      <c r="B40" s="6">
        <f t="shared" si="31"/>
        <v>4</v>
      </c>
      <c r="C40" s="6">
        <f t="shared" si="32"/>
        <v>5.8206331177628918</v>
      </c>
      <c r="D40" s="6">
        <f t="shared" si="33"/>
        <v>4.2567863592623292</v>
      </c>
      <c r="F40" s="8" t="s">
        <v>50</v>
      </c>
      <c r="G40" s="9">
        <f>G38-B28</f>
        <v>9.6900185540979926</v>
      </c>
      <c r="AD40">
        <f>AE39</f>
        <v>0</v>
      </c>
      <c r="AE40">
        <f>AE39</f>
        <v>0</v>
      </c>
      <c r="BC40">
        <v>0.66322511575784571</v>
      </c>
      <c r="BD40">
        <v>160.54264110464447</v>
      </c>
      <c r="BE40">
        <v>460.49117456878378</v>
      </c>
      <c r="BF40" s="6">
        <f t="shared" si="28"/>
        <v>1.2353394147103145</v>
      </c>
      <c r="BG40" s="6">
        <f t="shared" si="29"/>
        <v>0.57211429895246879</v>
      </c>
      <c r="BH40" s="6">
        <f t="shared" si="2"/>
        <v>-0.81248548857737368</v>
      </c>
      <c r="BI40" s="6">
        <f t="shared" si="3"/>
        <v>0.81248548857737368</v>
      </c>
      <c r="BV40" s="39"/>
      <c r="BW40" s="6">
        <f t="shared" si="8"/>
        <v>0.43633231299858261</v>
      </c>
      <c r="BX40" s="9">
        <f t="shared" ca="1" si="9"/>
        <v>147.25892633971182</v>
      </c>
      <c r="BY40" s="9">
        <f t="shared" ca="1" si="10"/>
        <v>366.62731925114798</v>
      </c>
      <c r="BZ40">
        <f t="shared" ca="1" si="18"/>
        <v>395.0959157065634</v>
      </c>
      <c r="CA40" s="6">
        <f t="shared" ca="1" si="19"/>
        <v>0.37271690363177684</v>
      </c>
      <c r="CB40" s="6">
        <f t="shared" ca="1" si="20"/>
        <v>0.92794510061055913</v>
      </c>
      <c r="CC40" s="6">
        <f t="shared" ca="1" si="21"/>
        <v>1.1888611504105908</v>
      </c>
      <c r="CD40" s="6">
        <f t="shared" ca="1" si="14"/>
        <v>1.5392392275366376</v>
      </c>
      <c r="CE40" s="9">
        <f t="shared" ca="1" si="15"/>
        <v>172.55896820406781</v>
      </c>
      <c r="CF40" s="9">
        <f t="shared" ca="1" si="16"/>
        <v>438.9269424719439</v>
      </c>
      <c r="CG40">
        <f t="shared" ca="1" si="22"/>
        <v>471.62851730511551</v>
      </c>
      <c r="CH40">
        <f t="shared" ca="1" si="23"/>
        <v>0.36587899559184722</v>
      </c>
      <c r="CI40">
        <f t="shared" ca="1" si="24"/>
        <v>0.93066243105902857</v>
      </c>
      <c r="CJ40">
        <f t="shared" ca="1" si="25"/>
        <v>1.1962192150610251</v>
      </c>
      <c r="CK40" s="39">
        <f t="shared" ca="1" si="26"/>
        <v>0.77336528892808443</v>
      </c>
    </row>
    <row r="41" spans="1:89" x14ac:dyDescent="0.25">
      <c r="A41" s="3">
        <f t="shared" si="30"/>
        <v>6</v>
      </c>
      <c r="B41" s="6">
        <f t="shared" si="31"/>
        <v>12</v>
      </c>
      <c r="C41" s="6">
        <f t="shared" si="32"/>
        <v>5.4732199355286753</v>
      </c>
      <c r="D41" s="6">
        <f t="shared" si="33"/>
        <v>12.249239304435662</v>
      </c>
      <c r="F41" s="8" t="s">
        <v>51</v>
      </c>
      <c r="G41" s="9">
        <f>G38-B29</f>
        <v>10.201862704165526</v>
      </c>
      <c r="J41" s="9"/>
      <c r="K41" s="9"/>
      <c r="N41" s="9"/>
      <c r="O41" s="9"/>
      <c r="AD41">
        <f>AD40</f>
        <v>0</v>
      </c>
      <c r="AE41">
        <f>AE37</f>
        <v>6.2831853071795862</v>
      </c>
      <c r="BC41">
        <v>0.68067840827778903</v>
      </c>
      <c r="BD41">
        <v>159.83261515748387</v>
      </c>
      <c r="BE41">
        <v>461.50897684050619</v>
      </c>
      <c r="BF41" s="6">
        <f t="shared" si="28"/>
        <v>1.2373981899546196</v>
      </c>
      <c r="BG41" s="6">
        <f t="shared" si="29"/>
        <v>0.55671978167683056</v>
      </c>
      <c r="BH41" s="6">
        <f t="shared" si="2"/>
        <v>-0.81454426382167888</v>
      </c>
      <c r="BI41" s="6">
        <f t="shared" si="3"/>
        <v>0.81454426382167888</v>
      </c>
      <c r="BV41" s="39"/>
      <c r="BW41" s="6">
        <f t="shared" si="8"/>
        <v>0.45378560551852593</v>
      </c>
      <c r="BX41" s="9">
        <f t="shared" ca="1" si="9"/>
        <v>146.27104112706485</v>
      </c>
      <c r="BY41" s="9">
        <f t="shared" ca="1" si="10"/>
        <v>368.76862379404776</v>
      </c>
      <c r="BZ41">
        <f t="shared" ca="1" si="18"/>
        <v>396.7184333596706</v>
      </c>
      <c r="CA41" s="6">
        <f t="shared" ca="1" si="19"/>
        <v>0.36870240661203013</v>
      </c>
      <c r="CB41" s="6">
        <f t="shared" ca="1" si="20"/>
        <v>0.92954748956602395</v>
      </c>
      <c r="CC41" s="6">
        <f t="shared" ca="1" si="21"/>
        <v>1.1931836341614801</v>
      </c>
      <c r="CD41" s="6">
        <f t="shared" ca="1" si="14"/>
        <v>1.5435617112875268</v>
      </c>
      <c r="CE41" s="9">
        <f t="shared" ca="1" si="15"/>
        <v>171.57108299142084</v>
      </c>
      <c r="CF41" s="9">
        <f t="shared" ca="1" si="16"/>
        <v>441.06824701484368</v>
      </c>
      <c r="CG41">
        <f t="shared" ca="1" si="22"/>
        <v>473.26296605966979</v>
      </c>
      <c r="CH41">
        <f t="shared" ca="1" si="23"/>
        <v>0.36252801359020531</v>
      </c>
      <c r="CI41">
        <f t="shared" ca="1" si="24"/>
        <v>0.93197287479965851</v>
      </c>
      <c r="CJ41">
        <f t="shared" ca="1" si="25"/>
        <v>1.1998173197204292</v>
      </c>
      <c r="CK41" s="39">
        <f t="shared" ca="1" si="26"/>
        <v>0.77696339358748845</v>
      </c>
    </row>
    <row r="42" spans="1:89" x14ac:dyDescent="0.25">
      <c r="A42" s="3">
        <f t="shared" si="30"/>
        <v>-30</v>
      </c>
      <c r="B42" s="6">
        <f t="shared" si="31"/>
        <v>12</v>
      </c>
      <c r="C42" s="6">
        <f t="shared" si="32"/>
        <v>-30.492818317751322</v>
      </c>
      <c r="D42" s="6">
        <f t="shared" si="33"/>
        <v>10.685879984381689</v>
      </c>
      <c r="J42" s="9"/>
      <c r="K42" s="9"/>
      <c r="N42" s="9"/>
      <c r="O42" s="9"/>
      <c r="BC42">
        <v>0.69813170079773235</v>
      </c>
      <c r="BD42">
        <v>159.15050486913987</v>
      </c>
      <c r="BE42">
        <v>462.46225663437241</v>
      </c>
      <c r="BF42" s="6">
        <f t="shared" si="28"/>
        <v>1.2393539344501259</v>
      </c>
      <c r="BG42" s="6">
        <f t="shared" si="29"/>
        <v>0.54122223365239353</v>
      </c>
      <c r="BH42" s="6">
        <f t="shared" si="2"/>
        <v>-0.81650000831718528</v>
      </c>
      <c r="BI42" s="6">
        <f t="shared" si="3"/>
        <v>0.81650000831718528</v>
      </c>
      <c r="BV42" s="39"/>
      <c r="BW42" s="6">
        <f t="shared" si="8"/>
        <v>0.47123889803846924</v>
      </c>
      <c r="BX42" s="9">
        <f t="shared" ca="1" si="9"/>
        <v>145.27723857379868</v>
      </c>
      <c r="BY42" s="9">
        <f t="shared" ca="1" si="10"/>
        <v>370.83986934621208</v>
      </c>
      <c r="BZ42">
        <f t="shared" ca="1" si="18"/>
        <v>398.28091185034725</v>
      </c>
      <c r="CA42" s="6">
        <f t="shared" ca="1" si="19"/>
        <v>0.36476073608163812</v>
      </c>
      <c r="CB42" s="6">
        <f t="shared" ca="1" si="20"/>
        <v>0.93110128633418909</v>
      </c>
      <c r="CC42" s="6">
        <f t="shared" ca="1" si="21"/>
        <v>1.197420505391567</v>
      </c>
      <c r="CD42" s="6">
        <f t="shared" ca="1" si="14"/>
        <v>1.5477985825176137</v>
      </c>
      <c r="CE42" s="9">
        <f t="shared" ca="1" si="15"/>
        <v>170.57728043815467</v>
      </c>
      <c r="CF42" s="9">
        <f t="shared" ca="1" si="16"/>
        <v>443.13949256700801</v>
      </c>
      <c r="CG42">
        <f t="shared" ca="1" si="22"/>
        <v>474.83599113190883</v>
      </c>
      <c r="CH42">
        <f t="shared" ca="1" si="23"/>
        <v>0.35923410108727105</v>
      </c>
      <c r="CI42">
        <f t="shared" ca="1" si="24"/>
        <v>0.93324748090526366</v>
      </c>
      <c r="CJ42">
        <f t="shared" ca="1" si="25"/>
        <v>1.2033492445878597</v>
      </c>
      <c r="CK42" s="39">
        <f t="shared" ca="1" si="26"/>
        <v>0.78049531845491904</v>
      </c>
    </row>
    <row r="43" spans="1:89" x14ac:dyDescent="0.25">
      <c r="A43" s="3">
        <f t="shared" si="30"/>
        <v>-30</v>
      </c>
      <c r="B43" s="6">
        <f t="shared" si="31"/>
        <v>4</v>
      </c>
      <c r="C43" s="6">
        <f t="shared" si="32"/>
        <v>-30.145405135517105</v>
      </c>
      <c r="D43" s="6">
        <f t="shared" si="33"/>
        <v>2.693427039208355</v>
      </c>
      <c r="AD43" t="s">
        <v>134</v>
      </c>
      <c r="BC43">
        <v>0.71558499331767567</v>
      </c>
      <c r="BD43">
        <v>158.49425828143711</v>
      </c>
      <c r="BE43">
        <v>463.35693370534364</v>
      </c>
      <c r="BF43" s="6">
        <f t="shared" si="28"/>
        <v>1.2412155600067249</v>
      </c>
      <c r="BG43" s="6">
        <f t="shared" si="29"/>
        <v>0.52563056668904928</v>
      </c>
      <c r="BH43" s="6">
        <f t="shared" si="2"/>
        <v>-0.81836163387378424</v>
      </c>
      <c r="BI43" s="6">
        <f t="shared" si="3"/>
        <v>0.81836163387378424</v>
      </c>
      <c r="BV43" s="39"/>
      <c r="BW43" s="6">
        <f t="shared" si="8"/>
        <v>0.48869219055841256</v>
      </c>
      <c r="BX43" s="9">
        <f t="shared" ca="1" si="9"/>
        <v>144.27616262173547</v>
      </c>
      <c r="BY43" s="9">
        <f t="shared" ca="1" si="10"/>
        <v>372.84876629141462</v>
      </c>
      <c r="BZ43">
        <f t="shared" ca="1" si="18"/>
        <v>399.78971175592221</v>
      </c>
      <c r="CA43" s="6">
        <f t="shared" ca="1" si="19"/>
        <v>0.36088012867579317</v>
      </c>
      <c r="CB43" s="6">
        <f t="shared" ca="1" si="20"/>
        <v>0.93261220918822585</v>
      </c>
      <c r="CC43" s="6">
        <f t="shared" ca="1" si="21"/>
        <v>1.201584881307751</v>
      </c>
      <c r="CD43" s="6">
        <f t="shared" ca="1" si="14"/>
        <v>1.5519629584337977</v>
      </c>
      <c r="CE43" s="9">
        <f t="shared" ca="1" si="15"/>
        <v>169.57620448609146</v>
      </c>
      <c r="CF43" s="9">
        <f t="shared" ca="1" si="16"/>
        <v>445.14838951221054</v>
      </c>
      <c r="CG43">
        <f t="shared" ca="1" si="22"/>
        <v>476.35404670604345</v>
      </c>
      <c r="CH43">
        <f t="shared" ca="1" si="23"/>
        <v>0.35598774831178537</v>
      </c>
      <c r="CI43">
        <f t="shared" ca="1" si="24"/>
        <v>0.93449062223861024</v>
      </c>
      <c r="CJ43">
        <f t="shared" ca="1" si="25"/>
        <v>1.2068254808983834</v>
      </c>
      <c r="CK43" s="39">
        <f t="shared" ca="1" si="26"/>
        <v>0.78397155476544267</v>
      </c>
    </row>
    <row r="44" spans="1:89" x14ac:dyDescent="0.25">
      <c r="A44" s="3">
        <f t="shared" si="30"/>
        <v>-6</v>
      </c>
      <c r="B44" s="6">
        <f t="shared" si="31"/>
        <v>4</v>
      </c>
      <c r="C44" s="6">
        <f t="shared" si="32"/>
        <v>-6.1680462999971084</v>
      </c>
      <c r="D44" s="6">
        <f t="shared" si="33"/>
        <v>3.7356665859110043</v>
      </c>
      <c r="AD44" t="s">
        <v>8</v>
      </c>
      <c r="AE44" t="s">
        <v>9</v>
      </c>
      <c r="BC44">
        <v>0.73303828583761899</v>
      </c>
      <c r="BD44">
        <v>157.86201259062523</v>
      </c>
      <c r="BE44">
        <v>464.19824952203817</v>
      </c>
      <c r="BF44" s="6">
        <f t="shared" si="28"/>
        <v>1.2429909930810437</v>
      </c>
      <c r="BG44" s="6">
        <f t="shared" si="29"/>
        <v>0.50995270724342467</v>
      </c>
      <c r="BH44" s="6">
        <f t="shared" si="2"/>
        <v>-0.82013706694810296</v>
      </c>
      <c r="BI44" s="6">
        <f t="shared" si="3"/>
        <v>0.82013706694810296</v>
      </c>
      <c r="BV44" s="39"/>
      <c r="BW44" s="6">
        <f t="shared" si="8"/>
        <v>0.50614548307835583</v>
      </c>
      <c r="BX44" s="9">
        <f t="shared" ca="1" si="9"/>
        <v>143.26647130703088</v>
      </c>
      <c r="BY44" s="9">
        <f t="shared" ca="1" si="10"/>
        <v>374.80214057209099</v>
      </c>
      <c r="BZ44">
        <f t="shared" ca="1" si="18"/>
        <v>401.25045343050988</v>
      </c>
      <c r="CA44" s="6">
        <f t="shared" ca="1" si="19"/>
        <v>0.35704999229824502</v>
      </c>
      <c r="CB44" s="6">
        <f t="shared" ca="1" si="20"/>
        <v>0.93408527608555258</v>
      </c>
      <c r="CC44" s="6">
        <f t="shared" ca="1" si="21"/>
        <v>1.2056885253452425</v>
      </c>
      <c r="CD44" s="6">
        <f t="shared" ca="1" si="14"/>
        <v>1.5560666024712893</v>
      </c>
      <c r="CE44" s="9">
        <f t="shared" ca="1" si="15"/>
        <v>168.56651317138687</v>
      </c>
      <c r="CF44" s="9">
        <f t="shared" ca="1" si="16"/>
        <v>447.10176379288691</v>
      </c>
      <c r="CG44">
        <f t="shared" ca="1" si="22"/>
        <v>477.82282966542084</v>
      </c>
      <c r="CH44">
        <f t="shared" ca="1" si="23"/>
        <v>0.35278036691846604</v>
      </c>
      <c r="CI44">
        <f t="shared" ca="1" si="24"/>
        <v>0.93570615725070039</v>
      </c>
      <c r="CJ44">
        <f t="shared" ca="1" si="25"/>
        <v>1.2102554710298701</v>
      </c>
      <c r="CK44" s="39">
        <f t="shared" ca="1" si="26"/>
        <v>0.78740154489692937</v>
      </c>
    </row>
    <row r="45" spans="1:89" x14ac:dyDescent="0.25">
      <c r="A45" s="3">
        <f t="shared" si="30"/>
        <v>-6</v>
      </c>
      <c r="B45" s="6">
        <f t="shared" si="31"/>
        <v>-12</v>
      </c>
      <c r="C45" s="6">
        <f t="shared" si="32"/>
        <v>-5.4732199355286753</v>
      </c>
      <c r="D45" s="6">
        <f t="shared" si="33"/>
        <v>-12.249239304435662</v>
      </c>
      <c r="AD45" s="39">
        <f>U13+PI()/3</f>
        <v>1.4700514773295383</v>
      </c>
      <c r="AE45">
        <v>0</v>
      </c>
      <c r="BC45">
        <v>0.75049157835756231</v>
      </c>
      <c r="BD45">
        <v>157.25207236049002</v>
      </c>
      <c r="BE45">
        <v>464.99085947963681</v>
      </c>
      <c r="BF45" s="6">
        <f t="shared" si="28"/>
        <v>1.2446873087186661</v>
      </c>
      <c r="BG45" s="6">
        <f t="shared" si="29"/>
        <v>0.49419573036110376</v>
      </c>
      <c r="BH45" s="6">
        <f t="shared" si="2"/>
        <v>-0.82183338258572536</v>
      </c>
      <c r="BI45" s="6">
        <f t="shared" si="3"/>
        <v>0.82183338258572536</v>
      </c>
      <c r="BV45" s="39"/>
      <c r="BW45" s="6">
        <f t="shared" si="8"/>
        <v>0.52359877559829915</v>
      </c>
      <c r="BX45" s="9">
        <f t="shared" ca="1" si="9"/>
        <v>142.2468246716096</v>
      </c>
      <c r="BY45" s="9">
        <f t="shared" ca="1" si="10"/>
        <v>376.70607684715696</v>
      </c>
      <c r="BZ45">
        <f t="shared" ca="1" si="18"/>
        <v>402.66813564364861</v>
      </c>
      <c r="CA45" s="6">
        <f t="shared" ca="1" si="19"/>
        <v>0.35326069306237468</v>
      </c>
      <c r="CB45" s="6">
        <f t="shared" ca="1" si="20"/>
        <v>0.93552492363223039</v>
      </c>
      <c r="CC45" s="6">
        <f t="shared" ca="1" si="21"/>
        <v>1.2097420912145536</v>
      </c>
      <c r="CD45" s="6">
        <f t="shared" ca="1" si="14"/>
        <v>1.5601201683406003</v>
      </c>
      <c r="CE45" s="9">
        <f t="shared" ca="1" si="15"/>
        <v>167.54686653596559</v>
      </c>
      <c r="CF45" s="9">
        <f t="shared" ca="1" si="16"/>
        <v>449.00570006795289</v>
      </c>
      <c r="CG45">
        <f t="shared" ca="1" si="22"/>
        <v>479.2474008062361</v>
      </c>
      <c r="CH45">
        <f t="shared" ca="1" si="23"/>
        <v>0.34960412149153469</v>
      </c>
      <c r="CI45">
        <f t="shared" ca="1" si="24"/>
        <v>0.93689751746716265</v>
      </c>
      <c r="CJ45">
        <f t="shared" ca="1" si="25"/>
        <v>1.2136477984335001</v>
      </c>
      <c r="CK45" s="39">
        <f t="shared" ca="1" si="26"/>
        <v>0.79079387230055942</v>
      </c>
    </row>
    <row r="46" spans="1:89" x14ac:dyDescent="0.25">
      <c r="AD46" s="39">
        <f>U13-PI()/3</f>
        <v>-0.62434362506365693</v>
      </c>
      <c r="AE46">
        <f>AE45</f>
        <v>0</v>
      </c>
      <c r="BC46">
        <v>0.76794487087750563</v>
      </c>
      <c r="BD46">
        <v>156.66289067994347</v>
      </c>
      <c r="BE46">
        <v>465.73891073254873</v>
      </c>
      <c r="BF46" s="6">
        <f t="shared" si="28"/>
        <v>1.2463108432255783</v>
      </c>
      <c r="BG46" s="6">
        <f t="shared" si="29"/>
        <v>0.47836597234807265</v>
      </c>
      <c r="BH46" s="6">
        <f t="shared" si="2"/>
        <v>-0.82345691709263769</v>
      </c>
      <c r="BI46" s="6">
        <f t="shared" si="3"/>
        <v>0.82345691709263769</v>
      </c>
      <c r="BV46" s="39"/>
      <c r="BW46" s="6">
        <f t="shared" si="8"/>
        <v>0.54105206811824247</v>
      </c>
      <c r="BX46" s="9">
        <f t="shared" ca="1" si="9"/>
        <v>141.22042145863071</v>
      </c>
      <c r="BY46" s="9">
        <f t="shared" ca="1" si="10"/>
        <v>378.55811858354815</v>
      </c>
      <c r="BZ46">
        <f t="shared" ca="1" si="18"/>
        <v>404.04140453976868</v>
      </c>
      <c r="CA46" s="6">
        <f t="shared" ca="1" si="19"/>
        <v>0.34951967761692793</v>
      </c>
      <c r="CB46" s="6">
        <f t="shared" ca="1" si="20"/>
        <v>0.93692902343697237</v>
      </c>
      <c r="CC46" s="6">
        <f t="shared" ca="1" si="21"/>
        <v>1.2137379283070036</v>
      </c>
      <c r="CD46" s="6">
        <f t="shared" ca="1" si="14"/>
        <v>1.5641160054330503</v>
      </c>
      <c r="CE46" s="9">
        <f t="shared" ca="1" si="15"/>
        <v>166.5204633229867</v>
      </c>
      <c r="CF46" s="9">
        <f t="shared" ca="1" si="16"/>
        <v>450.85774180434407</v>
      </c>
      <c r="CG46">
        <f t="shared" ca="1" si="22"/>
        <v>480.62643294997287</v>
      </c>
      <c r="CH46">
        <f t="shared" ca="1" si="23"/>
        <v>0.34646547070023376</v>
      </c>
      <c r="CI46">
        <f t="shared" ca="1" si="24"/>
        <v>0.93806272584111627</v>
      </c>
      <c r="CJ46">
        <f t="shared" ca="1" si="25"/>
        <v>1.2169957604724606</v>
      </c>
      <c r="CK46" s="39">
        <f t="shared" ca="1" si="26"/>
        <v>0.7941418343395199</v>
      </c>
    </row>
    <row r="47" spans="1:89" x14ac:dyDescent="0.25">
      <c r="A47" t="s">
        <v>27</v>
      </c>
      <c r="BC47">
        <v>0.78539816339744895</v>
      </c>
      <c r="BD47">
        <v>156.09305280098454</v>
      </c>
      <c r="BE47">
        <v>466.44610814099519</v>
      </c>
      <c r="BF47" s="6">
        <f t="shared" si="28"/>
        <v>1.2478672894126301</v>
      </c>
      <c r="BG47" s="6">
        <f t="shared" si="29"/>
        <v>0.4624691260151812</v>
      </c>
      <c r="BH47" s="6">
        <f t="shared" si="2"/>
        <v>-0.82501336327968944</v>
      </c>
      <c r="BI47" s="6">
        <f t="shared" si="3"/>
        <v>0.82501336327968944</v>
      </c>
      <c r="BV47" s="39"/>
      <c r="BW47" s="6">
        <f t="shared" ref="BW47:BW78" si="34">BC34</f>
        <v>0.55850536063818579</v>
      </c>
      <c r="BX47" s="9">
        <f t="shared" ref="BX47:BX78" ca="1" si="35">BD34-$BW$5</f>
        <v>140.23508211059487</v>
      </c>
      <c r="BY47" s="9">
        <f t="shared" ref="BY47:BY78" ca="1" si="36">BE34-$BX$5</f>
        <v>380.2799774831949</v>
      </c>
      <c r="BZ47">
        <f t="shared" ca="1" si="18"/>
        <v>405.31313762223954</v>
      </c>
      <c r="CA47" s="6">
        <f t="shared" ca="1" si="19"/>
        <v>0.34599194818426277</v>
      </c>
      <c r="CB47" s="6">
        <f t="shared" ca="1" si="20"/>
        <v>0.9382374815533957</v>
      </c>
      <c r="CC47" s="6">
        <f t="shared" ca="1" si="21"/>
        <v>1.2175005011360835</v>
      </c>
      <c r="CD47" s="6">
        <f t="shared" ca="1" si="14"/>
        <v>1.5678785782621303</v>
      </c>
      <c r="CE47" s="9">
        <f t="shared" ca="1" si="15"/>
        <v>165.53512397495086</v>
      </c>
      <c r="CF47" s="9">
        <f t="shared" ca="1" si="16"/>
        <v>452.57960070399082</v>
      </c>
      <c r="CG47">
        <f t="shared" ca="1" si="22"/>
        <v>481.90265847242028</v>
      </c>
      <c r="CH47">
        <f t="shared" ca="1" si="23"/>
        <v>0.34350323880693967</v>
      </c>
      <c r="CI47">
        <f t="shared" ca="1" si="24"/>
        <v>0.93915149200176562</v>
      </c>
      <c r="CJ47">
        <f t="shared" ca="1" si="25"/>
        <v>1.2201517449162462</v>
      </c>
      <c r="CK47" s="39">
        <f t="shared" ca="1" si="26"/>
        <v>0.79729781878330552</v>
      </c>
    </row>
    <row r="48" spans="1:89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BC48">
        <v>0.80285145591739226</v>
      </c>
      <c r="BD48">
        <v>155.54126189981889</v>
      </c>
      <c r="BE48">
        <v>467.11577041335619</v>
      </c>
      <c r="BF48" s="6">
        <f t="shared" si="28"/>
        <v>1.24936177747788</v>
      </c>
      <c r="BG48" s="6">
        <f t="shared" si="29"/>
        <v>0.44651032156048776</v>
      </c>
      <c r="BH48" s="6">
        <f t="shared" si="2"/>
        <v>-0.82650785134493931</v>
      </c>
      <c r="BI48" s="6">
        <f t="shared" si="3"/>
        <v>0.82650785134493931</v>
      </c>
      <c r="BV48" s="39"/>
      <c r="BW48" s="6">
        <f t="shared" si="34"/>
        <v>0.57595865315812911</v>
      </c>
      <c r="BX48" s="9">
        <f t="shared" ca="1" si="35"/>
        <v>139.30009045969013</v>
      </c>
      <c r="BY48" s="9">
        <f t="shared" ca="1" si="36"/>
        <v>381.86421129030185</v>
      </c>
      <c r="BZ48">
        <f t="shared" ca="1" si="18"/>
        <v>406.47852472971084</v>
      </c>
      <c r="CA48" s="6">
        <f t="shared" ca="1" si="19"/>
        <v>0.34269975407020126</v>
      </c>
      <c r="CB48" s="6">
        <f t="shared" ca="1" si="20"/>
        <v>0.9394449843179874</v>
      </c>
      <c r="CC48" s="6">
        <f t="shared" ca="1" si="21"/>
        <v>1.2210071544710626</v>
      </c>
      <c r="CD48" s="6">
        <f t="shared" ca="1" si="14"/>
        <v>1.5713852315971093</v>
      </c>
      <c r="CE48" s="9">
        <f t="shared" ca="1" si="15"/>
        <v>164.60013232404611</v>
      </c>
      <c r="CF48" s="9">
        <f t="shared" ca="1" si="16"/>
        <v>454.16383451109778</v>
      </c>
      <c r="CG48">
        <f t="shared" ca="1" si="22"/>
        <v>483.07141515403009</v>
      </c>
      <c r="CH48">
        <f t="shared" ca="1" si="23"/>
        <v>0.34073664299006889</v>
      </c>
      <c r="CI48">
        <f t="shared" ca="1" si="24"/>
        <v>0.94015878452730439</v>
      </c>
      <c r="CJ48">
        <f t="shared" ca="1" si="25"/>
        <v>1.2230960100041965</v>
      </c>
      <c r="CK48" s="39">
        <f t="shared" ca="1" si="26"/>
        <v>0.80024208387125584</v>
      </c>
    </row>
    <row r="49" spans="1:89" x14ac:dyDescent="0.25">
      <c r="A49" t="s">
        <v>43</v>
      </c>
      <c r="B49" s="6">
        <f>C37</f>
        <v>-5.4732199355286753</v>
      </c>
      <c r="C49" s="6">
        <f>D37</f>
        <v>-12.249239304435662</v>
      </c>
      <c r="D49" s="6">
        <f t="shared" ref="D49:E56" si="37">C38</f>
        <v>6.515459482231325</v>
      </c>
      <c r="E49" s="6">
        <f t="shared" si="37"/>
        <v>-11.728119531084339</v>
      </c>
      <c r="F49" s="6">
        <f t="shared" ref="F49:F56" si="38">IF(B49=D49,"V",(C49-E49)/(B49-D49))</f>
        <v>4.3467654375621848E-2</v>
      </c>
      <c r="G49" s="6">
        <f t="shared" ref="G49:G56" si="39">IF(F49="V",0,(-1*B49*F49)+C49)</f>
        <v>-12.011331271956339</v>
      </c>
      <c r="H49" s="6">
        <f t="shared" ref="H49:H56" si="40">IF(AND(C49&lt;$G$41,E49&lt;$G$41),0,IF(AND(C49&lt;$G$41,E49&gt;$G$41),IF(F49="V",B49,($G$41-G49)/F49),B49))</f>
        <v>0</v>
      </c>
      <c r="I49" s="6">
        <f t="shared" ref="I49:I56" si="41">IF(AND(C49&lt;$G$41,E49&lt;$G$41),0,IF(AND(C49&lt;$G$41,E49&gt;$G$41),$G$41,C49))</f>
        <v>0</v>
      </c>
      <c r="J49" s="6">
        <f t="shared" ref="J49:J56" si="42">IF(AND(C49&lt;$G$41,E49&lt;$G$41),0,IF(E49&gt;=$G$41,D49,IF(F49="V",D49,($G$41-G49)/F49)))</f>
        <v>0</v>
      </c>
      <c r="K49" s="6">
        <f t="shared" ref="K49:K56" si="43">IF(AND(C49&lt;$G$41,E49&lt;$G$41),0,IF(E49&gt;=$G$41,E49,$G$41))</f>
        <v>0</v>
      </c>
      <c r="L49" s="6">
        <f t="shared" ref="L49:L56" si="44">IF(AND(I49=0,K49=0,H49=0,J49=0),0,$B$31)</f>
        <v>0</v>
      </c>
      <c r="M49" s="6">
        <f t="shared" ref="M49:M56" si="45">IF(AND(I49=0,K49=0,H49=0,J49=0),0,$B$31)</f>
        <v>0</v>
      </c>
      <c r="N49" s="10">
        <f t="shared" ref="N49:N56" si="46">(1/6)*(K49-I49)*((L49*((2*H49)+J49))+(M49*(H49+(2*J49))))</f>
        <v>0</v>
      </c>
      <c r="O49" s="10">
        <f t="shared" ref="O49:O56" si="47">((1/12)*(K49-I49)*(L49*H49*((3*I49)+K49)+L49*J49*(I49+K49)+M49*H49*(I49+K49)+M49*J49*(I49+(3*K49))))</f>
        <v>0</v>
      </c>
      <c r="P49" s="10">
        <f t="shared" ref="P49:P56" si="48">((-1/24)*(K49-I49)*(H49*H49*((3*L49)+M49)+2*H49*J49*(L49+M49)+J49*J49*(L49+(3*M49))))</f>
        <v>0</v>
      </c>
      <c r="S49" t="e">
        <f t="shared" ref="S49:S56" si="49">IF(AND(I49=0,K49=0,H49=0,J49=0),NA(),H49)</f>
        <v>#N/A</v>
      </c>
      <c r="T49" t="e">
        <f t="shared" ref="T49:T56" si="50">IF(AND(I49=0,K49=0,H49=0,J49=0),NA(),I49)</f>
        <v>#N/A</v>
      </c>
      <c r="V49" t="e">
        <f t="shared" ref="V49:V56" si="51">IF(AND(I49=0,K49=0,H49=0,J49=0),NA(),J49)</f>
        <v>#N/A</v>
      </c>
      <c r="W49" t="e">
        <f t="shared" ref="W49:W56" si="52">IF(AND(I49=0,K49=0,H49=0,J49=0),NA(),K49)</f>
        <v>#N/A</v>
      </c>
      <c r="AC49">
        <v>0</v>
      </c>
      <c r="AD49">
        <f>-PI()</f>
        <v>-3.1415926535897931</v>
      </c>
      <c r="BC49">
        <v>0.82030474843733558</v>
      </c>
      <c r="BD49">
        <v>155.00632661649081</v>
      </c>
      <c r="BE49">
        <v>467.75087800805636</v>
      </c>
      <c r="BF49" s="6">
        <f t="shared" si="28"/>
        <v>1.250798944001086</v>
      </c>
      <c r="BG49" s="6">
        <f t="shared" si="29"/>
        <v>0.43049419556375046</v>
      </c>
      <c r="BH49" s="6">
        <f t="shared" si="2"/>
        <v>-0.82794501786814534</v>
      </c>
      <c r="BI49" s="6">
        <f t="shared" si="3"/>
        <v>0.82794501786814534</v>
      </c>
      <c r="BV49" s="39"/>
      <c r="BW49" s="6">
        <f t="shared" si="34"/>
        <v>0.59341194567807243</v>
      </c>
      <c r="BX49" s="9">
        <f t="shared" ca="1" si="35"/>
        <v>138.41105845117625</v>
      </c>
      <c r="BY49" s="9">
        <f t="shared" ca="1" si="36"/>
        <v>383.32619517860326</v>
      </c>
      <c r="BZ49">
        <f t="shared" ca="1" si="18"/>
        <v>407.5494976216749</v>
      </c>
      <c r="CA49" s="6">
        <f t="shared" ca="1" si="19"/>
        <v>0.33961778694096728</v>
      </c>
      <c r="CB49" s="6">
        <f t="shared" ca="1" si="20"/>
        <v>0.94056353256615233</v>
      </c>
      <c r="CC49" s="6">
        <f t="shared" ca="1" si="21"/>
        <v>1.2242858251161237</v>
      </c>
      <c r="CD49" s="6">
        <f t="shared" ca="1" si="14"/>
        <v>1.5746639022421705</v>
      </c>
      <c r="CE49" s="9">
        <f t="shared" ca="1" si="15"/>
        <v>163.71110031553224</v>
      </c>
      <c r="CF49" s="9">
        <f t="shared" ca="1" si="16"/>
        <v>455.62581839939918</v>
      </c>
      <c r="CG49">
        <f t="shared" ca="1" si="22"/>
        <v>484.14482415765281</v>
      </c>
      <c r="CH49">
        <f t="shared" ca="1" si="23"/>
        <v>0.33814489414477916</v>
      </c>
      <c r="CI49">
        <f t="shared" ca="1" si="24"/>
        <v>0.94109406042319488</v>
      </c>
      <c r="CJ49">
        <f t="shared" ca="1" si="25"/>
        <v>1.2258513517038014</v>
      </c>
      <c r="CK49" s="39">
        <f t="shared" ca="1" si="26"/>
        <v>0.80299742557086073</v>
      </c>
    </row>
    <row r="50" spans="1:89" x14ac:dyDescent="0.25">
      <c r="A50" t="s">
        <v>44</v>
      </c>
      <c r="B50" s="6">
        <f t="shared" ref="B50:C56" si="53">D49</f>
        <v>6.515459482231325</v>
      </c>
      <c r="C50" s="6">
        <f t="shared" si="53"/>
        <v>-11.728119531084339</v>
      </c>
      <c r="D50" s="6">
        <f t="shared" si="37"/>
        <v>5.8206331177628918</v>
      </c>
      <c r="E50" s="6">
        <f t="shared" si="37"/>
        <v>4.2567863592623292</v>
      </c>
      <c r="F50" s="6">
        <f t="shared" si="38"/>
        <v>-23.005612204389635</v>
      </c>
      <c r="G50" s="6">
        <f t="shared" si="39"/>
        <v>138.16401465054281</v>
      </c>
      <c r="H50" s="6">
        <f t="shared" si="40"/>
        <v>0</v>
      </c>
      <c r="I50" s="6">
        <f t="shared" si="41"/>
        <v>0</v>
      </c>
      <c r="J50" s="6">
        <f t="shared" si="42"/>
        <v>0</v>
      </c>
      <c r="K50" s="6">
        <f t="shared" si="43"/>
        <v>0</v>
      </c>
      <c r="L50" s="6">
        <f t="shared" si="44"/>
        <v>0</v>
      </c>
      <c r="M50" s="6">
        <f t="shared" si="45"/>
        <v>0</v>
      </c>
      <c r="N50" s="10">
        <f t="shared" si="46"/>
        <v>0</v>
      </c>
      <c r="O50" s="10">
        <f t="shared" si="47"/>
        <v>0</v>
      </c>
      <c r="P50" s="10">
        <f t="shared" si="48"/>
        <v>0</v>
      </c>
      <c r="S50" t="e">
        <f t="shared" si="49"/>
        <v>#N/A</v>
      </c>
      <c r="T50" t="e">
        <f t="shared" si="50"/>
        <v>#N/A</v>
      </c>
      <c r="V50" t="e">
        <f t="shared" si="51"/>
        <v>#N/A</v>
      </c>
      <c r="W50" t="e">
        <f t="shared" si="52"/>
        <v>#N/A</v>
      </c>
      <c r="AC50">
        <f>2*PI()</f>
        <v>6.2831853071795862</v>
      </c>
      <c r="AD50">
        <f>AD49</f>
        <v>-3.1415926535897931</v>
      </c>
      <c r="BC50">
        <v>0.8377580409572789</v>
      </c>
      <c r="BD50">
        <v>154.48715015075038</v>
      </c>
      <c r="BE50">
        <v>468.35411423868061</v>
      </c>
      <c r="BF50" s="6">
        <f t="shared" si="28"/>
        <v>1.2521829910356679</v>
      </c>
      <c r="BG50" s="6">
        <f t="shared" si="29"/>
        <v>0.41442495007838898</v>
      </c>
      <c r="BH50" s="6">
        <f t="shared" si="2"/>
        <v>-0.82932906490272706</v>
      </c>
      <c r="BI50" s="6">
        <f t="shared" si="3"/>
        <v>0.82932906490272706</v>
      </c>
      <c r="BV50" s="39"/>
      <c r="BW50" s="6">
        <f t="shared" si="34"/>
        <v>0.61086523819801575</v>
      </c>
      <c r="BX50" s="9">
        <f t="shared" ca="1" si="35"/>
        <v>137.56408882311308</v>
      </c>
      <c r="BY50" s="9">
        <f t="shared" ca="1" si="36"/>
        <v>384.67917809620332</v>
      </c>
      <c r="BZ50">
        <f t="shared" ca="1" si="18"/>
        <v>408.53634917165431</v>
      </c>
      <c r="CA50" s="6">
        <f t="shared" ca="1" si="19"/>
        <v>0.3367242329893953</v>
      </c>
      <c r="CB50" s="6">
        <f t="shared" ca="1" si="20"/>
        <v>0.94160330868030806</v>
      </c>
      <c r="CC50" s="6">
        <f t="shared" ca="1" si="21"/>
        <v>1.2273605277498885</v>
      </c>
      <c r="CD50" s="6">
        <f t="shared" ca="1" si="14"/>
        <v>1.5777386048759352</v>
      </c>
      <c r="CE50" s="9">
        <f t="shared" ca="1" si="15"/>
        <v>162.86413068746907</v>
      </c>
      <c r="CF50" s="9">
        <f t="shared" ca="1" si="16"/>
        <v>456.97880131699924</v>
      </c>
      <c r="CG50">
        <f t="shared" ca="1" si="22"/>
        <v>485.13333210335742</v>
      </c>
      <c r="CH50">
        <f t="shared" ca="1" si="23"/>
        <v>0.33571004074560468</v>
      </c>
      <c r="CI50">
        <f t="shared" ca="1" si="24"/>
        <v>0.94196537544783698</v>
      </c>
      <c r="CJ50">
        <f t="shared" ca="1" si="25"/>
        <v>1.2284374113850065</v>
      </c>
      <c r="CK50" s="39">
        <f t="shared" ca="1" si="26"/>
        <v>0.8055834852520658</v>
      </c>
    </row>
    <row r="51" spans="1:89" x14ac:dyDescent="0.25">
      <c r="A51" t="s">
        <v>45</v>
      </c>
      <c r="B51" s="6">
        <f t="shared" si="53"/>
        <v>5.8206331177628918</v>
      </c>
      <c r="C51" s="6">
        <f t="shared" si="53"/>
        <v>4.2567863592623292</v>
      </c>
      <c r="D51" s="6">
        <f t="shared" si="37"/>
        <v>5.8206331177628918</v>
      </c>
      <c r="E51" s="6">
        <f t="shared" si="37"/>
        <v>4.2567863592623292</v>
      </c>
      <c r="F51" s="6" t="str">
        <f t="shared" si="38"/>
        <v>V</v>
      </c>
      <c r="G51" s="6">
        <f t="shared" si="39"/>
        <v>0</v>
      </c>
      <c r="H51" s="6">
        <f t="shared" si="40"/>
        <v>0</v>
      </c>
      <c r="I51" s="6">
        <f t="shared" si="41"/>
        <v>0</v>
      </c>
      <c r="J51" s="6">
        <f t="shared" si="42"/>
        <v>0</v>
      </c>
      <c r="K51" s="6">
        <f t="shared" si="43"/>
        <v>0</v>
      </c>
      <c r="L51" s="6">
        <f t="shared" si="44"/>
        <v>0</v>
      </c>
      <c r="M51" s="6">
        <f t="shared" si="45"/>
        <v>0</v>
      </c>
      <c r="N51" s="10">
        <f t="shared" si="46"/>
        <v>0</v>
      </c>
      <c r="O51" s="10">
        <f t="shared" si="47"/>
        <v>0</v>
      </c>
      <c r="P51" s="10">
        <f t="shared" si="48"/>
        <v>0</v>
      </c>
      <c r="S51" t="e">
        <f t="shared" si="49"/>
        <v>#N/A</v>
      </c>
      <c r="T51" t="e">
        <f t="shared" si="50"/>
        <v>#N/A</v>
      </c>
      <c r="V51" t="e">
        <f t="shared" si="51"/>
        <v>#N/A</v>
      </c>
      <c r="W51" t="e">
        <f t="shared" si="52"/>
        <v>#N/A</v>
      </c>
      <c r="AC51">
        <f>AC50</f>
        <v>6.2831853071795862</v>
      </c>
      <c r="AD51">
        <f>-1*AD50</f>
        <v>3.1415926535897931</v>
      </c>
      <c r="BC51">
        <v>0.85521133347722222</v>
      </c>
      <c r="BD51">
        <v>153.98272066153976</v>
      </c>
      <c r="BE51">
        <v>468.92790059234858</v>
      </c>
      <c r="BF51" s="6">
        <f t="shared" si="28"/>
        <v>1.253517736927539</v>
      </c>
      <c r="BG51" s="6">
        <f t="shared" si="29"/>
        <v>0.39830640345031676</v>
      </c>
      <c r="BH51" s="6">
        <f t="shared" si="2"/>
        <v>-0.83066381079459817</v>
      </c>
      <c r="BI51" s="6">
        <f t="shared" si="3"/>
        <v>0.83066381079459817</v>
      </c>
      <c r="BV51" s="39"/>
      <c r="BW51" s="6">
        <f t="shared" si="34"/>
        <v>0.62831853071795907</v>
      </c>
      <c r="BX51" s="9">
        <f t="shared" ca="1" si="35"/>
        <v>136.75570756040457</v>
      </c>
      <c r="BY51" s="9">
        <f t="shared" ca="1" si="36"/>
        <v>385.93462900198392</v>
      </c>
      <c r="BZ51">
        <f t="shared" ca="1" si="18"/>
        <v>409.44799598147489</v>
      </c>
      <c r="CA51" s="6">
        <f t="shared" ca="1" si="19"/>
        <v>0.33400018782016938</v>
      </c>
      <c r="CB51" s="6">
        <f t="shared" ca="1" si="20"/>
        <v>0.94257300753633477</v>
      </c>
      <c r="CC51" s="6">
        <f t="shared" ca="1" si="21"/>
        <v>1.2302520228269256</v>
      </c>
      <c r="CD51" s="6">
        <f t="shared" ca="1" si="14"/>
        <v>1.5806300999529723</v>
      </c>
      <c r="CE51" s="9">
        <f t="shared" ca="1" si="15"/>
        <v>162.05574942476056</v>
      </c>
      <c r="CF51" s="9">
        <f t="shared" ca="1" si="16"/>
        <v>458.23425222277984</v>
      </c>
      <c r="CG51">
        <f t="shared" ca="1" si="22"/>
        <v>486.04598119086529</v>
      </c>
      <c r="CH51">
        <f t="shared" ca="1" si="23"/>
        <v>0.33341649904749016</v>
      </c>
      <c r="CI51">
        <f t="shared" ca="1" si="24"/>
        <v>0.9427796339351604</v>
      </c>
      <c r="CJ51">
        <f t="shared" ca="1" si="25"/>
        <v>1.230871205404436</v>
      </c>
      <c r="CK51" s="39">
        <f t="shared" ca="1" si="26"/>
        <v>0.80801727927149525</v>
      </c>
    </row>
    <row r="52" spans="1:89" x14ac:dyDescent="0.25">
      <c r="A52" t="s">
        <v>46</v>
      </c>
      <c r="B52" s="6">
        <f t="shared" si="53"/>
        <v>5.8206331177628918</v>
      </c>
      <c r="C52" s="6">
        <f t="shared" si="53"/>
        <v>4.2567863592623292</v>
      </c>
      <c r="D52" s="6">
        <f t="shared" si="37"/>
        <v>5.4732199355286753</v>
      </c>
      <c r="E52" s="6">
        <f t="shared" si="37"/>
        <v>12.249239304435662</v>
      </c>
      <c r="F52" s="6">
        <f t="shared" si="38"/>
        <v>-23.005612204389632</v>
      </c>
      <c r="G52" s="6">
        <f t="shared" si="39"/>
        <v>138.16401465054278</v>
      </c>
      <c r="H52" s="6">
        <f t="shared" si="40"/>
        <v>5.5622145939659537</v>
      </c>
      <c r="I52" s="6">
        <f t="shared" si="41"/>
        <v>10.201862704165526</v>
      </c>
      <c r="J52" s="6">
        <f t="shared" si="42"/>
        <v>5.4732199355286753</v>
      </c>
      <c r="K52" s="6">
        <f t="shared" si="43"/>
        <v>12.249239304435662</v>
      </c>
      <c r="L52" s="6">
        <f t="shared" si="44"/>
        <v>4.25</v>
      </c>
      <c r="M52" s="6">
        <f t="shared" si="45"/>
        <v>4.25</v>
      </c>
      <c r="N52" s="10">
        <f t="shared" si="46"/>
        <v>48.011592162688309</v>
      </c>
      <c r="O52" s="10">
        <f t="shared" si="47"/>
        <v>538.8244570670455</v>
      </c>
      <c r="P52" s="10">
        <f t="shared" si="48"/>
        <v>-132.4600669555667</v>
      </c>
      <c r="S52">
        <f t="shared" si="49"/>
        <v>5.5622145939659537</v>
      </c>
      <c r="T52">
        <f t="shared" si="50"/>
        <v>10.201862704165526</v>
      </c>
      <c r="V52">
        <f t="shared" si="51"/>
        <v>5.4732199355286753</v>
      </c>
      <c r="W52">
        <f t="shared" si="52"/>
        <v>12.249239304435662</v>
      </c>
      <c r="AC52">
        <f>0</f>
        <v>0</v>
      </c>
      <c r="AD52">
        <f>AD51</f>
        <v>3.1415926535897931</v>
      </c>
      <c r="BC52">
        <v>0.87266462599716554</v>
      </c>
      <c r="BD52">
        <v>153.49210280820427</v>
      </c>
      <c r="BE52">
        <v>469.47442722251049</v>
      </c>
      <c r="BF52" s="6">
        <f t="shared" si="28"/>
        <v>1.254806660180293</v>
      </c>
      <c r="BG52" s="6">
        <f t="shared" si="29"/>
        <v>0.38214203418312742</v>
      </c>
      <c r="BH52" s="6">
        <f t="shared" si="2"/>
        <v>-0.83195273404735215</v>
      </c>
      <c r="BI52" s="6">
        <f t="shared" si="3"/>
        <v>0.83195273404735215</v>
      </c>
      <c r="BV52" s="39"/>
      <c r="BW52" s="6">
        <f t="shared" si="34"/>
        <v>0.64577182323790239</v>
      </c>
      <c r="BX52" s="9">
        <f t="shared" ca="1" si="35"/>
        <v>135.98280723745978</v>
      </c>
      <c r="BY52" s="9">
        <f t="shared" ca="1" si="36"/>
        <v>387.10251881191908</v>
      </c>
      <c r="BZ52">
        <f t="shared" ca="1" si="18"/>
        <v>410.29219336311081</v>
      </c>
      <c r="CA52" s="6">
        <f t="shared" ca="1" si="19"/>
        <v>0.33142918494945445</v>
      </c>
      <c r="CB52" s="6">
        <f t="shared" ca="1" si="20"/>
        <v>0.94348009802207289</v>
      </c>
      <c r="CC52" s="6">
        <f t="shared" ca="1" si="21"/>
        <v>1.2329783525051758</v>
      </c>
      <c r="CD52" s="6">
        <f t="shared" ca="1" si="14"/>
        <v>1.5833564296312226</v>
      </c>
      <c r="CE52" s="9">
        <f t="shared" ca="1" si="15"/>
        <v>161.28284910181577</v>
      </c>
      <c r="CF52" s="9">
        <f t="shared" ca="1" si="16"/>
        <v>459.40214203271501</v>
      </c>
      <c r="CG52">
        <f t="shared" ca="1" si="22"/>
        <v>486.8906299351487</v>
      </c>
      <c r="CH52">
        <f t="shared" ca="1" si="23"/>
        <v>0.33125067353072252</v>
      </c>
      <c r="CI52">
        <f t="shared" ca="1" si="24"/>
        <v>0.94354278720439744</v>
      </c>
      <c r="CJ52">
        <f t="shared" ca="1" si="25"/>
        <v>1.2331675515017508</v>
      </c>
      <c r="CK52" s="39">
        <f t="shared" ca="1" si="26"/>
        <v>0.81031362536881013</v>
      </c>
    </row>
    <row r="53" spans="1:89" x14ac:dyDescent="0.25">
      <c r="A53" t="s">
        <v>47</v>
      </c>
      <c r="B53" s="6">
        <f t="shared" si="53"/>
        <v>5.4732199355286753</v>
      </c>
      <c r="C53" s="6">
        <f t="shared" si="53"/>
        <v>12.249239304435662</v>
      </c>
      <c r="D53" s="6">
        <f t="shared" si="37"/>
        <v>-30.492818317751322</v>
      </c>
      <c r="E53" s="6">
        <f t="shared" si="37"/>
        <v>10.685879984381689</v>
      </c>
      <c r="F53" s="6">
        <f t="shared" si="38"/>
        <v>4.3467654375621952E-2</v>
      </c>
      <c r="G53" s="6">
        <f t="shared" si="39"/>
        <v>12.011331271956337</v>
      </c>
      <c r="H53" s="6">
        <f t="shared" si="40"/>
        <v>5.4732199355286753</v>
      </c>
      <c r="I53" s="6">
        <f t="shared" si="41"/>
        <v>12.249239304435662</v>
      </c>
      <c r="J53" s="6">
        <f t="shared" si="42"/>
        <v>-30.492818317751322</v>
      </c>
      <c r="K53" s="6">
        <f t="shared" si="43"/>
        <v>10.685879984381689</v>
      </c>
      <c r="L53" s="6">
        <f t="shared" si="44"/>
        <v>4.25</v>
      </c>
      <c r="M53" s="6">
        <f t="shared" si="45"/>
        <v>4.25</v>
      </c>
      <c r="N53" s="10">
        <f t="shared" si="46"/>
        <v>83.118572419067021</v>
      </c>
      <c r="O53" s="10">
        <f t="shared" si="47"/>
        <v>922.03440697075007</v>
      </c>
      <c r="P53" s="10">
        <f t="shared" si="48"/>
        <v>878.01265450345829</v>
      </c>
      <c r="S53">
        <f t="shared" si="49"/>
        <v>5.4732199355286753</v>
      </c>
      <c r="T53">
        <f t="shared" si="50"/>
        <v>12.249239304435662</v>
      </c>
      <c r="V53">
        <f t="shared" si="51"/>
        <v>-30.492818317751322</v>
      </c>
      <c r="W53">
        <f t="shared" si="52"/>
        <v>10.685879984381689</v>
      </c>
      <c r="AC53">
        <f>AC49</f>
        <v>0</v>
      </c>
      <c r="AD53">
        <f>AD49</f>
        <v>-3.1415926535897931</v>
      </c>
      <c r="BC53">
        <v>0.89011791851710886</v>
      </c>
      <c r="BD53">
        <v>153.01443026888865</v>
      </c>
      <c r="BE53">
        <v>469.99567933809686</v>
      </c>
      <c r="BF53" s="6">
        <f t="shared" si="28"/>
        <v>1.256052937457069</v>
      </c>
      <c r="BG53" s="6">
        <f t="shared" si="29"/>
        <v>0.36593501893996017</v>
      </c>
      <c r="BH53" s="6">
        <f t="shared" si="2"/>
        <v>-0.83319901132412832</v>
      </c>
      <c r="BI53" s="6">
        <f t="shared" si="3"/>
        <v>0.83319901132412832</v>
      </c>
      <c r="BV53" s="39"/>
      <c r="BW53" s="6">
        <f t="shared" si="34"/>
        <v>0.66322511575784571</v>
      </c>
      <c r="BX53" s="9">
        <f t="shared" ca="1" si="35"/>
        <v>135.24259924028848</v>
      </c>
      <c r="BY53" s="9">
        <f t="shared" ca="1" si="36"/>
        <v>388.19155134798785</v>
      </c>
      <c r="BZ53">
        <f t="shared" ca="1" si="18"/>
        <v>411.07571223221981</v>
      </c>
      <c r="CA53" s="6">
        <f t="shared" ca="1" si="19"/>
        <v>0.32899681303450229</v>
      </c>
      <c r="CB53" s="6">
        <f t="shared" ca="1" si="20"/>
        <v>0.94433103147844322</v>
      </c>
      <c r="CC53" s="6">
        <f t="shared" ca="1" si="21"/>
        <v>1.2355552740318296</v>
      </c>
      <c r="CD53" s="6">
        <f t="shared" ca="1" si="14"/>
        <v>1.5859333511578764</v>
      </c>
      <c r="CE53" s="9">
        <f t="shared" ca="1" si="15"/>
        <v>160.54264110464447</v>
      </c>
      <c r="CF53" s="9">
        <f t="shared" ca="1" si="16"/>
        <v>460.49117456878378</v>
      </c>
      <c r="CG53">
        <f t="shared" ca="1" si="22"/>
        <v>487.67413450847766</v>
      </c>
      <c r="CH53">
        <f t="shared" ca="1" si="23"/>
        <v>0.32920064802381604</v>
      </c>
      <c r="CI53">
        <f t="shared" ca="1" si="24"/>
        <v>0.944259992449484</v>
      </c>
      <c r="CJ53">
        <f t="shared" ca="1" si="25"/>
        <v>1.2353394147103145</v>
      </c>
      <c r="CK53" s="39">
        <f t="shared" ca="1" si="26"/>
        <v>0.81248548857737379</v>
      </c>
    </row>
    <row r="54" spans="1:89" x14ac:dyDescent="0.25">
      <c r="A54" t="s">
        <v>48</v>
      </c>
      <c r="B54" s="6">
        <f t="shared" si="53"/>
        <v>-30.492818317751322</v>
      </c>
      <c r="C54" s="6">
        <f t="shared" si="53"/>
        <v>10.685879984381689</v>
      </c>
      <c r="D54" s="6">
        <f t="shared" si="37"/>
        <v>-30.145405135517105</v>
      </c>
      <c r="E54" s="6">
        <f t="shared" si="37"/>
        <v>2.693427039208355</v>
      </c>
      <c r="F54" s="6">
        <f t="shared" si="38"/>
        <v>-23.005612204389635</v>
      </c>
      <c r="G54" s="6">
        <f t="shared" si="39"/>
        <v>-690.82007325271388</v>
      </c>
      <c r="H54" s="6">
        <f t="shared" si="40"/>
        <v>-30.492818317751322</v>
      </c>
      <c r="I54" s="6">
        <f t="shared" si="41"/>
        <v>10.685879984381689</v>
      </c>
      <c r="J54" s="6">
        <f t="shared" si="42"/>
        <v>-30.471779221903052</v>
      </c>
      <c r="K54" s="6">
        <f t="shared" si="43"/>
        <v>10.201862704165526</v>
      </c>
      <c r="L54" s="6">
        <f t="shared" si="44"/>
        <v>4.25</v>
      </c>
      <c r="M54" s="6">
        <f t="shared" si="45"/>
        <v>4.25</v>
      </c>
      <c r="N54" s="10">
        <f t="shared" si="46"/>
        <v>62.704327217560014</v>
      </c>
      <c r="O54" s="10">
        <f t="shared" si="47"/>
        <v>654.87767183668666</v>
      </c>
      <c r="P54" s="10">
        <f t="shared" si="48"/>
        <v>955.68605614293153</v>
      </c>
      <c r="S54">
        <f t="shared" si="49"/>
        <v>-30.492818317751322</v>
      </c>
      <c r="T54">
        <f t="shared" si="50"/>
        <v>10.685879984381689</v>
      </c>
      <c r="V54">
        <f t="shared" si="51"/>
        <v>-30.471779221903052</v>
      </c>
      <c r="W54">
        <f t="shared" si="52"/>
        <v>10.201862704165526</v>
      </c>
      <c r="BC54">
        <v>0.90757121103705218</v>
      </c>
      <c r="BD54">
        <v>152.5488991136969</v>
      </c>
      <c r="BE54">
        <v>470.49346013137483</v>
      </c>
      <c r="BF54" s="6">
        <f t="shared" si="28"/>
        <v>1.2572594766142098</v>
      </c>
      <c r="BG54" s="6">
        <f t="shared" si="29"/>
        <v>0.3496882655771576</v>
      </c>
      <c r="BH54" s="6">
        <f t="shared" si="2"/>
        <v>-0.83440555048126908</v>
      </c>
      <c r="BI54" s="6">
        <f t="shared" si="3"/>
        <v>0.83440555048126908</v>
      </c>
      <c r="BV54" s="39"/>
      <c r="BW54" s="6">
        <f t="shared" si="34"/>
        <v>0.68067840827778903</v>
      </c>
      <c r="BX54" s="9">
        <f t="shared" ca="1" si="35"/>
        <v>134.53257329312788</v>
      </c>
      <c r="BY54" s="9">
        <f t="shared" ca="1" si="36"/>
        <v>389.20935361971027</v>
      </c>
      <c r="BZ54">
        <f t="shared" ca="1" si="18"/>
        <v>411.80448543203545</v>
      </c>
      <c r="CA54" s="6">
        <f t="shared" ca="1" si="19"/>
        <v>0.32669040297602892</v>
      </c>
      <c r="CB54" s="6">
        <f t="shared" ca="1" si="20"/>
        <v>0.94513140917195204</v>
      </c>
      <c r="CC54" s="6">
        <f t="shared" ca="1" si="21"/>
        <v>1.2379966127568656</v>
      </c>
      <c r="CD54" s="6">
        <f t="shared" ca="1" si="14"/>
        <v>1.5883746898829123</v>
      </c>
      <c r="CE54" s="9">
        <f t="shared" ca="1" si="15"/>
        <v>159.83261515748387</v>
      </c>
      <c r="CF54" s="9">
        <f t="shared" ca="1" si="16"/>
        <v>461.50897684050619</v>
      </c>
      <c r="CG54">
        <f t="shared" ca="1" si="22"/>
        <v>488.40249853215454</v>
      </c>
      <c r="CH54">
        <f t="shared" ca="1" si="23"/>
        <v>0.32725593263311514</v>
      </c>
      <c r="CI54">
        <f t="shared" ca="1" si="24"/>
        <v>0.94493574096677602</v>
      </c>
      <c r="CJ54">
        <f t="shared" ca="1" si="25"/>
        <v>1.2373981899546196</v>
      </c>
      <c r="CK54" s="39">
        <f t="shared" ca="1" si="26"/>
        <v>0.81454426382167888</v>
      </c>
    </row>
    <row r="55" spans="1:89" x14ac:dyDescent="0.25">
      <c r="A55" t="s">
        <v>93</v>
      </c>
      <c r="B55" s="6">
        <f t="shared" si="53"/>
        <v>-30.145405135517105</v>
      </c>
      <c r="C55" s="6">
        <f t="shared" si="53"/>
        <v>2.693427039208355</v>
      </c>
      <c r="D55" s="6">
        <f t="shared" si="37"/>
        <v>-6.1680462999971084</v>
      </c>
      <c r="E55" s="6">
        <f t="shared" si="37"/>
        <v>3.7356665859110043</v>
      </c>
      <c r="F55" s="6">
        <f t="shared" si="38"/>
        <v>4.3467654375621986E-2</v>
      </c>
      <c r="G55" s="6">
        <f t="shared" si="39"/>
        <v>4.0037770906521128</v>
      </c>
      <c r="H55" s="6">
        <f t="shared" si="40"/>
        <v>0</v>
      </c>
      <c r="I55" s="6">
        <f t="shared" si="41"/>
        <v>0</v>
      </c>
      <c r="J55" s="6">
        <f t="shared" si="42"/>
        <v>0</v>
      </c>
      <c r="K55" s="6">
        <f t="shared" si="43"/>
        <v>0</v>
      </c>
      <c r="L55" s="6">
        <f t="shared" si="44"/>
        <v>0</v>
      </c>
      <c r="M55" s="6">
        <f t="shared" si="45"/>
        <v>0</v>
      </c>
      <c r="N55" s="10">
        <f t="shared" si="46"/>
        <v>0</v>
      </c>
      <c r="O55" s="10">
        <f t="shared" si="47"/>
        <v>0</v>
      </c>
      <c r="P55" s="10">
        <f t="shared" si="48"/>
        <v>0</v>
      </c>
      <c r="S55" t="e">
        <f t="shared" si="49"/>
        <v>#N/A</v>
      </c>
      <c r="T55" t="e">
        <f t="shared" si="50"/>
        <v>#N/A</v>
      </c>
      <c r="V55" t="e">
        <f t="shared" si="51"/>
        <v>#N/A</v>
      </c>
      <c r="W55" t="e">
        <f t="shared" si="52"/>
        <v>#N/A</v>
      </c>
      <c r="BC55">
        <v>0.9250245035569955</v>
      </c>
      <c r="BD55">
        <v>152.09476190460884</v>
      </c>
      <c r="BE55">
        <v>470.96941071758403</v>
      </c>
      <c r="BF55" s="6">
        <f t="shared" si="28"/>
        <v>1.2584289455156508</v>
      </c>
      <c r="BG55" s="6">
        <f t="shared" si="29"/>
        <v>0.33340444195865526</v>
      </c>
      <c r="BH55" s="6">
        <f t="shared" si="2"/>
        <v>-0.83557501938270995</v>
      </c>
      <c r="BI55" s="6">
        <f t="shared" si="3"/>
        <v>0.83557501938270995</v>
      </c>
      <c r="BV55" s="39"/>
      <c r="BW55" s="6">
        <f t="shared" si="34"/>
        <v>0.69813170079773235</v>
      </c>
      <c r="BX55" s="9">
        <f t="shared" ca="1" si="35"/>
        <v>133.85046300478388</v>
      </c>
      <c r="BY55" s="9">
        <f t="shared" ca="1" si="36"/>
        <v>390.16263341357649</v>
      </c>
      <c r="BZ55">
        <f t="shared" ca="1" si="18"/>
        <v>412.48372932615405</v>
      </c>
      <c r="CA55" s="6">
        <f t="shared" ca="1" si="19"/>
        <v>0.32449877046894932</v>
      </c>
      <c r="CB55" s="6">
        <f t="shared" ca="1" si="20"/>
        <v>0.94588611786205001</v>
      </c>
      <c r="CC55" s="6">
        <f t="shared" ca="1" si="21"/>
        <v>1.2403145516384184</v>
      </c>
      <c r="CD55" s="6">
        <f t="shared" ca="1" si="14"/>
        <v>1.5906926287644652</v>
      </c>
      <c r="CE55" s="9">
        <f t="shared" ca="1" si="15"/>
        <v>159.15050486913987</v>
      </c>
      <c r="CF55" s="9">
        <f t="shared" ca="1" si="16"/>
        <v>462.46225663437241</v>
      </c>
      <c r="CG55">
        <f t="shared" ca="1" si="22"/>
        <v>489.08099739353833</v>
      </c>
      <c r="CH55">
        <f t="shared" ca="1" si="23"/>
        <v>0.32540725507083978</v>
      </c>
      <c r="CI55">
        <f t="shared" ca="1" si="24"/>
        <v>0.94557396238859148</v>
      </c>
      <c r="CJ55">
        <f t="shared" ca="1" si="25"/>
        <v>1.2393539344501259</v>
      </c>
      <c r="CK55" s="39">
        <f t="shared" ca="1" si="26"/>
        <v>0.81650000831718517</v>
      </c>
    </row>
    <row r="56" spans="1:89" ht="15.75" thickBot="1" x14ac:dyDescent="0.3">
      <c r="A56" t="s">
        <v>94</v>
      </c>
      <c r="B56" s="6">
        <f t="shared" si="53"/>
        <v>-6.1680462999971084</v>
      </c>
      <c r="C56" s="6">
        <f t="shared" si="53"/>
        <v>3.7356665859110043</v>
      </c>
      <c r="D56" s="6">
        <f t="shared" si="37"/>
        <v>-5.4732199355286753</v>
      </c>
      <c r="E56" s="6">
        <f t="shared" si="37"/>
        <v>-12.249239304435662</v>
      </c>
      <c r="F56" s="6">
        <f t="shared" si="38"/>
        <v>-23.005612204389635</v>
      </c>
      <c r="G56" s="6">
        <f t="shared" si="39"/>
        <v>-138.16401465054281</v>
      </c>
      <c r="H56" s="6">
        <f t="shared" si="40"/>
        <v>0</v>
      </c>
      <c r="I56" s="6">
        <f t="shared" si="41"/>
        <v>0</v>
      </c>
      <c r="J56" s="6">
        <f t="shared" si="42"/>
        <v>0</v>
      </c>
      <c r="K56" s="6">
        <f t="shared" si="43"/>
        <v>0</v>
      </c>
      <c r="L56" s="6">
        <f t="shared" si="44"/>
        <v>0</v>
      </c>
      <c r="M56" s="6">
        <f t="shared" si="45"/>
        <v>0</v>
      </c>
      <c r="N56" s="11">
        <f t="shared" si="46"/>
        <v>0</v>
      </c>
      <c r="O56" s="11">
        <f t="shared" si="47"/>
        <v>0</v>
      </c>
      <c r="P56" s="11">
        <f t="shared" si="48"/>
        <v>0</v>
      </c>
      <c r="S56" t="e">
        <f t="shared" si="49"/>
        <v>#N/A</v>
      </c>
      <c r="T56" t="e">
        <f t="shared" si="50"/>
        <v>#N/A</v>
      </c>
      <c r="V56" t="e">
        <f t="shared" si="51"/>
        <v>#N/A</v>
      </c>
      <c r="W56" t="e">
        <f t="shared" si="52"/>
        <v>#N/A</v>
      </c>
      <c r="BC56">
        <v>0.94247779607693882</v>
      </c>
      <c r="BD56">
        <v>151.65132244980342</v>
      </c>
      <c r="BE56">
        <v>471.42502757631934</v>
      </c>
      <c r="BF56" s="6">
        <f t="shared" si="28"/>
        <v>1.259563797240606</v>
      </c>
      <c r="BG56" s="6">
        <f t="shared" si="29"/>
        <v>0.31708600116366714</v>
      </c>
      <c r="BH56" s="6">
        <f t="shared" si="2"/>
        <v>-0.83670987110766526</v>
      </c>
      <c r="BI56" s="6">
        <f t="shared" si="3"/>
        <v>0.83670987110766526</v>
      </c>
      <c r="BV56" s="39"/>
      <c r="BW56" s="6">
        <f t="shared" si="34"/>
        <v>0.71558499331767567</v>
      </c>
      <c r="BX56" s="9">
        <f t="shared" ca="1" si="35"/>
        <v>133.19421641708112</v>
      </c>
      <c r="BY56" s="9">
        <f t="shared" ca="1" si="36"/>
        <v>391.05731048454771</v>
      </c>
      <c r="BZ56">
        <f t="shared" ca="1" si="18"/>
        <v>413.11804532163467</v>
      </c>
      <c r="CA56" s="6">
        <f t="shared" ca="1" si="19"/>
        <v>0.32241200287773014</v>
      </c>
      <c r="CB56" s="6">
        <f t="shared" ca="1" si="20"/>
        <v>0.94659944031272836</v>
      </c>
      <c r="CC56" s="6">
        <f t="shared" ca="1" si="21"/>
        <v>1.2425198701799185</v>
      </c>
      <c r="CD56" s="6">
        <f t="shared" ca="1" si="14"/>
        <v>1.5928979473059652</v>
      </c>
      <c r="CE56" s="9">
        <f t="shared" ca="1" si="15"/>
        <v>158.49425828143711</v>
      </c>
      <c r="CF56" s="9">
        <f t="shared" ca="1" si="16"/>
        <v>463.35693370534364</v>
      </c>
      <c r="CG56">
        <f t="shared" ca="1" si="22"/>
        <v>489.71428192467607</v>
      </c>
      <c r="CH56">
        <f t="shared" ca="1" si="23"/>
        <v>0.32364638755995162</v>
      </c>
      <c r="CI56">
        <f t="shared" ca="1" si="24"/>
        <v>0.94617810998743446</v>
      </c>
      <c r="CJ56">
        <f t="shared" ca="1" si="25"/>
        <v>1.2412155600067249</v>
      </c>
      <c r="CK56" s="39">
        <f t="shared" ca="1" si="26"/>
        <v>0.81836163387378424</v>
      </c>
    </row>
    <row r="57" spans="1:89" ht="15.75" thickTop="1" x14ac:dyDescent="0.25">
      <c r="N57" s="6">
        <f>SUM(N49:N56)</f>
        <v>193.83449179931534</v>
      </c>
      <c r="O57" s="6">
        <f>SUM(O49:O56)</f>
        <v>2115.7365358744823</v>
      </c>
      <c r="P57" s="6">
        <f>SUM(P49:P56)</f>
        <v>1701.2386436908232</v>
      </c>
      <c r="BC57">
        <v>0.95993108859688214</v>
      </c>
      <c r="BD57">
        <v>151.21793110583769</v>
      </c>
      <c r="BE57">
        <v>471.86167779099134</v>
      </c>
      <c r="BF57" s="6">
        <f t="shared" si="28"/>
        <v>1.2606662922100376</v>
      </c>
      <c r="BG57" s="6">
        <f t="shared" si="29"/>
        <v>0.30073520361315542</v>
      </c>
      <c r="BH57" s="6">
        <f t="shared" si="2"/>
        <v>-0.83781236607709686</v>
      </c>
      <c r="BI57" s="6">
        <f t="shared" si="3"/>
        <v>0.83781236607709686</v>
      </c>
      <c r="BV57" s="39"/>
      <c r="BW57" s="6">
        <f t="shared" si="34"/>
        <v>0.73303828583761899</v>
      </c>
      <c r="BX57" s="9">
        <f t="shared" ca="1" si="35"/>
        <v>132.56197072626924</v>
      </c>
      <c r="BY57" s="9">
        <f t="shared" ca="1" si="36"/>
        <v>391.89862630124225</v>
      </c>
      <c r="BZ57">
        <f t="shared" ca="1" si="18"/>
        <v>413.71150501240959</v>
      </c>
      <c r="CA57" s="6">
        <f t="shared" ca="1" si="19"/>
        <v>0.32042128178739659</v>
      </c>
      <c r="CB57" s="6">
        <f t="shared" ca="1" si="20"/>
        <v>0.94727514597276419</v>
      </c>
      <c r="CC57" s="6">
        <f t="shared" ca="1" si="21"/>
        <v>1.2446221428135711</v>
      </c>
      <c r="CD57" s="6">
        <f t="shared" ca="1" si="14"/>
        <v>1.5950002199396178</v>
      </c>
      <c r="CE57" s="9">
        <f t="shared" ca="1" si="15"/>
        <v>157.86201259062523</v>
      </c>
      <c r="CF57" s="9">
        <f t="shared" ca="1" si="16"/>
        <v>464.19824952203817</v>
      </c>
      <c r="CG57">
        <f t="shared" ca="1" si="22"/>
        <v>490.30646526278554</v>
      </c>
      <c r="CH57">
        <f t="shared" ca="1" si="23"/>
        <v>0.3219660024389383</v>
      </c>
      <c r="CI57">
        <f t="shared" ca="1" si="24"/>
        <v>0.94675123093317903</v>
      </c>
      <c r="CJ57">
        <f t="shared" ca="1" si="25"/>
        <v>1.2429909930810437</v>
      </c>
      <c r="CK57" s="39">
        <f t="shared" ca="1" si="26"/>
        <v>0.82013706694810296</v>
      </c>
    </row>
    <row r="58" spans="1:89" x14ac:dyDescent="0.25">
      <c r="O58" s="6">
        <f>O57/N57</f>
        <v>10.91517054696844</v>
      </c>
      <c r="P58" s="6">
        <f>-1*P57/N57</f>
        <v>-8.7767591201063642</v>
      </c>
      <c r="S58">
        <f>(P58*COS(-1*$B$27))+(O58*SIN(-1*$B$27))+$I$2</f>
        <v>-2.2944700180274413</v>
      </c>
      <c r="T58">
        <f>(-1*P58*SIN(-1*$B$27))+(O58*COS(-1*$B$27))+$I$3</f>
        <v>23.28601860010081</v>
      </c>
      <c r="BC58">
        <v>0.97738438111682546</v>
      </c>
      <c r="BD58">
        <v>150.79398058089993</v>
      </c>
      <c r="BE58">
        <v>472.28061245011969</v>
      </c>
      <c r="BF58" s="6">
        <f t="shared" si="28"/>
        <v>1.2617385176592235</v>
      </c>
      <c r="BG58" s="6">
        <f t="shared" si="29"/>
        <v>0.28435413654239805</v>
      </c>
      <c r="BH58" s="6">
        <f t="shared" si="2"/>
        <v>-0.83888459152628281</v>
      </c>
      <c r="BI58" s="6">
        <f t="shared" si="3"/>
        <v>0.83888459152628281</v>
      </c>
      <c r="BV58" s="39"/>
      <c r="BW58" s="6">
        <f t="shared" si="34"/>
        <v>0.75049157835756231</v>
      </c>
      <c r="BX58" s="9">
        <f t="shared" ca="1" si="35"/>
        <v>131.95203049613403</v>
      </c>
      <c r="BY58" s="9">
        <f t="shared" ca="1" si="36"/>
        <v>392.69123625884089</v>
      </c>
      <c r="BZ58">
        <f t="shared" ca="1" si="18"/>
        <v>414.26772187384995</v>
      </c>
      <c r="CA58" s="6">
        <f t="shared" ca="1" si="19"/>
        <v>0.31851873445335716</v>
      </c>
      <c r="CB58" s="6">
        <f t="shared" ca="1" si="20"/>
        <v>0.94791656584439521</v>
      </c>
      <c r="CC58" s="6">
        <f t="shared" ca="1" si="21"/>
        <v>1.2466299045434921</v>
      </c>
      <c r="CD58" s="6">
        <f t="shared" ca="1" si="14"/>
        <v>1.5970079816695388</v>
      </c>
      <c r="CE58" s="9">
        <f t="shared" ca="1" si="15"/>
        <v>157.25207236049002</v>
      </c>
      <c r="CF58" s="9">
        <f t="shared" ca="1" si="16"/>
        <v>464.99085947963681</v>
      </c>
      <c r="CG58">
        <f t="shared" ca="1" si="22"/>
        <v>490.86119592129114</v>
      </c>
      <c r="CH58">
        <f t="shared" ca="1" si="23"/>
        <v>0.32035955106482922</v>
      </c>
      <c r="CI58">
        <f t="shared" ca="1" si="24"/>
        <v>0.94729602450424177</v>
      </c>
      <c r="CJ58">
        <f t="shared" ca="1" si="25"/>
        <v>1.2446873087186661</v>
      </c>
      <c r="CK58" s="39">
        <f t="shared" ca="1" si="26"/>
        <v>0.82183338258572536</v>
      </c>
    </row>
    <row r="59" spans="1:89" x14ac:dyDescent="0.25">
      <c r="A59" t="s">
        <v>54</v>
      </c>
      <c r="O59">
        <f>O57/12</f>
        <v>176.3113779895402</v>
      </c>
      <c r="P59">
        <f>P57/12</f>
        <v>141.76988697423528</v>
      </c>
      <c r="BC59">
        <v>0.99483767363676878</v>
      </c>
      <c r="BD59">
        <v>150.3789021693832</v>
      </c>
      <c r="BE59">
        <v>472.68297844227959</v>
      </c>
      <c r="BF59" s="6">
        <f t="shared" si="28"/>
        <v>1.262782404825268</v>
      </c>
      <c r="BG59" s="6">
        <f t="shared" si="29"/>
        <v>0.26794473118849926</v>
      </c>
      <c r="BH59" s="6">
        <f t="shared" si="2"/>
        <v>-0.83992847869232734</v>
      </c>
      <c r="BI59" s="6">
        <f t="shared" si="3"/>
        <v>0.83992847869232734</v>
      </c>
      <c r="BV59" s="39"/>
      <c r="BW59" s="6">
        <f t="shared" si="34"/>
        <v>0.76794487087750563</v>
      </c>
      <c r="BX59" s="9">
        <f t="shared" ca="1" si="35"/>
        <v>131.36284881558748</v>
      </c>
      <c r="BY59" s="9">
        <f t="shared" ca="1" si="36"/>
        <v>393.43928751175281</v>
      </c>
      <c r="BZ59">
        <f t="shared" ca="1" si="18"/>
        <v>414.78991189119171</v>
      </c>
      <c r="CA59" s="6">
        <f t="shared" ca="1" si="19"/>
        <v>0.31669730880544361</v>
      </c>
      <c r="CB59" s="6">
        <f t="shared" ca="1" si="20"/>
        <v>0.9485266546573109</v>
      </c>
      <c r="CC59" s="6">
        <f t="shared" ca="1" si="21"/>
        <v>1.2485507899864778</v>
      </c>
      <c r="CD59" s="6">
        <f t="shared" ca="1" si="14"/>
        <v>1.5989288671125246</v>
      </c>
      <c r="CE59" s="9">
        <f t="shared" ca="1" si="15"/>
        <v>156.66289067994347</v>
      </c>
      <c r="CF59" s="9">
        <f t="shared" ca="1" si="16"/>
        <v>465.73891073254873</v>
      </c>
      <c r="CG59">
        <f t="shared" ca="1" si="22"/>
        <v>491.38171952824712</v>
      </c>
      <c r="CH59">
        <f t="shared" ca="1" si="23"/>
        <v>0.31882116174437314</v>
      </c>
      <c r="CI59">
        <f t="shared" ca="1" si="24"/>
        <v>0.94781489058991275</v>
      </c>
      <c r="CJ59">
        <f t="shared" ca="1" si="25"/>
        <v>1.2463108432255783</v>
      </c>
      <c r="CK59" s="39">
        <f t="shared" ca="1" si="26"/>
        <v>0.82345691709263757</v>
      </c>
    </row>
    <row r="60" spans="1:89" x14ac:dyDescent="0.25">
      <c r="BC60">
        <v>1.0122909661567121</v>
      </c>
      <c r="BD60">
        <v>149.972162352645</v>
      </c>
      <c r="BE60">
        <v>473.06982882834473</v>
      </c>
      <c r="BF60" s="6">
        <f t="shared" si="28"/>
        <v>1.263799744163822</v>
      </c>
      <c r="BG60" s="6">
        <f t="shared" si="29"/>
        <v>0.25150877800710991</v>
      </c>
      <c r="BH60" s="6">
        <f t="shared" si="2"/>
        <v>-0.84094581803088131</v>
      </c>
      <c r="BI60" s="6">
        <f t="shared" si="3"/>
        <v>0.84094581803088131</v>
      </c>
      <c r="BV60" s="39"/>
      <c r="BW60" s="6">
        <f t="shared" si="34"/>
        <v>0.78539816339744895</v>
      </c>
      <c r="BX60" s="9">
        <f t="shared" ca="1" si="35"/>
        <v>130.79301093662855</v>
      </c>
      <c r="BY60" s="9">
        <f t="shared" ca="1" si="36"/>
        <v>394.14648492019927</v>
      </c>
      <c r="BZ60">
        <f t="shared" ca="1" si="18"/>
        <v>415.28094500568881</v>
      </c>
      <c r="CA60" s="6">
        <f t="shared" ca="1" si="19"/>
        <v>0.3149506677577919</v>
      </c>
      <c r="CB60" s="6">
        <f t="shared" ca="1" si="20"/>
        <v>0.94910804278486693</v>
      </c>
      <c r="CC60" s="6">
        <f t="shared" ca="1" si="21"/>
        <v>1.2503916506713706</v>
      </c>
      <c r="CD60" s="6">
        <f t="shared" ca="1" si="14"/>
        <v>1.6007697277974173</v>
      </c>
      <c r="CE60" s="9">
        <f t="shared" ca="1" si="15"/>
        <v>156.09305280098454</v>
      </c>
      <c r="CF60" s="9">
        <f t="shared" ca="1" si="16"/>
        <v>466.44610814099519</v>
      </c>
      <c r="CG60">
        <f t="shared" ca="1" si="22"/>
        <v>491.87093117261151</v>
      </c>
      <c r="CH60">
        <f t="shared" ca="1" si="23"/>
        <v>0.31734555329151387</v>
      </c>
      <c r="CI60">
        <f t="shared" ca="1" si="24"/>
        <v>0.94830997031883146</v>
      </c>
      <c r="CJ60">
        <f t="shared" ca="1" si="25"/>
        <v>1.2478672894126301</v>
      </c>
      <c r="CK60" s="39">
        <f t="shared" ca="1" si="26"/>
        <v>0.82501336327968944</v>
      </c>
    </row>
    <row r="61" spans="1:89" x14ac:dyDescent="0.25">
      <c r="A61">
        <f t="shared" ref="A61:E71" si="54">A14</f>
        <v>0</v>
      </c>
      <c r="B61" s="1" t="str">
        <f t="shared" si="54"/>
        <v>Bar #</v>
      </c>
      <c r="C61" s="1" t="str">
        <f t="shared" si="54"/>
        <v>As (in^2)</v>
      </c>
      <c r="D61" s="1" t="str">
        <f t="shared" si="54"/>
        <v>x</v>
      </c>
      <c r="E61" s="1" t="str">
        <f t="shared" si="54"/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BC61">
        <v>1.0297442586766554</v>
      </c>
      <c r="BD61">
        <v>149.57325975208585</v>
      </c>
      <c r="BE61">
        <v>473.44213205557844</v>
      </c>
      <c r="BF61" s="6">
        <f t="shared" si="28"/>
        <v>1.2647921988468054</v>
      </c>
      <c r="BG61" s="6">
        <f t="shared" si="29"/>
        <v>0.23504794017014996</v>
      </c>
      <c r="BH61" s="6">
        <f t="shared" si="2"/>
        <v>-0.84193827271386479</v>
      </c>
      <c r="BI61" s="6">
        <f t="shared" si="3"/>
        <v>0.84193827271386479</v>
      </c>
      <c r="BV61" s="39"/>
      <c r="BW61" s="6">
        <f t="shared" si="34"/>
        <v>0.80285145591739226</v>
      </c>
      <c r="BX61" s="9">
        <f t="shared" ca="1" si="35"/>
        <v>130.2412200354629</v>
      </c>
      <c r="BY61" s="9">
        <f t="shared" ca="1" si="36"/>
        <v>394.81614719256027</v>
      </c>
      <c r="BZ61">
        <f t="shared" ca="1" si="18"/>
        <v>415.74338897967249</v>
      </c>
      <c r="CA61" s="6">
        <f t="shared" ca="1" si="19"/>
        <v>0.31327309943545723</v>
      </c>
      <c r="CB61" s="6">
        <f t="shared" ca="1" si="20"/>
        <v>0.94966307981836495</v>
      </c>
      <c r="CC61" s="6">
        <f t="shared" ca="1" si="21"/>
        <v>1.25215865446227</v>
      </c>
      <c r="CD61" s="6">
        <f t="shared" ca="1" si="14"/>
        <v>1.6025367315883168</v>
      </c>
      <c r="CE61" s="9">
        <f t="shared" ca="1" si="15"/>
        <v>155.54126189981889</v>
      </c>
      <c r="CF61" s="9">
        <f t="shared" ca="1" si="16"/>
        <v>467.11577041335619</v>
      </c>
      <c r="CG61">
        <f t="shared" ca="1" si="22"/>
        <v>492.3314200030822</v>
      </c>
      <c r="CH61">
        <f t="shared" ca="1" si="23"/>
        <v>0.31592796149156016</v>
      </c>
      <c r="CI61">
        <f t="shared" ca="1" si="24"/>
        <v>0.94878318026184849</v>
      </c>
      <c r="CJ61">
        <f t="shared" ca="1" si="25"/>
        <v>1.24936177747788</v>
      </c>
      <c r="CK61" s="39">
        <f t="shared" ca="1" si="26"/>
        <v>0.82650785134493931</v>
      </c>
    </row>
    <row r="62" spans="1:89" x14ac:dyDescent="0.25">
      <c r="A62">
        <f t="shared" si="54"/>
        <v>1</v>
      </c>
      <c r="B62" s="1" t="str">
        <f t="shared" si="54"/>
        <v>p1</v>
      </c>
      <c r="C62" s="1">
        <f t="shared" ca="1" si="54"/>
        <v>1.056</v>
      </c>
      <c r="D62" s="1">
        <f t="shared" si="54"/>
        <v>6</v>
      </c>
      <c r="E62" s="1">
        <f t="shared" si="54"/>
        <v>2</v>
      </c>
      <c r="F62" s="1">
        <f t="shared" ref="F62:F71" si="55">D62-$I$2</f>
        <v>0</v>
      </c>
      <c r="G62" s="1">
        <f t="shared" ref="G62:G71" si="56">E62-$I$3</f>
        <v>-10</v>
      </c>
      <c r="H62" s="6">
        <f t="shared" ref="H62:H71" si="57">F62*COS($B$27)+G62*SIN($B$27)</f>
        <v>0.43426647779277061</v>
      </c>
      <c r="I62" s="6">
        <f t="shared" ref="I62:I71" si="58">-1*F62*SIN($B$27)+G62*COS($B$27)</f>
        <v>-9.9905661814666669</v>
      </c>
      <c r="J62" s="6">
        <f t="shared" ref="J62:J71" si="59">$G$38-I62</f>
        <v>22.23980548590233</v>
      </c>
      <c r="K62">
        <f t="shared" ref="K62:K71" ca="1" si="60">IF($B$28=0,-1,IF(C62=0,0,(($B$28-J62)/$B$28)*$B$30)*IF($B$28&lt;0,-1,1))</f>
        <v>-2.3070207678999116E-2</v>
      </c>
      <c r="L62">
        <f t="shared" ref="L62:L71" ca="1" si="61">IF(AND(K62&gt;0,J62&lt;=$B$29),MIN((K62*B$13),B$12)-$B$31,MAX(K62*B$13,-1*B$12))</f>
        <v>-60</v>
      </c>
      <c r="M62" s="6">
        <f t="shared" ref="M62:M71" ca="1" si="62">L62*C62</f>
        <v>-63.36</v>
      </c>
      <c r="N62" s="6">
        <f t="shared" ref="N62:N71" ca="1" si="63">M62*I62</f>
        <v>633.00227325772801</v>
      </c>
      <c r="O62" s="6">
        <f t="shared" ref="O62:O71" ca="1" si="64">M62*H62*-1</f>
        <v>27.515124032949945</v>
      </c>
      <c r="Q62">
        <f t="shared" ref="Q62:Q71" si="65">IF($B62=0,NA(),H62)</f>
        <v>0.43426647779277061</v>
      </c>
      <c r="R62">
        <f t="shared" ref="R62:R71" si="66">IF($B62=0,NA(),I62)</f>
        <v>-9.9905661814666669</v>
      </c>
      <c r="BC62">
        <v>1.0471975511965987</v>
      </c>
      <c r="BD62">
        <v>149.18172235877219</v>
      </c>
      <c r="BE62">
        <v>473.8007800767449</v>
      </c>
      <c r="BF62" s="6">
        <f t="shared" si="28"/>
        <v>1.2657613167775639</v>
      </c>
      <c r="BG62" s="6">
        <f t="shared" si="29"/>
        <v>0.21856376558096513</v>
      </c>
      <c r="BH62" s="6">
        <f t="shared" si="2"/>
        <v>-0.84290739064462328</v>
      </c>
      <c r="BI62" s="6">
        <f t="shared" si="3"/>
        <v>0.84290739064462328</v>
      </c>
      <c r="BV62" s="39"/>
      <c r="BW62" s="6">
        <f t="shared" si="34"/>
        <v>0.82030474843733558</v>
      </c>
      <c r="BX62" s="9">
        <f t="shared" ca="1" si="35"/>
        <v>129.70628475213482</v>
      </c>
      <c r="BY62" s="9">
        <f t="shared" ca="1" si="36"/>
        <v>395.45125478726044</v>
      </c>
      <c r="BZ62">
        <f t="shared" ca="1" si="18"/>
        <v>416.17954685090024</v>
      </c>
      <c r="CA62" s="6">
        <f t="shared" ca="1" si="19"/>
        <v>0.3116594405793881</v>
      </c>
      <c r="CB62" s="6">
        <f t="shared" ca="1" si="20"/>
        <v>0.95019387132192279</v>
      </c>
      <c r="CC62" s="6">
        <f t="shared" ca="1" si="21"/>
        <v>1.2538573702177533</v>
      </c>
      <c r="CD62" s="6">
        <f t="shared" ca="1" si="14"/>
        <v>1.6042354473438001</v>
      </c>
      <c r="CE62" s="9">
        <f t="shared" ca="1" si="15"/>
        <v>155.00632661649081</v>
      </c>
      <c r="CF62" s="9">
        <f t="shared" ca="1" si="16"/>
        <v>467.75087800805636</v>
      </c>
      <c r="CG62">
        <f t="shared" ca="1" si="22"/>
        <v>492.76550728358194</v>
      </c>
      <c r="CH62">
        <f t="shared" ca="1" si="23"/>
        <v>0.31456407627022914</v>
      </c>
      <c r="CI62">
        <f t="shared" ca="1" si="24"/>
        <v>0.94923624136473927</v>
      </c>
      <c r="CJ62">
        <f t="shared" ca="1" si="25"/>
        <v>1.2507989440010858</v>
      </c>
      <c r="CK62" s="39">
        <f t="shared" ca="1" si="26"/>
        <v>0.82794501786814512</v>
      </c>
    </row>
    <row r="63" spans="1:89" x14ac:dyDescent="0.25">
      <c r="A63">
        <f t="shared" si="54"/>
        <v>2</v>
      </c>
      <c r="B63" s="1" t="str">
        <f t="shared" si="54"/>
        <v>p1</v>
      </c>
      <c r="C63" s="1">
        <f t="shared" ca="1" si="54"/>
        <v>1.056</v>
      </c>
      <c r="D63" s="1">
        <f t="shared" si="54"/>
        <v>6</v>
      </c>
      <c r="E63" s="1">
        <f t="shared" si="54"/>
        <v>22</v>
      </c>
      <c r="F63" s="1">
        <f t="shared" si="55"/>
        <v>0</v>
      </c>
      <c r="G63" s="1">
        <f t="shared" si="56"/>
        <v>10</v>
      </c>
      <c r="H63" s="6">
        <f t="shared" si="57"/>
        <v>-0.43426647779277061</v>
      </c>
      <c r="I63" s="6">
        <f t="shared" si="58"/>
        <v>9.9905661814666669</v>
      </c>
      <c r="J63" s="6">
        <f t="shared" si="59"/>
        <v>2.2586731229689949</v>
      </c>
      <c r="K63">
        <f t="shared" ca="1" si="60"/>
        <v>3.523114924677987E-4</v>
      </c>
      <c r="L63">
        <f t="shared" ca="1" si="61"/>
        <v>10.217033281566163</v>
      </c>
      <c r="M63" s="6">
        <f t="shared" ca="1" si="62"/>
        <v>10.789187145333869</v>
      </c>
      <c r="N63" s="6">
        <f t="shared" ca="1" si="63"/>
        <v>107.79008821968745</v>
      </c>
      <c r="O63" s="6">
        <f t="shared" ca="1" si="64"/>
        <v>4.6853822998511774</v>
      </c>
      <c r="Q63">
        <f t="shared" si="65"/>
        <v>-0.43426647779277061</v>
      </c>
      <c r="R63">
        <f t="shared" si="66"/>
        <v>9.9905661814666669</v>
      </c>
      <c r="BC63">
        <v>1.0646508437165421</v>
      </c>
      <c r="BD63">
        <v>148.79710504477268</v>
      </c>
      <c r="BE63">
        <v>474.14659560897553</v>
      </c>
      <c r="BF63" s="6">
        <f t="shared" si="28"/>
        <v>1.2667085413003039</v>
      </c>
      <c r="BG63" s="6">
        <f t="shared" si="29"/>
        <v>0.2020576975837618</v>
      </c>
      <c r="BH63" s="6">
        <f t="shared" si="2"/>
        <v>-0.84385461516736315</v>
      </c>
      <c r="BI63" s="6">
        <f t="shared" si="3"/>
        <v>0.84385461516736315</v>
      </c>
      <c r="BV63" s="39"/>
      <c r="BW63" s="6">
        <f t="shared" si="34"/>
        <v>0.8377580409572789</v>
      </c>
      <c r="BX63" s="9">
        <f t="shared" ca="1" si="35"/>
        <v>129.18710828639439</v>
      </c>
      <c r="BY63" s="9">
        <f t="shared" ca="1" si="36"/>
        <v>396.05449101788469</v>
      </c>
      <c r="BZ63">
        <f t="shared" ca="1" si="18"/>
        <v>416.59148911473972</v>
      </c>
      <c r="CA63" s="6">
        <f t="shared" ca="1" si="19"/>
        <v>0.31010501093269582</v>
      </c>
      <c r="CB63" s="6">
        <f t="shared" ca="1" si="20"/>
        <v>0.95070230997638405</v>
      </c>
      <c r="CC63" s="6">
        <f t="shared" ca="1" si="21"/>
        <v>1.2554928401771417</v>
      </c>
      <c r="CD63" s="6">
        <f t="shared" ca="1" si="14"/>
        <v>1.6058709173031884</v>
      </c>
      <c r="CE63" s="9">
        <f t="shared" ca="1" si="15"/>
        <v>154.48715015075038</v>
      </c>
      <c r="CF63" s="9">
        <f t="shared" ca="1" si="16"/>
        <v>468.35411423868061</v>
      </c>
      <c r="CG63">
        <f t="shared" ca="1" si="22"/>
        <v>493.17527907023037</v>
      </c>
      <c r="CH63">
        <f t="shared" ca="1" si="23"/>
        <v>0.31324998779744334</v>
      </c>
      <c r="CI63">
        <f t="shared" ca="1" si="24"/>
        <v>0.94967070353091421</v>
      </c>
      <c r="CJ63">
        <f t="shared" ca="1" si="25"/>
        <v>1.2521829910356679</v>
      </c>
      <c r="CK63" s="39">
        <f t="shared" ca="1" si="26"/>
        <v>0.82932906490272718</v>
      </c>
    </row>
    <row r="64" spans="1:89" x14ac:dyDescent="0.25">
      <c r="A64">
        <f t="shared" si="54"/>
        <v>3</v>
      </c>
      <c r="B64" s="1" t="str">
        <f t="shared" si="54"/>
        <v>p1</v>
      </c>
      <c r="C64" s="1">
        <f t="shared" ca="1" si="54"/>
        <v>1.056</v>
      </c>
      <c r="D64" s="1">
        <f t="shared" si="54"/>
        <v>-12</v>
      </c>
      <c r="E64" s="1">
        <f t="shared" si="54"/>
        <v>22</v>
      </c>
      <c r="F64" s="1">
        <f t="shared" si="55"/>
        <v>-18</v>
      </c>
      <c r="G64" s="1">
        <f t="shared" si="56"/>
        <v>10</v>
      </c>
      <c r="H64" s="6">
        <f t="shared" si="57"/>
        <v>-18.417285604432774</v>
      </c>
      <c r="I64" s="6">
        <f t="shared" si="58"/>
        <v>9.2088865214396805</v>
      </c>
      <c r="J64" s="6">
        <f t="shared" si="59"/>
        <v>3.0403527829959813</v>
      </c>
      <c r="K64">
        <f t="shared" ca="1" si="60"/>
        <v>-5.6399827868873378E-4</v>
      </c>
      <c r="L64">
        <f t="shared" ca="1" si="61"/>
        <v>-16.35595008197328</v>
      </c>
      <c r="M64" s="6">
        <f t="shared" ca="1" si="62"/>
        <v>-17.271883286563785</v>
      </c>
      <c r="N64" s="6">
        <f t="shared" ca="1" si="63"/>
        <v>-159.05481319751652</v>
      </c>
      <c r="O64" s="6">
        <f t="shared" ca="1" si="64"/>
        <v>-318.10120741507421</v>
      </c>
      <c r="Q64">
        <f t="shared" si="65"/>
        <v>-18.417285604432774</v>
      </c>
      <c r="R64">
        <f t="shared" si="66"/>
        <v>9.2088865214396805</v>
      </c>
      <c r="BC64">
        <v>1.0821041362364854</v>
      </c>
      <c r="BD64">
        <v>148.41898728393568</v>
      </c>
      <c r="BE64">
        <v>474.48033853871044</v>
      </c>
      <c r="BF64" s="6">
        <f t="shared" si="28"/>
        <v>1.2676352207830617</v>
      </c>
      <c r="BG64" s="6">
        <f t="shared" si="29"/>
        <v>0.1855310845465763</v>
      </c>
      <c r="BH64" s="6">
        <f t="shared" si="2"/>
        <v>-0.84478129465012097</v>
      </c>
      <c r="BI64" s="6">
        <f t="shared" si="3"/>
        <v>0.84478129465012097</v>
      </c>
      <c r="BV64" s="39"/>
      <c r="BW64" s="6">
        <f t="shared" si="34"/>
        <v>0.85521133347722222</v>
      </c>
      <c r="BX64" s="9">
        <f t="shared" ca="1" si="35"/>
        <v>128.68267879718377</v>
      </c>
      <c r="BY64" s="9">
        <f t="shared" ca="1" si="36"/>
        <v>396.62827737155266</v>
      </c>
      <c r="BZ64">
        <f t="shared" ca="1" si="18"/>
        <v>416.98108138516841</v>
      </c>
      <c r="CA64" s="6">
        <f t="shared" ca="1" si="19"/>
        <v>0.30860555680299234</v>
      </c>
      <c r="CB64" s="6">
        <f t="shared" ca="1" si="20"/>
        <v>0.9511901020880712</v>
      </c>
      <c r="CC64" s="6">
        <f t="shared" ca="1" si="21"/>
        <v>1.2570696421134837</v>
      </c>
      <c r="CD64" s="6">
        <f t="shared" ca="1" si="14"/>
        <v>1.6074477192395304</v>
      </c>
      <c r="CE64" s="9">
        <f t="shared" ca="1" si="15"/>
        <v>153.98272066153976</v>
      </c>
      <c r="CF64" s="9">
        <f t="shared" ca="1" si="16"/>
        <v>468.92790059234858</v>
      </c>
      <c r="CG64">
        <f t="shared" ca="1" si="22"/>
        <v>493.56261428138714</v>
      </c>
      <c r="CH64">
        <f t="shared" ca="1" si="23"/>
        <v>0.31198214006896396</v>
      </c>
      <c r="CI64">
        <f t="shared" ca="1" si="24"/>
        <v>0.95008796659992978</v>
      </c>
      <c r="CJ64">
        <f t="shared" ca="1" si="25"/>
        <v>1.253517736927539</v>
      </c>
      <c r="CK64" s="39">
        <f t="shared" ca="1" si="26"/>
        <v>0.83066381079459828</v>
      </c>
    </row>
    <row r="65" spans="1:89" x14ac:dyDescent="0.25">
      <c r="A65">
        <f t="shared" si="54"/>
        <v>4</v>
      </c>
      <c r="B65" s="1">
        <f t="shared" si="54"/>
        <v>0</v>
      </c>
      <c r="C65" s="1">
        <f t="shared" ca="1" si="54"/>
        <v>0</v>
      </c>
      <c r="D65" s="1">
        <f t="shared" si="54"/>
        <v>4</v>
      </c>
      <c r="E65" s="1">
        <f t="shared" si="54"/>
        <v>22</v>
      </c>
      <c r="F65" s="1">
        <f t="shared" si="55"/>
        <v>-2</v>
      </c>
      <c r="G65" s="1">
        <f t="shared" si="56"/>
        <v>10</v>
      </c>
      <c r="H65" s="6">
        <f t="shared" si="57"/>
        <v>-2.4323797140861041</v>
      </c>
      <c r="I65" s="6">
        <f t="shared" si="58"/>
        <v>9.9037128859081136</v>
      </c>
      <c r="J65" s="6">
        <f t="shared" si="59"/>
        <v>2.3455264185275482</v>
      </c>
      <c r="K65">
        <f t="shared" ca="1" si="60"/>
        <v>0</v>
      </c>
      <c r="L65">
        <f t="shared" ca="1" si="61"/>
        <v>0</v>
      </c>
      <c r="M65" s="6">
        <f t="shared" ca="1" si="62"/>
        <v>0</v>
      </c>
      <c r="N65" s="6">
        <f t="shared" ca="1" si="63"/>
        <v>0</v>
      </c>
      <c r="O65" s="6">
        <f t="shared" ca="1" si="64"/>
        <v>0</v>
      </c>
      <c r="Q65" t="e">
        <f t="shared" si="65"/>
        <v>#N/A</v>
      </c>
      <c r="R65" t="e">
        <f t="shared" si="66"/>
        <v>#N/A</v>
      </c>
      <c r="BC65">
        <v>1.0995574287564287</v>
      </c>
      <c r="BD65">
        <v>148.04697109553879</v>
      </c>
      <c r="BE65">
        <v>474.80271167232786</v>
      </c>
      <c r="BF65" s="6">
        <f t="shared" si="28"/>
        <v>1.2685426172001839</v>
      </c>
      <c r="BG65" s="6">
        <f t="shared" si="29"/>
        <v>0.16898518844375521</v>
      </c>
      <c r="BH65" s="6">
        <f t="shared" si="2"/>
        <v>-0.8456886910672432</v>
      </c>
      <c r="BI65" s="6">
        <f t="shared" si="3"/>
        <v>0.8456886910672432</v>
      </c>
      <c r="BV65" s="39"/>
      <c r="BW65" s="6">
        <f t="shared" si="34"/>
        <v>0.87266462599716554</v>
      </c>
      <c r="BX65" s="9">
        <f t="shared" ca="1" si="35"/>
        <v>128.19206094384828</v>
      </c>
      <c r="BY65" s="9">
        <f t="shared" ca="1" si="36"/>
        <v>397.17480400171456</v>
      </c>
      <c r="BZ65">
        <f t="shared" ca="1" si="18"/>
        <v>417.35000829379612</v>
      </c>
      <c r="CA65" s="6">
        <f t="shared" ca="1" si="19"/>
        <v>0.30715720233940114</v>
      </c>
      <c r="CB65" s="6">
        <f t="shared" ca="1" si="20"/>
        <v>0.95165879024523925</v>
      </c>
      <c r="CC65" s="6">
        <f t="shared" ca="1" si="21"/>
        <v>1.2585919429012395</v>
      </c>
      <c r="CD65" s="6">
        <f t="shared" ca="1" si="14"/>
        <v>1.6089700200272863</v>
      </c>
      <c r="CE65" s="9">
        <f t="shared" ca="1" si="15"/>
        <v>153.49210280820427</v>
      </c>
      <c r="CF65" s="9">
        <f t="shared" ca="1" si="16"/>
        <v>469.47442722251049</v>
      </c>
      <c r="CG65">
        <f t="shared" ca="1" si="22"/>
        <v>493.92920893624893</v>
      </c>
      <c r="CH65">
        <f t="shared" ca="1" si="23"/>
        <v>0.31075729078418479</v>
      </c>
      <c r="CI65">
        <f t="shared" ca="1" si="24"/>
        <v>0.95048929832190832</v>
      </c>
      <c r="CJ65">
        <f t="shared" ca="1" si="25"/>
        <v>1.254806660180293</v>
      </c>
      <c r="CK65" s="39">
        <f t="shared" ca="1" si="26"/>
        <v>0.83195273404735226</v>
      </c>
    </row>
    <row r="66" spans="1:89" x14ac:dyDescent="0.25">
      <c r="A66">
        <f t="shared" si="54"/>
        <v>5</v>
      </c>
      <c r="B66" s="1">
        <f t="shared" si="54"/>
        <v>0</v>
      </c>
      <c r="C66" s="1">
        <f t="shared" ca="1" si="54"/>
        <v>0</v>
      </c>
      <c r="D66" s="1">
        <f t="shared" si="54"/>
        <v>8</v>
      </c>
      <c r="E66" s="1">
        <f t="shared" si="54"/>
        <v>22</v>
      </c>
      <c r="F66" s="1">
        <f t="shared" si="55"/>
        <v>2</v>
      </c>
      <c r="G66" s="1">
        <f t="shared" si="56"/>
        <v>10</v>
      </c>
      <c r="H66" s="6">
        <f t="shared" si="57"/>
        <v>1.5638467585005627</v>
      </c>
      <c r="I66" s="6">
        <f t="shared" si="58"/>
        <v>10.07741947702522</v>
      </c>
      <c r="J66" s="6">
        <f t="shared" si="59"/>
        <v>2.1718198274104417</v>
      </c>
      <c r="K66">
        <f t="shared" ca="1" si="60"/>
        <v>0</v>
      </c>
      <c r="L66">
        <f t="shared" ca="1" si="61"/>
        <v>0</v>
      </c>
      <c r="M66" s="6">
        <f t="shared" ca="1" si="62"/>
        <v>0</v>
      </c>
      <c r="N66" s="6">
        <f t="shared" ca="1" si="63"/>
        <v>0</v>
      </c>
      <c r="O66" s="6">
        <f t="shared" ca="1" si="64"/>
        <v>0</v>
      </c>
      <c r="Q66" t="e">
        <f t="shared" si="65"/>
        <v>#N/A</v>
      </c>
      <c r="R66" t="e">
        <f t="shared" si="66"/>
        <v>#N/A</v>
      </c>
      <c r="BC66">
        <v>1.117010721276372</v>
      </c>
      <c r="BD66">
        <v>147.68067916263303</v>
      </c>
      <c r="BE66">
        <v>475.11436585284696</v>
      </c>
      <c r="BF66" s="6">
        <f t="shared" ref="BF66:BF97" si="67">IF(BC66&lt;&gt;"",IF(AND(BD66=0,BE66=0),0,MOD(ATAN2(BD66,BE66),2*PI())),NA())</f>
        <v>1.269431913844963</v>
      </c>
      <c r="BG66" s="6">
        <f t="shared" ref="BG66:BG97" si="68">ABS(BC66-BF66)</f>
        <v>0.15242119256859099</v>
      </c>
      <c r="BH66" s="6">
        <f t="shared" si="2"/>
        <v>-0.84657798771202231</v>
      </c>
      <c r="BI66" s="6">
        <f t="shared" si="3"/>
        <v>0.84657798771202231</v>
      </c>
      <c r="BV66" s="39"/>
      <c r="BW66" s="6">
        <f t="shared" si="34"/>
        <v>0.89011791851710886</v>
      </c>
      <c r="BX66" s="9">
        <f t="shared" ca="1" si="35"/>
        <v>127.71438840453266</v>
      </c>
      <c r="BY66" s="9">
        <f t="shared" ca="1" si="36"/>
        <v>397.69605611730094</v>
      </c>
      <c r="BZ66">
        <f t="shared" ca="1" si="18"/>
        <v>417.69979417854546</v>
      </c>
      <c r="CA66" s="6">
        <f t="shared" ca="1" si="19"/>
        <v>0.30575640731568388</v>
      </c>
      <c r="CB66" s="6">
        <f t="shared" ca="1" si="20"/>
        <v>0.95210977276016096</v>
      </c>
      <c r="CC66" s="6">
        <f t="shared" ca="1" si="21"/>
        <v>1.2600635448576325</v>
      </c>
      <c r="CD66" s="6">
        <f t="shared" ca="1" si="14"/>
        <v>1.6104416219836792</v>
      </c>
      <c r="CE66" s="9">
        <f t="shared" ca="1" si="15"/>
        <v>153.01443026888865</v>
      </c>
      <c r="CF66" s="9">
        <f t="shared" ca="1" si="16"/>
        <v>469.99567933809686</v>
      </c>
      <c r="CG66">
        <f t="shared" ca="1" si="22"/>
        <v>494.2765971265398</v>
      </c>
      <c r="CH66">
        <f t="shared" ca="1" si="23"/>
        <v>0.30957247654133907</v>
      </c>
      <c r="CI66">
        <f t="shared" ca="1" si="24"/>
        <v>0.95087584981850404</v>
      </c>
      <c r="CJ66">
        <f t="shared" ca="1" si="25"/>
        <v>1.256052937457069</v>
      </c>
      <c r="CK66" s="39">
        <f t="shared" ca="1" si="26"/>
        <v>0.83319901132412832</v>
      </c>
    </row>
    <row r="67" spans="1:89" x14ac:dyDescent="0.25">
      <c r="A67">
        <f t="shared" si="54"/>
        <v>6</v>
      </c>
      <c r="B67" s="1">
        <f t="shared" si="54"/>
        <v>0</v>
      </c>
      <c r="C67" s="1">
        <f t="shared" ca="1" si="54"/>
        <v>0</v>
      </c>
      <c r="D67" s="1">
        <f t="shared" si="54"/>
        <v>10</v>
      </c>
      <c r="E67" s="1">
        <f t="shared" si="54"/>
        <v>22</v>
      </c>
      <c r="F67" s="1">
        <f t="shared" si="55"/>
        <v>4</v>
      </c>
      <c r="G67" s="1">
        <f t="shared" si="56"/>
        <v>10</v>
      </c>
      <c r="H67" s="6">
        <f t="shared" si="57"/>
        <v>3.561959994793896</v>
      </c>
      <c r="I67" s="6">
        <f t="shared" si="58"/>
        <v>10.164272772583775</v>
      </c>
      <c r="J67" s="6">
        <f t="shared" si="59"/>
        <v>2.0849665318518866</v>
      </c>
      <c r="K67">
        <f t="shared" ca="1" si="60"/>
        <v>0</v>
      </c>
      <c r="L67">
        <f t="shared" ca="1" si="61"/>
        <v>0</v>
      </c>
      <c r="M67" s="6">
        <f t="shared" ca="1" si="62"/>
        <v>0</v>
      </c>
      <c r="N67" s="6">
        <f t="shared" ca="1" si="63"/>
        <v>0</v>
      </c>
      <c r="O67" s="6">
        <f t="shared" ca="1" si="64"/>
        <v>0</v>
      </c>
      <c r="Q67" t="e">
        <f t="shared" si="65"/>
        <v>#N/A</v>
      </c>
      <c r="R67" t="e">
        <f t="shared" si="66"/>
        <v>#N/A</v>
      </c>
      <c r="BC67">
        <v>1.1344640137963153</v>
      </c>
      <c r="BD67">
        <v>147.31975311614696</v>
      </c>
      <c r="BE67">
        <v>475.41590454462226</v>
      </c>
      <c r="BF67" s="6">
        <f t="shared" si="67"/>
        <v>1.2703042222730028</v>
      </c>
      <c r="BG67" s="6">
        <f t="shared" si="68"/>
        <v>0.13584020847668743</v>
      </c>
      <c r="BH67" s="6">
        <f t="shared" ref="BH67:BH130" si="69">ATAN2(COS($U$13-BF67),SIN($U$13-BF67))</f>
        <v>-0.84745029614006206</v>
      </c>
      <c r="BI67" s="6">
        <f t="shared" ref="BI67:BI130" si="70">ABS(BH67)</f>
        <v>0.84745029614006206</v>
      </c>
      <c r="BV67" s="39"/>
      <c r="BW67" s="6">
        <f t="shared" si="34"/>
        <v>0.90757121103705218</v>
      </c>
      <c r="BX67" s="9">
        <f t="shared" ca="1" si="35"/>
        <v>127.24885724934092</v>
      </c>
      <c r="BY67" s="9">
        <f t="shared" ca="1" si="36"/>
        <v>398.19383691057891</v>
      </c>
      <c r="BZ67">
        <f t="shared" ca="1" si="18"/>
        <v>418.03182106728656</v>
      </c>
      <c r="CA67" s="6">
        <f t="shared" ca="1" si="19"/>
        <v>0.30439993042744679</v>
      </c>
      <c r="CB67" s="6">
        <f t="shared" ca="1" si="20"/>
        <v>0.95254432041546777</v>
      </c>
      <c r="CC67" s="6">
        <f t="shared" ca="1" si="21"/>
        <v>1.2614879259709857</v>
      </c>
      <c r="CD67" s="6">
        <f t="shared" ca="1" si="14"/>
        <v>1.6118660030970324</v>
      </c>
      <c r="CE67" s="9">
        <f t="shared" ca="1" si="15"/>
        <v>152.5488991136969</v>
      </c>
      <c r="CF67" s="9">
        <f t="shared" ca="1" si="16"/>
        <v>470.49346013137483</v>
      </c>
      <c r="CG67">
        <f t="shared" ca="1" si="22"/>
        <v>494.60616923689344</v>
      </c>
      <c r="CH67">
        <f t="shared" ca="1" si="23"/>
        <v>0.30842498254532091</v>
      </c>
      <c r="CI67">
        <f t="shared" ca="1" si="24"/>
        <v>0.95124866893043192</v>
      </c>
      <c r="CJ67">
        <f t="shared" ca="1" si="25"/>
        <v>1.2572594766142098</v>
      </c>
      <c r="CK67" s="39">
        <f t="shared" ca="1" si="26"/>
        <v>0.83440555048126908</v>
      </c>
    </row>
    <row r="68" spans="1:89" x14ac:dyDescent="0.25">
      <c r="A68">
        <f t="shared" si="54"/>
        <v>7</v>
      </c>
      <c r="B68" s="1">
        <f t="shared" si="54"/>
        <v>0</v>
      </c>
      <c r="C68" s="1">
        <f t="shared" ca="1" si="54"/>
        <v>0</v>
      </c>
      <c r="D68" s="1">
        <f t="shared" si="54"/>
        <v>2</v>
      </c>
      <c r="E68" s="1">
        <f t="shared" si="54"/>
        <v>2</v>
      </c>
      <c r="F68" s="1">
        <f t="shared" si="55"/>
        <v>-4</v>
      </c>
      <c r="G68" s="1">
        <f t="shared" si="56"/>
        <v>-10</v>
      </c>
      <c r="H68" s="6">
        <f t="shared" si="57"/>
        <v>-3.561959994793896</v>
      </c>
      <c r="I68" s="6">
        <f t="shared" si="58"/>
        <v>-10.164272772583775</v>
      </c>
      <c r="J68" s="6">
        <f t="shared" si="59"/>
        <v>22.413512077019437</v>
      </c>
      <c r="K68">
        <f t="shared" ca="1" si="60"/>
        <v>0</v>
      </c>
      <c r="L68">
        <f t="shared" ca="1" si="61"/>
        <v>0</v>
      </c>
      <c r="M68" s="6">
        <f t="shared" ca="1" si="62"/>
        <v>0</v>
      </c>
      <c r="N68" s="6">
        <f t="shared" ca="1" si="63"/>
        <v>0</v>
      </c>
      <c r="O68" s="6">
        <f t="shared" ca="1" si="64"/>
        <v>0</v>
      </c>
      <c r="Q68" t="e">
        <f t="shared" si="65"/>
        <v>#N/A</v>
      </c>
      <c r="R68" t="e">
        <f t="shared" si="66"/>
        <v>#N/A</v>
      </c>
      <c r="BC68">
        <v>1.1519173063162587</v>
      </c>
      <c r="BD68">
        <v>146.96385196335558</v>
      </c>
      <c r="BE68">
        <v>475.70788794021411</v>
      </c>
      <c r="BF68" s="6">
        <f t="shared" si="67"/>
        <v>1.271160588568544</v>
      </c>
      <c r="BG68" s="6">
        <f t="shared" si="68"/>
        <v>0.11924328225228531</v>
      </c>
      <c r="BH68" s="6">
        <f t="shared" si="69"/>
        <v>-0.84830666243560326</v>
      </c>
      <c r="BI68" s="6">
        <f t="shared" si="70"/>
        <v>0.84830666243560326</v>
      </c>
      <c r="BV68" s="39"/>
      <c r="BW68" s="6">
        <f t="shared" si="34"/>
        <v>0.9250245035569955</v>
      </c>
      <c r="BX68" s="9">
        <f t="shared" ca="1" si="35"/>
        <v>126.79472004025286</v>
      </c>
      <c r="BY68" s="9">
        <f t="shared" ca="1" si="36"/>
        <v>398.6697874967881</v>
      </c>
      <c r="BZ68">
        <f t="shared" ca="1" si="18"/>
        <v>418.34734431190105</v>
      </c>
      <c r="CA68" s="6">
        <f t="shared" ca="1" si="19"/>
        <v>0.30308479727247983</v>
      </c>
      <c r="CB68" s="6">
        <f t="shared" ca="1" si="20"/>
        <v>0.95296359094264438</v>
      </c>
      <c r="CC68" s="6">
        <f t="shared" ca="1" si="21"/>
        <v>1.2628682749459867</v>
      </c>
      <c r="CD68" s="6">
        <f t="shared" ca="1" si="14"/>
        <v>1.6132463520720335</v>
      </c>
      <c r="CE68" s="9">
        <f t="shared" ca="1" si="15"/>
        <v>152.09476190460884</v>
      </c>
      <c r="CF68" s="9">
        <f t="shared" ca="1" si="16"/>
        <v>470.96941071758403</v>
      </c>
      <c r="CG68">
        <f t="shared" ca="1" si="22"/>
        <v>494.9191877776492</v>
      </c>
      <c r="CH68">
        <f t="shared" ca="1" si="23"/>
        <v>0.30731231615319787</v>
      </c>
      <c r="CI68">
        <f t="shared" ca="1" si="24"/>
        <v>0.9516087117826092</v>
      </c>
      <c r="CJ68">
        <f t="shared" ca="1" si="25"/>
        <v>1.2584289455156508</v>
      </c>
      <c r="CK68" s="39">
        <f t="shared" ca="1" si="26"/>
        <v>0.83557501938271006</v>
      </c>
    </row>
    <row r="69" spans="1:89" x14ac:dyDescent="0.25">
      <c r="A69">
        <f t="shared" si="54"/>
        <v>8</v>
      </c>
      <c r="B69" s="1">
        <f t="shared" si="54"/>
        <v>0</v>
      </c>
      <c r="C69" s="1">
        <f t="shared" ca="1" si="54"/>
        <v>0</v>
      </c>
      <c r="D69" s="1">
        <f t="shared" si="54"/>
        <v>4</v>
      </c>
      <c r="E69" s="1">
        <f t="shared" si="54"/>
        <v>2</v>
      </c>
      <c r="F69" s="1">
        <f t="shared" si="55"/>
        <v>-2</v>
      </c>
      <c r="G69" s="1">
        <f t="shared" si="56"/>
        <v>-10</v>
      </c>
      <c r="H69" s="6">
        <f t="shared" si="57"/>
        <v>-1.5638467585005627</v>
      </c>
      <c r="I69" s="6">
        <f t="shared" si="58"/>
        <v>-10.07741947702522</v>
      </c>
      <c r="J69" s="6">
        <f t="shared" si="59"/>
        <v>22.326658781460882</v>
      </c>
      <c r="K69">
        <f t="shared" ca="1" si="60"/>
        <v>0</v>
      </c>
      <c r="L69">
        <f t="shared" ca="1" si="61"/>
        <v>0</v>
      </c>
      <c r="M69" s="6">
        <f t="shared" ca="1" si="62"/>
        <v>0</v>
      </c>
      <c r="N69" s="6">
        <f t="shared" ca="1" si="63"/>
        <v>0</v>
      </c>
      <c r="O69" s="6">
        <f t="shared" ca="1" si="64"/>
        <v>0</v>
      </c>
      <c r="Q69" t="e">
        <f t="shared" si="65"/>
        <v>#N/A</v>
      </c>
      <c r="R69" t="e">
        <f t="shared" si="66"/>
        <v>#N/A</v>
      </c>
      <c r="BC69">
        <v>1.169370598836202</v>
      </c>
      <c r="BD69">
        <v>146.61265064218895</v>
      </c>
      <c r="BE69">
        <v>475.99083663735092</v>
      </c>
      <c r="BF69" s="6">
        <f t="shared" si="67"/>
        <v>1.2720019990139646</v>
      </c>
      <c r="BG69" s="6">
        <f t="shared" si="68"/>
        <v>0.10263140017776262</v>
      </c>
      <c r="BH69" s="6">
        <f t="shared" si="69"/>
        <v>-0.8491480728810239</v>
      </c>
      <c r="BI69" s="6">
        <f t="shared" si="70"/>
        <v>0.8491480728810239</v>
      </c>
      <c r="BV69" s="39"/>
      <c r="BW69" s="6">
        <f t="shared" si="34"/>
        <v>0.94247779607693882</v>
      </c>
      <c r="BX69" s="9">
        <f t="shared" ca="1" si="35"/>
        <v>126.35128058544743</v>
      </c>
      <c r="BY69" s="9">
        <f t="shared" ca="1" si="36"/>
        <v>399.12540435552341</v>
      </c>
      <c r="BZ69">
        <f t="shared" ca="1" si="18"/>
        <v>418.64750627173515</v>
      </c>
      <c r="CA69" s="6">
        <f t="shared" ca="1" si="19"/>
        <v>0.30180827233552304</v>
      </c>
      <c r="CB69" s="6">
        <f t="shared" ca="1" si="20"/>
        <v>0.95336864158091905</v>
      </c>
      <c r="CC69" s="6">
        <f t="shared" ca="1" si="21"/>
        <v>1.2642075218247648</v>
      </c>
      <c r="CD69" s="6">
        <f t="shared" ca="1" si="14"/>
        <v>1.6145855989508116</v>
      </c>
      <c r="CE69" s="9">
        <f t="shared" ca="1" si="15"/>
        <v>151.65132244980342</v>
      </c>
      <c r="CF69" s="9">
        <f t="shared" ca="1" si="16"/>
        <v>471.42502757631934</v>
      </c>
      <c r="CG69">
        <f t="shared" ca="1" si="22"/>
        <v>495.21680123568876</v>
      </c>
      <c r="CH69">
        <f t="shared" ca="1" si="23"/>
        <v>0.30623218370498689</v>
      </c>
      <c r="CI69">
        <f t="shared" ca="1" si="24"/>
        <v>0.95195685283697351</v>
      </c>
      <c r="CJ69">
        <f t="shared" ca="1" si="25"/>
        <v>1.259563797240606</v>
      </c>
      <c r="CK69" s="39">
        <f t="shared" ca="1" si="26"/>
        <v>0.83670987110766526</v>
      </c>
    </row>
    <row r="70" spans="1:89" x14ac:dyDescent="0.25">
      <c r="A70">
        <f t="shared" si="54"/>
        <v>9</v>
      </c>
      <c r="B70" s="1">
        <f t="shared" si="54"/>
        <v>0</v>
      </c>
      <c r="C70" s="1">
        <f t="shared" ca="1" si="54"/>
        <v>0</v>
      </c>
      <c r="D70" s="1">
        <f t="shared" si="54"/>
        <v>8</v>
      </c>
      <c r="E70" s="1">
        <f t="shared" si="54"/>
        <v>2</v>
      </c>
      <c r="F70" s="1">
        <f t="shared" si="55"/>
        <v>2</v>
      </c>
      <c r="G70" s="1">
        <f t="shared" si="56"/>
        <v>-10</v>
      </c>
      <c r="H70" s="6">
        <f t="shared" si="57"/>
        <v>2.4323797140861041</v>
      </c>
      <c r="I70" s="6">
        <f t="shared" si="58"/>
        <v>-9.9037128859081136</v>
      </c>
      <c r="J70" s="6">
        <f t="shared" si="59"/>
        <v>22.152952190343775</v>
      </c>
      <c r="K70">
        <f t="shared" ca="1" si="60"/>
        <v>0</v>
      </c>
      <c r="L70">
        <f t="shared" ca="1" si="61"/>
        <v>0</v>
      </c>
      <c r="M70" s="6">
        <f t="shared" ca="1" si="62"/>
        <v>0</v>
      </c>
      <c r="N70" s="6">
        <f t="shared" ca="1" si="63"/>
        <v>0</v>
      </c>
      <c r="O70" s="6">
        <f t="shared" ca="1" si="64"/>
        <v>0</v>
      </c>
      <c r="Q70" t="e">
        <f t="shared" si="65"/>
        <v>#N/A</v>
      </c>
      <c r="R70" t="e">
        <f t="shared" si="66"/>
        <v>#N/A</v>
      </c>
      <c r="BC70">
        <v>1.1868238913561453</v>
      </c>
      <c r="BD70">
        <v>146.26583869999209</v>
      </c>
      <c r="BE70">
        <v>476.26523496546884</v>
      </c>
      <c r="BF70" s="6">
        <f t="shared" si="67"/>
        <v>1.2728293852260162</v>
      </c>
      <c r="BG70" s="6">
        <f t="shared" si="68"/>
        <v>8.6005493869870886E-2</v>
      </c>
      <c r="BH70" s="6">
        <f t="shared" si="69"/>
        <v>-0.84997545909307548</v>
      </c>
      <c r="BI70" s="6">
        <f t="shared" si="70"/>
        <v>0.84997545909307548</v>
      </c>
      <c r="BV70" s="39"/>
      <c r="BW70" s="6">
        <f t="shared" si="34"/>
        <v>0.95993108859688214</v>
      </c>
      <c r="BX70" s="9">
        <f t="shared" ca="1" si="35"/>
        <v>125.9178892414817</v>
      </c>
      <c r="BY70" s="9">
        <f t="shared" ca="1" si="36"/>
        <v>399.56205457019541</v>
      </c>
      <c r="BZ70">
        <f t="shared" ca="1" si="18"/>
        <v>418.93334825886791</v>
      </c>
      <c r="CA70" s="6">
        <f t="shared" ca="1" si="19"/>
        <v>0.30056783439372875</v>
      </c>
      <c r="CB70" s="6">
        <f t="shared" ca="1" si="20"/>
        <v>0.95376044000989257</v>
      </c>
      <c r="CC70" s="6">
        <f t="shared" ca="1" si="21"/>
        <v>1.2655083648341305</v>
      </c>
      <c r="CD70" s="6">
        <f t="shared" ca="1" si="14"/>
        <v>1.6158864419601773</v>
      </c>
      <c r="CE70" s="9">
        <f t="shared" ca="1" si="15"/>
        <v>151.21793110583769</v>
      </c>
      <c r="CF70" s="9">
        <f t="shared" ca="1" si="16"/>
        <v>471.86167779099134</v>
      </c>
      <c r="CG70">
        <f t="shared" ca="1" si="22"/>
        <v>495.50005616110599</v>
      </c>
      <c r="CH70">
        <f t="shared" ca="1" si="23"/>
        <v>0.30518247016438477</v>
      </c>
      <c r="CI70">
        <f t="shared" ca="1" si="24"/>
        <v>0.95229389366117667</v>
      </c>
      <c r="CJ70">
        <f t="shared" ca="1" si="25"/>
        <v>1.2606662922100376</v>
      </c>
      <c r="CK70" s="39">
        <f t="shared" ca="1" si="26"/>
        <v>0.83781236607709686</v>
      </c>
    </row>
    <row r="71" spans="1:89" ht="15.75" thickBot="1" x14ac:dyDescent="0.3">
      <c r="A71">
        <f t="shared" si="54"/>
        <v>10</v>
      </c>
      <c r="B71" s="1">
        <f t="shared" si="54"/>
        <v>0</v>
      </c>
      <c r="C71" s="1">
        <f t="shared" ca="1" si="54"/>
        <v>0</v>
      </c>
      <c r="D71" s="1">
        <f t="shared" si="54"/>
        <v>10</v>
      </c>
      <c r="E71" s="1">
        <f t="shared" si="54"/>
        <v>2</v>
      </c>
      <c r="F71" s="1">
        <f t="shared" si="55"/>
        <v>4</v>
      </c>
      <c r="G71" s="1">
        <f t="shared" si="56"/>
        <v>-10</v>
      </c>
      <c r="H71" s="6">
        <f t="shared" si="57"/>
        <v>4.4304929503794375</v>
      </c>
      <c r="I71" s="6">
        <f t="shared" si="58"/>
        <v>-9.8168595903495586</v>
      </c>
      <c r="J71" s="6">
        <f t="shared" si="59"/>
        <v>22.06609889478522</v>
      </c>
      <c r="K71" s="12">
        <f t="shared" ca="1" si="60"/>
        <v>0</v>
      </c>
      <c r="L71">
        <f t="shared" ca="1" si="61"/>
        <v>0</v>
      </c>
      <c r="M71" s="11">
        <f t="shared" ca="1" si="62"/>
        <v>0</v>
      </c>
      <c r="N71" s="11">
        <f t="shared" ca="1" si="63"/>
        <v>0</v>
      </c>
      <c r="O71" s="11">
        <f t="shared" ca="1" si="64"/>
        <v>0</v>
      </c>
      <c r="Q71" t="e">
        <f t="shared" si="65"/>
        <v>#N/A</v>
      </c>
      <c r="R71" t="e">
        <f t="shared" si="66"/>
        <v>#N/A</v>
      </c>
      <c r="BC71">
        <v>1.2042771838760886</v>
      </c>
      <c r="BD71">
        <v>145.92311907415154</v>
      </c>
      <c r="BE71">
        <v>476.53153397753005</v>
      </c>
      <c r="BF71" s="6">
        <f t="shared" si="67"/>
        <v>1.2736436288230397</v>
      </c>
      <c r="BG71" s="6">
        <f t="shared" si="68"/>
        <v>6.93664449469511E-2</v>
      </c>
      <c r="BH71" s="6">
        <f t="shared" si="69"/>
        <v>-0.85078970269009901</v>
      </c>
      <c r="BI71" s="6">
        <f t="shared" si="70"/>
        <v>0.85078970269009901</v>
      </c>
      <c r="BV71" s="39"/>
      <c r="BW71" s="6">
        <f t="shared" si="34"/>
        <v>0.97738438111682546</v>
      </c>
      <c r="BX71" s="9">
        <f t="shared" ca="1" si="35"/>
        <v>125.49393871654394</v>
      </c>
      <c r="BY71" s="9">
        <f t="shared" ca="1" si="36"/>
        <v>399.98098922932377</v>
      </c>
      <c r="BZ71">
        <f t="shared" ca="1" si="18"/>
        <v>419.2058210467265</v>
      </c>
      <c r="CA71" s="6">
        <f t="shared" ca="1" si="19"/>
        <v>0.29936115486944975</v>
      </c>
      <c r="CB71" s="6">
        <f t="shared" ca="1" si="20"/>
        <v>0.95413987389440413</v>
      </c>
      <c r="CC71" s="6">
        <f t="shared" ca="1" si="21"/>
        <v>1.2667732939864451</v>
      </c>
      <c r="CD71" s="6">
        <f t="shared" ca="1" si="14"/>
        <v>1.6171513711124919</v>
      </c>
      <c r="CE71" s="9">
        <f t="shared" ca="1" si="15"/>
        <v>150.79398058089993</v>
      </c>
      <c r="CF71" s="9">
        <f t="shared" ca="1" si="16"/>
        <v>472.28061245011969</v>
      </c>
      <c r="CG71">
        <f t="shared" ca="1" si="22"/>
        <v>495.7699077956355</v>
      </c>
      <c r="CH71">
        <f t="shared" ca="1" si="23"/>
        <v>0.30416122118299216</v>
      </c>
      <c r="CI71">
        <f t="shared" ca="1" si="24"/>
        <v>0.95262057059905603</v>
      </c>
      <c r="CJ71">
        <f t="shared" ca="1" si="25"/>
        <v>1.2617385176592235</v>
      </c>
      <c r="CK71" s="39">
        <f t="shared" ca="1" si="26"/>
        <v>0.83888459152628281</v>
      </c>
    </row>
    <row r="72" spans="1:89" ht="15.75" thickTop="1" x14ac:dyDescent="0.25">
      <c r="K72" s="13">
        <f ca="1">MIN(K62:K71)</f>
        <v>-2.3070207678999116E-2</v>
      </c>
      <c r="M72" s="9">
        <f ca="1">SUM(M62:M71)</f>
        <v>-69.842696141229908</v>
      </c>
      <c r="N72" s="9">
        <f ca="1">SUM(N62:N71)</f>
        <v>581.73754827989887</v>
      </c>
      <c r="O72" s="9">
        <f ca="1">SUM(O62:O71)</f>
        <v>-285.90070108227309</v>
      </c>
      <c r="BC72">
        <v>1.2217304763960319</v>
      </c>
      <c r="BD72">
        <v>145.58420695143838</v>
      </c>
      <c r="BE72">
        <v>476.79015411300321</v>
      </c>
      <c r="BF72" s="6">
        <f t="shared" si="67"/>
        <v>1.2744455656813509</v>
      </c>
      <c r="BG72" s="6">
        <f t="shared" si="68"/>
        <v>5.2715089285318983E-2</v>
      </c>
      <c r="BH72" s="6">
        <f t="shared" si="69"/>
        <v>-0.85159163954841022</v>
      </c>
      <c r="BI72" s="6">
        <f t="shared" si="70"/>
        <v>0.85159163954841022</v>
      </c>
      <c r="BV72" s="39"/>
      <c r="BW72" s="6">
        <f t="shared" si="34"/>
        <v>0.99483767363676878</v>
      </c>
      <c r="BX72" s="9">
        <f t="shared" ca="1" si="35"/>
        <v>125.07886030502721</v>
      </c>
      <c r="BY72" s="9">
        <f t="shared" ca="1" si="36"/>
        <v>400.38335522148367</v>
      </c>
      <c r="BZ72">
        <f t="shared" ca="1" si="18"/>
        <v>419.46579411629892</v>
      </c>
      <c r="CA72" s="6">
        <f t="shared" ca="1" si="19"/>
        <v>0.29818607872075614</v>
      </c>
      <c r="CB72" s="6">
        <f t="shared" ca="1" si="20"/>
        <v>0.95450775924407183</v>
      </c>
      <c r="CC72" s="6">
        <f t="shared" ca="1" si="21"/>
        <v>1.2680046118890544</v>
      </c>
      <c r="CD72" s="6">
        <f t="shared" ca="1" si="14"/>
        <v>1.6183826890151012</v>
      </c>
      <c r="CE72" s="9">
        <f t="shared" ca="1" si="15"/>
        <v>150.3789021693832</v>
      </c>
      <c r="CF72" s="9">
        <f t="shared" ca="1" si="16"/>
        <v>472.68297844227959</v>
      </c>
      <c r="CG72">
        <f t="shared" ca="1" si="22"/>
        <v>496.02722942065736</v>
      </c>
      <c r="CH72">
        <f t="shared" ca="1" si="23"/>
        <v>0.30316662725354926</v>
      </c>
      <c r="CI72">
        <f t="shared" ca="1" si="24"/>
        <v>0.95293756150112352</v>
      </c>
      <c r="CJ72">
        <f t="shared" ca="1" si="25"/>
        <v>1.262782404825268</v>
      </c>
      <c r="CK72" s="39">
        <f t="shared" ca="1" si="26"/>
        <v>0.83992847869232734</v>
      </c>
    </row>
    <row r="73" spans="1:89" x14ac:dyDescent="0.25">
      <c r="N73" s="47">
        <f ca="1">N72/12</f>
        <v>48.478129023324904</v>
      </c>
      <c r="O73" s="47">
        <f ca="1">O72/12</f>
        <v>-23.825058423522758</v>
      </c>
      <c r="BC73">
        <v>1.2391837689159753</v>
      </c>
      <c r="BD73">
        <v>145.24882873530376</v>
      </c>
      <c r="BE73">
        <v>477.04148766217304</v>
      </c>
      <c r="BF73" s="6">
        <f t="shared" si="67"/>
        <v>1.275235989810003</v>
      </c>
      <c r="BG73" s="6">
        <f t="shared" si="68"/>
        <v>3.6052220894027709E-2</v>
      </c>
      <c r="BH73" s="6">
        <f t="shared" si="69"/>
        <v>-0.85238206367706226</v>
      </c>
      <c r="BI73" s="6">
        <f t="shared" si="70"/>
        <v>0.85238206367706226</v>
      </c>
      <c r="BV73" s="39"/>
      <c r="BW73" s="6">
        <f t="shared" si="34"/>
        <v>1.0122909661567121</v>
      </c>
      <c r="BX73" s="9">
        <f t="shared" ca="1" si="35"/>
        <v>124.67212048828901</v>
      </c>
      <c r="BY73" s="9">
        <f t="shared" ca="1" si="36"/>
        <v>400.7702056075488</v>
      </c>
      <c r="BZ73">
        <f t="shared" ca="1" si="18"/>
        <v>419.71406377409295</v>
      </c>
      <c r="CA73" s="6">
        <f t="shared" ca="1" si="19"/>
        <v>0.29704060752034406</v>
      </c>
      <c r="CB73" s="6">
        <f t="shared" ca="1" si="20"/>
        <v>0.95486484775801916</v>
      </c>
      <c r="CC73" s="6">
        <f t="shared" ca="1" si="21"/>
        <v>1.2692044521494537</v>
      </c>
      <c r="CD73" s="6">
        <f t="shared" ca="1" si="14"/>
        <v>1.6195825292755004</v>
      </c>
      <c r="CE73" s="9">
        <f t="shared" ca="1" si="15"/>
        <v>149.972162352645</v>
      </c>
      <c r="CF73" s="9">
        <f t="shared" ca="1" si="16"/>
        <v>473.06982882834473</v>
      </c>
      <c r="CG73">
        <f t="shared" ca="1" si="22"/>
        <v>496.27282056184328</v>
      </c>
      <c r="CH73">
        <f t="shared" ca="1" si="23"/>
        <v>0.30219700966669433</v>
      </c>
      <c r="CI73">
        <f t="shared" ca="1" si="24"/>
        <v>0.95324549164866645</v>
      </c>
      <c r="CJ73">
        <f t="shared" ca="1" si="25"/>
        <v>1.263799744163822</v>
      </c>
      <c r="CK73" s="39">
        <f t="shared" ca="1" si="26"/>
        <v>0.84094581803088131</v>
      </c>
    </row>
    <row r="74" spans="1:89" x14ac:dyDescent="0.25">
      <c r="BC74">
        <v>1.2566370614359186</v>
      </c>
      <c r="BD74">
        <v>144.91672106397675</v>
      </c>
      <c r="BE74">
        <v>477.28590093784794</v>
      </c>
      <c r="BF74" s="6">
        <f t="shared" si="67"/>
        <v>1.2760156569057661</v>
      </c>
      <c r="BG74" s="6">
        <f t="shared" si="68"/>
        <v>1.9378595469847548E-2</v>
      </c>
      <c r="BH74" s="6">
        <f t="shared" si="69"/>
        <v>-0.85316173077282542</v>
      </c>
      <c r="BI74" s="6">
        <f t="shared" si="70"/>
        <v>0.85316173077282542</v>
      </c>
      <c r="BV74" s="39"/>
      <c r="BW74" s="6">
        <f t="shared" si="34"/>
        <v>1.0297442586766554</v>
      </c>
      <c r="BX74" s="9">
        <f t="shared" ca="1" si="35"/>
        <v>124.27321788772986</v>
      </c>
      <c r="BY74" s="9">
        <f t="shared" ca="1" si="36"/>
        <v>401.14250883478252</v>
      </c>
      <c r="BZ74">
        <f t="shared" ca="1" si="18"/>
        <v>419.95136037216827</v>
      </c>
      <c r="CA74" s="6">
        <f t="shared" ca="1" si="19"/>
        <v>0.29592288444451459</v>
      </c>
      <c r="CB74" s="6">
        <f t="shared" ca="1" si="20"/>
        <v>0.95521183329251036</v>
      </c>
      <c r="CC74" s="6">
        <f t="shared" ca="1" si="21"/>
        <v>1.2703747956852278</v>
      </c>
      <c r="CD74" s="6">
        <f t="shared" ca="1" si="14"/>
        <v>1.6207528728112746</v>
      </c>
      <c r="CE74" s="9">
        <f t="shared" ca="1" si="15"/>
        <v>149.57325975208585</v>
      </c>
      <c r="CF74" s="9">
        <f t="shared" ca="1" si="16"/>
        <v>473.44213205557844</v>
      </c>
      <c r="CG74">
        <f t="shared" ca="1" si="22"/>
        <v>496.50741428320759</v>
      </c>
      <c r="CH74">
        <f t="shared" ca="1" si="23"/>
        <v>0.30125080804285698</v>
      </c>
      <c r="CI74">
        <f t="shared" ca="1" si="24"/>
        <v>0.95354493897955628</v>
      </c>
      <c r="CJ74">
        <f t="shared" ca="1" si="25"/>
        <v>1.2647921988468056</v>
      </c>
      <c r="CK74" s="39">
        <f t="shared" ca="1" si="26"/>
        <v>0.8419382727138649</v>
      </c>
    </row>
    <row r="75" spans="1:89" x14ac:dyDescent="0.25">
      <c r="A75" s="8" t="s">
        <v>63</v>
      </c>
      <c r="B75" s="9">
        <f ca="1">N57+M72</f>
        <v>123.99179565808544</v>
      </c>
      <c r="C75" t="s">
        <v>68</v>
      </c>
      <c r="E75">
        <f>((O59*COS(-1*B27))+(P59*SIN(-1*B27)))</f>
        <v>182.3016399823467</v>
      </c>
      <c r="F75">
        <f>(-1*(O59)*SIN(-1*B27))+((P59)*COS(-1*B27))</f>
        <v>133.97953172408393</v>
      </c>
      <c r="BC75">
        <v>1.2740903539558619</v>
      </c>
      <c r="BD75">
        <v>144.58762990934372</v>
      </c>
      <c r="BE75">
        <v>477.52373627427653</v>
      </c>
      <c r="BF75" s="6">
        <f t="shared" si="67"/>
        <v>1.276785287607709</v>
      </c>
      <c r="BG75" s="6">
        <f t="shared" si="68"/>
        <v>2.6949336518471423E-3</v>
      </c>
      <c r="BH75" s="6">
        <f t="shared" si="69"/>
        <v>-0.85393136147476834</v>
      </c>
      <c r="BI75" s="6">
        <f t="shared" si="70"/>
        <v>0.85393136147476834</v>
      </c>
      <c r="BV75" s="39"/>
      <c r="BW75" s="6">
        <f t="shared" si="34"/>
        <v>1.0471975511965987</v>
      </c>
      <c r="BX75" s="9">
        <f t="shared" ca="1" si="35"/>
        <v>123.8816804944162</v>
      </c>
      <c r="BY75" s="9">
        <f t="shared" ca="1" si="36"/>
        <v>401.50115685594898</v>
      </c>
      <c r="BZ75">
        <f t="shared" ca="1" si="18"/>
        <v>420.17835465286163</v>
      </c>
      <c r="CA75" s="6">
        <f t="shared" ca="1" si="19"/>
        <v>0.2948311809083155</v>
      </c>
      <c r="CB75" s="6">
        <f t="shared" ca="1" si="20"/>
        <v>0.95554935757615789</v>
      </c>
      <c r="CC75" s="6">
        <f t="shared" ca="1" si="21"/>
        <v>1.2715174852297153</v>
      </c>
      <c r="CD75" s="6">
        <f t="shared" ca="1" si="14"/>
        <v>1.621895562355762</v>
      </c>
      <c r="CE75" s="9">
        <f t="shared" ca="1" si="15"/>
        <v>149.18172235877219</v>
      </c>
      <c r="CF75" s="9">
        <f t="shared" ca="1" si="16"/>
        <v>473.8007800767449</v>
      </c>
      <c r="CG75">
        <f t="shared" ca="1" si="22"/>
        <v>496.73168359513949</v>
      </c>
      <c r="CH75">
        <f t="shared" ca="1" si="23"/>
        <v>0.30032656922356205</v>
      </c>
      <c r="CI75">
        <f t="shared" ca="1" si="24"/>
        <v>0.95383643871389445</v>
      </c>
      <c r="CJ75">
        <f t="shared" ca="1" si="25"/>
        <v>1.2657613167775639</v>
      </c>
      <c r="CK75" s="39">
        <f t="shared" ca="1" si="26"/>
        <v>0.84290739064462317</v>
      </c>
    </row>
    <row r="76" spans="1:89" x14ac:dyDescent="0.25">
      <c r="A76" s="8" t="s">
        <v>66</v>
      </c>
      <c r="B76" s="9">
        <f ca="1">O57+N72</f>
        <v>2697.4740841543812</v>
      </c>
      <c r="C76" t="s">
        <v>69</v>
      </c>
      <c r="E76">
        <f ca="1">((N73*COS(-1*B27))+(O73*SIN(-1*B27)))</f>
        <v>47.397753215641721</v>
      </c>
      <c r="F76">
        <f ca="1">(-1*(N73)*SIN(-1*B27))+((O73)*COS(-1*B27))</f>
        <v>-25.907824929845678</v>
      </c>
      <c r="BC76">
        <v>1.2915436464758052</v>
      </c>
      <c r="BD76">
        <v>144.26130973187327</v>
      </c>
      <c r="BE76">
        <v>477.75531383036434</v>
      </c>
      <c r="BF76" s="6">
        <f t="shared" si="67"/>
        <v>1.2775455704909073</v>
      </c>
      <c r="BG76" s="6">
        <f t="shared" si="68"/>
        <v>1.3998075984897884E-2</v>
      </c>
      <c r="BH76" s="6">
        <f t="shared" si="69"/>
        <v>-0.85469164435796663</v>
      </c>
      <c r="BI76" s="6">
        <f t="shared" si="70"/>
        <v>0.85469164435796663</v>
      </c>
      <c r="BV76" s="39"/>
      <c r="BW76" s="6">
        <f t="shared" si="34"/>
        <v>1.0646508437165421</v>
      </c>
      <c r="BX76" s="9">
        <f t="shared" ca="1" si="35"/>
        <v>123.49706318041669</v>
      </c>
      <c r="BY76" s="9">
        <f t="shared" ca="1" si="36"/>
        <v>401.84697238817961</v>
      </c>
      <c r="BZ76">
        <f t="shared" ca="1" si="18"/>
        <v>420.39566343117076</v>
      </c>
      <c r="CA76" s="6">
        <f t="shared" ca="1" si="19"/>
        <v>0.2937638846520505</v>
      </c>
      <c r="CB76" s="6">
        <f t="shared" ca="1" si="20"/>
        <v>0.95587801526875638</v>
      </c>
      <c r="CC76" s="6">
        <f t="shared" ca="1" si="21"/>
        <v>1.2726342382494802</v>
      </c>
      <c r="CD76" s="6">
        <f t="shared" ca="1" si="14"/>
        <v>1.6230123153755269</v>
      </c>
      <c r="CE76" s="9">
        <f t="shared" ca="1" si="15"/>
        <v>148.79710504477268</v>
      </c>
      <c r="CF76" s="9">
        <f t="shared" ca="1" si="16"/>
        <v>474.14659560897553</v>
      </c>
      <c r="CG76">
        <f t="shared" ca="1" si="22"/>
        <v>496.94624719106844</v>
      </c>
      <c r="CH76">
        <f t="shared" ca="1" si="23"/>
        <v>0.29942293736159842</v>
      </c>
      <c r="CI76">
        <f t="shared" ca="1" si="24"/>
        <v>0.95412048745520206</v>
      </c>
      <c r="CJ76">
        <f t="shared" ca="1" si="25"/>
        <v>1.2667085413003039</v>
      </c>
      <c r="CK76" s="39">
        <f t="shared" ca="1" si="26"/>
        <v>0.84385461516736315</v>
      </c>
    </row>
    <row r="77" spans="1:89" x14ac:dyDescent="0.25">
      <c r="A77" s="8" t="s">
        <v>67</v>
      </c>
      <c r="B77" s="9">
        <f ca="1">P57+O72</f>
        <v>1415.3379426085501</v>
      </c>
      <c r="C77" t="s">
        <v>69</v>
      </c>
      <c r="BC77">
        <v>1.3089969389957485</v>
      </c>
      <c r="BD77">
        <v>143.93752268363767</v>
      </c>
      <c r="BE77">
        <v>477.98093321240577</v>
      </c>
      <c r="BF77" s="6">
        <f t="shared" si="67"/>
        <v>1.2782971648284214</v>
      </c>
      <c r="BG77" s="6">
        <f t="shared" si="68"/>
        <v>3.0699774167327165E-2</v>
      </c>
      <c r="BH77" s="6">
        <f t="shared" si="69"/>
        <v>-0.85544323869548056</v>
      </c>
      <c r="BI77" s="6">
        <f t="shared" si="70"/>
        <v>0.85544323869548056</v>
      </c>
      <c r="BV77" s="39"/>
      <c r="BW77" s="6">
        <f t="shared" si="34"/>
        <v>1.0821041362364854</v>
      </c>
      <c r="BX77" s="9">
        <f t="shared" ca="1" si="35"/>
        <v>123.11894541957969</v>
      </c>
      <c r="BY77" s="9">
        <f t="shared" ca="1" si="36"/>
        <v>402.18071531791452</v>
      </c>
      <c r="BZ77">
        <f t="shared" ca="1" si="18"/>
        <v>420.60385458868399</v>
      </c>
      <c r="CA77" s="6">
        <f t="shared" ca="1" si="19"/>
        <v>0.29271948907833928</v>
      </c>
      <c r="CB77" s="6">
        <f t="shared" ca="1" si="20"/>
        <v>0.95619835845587819</v>
      </c>
      <c r="CC77" s="6">
        <f t="shared" ca="1" si="21"/>
        <v>1.2737266584939846</v>
      </c>
      <c r="CD77" s="6">
        <f t="shared" ca="1" si="14"/>
        <v>1.6241047356200313</v>
      </c>
      <c r="CE77" s="9">
        <f t="shared" ca="1" si="15"/>
        <v>148.41898728393568</v>
      </c>
      <c r="CF77" s="9">
        <f t="shared" ca="1" si="16"/>
        <v>474.48033853871044</v>
      </c>
      <c r="CG77">
        <f t="shared" ca="1" si="22"/>
        <v>497.15167448797587</v>
      </c>
      <c r="CH77">
        <f t="shared" ca="1" si="23"/>
        <v>0.29853864504589001</v>
      </c>
      <c r="CI77">
        <f t="shared" ca="1" si="24"/>
        <v>0.95439754683997602</v>
      </c>
      <c r="CJ77">
        <f t="shared" ca="1" si="25"/>
        <v>1.2676352207830617</v>
      </c>
      <c r="CK77" s="39">
        <f t="shared" ca="1" si="26"/>
        <v>0.84478129465012097</v>
      </c>
    </row>
    <row r="78" spans="1:89" x14ac:dyDescent="0.25">
      <c r="BC78">
        <v>1.3264502315156919</v>
      </c>
      <c r="BD78">
        <v>143.6160378670578</v>
      </c>
      <c r="BE78">
        <v>478.20087496663132</v>
      </c>
      <c r="BF78" s="6">
        <f t="shared" si="67"/>
        <v>1.2790407031404043</v>
      </c>
      <c r="BG78" s="6">
        <f t="shared" si="68"/>
        <v>4.7409528375287557E-2</v>
      </c>
      <c r="BH78" s="6">
        <f t="shared" si="69"/>
        <v>-0.8561867770074636</v>
      </c>
      <c r="BI78" s="6">
        <f t="shared" si="70"/>
        <v>0.8561867770074636</v>
      </c>
      <c r="BV78" s="39"/>
      <c r="BW78" s="6">
        <f t="shared" si="34"/>
        <v>1.0995574287564287</v>
      </c>
      <c r="BX78" s="9">
        <f t="shared" ca="1" si="35"/>
        <v>122.7469292311828</v>
      </c>
      <c r="BY78" s="9">
        <f t="shared" ca="1" si="36"/>
        <v>402.50308845153194</v>
      </c>
      <c r="BZ78">
        <f t="shared" ca="1" si="18"/>
        <v>420.80345156463102</v>
      </c>
      <c r="CA78" s="6">
        <f t="shared" ca="1" si="19"/>
        <v>0.29169658370145324</v>
      </c>
      <c r="CB78" s="6">
        <f t="shared" ca="1" si="20"/>
        <v>0.95651090064719124</v>
      </c>
      <c r="CC78" s="6">
        <f t="shared" ca="1" si="21"/>
        <v>1.2747962463307132</v>
      </c>
      <c r="CD78" s="6">
        <f t="shared" ca="1" si="14"/>
        <v>1.6251743234567599</v>
      </c>
      <c r="CE78" s="9">
        <f t="shared" ca="1" si="15"/>
        <v>148.04697109553879</v>
      </c>
      <c r="CF78" s="9">
        <f t="shared" ca="1" si="16"/>
        <v>474.80271167232786</v>
      </c>
      <c r="CG78">
        <f t="shared" ca="1" si="22"/>
        <v>497.34849015751422</v>
      </c>
      <c r="CH78">
        <f t="shared" ca="1" si="23"/>
        <v>0.29767250534660544</v>
      </c>
      <c r="CI78">
        <f t="shared" ca="1" si="24"/>
        <v>0.95466804678939321</v>
      </c>
      <c r="CJ78">
        <f t="shared" ca="1" si="25"/>
        <v>1.2685426172001839</v>
      </c>
      <c r="CK78" s="39">
        <f t="shared" ca="1" si="26"/>
        <v>0.8456886910672432</v>
      </c>
    </row>
    <row r="79" spans="1:89" x14ac:dyDescent="0.25">
      <c r="A79" s="8" t="s">
        <v>64</v>
      </c>
      <c r="B79">
        <f ca="1">((B76*COS(-1*B27))+(B77*SIN(-1*B27)))</f>
        <v>2756.392718375861</v>
      </c>
      <c r="C79" t="s">
        <v>69</v>
      </c>
      <c r="BC79">
        <v>1.3439035240356352</v>
      </c>
      <c r="BD79">
        <v>143.29663063141831</v>
      </c>
      <c r="BE79">
        <v>478.41540192460991</v>
      </c>
      <c r="BF79" s="6">
        <f t="shared" si="67"/>
        <v>1.2797767935586297</v>
      </c>
      <c r="BG79" s="6">
        <f t="shared" si="68"/>
        <v>6.4126730477005456E-2</v>
      </c>
      <c r="BH79" s="6">
        <f t="shared" si="69"/>
        <v>-0.85692286742568891</v>
      </c>
      <c r="BI79" s="6">
        <f t="shared" si="70"/>
        <v>0.85692286742568891</v>
      </c>
      <c r="BV79" s="39"/>
      <c r="BW79" s="6">
        <f t="shared" ref="BW79:BW110" si="71">BC66</f>
        <v>1.117010721276372</v>
      </c>
      <c r="BX79" s="9">
        <f t="shared" ref="BX79:BX110" ca="1" si="72">BD66-$BW$5</f>
        <v>122.38063729827704</v>
      </c>
      <c r="BY79" s="9">
        <f t="shared" ref="BY79:BY110" ca="1" si="73">BE66-$BX$5</f>
        <v>402.81474263205104</v>
      </c>
      <c r="BZ79">
        <f t="shared" ca="1" si="18"/>
        <v>420.99493734160029</v>
      </c>
      <c r="CA79" s="6">
        <f t="shared" ca="1" si="19"/>
        <v>0.29069384556274591</v>
      </c>
      <c r="CB79" s="6">
        <f t="shared" ca="1" si="20"/>
        <v>0.9568161203449399</v>
      </c>
      <c r="CC79" s="6">
        <f t="shared" ca="1" si="21"/>
        <v>1.275844408025919</v>
      </c>
      <c r="CD79" s="6">
        <f t="shared" ref="CD79:CD142" ca="1" si="74">CC79-$BZ$11</f>
        <v>1.6262224851519658</v>
      </c>
      <c r="CE79" s="9">
        <f t="shared" ref="CE79:CE142" ca="1" si="75">BX79+$BW$5</f>
        <v>147.68067916263303</v>
      </c>
      <c r="CF79" s="9">
        <f t="shared" ref="CF79:CF142" ca="1" si="76">BY79+$BX$5</f>
        <v>475.11436585284696</v>
      </c>
      <c r="CG79">
        <f t="shared" ca="1" si="22"/>
        <v>497.53717814620592</v>
      </c>
      <c r="CH79">
        <f t="shared" ca="1" si="23"/>
        <v>0.2968234046606979</v>
      </c>
      <c r="CI79">
        <f t="shared" ca="1" si="24"/>
        <v>0.9549323884158667</v>
      </c>
      <c r="CJ79">
        <f t="shared" ca="1" si="25"/>
        <v>1.269431913844963</v>
      </c>
      <c r="CK79" s="39">
        <f t="shared" ca="1" si="26"/>
        <v>0.84657798771202231</v>
      </c>
    </row>
    <row r="80" spans="1:89" x14ac:dyDescent="0.25">
      <c r="A80" s="8" t="s">
        <v>65</v>
      </c>
      <c r="B80">
        <f ca="1">(-1*(B76)*SIN(-1*B27))+((B77)*COS(-1*B27))</f>
        <v>1296.8604815308588</v>
      </c>
      <c r="C80" t="s">
        <v>69</v>
      </c>
      <c r="BC80">
        <v>1.3613568165555785</v>
      </c>
      <c r="BD80">
        <v>142.97908189908134</v>
      </c>
      <c r="BE80">
        <v>478.6247604066034</v>
      </c>
      <c r="BF80" s="6">
        <f t="shared" si="67"/>
        <v>1.2805060220283233</v>
      </c>
      <c r="BG80" s="6">
        <f t="shared" si="68"/>
        <v>8.0850794527255188E-2</v>
      </c>
      <c r="BH80" s="6">
        <f t="shared" si="69"/>
        <v>-0.8576520958953826</v>
      </c>
      <c r="BI80" s="6">
        <f t="shared" si="70"/>
        <v>0.8576520958953826</v>
      </c>
      <c r="BV80" s="39"/>
      <c r="BW80" s="6">
        <f t="shared" si="71"/>
        <v>1.1344640137963153</v>
      </c>
      <c r="BX80" s="9">
        <f t="shared" ca="1" si="72"/>
        <v>122.01971125179097</v>
      </c>
      <c r="BY80" s="9">
        <f t="shared" ca="1" si="73"/>
        <v>403.11628132382634</v>
      </c>
      <c r="BZ80">
        <f t="shared" ref="BZ80:BZ143" ca="1" si="77">SQRT(POWER(BX80,2)+POWER(BY80,2))</f>
        <v>421.17875801412487</v>
      </c>
      <c r="CA80" s="6">
        <f t="shared" ref="CA80:CA143" ca="1" si="78">BX80/BZ80</f>
        <v>0.28971003150092117</v>
      </c>
      <c r="CB80" s="6">
        <f t="shared" ref="CB80:CB143" ca="1" si="79">BY80/BZ80</f>
        <v>0.95711446423493951</v>
      </c>
      <c r="CC80" s="6">
        <f t="shared" ref="CC80:CC143" ca="1" si="80">ATAN2(CA80,CB80)</f>
        <v>1.276872464093471</v>
      </c>
      <c r="CD80" s="6">
        <f t="shared" ca="1" si="74"/>
        <v>1.6272505412195177</v>
      </c>
      <c r="CE80" s="9">
        <f t="shared" ca="1" si="75"/>
        <v>147.31975311614696</v>
      </c>
      <c r="CF80" s="9">
        <f t="shared" ca="1" si="76"/>
        <v>475.41590454462226</v>
      </c>
      <c r="CG80">
        <f t="shared" ref="CG80:CG143" ca="1" si="81">SQRT(POWER(CE80,2)+POWER(CF80,2))</f>
        <v>497.71818527373887</v>
      </c>
      <c r="CH80">
        <f t="shared" ref="CH80:CH143" ca="1" si="82">CE80/CG80</f>
        <v>0.29599029626599421</v>
      </c>
      <c r="CI80">
        <f t="shared" ref="CI80:CI143" ca="1" si="83">CF80/CG80</f>
        <v>0.95519094662604975</v>
      </c>
      <c r="CJ80">
        <f t="shared" ref="CJ80:CJ143" ca="1" si="84">ATAN2(CH80,CI80)</f>
        <v>1.2703042222730025</v>
      </c>
      <c r="CK80" s="39">
        <f t="shared" ref="CK80:CK143" ca="1" si="85">CJ80-$U$13</f>
        <v>0.84745029614006184</v>
      </c>
    </row>
    <row r="81" spans="1:89" x14ac:dyDescent="0.25">
      <c r="BC81">
        <v>1.3788101090755218</v>
      </c>
      <c r="BD81">
        <v>142.6631775454718</v>
      </c>
      <c r="BE81">
        <v>478.82918136526905</v>
      </c>
      <c r="BF81" s="6">
        <f t="shared" si="67"/>
        <v>1.2812289543513702</v>
      </c>
      <c r="BG81" s="6">
        <f t="shared" si="68"/>
        <v>9.7581154724151631E-2</v>
      </c>
      <c r="BH81" s="6">
        <f t="shared" si="69"/>
        <v>-0.85837502821842948</v>
      </c>
      <c r="BI81" s="6">
        <f t="shared" si="70"/>
        <v>0.85837502821842948</v>
      </c>
      <c r="BV81" s="39"/>
      <c r="BW81" s="6">
        <f t="shared" si="71"/>
        <v>1.1519173063162587</v>
      </c>
      <c r="BX81" s="9">
        <f t="shared" ca="1" si="72"/>
        <v>121.66381009899959</v>
      </c>
      <c r="BY81" s="9">
        <f t="shared" ca="1" si="73"/>
        <v>403.40826471941818</v>
      </c>
      <c r="BZ81">
        <f t="shared" ca="1" si="77"/>
        <v>421.35532598003033</v>
      </c>
      <c r="CA81" s="6">
        <f t="shared" ca="1" si="78"/>
        <v>0.28874397117449918</v>
      </c>
      <c r="CB81" s="6">
        <f t="shared" ca="1" si="79"/>
        <v>0.95740635004703201</v>
      </c>
      <c r="CC81" s="6">
        <f t="shared" ca="1" si="80"/>
        <v>1.2778816568243345</v>
      </c>
      <c r="CD81" s="6">
        <f t="shared" ca="1" si="74"/>
        <v>1.6282597339503813</v>
      </c>
      <c r="CE81" s="9">
        <f t="shared" ca="1" si="75"/>
        <v>146.96385196335558</v>
      </c>
      <c r="CF81" s="9">
        <f t="shared" ca="1" si="76"/>
        <v>475.70788794021411</v>
      </c>
      <c r="CG81">
        <f t="shared" ca="1" si="81"/>
        <v>497.89192444992159</v>
      </c>
      <c r="CH81">
        <f t="shared" ca="1" si="82"/>
        <v>0.295172194499285</v>
      </c>
      <c r="CI81">
        <f t="shared" ca="1" si="83"/>
        <v>0.95544407245765883</v>
      </c>
      <c r="CJ81">
        <f t="shared" ca="1" si="84"/>
        <v>1.271160588568544</v>
      </c>
      <c r="CK81" s="39">
        <f t="shared" ca="1" si="85"/>
        <v>0.84830666243560326</v>
      </c>
    </row>
    <row r="82" spans="1:89" x14ac:dyDescent="0.25">
      <c r="B82">
        <f>ATAN2(1,0)</f>
        <v>0</v>
      </c>
      <c r="BC82">
        <v>1.3962634015954651</v>
      </c>
      <c r="BD82">
        <v>142.34870778002022</v>
      </c>
      <c r="BE82">
        <v>479.02888135873195</v>
      </c>
      <c r="BF82" s="6">
        <f t="shared" si="67"/>
        <v>1.2819461381110058</v>
      </c>
      <c r="BG82" s="6">
        <f t="shared" si="68"/>
        <v>0.11431726348445936</v>
      </c>
      <c r="BH82" s="6">
        <f t="shared" si="69"/>
        <v>-0.85909221197806507</v>
      </c>
      <c r="BI82" s="6">
        <f t="shared" si="70"/>
        <v>0.85909221197806507</v>
      </c>
      <c r="BV82" s="39"/>
      <c r="BW82" s="6">
        <f t="shared" si="71"/>
        <v>1.169370598836202</v>
      </c>
      <c r="BX82" s="9">
        <f t="shared" ca="1" si="72"/>
        <v>121.31260877783296</v>
      </c>
      <c r="BY82" s="9">
        <f t="shared" ca="1" si="73"/>
        <v>403.691213416555</v>
      </c>
      <c r="BZ82">
        <f t="shared" ca="1" si="77"/>
        <v>421.52502279012344</v>
      </c>
      <c r="CA82" s="6">
        <f t="shared" ca="1" si="78"/>
        <v>0.28779456074719034</v>
      </c>
      <c r="CB82" s="6">
        <f t="shared" ca="1" si="79"/>
        <v>0.95769216912551391</v>
      </c>
      <c r="CC82" s="6">
        <f t="shared" ca="1" si="80"/>
        <v>1.278873157094452</v>
      </c>
      <c r="CD82" s="6">
        <f t="shared" ca="1" si="74"/>
        <v>1.6292512342204988</v>
      </c>
      <c r="CE82" s="9">
        <f t="shared" ca="1" si="75"/>
        <v>146.61265064218895</v>
      </c>
      <c r="CF82" s="9">
        <f t="shared" ca="1" si="76"/>
        <v>475.99083663735092</v>
      </c>
      <c r="CG82">
        <f t="shared" ca="1" si="81"/>
        <v>498.05877754643961</v>
      </c>
      <c r="CH82">
        <f t="shared" ca="1" si="82"/>
        <v>0.2943681694848127</v>
      </c>
      <c r="CI82">
        <f t="shared" ca="1" si="83"/>
        <v>0.95569209518241838</v>
      </c>
      <c r="CJ82">
        <f t="shared" ca="1" si="84"/>
        <v>1.2720019990139646</v>
      </c>
      <c r="CK82" s="39">
        <f t="shared" ca="1" si="85"/>
        <v>0.8491480728810239</v>
      </c>
    </row>
    <row r="83" spans="1:89" x14ac:dyDescent="0.25">
      <c r="A83" t="s">
        <v>74</v>
      </c>
      <c r="B83">
        <f ca="1">ATAN2(B79,B80)</f>
        <v>0.43976372067667241</v>
      </c>
      <c r="BC83">
        <v>1.4137166941154085</v>
      </c>
      <c r="BD83">
        <v>142.0354665757024</v>
      </c>
      <c r="BE83">
        <v>479.22406348990671</v>
      </c>
      <c r="BF83" s="6">
        <f t="shared" si="67"/>
        <v>1.2826581044674752</v>
      </c>
      <c r="BG83" s="6">
        <f t="shared" si="68"/>
        <v>0.13105858964793327</v>
      </c>
      <c r="BH83" s="6">
        <f t="shared" si="69"/>
        <v>-0.85980417833453449</v>
      </c>
      <c r="BI83" s="6">
        <f t="shared" si="70"/>
        <v>0.85980417833453449</v>
      </c>
      <c r="BV83" s="39"/>
      <c r="BW83" s="6">
        <f t="shared" si="71"/>
        <v>1.1868238913561453</v>
      </c>
      <c r="BX83" s="9">
        <f t="shared" ca="1" si="72"/>
        <v>120.9657968356361</v>
      </c>
      <c r="BY83" s="9">
        <f t="shared" ca="1" si="73"/>
        <v>403.96561174467291</v>
      </c>
      <c r="BZ83">
        <f t="shared" ca="1" si="77"/>
        <v>421.68820172768432</v>
      </c>
      <c r="CA83" s="6">
        <f t="shared" ca="1" si="78"/>
        <v>0.28686075716615089</v>
      </c>
      <c r="CB83" s="6">
        <f t="shared" ca="1" si="79"/>
        <v>0.95797228874224893</v>
      </c>
      <c r="CC83" s="6">
        <f t="shared" ca="1" si="80"/>
        <v>1.2798480705280051</v>
      </c>
      <c r="CD83" s="6">
        <f t="shared" ca="1" si="74"/>
        <v>1.6302261476540518</v>
      </c>
      <c r="CE83" s="9">
        <f t="shared" ca="1" si="75"/>
        <v>146.26583869999209</v>
      </c>
      <c r="CF83" s="9">
        <f t="shared" ca="1" si="76"/>
        <v>476.26523496546884</v>
      </c>
      <c r="CG83">
        <f t="shared" ca="1" si="81"/>
        <v>498.21909799537525</v>
      </c>
      <c r="CH83">
        <f t="shared" ca="1" si="82"/>
        <v>0.29357734235500904</v>
      </c>
      <c r="CI83">
        <f t="shared" ca="1" si="83"/>
        <v>0.95593532420126093</v>
      </c>
      <c r="CJ83">
        <f t="shared" ca="1" si="84"/>
        <v>1.2728293852260162</v>
      </c>
      <c r="CK83" s="39">
        <f t="shared" ca="1" si="85"/>
        <v>0.84997545909307548</v>
      </c>
    </row>
    <row r="84" spans="1:89" x14ac:dyDescent="0.25">
      <c r="BC84">
        <v>1.4311699866353518</v>
      </c>
      <c r="BD84">
        <v>141.7232511088761</v>
      </c>
      <c r="BE84">
        <v>479.41491823362082</v>
      </c>
      <c r="BF84" s="6">
        <f t="shared" si="67"/>
        <v>1.2833653698550818</v>
      </c>
      <c r="BG84" s="6">
        <f t="shared" si="68"/>
        <v>0.14780461678027002</v>
      </c>
      <c r="BH84" s="6">
        <f t="shared" si="69"/>
        <v>-0.86051144372214106</v>
      </c>
      <c r="BI84" s="6">
        <f t="shared" si="70"/>
        <v>0.86051144372214106</v>
      </c>
      <c r="BV84" s="39"/>
      <c r="BW84" s="6">
        <f t="shared" si="71"/>
        <v>1.2042771838760886</v>
      </c>
      <c r="BX84" s="9">
        <f t="shared" ca="1" si="72"/>
        <v>120.62307720979555</v>
      </c>
      <c r="BY84" s="9">
        <f t="shared" ca="1" si="73"/>
        <v>404.23191075673412</v>
      </c>
      <c r="BZ84">
        <f t="shared" ca="1" si="77"/>
        <v>421.8451901226332</v>
      </c>
      <c r="CA84" s="6">
        <f t="shared" ca="1" si="78"/>
        <v>0.28594157296123163</v>
      </c>
      <c r="CB84" s="6">
        <f t="shared" ca="1" si="79"/>
        <v>0.95824705418407452</v>
      </c>
      <c r="CC84" s="6">
        <f t="shared" ca="1" si="80"/>
        <v>1.2808074430944196</v>
      </c>
      <c r="CD84" s="6">
        <f t="shared" ca="1" si="74"/>
        <v>1.6311855202204664</v>
      </c>
      <c r="CE84" s="9">
        <f t="shared" ca="1" si="75"/>
        <v>145.92311907415154</v>
      </c>
      <c r="CF84" s="9">
        <f t="shared" ca="1" si="76"/>
        <v>476.53153397753005</v>
      </c>
      <c r="CG84">
        <f t="shared" ca="1" si="81"/>
        <v>498.37321311975313</v>
      </c>
      <c r="CH84">
        <f t="shared" ca="1" si="82"/>
        <v>0.29279888090431527</v>
      </c>
      <c r="CI84">
        <f t="shared" ca="1" si="83"/>
        <v>0.95617405075706829</v>
      </c>
      <c r="CJ84">
        <f t="shared" ca="1" si="84"/>
        <v>1.2736436288230397</v>
      </c>
      <c r="CK84" s="39">
        <f t="shared" ca="1" si="85"/>
        <v>0.85078970269009901</v>
      </c>
    </row>
    <row r="85" spans="1:89" x14ac:dyDescent="0.25">
      <c r="BC85">
        <v>1.4486232791552951</v>
      </c>
      <c r="BD85">
        <v>141.41186121423996</v>
      </c>
      <c r="BE85">
        <v>479.60162417895367</v>
      </c>
      <c r="BF85" s="6">
        <f t="shared" si="67"/>
        <v>1.2840684375890032</v>
      </c>
      <c r="BG85" s="6">
        <f t="shared" si="68"/>
        <v>0.16455484156629185</v>
      </c>
      <c r="BH85" s="6">
        <f t="shared" si="69"/>
        <v>-0.86121451145606265</v>
      </c>
      <c r="BI85" s="6">
        <f t="shared" si="70"/>
        <v>0.86121451145606265</v>
      </c>
      <c r="BV85" s="39"/>
      <c r="BW85" s="6">
        <f t="shared" si="71"/>
        <v>1.2217304763960319</v>
      </c>
      <c r="BX85" s="9">
        <f t="shared" ca="1" si="72"/>
        <v>120.28416508708239</v>
      </c>
      <c r="BY85" s="9">
        <f t="shared" ca="1" si="73"/>
        <v>404.49053089220729</v>
      </c>
      <c r="BZ85">
        <f t="shared" ca="1" si="77"/>
        <v>421.9962913962114</v>
      </c>
      <c r="CA85" s="6">
        <f t="shared" ca="1" si="78"/>
        <v>0.28503607149985077</v>
      </c>
      <c r="CB85" s="6">
        <f t="shared" ca="1" si="79"/>
        <v>0.95851679064267414</v>
      </c>
      <c r="CC85" s="6">
        <f t="shared" ca="1" si="80"/>
        <v>1.2817522662101766</v>
      </c>
      <c r="CD85" s="6">
        <f t="shared" ca="1" si="74"/>
        <v>1.6321303433362233</v>
      </c>
      <c r="CE85" s="9">
        <f t="shared" ca="1" si="75"/>
        <v>145.58420695143838</v>
      </c>
      <c r="CF85" s="9">
        <f t="shared" ca="1" si="76"/>
        <v>476.79015411300321</v>
      </c>
      <c r="CG85">
        <f t="shared" ca="1" si="81"/>
        <v>498.52142619227573</v>
      </c>
      <c r="CH85">
        <f t="shared" ca="1" si="82"/>
        <v>0.29203199562236609</v>
      </c>
      <c r="CI85">
        <f t="shared" ca="1" si="83"/>
        <v>0.95640854948751808</v>
      </c>
      <c r="CJ85">
        <f t="shared" ca="1" si="84"/>
        <v>1.2744455656813509</v>
      </c>
      <c r="CK85" s="39">
        <f t="shared" ca="1" si="85"/>
        <v>0.85159163954841022</v>
      </c>
    </row>
    <row r="86" spans="1:89" x14ac:dyDescent="0.25">
      <c r="BC86">
        <v>1.4660765716752384</v>
      </c>
      <c r="BD86">
        <v>141.10109886819163</v>
      </c>
      <c r="BE86">
        <v>479.78434873348795</v>
      </c>
      <c r="BF86" s="6">
        <f t="shared" si="67"/>
        <v>1.2847677993844686</v>
      </c>
      <c r="BG86" s="6">
        <f t="shared" si="68"/>
        <v>0.1813087722907698</v>
      </c>
      <c r="BH86" s="6">
        <f t="shared" si="69"/>
        <v>-0.86191387325152791</v>
      </c>
      <c r="BI86" s="6">
        <f t="shared" si="70"/>
        <v>0.86191387325152791</v>
      </c>
      <c r="BV86" s="39"/>
      <c r="BW86" s="6">
        <f t="shared" si="71"/>
        <v>1.2391837689159753</v>
      </c>
      <c r="BX86" s="9">
        <f t="shared" ca="1" si="72"/>
        <v>119.94878687094777</v>
      </c>
      <c r="BY86" s="9">
        <f t="shared" ca="1" si="73"/>
        <v>404.74186444137712</v>
      </c>
      <c r="BZ86">
        <f t="shared" ca="1" si="77"/>
        <v>422.14178696652874</v>
      </c>
      <c r="CA86" s="6">
        <f t="shared" ca="1" si="78"/>
        <v>0.28414336266705198</v>
      </c>
      <c r="CB86" s="6">
        <f t="shared" ca="1" si="79"/>
        <v>0.95878180492344567</v>
      </c>
      <c r="CC86" s="6">
        <f t="shared" ca="1" si="80"/>
        <v>1.2826834813796375</v>
      </c>
      <c r="CD86" s="6">
        <f t="shared" ca="1" si="74"/>
        <v>1.6330615585056842</v>
      </c>
      <c r="CE86" s="9">
        <f t="shared" ca="1" si="75"/>
        <v>145.24882873530376</v>
      </c>
      <c r="CF86" s="9">
        <f t="shared" ca="1" si="76"/>
        <v>477.04148766217304</v>
      </c>
      <c r="CG86">
        <f t="shared" ca="1" si="81"/>
        <v>498.66401835295557</v>
      </c>
      <c r="CH86">
        <f t="shared" ca="1" si="82"/>
        <v>0.29127593608026536</v>
      </c>
      <c r="CI86">
        <f t="shared" ca="1" si="83"/>
        <v>0.95663907983134644</v>
      </c>
      <c r="CJ86">
        <f t="shared" ca="1" si="84"/>
        <v>1.275235989810003</v>
      </c>
      <c r="CK86" s="39">
        <f t="shared" ca="1" si="85"/>
        <v>0.85238206367706226</v>
      </c>
    </row>
    <row r="87" spans="1:89" x14ac:dyDescent="0.25">
      <c r="A87" t="s">
        <v>119</v>
      </c>
      <c r="BC87">
        <v>1.4835298641951817</v>
      </c>
      <c r="BD87">
        <v>140.79076766624226</v>
      </c>
      <c r="BE87">
        <v>479.96324871755326</v>
      </c>
      <c r="BF87" s="6">
        <f t="shared" si="67"/>
        <v>1.2854639368148455</v>
      </c>
      <c r="BG87" s="6">
        <f t="shared" si="68"/>
        <v>0.19806592738033624</v>
      </c>
      <c r="BH87" s="6">
        <f t="shared" si="69"/>
        <v>-0.86261001068190479</v>
      </c>
      <c r="BI87" s="6">
        <f t="shared" si="70"/>
        <v>0.86261001068190479</v>
      </c>
      <c r="BV87" s="39"/>
      <c r="BW87" s="6">
        <f t="shared" si="71"/>
        <v>1.2566370614359186</v>
      </c>
      <c r="BX87" s="9">
        <f t="shared" ca="1" si="72"/>
        <v>119.61667919962076</v>
      </c>
      <c r="BY87" s="9">
        <f t="shared" ca="1" si="73"/>
        <v>404.98627771705202</v>
      </c>
      <c r="BZ87">
        <f t="shared" ca="1" si="77"/>
        <v>422.28193790625022</v>
      </c>
      <c r="CA87" s="6">
        <f t="shared" ca="1" si="78"/>
        <v>0.28326259889945038</v>
      </c>
      <c r="CB87" s="6">
        <f t="shared" ca="1" si="79"/>
        <v>0.95904238700107991</v>
      </c>
      <c r="CC87" s="6">
        <f t="shared" ca="1" si="80"/>
        <v>1.2836019844513884</v>
      </c>
      <c r="CD87" s="6">
        <f t="shared" ca="1" si="74"/>
        <v>1.6339800615774351</v>
      </c>
      <c r="CE87" s="9">
        <f t="shared" ca="1" si="75"/>
        <v>144.91672106397675</v>
      </c>
      <c r="CF87" s="9">
        <f t="shared" ca="1" si="76"/>
        <v>477.28590093784794</v>
      </c>
      <c r="CG87">
        <f t="shared" ca="1" si="81"/>
        <v>498.80125027708942</v>
      </c>
      <c r="CH87">
        <f t="shared" ca="1" si="82"/>
        <v>0.2905299876122483</v>
      </c>
      <c r="CI87">
        <f t="shared" ca="1" si="83"/>
        <v>0.95686588731024735</v>
      </c>
      <c r="CJ87">
        <f t="shared" ca="1" si="84"/>
        <v>1.2760156569057661</v>
      </c>
      <c r="CK87" s="39">
        <f t="shared" ca="1" si="85"/>
        <v>0.85316173077282542</v>
      </c>
    </row>
    <row r="88" spans="1:89" x14ac:dyDescent="0.25">
      <c r="A88" t="s">
        <v>120</v>
      </c>
      <c r="BC88">
        <v>1.5009831567151251</v>
      </c>
      <c r="BD88">
        <v>140.48067232492298</v>
      </c>
      <c r="BE88">
        <v>480.13847093545644</v>
      </c>
      <c r="BF88" s="6">
        <f t="shared" si="67"/>
        <v>1.2861573227008714</v>
      </c>
      <c r="BG88" s="6">
        <f t="shared" si="68"/>
        <v>0.2148258340142537</v>
      </c>
      <c r="BH88" s="6">
        <f t="shared" si="69"/>
        <v>-0.86330339656793065</v>
      </c>
      <c r="BI88" s="6">
        <f t="shared" si="70"/>
        <v>0.86330339656793065</v>
      </c>
      <c r="BV88" s="39"/>
      <c r="BW88" s="6">
        <f t="shared" si="71"/>
        <v>1.2740903539558619</v>
      </c>
      <c r="BX88" s="9">
        <f t="shared" ca="1" si="72"/>
        <v>119.28758804498773</v>
      </c>
      <c r="BY88" s="9">
        <f t="shared" ca="1" si="73"/>
        <v>405.22411305348061</v>
      </c>
      <c r="BZ88">
        <f t="shared" ca="1" si="77"/>
        <v>422.41698647375762</v>
      </c>
      <c r="CA88" s="6">
        <f t="shared" ca="1" si="78"/>
        <v>0.28239297155347326</v>
      </c>
      <c r="CB88" s="6">
        <f t="shared" ca="1" si="79"/>
        <v>0.9592988114332256</v>
      </c>
      <c r="CC88" s="6">
        <f t="shared" ca="1" si="80"/>
        <v>1.2845086295123578</v>
      </c>
      <c r="CD88" s="6">
        <f t="shared" ca="1" si="74"/>
        <v>1.6348867066384045</v>
      </c>
      <c r="CE88" s="9">
        <f t="shared" ca="1" si="75"/>
        <v>144.58762990934372</v>
      </c>
      <c r="CF88" s="9">
        <f t="shared" ca="1" si="76"/>
        <v>477.52373627427653</v>
      </c>
      <c r="CG88">
        <f t="shared" ca="1" si="81"/>
        <v>498.93336371518205</v>
      </c>
      <c r="CH88">
        <f t="shared" ca="1" si="82"/>
        <v>0.28979346827541902</v>
      </c>
      <c r="CI88">
        <f t="shared" ca="1" si="83"/>
        <v>0.95708920469562486</v>
      </c>
      <c r="CJ88">
        <f t="shared" ca="1" si="84"/>
        <v>1.276785287607709</v>
      </c>
      <c r="CK88" s="39">
        <f t="shared" ca="1" si="85"/>
        <v>0.85393136147476834</v>
      </c>
    </row>
    <row r="89" spans="1:89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BC89">
        <v>1.5184364492350684</v>
      </c>
      <c r="BD89">
        <v>140.17061818136426</v>
      </c>
      <c r="BE89">
        <v>480.31015266859333</v>
      </c>
      <c r="BF89" s="6">
        <f t="shared" si="67"/>
        <v>1.2868484224524577</v>
      </c>
      <c r="BG89" s="6">
        <f t="shared" si="68"/>
        <v>0.2315880267826107</v>
      </c>
      <c r="BH89" s="6">
        <f t="shared" si="69"/>
        <v>-0.86399449631951697</v>
      </c>
      <c r="BI89" s="6">
        <f t="shared" si="70"/>
        <v>0.86399449631951697</v>
      </c>
      <c r="BV89" s="39"/>
      <c r="BW89" s="6">
        <f t="shared" si="71"/>
        <v>1.2915436464758052</v>
      </c>
      <c r="BX89" s="9">
        <f t="shared" ca="1" si="72"/>
        <v>118.96126786751728</v>
      </c>
      <c r="BY89" s="9">
        <f t="shared" ca="1" si="73"/>
        <v>405.45569060956842</v>
      </c>
      <c r="BZ89">
        <f t="shared" ca="1" si="77"/>
        <v>422.54715748698305</v>
      </c>
      <c r="CA89" s="6">
        <f t="shared" ca="1" si="78"/>
        <v>0.28153370756300022</v>
      </c>
      <c r="CB89" s="6">
        <f t="shared" ca="1" si="79"/>
        <v>0.95955133865042941</v>
      </c>
      <c r="CC89" s="6">
        <f t="shared" ca="1" si="80"/>
        <v>1.2854042324681181</v>
      </c>
      <c r="CD89" s="6">
        <f t="shared" ca="1" si="74"/>
        <v>1.6357823095941648</v>
      </c>
      <c r="CE89" s="9">
        <f t="shared" ca="1" si="75"/>
        <v>144.26130973187327</v>
      </c>
      <c r="CF89" s="9">
        <f t="shared" ca="1" si="76"/>
        <v>477.75531383036434</v>
      </c>
      <c r="CG89">
        <f t="shared" ca="1" si="81"/>
        <v>499.06058287416909</v>
      </c>
      <c r="CH89">
        <f t="shared" ca="1" si="82"/>
        <v>0.28906572605083236</v>
      </c>
      <c r="CI89">
        <f t="shared" ca="1" si="83"/>
        <v>0.9573092530748385</v>
      </c>
      <c r="CJ89">
        <f t="shared" ca="1" si="84"/>
        <v>1.2775455704909073</v>
      </c>
      <c r="CK89" s="39">
        <f t="shared" ca="1" si="85"/>
        <v>0.85469164435796663</v>
      </c>
    </row>
    <row r="90" spans="1:89" x14ac:dyDescent="0.25">
      <c r="A90" s="6">
        <f t="shared" ref="A90:A98" si="86">E3-$I$2</f>
        <v>-6</v>
      </c>
      <c r="B90" s="1">
        <f t="shared" ref="B90:B98" si="87">F3-$I$3</f>
        <v>-12</v>
      </c>
      <c r="C90" s="1"/>
      <c r="BC90">
        <v>1.5358897417550117</v>
      </c>
      <c r="BD90">
        <v>139.86041069718971</v>
      </c>
      <c r="BE90">
        <v>480.47842211719933</v>
      </c>
      <c r="BF90" s="6">
        <f t="shared" si="67"/>
        <v>1.2875376953666027</v>
      </c>
      <c r="BG90" s="6">
        <f t="shared" si="68"/>
        <v>0.24835204638840902</v>
      </c>
      <c r="BH90" s="6">
        <f t="shared" si="69"/>
        <v>-0.86468376923366197</v>
      </c>
      <c r="BI90" s="6">
        <f t="shared" si="70"/>
        <v>0.86468376923366197</v>
      </c>
      <c r="BV90" s="39"/>
      <c r="BW90" s="6">
        <f t="shared" si="71"/>
        <v>1.3089969389957485</v>
      </c>
      <c r="BX90" s="9">
        <f t="shared" ca="1" si="72"/>
        <v>118.63748081928168</v>
      </c>
      <c r="BY90" s="9">
        <f t="shared" ca="1" si="73"/>
        <v>405.68130999160985</v>
      </c>
      <c r="BZ90">
        <f t="shared" ca="1" si="77"/>
        <v>422.67265955069064</v>
      </c>
      <c r="CA90" s="6">
        <f t="shared" ca="1" si="78"/>
        <v>0.2806840663538438</v>
      </c>
      <c r="CB90" s="6">
        <f t="shared" ca="1" si="79"/>
        <v>0.95980021613618693</v>
      </c>
      <c r="CC90" s="6">
        <f t="shared" ca="1" si="80"/>
        <v>1.2862895743446905</v>
      </c>
      <c r="CD90" s="6">
        <f t="shared" ca="1" si="74"/>
        <v>1.6366676514707372</v>
      </c>
      <c r="CE90" s="9">
        <f t="shared" ca="1" si="75"/>
        <v>143.93752268363767</v>
      </c>
      <c r="CF90" s="9">
        <f t="shared" ca="1" si="76"/>
        <v>477.98093321240577</v>
      </c>
      <c r="CG90">
        <f t="shared" ca="1" si="81"/>
        <v>499.18311565086515</v>
      </c>
      <c r="CH90">
        <f t="shared" ca="1" si="82"/>
        <v>0.28834613625896222</v>
      </c>
      <c r="CI90">
        <f t="shared" ca="1" si="83"/>
        <v>0.95752624282811594</v>
      </c>
      <c r="CJ90">
        <f t="shared" ca="1" si="84"/>
        <v>1.2782971648284214</v>
      </c>
      <c r="CK90" s="39">
        <f t="shared" ca="1" si="85"/>
        <v>0.85544323869548067</v>
      </c>
    </row>
    <row r="91" spans="1:89" x14ac:dyDescent="0.25">
      <c r="A91" s="6">
        <f t="shared" si="86"/>
        <v>6</v>
      </c>
      <c r="B91" s="1">
        <f t="shared" si="87"/>
        <v>-12</v>
      </c>
      <c r="C91" s="1">
        <f t="shared" ref="C91:C98" si="88">((A90*B91)-(A91*B90))*0.5</f>
        <v>72</v>
      </c>
      <c r="D91" s="6">
        <f t="shared" ref="D91:D98" si="89">(A91+A90)*((A90*B91)-(A91*B90))*(1/6)</f>
        <v>0</v>
      </c>
      <c r="E91" s="6">
        <f t="shared" ref="E91:E98" si="90">(B91+B90)*((A90*B91)-(A91*B90))*(1/6)</f>
        <v>-576</v>
      </c>
      <c r="BC91">
        <v>1.553343034274955</v>
      </c>
      <c r="BD91">
        <v>139.54985497059977</v>
      </c>
      <c r="BE91">
        <v>480.64339880985119</v>
      </c>
      <c r="BF91" s="6">
        <f t="shared" si="67"/>
        <v>1.2882255958856266</v>
      </c>
      <c r="BG91" s="6">
        <f t="shared" si="68"/>
        <v>0.26511743838932844</v>
      </c>
      <c r="BH91" s="6">
        <f t="shared" si="69"/>
        <v>-0.86537166975268587</v>
      </c>
      <c r="BI91" s="6">
        <f t="shared" si="70"/>
        <v>0.86537166975268587</v>
      </c>
      <c r="BV91" s="39"/>
      <c r="BW91" s="6">
        <f t="shared" si="71"/>
        <v>1.3264502315156919</v>
      </c>
      <c r="BX91" s="9">
        <f t="shared" ca="1" si="72"/>
        <v>118.31599600270181</v>
      </c>
      <c r="BY91" s="9">
        <f t="shared" ca="1" si="73"/>
        <v>405.9012517458354</v>
      </c>
      <c r="BZ91">
        <f t="shared" ca="1" si="77"/>
        <v>422.79368618623835</v>
      </c>
      <c r="CA91" s="6">
        <f t="shared" ca="1" si="78"/>
        <v>0.27984333699482977</v>
      </c>
      <c r="CB91" s="6">
        <f t="shared" ca="1" si="79"/>
        <v>0.96004567950676079</v>
      </c>
      <c r="CC91" s="6">
        <f t="shared" ca="1" si="80"/>
        <v>1.2871654043341494</v>
      </c>
      <c r="CD91" s="6">
        <f t="shared" ca="1" si="74"/>
        <v>1.6375434814601961</v>
      </c>
      <c r="CE91" s="9">
        <f t="shared" ca="1" si="75"/>
        <v>143.6160378670578</v>
      </c>
      <c r="CF91" s="9">
        <f t="shared" ca="1" si="76"/>
        <v>478.20087496663132</v>
      </c>
      <c r="CG91">
        <f t="shared" ca="1" si="81"/>
        <v>499.30115476682403</v>
      </c>
      <c r="CH91">
        <f t="shared" ca="1" si="82"/>
        <v>0.28763409917232646</v>
      </c>
      <c r="CI91">
        <f t="shared" ca="1" si="83"/>
        <v>0.95774037452397509</v>
      </c>
      <c r="CJ91">
        <f t="shared" ca="1" si="84"/>
        <v>1.2790407031404043</v>
      </c>
      <c r="CK91" s="39">
        <f t="shared" ca="1" si="85"/>
        <v>0.8561867770074636</v>
      </c>
    </row>
    <row r="92" spans="1:89" x14ac:dyDescent="0.25">
      <c r="A92" s="6">
        <f t="shared" si="86"/>
        <v>6</v>
      </c>
      <c r="B92" s="1">
        <f t="shared" si="87"/>
        <v>4</v>
      </c>
      <c r="C92" s="1">
        <f t="shared" si="88"/>
        <v>48</v>
      </c>
      <c r="D92" s="6">
        <f t="shared" si="89"/>
        <v>192</v>
      </c>
      <c r="E92" s="6">
        <f t="shared" si="90"/>
        <v>-128</v>
      </c>
      <c r="BC92">
        <v>1.5707963267948983</v>
      </c>
      <c r="BD92">
        <v>139.2387552350618</v>
      </c>
      <c r="BE92">
        <v>480.80519393703594</v>
      </c>
      <c r="BF92" s="6">
        <f t="shared" si="67"/>
        <v>1.2889125748336516</v>
      </c>
      <c r="BG92" s="6">
        <f t="shared" si="68"/>
        <v>0.28188375196124671</v>
      </c>
      <c r="BH92" s="6">
        <f t="shared" si="69"/>
        <v>-0.86605864870071092</v>
      </c>
      <c r="BI92" s="6">
        <f t="shared" si="70"/>
        <v>0.86605864870071092</v>
      </c>
      <c r="BV92" s="39"/>
      <c r="BW92" s="6">
        <f t="shared" si="71"/>
        <v>1.3439035240356352</v>
      </c>
      <c r="BX92" s="9">
        <f t="shared" ca="1" si="72"/>
        <v>117.99658876706232</v>
      </c>
      <c r="BY92" s="9">
        <f t="shared" ca="1" si="73"/>
        <v>406.11577870381399</v>
      </c>
      <c r="BZ92">
        <f t="shared" ca="1" si="77"/>
        <v>422.91041684128379</v>
      </c>
      <c r="CA92" s="6">
        <f t="shared" ca="1" si="78"/>
        <v>0.27901083555325584</v>
      </c>
      <c r="CB92" s="6">
        <f t="shared" ca="1" si="79"/>
        <v>0.96028795350346563</v>
      </c>
      <c r="CC92" s="6">
        <f t="shared" ca="1" si="80"/>
        <v>1.288032442618654</v>
      </c>
      <c r="CD92" s="6">
        <f t="shared" ca="1" si="74"/>
        <v>1.6384105197447008</v>
      </c>
      <c r="CE92" s="9">
        <f t="shared" ca="1" si="75"/>
        <v>143.29663063141831</v>
      </c>
      <c r="CF92" s="9">
        <f t="shared" ca="1" si="76"/>
        <v>478.41540192460991</v>
      </c>
      <c r="CG92">
        <f t="shared" ca="1" si="81"/>
        <v>499.41487878216361</v>
      </c>
      <c r="CH92">
        <f t="shared" ca="1" si="82"/>
        <v>0.28692903779889567</v>
      </c>
      <c r="CI92">
        <f t="shared" ca="1" si="83"/>
        <v>0.95795183974341835</v>
      </c>
      <c r="CJ92">
        <f t="shared" ca="1" si="84"/>
        <v>1.2797767935586297</v>
      </c>
      <c r="CK92" s="39">
        <f t="shared" ca="1" si="85"/>
        <v>0.85692286742568902</v>
      </c>
    </row>
    <row r="93" spans="1:89" x14ac:dyDescent="0.25">
      <c r="A93" s="6">
        <f t="shared" si="86"/>
        <v>6</v>
      </c>
      <c r="B93" s="1">
        <f t="shared" si="87"/>
        <v>4</v>
      </c>
      <c r="C93" s="1">
        <f t="shared" si="88"/>
        <v>0</v>
      </c>
      <c r="D93" s="6">
        <f t="shared" si="89"/>
        <v>0</v>
      </c>
      <c r="E93" s="6">
        <f t="shared" si="90"/>
        <v>0</v>
      </c>
      <c r="BC93">
        <v>1.5882496193148417</v>
      </c>
      <c r="BD93">
        <v>139.00578390181656</v>
      </c>
      <c r="BE93">
        <v>480.79356477887956</v>
      </c>
      <c r="BF93" s="6">
        <f t="shared" si="67"/>
        <v>1.2893532312794771</v>
      </c>
      <c r="BG93" s="6">
        <f t="shared" si="68"/>
        <v>0.29889638803536456</v>
      </c>
      <c r="BH93" s="6">
        <f t="shared" si="69"/>
        <v>-0.86649930514653639</v>
      </c>
      <c r="BI93" s="6">
        <f t="shared" si="70"/>
        <v>0.86649930514653639</v>
      </c>
      <c r="BV93" s="39"/>
      <c r="BW93" s="6">
        <f t="shared" si="71"/>
        <v>1.3613568165555785</v>
      </c>
      <c r="BX93" s="9">
        <f t="shared" ca="1" si="72"/>
        <v>117.67904003472535</v>
      </c>
      <c r="BY93" s="9">
        <f t="shared" ca="1" si="73"/>
        <v>406.32513718580748</v>
      </c>
      <c r="BZ93">
        <f t="shared" ca="1" si="77"/>
        <v>423.02301778101832</v>
      </c>
      <c r="CA93" s="6">
        <f t="shared" ca="1" si="78"/>
        <v>0.27818590263010928</v>
      </c>
      <c r="CB93" s="6">
        <f t="shared" ca="1" si="79"/>
        <v>0.96052725290741825</v>
      </c>
      <c r="CC93" s="6">
        <f t="shared" ca="1" si="80"/>
        <v>1.2888913829994624</v>
      </c>
      <c r="CD93" s="6">
        <f t="shared" ca="1" si="74"/>
        <v>1.6392694601255091</v>
      </c>
      <c r="CE93" s="9">
        <f t="shared" ca="1" si="75"/>
        <v>142.97908189908134</v>
      </c>
      <c r="CF93" s="9">
        <f t="shared" ca="1" si="76"/>
        <v>478.6247604066034</v>
      </c>
      <c r="CG93">
        <f t="shared" ca="1" si="81"/>
        <v>499.52445299002403</v>
      </c>
      <c r="CH93">
        <f t="shared" ca="1" si="82"/>
        <v>0.28623039581595172</v>
      </c>
      <c r="CI93">
        <f t="shared" ca="1" si="83"/>
        <v>0.95816082184101203</v>
      </c>
      <c r="CJ93">
        <f t="shared" ca="1" si="84"/>
        <v>1.2805060220283233</v>
      </c>
      <c r="CK93" s="39">
        <f t="shared" ca="1" si="85"/>
        <v>0.8576520958953826</v>
      </c>
    </row>
    <row r="94" spans="1:89" x14ac:dyDescent="0.25">
      <c r="A94" s="6">
        <f t="shared" si="86"/>
        <v>6</v>
      </c>
      <c r="B94" s="1">
        <f t="shared" si="87"/>
        <v>12</v>
      </c>
      <c r="C94" s="1">
        <f t="shared" si="88"/>
        <v>24</v>
      </c>
      <c r="D94" s="6">
        <f t="shared" si="89"/>
        <v>96</v>
      </c>
      <c r="E94" s="6">
        <f t="shared" si="90"/>
        <v>128</v>
      </c>
      <c r="BC94">
        <v>1.605702911834785</v>
      </c>
      <c r="BD94">
        <v>138.77261606996112</v>
      </c>
      <c r="BE94">
        <v>480.77789711580738</v>
      </c>
      <c r="BF94" s="6">
        <f t="shared" si="67"/>
        <v>1.2897921605438396</v>
      </c>
      <c r="BG94" s="6">
        <f t="shared" si="68"/>
        <v>0.31591075129094537</v>
      </c>
      <c r="BH94" s="6">
        <f t="shared" si="69"/>
        <v>-0.86693823441089901</v>
      </c>
      <c r="BI94" s="6">
        <f t="shared" si="70"/>
        <v>0.86693823441089901</v>
      </c>
      <c r="BV94" s="39"/>
      <c r="BW94" s="6">
        <f t="shared" si="71"/>
        <v>1.3788101090755218</v>
      </c>
      <c r="BX94" s="9">
        <f t="shared" ca="1" si="72"/>
        <v>117.36313568111581</v>
      </c>
      <c r="BY94" s="9">
        <f t="shared" ca="1" si="73"/>
        <v>406.52955814447313</v>
      </c>
      <c r="BZ94">
        <f t="shared" ca="1" si="77"/>
        <v>423.13164294583851</v>
      </c>
      <c r="CA94" s="6">
        <f t="shared" ca="1" si="78"/>
        <v>0.27736790107219295</v>
      </c>
      <c r="CB94" s="6">
        <f t="shared" ca="1" si="79"/>
        <v>0.96076378338008039</v>
      </c>
      <c r="CC94" s="6">
        <f t="shared" ca="1" si="80"/>
        <v>1.2897428953347001</v>
      </c>
      <c r="CD94" s="6">
        <f t="shared" ca="1" si="74"/>
        <v>1.6401209724607468</v>
      </c>
      <c r="CE94" s="9">
        <f t="shared" ca="1" si="75"/>
        <v>142.6631775454718</v>
      </c>
      <c r="CF94" s="9">
        <f t="shared" ca="1" si="76"/>
        <v>478.82918136526905</v>
      </c>
      <c r="CG94">
        <f t="shared" ca="1" si="81"/>
        <v>499.63003027670834</v>
      </c>
      <c r="CH94">
        <f t="shared" ca="1" si="82"/>
        <v>0.28553763565104595</v>
      </c>
      <c r="CI94">
        <f t="shared" ca="1" si="83"/>
        <v>0.95836749664562948</v>
      </c>
      <c r="CJ94">
        <f t="shared" ca="1" si="84"/>
        <v>1.2812289543513702</v>
      </c>
      <c r="CK94" s="39">
        <f t="shared" ca="1" si="85"/>
        <v>0.85837502821842948</v>
      </c>
    </row>
    <row r="95" spans="1:89" x14ac:dyDescent="0.25">
      <c r="A95" s="6">
        <f t="shared" si="86"/>
        <v>-30</v>
      </c>
      <c r="B95" s="1">
        <f t="shared" si="87"/>
        <v>12</v>
      </c>
      <c r="C95" s="1">
        <f t="shared" si="88"/>
        <v>216</v>
      </c>
      <c r="D95" s="6">
        <f t="shared" si="89"/>
        <v>-1728</v>
      </c>
      <c r="E95" s="6">
        <f t="shared" si="90"/>
        <v>1728</v>
      </c>
      <c r="BC95">
        <v>1.6231562043547283</v>
      </c>
      <c r="BD95">
        <v>138.53911019790553</v>
      </c>
      <c r="BE95">
        <v>480.75816824285914</v>
      </c>
      <c r="BF95" s="6">
        <f t="shared" si="67"/>
        <v>1.2902296312599071</v>
      </c>
      <c r="BG95" s="6">
        <f t="shared" si="68"/>
        <v>0.33292657309482121</v>
      </c>
      <c r="BH95" s="6">
        <f t="shared" si="69"/>
        <v>-0.86737570512696638</v>
      </c>
      <c r="BI95" s="6">
        <f t="shared" si="70"/>
        <v>0.86737570512696638</v>
      </c>
      <c r="BV95" s="39"/>
      <c r="BW95" s="6">
        <f t="shared" si="71"/>
        <v>1.3962634015954651</v>
      </c>
      <c r="BX95" s="9">
        <f t="shared" ca="1" si="72"/>
        <v>117.04866591566423</v>
      </c>
      <c r="BY95" s="9">
        <f t="shared" ca="1" si="73"/>
        <v>406.72925813793603</v>
      </c>
      <c r="BZ95">
        <f t="shared" ca="1" si="77"/>
        <v>423.23643465334192</v>
      </c>
      <c r="CA95" s="6">
        <f t="shared" ca="1" si="78"/>
        <v>0.27655621381352641</v>
      </c>
      <c r="CB95" s="6">
        <f t="shared" ca="1" si="79"/>
        <v>0.96099774224559298</v>
      </c>
      <c r="CC95" s="6">
        <f t="shared" ca="1" si="80"/>
        <v>1.2905876278361856</v>
      </c>
      <c r="CD95" s="6">
        <f t="shared" ca="1" si="74"/>
        <v>1.6409657049622324</v>
      </c>
      <c r="CE95" s="9">
        <f t="shared" ca="1" si="75"/>
        <v>142.34870778002022</v>
      </c>
      <c r="CF95" s="9">
        <f t="shared" ca="1" si="76"/>
        <v>479.02888135873195</v>
      </c>
      <c r="CG95">
        <f t="shared" ca="1" si="81"/>
        <v>499.73175182535647</v>
      </c>
      <c r="CH95">
        <f t="shared" ca="1" si="82"/>
        <v>0.28485023667210857</v>
      </c>
      <c r="CI95">
        <f t="shared" ca="1" si="83"/>
        <v>0.95857203311375816</v>
      </c>
      <c r="CJ95">
        <f t="shared" ca="1" si="84"/>
        <v>1.281946138111006</v>
      </c>
      <c r="CK95" s="39">
        <f t="shared" ca="1" si="85"/>
        <v>0.85909221197806529</v>
      </c>
    </row>
    <row r="96" spans="1:89" x14ac:dyDescent="0.25">
      <c r="A96" s="6">
        <f t="shared" si="86"/>
        <v>-30</v>
      </c>
      <c r="B96" s="1">
        <f t="shared" si="87"/>
        <v>4</v>
      </c>
      <c r="C96" s="1">
        <f t="shared" si="88"/>
        <v>120</v>
      </c>
      <c r="D96" s="6">
        <f t="shared" si="89"/>
        <v>-2400</v>
      </c>
      <c r="E96" s="6">
        <f t="shared" si="90"/>
        <v>640</v>
      </c>
      <c r="BC96">
        <v>1.6406094968746716</v>
      </c>
      <c r="BD96">
        <v>138.30512389647441</v>
      </c>
      <c r="BE96">
        <v>480.73434551918183</v>
      </c>
      <c r="BF96" s="6">
        <f t="shared" si="67"/>
        <v>1.2906659085207135</v>
      </c>
      <c r="BG96" s="6">
        <f t="shared" si="68"/>
        <v>0.34994358835395811</v>
      </c>
      <c r="BH96" s="6">
        <f t="shared" si="69"/>
        <v>-0.8678119823877728</v>
      </c>
      <c r="BI96" s="6">
        <f t="shared" si="70"/>
        <v>0.8678119823877728</v>
      </c>
      <c r="BV96" s="39"/>
      <c r="BW96" s="6">
        <f t="shared" si="71"/>
        <v>1.4137166941154085</v>
      </c>
      <c r="BX96" s="9">
        <f t="shared" ca="1" si="72"/>
        <v>116.73542471134641</v>
      </c>
      <c r="BY96" s="9">
        <f t="shared" ca="1" si="73"/>
        <v>406.92444026911079</v>
      </c>
      <c r="BZ96">
        <f t="shared" ca="1" si="77"/>
        <v>423.33752428867859</v>
      </c>
      <c r="CA96" s="6">
        <f t="shared" ca="1" si="78"/>
        <v>0.27575024186077873</v>
      </c>
      <c r="CB96" s="6">
        <f t="shared" ca="1" si="79"/>
        <v>0.96122931921249788</v>
      </c>
      <c r="CC96" s="6">
        <f t="shared" ca="1" si="80"/>
        <v>1.2914262092105473</v>
      </c>
      <c r="CD96" s="6">
        <f t="shared" ca="1" si="74"/>
        <v>1.641804286336594</v>
      </c>
      <c r="CE96" s="9">
        <f t="shared" ca="1" si="75"/>
        <v>142.0354665757024</v>
      </c>
      <c r="CF96" s="9">
        <f t="shared" ca="1" si="76"/>
        <v>479.22406348990671</v>
      </c>
      <c r="CG96">
        <f t="shared" ca="1" si="81"/>
        <v>499.82974780734651</v>
      </c>
      <c r="CH96">
        <f t="shared" ca="1" si="82"/>
        <v>0.28416769349720317</v>
      </c>
      <c r="CI96">
        <f t="shared" ca="1" si="83"/>
        <v>0.95877459393356868</v>
      </c>
      <c r="CJ96">
        <f t="shared" ca="1" si="84"/>
        <v>1.2826581044674752</v>
      </c>
      <c r="CK96" s="39">
        <f t="shared" ca="1" si="85"/>
        <v>0.85980417833453449</v>
      </c>
    </row>
    <row r="97" spans="1:89" x14ac:dyDescent="0.25">
      <c r="A97" s="6">
        <f t="shared" si="86"/>
        <v>-6</v>
      </c>
      <c r="B97" s="1">
        <f t="shared" si="87"/>
        <v>4</v>
      </c>
      <c r="C97" s="1">
        <f t="shared" si="88"/>
        <v>-48</v>
      </c>
      <c r="D97" s="6">
        <f t="shared" si="89"/>
        <v>576</v>
      </c>
      <c r="E97" s="6">
        <f t="shared" si="90"/>
        <v>-128</v>
      </c>
      <c r="BC97">
        <v>1.6580627893946149</v>
      </c>
      <c r="BD97">
        <v>138.0705135890766</v>
      </c>
      <c r="BE97">
        <v>480.70638622971182</v>
      </c>
      <c r="BF97" s="6">
        <f t="shared" si="67"/>
        <v>1.2911012545141798</v>
      </c>
      <c r="BG97" s="6">
        <f t="shared" si="68"/>
        <v>0.36696153488043515</v>
      </c>
      <c r="BH97" s="6">
        <f t="shared" si="69"/>
        <v>-0.86824732838123908</v>
      </c>
      <c r="BI97" s="6">
        <f t="shared" si="70"/>
        <v>0.86824732838123908</v>
      </c>
      <c r="BV97" s="39"/>
      <c r="BW97" s="6">
        <f t="shared" si="71"/>
        <v>1.4311699866353518</v>
      </c>
      <c r="BX97" s="9">
        <f t="shared" ca="1" si="72"/>
        <v>116.42320924452011</v>
      </c>
      <c r="BY97" s="9">
        <f t="shared" ca="1" si="73"/>
        <v>407.1152950128249</v>
      </c>
      <c r="BZ97">
        <f t="shared" ca="1" si="77"/>
        <v>423.43503289663312</v>
      </c>
      <c r="CA97" s="6">
        <f t="shared" ca="1" si="78"/>
        <v>0.27494940238669568</v>
      </c>
      <c r="CB97" s="6">
        <f t="shared" ca="1" si="79"/>
        <v>0.96145869704693965</v>
      </c>
      <c r="CC97" s="6">
        <f t="shared" ca="1" si="80"/>
        <v>1.2922592506826929</v>
      </c>
      <c r="CD97" s="6">
        <f t="shared" ca="1" si="74"/>
        <v>1.6426373278087396</v>
      </c>
      <c r="CE97" s="9">
        <f t="shared" ca="1" si="75"/>
        <v>141.7232511088761</v>
      </c>
      <c r="CF97" s="9">
        <f t="shared" ca="1" si="76"/>
        <v>479.41491823362082</v>
      </c>
      <c r="CG97">
        <f t="shared" ca="1" si="81"/>
        <v>499.92413797477201</v>
      </c>
      <c r="CH97">
        <f t="shared" ca="1" si="82"/>
        <v>0.28348951439513803</v>
      </c>
      <c r="CI97">
        <f t="shared" ca="1" si="83"/>
        <v>0.95897533608952057</v>
      </c>
      <c r="CJ97">
        <f t="shared" ca="1" si="84"/>
        <v>1.2833653698550818</v>
      </c>
      <c r="CK97" s="39">
        <f t="shared" ca="1" si="85"/>
        <v>0.86051144372214106</v>
      </c>
    </row>
    <row r="98" spans="1:89" x14ac:dyDescent="0.25">
      <c r="A98" s="6">
        <f t="shared" si="86"/>
        <v>-6</v>
      </c>
      <c r="B98" s="1">
        <f t="shared" si="87"/>
        <v>-12</v>
      </c>
      <c r="C98" s="1">
        <f t="shared" si="88"/>
        <v>48</v>
      </c>
      <c r="D98" s="6">
        <f t="shared" si="89"/>
        <v>-192</v>
      </c>
      <c r="E98" s="6">
        <f t="shared" si="90"/>
        <v>-128</v>
      </c>
      <c r="BC98">
        <v>1.6755160819145583</v>
      </c>
      <c r="BD98">
        <v>137.83513415815827</v>
      </c>
      <c r="BE98">
        <v>480.67423737584437</v>
      </c>
      <c r="BF98" s="6">
        <f t="shared" ref="BF98:BF129" si="91">IF(BC98&lt;&gt;"",IF(AND(BD98=0,BE98=0),0,MOD(ATAN2(BD98,BE98),2*PI())),NA())</f>
        <v>1.2915359291473194</v>
      </c>
      <c r="BG98" s="6">
        <f t="shared" ref="BG98:BG129" si="92">ABS(BC98-BF98)</f>
        <v>0.38398015276723885</v>
      </c>
      <c r="BH98" s="6">
        <f t="shared" si="69"/>
        <v>-0.8686820030143787</v>
      </c>
      <c r="BI98" s="6">
        <f t="shared" si="70"/>
        <v>0.8686820030143787</v>
      </c>
      <c r="BV98" s="39"/>
      <c r="BW98" s="6">
        <f t="shared" si="71"/>
        <v>1.4486232791552951</v>
      </c>
      <c r="BX98" s="9">
        <f t="shared" ca="1" si="72"/>
        <v>116.11181934988397</v>
      </c>
      <c r="BY98" s="9">
        <f t="shared" ca="1" si="73"/>
        <v>407.30200095815775</v>
      </c>
      <c r="BZ98">
        <f t="shared" ca="1" si="77"/>
        <v>423.52907170259192</v>
      </c>
      <c r="CA98" s="6">
        <f t="shared" ca="1" si="78"/>
        <v>0.27415312692258192</v>
      </c>
      <c r="CB98" s="6">
        <f t="shared" ca="1" si="79"/>
        <v>0.96168605220132553</v>
      </c>
      <c r="CC98" s="6">
        <f t="shared" ca="1" si="80"/>
        <v>1.293087347911382</v>
      </c>
      <c r="CD98" s="6">
        <f t="shared" ca="1" si="74"/>
        <v>1.6434654250374288</v>
      </c>
      <c r="CE98" s="9">
        <f t="shared" ca="1" si="75"/>
        <v>141.41186121423996</v>
      </c>
      <c r="CF98" s="9">
        <f t="shared" ca="1" si="76"/>
        <v>479.60162417895367</v>
      </c>
      <c r="CG98">
        <f t="shared" ca="1" si="81"/>
        <v>500.01503218119933</v>
      </c>
      <c r="CH98">
        <f t="shared" ca="1" si="82"/>
        <v>0.28281521976922092</v>
      </c>
      <c r="CI98">
        <f t="shared" ca="1" si="83"/>
        <v>0.95917441139079973</v>
      </c>
      <c r="CJ98">
        <f t="shared" ca="1" si="84"/>
        <v>1.2840684375890032</v>
      </c>
      <c r="CK98" s="39">
        <f t="shared" ca="1" si="85"/>
        <v>0.86121451145606254</v>
      </c>
    </row>
    <row r="99" spans="1:89" x14ac:dyDescent="0.25">
      <c r="C99" s="1">
        <f>SUM(C91:C98)</f>
        <v>480</v>
      </c>
      <c r="D99" s="6">
        <f>SUM(D91:D98)/C99</f>
        <v>-7.2</v>
      </c>
      <c r="E99" s="6">
        <f>SUM(E91:E98)/C99</f>
        <v>3.2</v>
      </c>
      <c r="BC99">
        <v>1.6929693744345016</v>
      </c>
      <c r="BD99">
        <v>137.59883857759297</v>
      </c>
      <c r="BE99">
        <v>480.63783539684971</v>
      </c>
      <c r="BF99" s="6">
        <f t="shared" si="91"/>
        <v>1.2919701906619523</v>
      </c>
      <c r="BG99" s="6">
        <f t="shared" si="92"/>
        <v>0.40099918377254928</v>
      </c>
      <c r="BH99" s="6">
        <f t="shared" si="69"/>
        <v>-0.86911626452901158</v>
      </c>
      <c r="BI99" s="6">
        <f t="shared" si="70"/>
        <v>0.86911626452901158</v>
      </c>
      <c r="BV99" s="39"/>
      <c r="BW99" s="6">
        <f t="shared" si="71"/>
        <v>1.4660765716752384</v>
      </c>
      <c r="BX99" s="9">
        <f t="shared" ca="1" si="72"/>
        <v>115.80105700383564</v>
      </c>
      <c r="BY99" s="9">
        <f t="shared" ca="1" si="73"/>
        <v>407.48472551269202</v>
      </c>
      <c r="BZ99">
        <f t="shared" ca="1" si="77"/>
        <v>423.61974261046845</v>
      </c>
      <c r="CA99" s="6">
        <f t="shared" ca="1" si="78"/>
        <v>0.27336085964793744</v>
      </c>
      <c r="CB99" s="6">
        <f t="shared" ca="1" si="79"/>
        <v>0.96191155540025652</v>
      </c>
      <c r="CC99" s="6">
        <f t="shared" ca="1" si="80"/>
        <v>1.2939110827992972</v>
      </c>
      <c r="CD99" s="6">
        <f t="shared" ca="1" si="74"/>
        <v>1.644289159925344</v>
      </c>
      <c r="CE99" s="9">
        <f t="shared" ca="1" si="75"/>
        <v>141.10109886819163</v>
      </c>
      <c r="CF99" s="9">
        <f t="shared" ca="1" si="76"/>
        <v>479.78434873348795</v>
      </c>
      <c r="CG99">
        <f t="shared" ca="1" si="81"/>
        <v>500.10253087884723</v>
      </c>
      <c r="CH99">
        <f t="shared" ca="1" si="82"/>
        <v>0.28214434072195127</v>
      </c>
      <c r="CI99">
        <f t="shared" ca="1" si="83"/>
        <v>0.95937196696514726</v>
      </c>
      <c r="CJ99">
        <f t="shared" ca="1" si="84"/>
        <v>1.2847677993844686</v>
      </c>
      <c r="CK99" s="39">
        <f t="shared" ca="1" si="85"/>
        <v>0.86191387325152791</v>
      </c>
    </row>
    <row r="100" spans="1:89" x14ac:dyDescent="0.25">
      <c r="A100" s="8" t="s">
        <v>124</v>
      </c>
      <c r="B100" s="1">
        <f>B31*C99*0.65</f>
        <v>1326</v>
      </c>
      <c r="C100" t="s">
        <v>68</v>
      </c>
      <c r="BC100">
        <v>1.7104226669544449</v>
      </c>
      <c r="BD100">
        <v>137.36147754498325</v>
      </c>
      <c r="BE100">
        <v>480.59710585865787</v>
      </c>
      <c r="BF100" s="6">
        <f t="shared" si="91"/>
        <v>1.2924042962358631</v>
      </c>
      <c r="BG100" s="6">
        <f t="shared" si="92"/>
        <v>0.41801837071858183</v>
      </c>
      <c r="BH100" s="6">
        <f t="shared" si="69"/>
        <v>-0.86955037010292247</v>
      </c>
      <c r="BI100" s="6">
        <f t="shared" si="70"/>
        <v>0.86955037010292247</v>
      </c>
      <c r="BV100" s="39"/>
      <c r="BW100" s="6">
        <f t="shared" si="71"/>
        <v>1.4835298641951817</v>
      </c>
      <c r="BX100" s="9">
        <f t="shared" ca="1" si="72"/>
        <v>115.49072580188627</v>
      </c>
      <c r="BY100" s="9">
        <f t="shared" ca="1" si="73"/>
        <v>407.66362549675733</v>
      </c>
      <c r="BZ100">
        <f t="shared" ca="1" si="77"/>
        <v>423.70713859859251</v>
      </c>
      <c r="CA100" s="6">
        <f t="shared" ca="1" si="78"/>
        <v>0.27257205574555765</v>
      </c>
      <c r="CB100" s="6">
        <f t="shared" ca="1" si="79"/>
        <v>0.96213537219387202</v>
      </c>
      <c r="CC100" s="6">
        <f t="shared" ca="1" si="80"/>
        <v>1.2947310252309228</v>
      </c>
      <c r="CD100" s="6">
        <f t="shared" ca="1" si="74"/>
        <v>1.6451091023569695</v>
      </c>
      <c r="CE100" s="9">
        <f t="shared" ca="1" si="75"/>
        <v>140.79076766624226</v>
      </c>
      <c r="CF100" s="9">
        <f t="shared" ca="1" si="76"/>
        <v>479.96324871755326</v>
      </c>
      <c r="CG100">
        <f t="shared" ca="1" si="81"/>
        <v>500.18672551314046</v>
      </c>
      <c r="CH100">
        <f t="shared" ca="1" si="82"/>
        <v>0.28147641767542975</v>
      </c>
      <c r="CI100">
        <f t="shared" ca="1" si="83"/>
        <v>0.95956814572629856</v>
      </c>
      <c r="CJ100">
        <f t="shared" ca="1" si="84"/>
        <v>1.2854639368148457</v>
      </c>
      <c r="CK100" s="39">
        <f t="shared" ca="1" si="85"/>
        <v>0.86261001068190502</v>
      </c>
    </row>
    <row r="101" spans="1:89" x14ac:dyDescent="0.25">
      <c r="A101" s="8" t="s">
        <v>77</v>
      </c>
      <c r="B101" s="1">
        <f>B100*E99</f>
        <v>4243.2</v>
      </c>
      <c r="C101" t="s">
        <v>69</v>
      </c>
      <c r="BC101">
        <v>1.7278759594743882</v>
      </c>
      <c r="BD101">
        <v>137.12289909924118</v>
      </c>
      <c r="BE101">
        <v>480.55196307627381</v>
      </c>
      <c r="BF101" s="6">
        <f t="shared" si="91"/>
        <v>1.2928385025794851</v>
      </c>
      <c r="BG101" s="6">
        <f t="shared" si="92"/>
        <v>0.43503745689490314</v>
      </c>
      <c r="BH101" s="6">
        <f t="shared" si="69"/>
        <v>-0.86998457644654437</v>
      </c>
      <c r="BI101" s="6">
        <f t="shared" si="70"/>
        <v>0.86998457644654437</v>
      </c>
      <c r="BV101" s="39"/>
      <c r="BW101" s="6">
        <f t="shared" si="71"/>
        <v>1.5009831567151251</v>
      </c>
      <c r="BX101" s="9">
        <f t="shared" ca="1" si="72"/>
        <v>115.18063046056699</v>
      </c>
      <c r="BY101" s="9">
        <f t="shared" ca="1" si="73"/>
        <v>407.83884771466052</v>
      </c>
      <c r="BZ101">
        <f t="shared" ca="1" si="77"/>
        <v>423.79134410522795</v>
      </c>
      <c r="CA101" s="6">
        <f t="shared" ca="1" si="78"/>
        <v>0.27178617983279879</v>
      </c>
      <c r="CB101" s="6">
        <f t="shared" ca="1" si="79"/>
        <v>0.96235766347647156</v>
      </c>
      <c r="CC101" s="6">
        <f t="shared" ca="1" si="80"/>
        <v>1.2955477347274085</v>
      </c>
      <c r="CD101" s="6">
        <f t="shared" ca="1" si="74"/>
        <v>1.6459258118534552</v>
      </c>
      <c r="CE101" s="9">
        <f t="shared" ca="1" si="75"/>
        <v>140.48067232492298</v>
      </c>
      <c r="CF101" s="9">
        <f t="shared" ca="1" si="76"/>
        <v>480.13847093545644</v>
      </c>
      <c r="CG101">
        <f t="shared" ca="1" si="81"/>
        <v>500.26769890639605</v>
      </c>
      <c r="CH101">
        <f t="shared" ca="1" si="82"/>
        <v>0.28081099905514384</v>
      </c>
      <c r="CI101">
        <f t="shared" ca="1" si="83"/>
        <v>0.95976308681343436</v>
      </c>
      <c r="CJ101">
        <f t="shared" ca="1" si="84"/>
        <v>1.2861573227008714</v>
      </c>
      <c r="CK101" s="39">
        <f t="shared" ca="1" si="85"/>
        <v>0.86330339656793065</v>
      </c>
    </row>
    <row r="102" spans="1:89" x14ac:dyDescent="0.25">
      <c r="A102" s="8" t="s">
        <v>125</v>
      </c>
      <c r="B102" s="1">
        <f>B100*D99*-1</f>
        <v>9547.2000000000007</v>
      </c>
      <c r="C102" t="s">
        <v>69</v>
      </c>
      <c r="J102" t="s">
        <v>127</v>
      </c>
      <c r="BC102">
        <v>1.7453292519943315</v>
      </c>
      <c r="BD102">
        <v>136.88294821658522</v>
      </c>
      <c r="BE102">
        <v>480.50230965470314</v>
      </c>
      <c r="BF102" s="6">
        <f t="shared" si="91"/>
        <v>1.293273066533732</v>
      </c>
      <c r="BG102" s="6">
        <f t="shared" si="92"/>
        <v>0.45205618546059956</v>
      </c>
      <c r="BH102" s="6">
        <f t="shared" si="69"/>
        <v>-0.87041914040079127</v>
      </c>
      <c r="BI102" s="6">
        <f t="shared" si="70"/>
        <v>0.87041914040079127</v>
      </c>
      <c r="BV102" s="39"/>
      <c r="BW102" s="6">
        <f t="shared" si="71"/>
        <v>1.5184364492350684</v>
      </c>
      <c r="BX102" s="9">
        <f t="shared" ca="1" si="72"/>
        <v>114.87057631700827</v>
      </c>
      <c r="BY102" s="9">
        <f t="shared" ca="1" si="73"/>
        <v>408.01052944779741</v>
      </c>
      <c r="BZ102">
        <f t="shared" ca="1" si="77"/>
        <v>423.87243534308004</v>
      </c>
      <c r="CA102" s="6">
        <f t="shared" ca="1" si="78"/>
        <v>0.27100270444345514</v>
      </c>
      <c r="CB102" s="6">
        <f t="shared" ca="1" si="79"/>
        <v>0.96257858597848178</v>
      </c>
      <c r="CC102" s="6">
        <f t="shared" ca="1" si="80"/>
        <v>1.2963617620452503</v>
      </c>
      <c r="CD102" s="6">
        <f t="shared" ca="1" si="74"/>
        <v>1.6467398391712971</v>
      </c>
      <c r="CE102" s="9">
        <f t="shared" ca="1" si="75"/>
        <v>140.17061818136426</v>
      </c>
      <c r="CF102" s="9">
        <f t="shared" ca="1" si="76"/>
        <v>480.31015266859333</v>
      </c>
      <c r="CG102">
        <f t="shared" ca="1" si="81"/>
        <v>500.34552556995374</v>
      </c>
      <c r="CH102">
        <f t="shared" ca="1" si="82"/>
        <v>0.28014764001675257</v>
      </c>
      <c r="CI102">
        <f t="shared" ca="1" si="83"/>
        <v>0.9599569260092059</v>
      </c>
      <c r="CJ102">
        <f t="shared" ca="1" si="84"/>
        <v>1.2868484224524577</v>
      </c>
      <c r="CK102" s="39">
        <f t="shared" ca="1" si="85"/>
        <v>0.86399449631951697</v>
      </c>
    </row>
    <row r="103" spans="1:89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BC103">
        <v>1.7627825445142749</v>
      </c>
      <c r="BD103">
        <v>136.64146640343449</v>
      </c>
      <c r="BE103">
        <v>480.44803599526654</v>
      </c>
      <c r="BF103" s="6">
        <f t="shared" si="91"/>
        <v>1.293708245659891</v>
      </c>
      <c r="BG103" s="6">
        <f t="shared" si="92"/>
        <v>0.4690742988543839</v>
      </c>
      <c r="BH103" s="6">
        <f t="shared" si="69"/>
        <v>-0.87085431952695025</v>
      </c>
      <c r="BI103" s="6">
        <f t="shared" si="70"/>
        <v>0.87085431952695025</v>
      </c>
      <c r="BV103" s="39"/>
      <c r="BW103" s="6">
        <f t="shared" si="71"/>
        <v>1.5358897417550117</v>
      </c>
      <c r="BX103" s="9">
        <f t="shared" ca="1" si="72"/>
        <v>114.56036883283372</v>
      </c>
      <c r="BY103" s="9">
        <f t="shared" ca="1" si="73"/>
        <v>408.17879889640341</v>
      </c>
      <c r="BZ103">
        <f t="shared" ca="1" si="77"/>
        <v>423.95048057010791</v>
      </c>
      <c r="CA103" s="6">
        <f t="shared" ca="1" si="78"/>
        <v>0.27022110855677889</v>
      </c>
      <c r="CB103" s="6">
        <f t="shared" ca="1" si="79"/>
        <v>0.96279829273339779</v>
      </c>
      <c r="CC103" s="6">
        <f t="shared" ca="1" si="80"/>
        <v>1.297173650722615</v>
      </c>
      <c r="CD103" s="6">
        <f t="shared" ca="1" si="74"/>
        <v>1.6475517278486618</v>
      </c>
      <c r="CE103" s="9">
        <f t="shared" ca="1" si="75"/>
        <v>139.86041069718971</v>
      </c>
      <c r="CF103" s="9">
        <f t="shared" ca="1" si="76"/>
        <v>480.47842211719933</v>
      </c>
      <c r="CG103">
        <f t="shared" ca="1" si="81"/>
        <v>500.42027197208967</v>
      </c>
      <c r="CH103">
        <f t="shared" ca="1" si="82"/>
        <v>0.27948590121263162</v>
      </c>
      <c r="CI103">
        <f t="shared" ca="1" si="83"/>
        <v>0.96014979613775009</v>
      </c>
      <c r="CJ103">
        <f t="shared" ca="1" si="84"/>
        <v>1.2875376953666027</v>
      </c>
      <c r="CK103" s="39">
        <f t="shared" ca="1" si="85"/>
        <v>0.86468376923366197</v>
      </c>
    </row>
    <row r="104" spans="1:89" x14ac:dyDescent="0.25">
      <c r="A104">
        <f t="shared" ref="A104:C113" si="93">A15</f>
        <v>1</v>
      </c>
      <c r="B104" t="str">
        <f t="shared" si="93"/>
        <v>p1</v>
      </c>
      <c r="C104">
        <f t="shared" ca="1" si="93"/>
        <v>1.056</v>
      </c>
      <c r="D104" s="9">
        <f t="shared" ref="D104:D113" si="94">D15-$I$2</f>
        <v>0</v>
      </c>
      <c r="E104" s="5">
        <f t="shared" ref="E104:E113" si="95">E15-$I$3</f>
        <v>-10</v>
      </c>
      <c r="F104" s="5">
        <f t="shared" ref="F104:F113" ca="1" si="96">($B$12-$B$31)*C104*0.65</f>
        <v>38.266800000000003</v>
      </c>
      <c r="G104">
        <f t="shared" ref="G104:G113" ca="1" si="97">E104*F104</f>
        <v>-382.66800000000001</v>
      </c>
      <c r="H104">
        <f t="shared" ref="H104:H113" ca="1" si="98">D104*F104*-1</f>
        <v>0</v>
      </c>
      <c r="J104">
        <f t="shared" ref="J104:J113" ca="1" si="99">-1*C104*$B$12*0.9</f>
        <v>-57.024000000000001</v>
      </c>
      <c r="K104">
        <f t="shared" ref="K104:K113" ca="1" si="100">E104*J104</f>
        <v>570.24</v>
      </c>
      <c r="L104">
        <f t="shared" ref="L104:L113" ca="1" si="101">D104*J104*-1</f>
        <v>0</v>
      </c>
      <c r="BC104">
        <v>1.7802358370342182</v>
      </c>
      <c r="BD104">
        <v>136.39829125928387</v>
      </c>
      <c r="BE104">
        <v>480.38901970237163</v>
      </c>
      <c r="BF104" s="6">
        <f t="shared" si="91"/>
        <v>1.2941442988384515</v>
      </c>
      <c r="BG104" s="6">
        <f t="shared" si="92"/>
        <v>0.48609153819576667</v>
      </c>
      <c r="BH104" s="6">
        <f t="shared" si="69"/>
        <v>-0.8712903727055108</v>
      </c>
      <c r="BI104" s="6">
        <f t="shared" si="70"/>
        <v>0.8712903727055108</v>
      </c>
      <c r="BV104" s="39"/>
      <c r="BW104" s="6">
        <f t="shared" si="71"/>
        <v>1.553343034274955</v>
      </c>
      <c r="BX104" s="9">
        <f t="shared" ca="1" si="72"/>
        <v>114.24981310624378</v>
      </c>
      <c r="BY104" s="9">
        <f t="shared" ca="1" si="73"/>
        <v>408.34377558905527</v>
      </c>
      <c r="BZ104">
        <f t="shared" ca="1" si="77"/>
        <v>424.02554033588166</v>
      </c>
      <c r="CA104" s="6">
        <f t="shared" ca="1" si="78"/>
        <v>0.26944087616925982</v>
      </c>
      <c r="CB104" s="6">
        <f t="shared" ca="1" si="79"/>
        <v>0.96301693352149387</v>
      </c>
      <c r="CC104" s="6">
        <f t="shared" ca="1" si="80"/>
        <v>1.2979839385780567</v>
      </c>
      <c r="CD104" s="6">
        <f t="shared" ca="1" si="74"/>
        <v>1.6483620157041035</v>
      </c>
      <c r="CE104" s="9">
        <f t="shared" ca="1" si="75"/>
        <v>139.54985497059977</v>
      </c>
      <c r="CF104" s="9">
        <f t="shared" ca="1" si="76"/>
        <v>480.64339880985119</v>
      </c>
      <c r="CG104">
        <f t="shared" ca="1" si="81"/>
        <v>500.49199678096863</v>
      </c>
      <c r="CH104">
        <f t="shared" ca="1" si="82"/>
        <v>0.27882534759426186</v>
      </c>
      <c r="CI104">
        <f t="shared" ca="1" si="83"/>
        <v>0.96034182744423813</v>
      </c>
      <c r="CJ104">
        <f t="shared" ca="1" si="84"/>
        <v>1.2882255958856266</v>
      </c>
      <c r="CK104" s="39">
        <f t="shared" ca="1" si="85"/>
        <v>0.86537166975268587</v>
      </c>
    </row>
    <row r="105" spans="1:89" x14ac:dyDescent="0.25">
      <c r="A105">
        <f t="shared" si="93"/>
        <v>2</v>
      </c>
      <c r="B105" t="str">
        <f t="shared" si="93"/>
        <v>p1</v>
      </c>
      <c r="C105">
        <f t="shared" ca="1" si="93"/>
        <v>1.056</v>
      </c>
      <c r="D105" s="9">
        <f t="shared" si="94"/>
        <v>0</v>
      </c>
      <c r="E105" s="5">
        <f t="shared" si="95"/>
        <v>10</v>
      </c>
      <c r="F105" s="5">
        <f t="shared" ca="1" si="96"/>
        <v>38.266800000000003</v>
      </c>
      <c r="G105">
        <f t="shared" ca="1" si="97"/>
        <v>382.66800000000001</v>
      </c>
      <c r="H105">
        <f t="shared" ca="1" si="98"/>
        <v>0</v>
      </c>
      <c r="J105">
        <f t="shared" ca="1" si="99"/>
        <v>-57.024000000000001</v>
      </c>
      <c r="K105">
        <f t="shared" ca="1" si="100"/>
        <v>-570.24</v>
      </c>
      <c r="L105">
        <f t="shared" ca="1" si="101"/>
        <v>0</v>
      </c>
      <c r="BC105">
        <v>1.7976891295541615</v>
      </c>
      <c r="BD105">
        <v>136.15325601781797</v>
      </c>
      <c r="BE105">
        <v>480.32512491183923</v>
      </c>
      <c r="BF105" s="6">
        <f t="shared" si="91"/>
        <v>1.2945814868735033</v>
      </c>
      <c r="BG105" s="6">
        <f t="shared" si="92"/>
        <v>0.50310764268065822</v>
      </c>
      <c r="BH105" s="6">
        <f t="shared" si="69"/>
        <v>-0.87172756074056257</v>
      </c>
      <c r="BI105" s="6">
        <f t="shared" si="70"/>
        <v>0.87172756074056257</v>
      </c>
      <c r="BV105" s="39"/>
      <c r="BW105" s="6">
        <f t="shared" si="71"/>
        <v>1.5707963267948983</v>
      </c>
      <c r="BX105" s="9">
        <f t="shared" ca="1" si="72"/>
        <v>113.93871337070581</v>
      </c>
      <c r="BY105" s="9">
        <f t="shared" ca="1" si="73"/>
        <v>408.50557071624002</v>
      </c>
      <c r="BZ105">
        <f t="shared" ca="1" si="77"/>
        <v>424.09766765542679</v>
      </c>
      <c r="CA105" s="6">
        <f t="shared" ca="1" si="78"/>
        <v>0.268661494887728</v>
      </c>
      <c r="CB105" s="6">
        <f t="shared" ca="1" si="79"/>
        <v>0.96323465529677199</v>
      </c>
      <c r="CC105" s="6">
        <f t="shared" ca="1" si="80"/>
        <v>1.2987931591840516</v>
      </c>
      <c r="CD105" s="6">
        <f t="shared" ca="1" si="74"/>
        <v>1.6491712363100983</v>
      </c>
      <c r="CE105" s="9">
        <f t="shared" ca="1" si="75"/>
        <v>139.2387552350618</v>
      </c>
      <c r="CF105" s="9">
        <f t="shared" ca="1" si="76"/>
        <v>480.80519393703594</v>
      </c>
      <c r="CG105">
        <f t="shared" ca="1" si="81"/>
        <v>500.56075103451747</v>
      </c>
      <c r="CH105">
        <f t="shared" ca="1" si="82"/>
        <v>0.27816554723336717</v>
      </c>
      <c r="CI105">
        <f t="shared" ca="1" si="83"/>
        <v>0.96053314796125666</v>
      </c>
      <c r="CJ105">
        <f t="shared" ca="1" si="84"/>
        <v>1.2889125748336516</v>
      </c>
      <c r="CK105" s="39">
        <f t="shared" ca="1" si="85"/>
        <v>0.86605864870071092</v>
      </c>
    </row>
    <row r="106" spans="1:89" x14ac:dyDescent="0.25">
      <c r="A106">
        <f t="shared" si="93"/>
        <v>3</v>
      </c>
      <c r="B106" t="str">
        <f t="shared" si="93"/>
        <v>p1</v>
      </c>
      <c r="C106">
        <f t="shared" ca="1" si="93"/>
        <v>1.056</v>
      </c>
      <c r="D106" s="9">
        <f t="shared" si="94"/>
        <v>-18</v>
      </c>
      <c r="E106" s="5">
        <f t="shared" si="95"/>
        <v>10</v>
      </c>
      <c r="F106" s="5">
        <f t="shared" ca="1" si="96"/>
        <v>38.266800000000003</v>
      </c>
      <c r="G106">
        <f t="shared" ca="1" si="97"/>
        <v>382.66800000000001</v>
      </c>
      <c r="H106">
        <f t="shared" ca="1" si="98"/>
        <v>688.80240000000003</v>
      </c>
      <c r="J106">
        <f t="shared" ca="1" si="99"/>
        <v>-57.024000000000001</v>
      </c>
      <c r="K106">
        <f t="shared" ca="1" si="100"/>
        <v>-570.24</v>
      </c>
      <c r="L106">
        <f t="shared" ca="1" si="101"/>
        <v>-1026.432</v>
      </c>
      <c r="BC106">
        <v>1.8151424220741048</v>
      </c>
      <c r="BD106">
        <v>135.90618907428245</v>
      </c>
      <c r="BE106">
        <v>480.25620156113956</v>
      </c>
      <c r="BF106" s="6">
        <f t="shared" si="91"/>
        <v>1.2950200730992603</v>
      </c>
      <c r="BG106" s="6">
        <f t="shared" si="92"/>
        <v>0.52012234897484455</v>
      </c>
      <c r="BH106" s="6">
        <f t="shared" si="69"/>
        <v>-0.87216614696631967</v>
      </c>
      <c r="BI106" s="6">
        <f t="shared" si="70"/>
        <v>0.87216614696631967</v>
      </c>
      <c r="BV106" s="39"/>
      <c r="BW106" s="6">
        <f t="shared" si="71"/>
        <v>1.5882496193148417</v>
      </c>
      <c r="BX106" s="9">
        <f t="shared" ca="1" si="72"/>
        <v>113.70574203746057</v>
      </c>
      <c r="BY106" s="9">
        <f t="shared" ca="1" si="73"/>
        <v>408.49394155808363</v>
      </c>
      <c r="BZ106">
        <f t="shared" ca="1" si="77"/>
        <v>424.02393335983828</v>
      </c>
      <c r="CA106" s="6">
        <f t="shared" ca="1" si="78"/>
        <v>0.26815878324718706</v>
      </c>
      <c r="CB106" s="6">
        <f t="shared" ca="1" si="79"/>
        <v>0.96337472821710879</v>
      </c>
      <c r="CC106" s="6">
        <f t="shared" ca="1" si="80"/>
        <v>1.2993150206816999</v>
      </c>
      <c r="CD106" s="6">
        <f t="shared" ca="1" si="74"/>
        <v>1.6496930978077466</v>
      </c>
      <c r="CE106" s="9">
        <f t="shared" ca="1" si="75"/>
        <v>139.00578390181656</v>
      </c>
      <c r="CF106" s="9">
        <f t="shared" ca="1" si="76"/>
        <v>480.79356477887956</v>
      </c>
      <c r="CG106">
        <f t="shared" ca="1" si="81"/>
        <v>500.48482483581978</v>
      </c>
      <c r="CH106">
        <f t="shared" ca="1" si="82"/>
        <v>0.27774225511715833</v>
      </c>
      <c r="CI106">
        <f t="shared" ca="1" si="83"/>
        <v>0.96065563014143374</v>
      </c>
      <c r="CJ106">
        <f t="shared" ca="1" si="84"/>
        <v>1.2893532312794771</v>
      </c>
      <c r="CK106" s="39">
        <f t="shared" ca="1" si="85"/>
        <v>0.86649930514653639</v>
      </c>
    </row>
    <row r="107" spans="1:89" x14ac:dyDescent="0.25">
      <c r="A107">
        <f t="shared" si="93"/>
        <v>4</v>
      </c>
      <c r="B107">
        <f t="shared" si="93"/>
        <v>0</v>
      </c>
      <c r="C107">
        <f t="shared" ca="1" si="93"/>
        <v>0</v>
      </c>
      <c r="D107" s="9">
        <f t="shared" si="94"/>
        <v>-2</v>
      </c>
      <c r="E107" s="5">
        <f t="shared" si="95"/>
        <v>10</v>
      </c>
      <c r="F107" s="5">
        <f t="shared" ca="1" si="96"/>
        <v>0</v>
      </c>
      <c r="G107">
        <f t="shared" ca="1" si="97"/>
        <v>0</v>
      </c>
      <c r="H107">
        <f t="shared" ca="1" si="98"/>
        <v>0</v>
      </c>
      <c r="J107">
        <f t="shared" ca="1" si="99"/>
        <v>0</v>
      </c>
      <c r="K107">
        <f t="shared" ca="1" si="100"/>
        <v>0</v>
      </c>
      <c r="L107">
        <f t="shared" ca="1" si="101"/>
        <v>0</v>
      </c>
      <c r="BC107">
        <v>1.8325957145940481</v>
      </c>
      <c r="BD107">
        <v>135.65691347397313</v>
      </c>
      <c r="BE107">
        <v>480.18208453983794</v>
      </c>
      <c r="BF107" s="6">
        <f t="shared" si="91"/>
        <v>1.295460324004406</v>
      </c>
      <c r="BG107" s="6">
        <f t="shared" si="92"/>
        <v>0.5371353905896421</v>
      </c>
      <c r="BH107" s="6">
        <f t="shared" si="69"/>
        <v>-0.87260639787146532</v>
      </c>
      <c r="BI107" s="6">
        <f t="shared" si="70"/>
        <v>0.87260639787146532</v>
      </c>
      <c r="BV107" s="39"/>
      <c r="BW107" s="6">
        <f t="shared" si="71"/>
        <v>1.605702911834785</v>
      </c>
      <c r="BX107" s="9">
        <f t="shared" ca="1" si="72"/>
        <v>113.47257420560513</v>
      </c>
      <c r="BY107" s="9">
        <f t="shared" ca="1" si="73"/>
        <v>408.47827389501145</v>
      </c>
      <c r="BZ107">
        <f t="shared" ca="1" si="77"/>
        <v>423.94637083137599</v>
      </c>
      <c r="CA107" s="6">
        <f t="shared" ca="1" si="78"/>
        <v>0.26765785017355098</v>
      </c>
      <c r="CB107" s="6">
        <f t="shared" ca="1" si="79"/>
        <v>0.96351402441296774</v>
      </c>
      <c r="CC107" s="6">
        <f t="shared" ca="1" si="80"/>
        <v>1.2998349604671882</v>
      </c>
      <c r="CD107" s="6">
        <f t="shared" ca="1" si="74"/>
        <v>1.6502130375932349</v>
      </c>
      <c r="CE107" s="9">
        <f t="shared" ca="1" si="75"/>
        <v>138.77261606996112</v>
      </c>
      <c r="CF107" s="9">
        <f t="shared" ca="1" si="76"/>
        <v>480.77789711580738</v>
      </c>
      <c r="CG107">
        <f t="shared" ca="1" si="81"/>
        <v>500.40506125138131</v>
      </c>
      <c r="CH107">
        <f t="shared" ca="1" si="82"/>
        <v>0.27732056850689585</v>
      </c>
      <c r="CI107">
        <f t="shared" ca="1" si="83"/>
        <v>0.96077744680181376</v>
      </c>
      <c r="CJ107">
        <f t="shared" ca="1" si="84"/>
        <v>1.2897921605438396</v>
      </c>
      <c r="CK107" s="39">
        <f t="shared" ca="1" si="85"/>
        <v>0.8669382344108989</v>
      </c>
    </row>
    <row r="108" spans="1:89" x14ac:dyDescent="0.25">
      <c r="A108">
        <f t="shared" si="93"/>
        <v>5</v>
      </c>
      <c r="B108">
        <f t="shared" si="93"/>
        <v>0</v>
      </c>
      <c r="C108">
        <f t="shared" ca="1" si="93"/>
        <v>0</v>
      </c>
      <c r="D108" s="9">
        <f t="shared" si="94"/>
        <v>2</v>
      </c>
      <c r="E108" s="5">
        <f t="shared" si="95"/>
        <v>10</v>
      </c>
      <c r="F108" s="5">
        <f t="shared" ca="1" si="96"/>
        <v>0</v>
      </c>
      <c r="G108">
        <f t="shared" ca="1" si="97"/>
        <v>0</v>
      </c>
      <c r="H108">
        <f t="shared" ca="1" si="98"/>
        <v>0</v>
      </c>
      <c r="J108">
        <f t="shared" ca="1" si="99"/>
        <v>0</v>
      </c>
      <c r="K108">
        <f t="shared" ca="1" si="100"/>
        <v>0</v>
      </c>
      <c r="L108">
        <f t="shared" ca="1" si="101"/>
        <v>0</v>
      </c>
      <c r="BC108">
        <v>1.8500490071139915</v>
      </c>
      <c r="BD108">
        <v>135.40524637908692</v>
      </c>
      <c r="BE108">
        <v>480.1025927625725</v>
      </c>
      <c r="BF108" s="6">
        <f t="shared" si="91"/>
        <v>1.2959025098653232</v>
      </c>
      <c r="BG108" s="6">
        <f t="shared" si="92"/>
        <v>0.55414649724866827</v>
      </c>
      <c r="BH108" s="6">
        <f t="shared" si="69"/>
        <v>-0.87304858373238237</v>
      </c>
      <c r="BI108" s="6">
        <f t="shared" si="70"/>
        <v>0.87304858373238237</v>
      </c>
      <c r="BV108" s="39"/>
      <c r="BW108" s="6">
        <f t="shared" si="71"/>
        <v>1.6231562043547283</v>
      </c>
      <c r="BX108" s="9">
        <f t="shared" ca="1" si="72"/>
        <v>113.23906833354954</v>
      </c>
      <c r="BY108" s="9">
        <f t="shared" ca="1" si="73"/>
        <v>408.45854502206322</v>
      </c>
      <c r="BZ108">
        <f t="shared" ca="1" si="77"/>
        <v>423.86491904684817</v>
      </c>
      <c r="CA108" s="6">
        <f t="shared" ca="1" si="78"/>
        <v>0.26715838760186156</v>
      </c>
      <c r="CB108" s="6">
        <f t="shared" ca="1" si="79"/>
        <v>0.96365263240130961</v>
      </c>
      <c r="CC108" s="6">
        <f t="shared" ca="1" si="80"/>
        <v>1.3003532991990674</v>
      </c>
      <c r="CD108" s="6">
        <f t="shared" ca="1" si="74"/>
        <v>1.6507313763251141</v>
      </c>
      <c r="CE108" s="9">
        <f t="shared" ca="1" si="75"/>
        <v>138.53911019790553</v>
      </c>
      <c r="CF108" s="9">
        <f t="shared" ca="1" si="76"/>
        <v>480.75816824285914</v>
      </c>
      <c r="CG108">
        <f t="shared" ca="1" si="81"/>
        <v>500.32139808992446</v>
      </c>
      <c r="CH108">
        <f t="shared" ca="1" si="82"/>
        <v>0.2769002299857769</v>
      </c>
      <c r="CI108">
        <f t="shared" ca="1" si="83"/>
        <v>0.96089867448853516</v>
      </c>
      <c r="CJ108">
        <f t="shared" ca="1" si="84"/>
        <v>1.2902296312599071</v>
      </c>
      <c r="CK108" s="39">
        <f t="shared" ca="1" si="85"/>
        <v>0.86737570512696638</v>
      </c>
    </row>
    <row r="109" spans="1:89" x14ac:dyDescent="0.25">
      <c r="A109">
        <f t="shared" si="93"/>
        <v>6</v>
      </c>
      <c r="B109">
        <f t="shared" si="93"/>
        <v>0</v>
      </c>
      <c r="C109">
        <f t="shared" ca="1" si="93"/>
        <v>0</v>
      </c>
      <c r="D109" s="9">
        <f t="shared" si="94"/>
        <v>4</v>
      </c>
      <c r="E109" s="5">
        <f t="shared" si="95"/>
        <v>10</v>
      </c>
      <c r="F109" s="5">
        <f t="shared" ca="1" si="96"/>
        <v>0</v>
      </c>
      <c r="G109">
        <f t="shared" ca="1" si="97"/>
        <v>0</v>
      </c>
      <c r="H109">
        <f t="shared" ca="1" si="98"/>
        <v>0</v>
      </c>
      <c r="J109">
        <f t="shared" ca="1" si="99"/>
        <v>0</v>
      </c>
      <c r="K109">
        <f t="shared" ca="1" si="100"/>
        <v>0</v>
      </c>
      <c r="L109">
        <f t="shared" ca="1" si="101"/>
        <v>0</v>
      </c>
      <c r="BC109">
        <v>1.8675022996339348</v>
      </c>
      <c r="BD109">
        <v>135.15099849269544</v>
      </c>
      <c r="BE109">
        <v>480.01752811164351</v>
      </c>
      <c r="BF109" s="6">
        <f t="shared" si="91"/>
        <v>1.2963469054015242</v>
      </c>
      <c r="BG109" s="6">
        <f t="shared" si="92"/>
        <v>0.57115539423241057</v>
      </c>
      <c r="BH109" s="6">
        <f t="shared" si="69"/>
        <v>-0.8734929792685836</v>
      </c>
      <c r="BI109" s="6">
        <f t="shared" si="70"/>
        <v>0.8734929792685836</v>
      </c>
      <c r="BV109" s="39"/>
      <c r="BW109" s="6">
        <f t="shared" si="71"/>
        <v>1.6406094968746716</v>
      </c>
      <c r="BX109" s="9">
        <f t="shared" ca="1" si="72"/>
        <v>113.00508203211842</v>
      </c>
      <c r="BY109" s="9">
        <f t="shared" ca="1" si="73"/>
        <v>408.43472229838591</v>
      </c>
      <c r="BZ109">
        <f t="shared" ca="1" si="77"/>
        <v>423.77950746118603</v>
      </c>
      <c r="CA109" s="6">
        <f t="shared" ca="1" si="78"/>
        <v>0.26666009102025434</v>
      </c>
      <c r="CB109" s="6">
        <f t="shared" ca="1" si="79"/>
        <v>0.96379063901714135</v>
      </c>
      <c r="CC109" s="6">
        <f t="shared" ca="1" si="80"/>
        <v>1.3008703536596524</v>
      </c>
      <c r="CD109" s="6">
        <f t="shared" ca="1" si="74"/>
        <v>1.6512484307856992</v>
      </c>
      <c r="CE109" s="9">
        <f t="shared" ca="1" si="75"/>
        <v>138.30512389647441</v>
      </c>
      <c r="CF109" s="9">
        <f t="shared" ca="1" si="76"/>
        <v>480.73434551918183</v>
      </c>
      <c r="CG109">
        <f t="shared" ca="1" si="81"/>
        <v>500.23376361234881</v>
      </c>
      <c r="CH109">
        <f t="shared" ca="1" si="82"/>
        <v>0.2764809854051607</v>
      </c>
      <c r="CI109">
        <f t="shared" ca="1" si="83"/>
        <v>0.96101938831086609</v>
      </c>
      <c r="CJ109">
        <f t="shared" ca="1" si="84"/>
        <v>1.2906659085207135</v>
      </c>
      <c r="CK109" s="39">
        <f t="shared" ca="1" si="85"/>
        <v>0.8678119823877728</v>
      </c>
    </row>
    <row r="110" spans="1:89" x14ac:dyDescent="0.25">
      <c r="A110">
        <f t="shared" si="93"/>
        <v>7</v>
      </c>
      <c r="B110">
        <f t="shared" si="93"/>
        <v>0</v>
      </c>
      <c r="C110">
        <f t="shared" ca="1" si="93"/>
        <v>0</v>
      </c>
      <c r="D110" s="9">
        <f t="shared" si="94"/>
        <v>-4</v>
      </c>
      <c r="E110" s="5">
        <f t="shared" si="95"/>
        <v>-10</v>
      </c>
      <c r="F110" s="5">
        <f t="shared" ca="1" si="96"/>
        <v>0</v>
      </c>
      <c r="G110">
        <f t="shared" ca="1" si="97"/>
        <v>0</v>
      </c>
      <c r="H110">
        <f t="shared" ca="1" si="98"/>
        <v>0</v>
      </c>
      <c r="J110">
        <f t="shared" ca="1" si="99"/>
        <v>0</v>
      </c>
      <c r="K110">
        <f t="shared" ca="1" si="100"/>
        <v>0</v>
      </c>
      <c r="L110">
        <f t="shared" ca="1" si="101"/>
        <v>0</v>
      </c>
      <c r="BC110">
        <v>1.8849555921538781</v>
      </c>
      <c r="BD110">
        <v>134.89397344809308</v>
      </c>
      <c r="BE110">
        <v>479.9266742685445</v>
      </c>
      <c r="BF110" s="6">
        <f t="shared" si="91"/>
        <v>1.2967937904493636</v>
      </c>
      <c r="BG110" s="6">
        <f t="shared" si="92"/>
        <v>0.58816180170451449</v>
      </c>
      <c r="BH110" s="6">
        <f t="shared" si="69"/>
        <v>-0.8739398643164229</v>
      </c>
      <c r="BI110" s="6">
        <f t="shared" si="70"/>
        <v>0.8739398643164229</v>
      </c>
      <c r="BV110" s="39"/>
      <c r="BW110" s="6">
        <f t="shared" si="71"/>
        <v>1.6580627893946149</v>
      </c>
      <c r="BX110" s="9">
        <f t="shared" ca="1" si="72"/>
        <v>112.77047172472061</v>
      </c>
      <c r="BY110" s="9">
        <f t="shared" ca="1" si="73"/>
        <v>408.4067630089159</v>
      </c>
      <c r="BZ110">
        <f t="shared" ca="1" si="77"/>
        <v>423.69005577714097</v>
      </c>
      <c r="CA110" s="6">
        <f t="shared" ca="1" si="78"/>
        <v>0.26616265873381123</v>
      </c>
      <c r="CB110" s="6">
        <f t="shared" ca="1" si="79"/>
        <v>0.96392812963194963</v>
      </c>
      <c r="CC110" s="6">
        <f t="shared" ca="1" si="80"/>
        <v>1.3013864375236397</v>
      </c>
      <c r="CD110" s="6">
        <f t="shared" ca="1" si="74"/>
        <v>1.6517645146496864</v>
      </c>
      <c r="CE110" s="9">
        <f t="shared" ca="1" si="75"/>
        <v>138.0705135890766</v>
      </c>
      <c r="CF110" s="9">
        <f t="shared" ca="1" si="76"/>
        <v>480.70638622971182</v>
      </c>
      <c r="CG110">
        <f t="shared" ca="1" si="81"/>
        <v>500.1420762991055</v>
      </c>
      <c r="CH110">
        <f t="shared" ca="1" si="82"/>
        <v>0.27606258327784594</v>
      </c>
      <c r="CI110">
        <f t="shared" ca="1" si="83"/>
        <v>0.9611396621271866</v>
      </c>
      <c r="CJ110">
        <f t="shared" ca="1" si="84"/>
        <v>1.2911012545141798</v>
      </c>
      <c r="CK110" s="39">
        <f t="shared" ca="1" si="85"/>
        <v>0.86824732838123908</v>
      </c>
    </row>
    <row r="111" spans="1:89" x14ac:dyDescent="0.25">
      <c r="A111">
        <f t="shared" si="93"/>
        <v>8</v>
      </c>
      <c r="B111">
        <f t="shared" si="93"/>
        <v>0</v>
      </c>
      <c r="C111">
        <f t="shared" ca="1" si="93"/>
        <v>0</v>
      </c>
      <c r="D111" s="9">
        <f t="shared" si="94"/>
        <v>-2</v>
      </c>
      <c r="E111" s="5">
        <f t="shared" si="95"/>
        <v>-10</v>
      </c>
      <c r="F111" s="5">
        <f t="shared" ca="1" si="96"/>
        <v>0</v>
      </c>
      <c r="G111">
        <f t="shared" ca="1" si="97"/>
        <v>0</v>
      </c>
      <c r="H111">
        <f t="shared" ca="1" si="98"/>
        <v>0</v>
      </c>
      <c r="J111">
        <f t="shared" ca="1" si="99"/>
        <v>0</v>
      </c>
      <c r="K111">
        <f t="shared" ca="1" si="100"/>
        <v>0</v>
      </c>
      <c r="L111">
        <f t="shared" ca="1" si="101"/>
        <v>0</v>
      </c>
      <c r="BC111">
        <v>1.9024088846738214</v>
      </c>
      <c r="BD111">
        <v>134.63396715949617</v>
      </c>
      <c r="BE111">
        <v>479.82979542307316</v>
      </c>
      <c r="BF111" s="6">
        <f t="shared" si="91"/>
        <v>1.2972434506571255</v>
      </c>
      <c r="BG111" s="6">
        <f t="shared" si="92"/>
        <v>0.60516543401669587</v>
      </c>
      <c r="BH111" s="6">
        <f t="shared" si="69"/>
        <v>-0.87438952452418484</v>
      </c>
      <c r="BI111" s="6">
        <f t="shared" si="70"/>
        <v>0.87438952452418484</v>
      </c>
      <c r="BV111" s="39"/>
      <c r="BW111" s="6">
        <f t="shared" ref="BW111:BW142" si="102">BC98</f>
        <v>1.6755160819145583</v>
      </c>
      <c r="BX111" s="9">
        <f t="shared" ref="BX111:BX142" ca="1" si="103">BD98-$BW$5</f>
        <v>112.53509229380228</v>
      </c>
      <c r="BY111" s="9">
        <f t="shared" ref="BY111:BY142" ca="1" si="104">BE98-$BX$5</f>
        <v>408.37461415504845</v>
      </c>
      <c r="BZ111">
        <f t="shared" ca="1" si="77"/>
        <v>423.59647364426831</v>
      </c>
      <c r="CA111" s="6">
        <f t="shared" ca="1" si="78"/>
        <v>0.26566579113760047</v>
      </c>
      <c r="CB111" s="6">
        <f t="shared" ca="1" si="79"/>
        <v>0.96406518836603206</v>
      </c>
      <c r="CC111" s="6">
        <f t="shared" ca="1" si="80"/>
        <v>1.3019018621162173</v>
      </c>
      <c r="CD111" s="6">
        <f t="shared" ca="1" si="74"/>
        <v>1.652279939242264</v>
      </c>
      <c r="CE111" s="9">
        <f t="shared" ca="1" si="75"/>
        <v>137.83513415815827</v>
      </c>
      <c r="CF111" s="9">
        <f t="shared" ca="1" si="76"/>
        <v>480.67423737584437</v>
      </c>
      <c r="CG111">
        <f t="shared" ca="1" si="81"/>
        <v>500.04624454668897</v>
      </c>
      <c r="CH111">
        <f t="shared" ca="1" si="82"/>
        <v>0.27564477418105815</v>
      </c>
      <c r="CI111">
        <f t="shared" ca="1" si="83"/>
        <v>0.96125956872567642</v>
      </c>
      <c r="CJ111">
        <f t="shared" ca="1" si="84"/>
        <v>1.2915359291473194</v>
      </c>
      <c r="CK111" s="39">
        <f t="shared" ca="1" si="85"/>
        <v>0.8686820030143787</v>
      </c>
    </row>
    <row r="112" spans="1:89" x14ac:dyDescent="0.25">
      <c r="A112">
        <f t="shared" si="93"/>
        <v>9</v>
      </c>
      <c r="B112">
        <f t="shared" si="93"/>
        <v>0</v>
      </c>
      <c r="C112">
        <f t="shared" ca="1" si="93"/>
        <v>0</v>
      </c>
      <c r="D112" s="9">
        <f t="shared" si="94"/>
        <v>2</v>
      </c>
      <c r="E112" s="5">
        <f t="shared" si="95"/>
        <v>-10</v>
      </c>
      <c r="F112" s="5">
        <f t="shared" ca="1" si="96"/>
        <v>0</v>
      </c>
      <c r="G112">
        <f t="shared" ca="1" si="97"/>
        <v>0</v>
      </c>
      <c r="H112">
        <f t="shared" ca="1" si="98"/>
        <v>0</v>
      </c>
      <c r="J112">
        <f t="shared" ca="1" si="99"/>
        <v>0</v>
      </c>
      <c r="K112">
        <f t="shared" ca="1" si="100"/>
        <v>0</v>
      </c>
      <c r="L112">
        <f t="shared" ca="1" si="101"/>
        <v>0</v>
      </c>
      <c r="BC112">
        <v>1.9198621771937647</v>
      </c>
      <c r="BD112">
        <v>134.37076712262848</v>
      </c>
      <c r="BE112">
        <v>479.72663482963463</v>
      </c>
      <c r="BF112" s="6">
        <f t="shared" si="91"/>
        <v>1.2976961782088474</v>
      </c>
      <c r="BG112" s="6">
        <f t="shared" si="92"/>
        <v>0.62216599898491731</v>
      </c>
      <c r="BH112" s="6">
        <f t="shared" si="69"/>
        <v>-0.8748422520759066</v>
      </c>
      <c r="BI112" s="6">
        <f t="shared" si="70"/>
        <v>0.8748422520759066</v>
      </c>
      <c r="BV112" s="39"/>
      <c r="BW112" s="6">
        <f t="shared" si="102"/>
        <v>1.6929693744345016</v>
      </c>
      <c r="BX112" s="9">
        <f t="shared" ca="1" si="103"/>
        <v>112.29879671323698</v>
      </c>
      <c r="BY112" s="9">
        <f t="shared" ca="1" si="104"/>
        <v>408.33821217605379</v>
      </c>
      <c r="BZ112">
        <f t="shared" ca="1" si="77"/>
        <v>423.49866028876272</v>
      </c>
      <c r="CA112" s="6">
        <f t="shared" ca="1" si="78"/>
        <v>0.26516918999617617</v>
      </c>
      <c r="CB112" s="6">
        <f t="shared" ca="1" si="79"/>
        <v>0.96420189829556535</v>
      </c>
      <c r="CC112" s="6">
        <f t="shared" ca="1" si="80"/>
        <v>1.3024169371635284</v>
      </c>
      <c r="CD112" s="6">
        <f t="shared" ca="1" si="74"/>
        <v>1.6527950142895751</v>
      </c>
      <c r="CE112" s="9">
        <f t="shared" ca="1" si="75"/>
        <v>137.59883857759297</v>
      </c>
      <c r="CF112" s="9">
        <f t="shared" ca="1" si="76"/>
        <v>480.63783539684971</v>
      </c>
      <c r="CG112">
        <f t="shared" ca="1" si="81"/>
        <v>499.94616629480385</v>
      </c>
      <c r="CH112">
        <f t="shared" ca="1" si="82"/>
        <v>0.27522731016694085</v>
      </c>
      <c r="CI112">
        <f t="shared" ca="1" si="83"/>
        <v>0.96137918000041511</v>
      </c>
      <c r="CJ112">
        <f t="shared" ca="1" si="84"/>
        <v>1.2919701906619523</v>
      </c>
      <c r="CK112" s="39">
        <f t="shared" ca="1" si="85"/>
        <v>0.86911626452901158</v>
      </c>
    </row>
    <row r="113" spans="1:89" x14ac:dyDescent="0.25">
      <c r="A113">
        <f t="shared" si="93"/>
        <v>10</v>
      </c>
      <c r="B113">
        <f t="shared" si="93"/>
        <v>0</v>
      </c>
      <c r="C113">
        <f t="shared" ca="1" si="93"/>
        <v>0</v>
      </c>
      <c r="D113" s="9">
        <f t="shared" si="94"/>
        <v>4</v>
      </c>
      <c r="E113" s="5">
        <f t="shared" si="95"/>
        <v>-10</v>
      </c>
      <c r="F113" s="5">
        <f t="shared" ca="1" si="96"/>
        <v>0</v>
      </c>
      <c r="G113">
        <f t="shared" ca="1" si="97"/>
        <v>0</v>
      </c>
      <c r="H113">
        <f t="shared" ca="1" si="98"/>
        <v>0</v>
      </c>
      <c r="J113">
        <f t="shared" ca="1" si="99"/>
        <v>0</v>
      </c>
      <c r="K113">
        <f t="shared" ca="1" si="100"/>
        <v>0</v>
      </c>
      <c r="L113">
        <f t="shared" ca="1" si="101"/>
        <v>0</v>
      </c>
      <c r="BC113">
        <v>1.937315469713708</v>
      </c>
      <c r="BD113">
        <v>134.1041516561981</v>
      </c>
      <c r="BE113">
        <v>479.61691318572628</v>
      </c>
      <c r="BF113" s="6">
        <f t="shared" si="91"/>
        <v>1.298152272582747</v>
      </c>
      <c r="BG113" s="6">
        <f t="shared" si="92"/>
        <v>0.63916319713096104</v>
      </c>
      <c r="BH113" s="6">
        <f t="shared" si="69"/>
        <v>-0.87529834644980631</v>
      </c>
      <c r="BI113" s="6">
        <f t="shared" si="70"/>
        <v>0.87529834644980631</v>
      </c>
      <c r="BV113" s="39"/>
      <c r="BW113" s="6">
        <f t="shared" si="102"/>
        <v>1.7104226669544449</v>
      </c>
      <c r="BX113" s="9">
        <f t="shared" ca="1" si="103"/>
        <v>112.06143568062726</v>
      </c>
      <c r="BY113" s="9">
        <f t="shared" ca="1" si="104"/>
        <v>408.29748263786195</v>
      </c>
      <c r="BZ113">
        <f t="shared" ca="1" si="77"/>
        <v>423.39650411312863</v>
      </c>
      <c r="CA113" s="6">
        <f t="shared" ca="1" si="78"/>
        <v>0.26467255773723919</v>
      </c>
      <c r="CB113" s="6">
        <f t="shared" ca="1" si="79"/>
        <v>0.9643383416523621</v>
      </c>
      <c r="CC113" s="6">
        <f t="shared" ca="1" si="80"/>
        <v>1.302931971527522</v>
      </c>
      <c r="CD113" s="6">
        <f t="shared" ca="1" si="74"/>
        <v>1.6533100486535688</v>
      </c>
      <c r="CE113" s="9">
        <f t="shared" ca="1" si="75"/>
        <v>137.36147754498325</v>
      </c>
      <c r="CF113" s="9">
        <f t="shared" ca="1" si="76"/>
        <v>480.59710585865787</v>
      </c>
      <c r="CG113">
        <f t="shared" ca="1" si="81"/>
        <v>499.84172862323021</v>
      </c>
      <c r="CH113">
        <f t="shared" ca="1" si="82"/>
        <v>0.27480994418639931</v>
      </c>
      <c r="CI113">
        <f t="shared" ca="1" si="83"/>
        <v>0.96149856712127668</v>
      </c>
      <c r="CJ113">
        <f t="shared" ca="1" si="84"/>
        <v>1.2924042962358631</v>
      </c>
      <c r="CK113" s="39">
        <f t="shared" ca="1" si="85"/>
        <v>0.86955037010292235</v>
      </c>
    </row>
    <row r="114" spans="1:89" x14ac:dyDescent="0.25">
      <c r="F114" s="5">
        <f ca="1">SUM(F104:F113)</f>
        <v>114.80040000000001</v>
      </c>
      <c r="G114" s="5">
        <f ca="1">SUM(G104:G113)</f>
        <v>382.66800000000001</v>
      </c>
      <c r="H114" s="5">
        <f ca="1">SUM(H104:H113)</f>
        <v>688.80240000000003</v>
      </c>
      <c r="J114">
        <f ca="1">SUM(J104:J113)</f>
        <v>-171.072</v>
      </c>
      <c r="K114">
        <f ca="1">SUM(K104:K113)</f>
        <v>-570.24</v>
      </c>
      <c r="L114">
        <f ca="1">SUM(L104:L113)</f>
        <v>-1026.432</v>
      </c>
      <c r="BC114">
        <v>1.9547687622336514</v>
      </c>
      <c r="BD114">
        <v>133.83388909526082</v>
      </c>
      <c r="BE114">
        <v>479.50032685644362</v>
      </c>
      <c r="BF114" s="6">
        <f t="shared" si="91"/>
        <v>1.2986120413381641</v>
      </c>
      <c r="BG114" s="6">
        <f t="shared" si="92"/>
        <v>0.65615672089548727</v>
      </c>
      <c r="BH114" s="6">
        <f t="shared" si="69"/>
        <v>-0.87575811520522351</v>
      </c>
      <c r="BI114" s="6">
        <f t="shared" si="70"/>
        <v>0.87575811520522351</v>
      </c>
      <c r="BV114" s="39"/>
      <c r="BW114" s="6">
        <f t="shared" si="102"/>
        <v>1.7278759594743882</v>
      </c>
      <c r="BX114" s="9">
        <f t="shared" ca="1" si="103"/>
        <v>111.82285723488519</v>
      </c>
      <c r="BY114" s="9">
        <f t="shared" ca="1" si="104"/>
        <v>408.25233985547789</v>
      </c>
      <c r="BZ114">
        <f t="shared" ca="1" si="77"/>
        <v>423.28988222924266</v>
      </c>
      <c r="CA114" s="6">
        <f t="shared" ca="1" si="78"/>
        <v>0.26417559674701807</v>
      </c>
      <c r="CB114" s="6">
        <f t="shared" ca="1" si="79"/>
        <v>0.9644746000198019</v>
      </c>
      <c r="CC114" s="6">
        <f t="shared" ca="1" si="80"/>
        <v>1.3034472739381264</v>
      </c>
      <c r="CD114" s="6">
        <f t="shared" ca="1" si="74"/>
        <v>1.6538253510641732</v>
      </c>
      <c r="CE114" s="9">
        <f t="shared" ca="1" si="75"/>
        <v>137.12289909924118</v>
      </c>
      <c r="CF114" s="9">
        <f t="shared" ca="1" si="76"/>
        <v>480.55196307627381</v>
      </c>
      <c r="CG114">
        <f t="shared" ca="1" si="81"/>
        <v>499.73280728189246</v>
      </c>
      <c r="CH114">
        <f t="shared" ca="1" si="82"/>
        <v>0.27439242951662374</v>
      </c>
      <c r="CI114">
        <f t="shared" ca="1" si="83"/>
        <v>0.96161780070044711</v>
      </c>
      <c r="CJ114">
        <f t="shared" ca="1" si="84"/>
        <v>1.2928385025794851</v>
      </c>
      <c r="CK114" s="39">
        <f t="shared" ca="1" si="85"/>
        <v>0.86998457644654437</v>
      </c>
    </row>
    <row r="115" spans="1:89" x14ac:dyDescent="0.25">
      <c r="A115" s="8" t="s">
        <v>99</v>
      </c>
      <c r="B115" s="5">
        <f ca="1">B100+F114</f>
        <v>1440.8004000000001</v>
      </c>
      <c r="J115">
        <f ca="1">J114</f>
        <v>-171.072</v>
      </c>
      <c r="BC115">
        <v>1.9722220547535947</v>
      </c>
      <c r="BD115">
        <v>133.55973690905265</v>
      </c>
      <c r="BE115">
        <v>479.376545872782</v>
      </c>
      <c r="BF115" s="6">
        <f t="shared" si="91"/>
        <v>1.2990758009474308</v>
      </c>
      <c r="BG115" s="6">
        <f t="shared" si="92"/>
        <v>0.67314625380616389</v>
      </c>
      <c r="BH115" s="6">
        <f t="shared" si="69"/>
        <v>-0.8762218748144901</v>
      </c>
      <c r="BI115" s="6">
        <f t="shared" si="70"/>
        <v>0.8762218748144901</v>
      </c>
      <c r="BV115" s="39"/>
      <c r="BW115" s="6">
        <f t="shared" si="102"/>
        <v>1.7453292519943315</v>
      </c>
      <c r="BX115" s="9">
        <f t="shared" ca="1" si="103"/>
        <v>111.58290635222923</v>
      </c>
      <c r="BY115" s="9">
        <f t="shared" ca="1" si="104"/>
        <v>408.20268643390722</v>
      </c>
      <c r="BZ115">
        <f t="shared" ca="1" si="77"/>
        <v>423.17865990839988</v>
      </c>
      <c r="CA115" s="6">
        <f t="shared" ca="1" si="78"/>
        <v>0.26367800866041347</v>
      </c>
      <c r="CB115" s="6">
        <f t="shared" ca="1" si="79"/>
        <v>0.96461075452686029</v>
      </c>
      <c r="CC115" s="6">
        <f t="shared" ca="1" si="80"/>
        <v>1.303963153729963</v>
      </c>
      <c r="CD115" s="6">
        <f t="shared" ca="1" si="74"/>
        <v>1.6543412308560097</v>
      </c>
      <c r="CE115" s="9">
        <f t="shared" ca="1" si="75"/>
        <v>136.88294821658522</v>
      </c>
      <c r="CF115" s="9">
        <f t="shared" ca="1" si="76"/>
        <v>480.50230965470314</v>
      </c>
      <c r="CG115">
        <f t="shared" ca="1" si="81"/>
        <v>499.61926613769464</v>
      </c>
      <c r="CH115">
        <f t="shared" ca="1" si="82"/>
        <v>0.27397451918689703</v>
      </c>
      <c r="CI115">
        <f t="shared" ca="1" si="83"/>
        <v>0.96173695095712564</v>
      </c>
      <c r="CJ115">
        <f t="shared" ca="1" si="84"/>
        <v>1.293273066533732</v>
      </c>
      <c r="CK115" s="39">
        <f t="shared" ca="1" si="85"/>
        <v>0.87041914040079127</v>
      </c>
    </row>
    <row r="116" spans="1:89" x14ac:dyDescent="0.25">
      <c r="A116" s="8" t="s">
        <v>100</v>
      </c>
      <c r="B116" s="5">
        <f ca="1">B101+G114</f>
        <v>4625.8679999999995</v>
      </c>
      <c r="C116">
        <f ca="1">B116/12</f>
        <v>385.48899999999998</v>
      </c>
      <c r="J116">
        <f ca="1">K114</f>
        <v>-570.24</v>
      </c>
      <c r="K116">
        <f ca="1">J116/12</f>
        <v>-47.52</v>
      </c>
      <c r="BC116">
        <v>1.989675347273538</v>
      </c>
      <c r="BD116">
        <v>133.2814407555951</v>
      </c>
      <c r="BE116">
        <v>479.2452117289493</v>
      </c>
      <c r="BF116" s="6">
        <f t="shared" si="91"/>
        <v>1.2995438776654302</v>
      </c>
      <c r="BG116" s="6">
        <f t="shared" si="92"/>
        <v>0.69013146960810778</v>
      </c>
      <c r="BH116" s="6">
        <f t="shared" si="69"/>
        <v>-0.87668995153248963</v>
      </c>
      <c r="BI116" s="6">
        <f t="shared" si="70"/>
        <v>0.87668995153248963</v>
      </c>
      <c r="BV116" s="39"/>
      <c r="BW116" s="6">
        <f t="shared" si="102"/>
        <v>1.7627825445142749</v>
      </c>
      <c r="BX116" s="9">
        <f t="shared" ca="1" si="103"/>
        <v>111.3414245390785</v>
      </c>
      <c r="BY116" s="9">
        <f t="shared" ca="1" si="104"/>
        <v>408.14841277447061</v>
      </c>
      <c r="BZ116">
        <f t="shared" ca="1" si="77"/>
        <v>423.06268999843388</v>
      </c>
      <c r="CA116" s="6">
        <f t="shared" ca="1" si="78"/>
        <v>0.2631794936572891</v>
      </c>
      <c r="CB116" s="6">
        <f t="shared" ca="1" si="79"/>
        <v>0.96474688603710601</v>
      </c>
      <c r="CC116" s="6">
        <f t="shared" ca="1" si="80"/>
        <v>1.3044799215718077</v>
      </c>
      <c r="CD116" s="6">
        <f t="shared" ca="1" si="74"/>
        <v>1.6548579986978544</v>
      </c>
      <c r="CE116" s="9">
        <f t="shared" ca="1" si="75"/>
        <v>136.64146640343449</v>
      </c>
      <c r="CF116" s="9">
        <f t="shared" ca="1" si="76"/>
        <v>480.44803599526654</v>
      </c>
      <c r="CG116">
        <f t="shared" ca="1" si="81"/>
        <v>499.50095658826302</v>
      </c>
      <c r="CH116">
        <f t="shared" ca="1" si="82"/>
        <v>0.27355596541142885</v>
      </c>
      <c r="CI116">
        <f t="shared" ca="1" si="83"/>
        <v>0.96185608787792221</v>
      </c>
      <c r="CJ116">
        <f t="shared" ca="1" si="84"/>
        <v>1.2937082456598907</v>
      </c>
      <c r="CK116" s="39">
        <f t="shared" ca="1" si="85"/>
        <v>0.87085431952695003</v>
      </c>
    </row>
    <row r="117" spans="1:89" x14ac:dyDescent="0.25">
      <c r="A117" s="8" t="s">
        <v>101</v>
      </c>
      <c r="B117" s="5">
        <f ca="1">B102+H114</f>
        <v>10236.002400000001</v>
      </c>
      <c r="C117">
        <f ca="1">B117/12</f>
        <v>853.00020000000006</v>
      </c>
      <c r="J117">
        <f ca="1">L114</f>
        <v>-1026.432</v>
      </c>
      <c r="K117">
        <f ca="1">J117/12</f>
        <v>-85.536000000000001</v>
      </c>
      <c r="BC117">
        <v>2.0071286397934811</v>
      </c>
      <c r="BD117">
        <v>132.99873344638539</v>
      </c>
      <c r="BE117">
        <v>479.10593490602332</v>
      </c>
      <c r="BF117" s="6">
        <f t="shared" si="91"/>
        <v>1.300016608452504</v>
      </c>
      <c r="BG117" s="6">
        <f t="shared" si="92"/>
        <v>0.70711203134097711</v>
      </c>
      <c r="BH117" s="6">
        <f t="shared" si="69"/>
        <v>-0.87716268231956318</v>
      </c>
      <c r="BI117" s="6">
        <f t="shared" si="70"/>
        <v>0.87716268231956318</v>
      </c>
      <c r="BV117" s="39"/>
      <c r="BW117" s="6">
        <f t="shared" si="102"/>
        <v>1.7802358370342182</v>
      </c>
      <c r="BX117" s="9">
        <f t="shared" ca="1" si="103"/>
        <v>111.09824939492788</v>
      </c>
      <c r="BY117" s="9">
        <f t="shared" ca="1" si="104"/>
        <v>408.0893964815757</v>
      </c>
      <c r="BZ117">
        <f t="shared" ca="1" si="77"/>
        <v>422.9418122381781</v>
      </c>
      <c r="CA117" s="6">
        <f t="shared" ca="1" si="78"/>
        <v>0.26267974974383312</v>
      </c>
      <c r="CB117" s="6">
        <f t="shared" ca="1" si="79"/>
        <v>0.96488307533841489</v>
      </c>
      <c r="CC117" s="6">
        <f t="shared" ca="1" si="80"/>
        <v>1.3049978902106514</v>
      </c>
      <c r="CD117" s="6">
        <f t="shared" ca="1" si="74"/>
        <v>1.6553759673366981</v>
      </c>
      <c r="CE117" s="9">
        <f t="shared" ca="1" si="75"/>
        <v>136.39829125928387</v>
      </c>
      <c r="CF117" s="9">
        <f t="shared" ca="1" si="76"/>
        <v>480.38901970237163</v>
      </c>
      <c r="CG117">
        <f t="shared" ca="1" si="81"/>
        <v>499.37771687276762</v>
      </c>
      <c r="CH117">
        <f t="shared" ca="1" si="82"/>
        <v>0.2731365190129933</v>
      </c>
      <c r="CI117">
        <f t="shared" ca="1" si="83"/>
        <v>0.96197528137757504</v>
      </c>
      <c r="CJ117">
        <f t="shared" ca="1" si="84"/>
        <v>1.2941442988384515</v>
      </c>
      <c r="CK117" s="39">
        <f t="shared" ca="1" si="85"/>
        <v>0.8712903727055108</v>
      </c>
    </row>
    <row r="118" spans="1:89" x14ac:dyDescent="0.25">
      <c r="BC118">
        <v>2.0245819323134242</v>
      </c>
      <c r="BD118">
        <v>132.71133382982319</v>
      </c>
      <c r="BE118">
        <v>478.95829213559932</v>
      </c>
      <c r="BF118" s="6">
        <f t="shared" si="91"/>
        <v>1.3004943419450938</v>
      </c>
      <c r="BG118" s="6">
        <f t="shared" si="92"/>
        <v>0.72408759036833037</v>
      </c>
      <c r="BH118" s="6">
        <f t="shared" si="69"/>
        <v>-0.87764041581215313</v>
      </c>
      <c r="BI118" s="6">
        <f t="shared" si="70"/>
        <v>0.87764041581215313</v>
      </c>
      <c r="BV118" s="39"/>
      <c r="BW118" s="6">
        <f t="shared" si="102"/>
        <v>1.7976891295541615</v>
      </c>
      <c r="BX118" s="9">
        <f t="shared" ca="1" si="103"/>
        <v>110.85321415346198</v>
      </c>
      <c r="BY118" s="9">
        <f t="shared" ca="1" si="104"/>
        <v>408.0255016910433</v>
      </c>
      <c r="BZ118">
        <f t="shared" ca="1" si="77"/>
        <v>422.81585249181575</v>
      </c>
      <c r="CA118" s="6">
        <f t="shared" ca="1" si="78"/>
        <v>0.26217847202313144</v>
      </c>
      <c r="CB118" s="6">
        <f t="shared" ca="1" si="79"/>
        <v>0.96501940333219005</v>
      </c>
      <c r="CC118" s="6">
        <f t="shared" ca="1" si="80"/>
        <v>1.3055173752260538</v>
      </c>
      <c r="CD118" s="6">
        <f t="shared" ca="1" si="74"/>
        <v>1.6558954523521006</v>
      </c>
      <c r="CE118" s="9">
        <f t="shared" ca="1" si="75"/>
        <v>136.15325601781797</v>
      </c>
      <c r="CF118" s="9">
        <f t="shared" ca="1" si="76"/>
        <v>480.32512491183923</v>
      </c>
      <c r="CG118">
        <f t="shared" ca="1" si="81"/>
        <v>499.24937130238573</v>
      </c>
      <c r="CH118">
        <f t="shared" ca="1" si="82"/>
        <v>0.27271592884060453</v>
      </c>
      <c r="CI118">
        <f t="shared" ca="1" si="83"/>
        <v>0.96209460145902825</v>
      </c>
      <c r="CJ118">
        <f t="shared" ca="1" si="84"/>
        <v>1.2945814868735033</v>
      </c>
      <c r="CK118" s="39">
        <f t="shared" ca="1" si="85"/>
        <v>0.87172756074056257</v>
      </c>
    </row>
    <row r="119" spans="1:89" x14ac:dyDescent="0.25">
      <c r="A119" s="8" t="s">
        <v>8</v>
      </c>
      <c r="B119">
        <f ca="1">B117/B115</f>
        <v>7.1043861453675339</v>
      </c>
      <c r="J119">
        <f ca="1">J117/J115</f>
        <v>6</v>
      </c>
      <c r="BC119">
        <v>2.0420352248333673</v>
      </c>
      <c r="BD119">
        <v>132.41894556099032</v>
      </c>
      <c r="BE119">
        <v>478.80182331345088</v>
      </c>
      <c r="BF119" s="6">
        <f t="shared" si="91"/>
        <v>1.3009774394926708</v>
      </c>
      <c r="BG119" s="6">
        <f t="shared" si="92"/>
        <v>0.74105778534069655</v>
      </c>
      <c r="BH119" s="6">
        <f t="shared" si="69"/>
        <v>-0.87812351335973005</v>
      </c>
      <c r="BI119" s="6">
        <f t="shared" si="70"/>
        <v>0.87812351335973005</v>
      </c>
      <c r="BV119" s="39"/>
      <c r="BW119" s="6">
        <f t="shared" si="102"/>
        <v>1.8151424220741048</v>
      </c>
      <c r="BX119" s="9">
        <f t="shared" ca="1" si="103"/>
        <v>110.60614720992646</v>
      </c>
      <c r="BY119" s="9">
        <f t="shared" ca="1" si="104"/>
        <v>407.95657834034364</v>
      </c>
      <c r="BZ119">
        <f t="shared" ca="1" si="77"/>
        <v>422.68462192488721</v>
      </c>
      <c r="CA119" s="6">
        <f t="shared" ca="1" si="78"/>
        <v>0.26167535195917685</v>
      </c>
      <c r="CB119" s="6">
        <f t="shared" ca="1" si="79"/>
        <v>0.96515595122085895</v>
      </c>
      <c r="CC119" s="6">
        <f t="shared" ca="1" si="80"/>
        <v>1.3060386957903984</v>
      </c>
      <c r="CD119" s="6">
        <f t="shared" ca="1" si="74"/>
        <v>1.6564167729164452</v>
      </c>
      <c r="CE119" s="9">
        <f t="shared" ca="1" si="75"/>
        <v>135.90618907428245</v>
      </c>
      <c r="CF119" s="9">
        <f t="shared" ca="1" si="76"/>
        <v>480.25620156113956</v>
      </c>
      <c r="CG119">
        <f t="shared" ca="1" si="81"/>
        <v>499.11572943219142</v>
      </c>
      <c r="CH119">
        <f t="shared" ca="1" si="82"/>
        <v>0.27229394118452904</v>
      </c>
      <c r="CI119">
        <f t="shared" ca="1" si="83"/>
        <v>0.96221411837189141</v>
      </c>
      <c r="CJ119">
        <f t="shared" ca="1" si="84"/>
        <v>1.2950200730992603</v>
      </c>
      <c r="CK119" s="39">
        <f t="shared" ca="1" si="85"/>
        <v>0.87216614696631956</v>
      </c>
    </row>
    <row r="120" spans="1:89" x14ac:dyDescent="0.25">
      <c r="A120" s="8" t="s">
        <v>9</v>
      </c>
      <c r="B120">
        <f ca="1">B116/B115</f>
        <v>3.2106237616258291</v>
      </c>
      <c r="J120">
        <f ca="1">J116/J115</f>
        <v>3.3333333333333335</v>
      </c>
      <c r="BC120">
        <v>2.0594885173533104</v>
      </c>
      <c r="BD120">
        <v>132.12125577140358</v>
      </c>
      <c r="BE120">
        <v>478.63602808571034</v>
      </c>
      <c r="BF120" s="6">
        <f t="shared" si="91"/>
        <v>1.3014662762516267</v>
      </c>
      <c r="BG120" s="6">
        <f t="shared" si="92"/>
        <v>0.7580222411016837</v>
      </c>
      <c r="BH120" s="6">
        <f t="shared" si="69"/>
        <v>-0.87861235011868599</v>
      </c>
      <c r="BI120" s="6">
        <f t="shared" si="70"/>
        <v>0.87861235011868599</v>
      </c>
      <c r="BV120" s="39"/>
      <c r="BW120" s="6">
        <f t="shared" si="102"/>
        <v>1.8325957145940481</v>
      </c>
      <c r="BX120" s="9">
        <f t="shared" ca="1" si="103"/>
        <v>110.35687160961714</v>
      </c>
      <c r="BY120" s="9">
        <f t="shared" ca="1" si="104"/>
        <v>407.88246131904202</v>
      </c>
      <c r="BZ120">
        <f t="shared" ca="1" si="77"/>
        <v>422.54791605584961</v>
      </c>
      <c r="CA120" s="6">
        <f t="shared" ca="1" si="78"/>
        <v>0.26117007661453218</v>
      </c>
      <c r="CB120" s="6">
        <f t="shared" ca="1" si="79"/>
        <v>0.96529280069891721</v>
      </c>
      <c r="CC120" s="6">
        <f t="shared" ca="1" si="80"/>
        <v>1.3065621754555321</v>
      </c>
      <c r="CD120" s="6">
        <f t="shared" ca="1" si="74"/>
        <v>1.6569402525815788</v>
      </c>
      <c r="CE120" s="9">
        <f t="shared" ca="1" si="75"/>
        <v>135.65691347397313</v>
      </c>
      <c r="CF120" s="9">
        <f t="shared" ca="1" si="76"/>
        <v>480.18208453983794</v>
      </c>
      <c r="CG120">
        <f t="shared" ca="1" si="81"/>
        <v>498.97658510826847</v>
      </c>
      <c r="CH120">
        <f t="shared" ca="1" si="82"/>
        <v>0.27187029917353367</v>
      </c>
      <c r="CI120">
        <f t="shared" ca="1" si="83"/>
        <v>0.96233390277350894</v>
      </c>
      <c r="CJ120">
        <f t="shared" ca="1" si="84"/>
        <v>1.295460324004406</v>
      </c>
      <c r="CK120" s="39">
        <f t="shared" ca="1" si="85"/>
        <v>0.87260639787146532</v>
      </c>
    </row>
    <row r="121" spans="1:89" x14ac:dyDescent="0.25">
      <c r="BC121">
        <v>2.0769418098732535</v>
      </c>
      <c r="BD121">
        <v>131.81793361165643</v>
      </c>
      <c r="BE121">
        <v>478.46036202651572</v>
      </c>
      <c r="BF121" s="6">
        <f t="shared" si="91"/>
        <v>1.3019612423506117</v>
      </c>
      <c r="BG121" s="6">
        <f t="shared" si="92"/>
        <v>0.77498056752264177</v>
      </c>
      <c r="BH121" s="6">
        <f t="shared" si="69"/>
        <v>-0.87910731621767102</v>
      </c>
      <c r="BI121" s="6">
        <f t="shared" si="70"/>
        <v>0.87910731621767102</v>
      </c>
      <c r="BV121" s="39"/>
      <c r="BW121" s="6">
        <f t="shared" si="102"/>
        <v>1.8500490071139915</v>
      </c>
      <c r="BX121" s="9">
        <f t="shared" ca="1" si="103"/>
        <v>110.10520451473093</v>
      </c>
      <c r="BY121" s="9">
        <f t="shared" ca="1" si="104"/>
        <v>407.80296954177658</v>
      </c>
      <c r="BZ121">
        <f t="shared" ca="1" si="77"/>
        <v>422.40551372859926</v>
      </c>
      <c r="CA121" s="6">
        <f t="shared" ca="1" si="78"/>
        <v>0.26066232787263016</v>
      </c>
      <c r="CB121" s="6">
        <f t="shared" ca="1" si="79"/>
        <v>0.96543003414438144</v>
      </c>
      <c r="CC121" s="6">
        <f t="shared" ca="1" si="80"/>
        <v>1.3070881429543708</v>
      </c>
      <c r="CD121" s="6">
        <f t="shared" ca="1" si="74"/>
        <v>1.6574662200804176</v>
      </c>
      <c r="CE121" s="9">
        <f t="shared" ca="1" si="75"/>
        <v>135.40524637908692</v>
      </c>
      <c r="CF121" s="9">
        <f t="shared" ca="1" si="76"/>
        <v>480.1025927625725</v>
      </c>
      <c r="CG121">
        <f t="shared" ca="1" si="81"/>
        <v>498.83171543550213</v>
      </c>
      <c r="CH121">
        <f t="shared" ca="1" si="82"/>
        <v>0.27144474216293996</v>
      </c>
      <c r="CI121">
        <f t="shared" ca="1" si="83"/>
        <v>0.96245402589011753</v>
      </c>
      <c r="CJ121">
        <f t="shared" ca="1" si="84"/>
        <v>1.2959025098653234</v>
      </c>
      <c r="CK121" s="39">
        <f t="shared" ca="1" si="85"/>
        <v>0.8730485837323827</v>
      </c>
    </row>
    <row r="122" spans="1:89" x14ac:dyDescent="0.25">
      <c r="BC122">
        <v>2.0943951023931966</v>
      </c>
      <c r="BD122">
        <v>131.50862864163665</v>
      </c>
      <c r="BE122">
        <v>478.27423232757297</v>
      </c>
      <c r="BF122" s="6">
        <f t="shared" si="91"/>
        <v>1.3024627441403613</v>
      </c>
      <c r="BG122" s="6">
        <f t="shared" si="92"/>
        <v>0.79193235825283526</v>
      </c>
      <c r="BH122" s="6">
        <f t="shared" si="69"/>
        <v>-0.87960881800742063</v>
      </c>
      <c r="BI122" s="6">
        <f t="shared" si="70"/>
        <v>0.87960881800742063</v>
      </c>
      <c r="BV122" s="39"/>
      <c r="BW122" s="6">
        <f t="shared" si="102"/>
        <v>1.8675022996339348</v>
      </c>
      <c r="BX122" s="9">
        <f t="shared" ca="1" si="103"/>
        <v>109.85095662833945</v>
      </c>
      <c r="BY122" s="9">
        <f t="shared" ca="1" si="104"/>
        <v>407.71790489084759</v>
      </c>
      <c r="BZ122">
        <f t="shared" ca="1" si="77"/>
        <v>422.25717594937754</v>
      </c>
      <c r="CA122" s="6">
        <f t="shared" ca="1" si="78"/>
        <v>0.26015178162776559</v>
      </c>
      <c r="CB122" s="6">
        <f t="shared" ca="1" si="79"/>
        <v>0.96556773481506686</v>
      </c>
      <c r="CC122" s="6">
        <f t="shared" ca="1" si="80"/>
        <v>1.3076169330349965</v>
      </c>
      <c r="CD122" s="6">
        <f t="shared" ca="1" si="74"/>
        <v>1.6579950101610432</v>
      </c>
      <c r="CE122" s="9">
        <f t="shared" ca="1" si="75"/>
        <v>135.15099849269544</v>
      </c>
      <c r="CF122" s="9">
        <f t="shared" ca="1" si="76"/>
        <v>480.01752811164351</v>
      </c>
      <c r="CG122">
        <f t="shared" ca="1" si="81"/>
        <v>498.6808796093801</v>
      </c>
      <c r="CH122">
        <f t="shared" ca="1" si="82"/>
        <v>0.2710170051006569</v>
      </c>
      <c r="CI122">
        <f t="shared" ca="1" si="83"/>
        <v>0.96257455968162298</v>
      </c>
      <c r="CJ122">
        <f t="shared" ca="1" si="84"/>
        <v>1.2963469054015242</v>
      </c>
      <c r="CK122" s="39">
        <f t="shared" ca="1" si="85"/>
        <v>0.87349297926858349</v>
      </c>
    </row>
    <row r="123" spans="1:89" x14ac:dyDescent="0.25">
      <c r="A123" t="s">
        <v>128</v>
      </c>
      <c r="BC123">
        <v>2.1118483949131397</v>
      </c>
      <c r="BD123">
        <v>131.19296907470999</v>
      </c>
      <c r="BE123">
        <v>478.07699299587898</v>
      </c>
      <c r="BF123" s="6">
        <f t="shared" si="91"/>
        <v>1.3029712055211355</v>
      </c>
      <c r="BG123" s="6">
        <f t="shared" si="92"/>
        <v>0.80887718939200415</v>
      </c>
      <c r="BH123" s="6">
        <f t="shared" si="69"/>
        <v>-0.88011727938819495</v>
      </c>
      <c r="BI123" s="6">
        <f t="shared" si="70"/>
        <v>0.88011727938819495</v>
      </c>
      <c r="BV123" s="39"/>
      <c r="BW123" s="6">
        <f t="shared" si="102"/>
        <v>1.8849555921538781</v>
      </c>
      <c r="BX123" s="9">
        <f t="shared" ca="1" si="103"/>
        <v>109.59393158373709</v>
      </c>
      <c r="BY123" s="9">
        <f t="shared" ca="1" si="104"/>
        <v>407.62705104774858</v>
      </c>
      <c r="BZ123">
        <f t="shared" ca="1" si="77"/>
        <v>422.10264460894422</v>
      </c>
      <c r="CA123" s="6">
        <f t="shared" ca="1" si="78"/>
        <v>0.25963810694735179</v>
      </c>
      <c r="CB123" s="6">
        <f t="shared" ca="1" si="79"/>
        <v>0.96570598704822963</v>
      </c>
      <c r="CC123" s="6">
        <f t="shared" ca="1" si="80"/>
        <v>1.3081488873224552</v>
      </c>
      <c r="CD123" s="6">
        <f t="shared" ca="1" si="74"/>
        <v>1.6585269644485019</v>
      </c>
      <c r="CE123" s="9">
        <f t="shared" ca="1" si="75"/>
        <v>134.89397344809308</v>
      </c>
      <c r="CF123" s="9">
        <f t="shared" ca="1" si="76"/>
        <v>479.9266742685445</v>
      </c>
      <c r="CG123">
        <f t="shared" ca="1" si="81"/>
        <v>498.52381763269892</v>
      </c>
      <c r="CH123">
        <f t="shared" ca="1" si="82"/>
        <v>0.27058681787492833</v>
      </c>
      <c r="CI123">
        <f t="shared" ca="1" si="83"/>
        <v>0.96269557700880726</v>
      </c>
      <c r="CJ123">
        <f t="shared" ca="1" si="84"/>
        <v>1.2967937904493636</v>
      </c>
      <c r="CK123" s="39">
        <f t="shared" ca="1" si="85"/>
        <v>0.8739398643164229</v>
      </c>
    </row>
    <row r="124" spans="1:89" x14ac:dyDescent="0.25">
      <c r="BC124">
        <v>2.1293016874330828</v>
      </c>
      <c r="BD124">
        <v>129.50590963090741</v>
      </c>
      <c r="BE124">
        <v>476.27725075552075</v>
      </c>
      <c r="BF124" s="6">
        <f t="shared" si="91"/>
        <v>1.3053024641106299</v>
      </c>
      <c r="BG124" s="6">
        <f t="shared" si="92"/>
        <v>0.8239992233224529</v>
      </c>
      <c r="BH124" s="6">
        <f t="shared" si="69"/>
        <v>-0.88244853797768918</v>
      </c>
      <c r="BI124" s="6">
        <f t="shared" si="70"/>
        <v>0.88244853797768918</v>
      </c>
      <c r="BV124" s="39"/>
      <c r="BW124" s="6">
        <f t="shared" si="102"/>
        <v>1.9024088846738214</v>
      </c>
      <c r="BX124" s="9">
        <f t="shared" ca="1" si="103"/>
        <v>109.33392529514018</v>
      </c>
      <c r="BY124" s="9">
        <f t="shared" ca="1" si="104"/>
        <v>407.53017220227724</v>
      </c>
      <c r="BZ124">
        <f t="shared" ca="1" si="77"/>
        <v>421.94164107807734</v>
      </c>
      <c r="CA124" s="6">
        <f t="shared" ca="1" si="78"/>
        <v>0.25912096520217281</v>
      </c>
      <c r="CB124" s="6">
        <f t="shared" ca="1" si="79"/>
        <v>0.96584487646448391</v>
      </c>
      <c r="CC124" s="6">
        <f t="shared" ca="1" si="80"/>
        <v>1.308684355212627</v>
      </c>
      <c r="CD124" s="6">
        <f t="shared" ca="1" si="74"/>
        <v>1.6590624323386738</v>
      </c>
      <c r="CE124" s="9">
        <f t="shared" ca="1" si="75"/>
        <v>134.63396715949617</v>
      </c>
      <c r="CF124" s="9">
        <f t="shared" ca="1" si="76"/>
        <v>479.82979542307316</v>
      </c>
      <c r="CG124">
        <f t="shared" ca="1" si="81"/>
        <v>498.36024890519963</v>
      </c>
      <c r="CH124">
        <f t="shared" ca="1" si="82"/>
        <v>0.27015390464079098</v>
      </c>
      <c r="CI124">
        <f t="shared" ca="1" si="83"/>
        <v>0.96281715180367167</v>
      </c>
      <c r="CJ124">
        <f t="shared" ca="1" si="84"/>
        <v>1.2972434506571255</v>
      </c>
      <c r="CK124" s="39">
        <f t="shared" ca="1" si="85"/>
        <v>0.87438952452418484</v>
      </c>
    </row>
    <row r="125" spans="1:89" x14ac:dyDescent="0.25">
      <c r="A125" s="8" t="s">
        <v>77</v>
      </c>
      <c r="B125" s="3">
        <f ca="1">B116</f>
        <v>4625.8679999999995</v>
      </c>
      <c r="C125" s="1" t="str">
        <f>"+ t ( "</f>
        <v xml:space="preserve">+ t ( </v>
      </c>
      <c r="D125" s="1">
        <f ca="1">J116</f>
        <v>-570.24</v>
      </c>
      <c r="E125" s="1" t="s">
        <v>129</v>
      </c>
      <c r="F125" s="3">
        <f ca="1">B116</f>
        <v>4625.8679999999995</v>
      </c>
      <c r="G125" s="1" t="s">
        <v>130</v>
      </c>
      <c r="BC125">
        <v>2.1467549799530259</v>
      </c>
      <c r="BD125">
        <v>125.06885404142761</v>
      </c>
      <c r="BE125">
        <v>471.34326637738911</v>
      </c>
      <c r="BF125" s="6">
        <f t="shared" si="91"/>
        <v>1.3114277166218427</v>
      </c>
      <c r="BG125" s="6">
        <f t="shared" si="92"/>
        <v>0.83532726333118323</v>
      </c>
      <c r="BH125" s="6">
        <f t="shared" si="69"/>
        <v>-0.88857379048890206</v>
      </c>
      <c r="BI125" s="6">
        <f t="shared" si="70"/>
        <v>0.88857379048890206</v>
      </c>
      <c r="BV125" s="39"/>
      <c r="BW125" s="6">
        <f t="shared" si="102"/>
        <v>1.9198621771937647</v>
      </c>
      <c r="BX125" s="9">
        <f t="shared" ca="1" si="103"/>
        <v>109.07072525827249</v>
      </c>
      <c r="BY125" s="9">
        <f t="shared" ca="1" si="104"/>
        <v>407.42701160883871</v>
      </c>
      <c r="BZ125">
        <f t="shared" ca="1" si="77"/>
        <v>421.77386464416492</v>
      </c>
      <c r="CA125" s="6">
        <f t="shared" ca="1" si="78"/>
        <v>0.25860000915488551</v>
      </c>
      <c r="CB125" s="6">
        <f t="shared" ca="1" si="79"/>
        <v>0.96598449017833266</v>
      </c>
      <c r="CC125" s="6">
        <f t="shared" ca="1" si="80"/>
        <v>1.3092236948081983</v>
      </c>
      <c r="CD125" s="6">
        <f t="shared" ca="1" si="74"/>
        <v>1.6596017719342451</v>
      </c>
      <c r="CE125" s="9">
        <f t="shared" ca="1" si="75"/>
        <v>134.37076712262848</v>
      </c>
      <c r="CF125" s="9">
        <f t="shared" ca="1" si="76"/>
        <v>479.72663482963463</v>
      </c>
      <c r="CG125">
        <f t="shared" ca="1" si="81"/>
        <v>498.18987065383942</v>
      </c>
      <c r="CH125">
        <f t="shared" ca="1" si="82"/>
        <v>0.26971798311811562</v>
      </c>
      <c r="CI125">
        <f t="shared" ca="1" si="83"/>
        <v>0.96293935924475327</v>
      </c>
      <c r="CJ125">
        <f t="shared" ca="1" si="84"/>
        <v>1.2976961782088474</v>
      </c>
      <c r="CK125" s="39">
        <f t="shared" ca="1" si="85"/>
        <v>0.87484225207590671</v>
      </c>
    </row>
    <row r="126" spans="1:89" x14ac:dyDescent="0.25">
      <c r="A126" s="8" t="s">
        <v>125</v>
      </c>
      <c r="B126" s="3">
        <f ca="1">B117</f>
        <v>10236.002400000001</v>
      </c>
      <c r="D126" s="1">
        <f ca="1">J117</f>
        <v>-1026.432</v>
      </c>
      <c r="F126" s="3">
        <f ca="1">B117</f>
        <v>10236.002400000001</v>
      </c>
      <c r="BC126">
        <v>2.164208272472969</v>
      </c>
      <c r="BD126">
        <v>120.54313159322342</v>
      </c>
      <c r="BE126">
        <v>466.2679545596302</v>
      </c>
      <c r="BF126" s="6">
        <f t="shared" si="91"/>
        <v>1.317807937668477</v>
      </c>
      <c r="BG126" s="6">
        <f t="shared" si="92"/>
        <v>0.84640033480449195</v>
      </c>
      <c r="BH126" s="6">
        <f t="shared" si="69"/>
        <v>-0.89495401153553633</v>
      </c>
      <c r="BI126" s="6">
        <f t="shared" si="70"/>
        <v>0.89495401153553633</v>
      </c>
      <c r="BV126" s="39"/>
      <c r="BW126" s="6">
        <f t="shared" si="102"/>
        <v>1.937315469713708</v>
      </c>
      <c r="BX126" s="9">
        <f t="shared" ca="1" si="103"/>
        <v>108.80410979184211</v>
      </c>
      <c r="BY126" s="9">
        <f t="shared" ca="1" si="104"/>
        <v>407.31728996493035</v>
      </c>
      <c r="BZ126">
        <f t="shared" ca="1" si="77"/>
        <v>421.59899076251406</v>
      </c>
      <c r="CA126" s="6">
        <f t="shared" ca="1" si="78"/>
        <v>0.2580748819987837</v>
      </c>
      <c r="CB126" s="6">
        <f t="shared" ca="1" si="79"/>
        <v>0.9661249170171079</v>
      </c>
      <c r="CC126" s="6">
        <f t="shared" ca="1" si="80"/>
        <v>1.3097672739049264</v>
      </c>
      <c r="CD126" s="6">
        <f t="shared" ca="1" si="74"/>
        <v>1.6601453510309732</v>
      </c>
      <c r="CE126" s="9">
        <f t="shared" ca="1" si="75"/>
        <v>134.1041516561981</v>
      </c>
      <c r="CF126" s="9">
        <f t="shared" ca="1" si="76"/>
        <v>479.61691318572628</v>
      </c>
      <c r="CG126">
        <f t="shared" ca="1" si="81"/>
        <v>498.01235617726701</v>
      </c>
      <c r="CH126">
        <f t="shared" ca="1" si="82"/>
        <v>0.26927876385553745</v>
      </c>
      <c r="CI126">
        <f t="shared" ca="1" si="83"/>
        <v>0.96306227593880644</v>
      </c>
      <c r="CJ126">
        <f t="shared" ca="1" si="84"/>
        <v>1.298152272582747</v>
      </c>
      <c r="CK126" s="39">
        <f t="shared" ca="1" si="85"/>
        <v>0.87529834644980631</v>
      </c>
    </row>
    <row r="127" spans="1:89" x14ac:dyDescent="0.25">
      <c r="A127" s="8" t="s">
        <v>75</v>
      </c>
      <c r="B127" s="3">
        <f ca="1">B115</f>
        <v>1440.8004000000001</v>
      </c>
      <c r="D127" s="1">
        <f ca="1">J115</f>
        <v>-171.072</v>
      </c>
      <c r="F127" s="3">
        <f ca="1">B115</f>
        <v>1440.8004000000001</v>
      </c>
      <c r="BC127">
        <v>2.1816615649929121</v>
      </c>
      <c r="BD127">
        <v>115.93281940444984</v>
      </c>
      <c r="BE127">
        <v>461.07580143887805</v>
      </c>
      <c r="BF127" s="6">
        <f t="shared" si="91"/>
        <v>1.3244629928424514</v>
      </c>
      <c r="BG127" s="6">
        <f t="shared" si="92"/>
        <v>0.85719857215046069</v>
      </c>
      <c r="BH127" s="6">
        <f t="shared" si="69"/>
        <v>-0.90160906670951069</v>
      </c>
      <c r="BI127" s="6">
        <f t="shared" si="70"/>
        <v>0.90160906670951069</v>
      </c>
      <c r="BV127" s="39"/>
      <c r="BW127" s="6">
        <f t="shared" si="102"/>
        <v>1.9547687622336514</v>
      </c>
      <c r="BX127" s="9">
        <f t="shared" ca="1" si="103"/>
        <v>108.53384723090483</v>
      </c>
      <c r="BY127" s="9">
        <f t="shared" ca="1" si="104"/>
        <v>407.2007036356477</v>
      </c>
      <c r="BZ127">
        <f t="shared" ca="1" si="77"/>
        <v>421.41666914837145</v>
      </c>
      <c r="CA127" s="6">
        <f t="shared" ca="1" si="78"/>
        <v>0.25754521635377564</v>
      </c>
      <c r="CB127" s="6">
        <f t="shared" ca="1" si="79"/>
        <v>0.96626624774607905</v>
      </c>
      <c r="CC127" s="6">
        <f t="shared" ca="1" si="80"/>
        <v>1.3103154710209159</v>
      </c>
      <c r="CD127" s="6">
        <f t="shared" ca="1" si="74"/>
        <v>1.6606935481469627</v>
      </c>
      <c r="CE127" s="9">
        <f t="shared" ca="1" si="75"/>
        <v>133.83388909526082</v>
      </c>
      <c r="CF127" s="9">
        <f t="shared" ca="1" si="76"/>
        <v>479.50032685644362</v>
      </c>
      <c r="CG127">
        <f t="shared" ca="1" si="81"/>
        <v>497.8273529305103</v>
      </c>
      <c r="CH127">
        <f t="shared" ca="1" si="82"/>
        <v>0.26883594946608358</v>
      </c>
      <c r="CI127">
        <f t="shared" ca="1" si="83"/>
        <v>0.9631859801069933</v>
      </c>
      <c r="CJ127">
        <f t="shared" ca="1" si="84"/>
        <v>1.2986120413381641</v>
      </c>
      <c r="CK127" s="39">
        <f t="shared" ca="1" si="85"/>
        <v>0.8757581152052234</v>
      </c>
    </row>
    <row r="128" spans="1:89" x14ac:dyDescent="0.25">
      <c r="BC128">
        <v>2.1991148575128552</v>
      </c>
      <c r="BD128">
        <v>111.23288574250263</v>
      </c>
      <c r="BE128">
        <v>455.75968264571708</v>
      </c>
      <c r="BF128" s="6">
        <f t="shared" si="91"/>
        <v>1.3314156502565266</v>
      </c>
      <c r="BG128" s="6">
        <f t="shared" si="92"/>
        <v>0.86769920725632854</v>
      </c>
      <c r="BH128" s="6">
        <f t="shared" si="69"/>
        <v>-0.90856172412358593</v>
      </c>
      <c r="BI128" s="6">
        <f t="shared" si="70"/>
        <v>0.90856172412358593</v>
      </c>
      <c r="BV128" s="39"/>
      <c r="BW128" s="6">
        <f t="shared" si="102"/>
        <v>1.9722220547535947</v>
      </c>
      <c r="BX128" s="9">
        <f t="shared" ca="1" si="103"/>
        <v>108.25969504469666</v>
      </c>
      <c r="BY128" s="9">
        <f t="shared" ca="1" si="104"/>
        <v>407.07692265198608</v>
      </c>
      <c r="BZ128">
        <f t="shared" ca="1" si="77"/>
        <v>421.22652163293537</v>
      </c>
      <c r="CA128" s="6">
        <f t="shared" ca="1" si="78"/>
        <v>0.25701063319805911</v>
      </c>
      <c r="CB128" s="6">
        <f t="shared" ca="1" si="79"/>
        <v>0.96640857530504809</v>
      </c>
      <c r="CC128" s="6">
        <f t="shared" ca="1" si="80"/>
        <v>1.3108686764910831</v>
      </c>
      <c r="CD128" s="6">
        <f t="shared" ca="1" si="74"/>
        <v>1.6612467536171298</v>
      </c>
      <c r="CE128" s="9">
        <f t="shared" ca="1" si="75"/>
        <v>133.55973690905265</v>
      </c>
      <c r="CF128" s="9">
        <f t="shared" ca="1" si="76"/>
        <v>479.376545872782</v>
      </c>
      <c r="CG128">
        <f t="shared" ca="1" si="81"/>
        <v>497.63448037302925</v>
      </c>
      <c r="CH128">
        <f t="shared" ca="1" si="82"/>
        <v>0.26838923381863655</v>
      </c>
      <c r="CI128">
        <f t="shared" ca="1" si="83"/>
        <v>0.9633105517797701</v>
      </c>
      <c r="CJ128">
        <f t="shared" ca="1" si="84"/>
        <v>1.2990758009474308</v>
      </c>
      <c r="CK128" s="39">
        <f t="shared" ca="1" si="85"/>
        <v>0.8762218748144901</v>
      </c>
    </row>
    <row r="129" spans="1:89" x14ac:dyDescent="0.25">
      <c r="A129" s="15" t="s">
        <v>131</v>
      </c>
      <c r="BC129">
        <v>2.2165681500327983</v>
      </c>
      <c r="BD129">
        <v>106.43801414347834</v>
      </c>
      <c r="BE129">
        <v>450.3119972070632</v>
      </c>
      <c r="BF129" s="6">
        <f t="shared" si="91"/>
        <v>1.338691157436279</v>
      </c>
      <c r="BG129" s="6">
        <f t="shared" si="92"/>
        <v>0.8778769925965193</v>
      </c>
      <c r="BH129" s="6">
        <f t="shared" si="69"/>
        <v>-0.91583723130333827</v>
      </c>
      <c r="BI129" s="6">
        <f t="shared" si="70"/>
        <v>0.91583723130333827</v>
      </c>
      <c r="BV129" s="39"/>
      <c r="BW129" s="6">
        <f t="shared" si="102"/>
        <v>1.989675347273538</v>
      </c>
      <c r="BX129" s="9">
        <f t="shared" ca="1" si="103"/>
        <v>107.98139889123911</v>
      </c>
      <c r="BY129" s="9">
        <f t="shared" ca="1" si="104"/>
        <v>406.94558850815338</v>
      </c>
      <c r="BZ129">
        <f t="shared" ca="1" si="77"/>
        <v>421.02813981105373</v>
      </c>
      <c r="CA129" s="6">
        <f t="shared" ca="1" si="78"/>
        <v>0.25647074074359566</v>
      </c>
      <c r="CB129" s="6">
        <f t="shared" ca="1" si="79"/>
        <v>0.9665519950537742</v>
      </c>
      <c r="CC129" s="6">
        <f t="shared" ca="1" si="80"/>
        <v>1.3114272936183053</v>
      </c>
      <c r="CD129" s="6">
        <f t="shared" ca="1" si="74"/>
        <v>1.6618053707443521</v>
      </c>
      <c r="CE129" s="9">
        <f t="shared" ca="1" si="75"/>
        <v>133.2814407555951</v>
      </c>
      <c r="CF129" s="9">
        <f t="shared" ca="1" si="76"/>
        <v>479.2452117289493</v>
      </c>
      <c r="CG129">
        <f t="shared" ca="1" si="81"/>
        <v>497.43332760784398</v>
      </c>
      <c r="CH129">
        <f t="shared" ca="1" si="82"/>
        <v>0.26793830119213224</v>
      </c>
      <c r="CI129">
        <f t="shared" ca="1" si="83"/>
        <v>0.96343607299824219</v>
      </c>
      <c r="CJ129">
        <f t="shared" ca="1" si="84"/>
        <v>1.2995438776654302</v>
      </c>
      <c r="CK129" s="39">
        <f t="shared" ca="1" si="85"/>
        <v>0.87668995153248952</v>
      </c>
    </row>
    <row r="130" spans="1:89" x14ac:dyDescent="0.25">
      <c r="A130" s="8" t="s">
        <v>133</v>
      </c>
      <c r="B130" s="1">
        <f>U10</f>
        <v>100</v>
      </c>
      <c r="BC130">
        <v>2.2340214425527414</v>
      </c>
      <c r="BD130">
        <v>101.54258014504472</v>
      </c>
      <c r="BE130">
        <v>444.7246238329115</v>
      </c>
      <c r="BF130" s="6">
        <f t="shared" ref="BF130:BF155" si="105">IF(BC130&lt;&gt;"",IF(AND(BD130=0,BE130=0),0,MOD(ATAN2(BD130,BE130),2*PI())),NA())</f>
        <v>1.3463175893652419</v>
      </c>
      <c r="BG130" s="6">
        <f t="shared" ref="BG130:BG155" si="106">ABS(BC130-BF130)</f>
        <v>0.88770385318749945</v>
      </c>
      <c r="BH130" s="6">
        <f t="shared" si="69"/>
        <v>-0.92346366323230122</v>
      </c>
      <c r="BI130" s="6">
        <f t="shared" si="70"/>
        <v>0.92346366323230122</v>
      </c>
      <c r="BV130" s="39"/>
      <c r="BW130" s="6">
        <f t="shared" si="102"/>
        <v>2.0071286397934811</v>
      </c>
      <c r="BX130" s="9">
        <f t="shared" ca="1" si="103"/>
        <v>107.6986915820294</v>
      </c>
      <c r="BY130" s="9">
        <f t="shared" ca="1" si="104"/>
        <v>406.8063116852274</v>
      </c>
      <c r="BZ130">
        <f t="shared" ca="1" si="77"/>
        <v>420.82108240369735</v>
      </c>
      <c r="CA130" s="6">
        <f t="shared" ca="1" si="78"/>
        <v>0.25592513323444449</v>
      </c>
      <c r="CB130" s="6">
        <f t="shared" ca="1" si="79"/>
        <v>0.96669660503124355</v>
      </c>
      <c r="CC130" s="6">
        <f t="shared" ca="1" si="80"/>
        <v>1.3119917399028043</v>
      </c>
      <c r="CD130" s="6">
        <f t="shared" ca="1" si="74"/>
        <v>1.662369817028851</v>
      </c>
      <c r="CE130" s="9">
        <f t="shared" ca="1" si="75"/>
        <v>132.99873344638539</v>
      </c>
      <c r="CF130" s="9">
        <f t="shared" ca="1" si="76"/>
        <v>479.10593490602332</v>
      </c>
      <c r="CG130">
        <f t="shared" ca="1" si="81"/>
        <v>497.22345073469467</v>
      </c>
      <c r="CH130">
        <f t="shared" ca="1" si="82"/>
        <v>0.26748282537733725</v>
      </c>
      <c r="CI130">
        <f t="shared" ca="1" si="83"/>
        <v>0.96356262802588855</v>
      </c>
      <c r="CJ130">
        <f t="shared" ca="1" si="84"/>
        <v>1.300016608452504</v>
      </c>
      <c r="CK130" s="39">
        <f t="shared" ca="1" si="85"/>
        <v>0.87716268231956329</v>
      </c>
    </row>
    <row r="131" spans="1:89" x14ac:dyDescent="0.25">
      <c r="A131" s="8" t="s">
        <v>132</v>
      </c>
      <c r="B131">
        <f ca="1">(U10-B127)/(D127-F127)</f>
        <v>0.83182787917951817</v>
      </c>
      <c r="BC131">
        <v>2.2514747350726845</v>
      </c>
      <c r="BD131">
        <v>96.540626011048232</v>
      </c>
      <c r="BE131">
        <v>438.98887257629474</v>
      </c>
      <c r="BF131" s="6">
        <f t="shared" si="105"/>
        <v>1.3543262559003448</v>
      </c>
      <c r="BG131" s="6">
        <f t="shared" si="106"/>
        <v>0.89714847917233964</v>
      </c>
      <c r="BH131" s="6">
        <f t="shared" ref="BH131:BH155" si="107">ATAN2(COS($U$13-BF131),SIN($U$13-BF131))</f>
        <v>-0.93147232976740413</v>
      </c>
      <c r="BI131" s="6">
        <f t="shared" ref="BI131:BI155" si="108">ABS(BH131)</f>
        <v>0.93147232976740413</v>
      </c>
      <c r="BV131" s="39"/>
      <c r="BW131" s="6">
        <f t="shared" si="102"/>
        <v>2.0245819323134242</v>
      </c>
      <c r="BX131" s="9">
        <f t="shared" ca="1" si="103"/>
        <v>107.4112919654672</v>
      </c>
      <c r="BY131" s="9">
        <f t="shared" ca="1" si="104"/>
        <v>406.6586689148034</v>
      </c>
      <c r="BZ131">
        <f t="shared" ca="1" si="77"/>
        <v>420.6048723508211</v>
      </c>
      <c r="CA131" s="6">
        <f t="shared" ca="1" si="78"/>
        <v>0.25537338967361467</v>
      </c>
      <c r="CB131" s="6">
        <f t="shared" ca="1" si="79"/>
        <v>0.96684250622663892</v>
      </c>
      <c r="CC131" s="6">
        <f t="shared" ca="1" si="80"/>
        <v>1.3125624483437577</v>
      </c>
      <c r="CD131" s="6">
        <f t="shared" ca="1" si="74"/>
        <v>1.6629405254698044</v>
      </c>
      <c r="CE131" s="9">
        <f t="shared" ca="1" si="75"/>
        <v>132.71133382982319</v>
      </c>
      <c r="CF131" s="9">
        <f t="shared" ca="1" si="76"/>
        <v>478.95829213559932</v>
      </c>
      <c r="CG131">
        <f t="shared" ca="1" si="81"/>
        <v>497.0043699328416</v>
      </c>
      <c r="CH131">
        <f t="shared" ca="1" si="82"/>
        <v>0.26702246873152441</v>
      </c>
      <c r="CI131">
        <f t="shared" ca="1" si="83"/>
        <v>0.96369030356879803</v>
      </c>
      <c r="CJ131">
        <f t="shared" ca="1" si="84"/>
        <v>1.3004943419450938</v>
      </c>
      <c r="CK131" s="39">
        <f t="shared" ca="1" si="85"/>
        <v>0.87764041581215313</v>
      </c>
    </row>
    <row r="132" spans="1:89" x14ac:dyDescent="0.25">
      <c r="A132" s="8" t="s">
        <v>77</v>
      </c>
      <c r="B132">
        <f ca="1">(B125+(B131*(D125-F125)))/12</f>
        <v>25.30004186435599</v>
      </c>
      <c r="BC132">
        <v>2.2689280275926276</v>
      </c>
      <c r="BD132">
        <v>91.425833244193882</v>
      </c>
      <c r="BE132">
        <v>433.09543125249013</v>
      </c>
      <c r="BF132" s="6">
        <f t="shared" si="105"/>
        <v>1.3627521805152438</v>
      </c>
      <c r="BG132" s="6">
        <f t="shared" si="106"/>
        <v>0.90617584707738374</v>
      </c>
      <c r="BH132" s="6">
        <f t="shared" si="107"/>
        <v>-0.93989825438230312</v>
      </c>
      <c r="BI132" s="6">
        <f t="shared" si="108"/>
        <v>0.93989825438230312</v>
      </c>
      <c r="BV132" s="39"/>
      <c r="BW132" s="6">
        <f t="shared" si="102"/>
        <v>2.0420352248333673</v>
      </c>
      <c r="BX132" s="9">
        <f t="shared" ca="1" si="103"/>
        <v>107.11890369663433</v>
      </c>
      <c r="BY132" s="9">
        <f t="shared" ca="1" si="104"/>
        <v>406.50220009265496</v>
      </c>
      <c r="BZ132">
        <f t="shared" ca="1" si="77"/>
        <v>420.3789935395651</v>
      </c>
      <c r="CA132" s="6">
        <f t="shared" ca="1" si="78"/>
        <v>0.25481507245331125</v>
      </c>
      <c r="CB132" s="6">
        <f t="shared" ca="1" si="79"/>
        <v>0.96698980286795877</v>
      </c>
      <c r="CC132" s="6">
        <f t="shared" ca="1" si="80"/>
        <v>1.3131398688389733</v>
      </c>
      <c r="CD132" s="6">
        <f t="shared" ca="1" si="74"/>
        <v>1.66351794596502</v>
      </c>
      <c r="CE132" s="9">
        <f t="shared" ca="1" si="75"/>
        <v>132.41894556099032</v>
      </c>
      <c r="CF132" s="9">
        <f t="shared" ca="1" si="76"/>
        <v>478.80182331345088</v>
      </c>
      <c r="CG132">
        <f t="shared" ca="1" si="81"/>
        <v>496.77556617829902</v>
      </c>
      <c r="CH132">
        <f t="shared" ca="1" si="82"/>
        <v>0.26655688116807158</v>
      </c>
      <c r="CI132">
        <f t="shared" ca="1" si="83"/>
        <v>0.96381918900899177</v>
      </c>
      <c r="CJ132">
        <f t="shared" ca="1" si="84"/>
        <v>1.3009774394926708</v>
      </c>
      <c r="CK132" s="39">
        <f t="shared" ca="1" si="85"/>
        <v>0.87812351335973005</v>
      </c>
    </row>
    <row r="133" spans="1:89" x14ac:dyDescent="0.25">
      <c r="A133" s="8" t="s">
        <v>125</v>
      </c>
      <c r="B133">
        <f ca="1">(B126+(B131*(D126-F126)))/12</f>
        <v>72.299623220795937</v>
      </c>
      <c r="BC133">
        <v>2.2863813201125707</v>
      </c>
      <c r="BD133">
        <v>85.808660936213997</v>
      </c>
      <c r="BE133">
        <v>426.77153608129089</v>
      </c>
      <c r="BF133" s="6">
        <f t="shared" si="105"/>
        <v>1.3723772942886787</v>
      </c>
      <c r="BG133" s="6">
        <f t="shared" si="106"/>
        <v>0.91400402582389195</v>
      </c>
      <c r="BH133" s="6">
        <f t="shared" si="107"/>
        <v>-0.94952336815573801</v>
      </c>
      <c r="BI133" s="6">
        <f t="shared" si="108"/>
        <v>0.94952336815573801</v>
      </c>
      <c r="BV133" s="39"/>
      <c r="BW133" s="6">
        <f t="shared" si="102"/>
        <v>2.0594885173533104</v>
      </c>
      <c r="BX133" s="9">
        <f t="shared" ca="1" si="103"/>
        <v>106.82121390704759</v>
      </c>
      <c r="BY133" s="9">
        <f t="shared" ca="1" si="104"/>
        <v>406.33640486491441</v>
      </c>
      <c r="BZ133">
        <f t="shared" ca="1" si="77"/>
        <v>420.14288719329625</v>
      </c>
      <c r="CA133" s="6">
        <f t="shared" ca="1" si="78"/>
        <v>0.2542497258983753</v>
      </c>
      <c r="CB133" s="6">
        <f t="shared" ca="1" si="79"/>
        <v>0.96713860272486329</v>
      </c>
      <c r="CC133" s="6">
        <f t="shared" ca="1" si="80"/>
        <v>1.3137244696722998</v>
      </c>
      <c r="CD133" s="6">
        <f t="shared" ca="1" si="74"/>
        <v>1.6641025467983466</v>
      </c>
      <c r="CE133" s="9">
        <f t="shared" ca="1" si="75"/>
        <v>132.12125577140358</v>
      </c>
      <c r="CF133" s="9">
        <f t="shared" ca="1" si="76"/>
        <v>478.63602808571034</v>
      </c>
      <c r="CG133">
        <f t="shared" ca="1" si="81"/>
        <v>496.53647762100775</v>
      </c>
      <c r="CH133">
        <f t="shared" ca="1" si="82"/>
        <v>0.26608569908986224</v>
      </c>
      <c r="CI133">
        <f t="shared" ca="1" si="83"/>
        <v>0.96394937664789193</v>
      </c>
      <c r="CJ133">
        <f t="shared" ca="1" si="84"/>
        <v>1.3014662762516267</v>
      </c>
      <c r="CK133" s="39">
        <f t="shared" ca="1" si="85"/>
        <v>0.87861235011868599</v>
      </c>
    </row>
    <row r="134" spans="1:89" x14ac:dyDescent="0.25">
      <c r="BC134">
        <v>2.3038346126325138</v>
      </c>
      <c r="BD134">
        <v>78.62529117745612</v>
      </c>
      <c r="BE134">
        <v>419.22778776557021</v>
      </c>
      <c r="BF134" s="6">
        <f t="shared" si="105"/>
        <v>1.3854021040844622</v>
      </c>
      <c r="BG134" s="6">
        <f t="shared" si="106"/>
        <v>0.91843250854805158</v>
      </c>
      <c r="BH134" s="6">
        <f t="shared" si="107"/>
        <v>-0.96254817795152148</v>
      </c>
      <c r="BI134" s="6">
        <f t="shared" si="108"/>
        <v>0.96254817795152148</v>
      </c>
      <c r="BV134" s="39"/>
      <c r="BW134" s="6">
        <f t="shared" si="102"/>
        <v>2.0769418098732535</v>
      </c>
      <c r="BX134" s="9">
        <f t="shared" ca="1" si="103"/>
        <v>106.51789174730044</v>
      </c>
      <c r="BY134" s="9">
        <f t="shared" ca="1" si="104"/>
        <v>406.1607388057198</v>
      </c>
      <c r="BZ134">
        <f t="shared" ca="1" si="77"/>
        <v>419.89594783648215</v>
      </c>
      <c r="CA134" s="6">
        <f t="shared" ca="1" si="78"/>
        <v>0.25367687470225631</v>
      </c>
      <c r="CB134" s="6">
        <f t="shared" ca="1" si="79"/>
        <v>0.9672890174303107</v>
      </c>
      <c r="CC134" s="6">
        <f t="shared" ca="1" si="80"/>
        <v>1.3143167391099411</v>
      </c>
      <c r="CD134" s="6">
        <f t="shared" ca="1" si="74"/>
        <v>1.6646948162359878</v>
      </c>
      <c r="CE134" s="9">
        <f t="shared" ca="1" si="75"/>
        <v>131.81793361165643</v>
      </c>
      <c r="CF134" s="9">
        <f t="shared" ca="1" si="76"/>
        <v>478.46036202651572</v>
      </c>
      <c r="CG134">
        <f t="shared" ca="1" si="81"/>
        <v>496.28649553679332</v>
      </c>
      <c r="CH134">
        <f t="shared" ca="1" si="82"/>
        <v>0.26560854425240715</v>
      </c>
      <c r="CI134">
        <f t="shared" ca="1" si="83"/>
        <v>0.96408096196331816</v>
      </c>
      <c r="CJ134">
        <f t="shared" ca="1" si="84"/>
        <v>1.3019612423506117</v>
      </c>
      <c r="CK134" s="39">
        <f t="shared" ca="1" si="85"/>
        <v>0.87910731621767102</v>
      </c>
    </row>
    <row r="135" spans="1:89" x14ac:dyDescent="0.25">
      <c r="A135" s="8"/>
      <c r="BC135">
        <v>2.3212879051524569</v>
      </c>
      <c r="BD135">
        <v>69.979067506237897</v>
      </c>
      <c r="BE135">
        <v>410.42989453537012</v>
      </c>
      <c r="BF135" s="6">
        <f t="shared" si="105"/>
        <v>1.4019184297142231</v>
      </c>
      <c r="BG135" s="6">
        <f t="shared" si="106"/>
        <v>0.91936947543823377</v>
      </c>
      <c r="BH135" s="6">
        <f t="shared" si="107"/>
        <v>-0.9790645035812825</v>
      </c>
      <c r="BI135" s="6">
        <f t="shared" si="108"/>
        <v>0.9790645035812825</v>
      </c>
      <c r="BV135" s="39"/>
      <c r="BW135" s="6">
        <f t="shared" si="102"/>
        <v>2.0943951023931966</v>
      </c>
      <c r="BX135" s="9">
        <f t="shared" ca="1" si="103"/>
        <v>106.20858677728066</v>
      </c>
      <c r="BY135" s="9">
        <f t="shared" ca="1" si="104"/>
        <v>405.97460910677705</v>
      </c>
      <c r="BZ135">
        <f t="shared" ca="1" si="77"/>
        <v>419.63751875234846</v>
      </c>
      <c r="CA135" s="6">
        <f t="shared" ca="1" si="78"/>
        <v>0.25309602223618205</v>
      </c>
      <c r="CB135" s="6">
        <f t="shared" ca="1" si="79"/>
        <v>0.96744116282501746</v>
      </c>
      <c r="CC135" s="6">
        <f t="shared" ca="1" si="80"/>
        <v>1.3149171871254322</v>
      </c>
      <c r="CD135" s="6">
        <f t="shared" ca="1" si="74"/>
        <v>1.6652952642514789</v>
      </c>
      <c r="CE135" s="9">
        <f t="shared" ca="1" si="75"/>
        <v>131.50862864163665</v>
      </c>
      <c r="CF135" s="9">
        <f t="shared" ca="1" si="76"/>
        <v>478.27423232757297</v>
      </c>
      <c r="CG135">
        <f t="shared" ca="1" si="81"/>
        <v>496.02495977091024</v>
      </c>
      <c r="CH135">
        <f t="shared" ca="1" si="82"/>
        <v>0.26512502254397458</v>
      </c>
      <c r="CI135">
        <f t="shared" ca="1" si="83"/>
        <v>0.96421404388292176</v>
      </c>
      <c r="CJ135">
        <f t="shared" ca="1" si="84"/>
        <v>1.3024627441403613</v>
      </c>
      <c r="CK135" s="39">
        <f t="shared" ca="1" si="85"/>
        <v>0.87960881800742063</v>
      </c>
    </row>
    <row r="136" spans="1:89" x14ac:dyDescent="0.25">
      <c r="A136" s="52" t="s">
        <v>164</v>
      </c>
      <c r="BC136">
        <v>2.3387411976724</v>
      </c>
      <c r="BD136">
        <v>60.002454686285866</v>
      </c>
      <c r="BE136">
        <v>400.37543222153658</v>
      </c>
      <c r="BF136" s="6">
        <f t="shared" si="105"/>
        <v>1.4220379456985592</v>
      </c>
      <c r="BG136" s="6">
        <f t="shared" si="106"/>
        <v>0.91670325197384073</v>
      </c>
      <c r="BH136" s="6">
        <f t="shared" si="107"/>
        <v>-0.99918401956561853</v>
      </c>
      <c r="BI136" s="6">
        <f t="shared" si="108"/>
        <v>0.99918401956561853</v>
      </c>
      <c r="BV136" s="39"/>
      <c r="BW136" s="6">
        <f t="shared" si="102"/>
        <v>2.1118483949131397</v>
      </c>
      <c r="BX136" s="9">
        <f t="shared" ca="1" si="103"/>
        <v>105.892927210354</v>
      </c>
      <c r="BY136" s="9">
        <f t="shared" ca="1" si="104"/>
        <v>405.77736977508306</v>
      </c>
      <c r="BZ136">
        <f t="shared" ca="1" si="77"/>
        <v>419.36688693167207</v>
      </c>
      <c r="CA136" s="6">
        <f t="shared" ca="1" si="78"/>
        <v>0.2525066487369263</v>
      </c>
      <c r="CB136" s="6">
        <f t="shared" ca="1" si="79"/>
        <v>0.96759515932214468</v>
      </c>
      <c r="CC136" s="6">
        <f t="shared" ca="1" si="80"/>
        <v>1.3155263472474257</v>
      </c>
      <c r="CD136" s="6">
        <f t="shared" ca="1" si="74"/>
        <v>1.6659044243734724</v>
      </c>
      <c r="CE136" s="9">
        <f t="shared" ca="1" si="75"/>
        <v>131.19296907470999</v>
      </c>
      <c r="CF136" s="9">
        <f t="shared" ca="1" si="76"/>
        <v>478.07699299587898</v>
      </c>
      <c r="CG136">
        <f t="shared" ca="1" si="81"/>
        <v>495.7511536714963</v>
      </c>
      <c r="CH136">
        <f t="shared" ca="1" si="82"/>
        <v>0.26463472268920524</v>
      </c>
      <c r="CI136">
        <f t="shared" ca="1" si="83"/>
        <v>0.9643487250715933</v>
      </c>
      <c r="CJ136">
        <f t="shared" ca="1" si="84"/>
        <v>1.3029712055211355</v>
      </c>
      <c r="CK136" s="39">
        <f t="shared" ca="1" si="85"/>
        <v>0.88011727938819484</v>
      </c>
    </row>
    <row r="137" spans="1:89" x14ac:dyDescent="0.25">
      <c r="A137" t="s">
        <v>165</v>
      </c>
      <c r="BC137">
        <v>2.3561944901923431</v>
      </c>
      <c r="BD137">
        <v>48.785580022571459</v>
      </c>
      <c r="BE137">
        <v>389.0405040689318</v>
      </c>
      <c r="BF137" s="6">
        <f t="shared" si="105"/>
        <v>1.4460477565105361</v>
      </c>
      <c r="BG137" s="6">
        <f t="shared" si="106"/>
        <v>0.91014673368180699</v>
      </c>
      <c r="BH137" s="6">
        <f t="shared" si="107"/>
        <v>-1.0231938303775954</v>
      </c>
      <c r="BI137" s="6">
        <f t="shared" si="108"/>
        <v>1.0231938303775954</v>
      </c>
      <c r="BV137" s="39"/>
      <c r="BW137" s="6">
        <f t="shared" si="102"/>
        <v>2.1293016874330828</v>
      </c>
      <c r="BX137" s="9">
        <f t="shared" ca="1" si="103"/>
        <v>104.20586776655142</v>
      </c>
      <c r="BY137" s="9">
        <f t="shared" ca="1" si="104"/>
        <v>403.97762753472483</v>
      </c>
      <c r="BZ137">
        <f t="shared" ca="1" si="77"/>
        <v>417.20113425728465</v>
      </c>
      <c r="CA137" s="6">
        <f t="shared" ca="1" si="78"/>
        <v>0.24977369237517097</v>
      </c>
      <c r="CB137" s="6">
        <f t="shared" ca="1" si="79"/>
        <v>0.96830424072048427</v>
      </c>
      <c r="CC137" s="6">
        <f t="shared" ca="1" si="80"/>
        <v>1.3183497941126241</v>
      </c>
      <c r="CD137" s="6">
        <f t="shared" ca="1" si="74"/>
        <v>1.6687278712386708</v>
      </c>
      <c r="CE137" s="9">
        <f t="shared" ca="1" si="75"/>
        <v>129.50590963090741</v>
      </c>
      <c r="CF137" s="9">
        <f t="shared" ca="1" si="76"/>
        <v>476.27725075552075</v>
      </c>
      <c r="CG137">
        <f t="shared" ca="1" si="81"/>
        <v>493.57046124800252</v>
      </c>
      <c r="CH137">
        <f t="shared" ca="1" si="82"/>
        <v>0.2623858593633201</v>
      </c>
      <c r="CI137">
        <f t="shared" ca="1" si="83"/>
        <v>0.9649630359791882</v>
      </c>
      <c r="CJ137">
        <f t="shared" ca="1" si="84"/>
        <v>1.3053024641106299</v>
      </c>
      <c r="CK137" s="39">
        <f t="shared" ca="1" si="85"/>
        <v>0.88244853797768918</v>
      </c>
    </row>
    <row r="138" spans="1:89" ht="18" x14ac:dyDescent="0.35">
      <c r="A138" t="s">
        <v>166</v>
      </c>
      <c r="B138" t="s">
        <v>167</v>
      </c>
      <c r="BC138">
        <v>2.3736477827122862</v>
      </c>
      <c r="BD138">
        <v>36.385789266071143</v>
      </c>
      <c r="BE138">
        <v>376.38174673709301</v>
      </c>
      <c r="BF138" s="6">
        <f t="shared" si="105"/>
        <v>1.4744232371700254</v>
      </c>
      <c r="BG138" s="6">
        <f t="shared" si="106"/>
        <v>0.89922454554226072</v>
      </c>
      <c r="BH138" s="6">
        <f t="shared" si="107"/>
        <v>-1.0515693110370847</v>
      </c>
      <c r="BI138" s="6">
        <f t="shared" si="108"/>
        <v>1.0515693110370847</v>
      </c>
      <c r="BV138" s="39"/>
      <c r="BW138" s="6">
        <f t="shared" si="102"/>
        <v>2.1467549799530259</v>
      </c>
      <c r="BX138" s="9">
        <f t="shared" ca="1" si="103"/>
        <v>99.768812177071624</v>
      </c>
      <c r="BY138" s="9">
        <f t="shared" ca="1" si="104"/>
        <v>399.04364315659319</v>
      </c>
      <c r="BZ138">
        <f t="shared" ca="1" si="77"/>
        <v>411.32668893096428</v>
      </c>
      <c r="CA138" s="6">
        <f t="shared" ca="1" si="78"/>
        <v>0.24255370454168729</v>
      </c>
      <c r="CB138" s="6">
        <f t="shared" ca="1" si="79"/>
        <v>0.97013798008999941</v>
      </c>
      <c r="CC138" s="6">
        <f t="shared" ca="1" si="80"/>
        <v>1.3257990276970604</v>
      </c>
      <c r="CD138" s="6">
        <f t="shared" ca="1" si="74"/>
        <v>1.6761771048231071</v>
      </c>
      <c r="CE138" s="9">
        <f t="shared" ca="1" si="75"/>
        <v>125.06885404142761</v>
      </c>
      <c r="CF138" s="9">
        <f t="shared" ca="1" si="76"/>
        <v>471.34326637738911</v>
      </c>
      <c r="CG138">
        <f t="shared" ca="1" si="81"/>
        <v>487.65427611222924</v>
      </c>
      <c r="CH138">
        <f t="shared" ca="1" si="82"/>
        <v>0.25647033188865986</v>
      </c>
      <c r="CI138">
        <f t="shared" ca="1" si="83"/>
        <v>0.96655210354171839</v>
      </c>
      <c r="CJ138">
        <f t="shared" ca="1" si="84"/>
        <v>1.3114277166218427</v>
      </c>
      <c r="CK138" s="39">
        <f t="shared" ca="1" si="85"/>
        <v>0.88857379048890195</v>
      </c>
    </row>
    <row r="139" spans="1:89" ht="18" x14ac:dyDescent="0.35">
      <c r="A139" t="s">
        <v>168</v>
      </c>
      <c r="B139" t="s">
        <v>169</v>
      </c>
      <c r="BC139">
        <v>2.3911010752322293</v>
      </c>
      <c r="BD139">
        <v>22.834063737110533</v>
      </c>
      <c r="BE139">
        <v>362.33726385113118</v>
      </c>
      <c r="BF139" s="6">
        <f t="shared" si="105"/>
        <v>1.5078607407389855</v>
      </c>
      <c r="BG139" s="6">
        <f t="shared" si="106"/>
        <v>0.88324033449324379</v>
      </c>
      <c r="BH139" s="6">
        <f t="shared" si="107"/>
        <v>-1.0850068146060448</v>
      </c>
      <c r="BI139" s="6">
        <f t="shared" si="108"/>
        <v>1.0850068146060448</v>
      </c>
      <c r="BV139" s="39"/>
      <c r="BW139" s="6">
        <f t="shared" si="102"/>
        <v>2.164208272472969</v>
      </c>
      <c r="BX139" s="9">
        <f t="shared" ca="1" si="103"/>
        <v>95.243089728867432</v>
      </c>
      <c r="BY139" s="9">
        <f t="shared" ca="1" si="104"/>
        <v>393.96833133883428</v>
      </c>
      <c r="BZ139">
        <f t="shared" ca="1" si="77"/>
        <v>405.31752027146149</v>
      </c>
      <c r="CA139" s="6">
        <f t="shared" ca="1" si="78"/>
        <v>0.23498389525594243</v>
      </c>
      <c r="CB139" s="6">
        <f t="shared" ca="1" si="79"/>
        <v>0.97199926387335511</v>
      </c>
      <c r="CC139" s="6">
        <f t="shared" ca="1" si="80"/>
        <v>1.3335943274129192</v>
      </c>
      <c r="CD139" s="6">
        <f t="shared" ca="1" si="74"/>
        <v>1.6839724045389659</v>
      </c>
      <c r="CE139" s="9">
        <f t="shared" ca="1" si="75"/>
        <v>120.54313159322342</v>
      </c>
      <c r="CF139" s="9">
        <f t="shared" ca="1" si="76"/>
        <v>466.2679545596302</v>
      </c>
      <c r="CG139">
        <f t="shared" ca="1" si="81"/>
        <v>481.59781148124267</v>
      </c>
      <c r="CH139">
        <f t="shared" ca="1" si="82"/>
        <v>0.25029833757439812</v>
      </c>
      <c r="CI139">
        <f t="shared" ca="1" si="83"/>
        <v>0.96816875709118633</v>
      </c>
      <c r="CJ139">
        <f t="shared" ca="1" si="84"/>
        <v>1.317807937668477</v>
      </c>
      <c r="CK139" s="39">
        <f t="shared" ca="1" si="85"/>
        <v>0.89495401153553633</v>
      </c>
    </row>
    <row r="140" spans="1:89" ht="18" x14ac:dyDescent="0.35">
      <c r="A140" t="s">
        <v>170</v>
      </c>
      <c r="BC140">
        <v>2.4085543677521724</v>
      </c>
      <c r="BD140">
        <v>8.139296436879965</v>
      </c>
      <c r="BE140">
        <v>346.82671222271847</v>
      </c>
      <c r="BF140" s="6">
        <f t="shared" si="105"/>
        <v>1.5473327283331351</v>
      </c>
      <c r="BG140" s="6">
        <f t="shared" si="106"/>
        <v>0.86122163941903729</v>
      </c>
      <c r="BH140" s="6">
        <f t="shared" si="107"/>
        <v>-1.1244788022001944</v>
      </c>
      <c r="BI140" s="6">
        <f t="shared" si="108"/>
        <v>1.1244788022001944</v>
      </c>
      <c r="BV140" s="39"/>
      <c r="BW140" s="6">
        <f t="shared" si="102"/>
        <v>2.1816615649929121</v>
      </c>
      <c r="BX140" s="9">
        <f t="shared" ca="1" si="103"/>
        <v>90.632777540093855</v>
      </c>
      <c r="BY140" s="9">
        <f t="shared" ca="1" si="104"/>
        <v>388.77617821808212</v>
      </c>
      <c r="BZ140">
        <f t="shared" ca="1" si="77"/>
        <v>399.20072283813573</v>
      </c>
      <c r="CA140" s="6">
        <f t="shared" ca="1" si="78"/>
        <v>0.22703560478482102</v>
      </c>
      <c r="CB140" s="6">
        <f t="shared" ca="1" si="79"/>
        <v>0.97388645855663825</v>
      </c>
      <c r="CC140" s="6">
        <f t="shared" ca="1" si="80"/>
        <v>1.3417636111232303</v>
      </c>
      <c r="CD140" s="6">
        <f t="shared" ca="1" si="74"/>
        <v>1.692141688249277</v>
      </c>
      <c r="CE140" s="9">
        <f t="shared" ca="1" si="75"/>
        <v>115.93281940444984</v>
      </c>
      <c r="CF140" s="9">
        <f t="shared" ca="1" si="76"/>
        <v>461.07580143887805</v>
      </c>
      <c r="CG140">
        <f t="shared" ca="1" si="81"/>
        <v>475.42750581720497</v>
      </c>
      <c r="CH140">
        <f t="shared" ca="1" si="82"/>
        <v>0.24384962583343747</v>
      </c>
      <c r="CI140">
        <f t="shared" ca="1" si="83"/>
        <v>0.96981305414027741</v>
      </c>
      <c r="CJ140">
        <f t="shared" ca="1" si="84"/>
        <v>1.3244629928424514</v>
      </c>
      <c r="CK140" s="39">
        <f t="shared" ca="1" si="85"/>
        <v>0.90160906670951069</v>
      </c>
    </row>
    <row r="141" spans="1:89" ht="18.75" x14ac:dyDescent="0.35">
      <c r="A141" t="s">
        <v>171</v>
      </c>
      <c r="B141" t="s">
        <v>172</v>
      </c>
      <c r="BC141">
        <v>2.4260076602721155</v>
      </c>
      <c r="BD141">
        <v>-7.7089529045579299</v>
      </c>
      <c r="BE141">
        <v>329.75066634838731</v>
      </c>
      <c r="BF141" s="6">
        <f t="shared" si="105"/>
        <v>1.5941701960319543</v>
      </c>
      <c r="BG141" s="6">
        <f t="shared" si="106"/>
        <v>0.83183746424016114</v>
      </c>
      <c r="BH141" s="6">
        <f t="shared" si="107"/>
        <v>-1.1713162698990136</v>
      </c>
      <c r="BI141" s="6">
        <f t="shared" si="108"/>
        <v>1.1713162698990136</v>
      </c>
      <c r="BV141" s="39"/>
      <c r="BW141" s="6">
        <f t="shared" si="102"/>
        <v>2.1991148575128552</v>
      </c>
      <c r="BX141" s="9">
        <f t="shared" ca="1" si="103"/>
        <v>85.932843878146642</v>
      </c>
      <c r="BY141" s="9">
        <f t="shared" ca="1" si="104"/>
        <v>383.46005942492116</v>
      </c>
      <c r="BZ141">
        <f t="shared" ca="1" si="77"/>
        <v>392.9708269466704</v>
      </c>
      <c r="CA141" s="6">
        <f t="shared" ca="1" si="78"/>
        <v>0.21867486842683231</v>
      </c>
      <c r="CB141" s="6">
        <f t="shared" ca="1" si="79"/>
        <v>0.97579777716415594</v>
      </c>
      <c r="CC141" s="6">
        <f t="shared" ca="1" si="80"/>
        <v>1.3503400615622982</v>
      </c>
      <c r="CD141" s="6">
        <f t="shared" ca="1" si="74"/>
        <v>1.700718138688345</v>
      </c>
      <c r="CE141" s="9">
        <f t="shared" ca="1" si="75"/>
        <v>111.23288574250263</v>
      </c>
      <c r="CF141" s="9">
        <f t="shared" ca="1" si="76"/>
        <v>455.75968264571708</v>
      </c>
      <c r="CG141">
        <f t="shared" ca="1" si="81"/>
        <v>469.13712621783554</v>
      </c>
      <c r="CH141">
        <f t="shared" ca="1" si="82"/>
        <v>0.23710100848180071</v>
      </c>
      <c r="CI141">
        <f t="shared" ca="1" si="83"/>
        <v>0.97148500337211241</v>
      </c>
      <c r="CJ141">
        <f t="shared" ca="1" si="84"/>
        <v>1.3314156502565266</v>
      </c>
      <c r="CK141" s="39">
        <f t="shared" ca="1" si="85"/>
        <v>0.90856172412358593</v>
      </c>
    </row>
    <row r="142" spans="1:89" x14ac:dyDescent="0.25">
      <c r="BC142">
        <v>2.4434609527920585</v>
      </c>
      <c r="BD142">
        <v>-24.73883705959955</v>
      </c>
      <c r="BE142">
        <v>310.98931641527122</v>
      </c>
      <c r="BF142" s="6">
        <f t="shared" si="105"/>
        <v>1.6501779981286198</v>
      </c>
      <c r="BG142" s="6">
        <f t="shared" si="106"/>
        <v>0.79328295466343879</v>
      </c>
      <c r="BH142" s="6">
        <f t="shared" si="107"/>
        <v>-1.2273240719956791</v>
      </c>
      <c r="BI142" s="6">
        <f t="shared" si="108"/>
        <v>1.2273240719956791</v>
      </c>
      <c r="BV142" s="39"/>
      <c r="BW142" s="6">
        <f t="shared" si="102"/>
        <v>2.2165681500327983</v>
      </c>
      <c r="BX142" s="9">
        <f t="shared" ca="1" si="103"/>
        <v>81.137972279122351</v>
      </c>
      <c r="BY142" s="9">
        <f t="shared" ca="1" si="104"/>
        <v>378.01237398626728</v>
      </c>
      <c r="BZ142">
        <f t="shared" ca="1" si="77"/>
        <v>386.62219986997803</v>
      </c>
      <c r="CA142" s="6">
        <f t="shared" ca="1" si="78"/>
        <v>0.20986371787861444</v>
      </c>
      <c r="CB142" s="6">
        <f t="shared" ca="1" si="79"/>
        <v>0.97773064793846221</v>
      </c>
      <c r="CC142" s="6">
        <f t="shared" ca="1" si="80"/>
        <v>1.359360755283292</v>
      </c>
      <c r="CD142" s="6">
        <f t="shared" ca="1" si="74"/>
        <v>1.7097388324093388</v>
      </c>
      <c r="CE142" s="9">
        <f t="shared" ca="1" si="75"/>
        <v>106.43801414347834</v>
      </c>
      <c r="CF142" s="9">
        <f t="shared" ca="1" si="76"/>
        <v>450.3119972070632</v>
      </c>
      <c r="CG142">
        <f t="shared" ca="1" si="81"/>
        <v>462.72015914958945</v>
      </c>
      <c r="CH142">
        <f t="shared" ca="1" si="82"/>
        <v>0.23002674951334628</v>
      </c>
      <c r="CI142">
        <f t="shared" ca="1" si="83"/>
        <v>0.97318430654646515</v>
      </c>
      <c r="CJ142">
        <f t="shared" ca="1" si="84"/>
        <v>1.338691157436279</v>
      </c>
      <c r="CK142" s="39">
        <f t="shared" ca="1" si="85"/>
        <v>0.91583723130333827</v>
      </c>
    </row>
    <row r="143" spans="1:89" x14ac:dyDescent="0.25">
      <c r="A143" t="s">
        <v>173</v>
      </c>
      <c r="B143" s="3">
        <f>B2*1000</f>
        <v>5000</v>
      </c>
      <c r="C143" t="s">
        <v>174</v>
      </c>
      <c r="BC143">
        <v>2.4609142453120016</v>
      </c>
      <c r="BD143">
        <v>-42.995498330187111</v>
      </c>
      <c r="BE143">
        <v>290.40050090996226</v>
      </c>
      <c r="BF143" s="6">
        <f t="shared" si="105"/>
        <v>1.7177843830210136</v>
      </c>
      <c r="BG143" s="6">
        <f t="shared" si="106"/>
        <v>0.7431298622909881</v>
      </c>
      <c r="BH143" s="6">
        <f t="shared" si="107"/>
        <v>-1.2949304568880728</v>
      </c>
      <c r="BI143" s="6">
        <f t="shared" si="108"/>
        <v>1.2949304568880728</v>
      </c>
      <c r="BV143" s="39"/>
      <c r="BW143" s="6">
        <f t="shared" ref="BW143:BW168" si="109">BC130</f>
        <v>2.2340214425527414</v>
      </c>
      <c r="BX143" s="9">
        <f t="shared" ref="BX143:BX168" ca="1" si="110">BD130-$BW$5</f>
        <v>76.242538280688734</v>
      </c>
      <c r="BY143" s="9">
        <f t="shared" ref="BY143:BY168" ca="1" si="111">BE130-$BX$5</f>
        <v>372.42500061211558</v>
      </c>
      <c r="BZ143">
        <f t="shared" ca="1" si="77"/>
        <v>380.14905724520293</v>
      </c>
      <c r="CA143" s="6">
        <f t="shared" ca="1" si="78"/>
        <v>0.20055958795002599</v>
      </c>
      <c r="CB143" s="6">
        <f t="shared" ca="1" si="79"/>
        <v>0.97968150522571151</v>
      </c>
      <c r="CC143" s="6">
        <f t="shared" ca="1" si="80"/>
        <v>1.36886724561849</v>
      </c>
      <c r="CD143" s="6">
        <f t="shared" ref="CD143:CD206" ca="1" si="112">CC143-$BZ$11</f>
        <v>1.7192453227445368</v>
      </c>
      <c r="CE143" s="9">
        <f t="shared" ref="CE143:CE206" ca="1" si="113">BX143+$BW$5</f>
        <v>101.54258014504472</v>
      </c>
      <c r="CF143" s="9">
        <f t="shared" ref="CF143:CF206" ca="1" si="114">BY143+$BX$5</f>
        <v>444.7246238329115</v>
      </c>
      <c r="CG143">
        <f t="shared" ca="1" si="81"/>
        <v>456.16980021241812</v>
      </c>
      <c r="CH143">
        <f t="shared" ca="1" si="82"/>
        <v>0.22259820816231332</v>
      </c>
      <c r="CI143">
        <f t="shared" ca="1" si="83"/>
        <v>0.97491027162653665</v>
      </c>
      <c r="CJ143">
        <f t="shared" ca="1" si="84"/>
        <v>1.3463175893652419</v>
      </c>
      <c r="CK143" s="39">
        <f t="shared" ca="1" si="85"/>
        <v>0.92346366323230122</v>
      </c>
    </row>
    <row r="144" spans="1:89" x14ac:dyDescent="0.25">
      <c r="A144" t="s">
        <v>2</v>
      </c>
      <c r="B144" s="3">
        <f>B3*1000</f>
        <v>4074280.688047891</v>
      </c>
      <c r="C144" t="s">
        <v>174</v>
      </c>
      <c r="BC144">
        <v>2.4783675378319447</v>
      </c>
      <c r="BD144">
        <v>-62.348828941282875</v>
      </c>
      <c r="BE144">
        <v>268.10025200348218</v>
      </c>
      <c r="BF144" s="6">
        <f t="shared" si="105"/>
        <v>1.7992927294502221</v>
      </c>
      <c r="BG144" s="6">
        <f t="shared" si="106"/>
        <v>0.67907480838172263</v>
      </c>
      <c r="BH144" s="6">
        <f t="shared" si="107"/>
        <v>-1.3764388033172814</v>
      </c>
      <c r="BI144" s="6">
        <f t="shared" si="108"/>
        <v>1.3764388033172814</v>
      </c>
      <c r="BV144" s="39"/>
      <c r="BW144" s="6">
        <f t="shared" si="109"/>
        <v>2.2514747350726845</v>
      </c>
      <c r="BX144" s="9">
        <f t="shared" ca="1" si="110"/>
        <v>71.240584146692242</v>
      </c>
      <c r="BY144" s="9">
        <f t="shared" ca="1" si="111"/>
        <v>366.68924935549882</v>
      </c>
      <c r="BZ144">
        <f t="shared" ref="BZ144:BZ207" ca="1" si="115">SQRT(POWER(BX144,2)+POWER(BY144,2))</f>
        <v>373.54548106283005</v>
      </c>
      <c r="CA144" s="6">
        <f t="shared" ref="CA144:CA207" ca="1" si="116">BX144/BZ144</f>
        <v>0.19071461912481183</v>
      </c>
      <c r="CB144" s="6">
        <f t="shared" ref="CB144:CB207" ca="1" si="117">BY144/BZ144</f>
        <v>0.98164552362453017</v>
      </c>
      <c r="CC144" s="6">
        <f t="shared" ref="CC144:CC207" ca="1" si="118">ATAN2(CA144,CB144)</f>
        <v>1.3789062508405643</v>
      </c>
      <c r="CD144" s="6">
        <f t="shared" ca="1" si="112"/>
        <v>1.729284327966611</v>
      </c>
      <c r="CE144" s="9">
        <f t="shared" ca="1" si="113"/>
        <v>96.540626011048232</v>
      </c>
      <c r="CF144" s="9">
        <f t="shared" ca="1" si="114"/>
        <v>438.98887257629474</v>
      </c>
      <c r="CG144">
        <f t="shared" ref="CG144:CG207" ca="1" si="119">SQRT(POWER(CE144,2)+POWER(CF144,2))</f>
        <v>449.47894579881205</v>
      </c>
      <c r="CH144">
        <f t="shared" ref="CH144:CH207" ca="1" si="120">CE144/CG144</f>
        <v>0.21478342181184182</v>
      </c>
      <c r="CI144">
        <f t="shared" ref="CI144:CI207" ca="1" si="121">CF144/CG144</f>
        <v>0.97666170279928377</v>
      </c>
      <c r="CJ144">
        <f t="shared" ref="CJ144:CJ207" ca="1" si="122">ATAN2(CH144,CI144)</f>
        <v>1.3543262559003448</v>
      </c>
      <c r="CK144" s="39">
        <f t="shared" ref="CK144:CK207" ca="1" si="123">CJ144-$U$13</f>
        <v>0.93147232976740413</v>
      </c>
    </row>
    <row r="145" spans="1:89" ht="18" x14ac:dyDescent="0.35">
      <c r="A145" t="s">
        <v>166</v>
      </c>
      <c r="B145" s="1">
        <f>(2*0.85*B143)/B144</f>
        <v>2.0862578331765852E-3</v>
      </c>
      <c r="C145" t="s">
        <v>175</v>
      </c>
      <c r="BC145">
        <v>2.4958208303518878</v>
      </c>
      <c r="BD145">
        <v>-82.455899505531789</v>
      </c>
      <c r="BE145">
        <v>244.55331493613346</v>
      </c>
      <c r="BF145" s="6">
        <f t="shared" si="105"/>
        <v>1.8959953774359461</v>
      </c>
      <c r="BG145" s="6">
        <f t="shared" si="106"/>
        <v>0.59982545291594169</v>
      </c>
      <c r="BH145" s="6">
        <f t="shared" si="107"/>
        <v>-1.4731414513030054</v>
      </c>
      <c r="BI145" s="6">
        <f t="shared" si="108"/>
        <v>1.4731414513030054</v>
      </c>
      <c r="BV145" s="39"/>
      <c r="BW145" s="6">
        <f t="shared" si="109"/>
        <v>2.2689280275926276</v>
      </c>
      <c r="BX145" s="9">
        <f t="shared" ca="1" si="110"/>
        <v>66.125791379837892</v>
      </c>
      <c r="BY145" s="9">
        <f t="shared" ca="1" si="111"/>
        <v>360.79580803169421</v>
      </c>
      <c r="BZ145">
        <f t="shared" ca="1" si="115"/>
        <v>366.8054462229984</v>
      </c>
      <c r="CA145" s="6">
        <f t="shared" ca="1" si="116"/>
        <v>0.18027483523141827</v>
      </c>
      <c r="CB145" s="6">
        <f t="shared" ca="1" si="117"/>
        <v>0.98361627872981294</v>
      </c>
      <c r="CC145" s="6">
        <f t="shared" ca="1" si="118"/>
        <v>1.3895304696416759</v>
      </c>
      <c r="CD145" s="6">
        <f t="shared" ca="1" si="112"/>
        <v>1.7399085467677227</v>
      </c>
      <c r="CE145" s="9">
        <f t="shared" ca="1" si="113"/>
        <v>91.425833244193882</v>
      </c>
      <c r="CF145" s="9">
        <f t="shared" ca="1" si="114"/>
        <v>433.09543125249013</v>
      </c>
      <c r="CG145">
        <f t="shared" ca="1" si="119"/>
        <v>442.6401874617527</v>
      </c>
      <c r="CH145">
        <f t="shared" ca="1" si="120"/>
        <v>0.20654661694515419</v>
      </c>
      <c r="CI145">
        <f t="shared" ca="1" si="121"/>
        <v>0.97843676087344122</v>
      </c>
      <c r="CJ145">
        <f t="shared" ca="1" si="122"/>
        <v>1.3627521805152438</v>
      </c>
      <c r="CK145" s="39">
        <f t="shared" ca="1" si="123"/>
        <v>0.93989825438230312</v>
      </c>
    </row>
    <row r="146" spans="1:89" ht="18" x14ac:dyDescent="0.35">
      <c r="A146" t="s">
        <v>176</v>
      </c>
      <c r="B146" s="1">
        <v>3.0000000000000001E-3</v>
      </c>
      <c r="C146" t="s">
        <v>175</v>
      </c>
      <c r="BC146">
        <v>2.5132741228718309</v>
      </c>
      <c r="BD146">
        <v>-102.75466581901884</v>
      </c>
      <c r="BE146">
        <v>219.9776824247549</v>
      </c>
      <c r="BF146" s="6">
        <f t="shared" si="105"/>
        <v>2.0077907992194506</v>
      </c>
      <c r="BG146" s="6">
        <f t="shared" si="106"/>
        <v>0.50548332365238036</v>
      </c>
      <c r="BH146" s="6">
        <f t="shared" si="107"/>
        <v>-1.5849368730865097</v>
      </c>
      <c r="BI146" s="6">
        <f t="shared" si="108"/>
        <v>1.5849368730865097</v>
      </c>
      <c r="BV146" s="39"/>
      <c r="BW146" s="6">
        <f t="shared" si="109"/>
        <v>2.2863813201125707</v>
      </c>
      <c r="BX146" s="9">
        <f t="shared" ca="1" si="110"/>
        <v>60.508619071858007</v>
      </c>
      <c r="BY146" s="9">
        <f t="shared" ca="1" si="111"/>
        <v>354.47191286049497</v>
      </c>
      <c r="BZ146">
        <f t="shared" ca="1" si="115"/>
        <v>359.59926305397454</v>
      </c>
      <c r="CA146" s="6">
        <f t="shared" ca="1" si="116"/>
        <v>0.16826680499280078</v>
      </c>
      <c r="CB146" s="6">
        <f t="shared" ca="1" si="117"/>
        <v>0.9857414885950142</v>
      </c>
      <c r="CC146" s="6">
        <f t="shared" ca="1" si="118"/>
        <v>1.40172518776432</v>
      </c>
      <c r="CD146" s="6">
        <f t="shared" ca="1" si="112"/>
        <v>1.7521032648903667</v>
      </c>
      <c r="CE146" s="9">
        <f t="shared" ca="1" si="113"/>
        <v>85.808660936213997</v>
      </c>
      <c r="CF146" s="9">
        <f t="shared" ca="1" si="114"/>
        <v>426.77153608129089</v>
      </c>
      <c r="CG146">
        <f t="shared" ca="1" si="119"/>
        <v>435.31261215458795</v>
      </c>
      <c r="CH146">
        <f t="shared" ca="1" si="120"/>
        <v>0.19711962975642358</v>
      </c>
      <c r="CI146">
        <f t="shared" ca="1" si="121"/>
        <v>0.98037944264692256</v>
      </c>
      <c r="CJ146">
        <f t="shared" ca="1" si="122"/>
        <v>1.3723772942886787</v>
      </c>
      <c r="CK146" s="39">
        <f t="shared" ca="1" si="123"/>
        <v>0.94952336815573801</v>
      </c>
    </row>
    <row r="147" spans="1:89" ht="18" x14ac:dyDescent="0.35">
      <c r="A147" t="s">
        <v>177</v>
      </c>
      <c r="B147" s="1">
        <f>B146/B145</f>
        <v>1.4379814193110203</v>
      </c>
      <c r="C147" t="s">
        <v>178</v>
      </c>
      <c r="BC147">
        <v>2.530727415391774</v>
      </c>
      <c r="BD147">
        <v>-119.60231953417409</v>
      </c>
      <c r="BE147">
        <v>196.11950331960145</v>
      </c>
      <c r="BF147" s="6">
        <f t="shared" si="105"/>
        <v>2.1184227020357795</v>
      </c>
      <c r="BG147" s="6">
        <f t="shared" si="106"/>
        <v>0.4123047133559945</v>
      </c>
      <c r="BH147" s="6">
        <f t="shared" si="107"/>
        <v>-1.6955687759028386</v>
      </c>
      <c r="BI147" s="6">
        <f t="shared" si="108"/>
        <v>1.6955687759028386</v>
      </c>
      <c r="BV147" s="39"/>
      <c r="BW147" s="6">
        <f t="shared" si="109"/>
        <v>2.3038346126325138</v>
      </c>
      <c r="BX147" s="9">
        <f t="shared" ca="1" si="110"/>
        <v>53.32524931310013</v>
      </c>
      <c r="BY147" s="9">
        <f t="shared" ca="1" si="111"/>
        <v>346.92816454477429</v>
      </c>
      <c r="BZ147">
        <f t="shared" ca="1" si="115"/>
        <v>351.00246946241032</v>
      </c>
      <c r="CA147" s="6">
        <f t="shared" ca="1" si="116"/>
        <v>0.15192271836369761</v>
      </c>
      <c r="CB147" s="6">
        <f t="shared" ca="1" si="117"/>
        <v>0.98839237534745505</v>
      </c>
      <c r="CC147" s="6">
        <f t="shared" ca="1" si="118"/>
        <v>1.4182830448726251</v>
      </c>
      <c r="CD147" s="6">
        <f t="shared" ca="1" si="112"/>
        <v>1.7686611219986719</v>
      </c>
      <c r="CE147" s="9">
        <f t="shared" ca="1" si="113"/>
        <v>78.62529117745612</v>
      </c>
      <c r="CF147" s="9">
        <f t="shared" ca="1" si="114"/>
        <v>419.22778776557021</v>
      </c>
      <c r="CG147">
        <f t="shared" ca="1" si="119"/>
        <v>426.53707277041434</v>
      </c>
      <c r="CH147">
        <f t="shared" ca="1" si="120"/>
        <v>0.18433401501720476</v>
      </c>
      <c r="CI147">
        <f t="shared" ca="1" si="121"/>
        <v>0.98286365835126743</v>
      </c>
      <c r="CJ147">
        <f t="shared" ca="1" si="122"/>
        <v>1.3854021040844622</v>
      </c>
      <c r="CK147" s="39">
        <f t="shared" ca="1" si="123"/>
        <v>0.96254817795152148</v>
      </c>
    </row>
    <row r="148" spans="1:89" ht="18" x14ac:dyDescent="0.35">
      <c r="A148" t="s">
        <v>179</v>
      </c>
      <c r="B148" s="6">
        <f>G38</f>
        <v>12.249239304435662</v>
      </c>
      <c r="C148" t="s">
        <v>4</v>
      </c>
      <c r="BC148">
        <v>2.5481807079117171</v>
      </c>
      <c r="BD148">
        <v>-136.35232425912901</v>
      </c>
      <c r="BE148">
        <v>171.61242439666049</v>
      </c>
      <c r="BF148" s="6">
        <f t="shared" si="105"/>
        <v>2.2421969381850388</v>
      </c>
      <c r="BG148" s="6">
        <f t="shared" si="106"/>
        <v>0.30598376972667829</v>
      </c>
      <c r="BH148" s="6">
        <f t="shared" si="107"/>
        <v>-1.8193430120520981</v>
      </c>
      <c r="BI148" s="6">
        <f t="shared" si="108"/>
        <v>1.8193430120520981</v>
      </c>
      <c r="BV148" s="39"/>
      <c r="BW148" s="6">
        <f t="shared" si="109"/>
        <v>2.3212879051524569</v>
      </c>
      <c r="BX148" s="9">
        <f t="shared" ca="1" si="110"/>
        <v>44.679025641881907</v>
      </c>
      <c r="BY148" s="9">
        <f t="shared" ca="1" si="111"/>
        <v>338.1302713145742</v>
      </c>
      <c r="BZ148">
        <f t="shared" ca="1" si="115"/>
        <v>341.06934150048653</v>
      </c>
      <c r="CA148" s="6">
        <f t="shared" ca="1" si="116"/>
        <v>0.13099689771388665</v>
      </c>
      <c r="CB148" s="6">
        <f t="shared" ca="1" si="117"/>
        <v>0.9913827781383624</v>
      </c>
      <c r="CC148" s="6">
        <f t="shared" ca="1" si="118"/>
        <v>1.4394218508460777</v>
      </c>
      <c r="CD148" s="6">
        <f t="shared" ca="1" si="112"/>
        <v>1.7897999279721244</v>
      </c>
      <c r="CE148" s="9">
        <f t="shared" ca="1" si="113"/>
        <v>69.979067506237897</v>
      </c>
      <c r="CF148" s="9">
        <f t="shared" ca="1" si="114"/>
        <v>410.42989453537012</v>
      </c>
      <c r="CG148">
        <f t="shared" ca="1" si="119"/>
        <v>416.35293708266028</v>
      </c>
      <c r="CH148">
        <f t="shared" ca="1" si="120"/>
        <v>0.1680763152448824</v>
      </c>
      <c r="CI148">
        <f t="shared" ca="1" si="121"/>
        <v>0.985773986395311</v>
      </c>
      <c r="CJ148">
        <f t="shared" ca="1" si="122"/>
        <v>1.4019184297142231</v>
      </c>
      <c r="CK148" s="39">
        <f t="shared" ca="1" si="123"/>
        <v>0.97906450358128239</v>
      </c>
    </row>
    <row r="149" spans="1:89" x14ac:dyDescent="0.25">
      <c r="B149" s="1"/>
      <c r="BC149">
        <v>2.5656340004316602</v>
      </c>
      <c r="BD149">
        <v>-150.40174280769457</v>
      </c>
      <c r="BE149">
        <v>150.38575032073331</v>
      </c>
      <c r="BF149" s="6">
        <f t="shared" si="105"/>
        <v>2.356247658915485</v>
      </c>
      <c r="BG149" s="6">
        <f t="shared" si="106"/>
        <v>0.20938634151617519</v>
      </c>
      <c r="BH149" s="6">
        <f t="shared" si="107"/>
        <v>-1.9333937327825441</v>
      </c>
      <c r="BI149" s="6">
        <f t="shared" si="108"/>
        <v>1.9333937327825441</v>
      </c>
      <c r="BV149" s="39"/>
      <c r="BW149" s="6">
        <f t="shared" si="109"/>
        <v>2.3387411976724</v>
      </c>
      <c r="BX149" s="9">
        <f t="shared" ca="1" si="110"/>
        <v>34.702412821929876</v>
      </c>
      <c r="BY149" s="9">
        <f t="shared" ca="1" si="111"/>
        <v>328.07580900074066</v>
      </c>
      <c r="BZ149">
        <f t="shared" ca="1" si="115"/>
        <v>329.90603799741842</v>
      </c>
      <c r="CA149" s="6">
        <f t="shared" ca="1" si="116"/>
        <v>0.10518877748518633</v>
      </c>
      <c r="CB149" s="6">
        <f t="shared" ca="1" si="117"/>
        <v>0.99445227190206176</v>
      </c>
      <c r="CC149" s="6">
        <f t="shared" ca="1" si="118"/>
        <v>1.46541259704536</v>
      </c>
      <c r="CD149" s="6">
        <f t="shared" ca="1" si="112"/>
        <v>1.8157906741714067</v>
      </c>
      <c r="CE149" s="9">
        <f t="shared" ca="1" si="113"/>
        <v>60.002454686285866</v>
      </c>
      <c r="CF149" s="9">
        <f t="shared" ca="1" si="114"/>
        <v>400.37543222153658</v>
      </c>
      <c r="CG149">
        <f t="shared" ca="1" si="119"/>
        <v>404.84661452822104</v>
      </c>
      <c r="CH149">
        <f t="shared" ca="1" si="120"/>
        <v>0.14821034073906827</v>
      </c>
      <c r="CI149">
        <f t="shared" ca="1" si="121"/>
        <v>0.98895586094527466</v>
      </c>
      <c r="CJ149">
        <f t="shared" ca="1" si="122"/>
        <v>1.4220379456985592</v>
      </c>
      <c r="CK149" s="39">
        <f t="shared" ca="1" si="123"/>
        <v>0.99918401956561853</v>
      </c>
    </row>
    <row r="150" spans="1:89" x14ac:dyDescent="0.25">
      <c r="A150" t="s">
        <v>180</v>
      </c>
      <c r="B150" s="51">
        <f>B28</f>
        <v>2.5592207503376696</v>
      </c>
      <c r="C150" t="s">
        <v>4</v>
      </c>
      <c r="D150" t="s">
        <v>181</v>
      </c>
      <c r="BC150">
        <v>2.5830872929516033</v>
      </c>
      <c r="BD150">
        <v>-166.51198222716306</v>
      </c>
      <c r="BE150">
        <v>125.20043900545465</v>
      </c>
      <c r="BF150" s="6">
        <f t="shared" si="105"/>
        <v>2.496876348105102</v>
      </c>
      <c r="BG150" s="6">
        <f t="shared" si="106"/>
        <v>8.6210944846501381E-2</v>
      </c>
      <c r="BH150" s="6">
        <f t="shared" si="107"/>
        <v>-2.0740224219721615</v>
      </c>
      <c r="BI150" s="6">
        <f t="shared" si="108"/>
        <v>2.0740224219721615</v>
      </c>
      <c r="BV150" s="39"/>
      <c r="BW150" s="6">
        <f t="shared" si="109"/>
        <v>2.3561944901923431</v>
      </c>
      <c r="BX150" s="9">
        <f t="shared" ca="1" si="110"/>
        <v>23.485538158215469</v>
      </c>
      <c r="BY150" s="9">
        <f t="shared" ca="1" si="111"/>
        <v>316.74088084813587</v>
      </c>
      <c r="BZ150">
        <f t="shared" ca="1" si="115"/>
        <v>317.61038412343197</v>
      </c>
      <c r="CA150" s="6">
        <f t="shared" ca="1" si="116"/>
        <v>7.3944490898913293E-2</v>
      </c>
      <c r="CB150" s="6">
        <f t="shared" ca="1" si="117"/>
        <v>0.9972623587931615</v>
      </c>
      <c r="CC150" s="6">
        <f t="shared" ca="1" si="118"/>
        <v>1.496784284088714</v>
      </c>
      <c r="CD150" s="6">
        <f t="shared" ca="1" si="112"/>
        <v>1.8471623612147607</v>
      </c>
      <c r="CE150" s="9">
        <f t="shared" ca="1" si="113"/>
        <v>48.785580022571459</v>
      </c>
      <c r="CF150" s="9">
        <f t="shared" ca="1" si="114"/>
        <v>389.0405040689318</v>
      </c>
      <c r="CG150">
        <f t="shared" ca="1" si="119"/>
        <v>392.08742217055016</v>
      </c>
      <c r="CH150">
        <f t="shared" ca="1" si="120"/>
        <v>0.12442526146975129</v>
      </c>
      <c r="CI150">
        <f t="shared" ca="1" si="121"/>
        <v>0.99222898279993021</v>
      </c>
      <c r="CJ150">
        <f t="shared" ca="1" si="122"/>
        <v>1.4460477565105361</v>
      </c>
      <c r="CK150" s="39">
        <f t="shared" ca="1" si="123"/>
        <v>1.0231938303775954</v>
      </c>
    </row>
    <row r="151" spans="1:89" ht="18" x14ac:dyDescent="0.35">
      <c r="A151" t="s">
        <v>182</v>
      </c>
      <c r="B151" s="1">
        <f>(((B145/B146)*B150)-B150)*-1</f>
        <v>0.77948930459766275</v>
      </c>
      <c r="C151" t="s">
        <v>4</v>
      </c>
      <c r="D151" t="s">
        <v>183</v>
      </c>
      <c r="BC151">
        <v>2.6005405854715464</v>
      </c>
      <c r="BD151">
        <v>-181.9973302355624</v>
      </c>
      <c r="BE151">
        <v>100.11800047543008</v>
      </c>
      <c r="BF151" s="6">
        <f t="shared" si="105"/>
        <v>2.6386673171972972</v>
      </c>
      <c r="BG151" s="6">
        <f t="shared" si="106"/>
        <v>3.8126731725750762E-2</v>
      </c>
      <c r="BH151" s="6">
        <f t="shared" si="107"/>
        <v>-2.2158133910643567</v>
      </c>
      <c r="BI151" s="6">
        <f t="shared" si="108"/>
        <v>2.2158133910643567</v>
      </c>
      <c r="BV151" s="39"/>
      <c r="BW151" s="6">
        <f t="shared" si="109"/>
        <v>2.3736477827122862</v>
      </c>
      <c r="BX151" s="9">
        <f t="shared" ca="1" si="110"/>
        <v>11.085747401715153</v>
      </c>
      <c r="BY151" s="9">
        <f t="shared" ca="1" si="111"/>
        <v>304.08212351629709</v>
      </c>
      <c r="BZ151">
        <f t="shared" ca="1" si="115"/>
        <v>304.28412978273315</v>
      </c>
      <c r="CA151" s="6">
        <f t="shared" ca="1" si="116"/>
        <v>3.6432223427592718E-2</v>
      </c>
      <c r="CB151" s="6">
        <f t="shared" ca="1" si="117"/>
        <v>0.99933612618383916</v>
      </c>
      <c r="CC151" s="6">
        <f t="shared" ca="1" si="118"/>
        <v>1.5343560390927329</v>
      </c>
      <c r="CD151" s="6">
        <f t="shared" ca="1" si="112"/>
        <v>1.8847341162187796</v>
      </c>
      <c r="CE151" s="9">
        <f t="shared" ca="1" si="113"/>
        <v>36.385789266071143</v>
      </c>
      <c r="CF151" s="9">
        <f t="shared" ca="1" si="114"/>
        <v>376.38174673709301</v>
      </c>
      <c r="CG151">
        <f t="shared" ca="1" si="119"/>
        <v>378.13641048883426</v>
      </c>
      <c r="CH151">
        <f t="shared" ca="1" si="120"/>
        <v>9.622397700087533E-2</v>
      </c>
      <c r="CI151">
        <f t="shared" ca="1" si="121"/>
        <v>0.99535970696534382</v>
      </c>
      <c r="CJ151">
        <f t="shared" ca="1" si="122"/>
        <v>1.4744232371700254</v>
      </c>
      <c r="CK151" s="39">
        <f t="shared" ca="1" si="123"/>
        <v>1.0515693110370847</v>
      </c>
    </row>
    <row r="152" spans="1:89" x14ac:dyDescent="0.25">
      <c r="A152" t="s">
        <v>184</v>
      </c>
      <c r="B152" s="1">
        <f>B148-B151</f>
        <v>11.469749999837999</v>
      </c>
      <c r="C152" t="s">
        <v>4</v>
      </c>
      <c r="D152" t="s">
        <v>185</v>
      </c>
      <c r="BC152">
        <v>2.6179938779914895</v>
      </c>
      <c r="BD152">
        <v>-196.81227297614976</v>
      </c>
      <c r="BE152">
        <v>75.220574151265879</v>
      </c>
      <c r="BF152" s="6">
        <f t="shared" si="105"/>
        <v>2.7765294174594315</v>
      </c>
      <c r="BG152" s="6">
        <f t="shared" si="106"/>
        <v>0.15853553946794197</v>
      </c>
      <c r="BH152" s="6">
        <f t="shared" si="107"/>
        <v>-2.3536754913264906</v>
      </c>
      <c r="BI152" s="6">
        <f t="shared" si="108"/>
        <v>2.3536754913264906</v>
      </c>
      <c r="BV152" s="39"/>
      <c r="BW152" s="6">
        <f t="shared" si="109"/>
        <v>2.3911010752322293</v>
      </c>
      <c r="BX152" s="9">
        <f t="shared" ca="1" si="110"/>
        <v>-2.4659781272454566</v>
      </c>
      <c r="BY152" s="9">
        <f t="shared" ca="1" si="111"/>
        <v>290.03764063033526</v>
      </c>
      <c r="BZ152">
        <f t="shared" ca="1" si="115"/>
        <v>290.04812364594869</v>
      </c>
      <c r="CA152" s="6">
        <f t="shared" ca="1" si="116"/>
        <v>-8.5019620063310156E-3</v>
      </c>
      <c r="CB152" s="6">
        <f t="shared" ca="1" si="117"/>
        <v>0.99996385766788742</v>
      </c>
      <c r="CC152" s="6">
        <f t="shared" ca="1" si="118"/>
        <v>1.5792983912296199</v>
      </c>
      <c r="CD152" s="6">
        <f t="shared" ca="1" si="112"/>
        <v>1.9296764683556666</v>
      </c>
      <c r="CE152" s="9">
        <f t="shared" ca="1" si="113"/>
        <v>22.834063737110533</v>
      </c>
      <c r="CF152" s="9">
        <f t="shared" ca="1" si="114"/>
        <v>362.33726385113118</v>
      </c>
      <c r="CG152">
        <f t="shared" ca="1" si="119"/>
        <v>363.05603870735257</v>
      </c>
      <c r="CH152">
        <f t="shared" ca="1" si="120"/>
        <v>6.2894047482064647E-2</v>
      </c>
      <c r="CI152">
        <f t="shared" ca="1" si="121"/>
        <v>0.99802020961066906</v>
      </c>
      <c r="CJ152">
        <f t="shared" ca="1" si="122"/>
        <v>1.5078607407389855</v>
      </c>
      <c r="CK152" s="39">
        <f t="shared" ca="1" si="123"/>
        <v>1.0850068146060448</v>
      </c>
    </row>
    <row r="153" spans="1:89" x14ac:dyDescent="0.25">
      <c r="A153" t="s">
        <v>186</v>
      </c>
      <c r="B153" s="1">
        <f>B148-B150</f>
        <v>9.6900185540979926</v>
      </c>
      <c r="C153" t="s">
        <v>4</v>
      </c>
      <c r="D153" t="s">
        <v>187</v>
      </c>
      <c r="BC153">
        <v>2.6354471705114326</v>
      </c>
      <c r="BD153">
        <v>-210.88522024304905</v>
      </c>
      <c r="BE153">
        <v>50.649270626202906</v>
      </c>
      <c r="BF153" s="6">
        <f t="shared" si="105"/>
        <v>2.905882601155314</v>
      </c>
      <c r="BG153" s="6">
        <f t="shared" si="106"/>
        <v>0.27043543064388142</v>
      </c>
      <c r="BH153" s="6">
        <f t="shared" si="107"/>
        <v>-2.4830286750223731</v>
      </c>
      <c r="BI153" s="6">
        <f t="shared" si="108"/>
        <v>2.4830286750223731</v>
      </c>
      <c r="BV153" s="39"/>
      <c r="BW153" s="6">
        <f t="shared" si="109"/>
        <v>2.4085543677521724</v>
      </c>
      <c r="BX153" s="9">
        <f t="shared" ca="1" si="110"/>
        <v>-17.160745427476023</v>
      </c>
      <c r="BY153" s="9">
        <f t="shared" ca="1" si="111"/>
        <v>274.52708900192255</v>
      </c>
      <c r="BZ153">
        <f t="shared" ca="1" si="115"/>
        <v>275.06292694490133</v>
      </c>
      <c r="CA153" s="6">
        <f t="shared" ca="1" si="116"/>
        <v>-6.2388434595962626E-2</v>
      </c>
      <c r="CB153" s="6">
        <f t="shared" ca="1" si="117"/>
        <v>0.99805194415354226</v>
      </c>
      <c r="CC153" s="6">
        <f t="shared" ca="1" si="118"/>
        <v>1.6332253050367216</v>
      </c>
      <c r="CD153" s="6">
        <f t="shared" ca="1" si="112"/>
        <v>1.9836033821627683</v>
      </c>
      <c r="CE153" s="9">
        <f t="shared" ca="1" si="113"/>
        <v>8.1392964368799667</v>
      </c>
      <c r="CF153" s="9">
        <f t="shared" ca="1" si="114"/>
        <v>346.82671222271847</v>
      </c>
      <c r="CG153">
        <f t="shared" ca="1" si="119"/>
        <v>346.9222051954988</v>
      </c>
      <c r="CH153">
        <f t="shared" ca="1" si="120"/>
        <v>2.346144557767146E-2</v>
      </c>
      <c r="CI153">
        <f t="shared" ca="1" si="121"/>
        <v>0.99972474240233045</v>
      </c>
      <c r="CJ153">
        <f t="shared" ca="1" si="122"/>
        <v>1.5473327283331351</v>
      </c>
      <c r="CK153" s="39">
        <f t="shared" ca="1" si="123"/>
        <v>1.1244788022001944</v>
      </c>
    </row>
    <row r="154" spans="1:89" x14ac:dyDescent="0.25">
      <c r="BC154">
        <v>2.6529004630313757</v>
      </c>
      <c r="BD154">
        <v>-224.09342752582171</v>
      </c>
      <c r="BE154">
        <v>26.660031318841675</v>
      </c>
      <c r="BF154" s="6">
        <f t="shared" si="105"/>
        <v>3.0231808300759773</v>
      </c>
      <c r="BG154" s="6">
        <f t="shared" si="106"/>
        <v>0.37028036704460154</v>
      </c>
      <c r="BH154" s="6">
        <f t="shared" si="107"/>
        <v>-2.6003269039430368</v>
      </c>
      <c r="BI154" s="6">
        <f t="shared" si="108"/>
        <v>2.6003269039430368</v>
      </c>
      <c r="BV154" s="39"/>
      <c r="BW154" s="6">
        <f t="shared" si="109"/>
        <v>2.4260076602721155</v>
      </c>
      <c r="BX154" s="9">
        <f t="shared" ca="1" si="110"/>
        <v>-33.008994768913922</v>
      </c>
      <c r="BY154" s="9">
        <f t="shared" ca="1" si="111"/>
        <v>257.45104312759139</v>
      </c>
      <c r="BZ154">
        <f t="shared" ca="1" si="115"/>
        <v>259.55853548504064</v>
      </c>
      <c r="CA154" s="6">
        <f t="shared" ca="1" si="116"/>
        <v>-0.12717360539590639</v>
      </c>
      <c r="CB154" s="6">
        <f t="shared" ca="1" si="117"/>
        <v>0.99188047369156651</v>
      </c>
      <c r="CC154" s="6">
        <f t="shared" ca="1" si="118"/>
        <v>1.6983152504580996</v>
      </c>
      <c r="CD154" s="6">
        <f t="shared" ca="1" si="112"/>
        <v>2.0486933275841466</v>
      </c>
      <c r="CE154" s="9">
        <f t="shared" ca="1" si="113"/>
        <v>-7.7089529045579326</v>
      </c>
      <c r="CF154" s="9">
        <f t="shared" ca="1" si="114"/>
        <v>329.75066634838731</v>
      </c>
      <c r="CG154">
        <f t="shared" ca="1" si="119"/>
        <v>329.84076447899849</v>
      </c>
      <c r="CH154">
        <f t="shared" ca="1" si="120"/>
        <v>-2.3371740957290846E-2</v>
      </c>
      <c r="CI154">
        <f t="shared" ca="1" si="121"/>
        <v>0.99972684355509089</v>
      </c>
      <c r="CJ154">
        <f t="shared" ca="1" si="122"/>
        <v>1.5941701960319543</v>
      </c>
      <c r="CK154" s="39">
        <f t="shared" ca="1" si="123"/>
        <v>1.1713162698990136</v>
      </c>
    </row>
    <row r="155" spans="1:89" x14ac:dyDescent="0.25">
      <c r="A155" t="s">
        <v>188</v>
      </c>
      <c r="BC155">
        <v>2.6703537555513188</v>
      </c>
      <c r="BD155">
        <v>-236.01894385042868</v>
      </c>
      <c r="BE155">
        <v>4.121215810410348</v>
      </c>
      <c r="BF155" s="6">
        <f t="shared" si="105"/>
        <v>3.1241330506981315</v>
      </c>
      <c r="BG155" s="6">
        <f t="shared" si="106"/>
        <v>0.4537792951468127</v>
      </c>
      <c r="BH155" s="6">
        <f t="shared" si="107"/>
        <v>-2.7012791245651906</v>
      </c>
      <c r="BI155" s="6">
        <f t="shared" si="108"/>
        <v>2.7012791245651906</v>
      </c>
      <c r="BV155" s="39"/>
      <c r="BW155" s="6">
        <f t="shared" si="109"/>
        <v>2.4434609527920585</v>
      </c>
      <c r="BX155" s="9">
        <f t="shared" ca="1" si="110"/>
        <v>-50.038878923955536</v>
      </c>
      <c r="BY155" s="9">
        <f t="shared" ca="1" si="111"/>
        <v>238.6896931944753</v>
      </c>
      <c r="BZ155">
        <f t="shared" ca="1" si="115"/>
        <v>243.87836935907012</v>
      </c>
      <c r="CA155" s="6">
        <f t="shared" ca="1" si="116"/>
        <v>-0.20517965187097695</v>
      </c>
      <c r="CB155" s="6">
        <f t="shared" ca="1" si="117"/>
        <v>0.97872432812212484</v>
      </c>
      <c r="CC155" s="6">
        <f t="shared" ca="1" si="118"/>
        <v>1.7774435876984964</v>
      </c>
      <c r="CD155" s="6">
        <f t="shared" ca="1" si="112"/>
        <v>2.1278216648245429</v>
      </c>
      <c r="CE155" s="9">
        <f t="shared" ca="1" si="113"/>
        <v>-24.738837059599547</v>
      </c>
      <c r="CF155" s="9">
        <f t="shared" ca="1" si="114"/>
        <v>310.98931641527122</v>
      </c>
      <c r="CG155">
        <f t="shared" ca="1" si="119"/>
        <v>311.97173747552694</v>
      </c>
      <c r="CH155">
        <f t="shared" ca="1" si="120"/>
        <v>-7.9298327661941559E-2</v>
      </c>
      <c r="CI155">
        <f t="shared" ca="1" si="121"/>
        <v>0.99685092929184715</v>
      </c>
      <c r="CJ155">
        <f t="shared" ca="1" si="122"/>
        <v>1.6501779981286198</v>
      </c>
      <c r="CK155" s="39">
        <f t="shared" ca="1" si="123"/>
        <v>1.2273240719956791</v>
      </c>
    </row>
    <row r="156" spans="1:89" x14ac:dyDescent="0.25">
      <c r="B156" t="str">
        <f>B48</f>
        <v>xi (in)</v>
      </c>
      <c r="C156" t="str">
        <f t="shared" ref="C156:E156" si="124">C48</f>
        <v>yi (in)</v>
      </c>
      <c r="D156" t="str">
        <f t="shared" si="124"/>
        <v>xj (in)</v>
      </c>
      <c r="E156" t="str">
        <f t="shared" si="124"/>
        <v>yj (in)</v>
      </c>
      <c r="F156" s="1" t="s">
        <v>194</v>
      </c>
      <c r="G156" s="1" t="s">
        <v>195</v>
      </c>
      <c r="H156" s="1" t="s">
        <v>189</v>
      </c>
      <c r="I156" s="1" t="s">
        <v>190</v>
      </c>
      <c r="J156" s="1" t="s">
        <v>191</v>
      </c>
      <c r="K156" s="1" t="s">
        <v>192</v>
      </c>
      <c r="M156" s="1" t="s">
        <v>99</v>
      </c>
      <c r="N156" s="1" t="s">
        <v>100</v>
      </c>
      <c r="O156" s="1" t="s">
        <v>101</v>
      </c>
      <c r="P156" t="s">
        <v>196</v>
      </c>
      <c r="AB156" t="s">
        <v>197</v>
      </c>
      <c r="AS156"/>
      <c r="AT156"/>
      <c r="AU156"/>
      <c r="AV156"/>
      <c r="AW156"/>
      <c r="AX156"/>
      <c r="AY156"/>
      <c r="AZ156"/>
      <c r="BA156"/>
      <c r="BB156"/>
      <c r="BC156">
        <v>2.6878070480712619</v>
      </c>
      <c r="BD156">
        <v>-246.48463884819353</v>
      </c>
      <c r="BE156">
        <v>-16.477784775616339</v>
      </c>
      <c r="BF156" s="6">
        <f t="shared" ref="BF156:BF157" si="125">IF(BC156&lt;&gt;"",IF(AND(BD156=0,BE156=0),0,MOD(ATAN2(BD156,BE156),2*PI())),NA())</f>
        <v>3.2083444951204232</v>
      </c>
      <c r="BG156" s="6">
        <f t="shared" ref="BG156:BG157" si="126">ABS(BC156-BF156)</f>
        <v>0.52053744704916127</v>
      </c>
      <c r="BH156" s="6">
        <f t="shared" ref="BH156:BH157" si="127">ATAN2(COS($U$13-BF156),SIN($U$13-BF156))</f>
        <v>-2.7854905689874823</v>
      </c>
      <c r="BI156" s="6">
        <f t="shared" ref="BI156:BI157" si="128">ABS(BH156)</f>
        <v>2.7854905689874823</v>
      </c>
      <c r="BV156" s="39"/>
      <c r="BW156" s="6">
        <f t="shared" si="109"/>
        <v>2.4609142453120016</v>
      </c>
      <c r="BX156" s="9">
        <f t="shared" ca="1" si="110"/>
        <v>-68.295540194543094</v>
      </c>
      <c r="BY156" s="9">
        <f t="shared" ca="1" si="111"/>
        <v>218.10087768916634</v>
      </c>
      <c r="BZ156">
        <f t="shared" ca="1" si="115"/>
        <v>228.54381124687919</v>
      </c>
      <c r="CA156" s="6">
        <f t="shared" ca="1" si="116"/>
        <v>-0.29882909461402307</v>
      </c>
      <c r="CB156" s="6">
        <f t="shared" ca="1" si="117"/>
        <v>0.95430664474903626</v>
      </c>
      <c r="CC156" s="6">
        <f t="shared" ca="1" si="118"/>
        <v>1.8742617749537975</v>
      </c>
      <c r="CD156" s="6">
        <f t="shared" ca="1" si="112"/>
        <v>2.2246398520798443</v>
      </c>
      <c r="CE156" s="9">
        <f t="shared" ca="1" si="113"/>
        <v>-42.995498330187104</v>
      </c>
      <c r="CF156" s="9">
        <f t="shared" ca="1" si="114"/>
        <v>290.40050090996226</v>
      </c>
      <c r="CG156">
        <f t="shared" ca="1" si="119"/>
        <v>293.56611487945628</v>
      </c>
      <c r="CH156">
        <f t="shared" ca="1" si="120"/>
        <v>-0.14645933624812882</v>
      </c>
      <c r="CI156">
        <f t="shared" ca="1" si="121"/>
        <v>0.98921669154223102</v>
      </c>
      <c r="CJ156">
        <f t="shared" ca="1" si="122"/>
        <v>1.7177843830210136</v>
      </c>
      <c r="CK156" s="39">
        <f t="shared" ca="1" si="123"/>
        <v>1.2949304568880728</v>
      </c>
    </row>
    <row r="157" spans="1:89" x14ac:dyDescent="0.25">
      <c r="A157" s="1" t="s">
        <v>43</v>
      </c>
      <c r="B157" s="1">
        <f t="shared" ref="B157:E157" si="129">B49</f>
        <v>-5.4732199355286753</v>
      </c>
      <c r="C157" s="1">
        <f t="shared" si="129"/>
        <v>-12.249239304435662</v>
      </c>
      <c r="D157" s="1">
        <f t="shared" si="129"/>
        <v>6.515459482231325</v>
      </c>
      <c r="E157" s="1">
        <f t="shared" si="129"/>
        <v>-11.728119531084339</v>
      </c>
      <c r="F157" s="6">
        <f>IF(E157-C157=0,0,MIN(MAX(($B$152-C157)/(E157-C157),0),1))</f>
        <v>1</v>
      </c>
      <c r="G157" s="6">
        <f>IF(E157-C157=0,0,MIN(MAX(($B$153-C157)/(E157-C157),0),1))</f>
        <v>1</v>
      </c>
      <c r="H157" s="1">
        <f>IF(AND(F157=0,G157=0),0,IF(C157&gt;E157,B157+(F157*(D157-B157)),B157+(G157*(D157-B157))))</f>
        <v>6.515459482231325</v>
      </c>
      <c r="I157" s="1">
        <f>IF(AND(F157=0,G157=0),0,IF(C157&gt;E157,C157+(F157*(E157-C157)),C157+(G157*(E157-C157))))</f>
        <v>-11.728119531084339</v>
      </c>
      <c r="J157">
        <f>IF(AND(F157=0,G157=0),0,IF(C157&gt;E157,B157+(G157*(D157-B157)),B157+(F157*(D157-B157))))</f>
        <v>6.515459482231325</v>
      </c>
      <c r="K157">
        <f>IF(AND(F157=0,G157=0),0,IF(C157&gt;E157,C157+(G157*(E157-C157)),C157+(F157*(E157-C157))))</f>
        <v>-11.728119531084339</v>
      </c>
      <c r="M157" s="9">
        <f>((17*$B$143*$B$147*(I157-K157))/(240*POWER($B$150,2)))*((H157*((2*I157*((4*$B$150*($B$147-1))+($B$147*K157)-(4*$B$147*$B$148)))+(6*($B$150-$B$148)*(($B$150*($B$147-2))-($B$147*$B$148)))+(4*K157*(($B$150*($B$147-1))-($B$147*$B$148)))+(3*$B$147*I157*I157)+($B$147*K157*K157)))+(J157*((2*I157*((2*$B$150*($B$147-1))+($B$147*K157)-(2*$B$147*$B$148)))+(6*($B$150-$B$148)*(($B$150*($B$147-2))-($B$147*$B$148)))+(8*K157*(($B$150*($B$147-1))-($B$147*$B$148)))+($B$147*I157*I157)+(3*$B$147*K157*K157))))</f>
        <v>0</v>
      </c>
      <c r="N157" s="9">
        <f>((1/(1200*$B$150*$B$150))*17*$B$143*$B$147*(I157-K157))*Z157</f>
        <v>0</v>
      </c>
      <c r="O157" s="9">
        <f>((1/(1200*$B$150*$B$150))*17*$B$143*$B$147*(I157-K157))*AW157</f>
        <v>0</v>
      </c>
      <c r="P157">
        <f t="shared" ref="P157:P164" si="130">((2*I157*I157)*((5*$B$150*($B$147-1))+(3*$B$147*K157)-(5*$B$147*$B$148)))</f>
        <v>-36604.72845649907</v>
      </c>
      <c r="Q157">
        <f>(I157)*((20*K157)*(($B$150*($B$147-1))-($B$147*$B$148))+((10*($B$150-$B$148))*(($B$150*($B$147-2))-($B$147*$B$148)))+(9*$B$147*K157*K157))</f>
        <v>-87902.606560007727</v>
      </c>
      <c r="R157">
        <f t="shared" ref="R157:R164" si="131">(2*K157)*((15*K157)*(($B$150*($B$147-1))-($B$147*$B$148))+((10*($B$150-$B$148))*(($B$150*($B$147-2))-($B$147*$B$148)))+(6*$B$147*K157*K157))</f>
        <v>-139200.4846635164</v>
      </c>
      <c r="S157">
        <f t="shared" ref="S157:S164" si="132">3*$B$147*I157*I157*I157</f>
        <v>-6959.2058011076988</v>
      </c>
      <c r="T157" s="55">
        <f>J157*(SUM(P157:S157))</f>
        <v>-1763520.0376983818</v>
      </c>
      <c r="U157" s="56">
        <f t="shared" ref="U157:U164" si="133">(I157*I157)*((30*$B$150*($B$147-1))+(9*$B$147*K157)-(30*$B$147*$B$148))</f>
        <v>-88936.567966174101</v>
      </c>
      <c r="V157" s="56">
        <f t="shared" ref="V157:V164" si="134">I157*(((20*K157)*(($B$150*($B$147-1))-($B$147*$B$148)))+(20*($B$150-$B$148)*(($B$150*($B$147-2))-($B$147*$B$148)))+(6*$B$147*K157*K157))</f>
        <v>-102595.75620701733</v>
      </c>
      <c r="W157" s="56">
        <f t="shared" ref="W157:W164" si="135">K157*(((10*K157)*(($B$150*($B$147-1))-($B$147*$B$148)))+(10*($B$150-$B$148)*(($B$150*($B$147-2))-($B$147*$B$148)))+(3*$B$147*K157*K157))</f>
        <v>-51297.878103508665</v>
      </c>
      <c r="X157" s="56">
        <f t="shared" ref="X157:X164" si="136">12*$B$147*I157*I157*I157</f>
        <v>-27836.823204430795</v>
      </c>
      <c r="Y157" s="55">
        <f t="shared" ref="Y157:Y164" si="137">H157*SUM(U157:X157)</f>
        <v>-1763520.037698382</v>
      </c>
      <c r="Z157" s="55">
        <f t="shared" ref="Z157:Z164" si="138">T157+Y157</f>
        <v>-3527040.0753967641</v>
      </c>
      <c r="AB157">
        <f>(3*I157)*(((5*$B$150)*($B$147-1))+($B$147*K157)-(5*$B$147*$B$148))</f>
        <v>3494.9064915220511</v>
      </c>
      <c r="AC157">
        <f>(10*($B$150-$B$148))*(($B$150*($B$147-2))-($B$147*$B$148))</f>
        <v>1846.1915732295915</v>
      </c>
      <c r="AD157">
        <f>(5*K157)*(($B$150*($B$147-1))-($B$147*$B$148))</f>
        <v>967.17622949508677</v>
      </c>
      <c r="AE157">
        <f>6*$B$147*I157*I157</f>
        <v>1186.755606073581</v>
      </c>
      <c r="AF157">
        <f>$B$147*K157*K157</f>
        <v>197.7926010122635</v>
      </c>
      <c r="AG157">
        <f>SUM(AB157:AF157)</f>
        <v>7692.8225013325746</v>
      </c>
      <c r="AH157" s="53">
        <f>AG157*H157*H157</f>
        <v>326569.64091794554</v>
      </c>
      <c r="AI157">
        <f>(2*I157)*(((5*$B$150)*($B$147-1))+(2*$B$147*K157)-(5*$B$147*$B$148))</f>
        <v>2725.5228630392276</v>
      </c>
      <c r="AJ157">
        <f>(10*($B$150-$B$148))*(($B$150*($B$147-2))-($B$147*$B$148))</f>
        <v>1846.1915732295915</v>
      </c>
      <c r="AK157">
        <f>(10*K157)*(($B$150*($B$147-1))-($B$147*$B$148))</f>
        <v>1934.3524589901735</v>
      </c>
      <c r="AL157">
        <f>3*$B$147*I157*I157</f>
        <v>593.37780303679051</v>
      </c>
      <c r="AM157">
        <f>3*$B$147*K157*K157</f>
        <v>593.37780303679051</v>
      </c>
      <c r="AN157">
        <f>SUM(AI157:AM157)</f>
        <v>7692.8225013325737</v>
      </c>
      <c r="AO157" s="53">
        <f>(H157*J157)*AN157</f>
        <v>326569.64091794548</v>
      </c>
      <c r="AP157">
        <f>(I157)*(((5*$B$150)*($B$147-1))+(3*$B$147*K157)-(5*$B$147*$B$148))</f>
        <v>1560.5540325318773</v>
      </c>
      <c r="AQ157">
        <f>(10*($B$150-$B$148))*(($B$150*($B$147-2))-($B$147*$B$148))</f>
        <v>1846.1915732295915</v>
      </c>
      <c r="AR157">
        <f>(15*K157)*(($B$150*($B$147-1))-($B$147*$B$148))</f>
        <v>2901.5286884852603</v>
      </c>
      <c r="AS157">
        <f>$B$147*I157*I157</f>
        <v>197.7926010122635</v>
      </c>
      <c r="AT157">
        <f>6*$B$147*K157*K157</f>
        <v>1186.755606073581</v>
      </c>
      <c r="AU157">
        <f>SUM(AP157:AT157)</f>
        <v>7692.8225013325737</v>
      </c>
      <c r="AV157" s="53">
        <f>(J157*J157)*AU157</f>
        <v>326569.64091794548</v>
      </c>
      <c r="AW157" s="53">
        <f>AH157+AO157+AV157</f>
        <v>979708.92275383649</v>
      </c>
      <c r="BA157"/>
      <c r="BC157">
        <v>2.705260340591205</v>
      </c>
      <c r="BD157">
        <v>-255.38003889197901</v>
      </c>
      <c r="BE157">
        <v>-34.728045900393155</v>
      </c>
      <c r="BF157" s="6">
        <f t="shared" si="125"/>
        <v>3.2767493601350113</v>
      </c>
      <c r="BG157" s="6">
        <f t="shared" si="126"/>
        <v>0.57148901954380626</v>
      </c>
      <c r="BH157" s="6">
        <f t="shared" si="127"/>
        <v>-2.8538954340020704</v>
      </c>
      <c r="BI157" s="6">
        <f t="shared" si="128"/>
        <v>2.8538954340020704</v>
      </c>
      <c r="BV157" s="39"/>
      <c r="BW157" s="6">
        <f t="shared" si="109"/>
        <v>2.4783675378319447</v>
      </c>
      <c r="BX157" s="9">
        <f t="shared" ca="1" si="110"/>
        <v>-87.648870805638865</v>
      </c>
      <c r="BY157" s="9">
        <f t="shared" ca="1" si="111"/>
        <v>195.80062878268626</v>
      </c>
      <c r="BZ157">
        <f t="shared" ca="1" si="115"/>
        <v>214.5232173570005</v>
      </c>
      <c r="CA157" s="6">
        <f t="shared" ca="1" si="116"/>
        <v>-0.408575220367767</v>
      </c>
      <c r="CB157" s="6">
        <f t="shared" ca="1" si="117"/>
        <v>0.91272465141543679</v>
      </c>
      <c r="CC157" s="6">
        <f t="shared" ca="1" si="118"/>
        <v>1.9916888245370588</v>
      </c>
      <c r="CD157" s="6">
        <f t="shared" ca="1" si="112"/>
        <v>2.3420669016631055</v>
      </c>
      <c r="CE157" s="9">
        <f t="shared" ca="1" si="113"/>
        <v>-62.348828941282875</v>
      </c>
      <c r="CF157" s="9">
        <f t="shared" ca="1" si="114"/>
        <v>268.10025200348218</v>
      </c>
      <c r="CG157">
        <f t="shared" ca="1" si="119"/>
        <v>275.25464863409667</v>
      </c>
      <c r="CH157">
        <f t="shared" ca="1" si="120"/>
        <v>-0.22651326417438578</v>
      </c>
      <c r="CI157">
        <f t="shared" ca="1" si="121"/>
        <v>0.97400808064053801</v>
      </c>
      <c r="CJ157">
        <f t="shared" ca="1" si="122"/>
        <v>1.7992927294502221</v>
      </c>
      <c r="CK157" s="39">
        <f t="shared" ca="1" si="123"/>
        <v>1.3764388033172814</v>
      </c>
    </row>
    <row r="158" spans="1:89" x14ac:dyDescent="0.25">
      <c r="A158" s="1" t="s">
        <v>44</v>
      </c>
      <c r="B158" s="1">
        <f t="shared" ref="B158:E158" si="139">B50</f>
        <v>6.515459482231325</v>
      </c>
      <c r="C158" s="1">
        <f t="shared" si="139"/>
        <v>-11.728119531084339</v>
      </c>
      <c r="D158" s="1">
        <f t="shared" si="139"/>
        <v>5.8206331177628918</v>
      </c>
      <c r="E158" s="1">
        <f t="shared" si="139"/>
        <v>4.2567863592623292</v>
      </c>
      <c r="F158" s="6">
        <f t="shared" ref="F158:F164" si="140">IF(E158-C158=0,0,MIN(MAX(($B$152-C158)/(E158-C158),0),1))</f>
        <v>1</v>
      </c>
      <c r="G158" s="6">
        <f t="shared" ref="G158:G164" si="141">IF(E158-C158=0,0,MIN(MAX(($B$153-C158)/(E158-C158),0),1))</f>
        <v>1</v>
      </c>
      <c r="H158" s="1">
        <f t="shared" ref="H158:H164" si="142">IF(AND(F158=0,G158=0),0,IF(C158&gt;E158,B158+(F158*(D158-B158)),B158+(G158*(D158-B158))))</f>
        <v>5.8206331177628918</v>
      </c>
      <c r="I158" s="1">
        <f t="shared" ref="I158:I164" si="143">IF(AND(F158=0,G158=0),0,IF(C158&gt;E158,C158+(F158*(E158-C158)),C158+(G158*(E158-C158))))</f>
        <v>4.2567863592623283</v>
      </c>
      <c r="J158">
        <f t="shared" ref="J158:J164" si="144">IF(AND(F158=0,G158=0),0,IF(C158&gt;E158,B158+(G158*(D158-B158)),B158+(F158*(D158-B158))))</f>
        <v>5.8206331177628918</v>
      </c>
      <c r="K158">
        <f t="shared" ref="K158:K164" si="145">IF(AND(F158=0,G158=0),0,IF(C158&gt;E158,C158+(G158*(E158-C158)),C158+(F158*(E158-C158))))</f>
        <v>4.2567863592623283</v>
      </c>
      <c r="M158" s="9">
        <f t="shared" ref="M158:M164" si="146">((17*$B$143*$B$147*(I158-K158))/(240*POWER($B$150,2)))*((H158*((2*I158*((4*$B$150*($B$147-1))+($B$147*K158)-(4*$B$147*$B$148)))+(6*($B$150-$B$148)*(($B$150*($B$147-2))-($B$147*$B$148)))+(4*K158*(($B$150*($B$147-1))-($B$147*$B$148)))+(3*$B$147*I158*I158)+($B$147*K158*K158)))+(J158*((2*I158*((2*$B$150*($B$147-1))+($B$147*K158)-(2*$B$147*$B$148)))+(6*($B$150-$B$148)*(($B$150*($B$147-2))-($B$147*$B$148)))+(8*K158*(($B$150*($B$147-1))-($B$147*$B$148)))+($B$147*I158*I158)+(3*$B$147*K158*K158))))</f>
        <v>0</v>
      </c>
      <c r="N158" s="9">
        <f t="shared" ref="N158:N164" si="147">((1/(1200*$B$150*$B$150))*17*$B$143*$B$147*(I158-K158))*Z158</f>
        <v>0</v>
      </c>
      <c r="O158" s="9">
        <f t="shared" ref="O158:O164" si="148">((1/(1200*$B$150*$B$150))*17*$B$143*$B$147*(I158-K158))*AW158</f>
        <v>0</v>
      </c>
      <c r="P158">
        <f t="shared" si="130"/>
        <v>-2323.1185192335965</v>
      </c>
      <c r="Q158">
        <f t="shared" ref="Q158:Q164" si="149">(I158)*((20*K158)*(($B$150*($B$147-1))-($B$147*$B$148))+((10*($B$150-$B$148))*(($B$150*($B$147-2))-($B$147*$B$148)))+(9*$B$147*K158*K158))</f>
        <v>2879.8545134561718</v>
      </c>
      <c r="R158">
        <f t="shared" si="131"/>
        <v>8082.8275461459407</v>
      </c>
      <c r="S158">
        <f t="shared" si="132"/>
        <v>332.75155358541724</v>
      </c>
      <c r="T158" s="55">
        <f t="shared" ref="T158:T164" si="150">J158*(SUM(P158:S158))</f>
        <v>52224.554378872141</v>
      </c>
      <c r="U158" s="56">
        <f t="shared" si="133"/>
        <v>-7967.6102184570427</v>
      </c>
      <c r="V158" s="56">
        <f t="shared" si="134"/>
        <v>10405.94606537954</v>
      </c>
      <c r="W158" s="56">
        <f t="shared" si="135"/>
        <v>5202.9730326897698</v>
      </c>
      <c r="X158" s="56">
        <f t="shared" si="136"/>
        <v>1331.006214341669</v>
      </c>
      <c r="Y158" s="55">
        <f t="shared" si="137"/>
        <v>52224.554378872148</v>
      </c>
      <c r="Z158" s="55">
        <f t="shared" si="138"/>
        <v>104449.10875774428</v>
      </c>
      <c r="AB158">
        <f t="shared" ref="AB158:AB164" si="151">(3*I158)*(((5*$B$150)*($B$147-1))+($B$147*K158)-(5*$B$147*$B$148))</f>
        <v>-974.9563486997331</v>
      </c>
      <c r="AC158">
        <f t="shared" ref="AC158:AC164" si="152">(10*($B$150-$B$148))*(($B$150*($B$147-2))-($B$147*$B$148))</f>
        <v>1846.1915732295915</v>
      </c>
      <c r="AD158">
        <f t="shared" ref="AD158:AD164" si="153">(5*K158)*(($B$150*($B$147-1))-($B$147*$B$148))</f>
        <v>-351.04200377609965</v>
      </c>
      <c r="AE158">
        <f t="shared" ref="AE158:AE164" si="154">6*$B$147*I158*I158</f>
        <v>156.33932525713166</v>
      </c>
      <c r="AF158">
        <f t="shared" ref="AF158:AF164" si="155">$B$147*K158*K158</f>
        <v>26.056554209521945</v>
      </c>
      <c r="AG158">
        <f t="shared" ref="AG158:AG164" si="156">SUM(AB158:AF158)</f>
        <v>702.58910022041243</v>
      </c>
      <c r="AH158" s="53">
        <f t="shared" ref="AH158:AH164" si="157">AG158*H158*H158</f>
        <v>23803.557043812576</v>
      </c>
      <c r="AI158">
        <f t="shared" ref="AI158:AI164" si="158">(2*I158)*(((5*$B$150)*($B$147-1))+(2*$B$147*K158)-(5*$B$147*$B$148))</f>
        <v>-597.8577907141115</v>
      </c>
      <c r="AJ158">
        <f t="shared" ref="AJ158:AJ164" si="159">(10*($B$150-$B$148))*(($B$150*($B$147-2))-($B$147*$B$148))</f>
        <v>1846.1915732295915</v>
      </c>
      <c r="AK158">
        <f t="shared" ref="AK158:AK164" si="160">(10*K158)*(($B$150*($B$147-1))-($B$147*$B$148))</f>
        <v>-702.0840075521993</v>
      </c>
      <c r="AL158">
        <f t="shared" ref="AL158:AL164" si="161">3*$B$147*I158*I158</f>
        <v>78.169662628565831</v>
      </c>
      <c r="AM158">
        <f t="shared" ref="AM158:AM164" si="162">3*$B$147*K158*K158</f>
        <v>78.169662628565831</v>
      </c>
      <c r="AN158">
        <f t="shared" ref="AN158:AN164" si="163">SUM(AI158:AM158)</f>
        <v>702.58910022041221</v>
      </c>
      <c r="AO158" s="53">
        <f t="shared" ref="AO158:AO164" si="164">(H158*J158)*AN158</f>
        <v>23803.557043812569</v>
      </c>
      <c r="AP158">
        <f t="shared" ref="AP158:AP164" si="165">(I158)*(((5*$B$150)*($B$147-1))+(3*$B$147*K158)-(5*$B$147*$B$148))</f>
        <v>-272.8723411475338</v>
      </c>
      <c r="AQ158">
        <f t="shared" ref="AQ158:AQ164" si="166">(10*($B$150-$B$148))*(($B$150*($B$147-2))-($B$147*$B$148))</f>
        <v>1846.1915732295915</v>
      </c>
      <c r="AR158">
        <f t="shared" ref="AR158:AR164" si="167">(15*K158)*(($B$150*($B$147-1))-($B$147*$B$148))</f>
        <v>-1053.126011328299</v>
      </c>
      <c r="AS158">
        <f t="shared" ref="AS158:AS164" si="168">$B$147*I158*I158</f>
        <v>26.056554209521945</v>
      </c>
      <c r="AT158">
        <f t="shared" ref="AT158:AT164" si="169">6*$B$147*K158*K158</f>
        <v>156.33932525713166</v>
      </c>
      <c r="AU158">
        <f t="shared" ref="AU158:AU164" si="170">SUM(AP158:AT158)</f>
        <v>702.58910022041221</v>
      </c>
      <c r="AV158" s="53">
        <f t="shared" ref="AV158:AV164" si="171">(J158*J158)*AU158</f>
        <v>23803.557043812569</v>
      </c>
      <c r="AW158" s="53">
        <f t="shared" ref="AW158:AW164" si="172">AH158+AO158+AV158</f>
        <v>71410.671131437717</v>
      </c>
      <c r="BC158">
        <v>2.7227136331111481</v>
      </c>
      <c r="BD158">
        <v>-262.51712936310042</v>
      </c>
      <c r="BE158">
        <v>-50.002292963213975</v>
      </c>
      <c r="BF158" s="6">
        <f t="shared" ref="BF158:BF194" si="173">IF(BC158&lt;&gt;"",IF(AND(BD158=0,BE158=0),0,MOD(ATAN2(BD158,BE158),2*PI())),NA())</f>
        <v>3.3298105940963327</v>
      </c>
      <c r="BG158" s="6">
        <f t="shared" ref="BG158:BG194" si="174">ABS(BC158-BF158)</f>
        <v>0.60709696098518462</v>
      </c>
      <c r="BH158" s="6">
        <f t="shared" ref="BH158:BH194" si="175">ATAN2(COS($U$13-BF158),SIN($U$13-BF158))</f>
        <v>-2.9069566679633922</v>
      </c>
      <c r="BI158" s="6">
        <f t="shared" ref="BI158:BI194" si="176">ABS(BH158)</f>
        <v>2.9069566679633922</v>
      </c>
      <c r="BV158" s="39"/>
      <c r="BW158" s="6">
        <f t="shared" si="109"/>
        <v>2.4958208303518878</v>
      </c>
      <c r="BX158" s="9">
        <f t="shared" ca="1" si="110"/>
        <v>-107.75594136988778</v>
      </c>
      <c r="BY158" s="9">
        <f t="shared" ca="1" si="111"/>
        <v>172.25369171533754</v>
      </c>
      <c r="BZ158">
        <f t="shared" ca="1" si="115"/>
        <v>203.1813899206156</v>
      </c>
      <c r="CA158" s="6">
        <f t="shared" ca="1" si="116"/>
        <v>-0.53034355859062088</v>
      </c>
      <c r="CB158" s="6">
        <f t="shared" ca="1" si="117"/>
        <v>0.84778281998483362</v>
      </c>
      <c r="CC158" s="6">
        <f t="shared" ca="1" si="118"/>
        <v>2.1298020844296506</v>
      </c>
      <c r="CD158" s="6">
        <f t="shared" ca="1" si="112"/>
        <v>2.4801801615556975</v>
      </c>
      <c r="CE158" s="9">
        <f t="shared" ca="1" si="113"/>
        <v>-82.455899505531789</v>
      </c>
      <c r="CF158" s="9">
        <f t="shared" ca="1" si="114"/>
        <v>244.55331493613346</v>
      </c>
      <c r="CG158">
        <f t="shared" ca="1" si="119"/>
        <v>258.08002481695098</v>
      </c>
      <c r="CH158">
        <f t="shared" ca="1" si="120"/>
        <v>-0.31949741001464749</v>
      </c>
      <c r="CI158">
        <f t="shared" ca="1" si="121"/>
        <v>0.9475871490232084</v>
      </c>
      <c r="CJ158">
        <f t="shared" ca="1" si="122"/>
        <v>1.8959953774359461</v>
      </c>
      <c r="CK158" s="39">
        <f t="shared" ca="1" si="123"/>
        <v>1.4731414513030054</v>
      </c>
    </row>
    <row r="159" spans="1:89" x14ac:dyDescent="0.25">
      <c r="A159" s="1" t="s">
        <v>45</v>
      </c>
      <c r="B159" s="1">
        <f t="shared" ref="B159:E159" si="177">B51</f>
        <v>5.8206331177628918</v>
      </c>
      <c r="C159" s="1">
        <f t="shared" si="177"/>
        <v>4.2567863592623292</v>
      </c>
      <c r="D159" s="1">
        <f t="shared" si="177"/>
        <v>5.8206331177628918</v>
      </c>
      <c r="E159" s="1">
        <f t="shared" si="177"/>
        <v>4.2567863592623292</v>
      </c>
      <c r="F159" s="6">
        <f t="shared" si="140"/>
        <v>0</v>
      </c>
      <c r="G159" s="6">
        <f t="shared" si="141"/>
        <v>0</v>
      </c>
      <c r="H159" s="1">
        <f t="shared" si="142"/>
        <v>0</v>
      </c>
      <c r="I159" s="1">
        <f t="shared" si="143"/>
        <v>0</v>
      </c>
      <c r="J159">
        <f t="shared" si="144"/>
        <v>0</v>
      </c>
      <c r="K159">
        <f t="shared" si="145"/>
        <v>0</v>
      </c>
      <c r="M159" s="9">
        <f t="shared" si="146"/>
        <v>0</v>
      </c>
      <c r="N159" s="9">
        <f t="shared" si="147"/>
        <v>0</v>
      </c>
      <c r="O159" s="9">
        <f t="shared" si="148"/>
        <v>0</v>
      </c>
      <c r="P159">
        <f t="shared" si="130"/>
        <v>0</v>
      </c>
      <c r="Q159">
        <f t="shared" si="149"/>
        <v>0</v>
      </c>
      <c r="R159">
        <f t="shared" si="131"/>
        <v>0</v>
      </c>
      <c r="S159">
        <f t="shared" si="132"/>
        <v>0</v>
      </c>
      <c r="T159" s="55">
        <f t="shared" si="150"/>
        <v>0</v>
      </c>
      <c r="U159" s="56">
        <f t="shared" si="133"/>
        <v>0</v>
      </c>
      <c r="V159" s="56">
        <f t="shared" si="134"/>
        <v>0</v>
      </c>
      <c r="W159" s="56">
        <f t="shared" si="135"/>
        <v>0</v>
      </c>
      <c r="X159" s="56">
        <f t="shared" si="136"/>
        <v>0</v>
      </c>
      <c r="Y159" s="55">
        <f t="shared" si="137"/>
        <v>0</v>
      </c>
      <c r="Z159" s="55">
        <f t="shared" si="138"/>
        <v>0</v>
      </c>
      <c r="AB159">
        <f t="shared" si="151"/>
        <v>0</v>
      </c>
      <c r="AC159">
        <f t="shared" si="152"/>
        <v>1846.1915732295915</v>
      </c>
      <c r="AD159">
        <f t="shared" si="153"/>
        <v>0</v>
      </c>
      <c r="AE159">
        <f t="shared" si="154"/>
        <v>0</v>
      </c>
      <c r="AF159">
        <f t="shared" si="155"/>
        <v>0</v>
      </c>
      <c r="AG159">
        <f t="shared" si="156"/>
        <v>1846.1915732295915</v>
      </c>
      <c r="AH159" s="53">
        <f t="shared" si="157"/>
        <v>0</v>
      </c>
      <c r="AI159">
        <f t="shared" si="158"/>
        <v>0</v>
      </c>
      <c r="AJ159">
        <f t="shared" si="159"/>
        <v>1846.1915732295915</v>
      </c>
      <c r="AK159">
        <f t="shared" si="160"/>
        <v>0</v>
      </c>
      <c r="AL159">
        <f t="shared" si="161"/>
        <v>0</v>
      </c>
      <c r="AM159">
        <f t="shared" si="162"/>
        <v>0</v>
      </c>
      <c r="AN159">
        <f t="shared" si="163"/>
        <v>1846.1915732295915</v>
      </c>
      <c r="AO159" s="53">
        <f t="shared" si="164"/>
        <v>0</v>
      </c>
      <c r="AP159">
        <f t="shared" si="165"/>
        <v>0</v>
      </c>
      <c r="AQ159">
        <f t="shared" si="166"/>
        <v>1846.1915732295915</v>
      </c>
      <c r="AR159">
        <f t="shared" si="167"/>
        <v>0</v>
      </c>
      <c r="AS159">
        <f t="shared" si="168"/>
        <v>0</v>
      </c>
      <c r="AT159">
        <f t="shared" si="169"/>
        <v>0</v>
      </c>
      <c r="AU159">
        <f t="shared" si="170"/>
        <v>1846.1915732295915</v>
      </c>
      <c r="AV159" s="53">
        <f t="shared" si="171"/>
        <v>0</v>
      </c>
      <c r="AW159" s="53">
        <f t="shared" si="172"/>
        <v>0</v>
      </c>
      <c r="BC159">
        <v>2.7401669256310912</v>
      </c>
      <c r="BD159">
        <v>-267.57968253538775</v>
      </c>
      <c r="BE159">
        <v>-61.300542719054576</v>
      </c>
      <c r="BF159" s="6">
        <f t="shared" si="173"/>
        <v>3.3667991229812886</v>
      </c>
      <c r="BG159" s="6">
        <f t="shared" si="174"/>
        <v>0.62663219735019737</v>
      </c>
      <c r="BH159" s="6">
        <f t="shared" si="175"/>
        <v>-2.9439451968483477</v>
      </c>
      <c r="BI159" s="6">
        <f t="shared" si="176"/>
        <v>2.9439451968483477</v>
      </c>
      <c r="BV159" s="39"/>
      <c r="BW159" s="6">
        <f t="shared" si="109"/>
        <v>2.5132741228718309</v>
      </c>
      <c r="BX159" s="9">
        <f t="shared" ca="1" si="110"/>
        <v>-128.05470768337483</v>
      </c>
      <c r="BY159" s="9">
        <f t="shared" ca="1" si="111"/>
        <v>147.67805920395898</v>
      </c>
      <c r="BZ159">
        <f t="shared" ca="1" si="115"/>
        <v>195.46564232652906</v>
      </c>
      <c r="CA159" s="6">
        <f t="shared" ca="1" si="116"/>
        <v>-0.6551264261033507</v>
      </c>
      <c r="CB159" s="6">
        <f t="shared" ca="1" si="117"/>
        <v>0.75551926899388278</v>
      </c>
      <c r="CC159" s="6">
        <f t="shared" ca="1" si="118"/>
        <v>2.2851462718361528</v>
      </c>
      <c r="CD159" s="6">
        <f t="shared" ca="1" si="112"/>
        <v>2.6355243489621998</v>
      </c>
      <c r="CE159" s="9">
        <f t="shared" ca="1" si="113"/>
        <v>-102.75466581901884</v>
      </c>
      <c r="CF159" s="9">
        <f t="shared" ca="1" si="114"/>
        <v>219.9776824247549</v>
      </c>
      <c r="CG159">
        <f t="shared" ca="1" si="119"/>
        <v>242.793538037042</v>
      </c>
      <c r="CH159">
        <f t="shared" ca="1" si="120"/>
        <v>-0.42321828929129895</v>
      </c>
      <c r="CI159">
        <f t="shared" ca="1" si="121"/>
        <v>0.9060277477038694</v>
      </c>
      <c r="CJ159">
        <f t="shared" ca="1" si="122"/>
        <v>2.0077907992194506</v>
      </c>
      <c r="CK159" s="39">
        <f t="shared" ca="1" si="123"/>
        <v>1.5849368730865099</v>
      </c>
    </row>
    <row r="160" spans="1:89" x14ac:dyDescent="0.25">
      <c r="A160" s="1" t="s">
        <v>46</v>
      </c>
      <c r="B160" s="1">
        <f t="shared" ref="B160:E160" si="178">B52</f>
        <v>5.8206331177628918</v>
      </c>
      <c r="C160" s="1">
        <f t="shared" si="178"/>
        <v>4.2567863592623292</v>
      </c>
      <c r="D160" s="1">
        <f t="shared" si="178"/>
        <v>5.4732199355286753</v>
      </c>
      <c r="E160" s="1">
        <f t="shared" si="178"/>
        <v>12.249239304435662</v>
      </c>
      <c r="F160" s="6">
        <f t="shared" si="140"/>
        <v>0.90247183062011038</v>
      </c>
      <c r="G160" s="6">
        <f t="shared" si="141"/>
        <v>0.67979533093364153</v>
      </c>
      <c r="H160" s="1">
        <f t="shared" si="142"/>
        <v>5.5844632585752727</v>
      </c>
      <c r="I160" s="1">
        <f t="shared" si="143"/>
        <v>9.6900185540979926</v>
      </c>
      <c r="J160">
        <f t="shared" si="144"/>
        <v>5.5071025072104201</v>
      </c>
      <c r="K160">
        <f t="shared" si="145"/>
        <v>11.469749999837999</v>
      </c>
      <c r="M160" s="9">
        <f t="shared" si="146"/>
        <v>27916.249716809114</v>
      </c>
      <c r="N160" s="9">
        <f t="shared" si="147"/>
        <v>301519.89770758169</v>
      </c>
      <c r="O160" s="9">
        <f t="shared" si="148"/>
        <v>77274.649454349972</v>
      </c>
      <c r="P160">
        <f t="shared" si="130"/>
        <v>-6194.6451686567898</v>
      </c>
      <c r="Q160">
        <f t="shared" si="149"/>
        <v>-2274.4521961020441</v>
      </c>
      <c r="R160">
        <f t="shared" si="131"/>
        <v>3294.7229987626961</v>
      </c>
      <c r="S160">
        <f t="shared" si="132"/>
        <v>3925.0785732809518</v>
      </c>
      <c r="T160" s="55">
        <f t="shared" si="150"/>
        <v>-6879.9999923092328</v>
      </c>
      <c r="U160" s="56">
        <f t="shared" si="133"/>
        <v>-32521.887135448145</v>
      </c>
      <c r="V160" s="56">
        <f t="shared" si="134"/>
        <v>10115.883095153111</v>
      </c>
      <c r="W160" s="56">
        <f t="shared" si="135"/>
        <v>5986.915787685718</v>
      </c>
      <c r="X160" s="56">
        <f t="shared" si="136"/>
        <v>15700.314293123807</v>
      </c>
      <c r="Y160" s="55">
        <f t="shared" si="137"/>
        <v>-4013.9667679674931</v>
      </c>
      <c r="Z160" s="55">
        <f t="shared" si="138"/>
        <v>-10893.966760276726</v>
      </c>
      <c r="AB160">
        <f t="shared" si="151"/>
        <v>-1917.8431292178548</v>
      </c>
      <c r="AC160">
        <f t="shared" si="152"/>
        <v>1846.1915732295915</v>
      </c>
      <c r="AD160">
        <f t="shared" si="153"/>
        <v>-945.86941484462727</v>
      </c>
      <c r="AE160">
        <f t="shared" si="154"/>
        <v>810.12818528009984</v>
      </c>
      <c r="AF160">
        <f t="shared" si="155"/>
        <v>189.17388296892545</v>
      </c>
      <c r="AG160">
        <f t="shared" si="156"/>
        <v>-18.218902583865201</v>
      </c>
      <c r="AH160" s="53">
        <f t="shared" si="157"/>
        <v>-568.1788842579308</v>
      </c>
      <c r="AI160">
        <f t="shared" si="158"/>
        <v>-958.9215646089275</v>
      </c>
      <c r="AJ160">
        <f t="shared" si="159"/>
        <v>1846.1915732295915</v>
      </c>
      <c r="AK160">
        <f t="shared" si="160"/>
        <v>-1891.7388296892545</v>
      </c>
      <c r="AL160">
        <f t="shared" si="161"/>
        <v>405.06409264004992</v>
      </c>
      <c r="AM160">
        <f t="shared" si="162"/>
        <v>567.52164890677636</v>
      </c>
      <c r="AN160">
        <f t="shared" si="163"/>
        <v>-31.883079521764216</v>
      </c>
      <c r="AO160" s="53">
        <f t="shared" si="164"/>
        <v>-980.53897447765519</v>
      </c>
      <c r="AP160">
        <f t="shared" si="165"/>
        <v>-319.64052153630917</v>
      </c>
      <c r="AQ160">
        <f t="shared" si="166"/>
        <v>1846.1915732295915</v>
      </c>
      <c r="AR160">
        <f t="shared" si="167"/>
        <v>-2837.6082445338816</v>
      </c>
      <c r="AS160">
        <f t="shared" si="168"/>
        <v>135.02136421334995</v>
      </c>
      <c r="AT160">
        <f t="shared" si="169"/>
        <v>1135.0432978135527</v>
      </c>
      <c r="AU160">
        <f t="shared" si="170"/>
        <v>-40.992530813696703</v>
      </c>
      <c r="AV160" s="53">
        <f t="shared" si="171"/>
        <v>-1243.2287722099472</v>
      </c>
      <c r="AW160" s="53">
        <f t="shared" si="172"/>
        <v>-2791.9466309455333</v>
      </c>
      <c r="BC160">
        <v>2.7576202181510343</v>
      </c>
      <c r="BD160">
        <v>-270.01927884823704</v>
      </c>
      <c r="BE160">
        <v>-66.93246723206093</v>
      </c>
      <c r="BF160" s="6">
        <f t="shared" si="173"/>
        <v>3.3845753378561589</v>
      </c>
      <c r="BG160" s="6">
        <f t="shared" si="174"/>
        <v>0.62695511970512463</v>
      </c>
      <c r="BH160" s="6">
        <f t="shared" si="175"/>
        <v>-2.961721411723218</v>
      </c>
      <c r="BI160" s="6">
        <f t="shared" si="176"/>
        <v>2.961721411723218</v>
      </c>
      <c r="BV160" s="39"/>
      <c r="BW160" s="6">
        <f t="shared" si="109"/>
        <v>2.530727415391774</v>
      </c>
      <c r="BX160" s="9">
        <f t="shared" ca="1" si="110"/>
        <v>-144.90236139853008</v>
      </c>
      <c r="BY160" s="9">
        <f t="shared" ca="1" si="111"/>
        <v>123.81988009880551</v>
      </c>
      <c r="BZ160">
        <f t="shared" ca="1" si="115"/>
        <v>190.59920526212272</v>
      </c>
      <c r="CA160" s="6">
        <f t="shared" ca="1" si="116"/>
        <v>-0.76024640920853903</v>
      </c>
      <c r="CB160" s="6">
        <f t="shared" ca="1" si="117"/>
        <v>0.64963481840609705</v>
      </c>
      <c r="CC160" s="6">
        <f t="shared" ca="1" si="118"/>
        <v>2.434488661862646</v>
      </c>
      <c r="CD160" s="6">
        <f t="shared" ca="1" si="112"/>
        <v>2.7848667389886925</v>
      </c>
      <c r="CE160" s="9">
        <f t="shared" ca="1" si="113"/>
        <v>-119.60231953417409</v>
      </c>
      <c r="CF160" s="9">
        <f t="shared" ca="1" si="114"/>
        <v>196.11950331960145</v>
      </c>
      <c r="CG160">
        <f t="shared" ca="1" si="119"/>
        <v>229.71193791416641</v>
      </c>
      <c r="CH160">
        <f t="shared" ca="1" si="120"/>
        <v>-0.52066218508358231</v>
      </c>
      <c r="CI160">
        <f t="shared" ca="1" si="121"/>
        <v>0.85376278264163608</v>
      </c>
      <c r="CJ160">
        <f t="shared" ca="1" si="122"/>
        <v>2.1184227020357795</v>
      </c>
      <c r="CK160" s="39">
        <f t="shared" ca="1" si="123"/>
        <v>1.6955687759028388</v>
      </c>
    </row>
    <row r="161" spans="1:89" x14ac:dyDescent="0.25">
      <c r="A161" s="1" t="s">
        <v>47</v>
      </c>
      <c r="B161" s="1">
        <f t="shared" ref="B161:E161" si="179">B53</f>
        <v>5.4732199355286753</v>
      </c>
      <c r="C161" s="1">
        <f t="shared" si="179"/>
        <v>12.249239304435662</v>
      </c>
      <c r="D161" s="1">
        <f t="shared" si="179"/>
        <v>-30.492818317751322</v>
      </c>
      <c r="E161" s="1">
        <f t="shared" si="179"/>
        <v>10.685879984381689</v>
      </c>
      <c r="F161" s="6">
        <f t="shared" si="140"/>
        <v>0.49859894305728242</v>
      </c>
      <c r="G161" s="6">
        <f t="shared" si="141"/>
        <v>1</v>
      </c>
      <c r="H161" s="1">
        <f>IF(AND(F161=0,G161=0),0,IF(C161&gt;E161,B161+(F161*(D161-B161)),B161+(G161*(D161-B161))))</f>
        <v>-12.459408723514521</v>
      </c>
      <c r="I161" s="1">
        <f t="shared" si="143"/>
        <v>11.469749999837999</v>
      </c>
      <c r="J161">
        <f t="shared" si="144"/>
        <v>-30.492818317751322</v>
      </c>
      <c r="K161">
        <f t="shared" si="145"/>
        <v>10.685879984381689</v>
      </c>
      <c r="M161" s="9">
        <f t="shared" si="146"/>
        <v>65948.909790374804</v>
      </c>
      <c r="N161" s="9">
        <f t="shared" si="147"/>
        <v>727856.56727952475</v>
      </c>
      <c r="O161" s="9">
        <f t="shared" si="148"/>
        <v>-739373.17483920581</v>
      </c>
      <c r="P161">
        <f t="shared" si="130"/>
        <v>-9568.8349840094379</v>
      </c>
      <c r="Q161">
        <f t="shared" si="149"/>
        <v>-2304.4082891570242</v>
      </c>
      <c r="R161">
        <f t="shared" si="131"/>
        <v>4011.7749583675122</v>
      </c>
      <c r="S161">
        <f t="shared" si="132"/>
        <v>6509.331432456559</v>
      </c>
      <c r="T161" s="55">
        <f t="shared" si="150"/>
        <v>41230.464293997247</v>
      </c>
      <c r="U161" s="56">
        <f t="shared" si="133"/>
        <v>-46899.909638296951</v>
      </c>
      <c r="V161" s="56">
        <f t="shared" si="134"/>
        <v>13220.939472327318</v>
      </c>
      <c r="W161" s="56">
        <f t="shared" si="135"/>
        <v>6158.694500057094</v>
      </c>
      <c r="X161" s="56">
        <f t="shared" si="136"/>
        <v>26037.325729826236</v>
      </c>
      <c r="Y161" s="55">
        <f t="shared" si="137"/>
        <v>18476.67937020896</v>
      </c>
      <c r="Z161" s="55">
        <f t="shared" si="138"/>
        <v>59707.143664206204</v>
      </c>
      <c r="AB161">
        <f t="shared" si="151"/>
        <v>-2308.8723759367572</v>
      </c>
      <c r="AC161">
        <f t="shared" si="152"/>
        <v>1846.1915732295915</v>
      </c>
      <c r="AD161">
        <f t="shared" si="153"/>
        <v>-881.2264476618742</v>
      </c>
      <c r="AE161">
        <f t="shared" si="154"/>
        <v>1135.0432978135527</v>
      </c>
      <c r="AF161">
        <f t="shared" si="155"/>
        <v>164.20026694410606</v>
      </c>
      <c r="AG161">
        <f t="shared" si="156"/>
        <v>-44.663685611381169</v>
      </c>
      <c r="AH161" s="53">
        <f t="shared" si="157"/>
        <v>-6933.4505666892246</v>
      </c>
      <c r="AI161">
        <f t="shared" si="158"/>
        <v>-1186.7576715597552</v>
      </c>
      <c r="AJ161">
        <f t="shared" si="159"/>
        <v>1846.1915732295915</v>
      </c>
      <c r="AK161">
        <f t="shared" si="160"/>
        <v>-1762.4528953237484</v>
      </c>
      <c r="AL161">
        <f t="shared" si="161"/>
        <v>567.52164890677636</v>
      </c>
      <c r="AM161">
        <f t="shared" si="162"/>
        <v>492.60080083231821</v>
      </c>
      <c r="AN161">
        <f t="shared" si="163"/>
        <v>-42.896543914817471</v>
      </c>
      <c r="AO161" s="53">
        <f t="shared" si="164"/>
        <v>-16297.361628636012</v>
      </c>
      <c r="AP161">
        <f t="shared" si="165"/>
        <v>-417.13354624750275</v>
      </c>
      <c r="AQ161">
        <f t="shared" si="166"/>
        <v>1846.1915732295915</v>
      </c>
      <c r="AR161">
        <f t="shared" si="167"/>
        <v>-2643.6793429856225</v>
      </c>
      <c r="AS161">
        <f t="shared" si="168"/>
        <v>189.17388296892545</v>
      </c>
      <c r="AT161">
        <f t="shared" si="169"/>
        <v>985.20160166463643</v>
      </c>
      <c r="AU161">
        <f t="shared" si="170"/>
        <v>-40.245831369971711</v>
      </c>
      <c r="AV161" s="53">
        <f t="shared" si="171"/>
        <v>-37421.055708521002</v>
      </c>
      <c r="AW161" s="53">
        <f t="shared" si="172"/>
        <v>-60651.867903846243</v>
      </c>
      <c r="BC161">
        <v>2.7750735106709774</v>
      </c>
      <c r="BD161">
        <v>-270.46285629257181</v>
      </c>
      <c r="BE161">
        <v>-67.916640791874102</v>
      </c>
      <c r="BF161" s="6">
        <f t="shared" si="173"/>
        <v>3.3876182291077686</v>
      </c>
      <c r="BG161" s="6">
        <f t="shared" si="174"/>
        <v>0.61254471843679115</v>
      </c>
      <c r="BH161" s="6">
        <f t="shared" si="175"/>
        <v>-2.9647643029748281</v>
      </c>
      <c r="BI161" s="6">
        <f t="shared" si="176"/>
        <v>2.9647643029748281</v>
      </c>
      <c r="BV161" s="39"/>
      <c r="BW161" s="6">
        <f t="shared" si="109"/>
        <v>2.5481807079117171</v>
      </c>
      <c r="BX161" s="9">
        <f t="shared" ca="1" si="110"/>
        <v>-161.652366123485</v>
      </c>
      <c r="BY161" s="9">
        <f t="shared" ca="1" si="111"/>
        <v>99.31280117586455</v>
      </c>
      <c r="BZ161">
        <f t="shared" ca="1" si="115"/>
        <v>189.72221786263736</v>
      </c>
      <c r="CA161" s="6">
        <f t="shared" ca="1" si="116"/>
        <v>-0.85204763018596219</v>
      </c>
      <c r="CB161" s="6">
        <f t="shared" ca="1" si="117"/>
        <v>0.52346426420003678</v>
      </c>
      <c r="CC161" s="6">
        <f t="shared" ca="1" si="118"/>
        <v>2.5906809465499583</v>
      </c>
      <c r="CD161" s="6">
        <f t="shared" ca="1" si="112"/>
        <v>2.9410590236760052</v>
      </c>
      <c r="CE161" s="9">
        <f t="shared" ca="1" si="113"/>
        <v>-136.35232425912901</v>
      </c>
      <c r="CF161" s="9">
        <f t="shared" ca="1" si="114"/>
        <v>171.61242439666049</v>
      </c>
      <c r="CG161">
        <f t="shared" ca="1" si="119"/>
        <v>219.18663403174514</v>
      </c>
      <c r="CH161">
        <f t="shared" ca="1" si="120"/>
        <v>-0.62208320713288057</v>
      </c>
      <c r="CI161">
        <f t="shared" ca="1" si="121"/>
        <v>0.78295113730249444</v>
      </c>
      <c r="CJ161">
        <f t="shared" ca="1" si="122"/>
        <v>2.2421969381850388</v>
      </c>
      <c r="CK161" s="39">
        <f t="shared" ca="1" si="123"/>
        <v>1.8193430120520981</v>
      </c>
    </row>
    <row r="162" spans="1:89" x14ac:dyDescent="0.25">
      <c r="A162" s="1" t="s">
        <v>48</v>
      </c>
      <c r="B162" s="1">
        <f t="shared" ref="B162:E162" si="180">B54</f>
        <v>-30.492818317751322</v>
      </c>
      <c r="C162" s="1">
        <f t="shared" si="180"/>
        <v>10.685879984381689</v>
      </c>
      <c r="D162" s="1">
        <f t="shared" si="180"/>
        <v>-30.145405135517105</v>
      </c>
      <c r="E162" s="1">
        <f t="shared" si="180"/>
        <v>2.693427039208355</v>
      </c>
      <c r="F162" s="6">
        <f t="shared" si="140"/>
        <v>0</v>
      </c>
      <c r="G162" s="6">
        <f t="shared" si="141"/>
        <v>0.12460022437605968</v>
      </c>
      <c r="H162" s="1">
        <f t="shared" si="142"/>
        <v>-30.492818317751322</v>
      </c>
      <c r="I162" s="1">
        <f t="shared" si="143"/>
        <v>10.685879984381689</v>
      </c>
      <c r="J162">
        <f t="shared" si="144"/>
        <v>-30.449530557293738</v>
      </c>
      <c r="K162">
        <f t="shared" si="145"/>
        <v>9.6900185540979926</v>
      </c>
      <c r="M162" s="9">
        <f t="shared" si="146"/>
        <v>58716.463967311982</v>
      </c>
      <c r="N162" s="9">
        <f t="shared" si="147"/>
        <v>606833.4706317978</v>
      </c>
      <c r="O162" s="9">
        <f t="shared" si="148"/>
        <v>-894767.43856907333</v>
      </c>
      <c r="P162">
        <f t="shared" si="130"/>
        <v>-9286.7383178982145</v>
      </c>
      <c r="Q162">
        <f t="shared" si="149"/>
        <v>-1442.8220933113432</v>
      </c>
      <c r="R162">
        <f t="shared" si="131"/>
        <v>5019.736726226105</v>
      </c>
      <c r="S162">
        <f t="shared" si="132"/>
        <v>5263.87303790446</v>
      </c>
      <c r="T162" s="55">
        <f t="shared" si="150"/>
        <v>13578.987855276682</v>
      </c>
      <c r="U162" s="56">
        <f t="shared" si="133"/>
        <v>-42180.147653180728</v>
      </c>
      <c r="V162" s="56">
        <f t="shared" si="134"/>
        <v>13956.89320646285</v>
      </c>
      <c r="W162" s="56">
        <f t="shared" si="135"/>
        <v>6328.0962506530859</v>
      </c>
      <c r="X162" s="56">
        <f t="shared" si="136"/>
        <v>21055.49215161784</v>
      </c>
      <c r="Y162" s="55">
        <f t="shared" si="137"/>
        <v>25603.784140905831</v>
      </c>
      <c r="Z162" s="55">
        <f t="shared" si="138"/>
        <v>39182.771996182513</v>
      </c>
      <c r="AB162">
        <f t="shared" si="151"/>
        <v>-2196.9860517634411</v>
      </c>
      <c r="AC162">
        <f t="shared" si="152"/>
        <v>1846.1915732295915</v>
      </c>
      <c r="AD162">
        <f t="shared" si="153"/>
        <v>-799.10130384077274</v>
      </c>
      <c r="AE162">
        <f t="shared" si="154"/>
        <v>985.20160166463643</v>
      </c>
      <c r="AF162">
        <f t="shared" si="155"/>
        <v>135.02136421334995</v>
      </c>
      <c r="AG162">
        <f t="shared" si="156"/>
        <v>-29.672816496635903</v>
      </c>
      <c r="AH162" s="53">
        <f t="shared" si="157"/>
        <v>-27590.139931307713</v>
      </c>
      <c r="AI162">
        <f t="shared" si="158"/>
        <v>-1166.8618403608396</v>
      </c>
      <c r="AJ162">
        <f t="shared" si="159"/>
        <v>1846.1915732295915</v>
      </c>
      <c r="AK162">
        <f t="shared" si="160"/>
        <v>-1598.2026076815455</v>
      </c>
      <c r="AL162">
        <f t="shared" si="161"/>
        <v>492.60080083231821</v>
      </c>
      <c r="AM162">
        <f t="shared" si="162"/>
        <v>405.06409264004992</v>
      </c>
      <c r="AN162">
        <f t="shared" si="163"/>
        <v>-21.207981340425363</v>
      </c>
      <c r="AO162" s="53">
        <f t="shared" si="164"/>
        <v>-19691.441077420073</v>
      </c>
      <c r="AP162">
        <f t="shared" si="165"/>
        <v>-434.5331564396925</v>
      </c>
      <c r="AQ162">
        <f t="shared" si="166"/>
        <v>1846.1915732295915</v>
      </c>
      <c r="AR162">
        <f t="shared" si="167"/>
        <v>-2397.3039115223182</v>
      </c>
      <c r="AS162">
        <f t="shared" si="168"/>
        <v>164.20026694410606</v>
      </c>
      <c r="AT162">
        <f t="shared" si="169"/>
        <v>810.12818528009984</v>
      </c>
      <c r="AU162">
        <f t="shared" si="170"/>
        <v>-11.317042508213262</v>
      </c>
      <c r="AV162" s="53">
        <f t="shared" si="171"/>
        <v>-10492.866565099144</v>
      </c>
      <c r="AW162" s="53">
        <f t="shared" si="172"/>
        <v>-57774.447573826932</v>
      </c>
      <c r="BC162">
        <v>2.7925268031909205</v>
      </c>
      <c r="BD162">
        <v>-270.86008911341634</v>
      </c>
      <c r="BE162">
        <v>-68.829766247180956</v>
      </c>
      <c r="BF162" s="6">
        <f t="shared" si="173"/>
        <v>3.3904410288008346</v>
      </c>
      <c r="BG162" s="6">
        <f t="shared" si="174"/>
        <v>0.59791422560991414</v>
      </c>
      <c r="BH162" s="6">
        <f t="shared" si="175"/>
        <v>-2.9675871026678937</v>
      </c>
      <c r="BI162" s="6">
        <f t="shared" si="176"/>
        <v>2.9675871026678937</v>
      </c>
      <c r="BV162" s="39"/>
      <c r="BW162" s="6">
        <f t="shared" si="109"/>
        <v>2.5656340004316602</v>
      </c>
      <c r="BX162" s="9">
        <f t="shared" ca="1" si="110"/>
        <v>-175.70178467205056</v>
      </c>
      <c r="BY162" s="9">
        <f t="shared" ca="1" si="111"/>
        <v>78.086127099937372</v>
      </c>
      <c r="BZ162">
        <f t="shared" ca="1" si="115"/>
        <v>192.27209985437617</v>
      </c>
      <c r="CA162" s="6">
        <f t="shared" ca="1" si="116"/>
        <v>-0.91381841049806134</v>
      </c>
      <c r="CB162" s="6">
        <f t="shared" ca="1" si="117"/>
        <v>0.40612302647694887</v>
      </c>
      <c r="CC162" s="6">
        <f t="shared" ca="1" si="118"/>
        <v>2.723385219746401</v>
      </c>
      <c r="CD162" s="6">
        <f t="shared" ca="1" si="112"/>
        <v>3.073763296872448</v>
      </c>
      <c r="CE162" s="9">
        <f t="shared" ca="1" si="113"/>
        <v>-150.40174280769457</v>
      </c>
      <c r="CF162" s="9">
        <f t="shared" ca="1" si="114"/>
        <v>150.38575032073331</v>
      </c>
      <c r="CG162">
        <f t="shared" ca="1" si="119"/>
        <v>212.68887638783991</v>
      </c>
      <c r="CH162">
        <f t="shared" ca="1" si="120"/>
        <v>-0.70714437615174464</v>
      </c>
      <c r="CI162">
        <f t="shared" ca="1" si="121"/>
        <v>0.70706918422242104</v>
      </c>
      <c r="CJ162">
        <f t="shared" ca="1" si="122"/>
        <v>2.356247658915485</v>
      </c>
      <c r="CK162" s="39">
        <f t="shared" ca="1" si="123"/>
        <v>1.9333937327825443</v>
      </c>
    </row>
    <row r="163" spans="1:89" x14ac:dyDescent="0.25">
      <c r="A163" s="1" t="s">
        <v>93</v>
      </c>
      <c r="B163" s="1">
        <f t="shared" ref="B163:E163" si="181">B55</f>
        <v>-30.145405135517105</v>
      </c>
      <c r="C163" s="1">
        <f t="shared" si="181"/>
        <v>2.693427039208355</v>
      </c>
      <c r="D163" s="1">
        <f t="shared" si="181"/>
        <v>-6.1680462999971084</v>
      </c>
      <c r="E163" s="1">
        <f t="shared" si="181"/>
        <v>3.7356665859110043</v>
      </c>
      <c r="F163" s="6">
        <f t="shared" si="140"/>
        <v>1</v>
      </c>
      <c r="G163" s="6">
        <f t="shared" si="141"/>
        <v>1</v>
      </c>
      <c r="H163" s="1">
        <f t="shared" si="142"/>
        <v>-6.1680462999971084</v>
      </c>
      <c r="I163" s="1">
        <f t="shared" si="143"/>
        <v>3.7356665859110043</v>
      </c>
      <c r="J163">
        <f t="shared" si="144"/>
        <v>-6.1680462999971084</v>
      </c>
      <c r="K163">
        <f t="shared" si="145"/>
        <v>3.7356665859110043</v>
      </c>
      <c r="M163" s="9">
        <f t="shared" si="146"/>
        <v>0</v>
      </c>
      <c r="N163" s="9">
        <f t="shared" si="147"/>
        <v>0</v>
      </c>
      <c r="O163" s="9">
        <f t="shared" si="148"/>
        <v>0</v>
      </c>
      <c r="P163">
        <f t="shared" si="130"/>
        <v>-1851.8830207067745</v>
      </c>
      <c r="Q163">
        <f t="shared" si="149"/>
        <v>2968.0956205168081</v>
      </c>
      <c r="R163">
        <f t="shared" si="131"/>
        <v>7788.0742617403921</v>
      </c>
      <c r="S163">
        <f t="shared" si="132"/>
        <v>224.89450937389677</v>
      </c>
      <c r="T163" s="55">
        <f t="shared" si="150"/>
        <v>-56309.213376932305</v>
      </c>
      <c r="U163" s="56">
        <f t="shared" si="133"/>
        <v>-6230.3325902420138</v>
      </c>
      <c r="V163" s="56">
        <f t="shared" si="134"/>
        <v>9639.9572824471652</v>
      </c>
      <c r="W163" s="56">
        <f t="shared" si="135"/>
        <v>4819.9786412235826</v>
      </c>
      <c r="X163" s="56">
        <f t="shared" si="136"/>
        <v>899.57803749558707</v>
      </c>
      <c r="Y163" s="55">
        <f t="shared" si="137"/>
        <v>-56309.21337693229</v>
      </c>
      <c r="Z163" s="55">
        <f t="shared" si="138"/>
        <v>-112618.42675386459</v>
      </c>
      <c r="AB163">
        <f t="shared" si="151"/>
        <v>-863.99936278597193</v>
      </c>
      <c r="AC163">
        <f t="shared" si="152"/>
        <v>1846.1915732295915</v>
      </c>
      <c r="AD163">
        <f t="shared" si="153"/>
        <v>-308.06711285949348</v>
      </c>
      <c r="AE163">
        <f t="shared" si="154"/>
        <v>120.40395158501678</v>
      </c>
      <c r="AF163">
        <f t="shared" si="155"/>
        <v>20.067325264169465</v>
      </c>
      <c r="AG163">
        <f t="shared" si="156"/>
        <v>814.59637443331235</v>
      </c>
      <c r="AH163" s="53">
        <f t="shared" si="157"/>
        <v>30991.152202504505</v>
      </c>
      <c r="AI163">
        <f t="shared" si="158"/>
        <v>-535.86492466230902</v>
      </c>
      <c r="AJ163">
        <f t="shared" si="159"/>
        <v>1846.1915732295915</v>
      </c>
      <c r="AK163">
        <f t="shared" si="160"/>
        <v>-616.13422571898695</v>
      </c>
      <c r="AL163">
        <f t="shared" si="161"/>
        <v>60.201975792508392</v>
      </c>
      <c r="AM163">
        <f t="shared" si="162"/>
        <v>60.201975792508392</v>
      </c>
      <c r="AN163">
        <f t="shared" si="163"/>
        <v>814.59637443331235</v>
      </c>
      <c r="AO163" s="53">
        <f t="shared" si="164"/>
        <v>30991.152202504505</v>
      </c>
      <c r="AP163">
        <f t="shared" si="165"/>
        <v>-247.86513706698508</v>
      </c>
      <c r="AQ163">
        <f t="shared" si="166"/>
        <v>1846.1915732295915</v>
      </c>
      <c r="AR163">
        <f t="shared" si="167"/>
        <v>-924.20133857848043</v>
      </c>
      <c r="AS163">
        <f t="shared" si="168"/>
        <v>20.067325264169465</v>
      </c>
      <c r="AT163">
        <f t="shared" si="169"/>
        <v>120.40395158501678</v>
      </c>
      <c r="AU163">
        <f t="shared" si="170"/>
        <v>814.59637443331235</v>
      </c>
      <c r="AV163" s="53">
        <f t="shared" si="171"/>
        <v>30991.152202504505</v>
      </c>
      <c r="AW163" s="53">
        <f t="shared" si="172"/>
        <v>92973.456607513508</v>
      </c>
      <c r="BC163">
        <v>2.8099800957108636</v>
      </c>
      <c r="BD163">
        <v>-271.23625234411492</v>
      </c>
      <c r="BE163">
        <v>-69.731362550003979</v>
      </c>
      <c r="BF163" s="6">
        <f t="shared" si="173"/>
        <v>3.3932303983325389</v>
      </c>
      <c r="BG163" s="6">
        <f t="shared" si="174"/>
        <v>0.58325030262167532</v>
      </c>
      <c r="BH163" s="6">
        <f t="shared" si="175"/>
        <v>-2.9703764721995984</v>
      </c>
      <c r="BI163" s="6">
        <f t="shared" si="176"/>
        <v>2.9703764721995984</v>
      </c>
      <c r="BV163" s="39"/>
      <c r="BW163" s="6">
        <f t="shared" si="109"/>
        <v>2.5830872929516033</v>
      </c>
      <c r="BX163" s="9">
        <f t="shared" ca="1" si="110"/>
        <v>-191.81202409151905</v>
      </c>
      <c r="BY163" s="9">
        <f t="shared" ca="1" si="111"/>
        <v>52.900815784658718</v>
      </c>
      <c r="BZ163">
        <f t="shared" ca="1" si="115"/>
        <v>198.97323663439735</v>
      </c>
      <c r="CA163" s="6">
        <f t="shared" ca="1" si="116"/>
        <v>-0.96400916694119698</v>
      </c>
      <c r="CB163" s="6">
        <f t="shared" ca="1" si="117"/>
        <v>0.26586900167815597</v>
      </c>
      <c r="CC163" s="6">
        <f t="shared" ca="1" si="118"/>
        <v>2.8724873977253447</v>
      </c>
      <c r="CD163" s="6">
        <f t="shared" ca="1" si="112"/>
        <v>3.2228654748513916</v>
      </c>
      <c r="CE163" s="9">
        <f t="shared" ca="1" si="113"/>
        <v>-166.51198222716306</v>
      </c>
      <c r="CF163" s="9">
        <f t="shared" ca="1" si="114"/>
        <v>125.20043900545465</v>
      </c>
      <c r="CG163">
        <f t="shared" ca="1" si="119"/>
        <v>208.33000300575441</v>
      </c>
      <c r="CH163">
        <f t="shared" ca="1" si="120"/>
        <v>-0.7992702914834775</v>
      </c>
      <c r="CI163">
        <f t="shared" ca="1" si="121"/>
        <v>0.60097171410301575</v>
      </c>
      <c r="CJ163">
        <f t="shared" ca="1" si="122"/>
        <v>2.496876348105102</v>
      </c>
      <c r="CK163" s="39">
        <f t="shared" ca="1" si="123"/>
        <v>2.0740224219721615</v>
      </c>
    </row>
    <row r="164" spans="1:89" ht="15.75" thickBot="1" x14ac:dyDescent="0.3">
      <c r="A164" s="1" t="s">
        <v>94</v>
      </c>
      <c r="B164" s="1">
        <f t="shared" ref="B164:E164" si="182">B56</f>
        <v>-6.1680462999971084</v>
      </c>
      <c r="C164" s="1">
        <f t="shared" si="182"/>
        <v>3.7356665859110043</v>
      </c>
      <c r="D164" s="1">
        <f t="shared" si="182"/>
        <v>-5.4732199355286753</v>
      </c>
      <c r="E164" s="1">
        <f t="shared" si="182"/>
        <v>-12.249239304435662</v>
      </c>
      <c r="F164" s="6">
        <f t="shared" si="140"/>
        <v>0</v>
      </c>
      <c r="G164" s="6">
        <f t="shared" si="141"/>
        <v>0</v>
      </c>
      <c r="H164" s="1">
        <f t="shared" si="142"/>
        <v>0</v>
      </c>
      <c r="I164" s="1">
        <f t="shared" si="143"/>
        <v>0</v>
      </c>
      <c r="J164">
        <f t="shared" si="144"/>
        <v>0</v>
      </c>
      <c r="K164">
        <f t="shared" si="145"/>
        <v>0</v>
      </c>
      <c r="M164" s="54">
        <f t="shared" si="146"/>
        <v>0</v>
      </c>
      <c r="N164" s="54">
        <f t="shared" si="147"/>
        <v>0</v>
      </c>
      <c r="O164" s="54">
        <f t="shared" si="148"/>
        <v>0</v>
      </c>
      <c r="P164">
        <f t="shared" si="130"/>
        <v>0</v>
      </c>
      <c r="Q164">
        <f t="shared" si="149"/>
        <v>0</v>
      </c>
      <c r="R164">
        <f t="shared" si="131"/>
        <v>0</v>
      </c>
      <c r="S164">
        <f t="shared" si="132"/>
        <v>0</v>
      </c>
      <c r="T164" s="55">
        <f t="shared" si="150"/>
        <v>0</v>
      </c>
      <c r="U164" s="56">
        <f t="shared" si="133"/>
        <v>0</v>
      </c>
      <c r="V164" s="56">
        <f t="shared" si="134"/>
        <v>0</v>
      </c>
      <c r="W164" s="56">
        <f t="shared" si="135"/>
        <v>0</v>
      </c>
      <c r="X164" s="56">
        <f t="shared" si="136"/>
        <v>0</v>
      </c>
      <c r="Y164" s="55">
        <f t="shared" si="137"/>
        <v>0</v>
      </c>
      <c r="Z164" s="55">
        <f t="shared" si="138"/>
        <v>0</v>
      </c>
      <c r="AB164">
        <f t="shared" si="151"/>
        <v>0</v>
      </c>
      <c r="AC164">
        <f t="shared" si="152"/>
        <v>1846.1915732295915</v>
      </c>
      <c r="AD164">
        <f t="shared" si="153"/>
        <v>0</v>
      </c>
      <c r="AE164">
        <f t="shared" si="154"/>
        <v>0</v>
      </c>
      <c r="AF164">
        <f t="shared" si="155"/>
        <v>0</v>
      </c>
      <c r="AG164">
        <f t="shared" si="156"/>
        <v>1846.1915732295915</v>
      </c>
      <c r="AH164" s="53">
        <f t="shared" si="157"/>
        <v>0</v>
      </c>
      <c r="AI164">
        <f t="shared" si="158"/>
        <v>0</v>
      </c>
      <c r="AJ164">
        <f t="shared" si="159"/>
        <v>1846.1915732295915</v>
      </c>
      <c r="AK164">
        <f t="shared" si="160"/>
        <v>0</v>
      </c>
      <c r="AL164">
        <f t="shared" si="161"/>
        <v>0</v>
      </c>
      <c r="AM164">
        <f t="shared" si="162"/>
        <v>0</v>
      </c>
      <c r="AN164">
        <f t="shared" si="163"/>
        <v>1846.1915732295915</v>
      </c>
      <c r="AO164" s="53">
        <f t="shared" si="164"/>
        <v>0</v>
      </c>
      <c r="AP164">
        <f t="shared" si="165"/>
        <v>0</v>
      </c>
      <c r="AQ164">
        <f t="shared" si="166"/>
        <v>1846.1915732295915</v>
      </c>
      <c r="AR164">
        <f t="shared" si="167"/>
        <v>0</v>
      </c>
      <c r="AS164">
        <f t="shared" si="168"/>
        <v>0</v>
      </c>
      <c r="AT164">
        <f t="shared" si="169"/>
        <v>0</v>
      </c>
      <c r="AU164">
        <f t="shared" si="170"/>
        <v>1846.1915732295915</v>
      </c>
      <c r="AV164" s="53">
        <f t="shared" si="171"/>
        <v>0</v>
      </c>
      <c r="AW164" s="53">
        <f t="shared" si="172"/>
        <v>0</v>
      </c>
      <c r="BC164">
        <v>2.8274333882308067</v>
      </c>
      <c r="BD164">
        <v>-271.59234297383836</v>
      </c>
      <c r="BE164">
        <v>-70.622185942909198</v>
      </c>
      <c r="BF164" s="6">
        <f t="shared" si="173"/>
        <v>3.3959889123629901</v>
      </c>
      <c r="BG164" s="6">
        <f t="shared" si="174"/>
        <v>0.56855552413218335</v>
      </c>
      <c r="BH164" s="6">
        <f t="shared" si="175"/>
        <v>-2.9731349862300496</v>
      </c>
      <c r="BI164" s="6">
        <f t="shared" si="176"/>
        <v>2.9731349862300496</v>
      </c>
      <c r="BV164" s="39"/>
      <c r="BW164" s="6">
        <f t="shared" si="109"/>
        <v>2.6005405854715464</v>
      </c>
      <c r="BX164" s="9">
        <f t="shared" ca="1" si="110"/>
        <v>-207.29737209991839</v>
      </c>
      <c r="BY164" s="9">
        <f t="shared" ca="1" si="111"/>
        <v>27.818377254634143</v>
      </c>
      <c r="BZ164">
        <f t="shared" ca="1" si="115"/>
        <v>209.15559421782905</v>
      </c>
      <c r="CA164" s="6">
        <f t="shared" ca="1" si="116"/>
        <v>-0.9911155992510754</v>
      </c>
      <c r="CB164" s="6">
        <f t="shared" ca="1" si="117"/>
        <v>0.13300326658086978</v>
      </c>
      <c r="CC164" s="6">
        <f t="shared" ca="1" si="118"/>
        <v>3.0081940971122085</v>
      </c>
      <c r="CD164" s="6">
        <f t="shared" ca="1" si="112"/>
        <v>3.3585721742382555</v>
      </c>
      <c r="CE164" s="9">
        <f t="shared" ca="1" si="113"/>
        <v>-181.9973302355624</v>
      </c>
      <c r="CF164" s="9">
        <f t="shared" ca="1" si="114"/>
        <v>100.11800047543008</v>
      </c>
      <c r="CG164">
        <f t="shared" ca="1" si="119"/>
        <v>207.71769840837004</v>
      </c>
      <c r="CH164">
        <f t="shared" ca="1" si="120"/>
        <v>-0.87617632792059075</v>
      </c>
      <c r="CI164">
        <f t="shared" ca="1" si="121"/>
        <v>0.481990707785523</v>
      </c>
      <c r="CJ164">
        <f t="shared" ca="1" si="122"/>
        <v>2.6386673171972972</v>
      </c>
      <c r="CK164" s="39">
        <f t="shared" ca="1" si="123"/>
        <v>2.2158133910643567</v>
      </c>
    </row>
    <row r="165" spans="1:89" ht="15.75" thickTop="1" x14ac:dyDescent="0.25">
      <c r="M165" s="9">
        <f>SUM(M157:M164)</f>
        <v>152581.62347449589</v>
      </c>
      <c r="N165" s="9">
        <f t="shared" ref="N165:O165" si="183">SUM(N157:N164)</f>
        <v>1636209.9356189042</v>
      </c>
      <c r="O165" s="9">
        <f t="shared" si="183"/>
        <v>-1556865.963953929</v>
      </c>
      <c r="AA165" s="53"/>
      <c r="AC165" s="53"/>
      <c r="BC165">
        <v>2.8448866807507498</v>
      </c>
      <c r="BD165">
        <v>-271.92928669709875</v>
      </c>
      <c r="BE165">
        <v>-71.502961721047114</v>
      </c>
      <c r="BF165" s="6">
        <f t="shared" si="173"/>
        <v>3.3987190247927477</v>
      </c>
      <c r="BG165" s="6">
        <f t="shared" si="174"/>
        <v>0.55383234404199788</v>
      </c>
      <c r="BH165" s="6">
        <f t="shared" si="175"/>
        <v>-2.9758650986598072</v>
      </c>
      <c r="BI165" s="6">
        <f t="shared" si="176"/>
        <v>2.9758650986598072</v>
      </c>
      <c r="BV165" s="39"/>
      <c r="BW165" s="6">
        <f t="shared" si="109"/>
        <v>2.6179938779914895</v>
      </c>
      <c r="BX165" s="9">
        <f t="shared" ca="1" si="110"/>
        <v>-222.11231484050575</v>
      </c>
      <c r="BY165" s="9">
        <f t="shared" ca="1" si="111"/>
        <v>2.9209509304699424</v>
      </c>
      <c r="BZ165">
        <f t="shared" ca="1" si="115"/>
        <v>222.13152040659642</v>
      </c>
      <c r="CA165" s="6">
        <f t="shared" ca="1" si="116"/>
        <v>-0.99991353966309904</v>
      </c>
      <c r="CB165" s="6">
        <f t="shared" ca="1" si="117"/>
        <v>1.3149646322698117E-2</v>
      </c>
      <c r="CC165" s="6">
        <f t="shared" ca="1" si="118"/>
        <v>3.1284426282797044</v>
      </c>
      <c r="CD165" s="6">
        <f t="shared" ca="1" si="112"/>
        <v>3.4788207054057514</v>
      </c>
      <c r="CE165" s="9">
        <f t="shared" ca="1" si="113"/>
        <v>-196.81227297614976</v>
      </c>
      <c r="CF165" s="9">
        <f t="shared" ca="1" si="114"/>
        <v>75.220574151265879</v>
      </c>
      <c r="CG165">
        <f t="shared" ca="1" si="119"/>
        <v>210.69695197056026</v>
      </c>
      <c r="CH165">
        <f t="shared" ca="1" si="120"/>
        <v>-0.93410118720487922</v>
      </c>
      <c r="CI165">
        <f t="shared" ca="1" si="121"/>
        <v>0.35700836413512099</v>
      </c>
      <c r="CJ165">
        <f t="shared" ca="1" si="122"/>
        <v>2.7765294174594315</v>
      </c>
      <c r="CK165" s="39">
        <f t="shared" ca="1" si="123"/>
        <v>2.3536754913264906</v>
      </c>
    </row>
    <row r="166" spans="1:89" x14ac:dyDescent="0.25">
      <c r="A166" t="s">
        <v>193</v>
      </c>
      <c r="M166" s="9"/>
      <c r="BC166">
        <v>2.8623399732706929</v>
      </c>
      <c r="BD166">
        <v>-272.24794379311624</v>
      </c>
      <c r="BE166">
        <v>-72.37438679367034</v>
      </c>
      <c r="BF166" s="6">
        <f t="shared" si="173"/>
        <v>3.4014230797966083</v>
      </c>
      <c r="BG166" s="6">
        <f t="shared" si="174"/>
        <v>0.5390831065259154</v>
      </c>
      <c r="BH166" s="6">
        <f t="shared" si="175"/>
        <v>-2.9785691536636678</v>
      </c>
      <c r="BI166" s="6">
        <f t="shared" si="176"/>
        <v>2.9785691536636678</v>
      </c>
      <c r="BV166" s="39"/>
      <c r="BW166" s="6">
        <f t="shared" si="109"/>
        <v>2.6354471705114326</v>
      </c>
      <c r="BX166" s="9">
        <f t="shared" ca="1" si="110"/>
        <v>-236.18526210740504</v>
      </c>
      <c r="BY166" s="9">
        <f t="shared" ca="1" si="111"/>
        <v>-21.650352594593031</v>
      </c>
      <c r="BZ166">
        <f t="shared" ca="1" si="115"/>
        <v>237.17549579206917</v>
      </c>
      <c r="CA166" s="6">
        <f t="shared" ca="1" si="116"/>
        <v>-0.99582489041982536</v>
      </c>
      <c r="CB166" s="6">
        <f t="shared" ca="1" si="117"/>
        <v>-9.1284103875443404E-2</v>
      </c>
      <c r="CC166" s="6">
        <f t="shared" ca="1" si="118"/>
        <v>-3.0501812967921431</v>
      </c>
      <c r="CD166" s="6">
        <f t="shared" ca="1" si="112"/>
        <v>-2.6998032196660962</v>
      </c>
      <c r="CE166" s="9">
        <f t="shared" ca="1" si="113"/>
        <v>-210.88522024304905</v>
      </c>
      <c r="CF166" s="9">
        <f t="shared" ca="1" si="114"/>
        <v>50.649270626202906</v>
      </c>
      <c r="CG166">
        <f t="shared" ca="1" si="119"/>
        <v>216.88228312134129</v>
      </c>
      <c r="CH166">
        <f t="shared" ca="1" si="120"/>
        <v>-0.9723487654593852</v>
      </c>
      <c r="CI166">
        <f t="shared" ca="1" si="121"/>
        <v>0.23353346293328006</v>
      </c>
      <c r="CJ166">
        <f t="shared" ca="1" si="122"/>
        <v>2.905882601155314</v>
      </c>
      <c r="CK166" s="39">
        <f t="shared" ca="1" si="123"/>
        <v>2.4830286750223731</v>
      </c>
    </row>
    <row r="167" spans="1:89" x14ac:dyDescent="0.25">
      <c r="B167" t="str">
        <f t="shared" ref="B167:E167" si="184">B156</f>
        <v>xi (in)</v>
      </c>
      <c r="C167" t="str">
        <f t="shared" si="184"/>
        <v>yi (in)</v>
      </c>
      <c r="D167" t="str">
        <f t="shared" si="184"/>
        <v>xj (in)</v>
      </c>
      <c r="E167" t="str">
        <f t="shared" si="184"/>
        <v>yj (in)</v>
      </c>
      <c r="F167" s="1" t="s">
        <v>194</v>
      </c>
      <c r="G167" s="1" t="s">
        <v>195</v>
      </c>
      <c r="H167" s="1" t="s">
        <v>189</v>
      </c>
      <c r="I167" s="1" t="s">
        <v>190</v>
      </c>
      <c r="J167" s="1" t="s">
        <v>191</v>
      </c>
      <c r="K167" s="1" t="s">
        <v>192</v>
      </c>
      <c r="L167" s="1" t="s">
        <v>38</v>
      </c>
      <c r="M167" s="1" t="s">
        <v>39</v>
      </c>
      <c r="N167" s="1" t="s">
        <v>40</v>
      </c>
      <c r="O167" s="1" t="s">
        <v>41</v>
      </c>
      <c r="P167" s="1" t="s">
        <v>42</v>
      </c>
      <c r="BC167">
        <v>2.879793265790636</v>
      </c>
      <c r="BD167">
        <v>-272.54911453385341</v>
      </c>
      <c r="BE167">
        <v>-73.237132067411125</v>
      </c>
      <c r="BF167" s="6">
        <f t="shared" si="173"/>
        <v>3.4041033218096981</v>
      </c>
      <c r="BG167" s="6">
        <f t="shared" si="174"/>
        <v>0.52431005601906211</v>
      </c>
      <c r="BH167" s="6">
        <f t="shared" si="175"/>
        <v>-2.9812493956767572</v>
      </c>
      <c r="BI167" s="6">
        <f t="shared" si="176"/>
        <v>2.9812493956767572</v>
      </c>
      <c r="BV167" s="39"/>
      <c r="BW167" s="6">
        <f t="shared" si="109"/>
        <v>2.6529004630313757</v>
      </c>
      <c r="BX167" s="9">
        <f t="shared" ca="1" si="110"/>
        <v>-249.3934693901777</v>
      </c>
      <c r="BY167" s="9">
        <f t="shared" ca="1" si="111"/>
        <v>-45.639591901954262</v>
      </c>
      <c r="BZ167">
        <f t="shared" ca="1" si="115"/>
        <v>253.53515520228439</v>
      </c>
      <c r="CA167" s="6">
        <f t="shared" ca="1" si="116"/>
        <v>-0.9836642543366334</v>
      </c>
      <c r="CB167" s="6">
        <f t="shared" ca="1" si="117"/>
        <v>-0.1800128738183881</v>
      </c>
      <c r="CC167" s="6">
        <f t="shared" ca="1" si="118"/>
        <v>-2.960593114744591</v>
      </c>
      <c r="CD167" s="6">
        <f t="shared" ca="1" si="112"/>
        <v>-2.610215037618544</v>
      </c>
      <c r="CE167" s="9">
        <f t="shared" ca="1" si="113"/>
        <v>-224.09342752582171</v>
      </c>
      <c r="CF167" s="9">
        <f t="shared" ca="1" si="114"/>
        <v>26.660031318841675</v>
      </c>
      <c r="CG167">
        <f t="shared" ca="1" si="119"/>
        <v>225.67370589014646</v>
      </c>
      <c r="CH167">
        <f t="shared" ca="1" si="120"/>
        <v>-0.99299750780405938</v>
      </c>
      <c r="CI167">
        <f t="shared" ca="1" si="121"/>
        <v>0.11813530164572764</v>
      </c>
      <c r="CJ167">
        <f t="shared" ca="1" si="122"/>
        <v>3.0231808300759773</v>
      </c>
      <c r="CK167" s="39">
        <f t="shared" ca="1" si="123"/>
        <v>2.6003269039430368</v>
      </c>
    </row>
    <row r="168" spans="1:89" x14ac:dyDescent="0.25">
      <c r="A168" s="1" t="str">
        <f t="shared" ref="A168:E175" si="185">A157</f>
        <v>Segment 1</v>
      </c>
      <c r="B168" s="1">
        <f t="shared" si="185"/>
        <v>-5.4732199355286753</v>
      </c>
      <c r="C168" s="1">
        <f t="shared" si="185"/>
        <v>-12.249239304435662</v>
      </c>
      <c r="D168" s="1">
        <f t="shared" si="185"/>
        <v>6.515459482231325</v>
      </c>
      <c r="E168" s="1">
        <f t="shared" si="185"/>
        <v>-11.728119531084339</v>
      </c>
      <c r="F168" s="6">
        <f>IF(E168-C168=0,0,MIN(MAX(($B$148-C168)/(E168-C168),0),1))</f>
        <v>1</v>
      </c>
      <c r="G168" s="6">
        <f>IF(E168-C168=0,0,MIN(MAX(($B$152-C168)/(E168-C168),0),1))</f>
        <v>1</v>
      </c>
      <c r="H168" s="1">
        <f>IF(AND(F168=0,G168=0),0,IF(C168&gt;E168,B168+(F168*(D168-B168)),B168+(G168*(D168-B168))))</f>
        <v>6.515459482231325</v>
      </c>
      <c r="I168" s="1">
        <f>IF(AND(F168=0,G168=0),0,IF(C168&gt;E168,C168+(F168*(E168-C168)),C168+(G168*(E168-C168))))</f>
        <v>-11.728119531084339</v>
      </c>
      <c r="J168">
        <f>IF(AND(F168=0,G168=0),0,IF(C168&gt;E168,B168+(G168*(D168-B168)),B168+(F168*(D168-B168))))</f>
        <v>6.515459482231325</v>
      </c>
      <c r="K168">
        <f>IF(AND(F168=0,G168=0),0,IF(C168&gt;E168,C168+(G168*(E168-C168)),C168+(F168*(E168-C168))))</f>
        <v>-11.728119531084339</v>
      </c>
      <c r="L168" s="6">
        <f>0.85*$B$143</f>
        <v>4250</v>
      </c>
      <c r="M168" s="6">
        <f>L168</f>
        <v>4250</v>
      </c>
      <c r="N168" s="10">
        <f t="shared" ref="N168" si="186">(1/6)*(K168-I168)*((L168*((2*H168)+J168))+(M168*(H168+(2*J168))))</f>
        <v>0</v>
      </c>
      <c r="O168" s="10">
        <f t="shared" ref="O168" si="187">((1/12)*(K168-I168)*(L168*H168*((3*I168)+K168)+L168*J168*(I168+K168)+M168*H168*(I168+K168)+M168*J168*(I168+(3*K168))))</f>
        <v>0</v>
      </c>
      <c r="P168" s="10">
        <f>((1/24)*(K168-I168)*(H168*H168*((3*L168)+M168)+2*H168*J168*(L168+M168)+J168*J168*(L168+(3*M168))))</f>
        <v>0</v>
      </c>
      <c r="BC168">
        <v>2.8972465583105791</v>
      </c>
      <c r="BD168">
        <v>-272.83354415193526</v>
      </c>
      <c r="BE168">
        <v>-74.091844669497618</v>
      </c>
      <c r="BF168" s="6">
        <f t="shared" si="173"/>
        <v>3.4067619046016668</v>
      </c>
      <c r="BG168" s="6">
        <f t="shared" si="174"/>
        <v>0.50951534629108775</v>
      </c>
      <c r="BH168" s="6">
        <f t="shared" si="175"/>
        <v>-2.9839079784687259</v>
      </c>
      <c r="BI168" s="6">
        <f t="shared" si="176"/>
        <v>2.9839079784687259</v>
      </c>
      <c r="BV168" s="39"/>
      <c r="BW168" s="6">
        <f t="shared" si="109"/>
        <v>2.6703537555513188</v>
      </c>
      <c r="BX168" s="9">
        <f t="shared" ca="1" si="110"/>
        <v>-261.31898571478467</v>
      </c>
      <c r="BY168" s="9">
        <f t="shared" ca="1" si="111"/>
        <v>-68.178407410385589</v>
      </c>
      <c r="BZ168">
        <f t="shared" ca="1" si="115"/>
        <v>270.06648724345706</v>
      </c>
      <c r="CA168" s="6">
        <f t="shared" ca="1" si="116"/>
        <v>-0.96760982224059966</v>
      </c>
      <c r="CB168" s="6">
        <f t="shared" ca="1" si="117"/>
        <v>-0.25245045435394858</v>
      </c>
      <c r="CC168" s="6">
        <f t="shared" ca="1" si="118"/>
        <v>-2.8863807499397049</v>
      </c>
      <c r="CD168" s="6">
        <f t="shared" ca="1" si="112"/>
        <v>-2.536002672813658</v>
      </c>
      <c r="CE168" s="9">
        <f t="shared" ca="1" si="113"/>
        <v>-236.01894385042868</v>
      </c>
      <c r="CF168" s="9">
        <f t="shared" ca="1" si="114"/>
        <v>4.121215810410348</v>
      </c>
      <c r="CG168">
        <f t="shared" ca="1" si="119"/>
        <v>236.05492216013582</v>
      </c>
      <c r="CH168">
        <f t="shared" ca="1" si="120"/>
        <v>-0.9998475850053119</v>
      </c>
      <c r="CI168">
        <f t="shared" ca="1" si="121"/>
        <v>1.7458715847554249E-2</v>
      </c>
      <c r="CJ168">
        <f t="shared" ca="1" si="122"/>
        <v>3.1241330506981315</v>
      </c>
      <c r="CK168" s="39">
        <f t="shared" ca="1" si="123"/>
        <v>2.7012791245651906</v>
      </c>
    </row>
    <row r="169" spans="1:89" x14ac:dyDescent="0.25">
      <c r="A169" s="1" t="str">
        <f t="shared" si="185"/>
        <v>Segment 2</v>
      </c>
      <c r="B169" s="1">
        <f t="shared" si="185"/>
        <v>6.515459482231325</v>
      </c>
      <c r="C169" s="1">
        <f t="shared" si="185"/>
        <v>-11.728119531084339</v>
      </c>
      <c r="D169" s="1">
        <f t="shared" si="185"/>
        <v>5.8206331177628918</v>
      </c>
      <c r="E169" s="1">
        <f t="shared" si="185"/>
        <v>4.2567863592623292</v>
      </c>
      <c r="F169" s="6">
        <f t="shared" ref="F169:F175" si="188">IF(E169-C169=0,0,MIN(MAX(($B$148-C169)/(E169-C169),0),1))</f>
        <v>1</v>
      </c>
      <c r="G169" s="6">
        <f t="shared" ref="G169:G175" si="189">IF(E169-C169=0,0,MIN(MAX(($B$152-C169)/(E169-C169),0),1))</f>
        <v>1</v>
      </c>
      <c r="H169" s="1">
        <f t="shared" ref="H169:H175" si="190">IF(AND(F169=0,G169=0),0,IF(C169&gt;E169,B169+(F169*(D169-B169)),B169+(G169*(D169-B169))))</f>
        <v>5.8206331177628918</v>
      </c>
      <c r="I169" s="1">
        <f t="shared" ref="I169:I175" si="191">IF(AND(F169=0,G169=0),0,IF(C169&gt;E169,C169+(F169*(E169-C169)),C169+(G169*(E169-C169))))</f>
        <v>4.2567863592623283</v>
      </c>
      <c r="J169">
        <f t="shared" ref="J169:J175" si="192">IF(AND(F169=0,G169=0),0,IF(C169&gt;E169,B169+(G169*(D169-B169)),B169+(F169*(D169-B169))))</f>
        <v>5.8206331177628918</v>
      </c>
      <c r="K169">
        <f t="shared" ref="K169:K175" si="193">IF(AND(F169=0,G169=0),0,IF(C169&gt;E169,C169+(G169*(E169-C169)),C169+(F169*(E169-C169))))</f>
        <v>4.2567863592623283</v>
      </c>
      <c r="L169" s="6">
        <f t="shared" ref="L169:L175" si="194">0.85*$B$143</f>
        <v>4250</v>
      </c>
      <c r="M169" s="6">
        <f t="shared" ref="M169:M175" si="195">L169</f>
        <v>4250</v>
      </c>
      <c r="N169" s="10">
        <f t="shared" ref="N169:N175" si="196">(1/6)*(K169-I169)*((L169*((2*H169)+J169))+(M169*(H169+(2*J169))))</f>
        <v>0</v>
      </c>
      <c r="O169" s="10">
        <f t="shared" ref="O169:O175" si="197">((1/12)*(K169-I169)*(L169*H169*((3*I169)+K169)+L169*J169*(I169+K169)+M169*H169*(I169+K169)+M169*J169*(I169+(3*K169))))</f>
        <v>0</v>
      </c>
      <c r="P169" s="10">
        <f t="shared" ref="P169:P175" si="198">((1/24)*(K169-I169)*(H169*H169*((3*L169)+M169)+2*H169*J169*(L169+M169)+J169*J169*(L169+(3*M169))))</f>
        <v>0</v>
      </c>
      <c r="BC169">
        <v>2.9146998508305222</v>
      </c>
      <c r="BD169">
        <v>-273.10192745699629</v>
      </c>
      <c r="BE169">
        <v>-74.939150027336268</v>
      </c>
      <c r="BF169" s="6">
        <f t="shared" si="173"/>
        <v>3.4094008995021854</v>
      </c>
      <c r="BG169" s="6">
        <f t="shared" si="174"/>
        <v>0.4947010486716632</v>
      </c>
      <c r="BH169" s="6">
        <f t="shared" si="175"/>
        <v>-2.9865469733692445</v>
      </c>
      <c r="BI169" s="6">
        <f t="shared" si="176"/>
        <v>2.9865469733692445</v>
      </c>
      <c r="BV169" s="39"/>
      <c r="BW169" s="6">
        <f>AS156</f>
        <v>0</v>
      </c>
      <c r="BX169" s="9">
        <f ca="1">AT156-$BW$5</f>
        <v>-25.30004186435599</v>
      </c>
      <c r="BY169" s="9">
        <f ca="1">AU156-$BX$5</f>
        <v>-72.299623220795937</v>
      </c>
      <c r="BZ169">
        <f t="shared" ca="1" si="115"/>
        <v>76.598483250043671</v>
      </c>
      <c r="CA169" s="6">
        <f t="shared" ca="1" si="116"/>
        <v>-0.33029429292702822</v>
      </c>
      <c r="CB169" s="6">
        <f t="shared" ca="1" si="117"/>
        <v>-0.94387800062287419</v>
      </c>
      <c r="CC169" s="6">
        <f t="shared" ca="1" si="118"/>
        <v>-1.9074116762234872</v>
      </c>
      <c r="CD169" s="6">
        <f t="shared" ca="1" si="112"/>
        <v>-1.5570335990974404</v>
      </c>
      <c r="CE169" s="9">
        <f t="shared" ca="1" si="113"/>
        <v>0</v>
      </c>
      <c r="CF169" s="9">
        <f t="shared" ca="1" si="114"/>
        <v>0</v>
      </c>
      <c r="CG169">
        <f t="shared" ca="1" si="119"/>
        <v>0</v>
      </c>
      <c r="CH169" t="e">
        <f t="shared" ca="1" si="120"/>
        <v>#DIV/0!</v>
      </c>
      <c r="CI169" t="e">
        <f t="shared" ca="1" si="121"/>
        <v>#DIV/0!</v>
      </c>
      <c r="CJ169" t="e">
        <f t="shared" ca="1" si="122"/>
        <v>#DIV/0!</v>
      </c>
      <c r="CK169" s="39" t="e">
        <f t="shared" ca="1" si="123"/>
        <v>#DIV/0!</v>
      </c>
    </row>
    <row r="170" spans="1:89" x14ac:dyDescent="0.25">
      <c r="A170" s="1" t="str">
        <f t="shared" si="185"/>
        <v>Segment 3</v>
      </c>
      <c r="B170" s="1">
        <f t="shared" si="185"/>
        <v>5.8206331177628918</v>
      </c>
      <c r="C170" s="1">
        <f t="shared" si="185"/>
        <v>4.2567863592623292</v>
      </c>
      <c r="D170" s="1">
        <f t="shared" si="185"/>
        <v>5.8206331177628918</v>
      </c>
      <c r="E170" s="1">
        <f t="shared" si="185"/>
        <v>4.2567863592623292</v>
      </c>
      <c r="F170" s="6">
        <f t="shared" si="188"/>
        <v>0</v>
      </c>
      <c r="G170" s="6">
        <f t="shared" si="189"/>
        <v>0</v>
      </c>
      <c r="H170" s="1">
        <f t="shared" si="190"/>
        <v>0</v>
      </c>
      <c r="I170" s="1">
        <f t="shared" si="191"/>
        <v>0</v>
      </c>
      <c r="J170">
        <f t="shared" si="192"/>
        <v>0</v>
      </c>
      <c r="K170">
        <f t="shared" si="193"/>
        <v>0</v>
      </c>
      <c r="L170" s="6">
        <f t="shared" si="194"/>
        <v>4250</v>
      </c>
      <c r="M170" s="6">
        <f t="shared" si="195"/>
        <v>4250</v>
      </c>
      <c r="N170" s="10">
        <f t="shared" si="196"/>
        <v>0</v>
      </c>
      <c r="O170" s="10">
        <f t="shared" si="197"/>
        <v>0</v>
      </c>
      <c r="P170" s="10">
        <f t="shared" si="198"/>
        <v>0</v>
      </c>
      <c r="BC170">
        <v>2.9321531433504653</v>
      </c>
      <c r="BD170">
        <v>-273.35491313313048</v>
      </c>
      <c r="BE170">
        <v>-75.779653819345583</v>
      </c>
      <c r="BF170" s="6">
        <f t="shared" si="173"/>
        <v>3.4120223028735497</v>
      </c>
      <c r="BG170" s="6">
        <f t="shared" si="174"/>
        <v>0.4798691595230844</v>
      </c>
      <c r="BH170" s="6">
        <f t="shared" si="175"/>
        <v>-2.9891683767406088</v>
      </c>
      <c r="BI170" s="6">
        <f t="shared" si="176"/>
        <v>2.9891683767406088</v>
      </c>
      <c r="BV170" s="39"/>
      <c r="BW170" s="6" t="e">
        <f>#REF!</f>
        <v>#REF!</v>
      </c>
      <c r="BX170" s="9">
        <f ca="1">AP157-$BW$5</f>
        <v>1535.2539906675213</v>
      </c>
      <c r="BY170" s="9">
        <f ca="1">AQ157-$BX$5</f>
        <v>1773.8919500087957</v>
      </c>
      <c r="BZ170">
        <f t="shared" ca="1" si="115"/>
        <v>2345.9960499042954</v>
      </c>
      <c r="CA170" s="6">
        <f t="shared" ca="1" si="116"/>
        <v>0.65441456763328809</v>
      </c>
      <c r="CB170" s="6">
        <f t="shared" ca="1" si="117"/>
        <v>0.75613594919785199</v>
      </c>
      <c r="CC170" s="6">
        <f t="shared" ca="1" si="118"/>
        <v>0.85738820818188344</v>
      </c>
      <c r="CD170" s="6">
        <f t="shared" ca="1" si="112"/>
        <v>1.2077662853079301</v>
      </c>
      <c r="CE170" s="9">
        <f t="shared" ca="1" si="113"/>
        <v>1560.5540325318773</v>
      </c>
      <c r="CF170" s="9">
        <f t="shared" ca="1" si="114"/>
        <v>1846.1915732295915</v>
      </c>
      <c r="CG170">
        <f t="shared" ca="1" si="119"/>
        <v>2417.3854085593089</v>
      </c>
      <c r="CH170">
        <f t="shared" ca="1" si="120"/>
        <v>0.64555450157280547</v>
      </c>
      <c r="CI170">
        <f t="shared" ca="1" si="121"/>
        <v>0.76371420407053248</v>
      </c>
      <c r="CJ170">
        <f t="shared" ca="1" si="122"/>
        <v>0.86904720716561512</v>
      </c>
      <c r="CK170" s="39">
        <f t="shared" ca="1" si="123"/>
        <v>0.44619328103267442</v>
      </c>
    </row>
    <row r="171" spans="1:89" x14ac:dyDescent="0.25">
      <c r="A171" s="1" t="str">
        <f t="shared" si="185"/>
        <v>Segment 4</v>
      </c>
      <c r="B171" s="1">
        <f t="shared" si="185"/>
        <v>5.8206331177628918</v>
      </c>
      <c r="C171" s="1">
        <f t="shared" si="185"/>
        <v>4.2567863592623292</v>
      </c>
      <c r="D171" s="1">
        <f t="shared" si="185"/>
        <v>5.4732199355286753</v>
      </c>
      <c r="E171" s="1">
        <f t="shared" si="185"/>
        <v>12.249239304435662</v>
      </c>
      <c r="F171" s="6">
        <f t="shared" si="188"/>
        <v>1</v>
      </c>
      <c r="G171" s="6">
        <f t="shared" si="189"/>
        <v>0.90247183062011038</v>
      </c>
      <c r="H171" s="1">
        <f t="shared" si="190"/>
        <v>5.5071025072104201</v>
      </c>
      <c r="I171" s="1">
        <f t="shared" si="191"/>
        <v>11.469749999837999</v>
      </c>
      <c r="J171">
        <f t="shared" si="192"/>
        <v>5.4732199355286753</v>
      </c>
      <c r="K171">
        <f t="shared" si="193"/>
        <v>12.249239304435662</v>
      </c>
      <c r="L171" s="6">
        <f t="shared" si="194"/>
        <v>4250</v>
      </c>
      <c r="M171" s="6">
        <f t="shared" si="195"/>
        <v>4250</v>
      </c>
      <c r="N171" s="10">
        <f t="shared" si="196"/>
        <v>18187.968298441207</v>
      </c>
      <c r="O171" s="10">
        <f t="shared" si="197"/>
        <v>215692.8214786145</v>
      </c>
      <c r="P171" s="10">
        <f t="shared" si="198"/>
        <v>49927.597591436774</v>
      </c>
      <c r="BC171">
        <v>2.9496064358704084</v>
      </c>
      <c r="BD171">
        <v>-273.59310778310709</v>
      </c>
      <c r="BE171">
        <v>-76.613943810578292</v>
      </c>
      <c r="BF171" s="6">
        <f t="shared" si="173"/>
        <v>3.4146280428802518</v>
      </c>
      <c r="BG171" s="6">
        <f t="shared" si="174"/>
        <v>0.46502160700984341</v>
      </c>
      <c r="BH171" s="6">
        <f t="shared" si="175"/>
        <v>-2.9917741167473109</v>
      </c>
      <c r="BI171" s="6">
        <f t="shared" si="176"/>
        <v>2.9917741167473109</v>
      </c>
      <c r="BV171" s="39"/>
      <c r="BW171" s="6">
        <f t="shared" ref="BW171:BW234" si="199">BC158</f>
        <v>2.7227136331111481</v>
      </c>
      <c r="BX171" s="9">
        <f t="shared" ref="BX171:BX234" ca="1" si="200">BD158-$BW$5</f>
        <v>-287.81717122745641</v>
      </c>
      <c r="BY171" s="9">
        <f t="shared" ref="BY171:BY234" ca="1" si="201">BE158-$BX$5</f>
        <v>-122.30191618400991</v>
      </c>
      <c r="BZ171">
        <f t="shared" ca="1" si="115"/>
        <v>312.72429191806566</v>
      </c>
      <c r="CA171" s="6">
        <f t="shared" ca="1" si="116"/>
        <v>-0.92035437817176369</v>
      </c>
      <c r="CB171" s="6">
        <f t="shared" ca="1" si="117"/>
        <v>-0.39108543642031252</v>
      </c>
      <c r="CC171" s="6">
        <f t="shared" ca="1" si="118"/>
        <v>-2.7397819880752246</v>
      </c>
      <c r="CD171" s="6">
        <f t="shared" ca="1" si="112"/>
        <v>-2.389403910949178</v>
      </c>
      <c r="CE171" s="9">
        <f t="shared" ca="1" si="113"/>
        <v>-262.51712936310042</v>
      </c>
      <c r="CF171" s="9">
        <f t="shared" ca="1" si="114"/>
        <v>-50.002292963213975</v>
      </c>
      <c r="CG171">
        <f t="shared" ca="1" si="119"/>
        <v>267.23673495726945</v>
      </c>
      <c r="CH171">
        <f t="shared" ca="1" si="120"/>
        <v>-0.98233923343314433</v>
      </c>
      <c r="CI171">
        <f t="shared" ca="1" si="121"/>
        <v>-0.18710860605002239</v>
      </c>
      <c r="CJ171">
        <f t="shared" ca="1" si="122"/>
        <v>-2.9533747130832535</v>
      </c>
      <c r="CK171" s="39">
        <f t="shared" ca="1" si="123"/>
        <v>-3.376228639216194</v>
      </c>
    </row>
    <row r="172" spans="1:89" x14ac:dyDescent="0.25">
      <c r="A172" s="1" t="str">
        <f t="shared" si="185"/>
        <v>Segment 5</v>
      </c>
      <c r="B172" s="1">
        <f t="shared" si="185"/>
        <v>5.4732199355286753</v>
      </c>
      <c r="C172" s="1">
        <f t="shared" si="185"/>
        <v>12.249239304435662</v>
      </c>
      <c r="D172" s="1">
        <f t="shared" si="185"/>
        <v>-30.492818317751322</v>
      </c>
      <c r="E172" s="1">
        <f t="shared" si="185"/>
        <v>10.685879984381689</v>
      </c>
      <c r="F172" s="6">
        <f t="shared" si="188"/>
        <v>0</v>
      </c>
      <c r="G172" s="6">
        <f t="shared" si="189"/>
        <v>0.49859894305728242</v>
      </c>
      <c r="H172" s="1">
        <f t="shared" si="190"/>
        <v>5.4732199355286753</v>
      </c>
      <c r="I172" s="1">
        <f t="shared" si="191"/>
        <v>12.249239304435662</v>
      </c>
      <c r="J172">
        <f t="shared" si="192"/>
        <v>-12.459408723514521</v>
      </c>
      <c r="K172">
        <f t="shared" si="193"/>
        <v>11.469749999837999</v>
      </c>
      <c r="L172" s="6">
        <f t="shared" si="194"/>
        <v>4250</v>
      </c>
      <c r="M172" s="6">
        <f t="shared" si="195"/>
        <v>4250</v>
      </c>
      <c r="N172" s="10">
        <f t="shared" si="196"/>
        <v>11572.02631028703</v>
      </c>
      <c r="O172" s="10">
        <f t="shared" si="197"/>
        <v>133379.40918082095</v>
      </c>
      <c r="P172" s="10">
        <f t="shared" si="198"/>
        <v>-64600.13083867696</v>
      </c>
      <c r="BC172">
        <v>2.9670597283903515</v>
      </c>
      <c r="BD172">
        <v>-273.81707976587643</v>
      </c>
      <c r="BE172">
        <v>-77.442591585481097</v>
      </c>
      <c r="BF172" s="6">
        <f t="shared" si="173"/>
        <v>3.4172199856088676</v>
      </c>
      <c r="BG172" s="6">
        <f t="shared" si="174"/>
        <v>0.45016025721851616</v>
      </c>
      <c r="BH172" s="6">
        <f t="shared" si="175"/>
        <v>-2.9943660594759267</v>
      </c>
      <c r="BI172" s="6">
        <f t="shared" si="176"/>
        <v>2.9943660594759267</v>
      </c>
      <c r="BV172" s="39"/>
      <c r="BW172" s="6">
        <f t="shared" si="199"/>
        <v>2.7401669256310912</v>
      </c>
      <c r="BX172" s="9">
        <f t="shared" ca="1" si="200"/>
        <v>-292.87972439974374</v>
      </c>
      <c r="BY172" s="9">
        <f t="shared" ca="1" si="201"/>
        <v>-133.60016593985051</v>
      </c>
      <c r="BZ172">
        <f t="shared" ca="1" si="115"/>
        <v>321.91231306619113</v>
      </c>
      <c r="CA172" s="6">
        <f t="shared" ca="1" si="116"/>
        <v>-0.90981212122669641</v>
      </c>
      <c r="CB172" s="6">
        <f t="shared" ca="1" si="117"/>
        <v>-0.4150203658484472</v>
      </c>
      <c r="CC172" s="6">
        <f t="shared" ca="1" si="118"/>
        <v>-2.7136274660557866</v>
      </c>
      <c r="CD172" s="6">
        <f t="shared" ca="1" si="112"/>
        <v>-2.3632493889297397</v>
      </c>
      <c r="CE172" s="9">
        <f t="shared" ca="1" si="113"/>
        <v>-267.57968253538775</v>
      </c>
      <c r="CF172" s="9">
        <f t="shared" ca="1" si="114"/>
        <v>-61.300542719054576</v>
      </c>
      <c r="CG172">
        <f t="shared" ca="1" si="119"/>
        <v>274.51164464078664</v>
      </c>
      <c r="CH172">
        <f t="shared" ca="1" si="120"/>
        <v>-0.97474802165689645</v>
      </c>
      <c r="CI172">
        <f t="shared" ca="1" si="121"/>
        <v>-0.22330762252096684</v>
      </c>
      <c r="CJ172">
        <f t="shared" ca="1" si="122"/>
        <v>-2.9163861841982976</v>
      </c>
      <c r="CK172" s="39">
        <f t="shared" ca="1" si="123"/>
        <v>-3.3392401103312386</v>
      </c>
    </row>
    <row r="173" spans="1:89" x14ac:dyDescent="0.25">
      <c r="A173" s="1" t="str">
        <f t="shared" si="185"/>
        <v>Segment 6</v>
      </c>
      <c r="B173" s="1">
        <f t="shared" si="185"/>
        <v>-30.492818317751322</v>
      </c>
      <c r="C173" s="1">
        <f t="shared" si="185"/>
        <v>10.685879984381689</v>
      </c>
      <c r="D173" s="1">
        <f t="shared" si="185"/>
        <v>-30.145405135517105</v>
      </c>
      <c r="E173" s="1">
        <f t="shared" si="185"/>
        <v>2.693427039208355</v>
      </c>
      <c r="F173" s="6">
        <f t="shared" si="188"/>
        <v>0</v>
      </c>
      <c r="G173" s="6">
        <f t="shared" si="189"/>
        <v>0</v>
      </c>
      <c r="H173" s="1">
        <f t="shared" si="190"/>
        <v>0</v>
      </c>
      <c r="I173" s="1">
        <f t="shared" si="191"/>
        <v>0</v>
      </c>
      <c r="J173">
        <f t="shared" si="192"/>
        <v>0</v>
      </c>
      <c r="K173">
        <f t="shared" si="193"/>
        <v>0</v>
      </c>
      <c r="L173" s="6">
        <f t="shared" si="194"/>
        <v>4250</v>
      </c>
      <c r="M173" s="6">
        <f t="shared" si="195"/>
        <v>4250</v>
      </c>
      <c r="N173" s="10">
        <f t="shared" si="196"/>
        <v>0</v>
      </c>
      <c r="O173" s="10">
        <f t="shared" si="197"/>
        <v>0</v>
      </c>
      <c r="P173" s="10">
        <f t="shared" si="198"/>
        <v>0</v>
      </c>
      <c r="BC173">
        <v>2.9845130209102946</v>
      </c>
      <c r="BD173">
        <v>-274.02736287341361</v>
      </c>
      <c r="BE173">
        <v>-78.266154189103361</v>
      </c>
      <c r="BF173" s="6">
        <f t="shared" si="173"/>
        <v>3.4197999405798538</v>
      </c>
      <c r="BG173" s="6">
        <f t="shared" si="174"/>
        <v>0.43528691966955924</v>
      </c>
      <c r="BH173" s="6">
        <f t="shared" si="175"/>
        <v>-2.9969460144469133</v>
      </c>
      <c r="BI173" s="6">
        <f t="shared" si="176"/>
        <v>2.9969460144469133</v>
      </c>
      <c r="BV173" s="39"/>
      <c r="BW173" s="6">
        <f t="shared" si="199"/>
        <v>2.7576202181510343</v>
      </c>
      <c r="BX173" s="9">
        <f t="shared" ca="1" si="200"/>
        <v>-295.31932071259303</v>
      </c>
      <c r="BY173" s="9">
        <f t="shared" ca="1" si="201"/>
        <v>-139.23209045285688</v>
      </c>
      <c r="BZ173">
        <f t="shared" ca="1" si="115"/>
        <v>326.4951396238846</v>
      </c>
      <c r="CA173" s="6">
        <f t="shared" ca="1" si="116"/>
        <v>-0.90451368143732414</v>
      </c>
      <c r="CB173" s="6">
        <f t="shared" ca="1" si="117"/>
        <v>-0.42644460377955173</v>
      </c>
      <c r="CC173" s="6">
        <f t="shared" ca="1" si="118"/>
        <v>-2.7010342626363393</v>
      </c>
      <c r="CD173" s="6">
        <f t="shared" ca="1" si="112"/>
        <v>-2.3506561855102923</v>
      </c>
      <c r="CE173" s="9">
        <f t="shared" ca="1" si="113"/>
        <v>-270.01927884823704</v>
      </c>
      <c r="CF173" s="9">
        <f t="shared" ca="1" si="114"/>
        <v>-66.932467232060944</v>
      </c>
      <c r="CG173">
        <f t="shared" ca="1" si="119"/>
        <v>278.19124019187393</v>
      </c>
      <c r="CH173">
        <f t="shared" ca="1" si="120"/>
        <v>-0.97062466331434261</v>
      </c>
      <c r="CI173">
        <f t="shared" ca="1" si="121"/>
        <v>-0.24059875927759736</v>
      </c>
      <c r="CJ173">
        <f t="shared" ca="1" si="122"/>
        <v>-2.8986099693234273</v>
      </c>
      <c r="CK173" s="39">
        <f t="shared" ca="1" si="123"/>
        <v>-3.3214638954563682</v>
      </c>
    </row>
    <row r="174" spans="1:89" x14ac:dyDescent="0.25">
      <c r="A174" s="1" t="str">
        <f t="shared" si="185"/>
        <v>Segment 7</v>
      </c>
      <c r="B174" s="1">
        <f t="shared" si="185"/>
        <v>-30.145405135517105</v>
      </c>
      <c r="C174" s="1">
        <f t="shared" si="185"/>
        <v>2.693427039208355</v>
      </c>
      <c r="D174" s="1">
        <f t="shared" si="185"/>
        <v>-6.1680462999971084</v>
      </c>
      <c r="E174" s="1">
        <f t="shared" si="185"/>
        <v>3.7356665859110043</v>
      </c>
      <c r="F174" s="6">
        <f t="shared" si="188"/>
        <v>1</v>
      </c>
      <c r="G174" s="6">
        <f t="shared" si="189"/>
        <v>1</v>
      </c>
      <c r="H174" s="1">
        <f t="shared" si="190"/>
        <v>-6.1680462999971084</v>
      </c>
      <c r="I174" s="1">
        <f t="shared" si="191"/>
        <v>3.7356665859110043</v>
      </c>
      <c r="J174">
        <f t="shared" si="192"/>
        <v>-6.1680462999971084</v>
      </c>
      <c r="K174">
        <f t="shared" si="193"/>
        <v>3.7356665859110043</v>
      </c>
      <c r="L174" s="6">
        <f t="shared" si="194"/>
        <v>4250</v>
      </c>
      <c r="M174" s="6">
        <f t="shared" si="195"/>
        <v>4250</v>
      </c>
      <c r="N174" s="10">
        <f t="shared" si="196"/>
        <v>0</v>
      </c>
      <c r="O174" s="10">
        <f t="shared" si="197"/>
        <v>0</v>
      </c>
      <c r="P174" s="10">
        <f t="shared" si="198"/>
        <v>0</v>
      </c>
      <c r="BC174">
        <v>3.0019663134302377</v>
      </c>
      <c r="BD174">
        <v>-274.22445991739596</v>
      </c>
      <c r="BE174">
        <v>-79.08517568715979</v>
      </c>
      <c r="BF174" s="6">
        <f t="shared" si="173"/>
        <v>3.4223696656582079</v>
      </c>
      <c r="BG174" s="6">
        <f t="shared" si="174"/>
        <v>0.42040335222797021</v>
      </c>
      <c r="BH174" s="6">
        <f t="shared" si="175"/>
        <v>-2.9995157395252674</v>
      </c>
      <c r="BI174" s="6">
        <f t="shared" si="176"/>
        <v>2.9995157395252674</v>
      </c>
      <c r="BV174" s="39"/>
      <c r="BW174" s="6">
        <f t="shared" si="199"/>
        <v>2.7750735106709774</v>
      </c>
      <c r="BX174" s="9">
        <f t="shared" ca="1" si="200"/>
        <v>-295.7628981569278</v>
      </c>
      <c r="BY174" s="9">
        <f t="shared" ca="1" si="201"/>
        <v>-140.21626401267002</v>
      </c>
      <c r="BZ174">
        <f t="shared" ca="1" si="115"/>
        <v>327.31680772587288</v>
      </c>
      <c r="CA174" s="6">
        <f t="shared" ca="1" si="116"/>
        <v>-0.90359826069374538</v>
      </c>
      <c r="CB174" s="6">
        <f t="shared" ca="1" si="117"/>
        <v>-0.42838088574449512</v>
      </c>
      <c r="CC174" s="6">
        <f t="shared" ca="1" si="118"/>
        <v>-2.6988924912341909</v>
      </c>
      <c r="CD174" s="6">
        <f t="shared" ca="1" si="112"/>
        <v>-2.348514414108144</v>
      </c>
      <c r="CE174" s="9">
        <f t="shared" ca="1" si="113"/>
        <v>-270.46285629257181</v>
      </c>
      <c r="CF174" s="9">
        <f t="shared" ca="1" si="114"/>
        <v>-67.916640791874087</v>
      </c>
      <c r="CG174">
        <f t="shared" ca="1" si="119"/>
        <v>278.85986934370601</v>
      </c>
      <c r="CH174">
        <f t="shared" ca="1" si="120"/>
        <v>-0.96988805499014086</v>
      </c>
      <c r="CI174">
        <f t="shared" ca="1" si="121"/>
        <v>-0.24355114614273915</v>
      </c>
      <c r="CJ174">
        <f t="shared" ca="1" si="122"/>
        <v>-2.8955670780718177</v>
      </c>
      <c r="CK174" s="39">
        <f t="shared" ca="1" si="123"/>
        <v>-3.3184210042047582</v>
      </c>
    </row>
    <row r="175" spans="1:89" ht="15.75" thickBot="1" x14ac:dyDescent="0.3">
      <c r="A175" s="1" t="str">
        <f t="shared" si="185"/>
        <v>Segment 8</v>
      </c>
      <c r="B175" s="1">
        <f t="shared" si="185"/>
        <v>-6.1680462999971084</v>
      </c>
      <c r="C175" s="1">
        <f t="shared" si="185"/>
        <v>3.7356665859110043</v>
      </c>
      <c r="D175" s="1">
        <f t="shared" si="185"/>
        <v>-5.4732199355286753</v>
      </c>
      <c r="E175" s="1">
        <f t="shared" si="185"/>
        <v>-12.249239304435662</v>
      </c>
      <c r="F175" s="6">
        <f t="shared" si="188"/>
        <v>0</v>
      </c>
      <c r="G175" s="6">
        <f t="shared" si="189"/>
        <v>0</v>
      </c>
      <c r="H175" s="1">
        <f t="shared" si="190"/>
        <v>0</v>
      </c>
      <c r="I175" s="1">
        <f t="shared" si="191"/>
        <v>0</v>
      </c>
      <c r="J175">
        <f t="shared" si="192"/>
        <v>0</v>
      </c>
      <c r="K175">
        <f t="shared" si="193"/>
        <v>0</v>
      </c>
      <c r="L175" s="6">
        <f t="shared" si="194"/>
        <v>4250</v>
      </c>
      <c r="M175" s="6">
        <f t="shared" si="195"/>
        <v>4250</v>
      </c>
      <c r="N175" s="11">
        <f t="shared" si="196"/>
        <v>0</v>
      </c>
      <c r="O175" s="11">
        <f t="shared" si="197"/>
        <v>0</v>
      </c>
      <c r="P175" s="11">
        <f t="shared" si="198"/>
        <v>0</v>
      </c>
      <c r="BC175">
        <v>3.0194196059501808</v>
      </c>
      <c r="BD175">
        <v>-274.40884625943625</v>
      </c>
      <c r="BE175">
        <v>-79.900188654556246</v>
      </c>
      <c r="BF175" s="6">
        <f t="shared" si="173"/>
        <v>3.4249308713946602</v>
      </c>
      <c r="BG175" s="6">
        <f t="shared" si="174"/>
        <v>0.40551126544447946</v>
      </c>
      <c r="BH175" s="6">
        <f t="shared" si="175"/>
        <v>-3.0020769452617193</v>
      </c>
      <c r="BI175" s="6">
        <f t="shared" si="176"/>
        <v>3.0020769452617193</v>
      </c>
      <c r="BV175" s="39"/>
      <c r="BW175" s="6">
        <f t="shared" si="199"/>
        <v>2.7925268031909205</v>
      </c>
      <c r="BX175" s="9">
        <f t="shared" ca="1" si="200"/>
        <v>-296.16013097777233</v>
      </c>
      <c r="BY175" s="9">
        <f t="shared" ca="1" si="201"/>
        <v>-141.12938946797689</v>
      </c>
      <c r="BZ175">
        <f t="shared" ca="1" si="115"/>
        <v>328.06756583419696</v>
      </c>
      <c r="CA175" s="6">
        <f t="shared" ca="1" si="116"/>
        <v>-0.90274126985003322</v>
      </c>
      <c r="CB175" s="6">
        <f t="shared" ca="1" si="117"/>
        <v>-0.43018391382006566</v>
      </c>
      <c r="CC175" s="6">
        <f t="shared" ca="1" si="118"/>
        <v>-2.696896158378407</v>
      </c>
      <c r="CD175" s="6">
        <f t="shared" ca="1" si="112"/>
        <v>-2.3465180812523601</v>
      </c>
      <c r="CE175" s="9">
        <f t="shared" ca="1" si="113"/>
        <v>-270.86008911341634</v>
      </c>
      <c r="CF175" s="9">
        <f t="shared" ca="1" si="114"/>
        <v>-68.829766247180956</v>
      </c>
      <c r="CG175">
        <f t="shared" ca="1" si="119"/>
        <v>279.46864689293756</v>
      </c>
      <c r="CH175">
        <f t="shared" ca="1" si="120"/>
        <v>-0.96919669567506406</v>
      </c>
      <c r="CI175">
        <f t="shared" ca="1" si="121"/>
        <v>-0.24628797187954021</v>
      </c>
      <c r="CJ175">
        <f t="shared" ca="1" si="122"/>
        <v>-2.8927442783787516</v>
      </c>
      <c r="CK175" s="39">
        <f t="shared" ca="1" si="123"/>
        <v>-3.3155982045116925</v>
      </c>
    </row>
    <row r="176" spans="1:89" ht="15.75" thickTop="1" x14ac:dyDescent="0.25">
      <c r="M176" s="9"/>
      <c r="N176" s="9">
        <f>SUM(N168:N175)</f>
        <v>29759.994608728237</v>
      </c>
      <c r="O176" s="9">
        <f t="shared" ref="O176:P176" si="202">SUM(O168:O175)</f>
        <v>349072.23065943544</v>
      </c>
      <c r="P176" s="9">
        <f t="shared" si="202"/>
        <v>-14672.533247240186</v>
      </c>
      <c r="BC176">
        <v>3.0368728984701239</v>
      </c>
      <c r="BD176">
        <v>-274.58097336097904</v>
      </c>
      <c r="BE176">
        <v>-80.711715601304988</v>
      </c>
      <c r="BF176" s="6">
        <f t="shared" si="173"/>
        <v>3.4274852247791348</v>
      </c>
      <c r="BG176" s="6">
        <f t="shared" si="174"/>
        <v>0.39061232630901088</v>
      </c>
      <c r="BH176" s="6">
        <f t="shared" si="175"/>
        <v>-3.0046312986461938</v>
      </c>
      <c r="BI176" s="6">
        <f t="shared" si="176"/>
        <v>3.0046312986461938</v>
      </c>
      <c r="BV176" s="39"/>
      <c r="BW176" s="6">
        <f t="shared" si="199"/>
        <v>2.8099800957108636</v>
      </c>
      <c r="BX176" s="9">
        <f t="shared" ca="1" si="200"/>
        <v>-296.53629420847091</v>
      </c>
      <c r="BY176" s="9">
        <f t="shared" ca="1" si="201"/>
        <v>-142.03098577079993</v>
      </c>
      <c r="BZ176">
        <f t="shared" ca="1" si="115"/>
        <v>328.79564276601661</v>
      </c>
      <c r="CA176" s="6">
        <f t="shared" ca="1" si="116"/>
        <v>-0.9018863258461649</v>
      </c>
      <c r="CB176" s="6">
        <f t="shared" ca="1" si="117"/>
        <v>-0.43197344276205796</v>
      </c>
      <c r="CC176" s="6">
        <f t="shared" ca="1" si="118"/>
        <v>-2.6949128922910539</v>
      </c>
      <c r="CD176" s="6">
        <f t="shared" ca="1" si="112"/>
        <v>-2.3445348151650069</v>
      </c>
      <c r="CE176" s="9">
        <f t="shared" ca="1" si="113"/>
        <v>-271.23625234411492</v>
      </c>
      <c r="CF176" s="9">
        <f t="shared" ca="1" si="114"/>
        <v>-69.731362550003993</v>
      </c>
      <c r="CG176">
        <f t="shared" ca="1" si="119"/>
        <v>280.05636487814462</v>
      </c>
      <c r="CH176">
        <f t="shared" ca="1" si="120"/>
        <v>-0.96850593794621509</v>
      </c>
      <c r="CI176">
        <f t="shared" ca="1" si="121"/>
        <v>-0.24899045797564651</v>
      </c>
      <c r="CJ176">
        <f t="shared" ca="1" si="122"/>
        <v>-2.8899549088470473</v>
      </c>
      <c r="CK176" s="39">
        <f t="shared" ca="1" si="123"/>
        <v>-3.3128088349799878</v>
      </c>
    </row>
    <row r="177" spans="1:89" x14ac:dyDescent="0.25">
      <c r="BC177">
        <v>3.054326190990067</v>
      </c>
      <c r="BD177">
        <v>-274.74127242572678</v>
      </c>
      <c r="BE177">
        <v>-81.520270344159627</v>
      </c>
      <c r="BF177" s="6">
        <f t="shared" si="173"/>
        <v>3.4300343523815591</v>
      </c>
      <c r="BG177" s="6">
        <f t="shared" si="174"/>
        <v>0.3757081613914921</v>
      </c>
      <c r="BH177" s="6">
        <f t="shared" si="175"/>
        <v>-3.0071804262486186</v>
      </c>
      <c r="BI177" s="6">
        <f t="shared" si="176"/>
        <v>3.0071804262486186</v>
      </c>
      <c r="BV177" s="39"/>
      <c r="BW177" s="6">
        <f t="shared" si="199"/>
        <v>2.8274333882308067</v>
      </c>
      <c r="BX177" s="9">
        <f t="shared" ca="1" si="200"/>
        <v>-296.89238483819435</v>
      </c>
      <c r="BY177" s="9">
        <f t="shared" ca="1" si="201"/>
        <v>-142.92180916370512</v>
      </c>
      <c r="BZ177">
        <f t="shared" ca="1" si="115"/>
        <v>329.5022484134775</v>
      </c>
      <c r="CA177" s="6">
        <f t="shared" ca="1" si="116"/>
        <v>-0.90103295582261855</v>
      </c>
      <c r="CB177" s="6">
        <f t="shared" ca="1" si="117"/>
        <v>-0.4337506340301478</v>
      </c>
      <c r="CC177" s="6">
        <f t="shared" ca="1" si="118"/>
        <v>-2.6929414333238673</v>
      </c>
      <c r="CD177" s="6">
        <f t="shared" ca="1" si="112"/>
        <v>-2.3425633561978207</v>
      </c>
      <c r="CE177" s="9">
        <f t="shared" ca="1" si="113"/>
        <v>-271.59234297383836</v>
      </c>
      <c r="CF177" s="9">
        <f t="shared" ca="1" si="114"/>
        <v>-70.622185942909184</v>
      </c>
      <c r="CG177">
        <f t="shared" ca="1" si="119"/>
        <v>280.62411498189863</v>
      </c>
      <c r="CH177">
        <f t="shared" ca="1" si="120"/>
        <v>-0.96781541027347973</v>
      </c>
      <c r="CI177">
        <f t="shared" ca="1" si="121"/>
        <v>-0.25166114447243637</v>
      </c>
      <c r="CJ177">
        <f t="shared" ca="1" si="122"/>
        <v>-2.8871963948165962</v>
      </c>
      <c r="CK177" s="39">
        <f t="shared" ca="1" si="123"/>
        <v>-3.3100503209495367</v>
      </c>
    </row>
    <row r="178" spans="1:89" x14ac:dyDescent="0.25">
      <c r="A178" t="s">
        <v>198</v>
      </c>
      <c r="B178">
        <f>(N176+M165)/1000</f>
        <v>182.34161808322415</v>
      </c>
      <c r="C178" t="s">
        <v>68</v>
      </c>
      <c r="BC178">
        <v>3.0717794835100101</v>
      </c>
      <c r="BD178">
        <v>-274.89015820608859</v>
      </c>
      <c r="BE178">
        <v>-82.326359331792389</v>
      </c>
      <c r="BF178" s="6">
        <f t="shared" si="173"/>
        <v>3.4325798428475056</v>
      </c>
      <c r="BG178" s="6">
        <f t="shared" si="174"/>
        <v>0.36080035933749555</v>
      </c>
      <c r="BH178" s="6">
        <f t="shared" si="175"/>
        <v>-3.0097259167145651</v>
      </c>
      <c r="BI178" s="6">
        <f t="shared" si="176"/>
        <v>3.0097259167145651</v>
      </c>
      <c r="BV178" s="39"/>
      <c r="BW178" s="6">
        <f t="shared" si="199"/>
        <v>2.8448866807507498</v>
      </c>
      <c r="BX178" s="9">
        <f t="shared" ca="1" si="200"/>
        <v>-297.22932856145474</v>
      </c>
      <c r="BY178" s="9">
        <f t="shared" ca="1" si="201"/>
        <v>-143.80258494184307</v>
      </c>
      <c r="BZ178">
        <f t="shared" ca="1" si="115"/>
        <v>330.18851765779073</v>
      </c>
      <c r="CA178" s="6">
        <f t="shared" ca="1" si="116"/>
        <v>-0.90018069274445489</v>
      </c>
      <c r="CB178" s="6">
        <f t="shared" ca="1" si="117"/>
        <v>-0.43551661324238078</v>
      </c>
      <c r="CC178" s="6">
        <f t="shared" ca="1" si="118"/>
        <v>-2.6909805569472272</v>
      </c>
      <c r="CD178" s="6">
        <f t="shared" ca="1" si="112"/>
        <v>-2.3406024798211806</v>
      </c>
      <c r="CE178" s="9">
        <f t="shared" ca="1" si="113"/>
        <v>-271.92928669709875</v>
      </c>
      <c r="CF178" s="9">
        <f t="shared" ca="1" si="114"/>
        <v>-71.502961721047129</v>
      </c>
      <c r="CG178">
        <f t="shared" ca="1" si="119"/>
        <v>281.17291921249182</v>
      </c>
      <c r="CH178">
        <f t="shared" ca="1" si="120"/>
        <v>-0.96712474109781765</v>
      </c>
      <c r="CI178">
        <f t="shared" ca="1" si="121"/>
        <v>-0.25430244819206765</v>
      </c>
      <c r="CJ178">
        <f t="shared" ca="1" si="122"/>
        <v>-2.8844662823868381</v>
      </c>
      <c r="CK178" s="39">
        <f t="shared" ca="1" si="123"/>
        <v>-3.307320208519779</v>
      </c>
    </row>
    <row r="179" spans="1:89" x14ac:dyDescent="0.25">
      <c r="A179" t="s">
        <v>100</v>
      </c>
      <c r="B179">
        <f>(N165+O176)/1000</f>
        <v>1985.2821662783397</v>
      </c>
      <c r="C179" t="s">
        <v>69</v>
      </c>
      <c r="BC179">
        <v>3.0892327760299532</v>
      </c>
      <c r="BD179">
        <v>-275.02803307169501</v>
      </c>
      <c r="BE179">
        <v>-83.130482930907931</v>
      </c>
      <c r="BF179" s="6">
        <f t="shared" si="173"/>
        <v>3.4351232486810335</v>
      </c>
      <c r="BG179" s="6">
        <f t="shared" si="174"/>
        <v>0.34589047265108031</v>
      </c>
      <c r="BH179" s="6">
        <f t="shared" si="175"/>
        <v>-3.012269322548093</v>
      </c>
      <c r="BI179" s="6">
        <f t="shared" si="176"/>
        <v>3.012269322548093</v>
      </c>
      <c r="BV179" s="39"/>
      <c r="BW179" s="6">
        <f t="shared" si="199"/>
        <v>2.8623399732706929</v>
      </c>
      <c r="BX179" s="9">
        <f t="shared" ca="1" si="200"/>
        <v>-297.54798565747222</v>
      </c>
      <c r="BY179" s="9">
        <f t="shared" ca="1" si="201"/>
        <v>-144.67401001446626</v>
      </c>
      <c r="BZ179">
        <f t="shared" ca="1" si="115"/>
        <v>330.85551671762278</v>
      </c>
      <c r="CA179" s="6">
        <f t="shared" ca="1" si="116"/>
        <v>-0.8993290745441076</v>
      </c>
      <c r="CB179" s="6">
        <f t="shared" ca="1" si="117"/>
        <v>-0.43727247304128242</v>
      </c>
      <c r="CC179" s="6">
        <f t="shared" ca="1" si="118"/>
        <v>-2.6890290707440592</v>
      </c>
      <c r="CD179" s="6">
        <f t="shared" ca="1" si="112"/>
        <v>-2.3386509936180122</v>
      </c>
      <c r="CE179" s="9">
        <f t="shared" ca="1" si="113"/>
        <v>-272.24794379311624</v>
      </c>
      <c r="CF179" s="9">
        <f t="shared" ca="1" si="114"/>
        <v>-72.374386793670325</v>
      </c>
      <c r="CG179">
        <f t="shared" ca="1" si="119"/>
        <v>281.70373579940252</v>
      </c>
      <c r="CH179">
        <f t="shared" ca="1" si="120"/>
        <v>-0.96643355836423972</v>
      </c>
      <c r="CI179">
        <f t="shared" ca="1" si="121"/>
        <v>-0.25691667378244198</v>
      </c>
      <c r="CJ179">
        <f t="shared" ca="1" si="122"/>
        <v>-2.8817622273829779</v>
      </c>
      <c r="CK179" s="39">
        <f t="shared" ca="1" si="123"/>
        <v>-3.3046161535159184</v>
      </c>
    </row>
    <row r="180" spans="1:89" x14ac:dyDescent="0.25">
      <c r="A180" t="s">
        <v>101</v>
      </c>
      <c r="B180">
        <f>-1*(O165+P176)/1000</f>
        <v>1571.5384972011691</v>
      </c>
      <c r="C180" t="s">
        <v>69</v>
      </c>
      <c r="BC180">
        <v>3.1066860685498963</v>
      </c>
      <c r="BD180">
        <v>-275.15529147495891</v>
      </c>
      <c r="BE180">
        <v>-83.933136680328289</v>
      </c>
      <c r="BF180" s="6">
        <f t="shared" si="173"/>
        <v>3.4376660872002347</v>
      </c>
      <c r="BG180" s="6">
        <f t="shared" si="174"/>
        <v>0.33098001865033844</v>
      </c>
      <c r="BH180" s="6">
        <f t="shared" si="175"/>
        <v>-3.0148121610672938</v>
      </c>
      <c r="BI180" s="6">
        <f t="shared" si="176"/>
        <v>3.0148121610672938</v>
      </c>
      <c r="BV180" s="39"/>
      <c r="BW180" s="6">
        <f t="shared" si="199"/>
        <v>2.879793265790636</v>
      </c>
      <c r="BX180" s="9">
        <f t="shared" ca="1" si="200"/>
        <v>-297.8491563982094</v>
      </c>
      <c r="BY180" s="9">
        <f t="shared" ca="1" si="201"/>
        <v>-145.53675528820708</v>
      </c>
      <c r="BZ180">
        <f t="shared" ca="1" si="115"/>
        <v>331.50424900285134</v>
      </c>
      <c r="CA180" s="6">
        <f t="shared" ca="1" si="116"/>
        <v>-0.8984776433307422</v>
      </c>
      <c r="CB180" s="6">
        <f t="shared" ca="1" si="117"/>
        <v>-0.43901927569850024</v>
      </c>
      <c r="CC180" s="6">
        <f t="shared" ca="1" si="118"/>
        <v>-2.687085811671599</v>
      </c>
      <c r="CD180" s="6">
        <f t="shared" ca="1" si="112"/>
        <v>-2.336707734545552</v>
      </c>
      <c r="CE180" s="9">
        <f t="shared" ca="1" si="113"/>
        <v>-272.54911453385341</v>
      </c>
      <c r="CF180" s="9">
        <f t="shared" ca="1" si="114"/>
        <v>-73.237132067411139</v>
      </c>
      <c r="CG180">
        <f t="shared" ca="1" si="119"/>
        <v>282.21746463790464</v>
      </c>
      <c r="CH180">
        <f t="shared" ca="1" si="120"/>
        <v>-0.96574148904478296</v>
      </c>
      <c r="CI180">
        <f t="shared" ca="1" si="121"/>
        <v>-0.25950602370188913</v>
      </c>
      <c r="CJ180">
        <f t="shared" ca="1" si="122"/>
        <v>-2.8790819853698881</v>
      </c>
      <c r="CK180" s="39">
        <f t="shared" ca="1" si="123"/>
        <v>-3.3019359115028291</v>
      </c>
    </row>
    <row r="181" spans="1:89" x14ac:dyDescent="0.25">
      <c r="BC181">
        <v>3.1241393610698394</v>
      </c>
      <c r="BD181">
        <v>-275.27232493579692</v>
      </c>
      <c r="BE181">
        <v>-84.734812519794303</v>
      </c>
      <c r="BF181" s="6">
        <f t="shared" si="173"/>
        <v>3.4402098405529373</v>
      </c>
      <c r="BG181" s="6">
        <f t="shared" si="174"/>
        <v>0.31607047948309797</v>
      </c>
      <c r="BH181" s="6">
        <f t="shared" si="175"/>
        <v>-3.0173559144199968</v>
      </c>
      <c r="BI181" s="6">
        <f t="shared" si="176"/>
        <v>3.0173559144199968</v>
      </c>
      <c r="BV181" s="39"/>
      <c r="BW181" s="6">
        <f t="shared" si="199"/>
        <v>2.8972465583105791</v>
      </c>
      <c r="BX181" s="9">
        <f t="shared" ca="1" si="200"/>
        <v>-298.13358601629125</v>
      </c>
      <c r="BY181" s="9">
        <f t="shared" ca="1" si="201"/>
        <v>-146.39146789029354</v>
      </c>
      <c r="BZ181">
        <f t="shared" ca="1" si="115"/>
        <v>332.13566050938914</v>
      </c>
      <c r="CA181" s="6">
        <f t="shared" ca="1" si="116"/>
        <v>-0.89762594464879297</v>
      </c>
      <c r="CB181" s="6">
        <f t="shared" ca="1" si="117"/>
        <v>-0.4407580555059224</v>
      </c>
      <c r="CC181" s="6">
        <f t="shared" ca="1" si="118"/>
        <v>-2.6851496435397921</v>
      </c>
      <c r="CD181" s="6">
        <f t="shared" ca="1" si="112"/>
        <v>-2.3347715664137452</v>
      </c>
      <c r="CE181" s="9">
        <f t="shared" ca="1" si="113"/>
        <v>-272.83354415193526</v>
      </c>
      <c r="CF181" s="9">
        <f t="shared" ca="1" si="114"/>
        <v>-74.091844669497604</v>
      </c>
      <c r="CG181">
        <f t="shared" ca="1" si="119"/>
        <v>282.71495231245723</v>
      </c>
      <c r="CH181">
        <f t="shared" ca="1" si="120"/>
        <v>-0.96504815864991456</v>
      </c>
      <c r="CI181">
        <f t="shared" ca="1" si="121"/>
        <v>-0.26207260727975618</v>
      </c>
      <c r="CJ181">
        <f t="shared" ca="1" si="122"/>
        <v>-2.8764234025779198</v>
      </c>
      <c r="CK181" s="39">
        <f t="shared" ca="1" si="123"/>
        <v>-3.2992773287108603</v>
      </c>
    </row>
    <row r="182" spans="1:89" x14ac:dyDescent="0.25">
      <c r="A182" t="s">
        <v>54</v>
      </c>
      <c r="BC182">
        <v>3.1415926535897825</v>
      </c>
      <c r="BD182">
        <v>-275.37952776860283</v>
      </c>
      <c r="BE182">
        <v>-85.535999999999518</v>
      </c>
      <c r="BF182" s="6">
        <f t="shared" si="173"/>
        <v>3.4427559545659978</v>
      </c>
      <c r="BG182" s="6">
        <f t="shared" si="174"/>
        <v>0.30116330097621535</v>
      </c>
      <c r="BH182" s="6">
        <f t="shared" si="175"/>
        <v>-3.0199020284330569</v>
      </c>
      <c r="BI182" s="6">
        <f t="shared" si="176"/>
        <v>3.0199020284330569</v>
      </c>
      <c r="BV182" s="39"/>
      <c r="BW182" s="6">
        <f t="shared" si="199"/>
        <v>2.9146998508305222</v>
      </c>
      <c r="BX182" s="9">
        <f t="shared" ca="1" si="200"/>
        <v>-298.40196932135228</v>
      </c>
      <c r="BY182" s="9">
        <f t="shared" ca="1" si="201"/>
        <v>-147.23877324813219</v>
      </c>
      <c r="BZ182">
        <f t="shared" ca="1" si="115"/>
        <v>332.7506448415632</v>
      </c>
      <c r="CA182" s="6">
        <f t="shared" ca="1" si="116"/>
        <v>-0.89677352680543776</v>
      </c>
      <c r="CB182" s="6">
        <f t="shared" ca="1" si="117"/>
        <v>-0.44248982092352929</v>
      </c>
      <c r="CC182" s="6">
        <f t="shared" ca="1" si="118"/>
        <v>-2.6832194547412591</v>
      </c>
      <c r="CD182" s="6">
        <f t="shared" ca="1" si="112"/>
        <v>-2.3328413776152122</v>
      </c>
      <c r="CE182" s="9">
        <f t="shared" ca="1" si="113"/>
        <v>-273.10192745699629</v>
      </c>
      <c r="CF182" s="9">
        <f t="shared" ca="1" si="114"/>
        <v>-74.939150027336254</v>
      </c>
      <c r="CG182">
        <f t="shared" ca="1" si="119"/>
        <v>283.19699678412212</v>
      </c>
      <c r="CH182">
        <f t="shared" ca="1" si="120"/>
        <v>-0.96435319074085668</v>
      </c>
      <c r="CI182">
        <f t="shared" ca="1" si="121"/>
        <v>-0.26461844891830377</v>
      </c>
      <c r="CJ182">
        <f t="shared" ca="1" si="122"/>
        <v>-2.8737844076774008</v>
      </c>
      <c r="CK182" s="39">
        <f t="shared" ca="1" si="123"/>
        <v>-3.2966383338103418</v>
      </c>
    </row>
    <row r="183" spans="1:89" x14ac:dyDescent="0.25">
      <c r="BC183">
        <v>3.1590459461097256</v>
      </c>
      <c r="BD183">
        <v>-275.27232493584404</v>
      </c>
      <c r="BE183">
        <v>-86.337187480204662</v>
      </c>
      <c r="BF183" s="6">
        <f t="shared" si="173"/>
        <v>3.445518325994962</v>
      </c>
      <c r="BG183" s="6">
        <f t="shared" si="174"/>
        <v>0.28647237988523644</v>
      </c>
      <c r="BH183" s="6">
        <f t="shared" si="175"/>
        <v>-3.0226643998620215</v>
      </c>
      <c r="BI183" s="6">
        <f t="shared" si="176"/>
        <v>3.0226643998620215</v>
      </c>
      <c r="BV183" s="39"/>
      <c r="BW183" s="6">
        <f t="shared" si="199"/>
        <v>2.9321531433504653</v>
      </c>
      <c r="BX183" s="9">
        <f t="shared" ca="1" si="200"/>
        <v>-298.65495499748647</v>
      </c>
      <c r="BY183" s="9">
        <f t="shared" ca="1" si="201"/>
        <v>-148.07927704014151</v>
      </c>
      <c r="BZ183">
        <f t="shared" ca="1" si="115"/>
        <v>333.35004789752418</v>
      </c>
      <c r="CA183" s="6">
        <f t="shared" ca="1" si="116"/>
        <v>-0.89591994025840549</v>
      </c>
      <c r="CB183" s="6">
        <f t="shared" ca="1" si="117"/>
        <v>-0.44421555651212286</v>
      </c>
      <c r="CC183" s="6">
        <f t="shared" ca="1" si="118"/>
        <v>-2.6812941562033625</v>
      </c>
      <c r="CD183" s="6">
        <f t="shared" ca="1" si="112"/>
        <v>-2.3309160790773156</v>
      </c>
      <c r="CE183" s="9">
        <f t="shared" ca="1" si="113"/>
        <v>-273.35491313313048</v>
      </c>
      <c r="CF183" s="9">
        <f t="shared" ca="1" si="114"/>
        <v>-75.779653819345569</v>
      </c>
      <c r="CG183">
        <f t="shared" ca="1" si="119"/>
        <v>283.66435177336115</v>
      </c>
      <c r="CH183">
        <f t="shared" ca="1" si="120"/>
        <v>-0.96365620644335459</v>
      </c>
      <c r="CI183">
        <f t="shared" ca="1" si="121"/>
        <v>-0.26714549553230826</v>
      </c>
      <c r="CJ183">
        <f t="shared" ca="1" si="122"/>
        <v>-2.8711630043060365</v>
      </c>
      <c r="CK183" s="39">
        <f t="shared" ca="1" si="123"/>
        <v>-3.2940169304389775</v>
      </c>
    </row>
    <row r="184" spans="1:89" x14ac:dyDescent="0.25">
      <c r="A184">
        <f>A14</f>
        <v>0</v>
      </c>
      <c r="B184" t="str">
        <f t="shared" ref="B184:E184" si="203">B14</f>
        <v>Bar #</v>
      </c>
      <c r="C184" t="str">
        <f t="shared" si="203"/>
        <v>As (in^2)</v>
      </c>
      <c r="D184" t="str">
        <f t="shared" si="203"/>
        <v>x</v>
      </c>
      <c r="E184" t="str">
        <f t="shared" si="203"/>
        <v>y</v>
      </c>
      <c r="F184" s="1" t="s">
        <v>55</v>
      </c>
      <c r="G184" s="1" t="s">
        <v>56</v>
      </c>
      <c r="H184" s="1" t="s">
        <v>21</v>
      </c>
      <c r="I184" s="1" t="s">
        <v>22</v>
      </c>
      <c r="J184" s="1" t="s">
        <v>57</v>
      </c>
      <c r="K184" s="1" t="s">
        <v>58</v>
      </c>
      <c r="L184" s="1" t="s">
        <v>199</v>
      </c>
      <c r="M184" s="1" t="s">
        <v>59</v>
      </c>
      <c r="N184" s="1" t="s">
        <v>60</v>
      </c>
      <c r="O184" s="1" t="s">
        <v>61</v>
      </c>
      <c r="P184" s="1" t="s">
        <v>62</v>
      </c>
      <c r="BC184">
        <v>3.1764992386296687</v>
      </c>
      <c r="BD184">
        <v>-275.155291474325</v>
      </c>
      <c r="BE184">
        <v>-87.138863319670705</v>
      </c>
      <c r="BF184" s="6">
        <f t="shared" si="173"/>
        <v>3.4482899618213021</v>
      </c>
      <c r="BG184" s="6">
        <f t="shared" si="174"/>
        <v>0.27179072319163344</v>
      </c>
      <c r="BH184" s="6">
        <f t="shared" si="175"/>
        <v>-3.0254360356883616</v>
      </c>
      <c r="BI184" s="6">
        <f t="shared" si="176"/>
        <v>3.0254360356883616</v>
      </c>
      <c r="BV184" s="39"/>
      <c r="BW184" s="6">
        <f t="shared" si="199"/>
        <v>2.9496064358704084</v>
      </c>
      <c r="BX184" s="9">
        <f t="shared" ca="1" si="200"/>
        <v>-298.89314964746308</v>
      </c>
      <c r="BY184" s="9">
        <f t="shared" ca="1" si="201"/>
        <v>-148.91356703137421</v>
      </c>
      <c r="BZ184">
        <f t="shared" ca="1" si="115"/>
        <v>333.93467228215212</v>
      </c>
      <c r="CA184" s="6">
        <f t="shared" ca="1" si="116"/>
        <v>-0.89506473707803147</v>
      </c>
      <c r="CB184" s="6">
        <f t="shared" ca="1" si="117"/>
        <v>-0.44593622463244059</v>
      </c>
      <c r="CC184" s="6">
        <f t="shared" ca="1" si="118"/>
        <v>-2.6793726795847301</v>
      </c>
      <c r="CD184" s="6">
        <f t="shared" ca="1" si="112"/>
        <v>-2.3289946024586836</v>
      </c>
      <c r="CE184" s="9">
        <f t="shared" ca="1" si="113"/>
        <v>-273.59310778310709</v>
      </c>
      <c r="CF184" s="9">
        <f t="shared" ca="1" si="114"/>
        <v>-76.613943810578277</v>
      </c>
      <c r="CG184">
        <f t="shared" ca="1" si="119"/>
        <v>284.11773090152133</v>
      </c>
      <c r="CH184">
        <f t="shared" ca="1" si="120"/>
        <v>-0.96295682397216453</v>
      </c>
      <c r="CI184">
        <f t="shared" ca="1" si="121"/>
        <v>-0.26965562327799109</v>
      </c>
      <c r="CJ184">
        <f t="shared" ca="1" si="122"/>
        <v>-2.8685572642993344</v>
      </c>
      <c r="CK184" s="39">
        <f t="shared" ca="1" si="123"/>
        <v>-3.2914111904322754</v>
      </c>
    </row>
    <row r="185" spans="1:89" x14ac:dyDescent="0.25">
      <c r="A185">
        <f t="shared" ref="A185:E194" si="204">A15</f>
        <v>1</v>
      </c>
      <c r="B185" t="str">
        <f t="shared" si="204"/>
        <v>p1</v>
      </c>
      <c r="C185">
        <f t="shared" ca="1" si="204"/>
        <v>1.056</v>
      </c>
      <c r="D185">
        <f t="shared" si="204"/>
        <v>6</v>
      </c>
      <c r="E185">
        <f t="shared" si="204"/>
        <v>2</v>
      </c>
      <c r="F185" s="1">
        <f t="shared" ref="F185:F194" si="205">D185-$I$2</f>
        <v>0</v>
      </c>
      <c r="G185" s="1">
        <f t="shared" ref="G185:G194" si="206">E185-$I$3</f>
        <v>-10</v>
      </c>
      <c r="H185" s="6">
        <f t="shared" ref="H185:H194" si="207">F185*COS($B$27)+G185*SIN($B$27)</f>
        <v>0.43426647779277061</v>
      </c>
      <c r="I185" s="6">
        <f t="shared" ref="I185:I194" si="208">-1*F185*SIN($B$27)+G185*COS($B$27)</f>
        <v>-9.9905661814666669</v>
      </c>
      <c r="J185" s="6">
        <f t="shared" ref="J185:J194" si="209">$G$38-I185</f>
        <v>22.23980548590233</v>
      </c>
      <c r="K185">
        <f t="shared" ref="K185:K194" ca="1" si="210">IF($B$28=0,-1,IF(C185=0,0,(($B$28-J185)/$B$28)*$B$30)*IF($B$28&lt;0,-1,1))</f>
        <v>-2.3070207678999116E-2</v>
      </c>
      <c r="L185">
        <f ca="1">IF(K185&lt;0,0,IF(K185&lt;=$B$145,0.85*$B$143*((2*K185/$B$145)-POWER(K185/$B$145,2)),0.85*$B$143))/1000</f>
        <v>0</v>
      </c>
      <c r="M185">
        <f ca="1">IF(K185&gt;0,MIN((K185*B$13),B$12)-L185,MAX(K185*B$13,-1*B$12))</f>
        <v>-60</v>
      </c>
      <c r="N185" s="6">
        <f t="shared" ref="N185:N194" ca="1" si="211">M185*C185</f>
        <v>-63.36</v>
      </c>
      <c r="O185" s="6">
        <f t="shared" ref="O185:O194" ca="1" si="212">N185*I185</f>
        <v>633.00227325772801</v>
      </c>
      <c r="P185" s="6">
        <f t="shared" ref="P185:P194" ca="1" si="213">N185*H185*-1</f>
        <v>27.515124032949945</v>
      </c>
      <c r="BC185">
        <v>3.1939525311496118</v>
      </c>
      <c r="BD185">
        <v>-275.02803307280203</v>
      </c>
      <c r="BE185">
        <v>-87.941517069091077</v>
      </c>
      <c r="BF185" s="6">
        <f t="shared" si="173"/>
        <v>3.4510731036086661</v>
      </c>
      <c r="BG185" s="6">
        <f t="shared" si="174"/>
        <v>0.2571205724590544</v>
      </c>
      <c r="BH185" s="6">
        <f t="shared" si="175"/>
        <v>-3.0282191774757257</v>
      </c>
      <c r="BI185" s="6">
        <f t="shared" si="176"/>
        <v>3.0282191774757257</v>
      </c>
      <c r="BV185" s="39"/>
      <c r="BW185" s="6">
        <f t="shared" si="199"/>
        <v>2.9670597283903515</v>
      </c>
      <c r="BX185" s="9">
        <f t="shared" ca="1" si="200"/>
        <v>-299.11712163023242</v>
      </c>
      <c r="BY185" s="9">
        <f t="shared" ca="1" si="201"/>
        <v>-149.74221480627705</v>
      </c>
      <c r="BZ185">
        <f t="shared" ca="1" si="115"/>
        <v>334.5052814940961</v>
      </c>
      <c r="CA185" s="6">
        <f t="shared" ca="1" si="116"/>
        <v>-0.89420747048955562</v>
      </c>
      <c r="CB185" s="6">
        <f t="shared" ca="1" si="117"/>
        <v>-0.44765276690831546</v>
      </c>
      <c r="CC185" s="6">
        <f t="shared" ca="1" si="118"/>
        <v>-2.6774539757206623</v>
      </c>
      <c r="CD185" s="6">
        <f t="shared" ca="1" si="112"/>
        <v>-2.3270758985946154</v>
      </c>
      <c r="CE185" s="9">
        <f t="shared" ca="1" si="113"/>
        <v>-273.81707976587643</v>
      </c>
      <c r="CF185" s="9">
        <f t="shared" ca="1" si="114"/>
        <v>-77.442591585481111</v>
      </c>
      <c r="CG185">
        <f t="shared" ca="1" si="119"/>
        <v>284.55781163585715</v>
      </c>
      <c r="CH185">
        <f t="shared" ca="1" si="120"/>
        <v>-0.96225465817214884</v>
      </c>
      <c r="CI185">
        <f t="shared" ca="1" si="121"/>
        <v>-0.27215064362591745</v>
      </c>
      <c r="CJ185">
        <f t="shared" ca="1" si="122"/>
        <v>-2.8659653215707186</v>
      </c>
      <c r="CK185" s="39">
        <f t="shared" ca="1" si="123"/>
        <v>-3.2888192477036595</v>
      </c>
    </row>
    <row r="186" spans="1:89" x14ac:dyDescent="0.25">
      <c r="A186">
        <f t="shared" si="204"/>
        <v>2</v>
      </c>
      <c r="B186" t="str">
        <f t="shared" si="204"/>
        <v>p1</v>
      </c>
      <c r="C186">
        <f t="shared" ca="1" si="204"/>
        <v>1.056</v>
      </c>
      <c r="D186">
        <f t="shared" si="204"/>
        <v>6</v>
      </c>
      <c r="E186">
        <f t="shared" si="204"/>
        <v>22</v>
      </c>
      <c r="F186" s="1">
        <f t="shared" si="205"/>
        <v>0</v>
      </c>
      <c r="G186" s="1">
        <f t="shared" si="206"/>
        <v>10</v>
      </c>
      <c r="H186" s="6">
        <f t="shared" si="207"/>
        <v>-0.43426647779277061</v>
      </c>
      <c r="I186" s="6">
        <f t="shared" si="208"/>
        <v>9.9905661814666669</v>
      </c>
      <c r="J186" s="6">
        <f t="shared" si="209"/>
        <v>2.2586731229689949</v>
      </c>
      <c r="K186">
        <f t="shared" ca="1" si="210"/>
        <v>3.523114924677987E-4</v>
      </c>
      <c r="L186">
        <f t="shared" ref="L186:L194" ca="1" si="214">IF(K186&lt;0,0,IF(K186&lt;=$B$145,0.85*$B$143*((2*K186/$B$145)-POWER(K186/$B$145,2)),0.85*$B$143))/1000</f>
        <v>1.3142148020267839</v>
      </c>
      <c r="M186">
        <f t="shared" ref="M186:M194" ca="1" si="215">IF(K186&gt;0,MIN((K186*B$13),B$12)-L186,MAX(K186*B$13,-1*B$12))</f>
        <v>8.9028184795393788</v>
      </c>
      <c r="N186" s="6">
        <f t="shared" ca="1" si="211"/>
        <v>9.401376314393584</v>
      </c>
      <c r="O186" s="6">
        <f t="shared" ca="1" si="212"/>
        <v>93.92507226582228</v>
      </c>
      <c r="P186" s="6">
        <f t="shared" ca="1" si="213"/>
        <v>4.0827025784560806</v>
      </c>
      <c r="BC186">
        <v>3.2114058236695548</v>
      </c>
      <c r="BD186">
        <v>-274.8901582055351</v>
      </c>
      <c r="BE186">
        <v>-88.74564066820659</v>
      </c>
      <c r="BF186" s="6">
        <f t="shared" si="173"/>
        <v>3.4538700038215153</v>
      </c>
      <c r="BG186" s="6">
        <f t="shared" si="174"/>
        <v>0.24246418015196047</v>
      </c>
      <c r="BH186" s="6">
        <f t="shared" si="175"/>
        <v>-3.0310160776885748</v>
      </c>
      <c r="BI186" s="6">
        <f t="shared" si="176"/>
        <v>3.0310160776885748</v>
      </c>
      <c r="BV186" s="39"/>
      <c r="BW186" s="6">
        <f t="shared" si="199"/>
        <v>2.9845130209102946</v>
      </c>
      <c r="BX186" s="9">
        <f t="shared" ca="1" si="200"/>
        <v>-299.3274047377696</v>
      </c>
      <c r="BY186" s="9">
        <f t="shared" ca="1" si="201"/>
        <v>-150.56577740989928</v>
      </c>
      <c r="BZ186">
        <f t="shared" ca="1" si="115"/>
        <v>335.0626039326022</v>
      </c>
      <c r="CA186" s="6">
        <f t="shared" ca="1" si="116"/>
        <v>-0.89334769450421647</v>
      </c>
      <c r="CB186" s="6">
        <f t="shared" ca="1" si="117"/>
        <v>-0.44936610544632899</v>
      </c>
      <c r="CC186" s="6">
        <f t="shared" ca="1" si="118"/>
        <v>-2.675537013327677</v>
      </c>
      <c r="CD186" s="6">
        <f t="shared" ca="1" si="112"/>
        <v>-2.3251589362016301</v>
      </c>
      <c r="CE186" s="9">
        <f t="shared" ca="1" si="113"/>
        <v>-274.02736287341361</v>
      </c>
      <c r="CF186" s="9">
        <f t="shared" ca="1" si="114"/>
        <v>-78.266154189103347</v>
      </c>
      <c r="CG186">
        <f t="shared" ca="1" si="119"/>
        <v>284.98523908250058</v>
      </c>
      <c r="CH186">
        <f t="shared" ca="1" si="120"/>
        <v>-0.96154932008280336</v>
      </c>
      <c r="CI186">
        <f t="shared" ca="1" si="121"/>
        <v>-0.27463230882090012</v>
      </c>
      <c r="CJ186">
        <f t="shared" ca="1" si="122"/>
        <v>-2.8633853665997324</v>
      </c>
      <c r="CK186" s="39">
        <f t="shared" ca="1" si="123"/>
        <v>-3.2862392927326729</v>
      </c>
    </row>
    <row r="187" spans="1:89" x14ac:dyDescent="0.25">
      <c r="A187">
        <f t="shared" si="204"/>
        <v>3</v>
      </c>
      <c r="B187" t="str">
        <f t="shared" si="204"/>
        <v>p1</v>
      </c>
      <c r="C187">
        <f t="shared" ca="1" si="204"/>
        <v>1.056</v>
      </c>
      <c r="D187">
        <f t="shared" si="204"/>
        <v>-12</v>
      </c>
      <c r="E187">
        <f t="shared" si="204"/>
        <v>22</v>
      </c>
      <c r="F187" s="1">
        <f t="shared" si="205"/>
        <v>-18</v>
      </c>
      <c r="G187" s="1">
        <f t="shared" si="206"/>
        <v>10</v>
      </c>
      <c r="H187" s="6">
        <f t="shared" si="207"/>
        <v>-18.417285604432774</v>
      </c>
      <c r="I187" s="6">
        <f t="shared" si="208"/>
        <v>9.2088865214396805</v>
      </c>
      <c r="J187" s="6">
        <f t="shared" si="209"/>
        <v>3.0403527829959813</v>
      </c>
      <c r="K187">
        <f t="shared" ca="1" si="210"/>
        <v>-5.6399827868873378E-4</v>
      </c>
      <c r="L187">
        <f t="shared" ca="1" si="214"/>
        <v>0</v>
      </c>
      <c r="M187">
        <f t="shared" ca="1" si="215"/>
        <v>-16.35595008197328</v>
      </c>
      <c r="N187" s="6">
        <f t="shared" ca="1" si="211"/>
        <v>-17.271883286563785</v>
      </c>
      <c r="O187" s="6">
        <f t="shared" ca="1" si="212"/>
        <v>-159.05481319751652</v>
      </c>
      <c r="P187" s="6">
        <f t="shared" ca="1" si="213"/>
        <v>-318.10120741507421</v>
      </c>
      <c r="BC187">
        <v>3.2288591161894979</v>
      </c>
      <c r="BD187">
        <v>-274.74127242580164</v>
      </c>
      <c r="BE187">
        <v>-89.551729655839353</v>
      </c>
      <c r="BF187" s="6">
        <f t="shared" si="173"/>
        <v>3.4566829362302713</v>
      </c>
      <c r="BG187" s="6">
        <f t="shared" si="174"/>
        <v>0.22782382004077339</v>
      </c>
      <c r="BH187" s="6">
        <f t="shared" si="175"/>
        <v>-3.0338290100973309</v>
      </c>
      <c r="BI187" s="6">
        <f t="shared" si="176"/>
        <v>3.0338290100973309</v>
      </c>
      <c r="BV187" s="39"/>
      <c r="BW187" s="6">
        <f t="shared" si="199"/>
        <v>3.0019663134302377</v>
      </c>
      <c r="BX187" s="9">
        <f t="shared" ca="1" si="200"/>
        <v>-299.52450178175195</v>
      </c>
      <c r="BY187" s="9">
        <f t="shared" ca="1" si="201"/>
        <v>-151.38479890795571</v>
      </c>
      <c r="BZ187">
        <f t="shared" ca="1" si="115"/>
        <v>335.6073367910912</v>
      </c>
      <c r="CA187" s="6">
        <f t="shared" ca="1" si="116"/>
        <v>-0.89248496366514152</v>
      </c>
      <c r="CB187" s="6">
        <f t="shared" ca="1" si="117"/>
        <v>-0.45107714376992208</v>
      </c>
      <c r="CC187" s="6">
        <f t="shared" ca="1" si="118"/>
        <v>-2.6736207780161605</v>
      </c>
      <c r="CD187" s="6">
        <f t="shared" ca="1" si="112"/>
        <v>-2.3232427008901135</v>
      </c>
      <c r="CE187" s="9">
        <f t="shared" ca="1" si="113"/>
        <v>-274.22445991739596</v>
      </c>
      <c r="CF187" s="9">
        <f t="shared" ca="1" si="114"/>
        <v>-79.085175687159776</v>
      </c>
      <c r="CG187">
        <f t="shared" ca="1" si="119"/>
        <v>285.40062969526963</v>
      </c>
      <c r="CH187">
        <f t="shared" ca="1" si="120"/>
        <v>-0.96084041654075258</v>
      </c>
      <c r="CI187">
        <f t="shared" ca="1" si="121"/>
        <v>-0.27710231673840829</v>
      </c>
      <c r="CJ187">
        <f t="shared" ca="1" si="122"/>
        <v>-2.8608156415213783</v>
      </c>
      <c r="CK187" s="39">
        <f t="shared" ca="1" si="123"/>
        <v>-3.2836695676543188</v>
      </c>
    </row>
    <row r="188" spans="1:89" x14ac:dyDescent="0.25">
      <c r="A188">
        <f t="shared" si="204"/>
        <v>4</v>
      </c>
      <c r="B188">
        <f t="shared" si="204"/>
        <v>0</v>
      </c>
      <c r="C188">
        <f t="shared" ca="1" si="204"/>
        <v>0</v>
      </c>
      <c r="D188">
        <f t="shared" si="204"/>
        <v>4</v>
      </c>
      <c r="E188">
        <f t="shared" si="204"/>
        <v>22</v>
      </c>
      <c r="F188" s="1">
        <f t="shared" si="205"/>
        <v>-2</v>
      </c>
      <c r="G188" s="1">
        <f t="shared" si="206"/>
        <v>10</v>
      </c>
      <c r="H188" s="6">
        <f t="shared" si="207"/>
        <v>-2.4323797140861041</v>
      </c>
      <c r="I188" s="6">
        <f t="shared" si="208"/>
        <v>9.9037128859081136</v>
      </c>
      <c r="J188" s="6">
        <f t="shared" si="209"/>
        <v>2.3455264185275482</v>
      </c>
      <c r="K188">
        <f t="shared" ca="1" si="210"/>
        <v>0</v>
      </c>
      <c r="L188">
        <f t="shared" ca="1" si="214"/>
        <v>0</v>
      </c>
      <c r="M188">
        <f t="shared" ca="1" si="215"/>
        <v>0</v>
      </c>
      <c r="N188" s="6">
        <f t="shared" ca="1" si="211"/>
        <v>0</v>
      </c>
      <c r="O188" s="6">
        <f t="shared" ca="1" si="212"/>
        <v>0</v>
      </c>
      <c r="P188" s="6">
        <f t="shared" ca="1" si="213"/>
        <v>0</v>
      </c>
      <c r="BC188">
        <v>3.246312408709441</v>
      </c>
      <c r="BD188">
        <v>-274.58097336064071</v>
      </c>
      <c r="BE188">
        <v>-90.360284398693992</v>
      </c>
      <c r="BF188" s="6">
        <f t="shared" si="173"/>
        <v>3.4595142059197115</v>
      </c>
      <c r="BG188" s="6">
        <f t="shared" si="174"/>
        <v>0.21320179721027044</v>
      </c>
      <c r="BH188" s="6">
        <f t="shared" si="175"/>
        <v>-3.036660279786771</v>
      </c>
      <c r="BI188" s="6">
        <f t="shared" si="176"/>
        <v>3.036660279786771</v>
      </c>
      <c r="BV188" s="39"/>
      <c r="BW188" s="6">
        <f t="shared" si="199"/>
        <v>3.0194196059501808</v>
      </c>
      <c r="BX188" s="9">
        <f t="shared" ca="1" si="200"/>
        <v>-299.70888812379224</v>
      </c>
      <c r="BY188" s="9">
        <f t="shared" ca="1" si="201"/>
        <v>-152.19981187535217</v>
      </c>
      <c r="BZ188">
        <f t="shared" ca="1" si="115"/>
        <v>336.14014987099114</v>
      </c>
      <c r="CA188" s="6">
        <f t="shared" ca="1" si="116"/>
        <v>-0.89161883291483912</v>
      </c>
      <c r="CB188" s="6">
        <f t="shared" ca="1" si="117"/>
        <v>-0.45278676746519469</v>
      </c>
      <c r="CC188" s="6">
        <f t="shared" ca="1" si="118"/>
        <v>-2.6717042716164063</v>
      </c>
      <c r="CD188" s="6">
        <f t="shared" ca="1" si="112"/>
        <v>-2.3213261944903598</v>
      </c>
      <c r="CE188" s="9">
        <f t="shared" ca="1" si="113"/>
        <v>-274.40884625943625</v>
      </c>
      <c r="CF188" s="9">
        <f t="shared" ca="1" si="114"/>
        <v>-79.900188654556231</v>
      </c>
      <c r="CG188">
        <f t="shared" ca="1" si="119"/>
        <v>285.80457493271268</v>
      </c>
      <c r="CH188">
        <f t="shared" ca="1" si="120"/>
        <v>-0.9601275498268026</v>
      </c>
      <c r="CI188">
        <f t="shared" ca="1" si="121"/>
        <v>-0.27956231517066243</v>
      </c>
      <c r="CJ188">
        <f t="shared" ca="1" si="122"/>
        <v>-2.858254435784926</v>
      </c>
      <c r="CK188" s="39">
        <f t="shared" ca="1" si="123"/>
        <v>-3.2811083619178669</v>
      </c>
    </row>
    <row r="189" spans="1:89" x14ac:dyDescent="0.25">
      <c r="A189">
        <f t="shared" si="204"/>
        <v>5</v>
      </c>
      <c r="B189">
        <f t="shared" si="204"/>
        <v>0</v>
      </c>
      <c r="C189">
        <f t="shared" ca="1" si="204"/>
        <v>0</v>
      </c>
      <c r="D189">
        <f t="shared" si="204"/>
        <v>8</v>
      </c>
      <c r="E189">
        <f t="shared" si="204"/>
        <v>22</v>
      </c>
      <c r="F189" s="1">
        <f t="shared" si="205"/>
        <v>2</v>
      </c>
      <c r="G189" s="1">
        <f t="shared" si="206"/>
        <v>10</v>
      </c>
      <c r="H189" s="6">
        <f t="shared" si="207"/>
        <v>1.5638467585005627</v>
      </c>
      <c r="I189" s="6">
        <f t="shared" si="208"/>
        <v>10.07741947702522</v>
      </c>
      <c r="J189" s="6">
        <f t="shared" si="209"/>
        <v>2.1718198274104417</v>
      </c>
      <c r="K189">
        <f t="shared" ca="1" si="210"/>
        <v>0</v>
      </c>
      <c r="L189">
        <f t="shared" ca="1" si="214"/>
        <v>0</v>
      </c>
      <c r="M189">
        <f t="shared" ca="1" si="215"/>
        <v>0</v>
      </c>
      <c r="N189" s="6">
        <f t="shared" ca="1" si="211"/>
        <v>0</v>
      </c>
      <c r="O189" s="6">
        <f t="shared" ca="1" si="212"/>
        <v>0</v>
      </c>
      <c r="P189" s="6">
        <f t="shared" ca="1" si="213"/>
        <v>0</v>
      </c>
      <c r="BC189">
        <v>3.2637657012293841</v>
      </c>
      <c r="BD189">
        <v>-274.4088462596302</v>
      </c>
      <c r="BE189">
        <v>-91.171811345442748</v>
      </c>
      <c r="BF189" s="6">
        <f t="shared" si="173"/>
        <v>3.4623661590461245</v>
      </c>
      <c r="BG189" s="6">
        <f t="shared" si="174"/>
        <v>0.19860045781674041</v>
      </c>
      <c r="BH189" s="6">
        <f t="shared" si="175"/>
        <v>-3.0395122329131841</v>
      </c>
      <c r="BI189" s="6">
        <f t="shared" si="176"/>
        <v>3.0395122329131841</v>
      </c>
      <c r="BV189" s="39"/>
      <c r="BW189" s="6">
        <f t="shared" si="199"/>
        <v>3.0368728984701239</v>
      </c>
      <c r="BX189" s="9">
        <f t="shared" ca="1" si="200"/>
        <v>-299.88101522533503</v>
      </c>
      <c r="BY189" s="9">
        <f t="shared" ca="1" si="201"/>
        <v>-153.01133882210092</v>
      </c>
      <c r="BZ189">
        <f t="shared" ca="1" si="115"/>
        <v>336.66168938670376</v>
      </c>
      <c r="CA189" s="6">
        <f t="shared" ca="1" si="116"/>
        <v>-0.8907488576191368</v>
      </c>
      <c r="CB189" s="6">
        <f t="shared" ca="1" si="117"/>
        <v>-0.45449584448067587</v>
      </c>
      <c r="CC189" s="6">
        <f t="shared" ca="1" si="118"/>
        <v>-2.6697865118850626</v>
      </c>
      <c r="CD189" s="6">
        <f t="shared" ca="1" si="112"/>
        <v>-2.3194084347590156</v>
      </c>
      <c r="CE189" s="9">
        <f t="shared" ca="1" si="113"/>
        <v>-274.58097336097904</v>
      </c>
      <c r="CF189" s="9">
        <f t="shared" ca="1" si="114"/>
        <v>-80.711715601304988</v>
      </c>
      <c r="CG189">
        <f t="shared" ca="1" si="119"/>
        <v>286.19764493644709</v>
      </c>
      <c r="CH189">
        <f t="shared" ca="1" si="120"/>
        <v>-0.95941031737683358</v>
      </c>
      <c r="CI189">
        <f t="shared" ca="1" si="121"/>
        <v>-0.28201390552751682</v>
      </c>
      <c r="CJ189">
        <f t="shared" ca="1" si="122"/>
        <v>-2.8557000824004515</v>
      </c>
      <c r="CK189" s="39">
        <f t="shared" ca="1" si="123"/>
        <v>-3.2785540085333924</v>
      </c>
    </row>
    <row r="190" spans="1:89" x14ac:dyDescent="0.25">
      <c r="A190">
        <f t="shared" si="204"/>
        <v>6</v>
      </c>
      <c r="B190">
        <f t="shared" si="204"/>
        <v>0</v>
      </c>
      <c r="C190">
        <f t="shared" ca="1" si="204"/>
        <v>0</v>
      </c>
      <c r="D190">
        <f t="shared" si="204"/>
        <v>10</v>
      </c>
      <c r="E190">
        <f t="shared" si="204"/>
        <v>22</v>
      </c>
      <c r="F190" s="1">
        <f t="shared" si="205"/>
        <v>4</v>
      </c>
      <c r="G190" s="1">
        <f t="shared" si="206"/>
        <v>10</v>
      </c>
      <c r="H190" s="6">
        <f t="shared" si="207"/>
        <v>3.561959994793896</v>
      </c>
      <c r="I190" s="6">
        <f t="shared" si="208"/>
        <v>10.164272772583775</v>
      </c>
      <c r="J190" s="6">
        <f t="shared" si="209"/>
        <v>2.0849665318518866</v>
      </c>
      <c r="K190">
        <f t="shared" ca="1" si="210"/>
        <v>0</v>
      </c>
      <c r="L190">
        <f t="shared" ca="1" si="214"/>
        <v>0</v>
      </c>
      <c r="M190">
        <f t="shared" ca="1" si="215"/>
        <v>0</v>
      </c>
      <c r="N190" s="6">
        <f t="shared" ca="1" si="211"/>
        <v>0</v>
      </c>
      <c r="O190" s="6">
        <f t="shared" ca="1" si="212"/>
        <v>0</v>
      </c>
      <c r="P190" s="6">
        <f t="shared" ca="1" si="213"/>
        <v>0</v>
      </c>
      <c r="BC190">
        <v>3.2812189937493272</v>
      </c>
      <c r="BD190">
        <v>-274.22445991742131</v>
      </c>
      <c r="BE190">
        <v>-91.98682431283919</v>
      </c>
      <c r="BF190" s="6">
        <f t="shared" si="173"/>
        <v>3.4652411925372091</v>
      </c>
      <c r="BG190" s="6">
        <f t="shared" si="174"/>
        <v>0.18402219878788184</v>
      </c>
      <c r="BH190" s="6">
        <f t="shared" si="175"/>
        <v>-3.0423872664042682</v>
      </c>
      <c r="BI190" s="6">
        <f t="shared" si="176"/>
        <v>3.0423872664042682</v>
      </c>
      <c r="BV190" s="39"/>
      <c r="BW190" s="6">
        <f t="shared" si="199"/>
        <v>3.054326190990067</v>
      </c>
      <c r="BX190" s="9">
        <f t="shared" ca="1" si="200"/>
        <v>-300.04131429008277</v>
      </c>
      <c r="BY190" s="9">
        <f t="shared" ca="1" si="201"/>
        <v>-153.81989356495558</v>
      </c>
      <c r="BZ190">
        <f t="shared" ca="1" si="115"/>
        <v>337.17258182903083</v>
      </c>
      <c r="CA190" s="6">
        <f t="shared" ca="1" si="116"/>
        <v>-0.88987459378361877</v>
      </c>
      <c r="CB190" s="6">
        <f t="shared" ca="1" si="117"/>
        <v>-0.45620522502316813</v>
      </c>
      <c r="CC190" s="6">
        <f t="shared" ca="1" si="118"/>
        <v>-2.6678665326597688</v>
      </c>
      <c r="CD190" s="6">
        <f t="shared" ca="1" si="112"/>
        <v>-2.3174884555337218</v>
      </c>
      <c r="CE190" s="9">
        <f t="shared" ca="1" si="113"/>
        <v>-274.74127242572678</v>
      </c>
      <c r="CF190" s="9">
        <f t="shared" ca="1" si="114"/>
        <v>-81.520270344159641</v>
      </c>
      <c r="CG190">
        <f t="shared" ca="1" si="119"/>
        <v>286.58039230047177</v>
      </c>
      <c r="CH190">
        <f t="shared" ca="1" si="120"/>
        <v>-0.95868831157739498</v>
      </c>
      <c r="CI190">
        <f t="shared" ca="1" si="121"/>
        <v>-0.28445864593097442</v>
      </c>
      <c r="CJ190">
        <f t="shared" ca="1" si="122"/>
        <v>-2.8531509547980272</v>
      </c>
      <c r="CK190" s="39">
        <f t="shared" ca="1" si="123"/>
        <v>-3.2760048809309676</v>
      </c>
    </row>
    <row r="191" spans="1:89" x14ac:dyDescent="0.25">
      <c r="A191">
        <f t="shared" si="204"/>
        <v>7</v>
      </c>
      <c r="B191">
        <f t="shared" si="204"/>
        <v>0</v>
      </c>
      <c r="C191">
        <f t="shared" ca="1" si="204"/>
        <v>0</v>
      </c>
      <c r="D191">
        <f t="shared" si="204"/>
        <v>2</v>
      </c>
      <c r="E191">
        <f t="shared" si="204"/>
        <v>2</v>
      </c>
      <c r="F191" s="1">
        <f t="shared" si="205"/>
        <v>-4</v>
      </c>
      <c r="G191" s="1">
        <f t="shared" si="206"/>
        <v>-10</v>
      </c>
      <c r="H191" s="6">
        <f t="shared" si="207"/>
        <v>-3.561959994793896</v>
      </c>
      <c r="I191" s="6">
        <f t="shared" si="208"/>
        <v>-10.164272772583775</v>
      </c>
      <c r="J191" s="6">
        <f t="shared" si="209"/>
        <v>22.413512077019437</v>
      </c>
      <c r="K191">
        <f t="shared" ca="1" si="210"/>
        <v>0</v>
      </c>
      <c r="L191">
        <f t="shared" ca="1" si="214"/>
        <v>0</v>
      </c>
      <c r="M191">
        <f t="shared" ca="1" si="215"/>
        <v>0</v>
      </c>
      <c r="N191" s="6">
        <f t="shared" ca="1" si="211"/>
        <v>0</v>
      </c>
      <c r="O191" s="6">
        <f t="shared" ca="1" si="212"/>
        <v>0</v>
      </c>
      <c r="P191" s="6">
        <f t="shared" ca="1" si="213"/>
        <v>0</v>
      </c>
      <c r="BC191">
        <v>3.2986722862692703</v>
      </c>
      <c r="BD191">
        <v>-274.02736287430844</v>
      </c>
      <c r="BE191">
        <v>-92.805845810895619</v>
      </c>
      <c r="BF191" s="6">
        <f t="shared" si="173"/>
        <v>3.4681417638497694</v>
      </c>
      <c r="BG191" s="6">
        <f t="shared" si="174"/>
        <v>0.16946947758049902</v>
      </c>
      <c r="BH191" s="6">
        <f t="shared" si="175"/>
        <v>-3.0452878377168284</v>
      </c>
      <c r="BI191" s="6">
        <f t="shared" si="176"/>
        <v>3.0452878377168284</v>
      </c>
      <c r="BV191" s="39"/>
      <c r="BW191" s="6">
        <f t="shared" si="199"/>
        <v>3.0717794835100101</v>
      </c>
      <c r="BX191" s="9">
        <f t="shared" ca="1" si="200"/>
        <v>-300.19020007044458</v>
      </c>
      <c r="BY191" s="9">
        <f t="shared" ca="1" si="201"/>
        <v>-154.62598255258831</v>
      </c>
      <c r="BZ191">
        <f t="shared" ca="1" si="115"/>
        <v>337.67343795253851</v>
      </c>
      <c r="CA191" s="6">
        <f t="shared" ca="1" si="116"/>
        <v>-0.88899559850081433</v>
      </c>
      <c r="CB191" s="6">
        <f t="shared" ca="1" si="117"/>
        <v>-0.45791574098973598</v>
      </c>
      <c r="CC191" s="6">
        <f t="shared" ca="1" si="118"/>
        <v>-2.6659433845326128</v>
      </c>
      <c r="CD191" s="6">
        <f t="shared" ca="1" si="112"/>
        <v>-2.3155653074065663</v>
      </c>
      <c r="CE191" s="9">
        <f t="shared" ca="1" si="113"/>
        <v>-274.89015820608859</v>
      </c>
      <c r="CF191" s="9">
        <f t="shared" ca="1" si="114"/>
        <v>-82.326359331792375</v>
      </c>
      <c r="CG191">
        <f t="shared" ca="1" si="119"/>
        <v>286.95335599953489</v>
      </c>
      <c r="CH191">
        <f t="shared" ca="1" si="120"/>
        <v>-0.95796111966898945</v>
      </c>
      <c r="CI191">
        <f t="shared" ca="1" si="121"/>
        <v>-0.28689805367505727</v>
      </c>
      <c r="CJ191">
        <f t="shared" ca="1" si="122"/>
        <v>-2.8506054643320806</v>
      </c>
      <c r="CK191" s="39">
        <f t="shared" ca="1" si="123"/>
        <v>-3.2734593904650211</v>
      </c>
    </row>
    <row r="192" spans="1:89" x14ac:dyDescent="0.25">
      <c r="A192">
        <f t="shared" si="204"/>
        <v>8</v>
      </c>
      <c r="B192">
        <f t="shared" si="204"/>
        <v>0</v>
      </c>
      <c r="C192">
        <f t="shared" ca="1" si="204"/>
        <v>0</v>
      </c>
      <c r="D192">
        <f t="shared" si="204"/>
        <v>4</v>
      </c>
      <c r="E192">
        <f t="shared" si="204"/>
        <v>2</v>
      </c>
      <c r="F192" s="1">
        <f t="shared" si="205"/>
        <v>-2</v>
      </c>
      <c r="G192" s="1">
        <f t="shared" si="206"/>
        <v>-10</v>
      </c>
      <c r="H192" s="6">
        <f t="shared" si="207"/>
        <v>-1.5638467585005627</v>
      </c>
      <c r="I192" s="6">
        <f t="shared" si="208"/>
        <v>-10.07741947702522</v>
      </c>
      <c r="J192" s="6">
        <f t="shared" si="209"/>
        <v>22.326658781460882</v>
      </c>
      <c r="K192">
        <f t="shared" ca="1" si="210"/>
        <v>0</v>
      </c>
      <c r="L192">
        <f t="shared" ca="1" si="214"/>
        <v>0</v>
      </c>
      <c r="M192">
        <f t="shared" ca="1" si="215"/>
        <v>0</v>
      </c>
      <c r="N192" s="6">
        <f t="shared" ca="1" si="211"/>
        <v>0</v>
      </c>
      <c r="O192" s="6">
        <f t="shared" ca="1" si="212"/>
        <v>0</v>
      </c>
      <c r="P192" s="6">
        <f t="shared" ca="1" si="213"/>
        <v>0</v>
      </c>
      <c r="BC192">
        <v>3.3161255787892134</v>
      </c>
      <c r="BD192">
        <v>-273.81707976612699</v>
      </c>
      <c r="BE192">
        <v>-93.629408414517926</v>
      </c>
      <c r="BF192" s="6">
        <f t="shared" si="173"/>
        <v>3.4710704009462323</v>
      </c>
      <c r="BG192" s="6">
        <f t="shared" si="174"/>
        <v>0.15494482215701888</v>
      </c>
      <c r="BH192" s="6">
        <f t="shared" si="175"/>
        <v>-3.0482164748132918</v>
      </c>
      <c r="BI192" s="6">
        <f t="shared" si="176"/>
        <v>3.0482164748132918</v>
      </c>
      <c r="BV192" s="39"/>
      <c r="BW192" s="6">
        <f t="shared" si="199"/>
        <v>3.0892327760299532</v>
      </c>
      <c r="BX192" s="9">
        <f t="shared" ca="1" si="200"/>
        <v>-300.328074936051</v>
      </c>
      <c r="BY192" s="9">
        <f t="shared" ca="1" si="201"/>
        <v>-155.43010615170385</v>
      </c>
      <c r="BZ192">
        <f t="shared" ca="1" si="115"/>
        <v>338.16485697529862</v>
      </c>
      <c r="CA192" s="6">
        <f t="shared" ca="1" si="116"/>
        <v>-0.88811143068597631</v>
      </c>
      <c r="CB192" s="6">
        <f t="shared" ca="1" si="117"/>
        <v>-0.45962820484050859</v>
      </c>
      <c r="CC192" s="6">
        <f t="shared" ca="1" si="118"/>
        <v>-2.6640161361535353</v>
      </c>
      <c r="CD192" s="6">
        <f t="shared" ca="1" si="112"/>
        <v>-2.3136380590274888</v>
      </c>
      <c r="CE192" s="9">
        <f t="shared" ca="1" si="113"/>
        <v>-275.02803307169501</v>
      </c>
      <c r="CF192" s="9">
        <f t="shared" ca="1" si="114"/>
        <v>-83.130482930907917</v>
      </c>
      <c r="CG192">
        <f t="shared" ca="1" si="119"/>
        <v>287.31706556974876</v>
      </c>
      <c r="CH192">
        <f t="shared" ca="1" si="120"/>
        <v>-0.95722832379035805</v>
      </c>
      <c r="CI192">
        <f t="shared" ca="1" si="121"/>
        <v>-0.28933360698940891</v>
      </c>
      <c r="CJ192">
        <f t="shared" ca="1" si="122"/>
        <v>-2.8480620584985528</v>
      </c>
      <c r="CK192" s="39">
        <f t="shared" ca="1" si="123"/>
        <v>-3.2709159846314932</v>
      </c>
    </row>
    <row r="193" spans="1:89" x14ac:dyDescent="0.25">
      <c r="A193">
        <f t="shared" si="204"/>
        <v>9</v>
      </c>
      <c r="B193">
        <f t="shared" si="204"/>
        <v>0</v>
      </c>
      <c r="C193">
        <f t="shared" ca="1" si="204"/>
        <v>0</v>
      </c>
      <c r="D193">
        <f t="shared" si="204"/>
        <v>8</v>
      </c>
      <c r="E193">
        <f t="shared" si="204"/>
        <v>2</v>
      </c>
      <c r="F193" s="1">
        <f t="shared" si="205"/>
        <v>2</v>
      </c>
      <c r="G193" s="1">
        <f t="shared" si="206"/>
        <v>-10</v>
      </c>
      <c r="H193" s="6">
        <f t="shared" si="207"/>
        <v>2.4323797140861041</v>
      </c>
      <c r="I193" s="6">
        <f t="shared" si="208"/>
        <v>-9.9037128859081136</v>
      </c>
      <c r="J193" s="6">
        <f t="shared" si="209"/>
        <v>22.152952190343775</v>
      </c>
      <c r="K193">
        <f t="shared" ca="1" si="210"/>
        <v>0</v>
      </c>
      <c r="L193">
        <f t="shared" ca="1" si="214"/>
        <v>0</v>
      </c>
      <c r="M193">
        <f t="shared" ca="1" si="215"/>
        <v>0</v>
      </c>
      <c r="N193" s="6">
        <f t="shared" ca="1" si="211"/>
        <v>0</v>
      </c>
      <c r="O193" s="6">
        <f t="shared" ca="1" si="212"/>
        <v>0</v>
      </c>
      <c r="P193" s="6">
        <f t="shared" ca="1" si="213"/>
        <v>0</v>
      </c>
      <c r="BC193">
        <v>3.3335788713091565</v>
      </c>
      <c r="BD193">
        <v>-273.59310778364164</v>
      </c>
      <c r="BE193">
        <v>-94.45805618942066</v>
      </c>
      <c r="BF193" s="6">
        <f t="shared" si="173"/>
        <v>3.4740297125627864</v>
      </c>
      <c r="BG193" s="6">
        <f t="shared" si="174"/>
        <v>0.14045084125362983</v>
      </c>
      <c r="BH193" s="6">
        <f t="shared" si="175"/>
        <v>-3.0511757864298454</v>
      </c>
      <c r="BI193" s="6">
        <f t="shared" si="176"/>
        <v>3.0511757864298454</v>
      </c>
      <c r="BV193" s="39"/>
      <c r="BW193" s="6">
        <f t="shared" si="199"/>
        <v>3.1066860685498963</v>
      </c>
      <c r="BX193" s="9">
        <f t="shared" ca="1" si="200"/>
        <v>-300.4553333393149</v>
      </c>
      <c r="BY193" s="9">
        <f t="shared" ca="1" si="201"/>
        <v>-156.23275990112421</v>
      </c>
      <c r="BZ193">
        <f t="shared" ca="1" si="115"/>
        <v>338.64743111141587</v>
      </c>
      <c r="CA193" s="6">
        <f t="shared" ca="1" si="116"/>
        <v>-0.88722165218629501</v>
      </c>
      <c r="CB193" s="6">
        <f t="shared" ca="1" si="117"/>
        <v>-0.46134340776889943</v>
      </c>
      <c r="CC193" s="6">
        <f t="shared" ca="1" si="118"/>
        <v>-2.6620838763299814</v>
      </c>
      <c r="CD193" s="6">
        <f t="shared" ca="1" si="112"/>
        <v>-2.3117057992039349</v>
      </c>
      <c r="CE193" s="9">
        <f t="shared" ca="1" si="113"/>
        <v>-275.15529147495891</v>
      </c>
      <c r="CF193" s="9">
        <f t="shared" ca="1" si="114"/>
        <v>-83.933136680328275</v>
      </c>
      <c r="CG193">
        <f t="shared" ca="1" si="119"/>
        <v>287.67204566948845</v>
      </c>
      <c r="CH193">
        <f t="shared" ca="1" si="120"/>
        <v>-0.95648950121170184</v>
      </c>
      <c r="CI193">
        <f t="shared" ca="1" si="121"/>
        <v>-0.29176674600061958</v>
      </c>
      <c r="CJ193">
        <f t="shared" ca="1" si="122"/>
        <v>-2.8455192199793515</v>
      </c>
      <c r="CK193" s="39">
        <f t="shared" ca="1" si="123"/>
        <v>-3.2683731461122925</v>
      </c>
    </row>
    <row r="194" spans="1:89" ht="15.75" thickBot="1" x14ac:dyDescent="0.3">
      <c r="A194">
        <f t="shared" si="204"/>
        <v>10</v>
      </c>
      <c r="B194">
        <f t="shared" si="204"/>
        <v>0</v>
      </c>
      <c r="C194">
        <f t="shared" ca="1" si="204"/>
        <v>0</v>
      </c>
      <c r="D194">
        <f t="shared" si="204"/>
        <v>10</v>
      </c>
      <c r="E194">
        <f t="shared" si="204"/>
        <v>2</v>
      </c>
      <c r="F194" s="1">
        <f t="shared" si="205"/>
        <v>4</v>
      </c>
      <c r="G194" s="1">
        <f t="shared" si="206"/>
        <v>-10</v>
      </c>
      <c r="H194" s="6">
        <f t="shared" si="207"/>
        <v>4.4304929503794375</v>
      </c>
      <c r="I194" s="6">
        <f t="shared" si="208"/>
        <v>-9.8168595903495586</v>
      </c>
      <c r="J194" s="6">
        <f t="shared" si="209"/>
        <v>22.06609889478522</v>
      </c>
      <c r="K194" s="12">
        <f t="shared" ca="1" si="210"/>
        <v>0</v>
      </c>
      <c r="L194">
        <f t="shared" ca="1" si="214"/>
        <v>0</v>
      </c>
      <c r="M194">
        <f t="shared" ca="1" si="215"/>
        <v>0</v>
      </c>
      <c r="N194" s="11">
        <f t="shared" ca="1" si="211"/>
        <v>0</v>
      </c>
      <c r="O194" s="11">
        <f t="shared" ca="1" si="212"/>
        <v>0</v>
      </c>
      <c r="P194" s="11">
        <f t="shared" ca="1" si="213"/>
        <v>0</v>
      </c>
      <c r="BC194">
        <v>3.3510321638290996</v>
      </c>
      <c r="BD194">
        <v>-273.35491313307796</v>
      </c>
      <c r="BE194">
        <v>-95.292346180653396</v>
      </c>
      <c r="BF194" s="6">
        <f t="shared" si="173"/>
        <v>3.4770223989257825</v>
      </c>
      <c r="BG194" s="6">
        <f t="shared" si="174"/>
        <v>0.12599023509668283</v>
      </c>
      <c r="BH194" s="6">
        <f t="shared" si="175"/>
        <v>-3.054168472792842</v>
      </c>
      <c r="BI194" s="6">
        <f t="shared" si="176"/>
        <v>3.054168472792842</v>
      </c>
      <c r="BV194" s="39"/>
      <c r="BW194" s="6">
        <f t="shared" si="199"/>
        <v>3.1241393610698394</v>
      </c>
      <c r="BX194" s="9">
        <f t="shared" ca="1" si="200"/>
        <v>-300.57236680015291</v>
      </c>
      <c r="BY194" s="9">
        <f t="shared" ca="1" si="201"/>
        <v>-157.03443574059025</v>
      </c>
      <c r="BZ194">
        <f t="shared" ca="1" si="115"/>
        <v>339.12175054427172</v>
      </c>
      <c r="CA194" s="6">
        <f t="shared" ca="1" si="116"/>
        <v>-0.88632582934521542</v>
      </c>
      <c r="CB194" s="6">
        <f t="shared" ca="1" si="117"/>
        <v>-0.46306211703778549</v>
      </c>
      <c r="CC194" s="6">
        <f t="shared" ca="1" si="118"/>
        <v>-2.660145717077115</v>
      </c>
      <c r="CD194" s="6">
        <f t="shared" ca="1" si="112"/>
        <v>-2.309767639951068</v>
      </c>
      <c r="CE194" s="9">
        <f t="shared" ca="1" si="113"/>
        <v>-275.27232493579692</v>
      </c>
      <c r="CF194" s="9">
        <f t="shared" ca="1" si="114"/>
        <v>-84.734812519794318</v>
      </c>
      <c r="CG194">
        <f t="shared" ca="1" si="119"/>
        <v>288.01882113557036</v>
      </c>
      <c r="CH194">
        <f t="shared" ca="1" si="120"/>
        <v>-0.95574422480615018</v>
      </c>
      <c r="CI194">
        <f t="shared" ca="1" si="121"/>
        <v>-0.29419887278793377</v>
      </c>
      <c r="CJ194">
        <f t="shared" ca="1" si="122"/>
        <v>-2.8429754666266489</v>
      </c>
      <c r="CK194" s="39">
        <f t="shared" ca="1" si="123"/>
        <v>-3.2658293927595894</v>
      </c>
    </row>
    <row r="195" spans="1:89" ht="15.75" thickTop="1" x14ac:dyDescent="0.25">
      <c r="K195" s="13">
        <f ca="1">MIN(K185:K194)</f>
        <v>-2.3070207678999116E-2</v>
      </c>
      <c r="N195" s="9">
        <f ca="1">SUM(N185:N194)</f>
        <v>-71.23050697217019</v>
      </c>
      <c r="O195" s="9">
        <f ca="1">SUM(O185:O194)</f>
        <v>567.87253232603371</v>
      </c>
      <c r="P195" s="9">
        <f ca="1">SUM(P185:P194)</f>
        <v>-286.50338080366816</v>
      </c>
      <c r="BC195">
        <v>3.3684854563490427</v>
      </c>
      <c r="BD195">
        <v>-273.10192745615296</v>
      </c>
      <c r="BE195">
        <v>-96.132849972662726</v>
      </c>
      <c r="BF195" s="6">
        <f t="shared" ref="BF195:BF258" si="216">IF(BC195&lt;&gt;"",IF(AND(BD195=0,BE195=0),0,MOD(ATAN2(BD195,BE195),2*PI())),NA())</f>
        <v>3.4800512630082072</v>
      </c>
      <c r="BG195" s="6">
        <f t="shared" ref="BG195:BG258" si="217">ABS(BC195-BF195)</f>
        <v>0.11156580665916449</v>
      </c>
      <c r="BH195" s="6">
        <f t="shared" ref="BH195:BH258" si="218">ATAN2(COS($U$13-BF195),SIN($U$13-BF195))</f>
        <v>-3.0571973368752667</v>
      </c>
      <c r="BI195" s="6">
        <f t="shared" ref="BI195:BI258" si="219">ABS(BH195)</f>
        <v>3.0571973368752667</v>
      </c>
      <c r="BV195" s="39"/>
      <c r="BW195" s="6">
        <f t="shared" si="199"/>
        <v>3.1415926535897825</v>
      </c>
      <c r="BX195" s="9">
        <f t="shared" ca="1" si="200"/>
        <v>-300.67956963295882</v>
      </c>
      <c r="BY195" s="9">
        <f t="shared" ca="1" si="201"/>
        <v>-157.83562322079547</v>
      </c>
      <c r="BZ195">
        <f t="shared" ca="1" si="115"/>
        <v>339.58840903681954</v>
      </c>
      <c r="CA195" s="6">
        <f t="shared" ca="1" si="116"/>
        <v>-0.88542353517242078</v>
      </c>
      <c r="CB195" s="6">
        <f t="shared" ca="1" si="117"/>
        <v>-0.46478507222454196</v>
      </c>
      <c r="CC195" s="6">
        <f t="shared" ca="1" si="118"/>
        <v>-2.6582007979162658</v>
      </c>
      <c r="CD195" s="6">
        <f t="shared" ca="1" si="112"/>
        <v>-2.3078227207902193</v>
      </c>
      <c r="CE195" s="9">
        <f t="shared" ca="1" si="113"/>
        <v>-275.37952776860283</v>
      </c>
      <c r="CF195" s="9">
        <f t="shared" ca="1" si="114"/>
        <v>-85.535999999999532</v>
      </c>
      <c r="CG195">
        <f t="shared" ca="1" si="119"/>
        <v>288.35792274542865</v>
      </c>
      <c r="CH195">
        <f t="shared" ca="1" si="120"/>
        <v>-0.95499206384461455</v>
      </c>
      <c r="CI195">
        <f t="shared" ca="1" si="121"/>
        <v>-0.29663135032191701</v>
      </c>
      <c r="CJ195">
        <f t="shared" ca="1" si="122"/>
        <v>-2.8404293526135884</v>
      </c>
      <c r="CK195" s="39">
        <f t="shared" ca="1" si="123"/>
        <v>-3.2632832787465293</v>
      </c>
    </row>
    <row r="196" spans="1:89" x14ac:dyDescent="0.25">
      <c r="A196" t="s">
        <v>200</v>
      </c>
      <c r="B196" s="9">
        <f ca="1">N195</f>
        <v>-71.23050697217019</v>
      </c>
      <c r="C196" t="s">
        <v>68</v>
      </c>
      <c r="BC196">
        <v>3.3859387488689858</v>
      </c>
      <c r="BD196">
        <v>-272.8335441516266</v>
      </c>
      <c r="BE196">
        <v>-96.980155330501333</v>
      </c>
      <c r="BF196" s="6">
        <f t="shared" si="216"/>
        <v>3.4831192224442877</v>
      </c>
      <c r="BG196" s="6">
        <f t="shared" si="217"/>
        <v>9.7180473575301907E-2</v>
      </c>
      <c r="BH196" s="6">
        <f t="shared" si="218"/>
        <v>-3.0602652963113472</v>
      </c>
      <c r="BI196" s="6">
        <f t="shared" si="219"/>
        <v>3.0602652963113472</v>
      </c>
      <c r="BV196" s="39"/>
      <c r="BW196" s="6">
        <f t="shared" si="199"/>
        <v>3.1590459461097256</v>
      </c>
      <c r="BX196" s="9">
        <f t="shared" ca="1" si="200"/>
        <v>-300.57236680020003</v>
      </c>
      <c r="BY196" s="9">
        <f t="shared" ca="1" si="201"/>
        <v>-158.6368107010006</v>
      </c>
      <c r="BZ196">
        <f t="shared" ca="1" si="115"/>
        <v>339.86671710136471</v>
      </c>
      <c r="CA196" s="6">
        <f t="shared" ca="1" si="116"/>
        <v>-0.88438305864046929</v>
      </c>
      <c r="CB196" s="6">
        <f t="shared" ca="1" si="117"/>
        <v>-0.46676182961948409</v>
      </c>
      <c r="CC196" s="6">
        <f t="shared" ca="1" si="118"/>
        <v>-2.6559669305775135</v>
      </c>
      <c r="CD196" s="6">
        <f t="shared" ca="1" si="112"/>
        <v>-2.305588853451467</v>
      </c>
      <c r="CE196" s="9">
        <f t="shared" ca="1" si="113"/>
        <v>-275.27232493584404</v>
      </c>
      <c r="CF196" s="9">
        <f t="shared" ca="1" si="114"/>
        <v>-86.337187480204662</v>
      </c>
      <c r="CG196">
        <f t="shared" ca="1" si="119"/>
        <v>288.49430292048561</v>
      </c>
      <c r="CH196">
        <f t="shared" ca="1" si="120"/>
        <v>-0.95416901529495435</v>
      </c>
      <c r="CI196">
        <f t="shared" ca="1" si="121"/>
        <v>-0.29926825800785672</v>
      </c>
      <c r="CJ196">
        <f t="shared" ca="1" si="122"/>
        <v>-2.8376669811846242</v>
      </c>
      <c r="CK196" s="39">
        <f t="shared" ca="1" si="123"/>
        <v>-3.2605209073175647</v>
      </c>
    </row>
    <row r="197" spans="1:89" x14ac:dyDescent="0.25">
      <c r="A197" t="s">
        <v>100</v>
      </c>
      <c r="B197" s="9">
        <f ca="1">O195</f>
        <v>567.87253232603371</v>
      </c>
      <c r="C197" t="s">
        <v>69</v>
      </c>
      <c r="BC197">
        <v>3.4033920413889289</v>
      </c>
      <c r="BD197">
        <v>-272.54911453325695</v>
      </c>
      <c r="BE197">
        <v>-97.834867932587841</v>
      </c>
      <c r="BF197" s="6">
        <f t="shared" si="216"/>
        <v>3.4862293222379508</v>
      </c>
      <c r="BG197" s="6">
        <f t="shared" si="217"/>
        <v>8.2837280849021866E-2</v>
      </c>
      <c r="BH197" s="6">
        <f t="shared" si="218"/>
        <v>-3.0633753961050099</v>
      </c>
      <c r="BI197" s="6">
        <f t="shared" si="219"/>
        <v>3.0633753961050099</v>
      </c>
      <c r="BV197" s="39"/>
      <c r="BW197" s="6">
        <f t="shared" si="199"/>
        <v>3.1764992386296687</v>
      </c>
      <c r="BX197" s="9">
        <f t="shared" ca="1" si="200"/>
        <v>-300.45533333868099</v>
      </c>
      <c r="BY197" s="9">
        <f t="shared" ca="1" si="201"/>
        <v>-159.43848654046664</v>
      </c>
      <c r="BZ197">
        <f t="shared" ca="1" si="115"/>
        <v>340.13826353701</v>
      </c>
      <c r="CA197" s="6">
        <f t="shared" ca="1" si="116"/>
        <v>-0.88333294294597597</v>
      </c>
      <c r="CB197" s="6">
        <f t="shared" ca="1" si="117"/>
        <v>-0.46874610601732064</v>
      </c>
      <c r="CC197" s="6">
        <f t="shared" ca="1" si="118"/>
        <v>-2.6537219143388833</v>
      </c>
      <c r="CD197" s="6">
        <f t="shared" ca="1" si="112"/>
        <v>-2.3033438372128368</v>
      </c>
      <c r="CE197" s="9">
        <f t="shared" ca="1" si="113"/>
        <v>-275.155291474325</v>
      </c>
      <c r="CF197" s="9">
        <f t="shared" ca="1" si="114"/>
        <v>-87.138863319670705</v>
      </c>
      <c r="CG197">
        <f t="shared" ca="1" si="119"/>
        <v>288.62365794744721</v>
      </c>
      <c r="CH197">
        <f t="shared" ca="1" si="120"/>
        <v>-0.95333588878713971</v>
      </c>
      <c r="CI197">
        <f t="shared" ca="1" si="121"/>
        <v>-0.3019117141656385</v>
      </c>
      <c r="CJ197">
        <f t="shared" ca="1" si="122"/>
        <v>-2.8348953453582841</v>
      </c>
      <c r="CK197" s="39">
        <f t="shared" ca="1" si="123"/>
        <v>-3.2577492714912246</v>
      </c>
    </row>
    <row r="198" spans="1:89" x14ac:dyDescent="0.25">
      <c r="A198" t="s">
        <v>101</v>
      </c>
      <c r="B198" s="9">
        <f ca="1">P195</f>
        <v>-286.50338080366816</v>
      </c>
      <c r="C198" t="s">
        <v>69</v>
      </c>
      <c r="BC198">
        <v>3.420845333908872</v>
      </c>
      <c r="BD198">
        <v>-272.24794379366324</v>
      </c>
      <c r="BE198">
        <v>-98.697613206328583</v>
      </c>
      <c r="BF198" s="6">
        <f t="shared" si="216"/>
        <v>3.4893847483709894</v>
      </c>
      <c r="BG198" s="6">
        <f t="shared" si="217"/>
        <v>6.8539414462117421E-2</v>
      </c>
      <c r="BH198" s="6">
        <f t="shared" si="218"/>
        <v>-3.0665308222380485</v>
      </c>
      <c r="BI198" s="6">
        <f t="shared" si="219"/>
        <v>3.0665308222380485</v>
      </c>
      <c r="BV198" s="39"/>
      <c r="BW198" s="6">
        <f t="shared" si="199"/>
        <v>3.1939525311496118</v>
      </c>
      <c r="BX198" s="9">
        <f t="shared" ca="1" si="200"/>
        <v>-300.32807493715802</v>
      </c>
      <c r="BY198" s="9">
        <f t="shared" ca="1" si="201"/>
        <v>-160.24114028988703</v>
      </c>
      <c r="BZ198">
        <f t="shared" ca="1" si="115"/>
        <v>340.40296067581795</v>
      </c>
      <c r="CA198" s="6">
        <f t="shared" ca="1" si="116"/>
        <v>-0.88227221743577855</v>
      </c>
      <c r="CB198" s="6">
        <f t="shared" ca="1" si="117"/>
        <v>-0.47073956105361947</v>
      </c>
      <c r="CC198" s="6">
        <f t="shared" ca="1" si="118"/>
        <v>-2.6514638169635734</v>
      </c>
      <c r="CD198" s="6">
        <f t="shared" ca="1" si="112"/>
        <v>-2.3010857398375268</v>
      </c>
      <c r="CE198" s="9">
        <f t="shared" ca="1" si="113"/>
        <v>-275.02803307280203</v>
      </c>
      <c r="CF198" s="9">
        <f t="shared" ca="1" si="114"/>
        <v>-87.941517069091091</v>
      </c>
      <c r="CG198">
        <f t="shared" ca="1" si="119"/>
        <v>288.74578680962173</v>
      </c>
      <c r="CH198">
        <f t="shared" ca="1" si="120"/>
        <v>-0.95249193455465309</v>
      </c>
      <c r="CI198">
        <f t="shared" ca="1" si="121"/>
        <v>-0.30456381040487152</v>
      </c>
      <c r="CJ198">
        <f t="shared" ca="1" si="122"/>
        <v>-2.8321122035709201</v>
      </c>
      <c r="CK198" s="39">
        <f t="shared" ca="1" si="123"/>
        <v>-3.2549661297038606</v>
      </c>
    </row>
    <row r="199" spans="1:89" x14ac:dyDescent="0.25">
      <c r="BC199">
        <v>3.4382986264288151</v>
      </c>
      <c r="BD199">
        <v>-271.92928669636422</v>
      </c>
      <c r="BE199">
        <v>-99.569038278951837</v>
      </c>
      <c r="BF199" s="6">
        <f t="shared" si="216"/>
        <v>3.4925888424819607</v>
      </c>
      <c r="BG199" s="6">
        <f t="shared" si="217"/>
        <v>5.4290216053145546E-2</v>
      </c>
      <c r="BH199" s="6">
        <f t="shared" si="218"/>
        <v>-3.0697349163490202</v>
      </c>
      <c r="BI199" s="6">
        <f t="shared" si="219"/>
        <v>3.0697349163490202</v>
      </c>
      <c r="BV199" s="39"/>
      <c r="BW199" s="6">
        <f t="shared" si="199"/>
        <v>3.2114058236695548</v>
      </c>
      <c r="BX199" s="9">
        <f t="shared" ca="1" si="200"/>
        <v>-300.19020006989109</v>
      </c>
      <c r="BY199" s="9">
        <f t="shared" ca="1" si="201"/>
        <v>-161.04526388900251</v>
      </c>
      <c r="BZ199">
        <f t="shared" ca="1" si="115"/>
        <v>340.66073040354928</v>
      </c>
      <c r="CA199" s="6">
        <f t="shared" ca="1" si="116"/>
        <v>-0.88119989560958056</v>
      </c>
      <c r="CB199" s="6">
        <f t="shared" ca="1" si="117"/>
        <v>-0.47274384604949055</v>
      </c>
      <c r="CC199" s="6">
        <f t="shared" ca="1" si="118"/>
        <v>-2.6491907057325799</v>
      </c>
      <c r="CD199" s="6">
        <f t="shared" ca="1" si="112"/>
        <v>-2.2988126286065329</v>
      </c>
      <c r="CE199" s="9">
        <f t="shared" ca="1" si="113"/>
        <v>-274.8901582055351</v>
      </c>
      <c r="CF199" s="9">
        <f t="shared" ca="1" si="114"/>
        <v>-88.745640668206576</v>
      </c>
      <c r="CG199">
        <f t="shared" ca="1" si="119"/>
        <v>288.8604988846252</v>
      </c>
      <c r="CH199">
        <f t="shared" ca="1" si="120"/>
        <v>-0.95163637557563718</v>
      </c>
      <c r="CI199">
        <f t="shared" ca="1" si="121"/>
        <v>-0.30722664057868565</v>
      </c>
      <c r="CJ199">
        <f t="shared" ca="1" si="122"/>
        <v>-2.8293153033580709</v>
      </c>
      <c r="CK199" s="39">
        <f t="shared" ca="1" si="123"/>
        <v>-3.2521692294910114</v>
      </c>
    </row>
    <row r="200" spans="1:89" x14ac:dyDescent="0.25">
      <c r="A200" t="s">
        <v>99</v>
      </c>
      <c r="B200" s="9">
        <f ca="1">B178+B196</f>
        <v>111.11111111105396</v>
      </c>
      <c r="C200" t="s">
        <v>68</v>
      </c>
      <c r="BC200">
        <v>3.4557519189487582</v>
      </c>
      <c r="BD200">
        <v>-271.59234297412434</v>
      </c>
      <c r="BE200">
        <v>-100.44981405708968</v>
      </c>
      <c r="BF200" s="6">
        <f t="shared" si="216"/>
        <v>3.4958451177340861</v>
      </c>
      <c r="BG200" s="6">
        <f t="shared" si="217"/>
        <v>4.009319878532791E-2</v>
      </c>
      <c r="BH200" s="6">
        <f t="shared" si="218"/>
        <v>-3.0729911916011456</v>
      </c>
      <c r="BI200" s="6">
        <f t="shared" si="219"/>
        <v>3.0729911916011456</v>
      </c>
      <c r="BV200" s="39"/>
      <c r="BW200" s="6">
        <f t="shared" si="199"/>
        <v>3.2288591161894979</v>
      </c>
      <c r="BX200" s="9">
        <f t="shared" ca="1" si="200"/>
        <v>-300.04131429015763</v>
      </c>
      <c r="BY200" s="9">
        <f t="shared" ca="1" si="201"/>
        <v>-161.8513528766353</v>
      </c>
      <c r="BZ200">
        <f t="shared" ca="1" si="115"/>
        <v>340.91149981917926</v>
      </c>
      <c r="CA200" s="6">
        <f t="shared" ca="1" si="116"/>
        <v>-0.88011496957216362</v>
      </c>
      <c r="CB200" s="6">
        <f t="shared" ca="1" si="117"/>
        <v>-0.47476061371494321</v>
      </c>
      <c r="CC200" s="6">
        <f t="shared" ca="1" si="118"/>
        <v>-2.6469006361670262</v>
      </c>
      <c r="CD200" s="6">
        <f t="shared" ca="1" si="112"/>
        <v>-2.2965225590409792</v>
      </c>
      <c r="CE200" s="9">
        <f t="shared" ca="1" si="113"/>
        <v>-274.74127242580164</v>
      </c>
      <c r="CF200" s="9">
        <f t="shared" ca="1" si="114"/>
        <v>-89.551729655839367</v>
      </c>
      <c r="CG200">
        <f t="shared" ca="1" si="119"/>
        <v>288.96760901267305</v>
      </c>
      <c r="CH200">
        <f t="shared" ca="1" si="120"/>
        <v>-0.95076840399005591</v>
      </c>
      <c r="CI200">
        <f t="shared" ca="1" si="121"/>
        <v>-0.30990231037248178</v>
      </c>
      <c r="CJ200">
        <f t="shared" ca="1" si="122"/>
        <v>-2.8265023709493149</v>
      </c>
      <c r="CK200" s="39">
        <f t="shared" ca="1" si="123"/>
        <v>-3.2493562970822554</v>
      </c>
    </row>
    <row r="201" spans="1:89" x14ac:dyDescent="0.25">
      <c r="A201" t="s">
        <v>100</v>
      </c>
      <c r="B201" s="9">
        <f ca="1">B197+B179</f>
        <v>2553.1546986043732</v>
      </c>
      <c r="C201" t="s">
        <v>69</v>
      </c>
      <c r="BC201">
        <v>3.4732052114687013</v>
      </c>
      <c r="BD201">
        <v>-271.23625234426208</v>
      </c>
      <c r="BE201">
        <v>-101.34063744999487</v>
      </c>
      <c r="BF201" s="6">
        <f t="shared" si="216"/>
        <v>3.4991572760828813</v>
      </c>
      <c r="BG201" s="6">
        <f t="shared" si="217"/>
        <v>2.5952064614179982E-2</v>
      </c>
      <c r="BH201" s="6">
        <f t="shared" si="218"/>
        <v>-3.0763033499499404</v>
      </c>
      <c r="BI201" s="6">
        <f t="shared" si="219"/>
        <v>3.0763033499499404</v>
      </c>
      <c r="BV201" s="39"/>
      <c r="BW201" s="6">
        <f t="shared" si="199"/>
        <v>3.246312408709441</v>
      </c>
      <c r="BX201" s="9">
        <f t="shared" ca="1" si="200"/>
        <v>-299.8810152249967</v>
      </c>
      <c r="BY201" s="9">
        <f t="shared" ca="1" si="201"/>
        <v>-162.65990761948993</v>
      </c>
      <c r="BZ201">
        <f t="shared" ca="1" si="115"/>
        <v>341.15519758484658</v>
      </c>
      <c r="CA201" s="6">
        <f t="shared" ca="1" si="116"/>
        <v>-0.87901640469779208</v>
      </c>
      <c r="CB201" s="6">
        <f t="shared" ca="1" si="117"/>
        <v>-0.47679152705576411</v>
      </c>
      <c r="CC201" s="6">
        <f t="shared" ca="1" si="118"/>
        <v>-2.6445916415481872</v>
      </c>
      <c r="CD201" s="6">
        <f t="shared" ca="1" si="112"/>
        <v>-2.2942135644221402</v>
      </c>
      <c r="CE201" s="9">
        <f t="shared" ca="1" si="113"/>
        <v>-274.58097336064071</v>
      </c>
      <c r="CF201" s="9">
        <f t="shared" ca="1" si="114"/>
        <v>-90.360284398693992</v>
      </c>
      <c r="CG201">
        <f t="shared" ca="1" si="119"/>
        <v>289.06693330142372</v>
      </c>
      <c r="CH201">
        <f t="shared" ca="1" si="120"/>
        <v>-0.94988717742517503</v>
      </c>
      <c r="CI201">
        <f t="shared" ca="1" si="121"/>
        <v>-0.31259294643870961</v>
      </c>
      <c r="CJ201">
        <f t="shared" ca="1" si="122"/>
        <v>-2.8236711012598747</v>
      </c>
      <c r="CK201" s="39">
        <f t="shared" ca="1" si="123"/>
        <v>-3.2465250273928152</v>
      </c>
    </row>
    <row r="202" spans="1:89" x14ac:dyDescent="0.25">
      <c r="A202" t="s">
        <v>101</v>
      </c>
      <c r="B202" s="9">
        <f ca="1">B198+B180</f>
        <v>1285.035116397501</v>
      </c>
      <c r="C202" t="s">
        <v>69</v>
      </c>
      <c r="BC202">
        <v>3.4906585039886444</v>
      </c>
      <c r="BD202">
        <v>-270.86008911366099</v>
      </c>
      <c r="BE202">
        <v>-102.24223375281792</v>
      </c>
      <c r="BF202" s="6">
        <f t="shared" si="216"/>
        <v>3.5025292270967165</v>
      </c>
      <c r="BG202" s="6">
        <f t="shared" si="217"/>
        <v>1.1870723108072134E-2</v>
      </c>
      <c r="BH202" s="6">
        <f t="shared" si="218"/>
        <v>-3.0796753009637756</v>
      </c>
      <c r="BI202" s="6">
        <f t="shared" si="219"/>
        <v>3.0796753009637756</v>
      </c>
      <c r="BV202" s="39"/>
      <c r="BW202" s="6">
        <f t="shared" si="199"/>
        <v>3.2637657012293841</v>
      </c>
      <c r="BX202" s="9">
        <f t="shared" ca="1" si="200"/>
        <v>-299.70888812398618</v>
      </c>
      <c r="BY202" s="9">
        <f t="shared" ca="1" si="201"/>
        <v>-163.47143456623868</v>
      </c>
      <c r="BZ202">
        <f t="shared" ca="1" si="115"/>
        <v>341.39175083715793</v>
      </c>
      <c r="CA202" s="6">
        <f t="shared" ca="1" si="116"/>
        <v>-0.87790313441681767</v>
      </c>
      <c r="CB202" s="6">
        <f t="shared" ca="1" si="117"/>
        <v>-0.47883826766574011</v>
      </c>
      <c r="CC202" s="6">
        <f t="shared" ca="1" si="118"/>
        <v>-2.6422617230305643</v>
      </c>
      <c r="CD202" s="6">
        <f t="shared" ca="1" si="112"/>
        <v>-2.2918836459045178</v>
      </c>
      <c r="CE202" s="9">
        <f t="shared" ca="1" si="113"/>
        <v>-274.4088462596302</v>
      </c>
      <c r="CF202" s="9">
        <f t="shared" ca="1" si="114"/>
        <v>-91.171811345442748</v>
      </c>
      <c r="CG202">
        <f t="shared" ca="1" si="119"/>
        <v>289.15828552810024</v>
      </c>
      <c r="CH202">
        <f t="shared" ca="1" si="120"/>
        <v>-0.94899181518685305</v>
      </c>
      <c r="CI202">
        <f t="shared" ca="1" si="121"/>
        <v>-0.31530070521386711</v>
      </c>
      <c r="CJ202">
        <f t="shared" ca="1" si="122"/>
        <v>-2.8208191481334617</v>
      </c>
      <c r="CK202" s="39">
        <f t="shared" ca="1" si="123"/>
        <v>-3.2436730742664022</v>
      </c>
    </row>
    <row r="203" spans="1:89" x14ac:dyDescent="0.25">
      <c r="BC203">
        <v>3.5081117965085875</v>
      </c>
      <c r="BD203">
        <v>-270.46285629256624</v>
      </c>
      <c r="BE203">
        <v>-103.15535920812482</v>
      </c>
      <c r="BF203" s="6">
        <f t="shared" si="216"/>
        <v>3.5059651085643346</v>
      </c>
      <c r="BG203" s="6">
        <f t="shared" si="217"/>
        <v>2.1466879442528786E-3</v>
      </c>
      <c r="BH203" s="6">
        <f t="shared" si="218"/>
        <v>-3.0831111824313941</v>
      </c>
      <c r="BI203" s="6">
        <f t="shared" si="219"/>
        <v>3.0831111824313941</v>
      </c>
      <c r="BV203" s="39"/>
      <c r="BW203" s="6">
        <f t="shared" si="199"/>
        <v>3.2812189937493272</v>
      </c>
      <c r="BX203" s="9">
        <f t="shared" ca="1" si="200"/>
        <v>-299.5245017817773</v>
      </c>
      <c r="BY203" s="9">
        <f t="shared" ca="1" si="201"/>
        <v>-164.28644753363511</v>
      </c>
      <c r="BZ203">
        <f t="shared" ca="1" si="115"/>
        <v>341.6210825034716</v>
      </c>
      <c r="CA203" s="6">
        <f t="shared" ca="1" si="116"/>
        <v>-0.8767740550050318</v>
      </c>
      <c r="CB203" s="6">
        <f t="shared" ca="1" si="117"/>
        <v>-0.48090254363023865</v>
      </c>
      <c r="CC203" s="6">
        <f t="shared" ca="1" si="118"/>
        <v>-2.6399088400904844</v>
      </c>
      <c r="CD203" s="6">
        <f t="shared" ca="1" si="112"/>
        <v>-2.2895307629644375</v>
      </c>
      <c r="CE203" s="9">
        <f t="shared" ca="1" si="113"/>
        <v>-274.22445991742131</v>
      </c>
      <c r="CF203" s="9">
        <f t="shared" ca="1" si="114"/>
        <v>-91.986824312839175</v>
      </c>
      <c r="CG203">
        <f t="shared" ca="1" si="119"/>
        <v>289.24147396969636</v>
      </c>
      <c r="CH203">
        <f t="shared" ca="1" si="120"/>
        <v>-0.94808139425451698</v>
      </c>
      <c r="CI203">
        <f t="shared" ca="1" si="121"/>
        <v>-0.31802778159841827</v>
      </c>
      <c r="CJ203">
        <f t="shared" ca="1" si="122"/>
        <v>-2.8179441146423772</v>
      </c>
      <c r="CK203" s="39">
        <f t="shared" ca="1" si="123"/>
        <v>-3.2407980407753181</v>
      </c>
    </row>
    <row r="204" spans="1:89" x14ac:dyDescent="0.25">
      <c r="A204" s="8" t="s">
        <v>64</v>
      </c>
      <c r="B204">
        <f ca="1">((B201*COS(-1*B27))+(B202*SIN(-1*B27)))</f>
        <v>2606.5508661767535</v>
      </c>
      <c r="C204" t="s">
        <v>69</v>
      </c>
      <c r="BC204">
        <v>3.5255650890285306</v>
      </c>
      <c r="BD204">
        <v>-270.04347915159821</v>
      </c>
      <c r="BE204">
        <v>-104.08080376583287</v>
      </c>
      <c r="BF204" s="6">
        <f t="shared" si="216"/>
        <v>3.5094693091258691</v>
      </c>
      <c r="BG204" s="6">
        <f t="shared" si="217"/>
        <v>1.6095779902661533E-2</v>
      </c>
      <c r="BH204" s="6">
        <f t="shared" si="218"/>
        <v>-3.0866153829929281</v>
      </c>
      <c r="BI204" s="6">
        <f t="shared" si="219"/>
        <v>3.0866153829929281</v>
      </c>
      <c r="BV204" s="39"/>
      <c r="BW204" s="6">
        <f t="shared" si="199"/>
        <v>3.2986722862692703</v>
      </c>
      <c r="BX204" s="9">
        <f t="shared" ca="1" si="200"/>
        <v>-299.32740473866443</v>
      </c>
      <c r="BY204" s="9">
        <f t="shared" ca="1" si="201"/>
        <v>-165.10546903169154</v>
      </c>
      <c r="BZ204">
        <f t="shared" ca="1" si="115"/>
        <v>341.84310894291713</v>
      </c>
      <c r="CA204" s="6">
        <f t="shared" ca="1" si="116"/>
        <v>-0.87562802030520903</v>
      </c>
      <c r="CB204" s="6">
        <f t="shared" ca="1" si="117"/>
        <v>-0.48298609716676133</v>
      </c>
      <c r="CC204" s="6">
        <f t="shared" ca="1" si="118"/>
        <v>-2.6375309011641681</v>
      </c>
      <c r="CD204" s="6">
        <f t="shared" ca="1" si="112"/>
        <v>-2.2871528240381211</v>
      </c>
      <c r="CE204" s="9">
        <f t="shared" ca="1" si="113"/>
        <v>-274.02736287430844</v>
      </c>
      <c r="CF204" s="9">
        <f t="shared" ca="1" si="114"/>
        <v>-92.805845810895605</v>
      </c>
      <c r="CG204">
        <f t="shared" ca="1" si="119"/>
        <v>289.31629857393733</v>
      </c>
      <c r="CH204">
        <f t="shared" ca="1" si="120"/>
        <v>-0.94715494503770004</v>
      </c>
      <c r="CI204">
        <f t="shared" ca="1" si="121"/>
        <v>-0.32077641760365</v>
      </c>
      <c r="CJ204">
        <f t="shared" ca="1" si="122"/>
        <v>-2.8150435433298169</v>
      </c>
      <c r="CK204" s="39">
        <f t="shared" ca="1" si="123"/>
        <v>-3.2378974694627578</v>
      </c>
    </row>
    <row r="205" spans="1:89" x14ac:dyDescent="0.25">
      <c r="A205" s="8" t="s">
        <v>65</v>
      </c>
      <c r="B205">
        <f ca="1">(-1*(B201)*SIN(-1*B27))+((B202)*COS(-1*B27))</f>
        <v>1172.9478877654974</v>
      </c>
      <c r="C205" t="s">
        <v>69</v>
      </c>
      <c r="BC205">
        <v>3.5430183815484737</v>
      </c>
      <c r="BD205">
        <v>-269.60079814559845</v>
      </c>
      <c r="BE205">
        <v>-105.01939406402005</v>
      </c>
      <c r="BF205" s="6">
        <f t="shared" si="216"/>
        <v>3.5130464932003713</v>
      </c>
      <c r="BG205" s="6">
        <f t="shared" si="217"/>
        <v>2.9971888348102382E-2</v>
      </c>
      <c r="BH205" s="6">
        <f t="shared" si="218"/>
        <v>-3.0901925670674304</v>
      </c>
      <c r="BI205" s="6">
        <f t="shared" si="219"/>
        <v>3.0901925670674304</v>
      </c>
      <c r="BV205" s="39"/>
      <c r="BW205" s="6">
        <f t="shared" si="199"/>
        <v>3.3161255787892134</v>
      </c>
      <c r="BX205" s="9">
        <f t="shared" ca="1" si="200"/>
        <v>-299.11712163048298</v>
      </c>
      <c r="BY205" s="9">
        <f t="shared" ca="1" si="201"/>
        <v>-165.92903163531386</v>
      </c>
      <c r="BZ205">
        <f t="shared" ca="1" si="115"/>
        <v>342.05773780450892</v>
      </c>
      <c r="CA205" s="6">
        <f t="shared" ca="1" si="116"/>
        <v>-0.87446383628202806</v>
      </c>
      <c r="CB205" s="6">
        <f t="shared" ca="1" si="117"/>
        <v>-0.4850907121713609</v>
      </c>
      <c r="CC205" s="6">
        <f t="shared" ca="1" si="118"/>
        <v>-2.6351257542775919</v>
      </c>
      <c r="CD205" s="6">
        <f t="shared" ca="1" si="112"/>
        <v>-2.2847476771515449</v>
      </c>
      <c r="CE205" s="9">
        <f t="shared" ca="1" si="113"/>
        <v>-273.81707976612699</v>
      </c>
      <c r="CF205" s="9">
        <f t="shared" ca="1" si="114"/>
        <v>-93.629408414517926</v>
      </c>
      <c r="CG205">
        <f t="shared" ca="1" si="119"/>
        <v>289.38254835373567</v>
      </c>
      <c r="CH205">
        <f t="shared" ca="1" si="120"/>
        <v>-0.94621144683340841</v>
      </c>
      <c r="CI205">
        <f t="shared" ca="1" si="121"/>
        <v>-0.32354891111148532</v>
      </c>
      <c r="CJ205">
        <f t="shared" ca="1" si="122"/>
        <v>-2.8121149062333539</v>
      </c>
      <c r="CK205" s="39">
        <f t="shared" ca="1" si="123"/>
        <v>-3.2349688323662944</v>
      </c>
    </row>
    <row r="206" spans="1:89" x14ac:dyDescent="0.25">
      <c r="BC206">
        <v>3.5604716740684168</v>
      </c>
      <c r="BD206">
        <v>-269.133561128579</v>
      </c>
      <c r="BE206">
        <v>-105.97199665566092</v>
      </c>
      <c r="BF206" s="6">
        <f t="shared" si="216"/>
        <v>3.5167016285089066</v>
      </c>
      <c r="BG206" s="6">
        <f t="shared" si="217"/>
        <v>4.3770045559510251E-2</v>
      </c>
      <c r="BH206" s="6">
        <f t="shared" si="218"/>
        <v>-3.0938477023759656</v>
      </c>
      <c r="BI206" s="6">
        <f t="shared" si="219"/>
        <v>3.0938477023759656</v>
      </c>
      <c r="BV206" s="39"/>
      <c r="BW206" s="6">
        <f t="shared" si="199"/>
        <v>3.3335788713091565</v>
      </c>
      <c r="BX206" s="9">
        <f t="shared" ca="1" si="200"/>
        <v>-298.89314964799763</v>
      </c>
      <c r="BY206" s="9">
        <f t="shared" ca="1" si="201"/>
        <v>-166.75767941021661</v>
      </c>
      <c r="BZ206">
        <f t="shared" ca="1" si="115"/>
        <v>342.26486607418661</v>
      </c>
      <c r="CA206" s="6">
        <f t="shared" ca="1" si="116"/>
        <v>-0.87328025536577258</v>
      </c>
      <c r="CB206" s="6">
        <f t="shared" ca="1" si="117"/>
        <v>-0.48721822173261436</v>
      </c>
      <c r="CC206" s="6">
        <f t="shared" ca="1" si="118"/>
        <v>-2.6326911775903308</v>
      </c>
      <c r="CD206" s="6">
        <f t="shared" ca="1" si="112"/>
        <v>-2.2823131004642843</v>
      </c>
      <c r="CE206" s="9">
        <f t="shared" ca="1" si="113"/>
        <v>-273.59310778364164</v>
      </c>
      <c r="CF206" s="9">
        <f t="shared" ca="1" si="114"/>
        <v>-94.458056189420674</v>
      </c>
      <c r="CG206">
        <f t="shared" ca="1" si="119"/>
        <v>289.43999897352666</v>
      </c>
      <c r="CH206">
        <f t="shared" ca="1" si="120"/>
        <v>-0.94524982294746884</v>
      </c>
      <c r="CI206">
        <f t="shared" ca="1" si="121"/>
        <v>-0.32634762480793189</v>
      </c>
      <c r="CJ206">
        <f t="shared" ca="1" si="122"/>
        <v>-2.8091555946167999</v>
      </c>
      <c r="CK206" s="39">
        <f t="shared" ca="1" si="123"/>
        <v>-3.2320095207497408</v>
      </c>
    </row>
    <row r="207" spans="1:89" x14ac:dyDescent="0.25">
      <c r="BC207">
        <v>3.5779249665883599</v>
      </c>
      <c r="BD207">
        <v>-268.64041473663838</v>
      </c>
      <c r="BE207">
        <v>-106.93952150931358</v>
      </c>
      <c r="BF207" s="6">
        <f t="shared" si="216"/>
        <v>3.5204400165833416</v>
      </c>
      <c r="BG207" s="6">
        <f t="shared" si="217"/>
        <v>5.7484950005018298E-2</v>
      </c>
      <c r="BH207" s="6">
        <f t="shared" si="218"/>
        <v>-3.0975860904504007</v>
      </c>
      <c r="BI207" s="6">
        <f t="shared" si="219"/>
        <v>3.0975860904504007</v>
      </c>
      <c r="BV207" s="39"/>
      <c r="BW207" s="6">
        <f t="shared" si="199"/>
        <v>3.3510321638290996</v>
      </c>
      <c r="BX207" s="9">
        <f t="shared" ca="1" si="200"/>
        <v>-298.65495499743395</v>
      </c>
      <c r="BY207" s="9">
        <f t="shared" ca="1" si="201"/>
        <v>-167.59196940144932</v>
      </c>
      <c r="BZ207">
        <f t="shared" ca="1" si="115"/>
        <v>342.46437822403607</v>
      </c>
      <c r="CA207" s="6">
        <f t="shared" ca="1" si="116"/>
        <v>-0.87207597048840357</v>
      </c>
      <c r="CB207" s="6">
        <f t="shared" ca="1" si="117"/>
        <v>-0.48937051576153323</v>
      </c>
      <c r="CC207" s="6">
        <f t="shared" ca="1" si="118"/>
        <v>-2.6302248696744326</v>
      </c>
      <c r="CD207" s="6">
        <f t="shared" ref="CD207:CD270" ca="1" si="220">CC207-$BZ$11</f>
        <v>-2.2798467925483861</v>
      </c>
      <c r="CE207" s="9">
        <f t="shared" ref="CE207:CE270" ca="1" si="221">BX207+$BW$5</f>
        <v>-273.35491313307796</v>
      </c>
      <c r="CF207" s="9">
        <f t="shared" ref="CF207:CF270" ca="1" si="222">BY207+$BX$5</f>
        <v>-95.292346180653382</v>
      </c>
      <c r="CG207">
        <f t="shared" ca="1" si="119"/>
        <v>289.48841043227634</v>
      </c>
      <c r="CH207">
        <f t="shared" ca="1" si="120"/>
        <v>-0.9442689354122773</v>
      </c>
      <c r="CI207">
        <f t="shared" ca="1" si="121"/>
        <v>-0.32917499542851758</v>
      </c>
      <c r="CJ207">
        <f t="shared" ca="1" si="122"/>
        <v>-2.8061629082538042</v>
      </c>
      <c r="CK207" s="39">
        <f t="shared" ca="1" si="123"/>
        <v>-3.2290168343867451</v>
      </c>
    </row>
    <row r="208" spans="1:89" x14ac:dyDescent="0.25">
      <c r="BC208">
        <v>3.595378259108303</v>
      </c>
      <c r="BD208">
        <v>-268.1198948719408</v>
      </c>
      <c r="BE208">
        <v>-107.92292581517211</v>
      </c>
      <c r="BF208" s="6">
        <f t="shared" si="216"/>
        <v>3.5242673266176516</v>
      </c>
      <c r="BG208" s="6">
        <f t="shared" si="217"/>
        <v>7.1110932490651368E-2</v>
      </c>
      <c r="BH208" s="6">
        <f t="shared" si="218"/>
        <v>-3.1014134004847111</v>
      </c>
      <c r="BI208" s="6">
        <f t="shared" si="219"/>
        <v>3.1014134004847111</v>
      </c>
      <c r="BV208" s="39"/>
      <c r="BW208" s="6">
        <f t="shared" si="199"/>
        <v>3.3684854563490427</v>
      </c>
      <c r="BX208" s="9">
        <f t="shared" ca="1" si="200"/>
        <v>-298.40196932050895</v>
      </c>
      <c r="BY208" s="9">
        <f t="shared" ca="1" si="201"/>
        <v>-168.43247319345866</v>
      </c>
      <c r="BZ208">
        <f t="shared" ref="BZ208:BZ271" ca="1" si="223">SQRT(POWER(BX208,2)+POWER(BY208,2))</f>
        <v>342.65614443698968</v>
      </c>
      <c r="CA208" s="6">
        <f t="shared" ref="CA208:CA271" ca="1" si="224">BX208/BZ208</f>
        <v>-0.87084960875517425</v>
      </c>
      <c r="CB208" s="6">
        <f t="shared" ref="CB208:CB271" ca="1" si="225">BY208/BZ208</f>
        <v>-0.49154954880557045</v>
      </c>
      <c r="CC208" s="6">
        <f t="shared" ref="CC208:CC271" ca="1" si="226">ATAN2(CA208,CB208)</f>
        <v>-2.627724439438416</v>
      </c>
      <c r="CD208" s="6">
        <f t="shared" ca="1" si="220"/>
        <v>-2.2773463623123691</v>
      </c>
      <c r="CE208" s="9">
        <f t="shared" ca="1" si="221"/>
        <v>-273.10192745615296</v>
      </c>
      <c r="CF208" s="9">
        <f t="shared" ca="1" si="222"/>
        <v>-96.132849972662726</v>
      </c>
      <c r="CG208">
        <f t="shared" ref="CG208:CG271" ca="1" si="227">SQRT(POWER(CE208,2)+POWER(CF208,2))</f>
        <v>289.5275248126373</v>
      </c>
      <c r="CH208">
        <f t="shared" ref="CH208:CH271" ca="1" si="228">CE208/CG208</f>
        <v>-0.9432675792496279</v>
      </c>
      <c r="CI208">
        <f t="shared" ref="CI208:CI271" ca="1" si="229">CF208/CG208</f>
        <v>-0.33203354339064456</v>
      </c>
      <c r="CJ208">
        <f t="shared" ref="CJ208:CJ271" ca="1" si="230">ATAN2(CH208,CI208)</f>
        <v>-2.803134044171379</v>
      </c>
      <c r="CK208" s="39">
        <f t="shared" ref="CK208:CK271" ca="1" si="231">CJ208-$U$13</f>
        <v>-3.2259879703043195</v>
      </c>
    </row>
    <row r="209" spans="55:89" x14ac:dyDescent="0.25">
      <c r="BC209">
        <v>3.6128315516282461</v>
      </c>
      <c r="BD209">
        <v>-267.57041612132412</v>
      </c>
      <c r="BE209">
        <v>-108.92321813179332</v>
      </c>
      <c r="BF209" s="6">
        <f t="shared" si="216"/>
        <v>3.5281896331873588</v>
      </c>
      <c r="BG209" s="6">
        <f t="shared" si="217"/>
        <v>8.4641918440887309E-2</v>
      </c>
      <c r="BH209" s="6">
        <f t="shared" si="218"/>
        <v>-3.1053357070544179</v>
      </c>
      <c r="BI209" s="6">
        <f t="shared" si="219"/>
        <v>3.1053357070544179</v>
      </c>
      <c r="BV209" s="39"/>
      <c r="BW209" s="6">
        <f t="shared" si="199"/>
        <v>3.3859387488689858</v>
      </c>
      <c r="BX209" s="9">
        <f t="shared" ca="1" si="200"/>
        <v>-298.13358601598259</v>
      </c>
      <c r="BY209" s="9">
        <f t="shared" ca="1" si="201"/>
        <v>-169.27977855129728</v>
      </c>
      <c r="BZ209">
        <f t="shared" ca="1" si="223"/>
        <v>342.84001886758426</v>
      </c>
      <c r="CA209" s="6">
        <f t="shared" ca="1" si="224"/>
        <v>-0.86959972467838209</v>
      </c>
      <c r="CB209" s="6">
        <f t="shared" ca="1" si="225"/>
        <v>-0.49375734813699951</v>
      </c>
      <c r="CC209" s="6">
        <f t="shared" ca="1" si="226"/>
        <v>-2.6251873955787732</v>
      </c>
      <c r="CD209" s="6">
        <f t="shared" ca="1" si="220"/>
        <v>-2.2748093184527267</v>
      </c>
      <c r="CE209" s="9">
        <f t="shared" ca="1" si="221"/>
        <v>-272.8335441516266</v>
      </c>
      <c r="CF209" s="9">
        <f t="shared" ca="1" si="222"/>
        <v>-96.980155330501347</v>
      </c>
      <c r="CG209">
        <f t="shared" ca="1" si="227"/>
        <v>289.55706405174396</v>
      </c>
      <c r="CH209">
        <f t="shared" ca="1" si="228"/>
        <v>-0.94224447621444019</v>
      </c>
      <c r="CI209">
        <f t="shared" ca="1" si="229"/>
        <v>-0.33492588291049585</v>
      </c>
      <c r="CJ209">
        <f t="shared" ca="1" si="230"/>
        <v>-2.8000660847352985</v>
      </c>
      <c r="CK209" s="39">
        <f t="shared" ca="1" si="231"/>
        <v>-3.222920010868239</v>
      </c>
    </row>
    <row r="210" spans="55:89" x14ac:dyDescent="0.25">
      <c r="BC210">
        <v>3.6302848441481892</v>
      </c>
      <c r="BD210">
        <v>-266.99025999997446</v>
      </c>
      <c r="BE210">
        <v>-109.94146291326092</v>
      </c>
      <c r="BF210" s="6">
        <f t="shared" si="216"/>
        <v>3.5322134583428371</v>
      </c>
      <c r="BG210" s="6">
        <f t="shared" si="217"/>
        <v>9.8071385805352129E-2</v>
      </c>
      <c r="BH210" s="6">
        <f t="shared" si="218"/>
        <v>-3.1093595322098961</v>
      </c>
      <c r="BI210" s="6">
        <f t="shared" si="219"/>
        <v>3.1093595322098961</v>
      </c>
      <c r="BV210" s="39"/>
      <c r="BW210" s="6">
        <f t="shared" si="199"/>
        <v>3.4033920413889289</v>
      </c>
      <c r="BX210" s="9">
        <f t="shared" ca="1" si="200"/>
        <v>-297.84915639761294</v>
      </c>
      <c r="BY210" s="9">
        <f t="shared" ca="1" si="201"/>
        <v>-170.13449115338378</v>
      </c>
      <c r="BZ210">
        <f t="shared" ca="1" si="223"/>
        <v>343.01583789497317</v>
      </c>
      <c r="CA210" s="6">
        <f t="shared" ca="1" si="224"/>
        <v>-0.86832479288845643</v>
      </c>
      <c r="CB210" s="6">
        <f t="shared" ca="1" si="225"/>
        <v>-0.49599602221713351</v>
      </c>
      <c r="CC210" s="6">
        <f t="shared" ca="1" si="226"/>
        <v>-2.6226111354255726</v>
      </c>
      <c r="CD210" s="6">
        <f t="shared" ca="1" si="220"/>
        <v>-2.272233058299526</v>
      </c>
      <c r="CE210" s="9">
        <f t="shared" ca="1" si="221"/>
        <v>-272.54911453325695</v>
      </c>
      <c r="CF210" s="9">
        <f t="shared" ca="1" si="222"/>
        <v>-97.834867932587841</v>
      </c>
      <c r="CG210">
        <f t="shared" ca="1" si="227"/>
        <v>289.5767276841309</v>
      </c>
      <c r="CH210">
        <f t="shared" ca="1" si="228"/>
        <v>-0.94119826794421269</v>
      </c>
      <c r="CI210">
        <f t="shared" ca="1" si="229"/>
        <v>-0.33785473271631727</v>
      </c>
      <c r="CJ210">
        <f t="shared" ca="1" si="230"/>
        <v>-2.7969559849416354</v>
      </c>
      <c r="CK210" s="39">
        <f t="shared" ca="1" si="231"/>
        <v>-3.2198099110745764</v>
      </c>
    </row>
    <row r="211" spans="55:89" x14ac:dyDescent="0.25">
      <c r="BC211">
        <v>3.6477381366681323</v>
      </c>
      <c r="BD211">
        <v>-266.37756185372024</v>
      </c>
      <c r="BE211">
        <v>-110.97878546168108</v>
      </c>
      <c r="BF211" s="6">
        <f t="shared" si="216"/>
        <v>3.5363458187147194</v>
      </c>
      <c r="BG211" s="6">
        <f t="shared" si="217"/>
        <v>0.11139231795341287</v>
      </c>
      <c r="BH211" s="6">
        <f t="shared" si="218"/>
        <v>-3.1134918925817789</v>
      </c>
      <c r="BI211" s="6">
        <f t="shared" si="219"/>
        <v>3.1134918925817789</v>
      </c>
      <c r="BV211" s="39"/>
      <c r="BW211" s="6">
        <f t="shared" si="199"/>
        <v>3.420845333908872</v>
      </c>
      <c r="BX211" s="9">
        <f t="shared" ca="1" si="200"/>
        <v>-297.54798565801923</v>
      </c>
      <c r="BY211" s="9">
        <f t="shared" ca="1" si="201"/>
        <v>-170.99723642712451</v>
      </c>
      <c r="BZ211">
        <f t="shared" ca="1" si="223"/>
        <v>343.18341835650909</v>
      </c>
      <c r="CA211" s="6">
        <f t="shared" ca="1" si="224"/>
        <v>-0.86702320025531532</v>
      </c>
      <c r="CB211" s="6">
        <f t="shared" ca="1" si="225"/>
        <v>-0.49826776959686181</v>
      </c>
      <c r="CC211" s="6">
        <f t="shared" ca="1" si="226"/>
        <v>-2.6199929330927021</v>
      </c>
      <c r="CD211" s="6">
        <f t="shared" ca="1" si="220"/>
        <v>-2.2696148559666556</v>
      </c>
      <c r="CE211" s="9">
        <f t="shared" ca="1" si="221"/>
        <v>-272.24794379366324</v>
      </c>
      <c r="CF211" s="9">
        <f t="shared" ca="1" si="222"/>
        <v>-98.697613206328569</v>
      </c>
      <c r="CG211">
        <f t="shared" ca="1" si="227"/>
        <v>289.5861905417861</v>
      </c>
      <c r="CH211">
        <f t="shared" ca="1" si="228"/>
        <v>-0.94012750844339377</v>
      </c>
      <c r="CI211">
        <f t="shared" ca="1" si="229"/>
        <v>-0.34082292743889286</v>
      </c>
      <c r="CJ211">
        <f t="shared" ca="1" si="230"/>
        <v>-2.7938005588085968</v>
      </c>
      <c r="CK211" s="39">
        <f t="shared" ca="1" si="231"/>
        <v>-3.2166544849415377</v>
      </c>
    </row>
    <row r="212" spans="55:89" x14ac:dyDescent="0.25">
      <c r="BC212">
        <v>3.6651914291880754</v>
      </c>
      <c r="BD212">
        <v>-265.73029621794683</v>
      </c>
      <c r="BE212">
        <v>-112.03637735580281</v>
      </c>
      <c r="BF212" s="6">
        <f t="shared" si="216"/>
        <v>3.540594278389078</v>
      </c>
      <c r="BG212" s="6">
        <f t="shared" si="217"/>
        <v>0.12459715079899736</v>
      </c>
      <c r="BH212" s="6">
        <f t="shared" si="218"/>
        <v>-3.1177403522561375</v>
      </c>
      <c r="BI212" s="6">
        <f t="shared" si="219"/>
        <v>3.1177403522561375</v>
      </c>
      <c r="BV212" s="39"/>
      <c r="BW212" s="6">
        <f t="shared" si="199"/>
        <v>3.4382986264288151</v>
      </c>
      <c r="BX212" s="9">
        <f t="shared" ca="1" si="200"/>
        <v>-297.22932856072021</v>
      </c>
      <c r="BY212" s="9">
        <f t="shared" ca="1" si="201"/>
        <v>-171.86866149974776</v>
      </c>
      <c r="BZ212">
        <f t="shared" ca="1" si="223"/>
        <v>343.34255571130626</v>
      </c>
      <c r="CA212" s="6">
        <f t="shared" ca="1" si="224"/>
        <v>-0.86569323731206926</v>
      </c>
      <c r="CB212" s="6">
        <f t="shared" ca="1" si="225"/>
        <v>-0.50057488837550501</v>
      </c>
      <c r="CC212" s="6">
        <f t="shared" ca="1" si="226"/>
        <v>-2.617329926769</v>
      </c>
      <c r="CD212" s="6">
        <f t="shared" ca="1" si="220"/>
        <v>-2.266951849642953</v>
      </c>
      <c r="CE212" s="9">
        <f t="shared" ca="1" si="221"/>
        <v>-271.92928669636422</v>
      </c>
      <c r="CF212" s="9">
        <f t="shared" ca="1" si="222"/>
        <v>-99.569038278951822</v>
      </c>
      <c r="CG212">
        <f t="shared" ca="1" si="227"/>
        <v>289.58510035391811</v>
      </c>
      <c r="CH212">
        <f t="shared" ca="1" si="228"/>
        <v>-0.9390306558038527</v>
      </c>
      <c r="CI212">
        <f t="shared" ca="1" si="229"/>
        <v>-0.34383342981825704</v>
      </c>
      <c r="CJ212">
        <f t="shared" ca="1" si="230"/>
        <v>-2.7905964646976256</v>
      </c>
      <c r="CK212" s="39">
        <f t="shared" ca="1" si="231"/>
        <v>-3.2134503908305661</v>
      </c>
    </row>
    <row r="213" spans="55:89" x14ac:dyDescent="0.25">
      <c r="BC213">
        <v>3.6826447217080185</v>
      </c>
      <c r="BD213">
        <v>-265.04626045225734</v>
      </c>
      <c r="BE213">
        <v>-113.11550241336398</v>
      </c>
      <c r="BF213" s="6">
        <f t="shared" si="216"/>
        <v>3.5449670083677396</v>
      </c>
      <c r="BG213" s="6">
        <f t="shared" si="217"/>
        <v>0.1376777133402789</v>
      </c>
      <c r="BH213" s="6">
        <f t="shared" si="218"/>
        <v>-3.1221130822347991</v>
      </c>
      <c r="BI213" s="6">
        <f t="shared" si="219"/>
        <v>3.1221130822347991</v>
      </c>
      <c r="BV213" s="39"/>
      <c r="BW213" s="6">
        <f t="shared" si="199"/>
        <v>3.4557519189487582</v>
      </c>
      <c r="BX213" s="9">
        <f t="shared" ca="1" si="200"/>
        <v>-296.89238483848033</v>
      </c>
      <c r="BY213" s="9">
        <f t="shared" ca="1" si="201"/>
        <v>-172.74943727788562</v>
      </c>
      <c r="BZ213">
        <f t="shared" ca="1" si="223"/>
        <v>343.49302213422976</v>
      </c>
      <c r="CA213" s="6">
        <f t="shared" ca="1" si="224"/>
        <v>-0.86433308890467386</v>
      </c>
      <c r="CB213" s="6">
        <f t="shared" ca="1" si="225"/>
        <v>-0.50291978627262712</v>
      </c>
      <c r="CC213" s="6">
        <f t="shared" ca="1" si="226"/>
        <v>-2.6146191050599659</v>
      </c>
      <c r="CD213" s="6">
        <f t="shared" ca="1" si="220"/>
        <v>-2.2642410279339193</v>
      </c>
      <c r="CE213" s="9">
        <f t="shared" ca="1" si="221"/>
        <v>-271.59234297412434</v>
      </c>
      <c r="CF213" s="9">
        <f t="shared" ca="1" si="222"/>
        <v>-100.44981405708968</v>
      </c>
      <c r="CG213">
        <f t="shared" ca="1" si="227"/>
        <v>289.57307524401898</v>
      </c>
      <c r="CH213">
        <f t="shared" ca="1" si="228"/>
        <v>-0.93790606307322411</v>
      </c>
      <c r="CI213">
        <f t="shared" ca="1" si="229"/>
        <v>-0.3468893438122384</v>
      </c>
      <c r="CJ213">
        <f t="shared" ca="1" si="230"/>
        <v>-2.7873401894455001</v>
      </c>
      <c r="CK213" s="39">
        <f t="shared" ca="1" si="231"/>
        <v>-3.2101941155784406</v>
      </c>
    </row>
    <row r="214" spans="55:89" x14ac:dyDescent="0.25">
      <c r="BC214">
        <v>3.7000980142279616</v>
      </c>
      <c r="BD214">
        <v>-264.32305638001253</v>
      </c>
      <c r="BE214">
        <v>-114.21750325263703</v>
      </c>
      <c r="BF214" s="6">
        <f t="shared" si="216"/>
        <v>3.5494728536501325</v>
      </c>
      <c r="BG214" s="6">
        <f t="shared" si="217"/>
        <v>0.15062516057782904</v>
      </c>
      <c r="BH214" s="6">
        <f t="shared" si="218"/>
        <v>-3.1266189275171916</v>
      </c>
      <c r="BI214" s="6">
        <f t="shared" si="219"/>
        <v>3.1266189275171916</v>
      </c>
      <c r="BV214" s="39"/>
      <c r="BW214" s="6">
        <f t="shared" si="199"/>
        <v>3.4732052114687013</v>
      </c>
      <c r="BX214" s="9">
        <f t="shared" ca="1" si="200"/>
        <v>-296.53629420861807</v>
      </c>
      <c r="BY214" s="9">
        <f t="shared" ca="1" si="201"/>
        <v>-173.64026067079081</v>
      </c>
      <c r="BZ214">
        <f t="shared" ca="1" si="223"/>
        <v>343.63456448500676</v>
      </c>
      <c r="CA214" s="6">
        <f t="shared" ca="1" si="224"/>
        <v>-0.86294082393319993</v>
      </c>
      <c r="CB214" s="6">
        <f t="shared" ca="1" si="225"/>
        <v>-0.50530499145515084</v>
      </c>
      <c r="CC214" s="6">
        <f t="shared" ca="1" si="226"/>
        <v>-2.6118572921839913</v>
      </c>
      <c r="CD214" s="6">
        <f t="shared" ca="1" si="220"/>
        <v>-2.2614792150579444</v>
      </c>
      <c r="CE214" s="9">
        <f t="shared" ca="1" si="221"/>
        <v>-271.23625234426208</v>
      </c>
      <c r="CF214" s="9">
        <f t="shared" ca="1" si="222"/>
        <v>-101.34063744999487</v>
      </c>
      <c r="CG214">
        <f t="shared" ca="1" si="227"/>
        <v>289.54970106102945</v>
      </c>
      <c r="CH214">
        <f t="shared" ca="1" si="228"/>
        <v>-0.93675196814343331</v>
      </c>
      <c r="CI214">
        <f t="shared" ca="1" si="229"/>
        <v>-0.34999392877506352</v>
      </c>
      <c r="CJ214">
        <f t="shared" ca="1" si="230"/>
        <v>-2.7840280310967049</v>
      </c>
      <c r="CK214" s="39">
        <f t="shared" ca="1" si="231"/>
        <v>-3.2068819572296459</v>
      </c>
    </row>
    <row r="215" spans="55:89" x14ac:dyDescent="0.25">
      <c r="BC215">
        <v>3.7175513067479047</v>
      </c>
      <c r="BD215">
        <v>-263.558069655076</v>
      </c>
      <c r="BE215">
        <v>-115.34380852776462</v>
      </c>
      <c r="BF215" s="6">
        <f t="shared" si="216"/>
        <v>3.554121409106203</v>
      </c>
      <c r="BG215" s="6">
        <f t="shared" si="217"/>
        <v>0.16342989764170168</v>
      </c>
      <c r="BH215" s="6">
        <f t="shared" si="218"/>
        <v>-3.1312674829732625</v>
      </c>
      <c r="BI215" s="6">
        <f t="shared" si="219"/>
        <v>3.1312674829732625</v>
      </c>
      <c r="BV215" s="39"/>
      <c r="BW215" s="6">
        <f t="shared" si="199"/>
        <v>3.4906585039886444</v>
      </c>
      <c r="BX215" s="9">
        <f t="shared" ca="1" si="200"/>
        <v>-296.16013097801698</v>
      </c>
      <c r="BY215" s="9">
        <f t="shared" ca="1" si="201"/>
        <v>-174.54185697361385</v>
      </c>
      <c r="BZ215">
        <f t="shared" ca="1" si="223"/>
        <v>343.76690215422667</v>
      </c>
      <c r="CA215" s="6">
        <f t="shared" ca="1" si="224"/>
        <v>-0.86151438408444714</v>
      </c>
      <c r="CB215" s="6">
        <f t="shared" ca="1" si="225"/>
        <v>-0.50773316418724879</v>
      </c>
      <c r="CC215" s="6">
        <f t="shared" ca="1" si="226"/>
        <v>-2.6090411319079374</v>
      </c>
      <c r="CD215" s="6">
        <f t="shared" ca="1" si="220"/>
        <v>-2.2586630547818904</v>
      </c>
      <c r="CE215" s="9">
        <f t="shared" ca="1" si="221"/>
        <v>-270.86008911366099</v>
      </c>
      <c r="CF215" s="9">
        <f t="shared" ca="1" si="222"/>
        <v>-102.24223375281791</v>
      </c>
      <c r="CG215">
        <f t="shared" ca="1" si="227"/>
        <v>289.51452854291483</v>
      </c>
      <c r="CH215">
        <f t="shared" ca="1" si="228"/>
        <v>-0.93556648254186425</v>
      </c>
      <c r="CI215">
        <f t="shared" ca="1" si="229"/>
        <v>-0.35315061481504378</v>
      </c>
      <c r="CJ215">
        <f t="shared" ca="1" si="230"/>
        <v>-2.7806560800828697</v>
      </c>
      <c r="CK215" s="39">
        <f t="shared" ca="1" si="231"/>
        <v>-3.2035100062158106</v>
      </c>
    </row>
    <row r="216" spans="55:89" x14ac:dyDescent="0.25">
      <c r="BC216">
        <v>3.7350045992678478</v>
      </c>
      <c r="BD216">
        <v>-262.74873914232847</v>
      </c>
      <c r="BE216">
        <v>-116.49547912714783</v>
      </c>
      <c r="BF216" s="6">
        <f t="shared" si="216"/>
        <v>3.558921224055688</v>
      </c>
      <c r="BG216" s="6">
        <f t="shared" si="217"/>
        <v>0.17608337521215978</v>
      </c>
      <c r="BH216" s="6">
        <f t="shared" si="218"/>
        <v>-3.1360672979227475</v>
      </c>
      <c r="BI216" s="6">
        <f t="shared" si="219"/>
        <v>3.1360672979227475</v>
      </c>
      <c r="BV216" s="39"/>
      <c r="BW216" s="6">
        <f t="shared" si="199"/>
        <v>3.5081117965085875</v>
      </c>
      <c r="BX216" s="9">
        <f t="shared" ca="1" si="200"/>
        <v>-295.76289815692223</v>
      </c>
      <c r="BY216" s="9">
        <f t="shared" ca="1" si="201"/>
        <v>-175.45498242892074</v>
      </c>
      <c r="BZ216">
        <f t="shared" ca="1" si="223"/>
        <v>343.8897247451788</v>
      </c>
      <c r="CA216" s="6">
        <f t="shared" ca="1" si="224"/>
        <v>-0.86005157140441346</v>
      </c>
      <c r="CB216" s="6">
        <f t="shared" ca="1" si="225"/>
        <v>-0.51020710944164538</v>
      </c>
      <c r="CC216" s="6">
        <f t="shared" ca="1" si="226"/>
        <v>-2.606167070018456</v>
      </c>
      <c r="CD216" s="6">
        <f t="shared" ca="1" si="220"/>
        <v>-2.2557889928924091</v>
      </c>
      <c r="CE216" s="9">
        <f t="shared" ca="1" si="221"/>
        <v>-270.46285629256624</v>
      </c>
      <c r="CF216" s="9">
        <f t="shared" ca="1" si="222"/>
        <v>-103.15535920812481</v>
      </c>
      <c r="CG216">
        <f t="shared" ca="1" si="227"/>
        <v>289.46707026411588</v>
      </c>
      <c r="CH216">
        <f t="shared" ca="1" si="228"/>
        <v>-0.93434757896913878</v>
      </c>
      <c r="CI216">
        <f t="shared" ca="1" si="229"/>
        <v>-0.35636301951031485</v>
      </c>
      <c r="CJ216">
        <f t="shared" ca="1" si="230"/>
        <v>-2.7772201986152516</v>
      </c>
      <c r="CK216" s="39">
        <f t="shared" ca="1" si="231"/>
        <v>-3.2000741247481921</v>
      </c>
    </row>
    <row r="217" spans="55:89" x14ac:dyDescent="0.25">
      <c r="BC217">
        <v>3.7524578917877909</v>
      </c>
      <c r="BD217">
        <v>-261.91574061555957</v>
      </c>
      <c r="BE217">
        <v>-117.63761928284319</v>
      </c>
      <c r="BF217" s="6">
        <f t="shared" si="216"/>
        <v>3.5637336622917504</v>
      </c>
      <c r="BG217" s="6">
        <f t="shared" si="217"/>
        <v>0.18872422949604051</v>
      </c>
      <c r="BH217" s="6">
        <f t="shared" si="218"/>
        <v>-3.1408797361588094</v>
      </c>
      <c r="BI217" s="6">
        <f t="shared" si="219"/>
        <v>3.1408797361588094</v>
      </c>
      <c r="BV217" s="39"/>
      <c r="BW217" s="6">
        <f t="shared" si="199"/>
        <v>3.5255650890285306</v>
      </c>
      <c r="BX217" s="9">
        <f t="shared" ca="1" si="200"/>
        <v>-295.3435210159542</v>
      </c>
      <c r="BY217" s="9">
        <f t="shared" ca="1" si="201"/>
        <v>-176.38042698662881</v>
      </c>
      <c r="BZ217">
        <f t="shared" ca="1" si="223"/>
        <v>344.00268956810044</v>
      </c>
      <c r="CA217" s="6">
        <f t="shared" ca="1" si="224"/>
        <v>-0.85855003455572276</v>
      </c>
      <c r="CB217" s="6">
        <f t="shared" ca="1" si="225"/>
        <v>-0.51272979059575541</v>
      </c>
      <c r="CC217" s="6">
        <f t="shared" ca="1" si="226"/>
        <v>-2.6032313351354648</v>
      </c>
      <c r="CD217" s="6">
        <f t="shared" ca="1" si="220"/>
        <v>-2.2528532580094183</v>
      </c>
      <c r="CE217" s="9">
        <f t="shared" ca="1" si="221"/>
        <v>-270.04347915159821</v>
      </c>
      <c r="CF217" s="9">
        <f t="shared" ca="1" si="222"/>
        <v>-104.08080376583287</v>
      </c>
      <c r="CG217">
        <f t="shared" ca="1" si="227"/>
        <v>289.40679733696902</v>
      </c>
      <c r="CH217">
        <f t="shared" ca="1" si="228"/>
        <v>-0.93309307741370962</v>
      </c>
      <c r="CI217">
        <f t="shared" ca="1" si="229"/>
        <v>-0.35963496615681428</v>
      </c>
      <c r="CJ217">
        <f t="shared" ca="1" si="230"/>
        <v>-2.7737159980537172</v>
      </c>
      <c r="CK217" s="39">
        <f t="shared" ca="1" si="231"/>
        <v>-3.1965699241866581</v>
      </c>
    </row>
    <row r="218" spans="55:89" x14ac:dyDescent="0.25">
      <c r="BC218">
        <v>3.769911184307734</v>
      </c>
      <c r="BD218">
        <v>-261.07239599156708</v>
      </c>
      <c r="BE218">
        <v>-118.74985551734882</v>
      </c>
      <c r="BF218" s="6">
        <f t="shared" si="216"/>
        <v>3.5684759305981748</v>
      </c>
      <c r="BG218" s="6">
        <f t="shared" si="217"/>
        <v>0.20143525370955917</v>
      </c>
      <c r="BH218" s="6">
        <f t="shared" si="218"/>
        <v>3.1375633027143524</v>
      </c>
      <c r="BI218" s="6">
        <f t="shared" si="219"/>
        <v>3.1375633027143524</v>
      </c>
      <c r="BV218" s="39"/>
      <c r="BW218" s="6">
        <f t="shared" si="199"/>
        <v>3.5430183815484737</v>
      </c>
      <c r="BX218" s="9">
        <f t="shared" ca="1" si="200"/>
        <v>-294.90084000995444</v>
      </c>
      <c r="BY218" s="9">
        <f t="shared" ca="1" si="201"/>
        <v>-177.31901728481597</v>
      </c>
      <c r="BZ218">
        <f t="shared" ca="1" si="223"/>
        <v>344.10541891901323</v>
      </c>
      <c r="CA218" s="6">
        <f t="shared" ca="1" si="224"/>
        <v>-0.85700725358051011</v>
      </c>
      <c r="CB218" s="6">
        <f t="shared" ca="1" si="225"/>
        <v>-0.51530434435427708</v>
      </c>
      <c r="CC218" s="6">
        <f t="shared" ca="1" si="226"/>
        <v>-2.600229917644385</v>
      </c>
      <c r="CD218" s="6">
        <f t="shared" ca="1" si="220"/>
        <v>-2.2498518405183381</v>
      </c>
      <c r="CE218" s="9">
        <f t="shared" ca="1" si="221"/>
        <v>-269.60079814559845</v>
      </c>
      <c r="CF218" s="9">
        <f t="shared" ca="1" si="222"/>
        <v>-105.01939406402003</v>
      </c>
      <c r="CG218">
        <f t="shared" ca="1" si="227"/>
        <v>289.33313583189471</v>
      </c>
      <c r="CH218">
        <f t="shared" ca="1" si="228"/>
        <v>-0.93180062964595611</v>
      </c>
      <c r="CI218">
        <f t="shared" ca="1" si="229"/>
        <v>-0.36297050374844481</v>
      </c>
      <c r="CJ218">
        <f t="shared" ca="1" si="230"/>
        <v>-2.7701388139792154</v>
      </c>
      <c r="CK218" s="39">
        <f t="shared" ca="1" si="231"/>
        <v>-3.1929927401121558</v>
      </c>
    </row>
    <row r="219" spans="55:89" x14ac:dyDescent="0.25">
      <c r="BC219">
        <v>3.7873644768276771</v>
      </c>
      <c r="BD219">
        <v>-260.21751429604251</v>
      </c>
      <c r="BE219">
        <v>-119.83502622152793</v>
      </c>
      <c r="BF219" s="6">
        <f t="shared" si="216"/>
        <v>3.5731594051572078</v>
      </c>
      <c r="BG219" s="6">
        <f t="shared" si="217"/>
        <v>0.21420507167046932</v>
      </c>
      <c r="BH219" s="6">
        <f t="shared" si="218"/>
        <v>3.1328798281553194</v>
      </c>
      <c r="BI219" s="6">
        <f t="shared" si="219"/>
        <v>3.1328798281553194</v>
      </c>
      <c r="BV219" s="39"/>
      <c r="BW219" s="6">
        <f t="shared" si="199"/>
        <v>3.5604716740684168</v>
      </c>
      <c r="BX219" s="9">
        <f t="shared" ca="1" si="200"/>
        <v>-294.43360299293499</v>
      </c>
      <c r="BY219" s="9">
        <f t="shared" ca="1" si="201"/>
        <v>-178.27161987645684</v>
      </c>
      <c r="BZ219">
        <f t="shared" ca="1" si="223"/>
        <v>344.19749712160484</v>
      </c>
      <c r="CA219" s="6">
        <f t="shared" ca="1" si="224"/>
        <v>-0.85542052297060056</v>
      </c>
      <c r="CB219" s="6">
        <f t="shared" ca="1" si="225"/>
        <v>-0.51793409704392346</v>
      </c>
      <c r="CC219" s="6">
        <f t="shared" ca="1" si="226"/>
        <v>-2.5971585465087594</v>
      </c>
      <c r="CD219" s="6">
        <f t="shared" ca="1" si="220"/>
        <v>-2.2467804693827125</v>
      </c>
      <c r="CE219" s="9">
        <f t="shared" ca="1" si="221"/>
        <v>-269.133561128579</v>
      </c>
      <c r="CF219" s="9">
        <f t="shared" ca="1" si="222"/>
        <v>-105.9719966556609</v>
      </c>
      <c r="CG219">
        <f t="shared" ca="1" si="227"/>
        <v>289.2454628873856</v>
      </c>
      <c r="CH219">
        <f t="shared" ca="1" si="228"/>
        <v>-0.93046770186802574</v>
      </c>
      <c r="CI219">
        <f t="shared" ca="1" si="229"/>
        <v>-0.36637392890383863</v>
      </c>
      <c r="CJ219">
        <f t="shared" ca="1" si="230"/>
        <v>-2.7664836786706797</v>
      </c>
      <c r="CK219" s="39">
        <f t="shared" ca="1" si="231"/>
        <v>-3.1893376048036206</v>
      </c>
    </row>
    <row r="220" spans="55:89" x14ac:dyDescent="0.25">
      <c r="BC220">
        <v>3.8048177693476202</v>
      </c>
      <c r="BD220">
        <v>-259.34986265497906</v>
      </c>
      <c r="BE220">
        <v>-120.89573563404618</v>
      </c>
      <c r="BF220" s="6">
        <f t="shared" si="216"/>
        <v>3.5777948168309521</v>
      </c>
      <c r="BG220" s="6">
        <f t="shared" si="217"/>
        <v>0.22702295251666804</v>
      </c>
      <c r="BH220" s="6">
        <f t="shared" si="218"/>
        <v>3.128244416481575</v>
      </c>
      <c r="BI220" s="6">
        <f t="shared" si="219"/>
        <v>3.128244416481575</v>
      </c>
      <c r="BV220" s="39"/>
      <c r="BW220" s="6">
        <f t="shared" si="199"/>
        <v>3.5779249665883599</v>
      </c>
      <c r="BX220" s="9">
        <f t="shared" ca="1" si="200"/>
        <v>-293.94045660099437</v>
      </c>
      <c r="BY220" s="9">
        <f t="shared" ca="1" si="201"/>
        <v>-179.2391447301095</v>
      </c>
      <c r="BZ220">
        <f t="shared" ca="1" si="223"/>
        <v>344.27846727668316</v>
      </c>
      <c r="CA220" s="6">
        <f t="shared" ca="1" si="224"/>
        <v>-0.85378693278765505</v>
      </c>
      <c r="CB220" s="6">
        <f t="shared" ca="1" si="225"/>
        <v>-0.52062258249239268</v>
      </c>
      <c r="CC220" s="6">
        <f t="shared" ca="1" si="226"/>
        <v>-2.5940126636351768</v>
      </c>
      <c r="CD220" s="6">
        <f t="shared" ca="1" si="220"/>
        <v>-2.2436345865091303</v>
      </c>
      <c r="CE220" s="9">
        <f t="shared" ca="1" si="221"/>
        <v>-268.64041473663838</v>
      </c>
      <c r="CF220" s="9">
        <f t="shared" ca="1" si="222"/>
        <v>-106.93952150931356</v>
      </c>
      <c r="CG220">
        <f t="shared" ca="1" si="227"/>
        <v>289.14310244326083</v>
      </c>
      <c r="CH220">
        <f t="shared" ca="1" si="228"/>
        <v>-0.92909155524245735</v>
      </c>
      <c r="CI220">
        <f t="shared" ca="1" si="229"/>
        <v>-0.36984981002719419</v>
      </c>
      <c r="CJ220">
        <f t="shared" ca="1" si="230"/>
        <v>-2.7627452905962446</v>
      </c>
      <c r="CK220" s="39">
        <f t="shared" ca="1" si="231"/>
        <v>-3.1855992167291856</v>
      </c>
    </row>
    <row r="221" spans="55:89" x14ac:dyDescent="0.25">
      <c r="BC221">
        <v>3.8222710618675633</v>
      </c>
      <c r="BD221">
        <v>-258.46815790040728</v>
      </c>
      <c r="BE221">
        <v>-121.93438536837519</v>
      </c>
      <c r="BF221" s="6">
        <f t="shared" si="216"/>
        <v>3.5823923739199306</v>
      </c>
      <c r="BG221" s="6">
        <f t="shared" si="217"/>
        <v>0.23987868794763267</v>
      </c>
      <c r="BH221" s="6">
        <f t="shared" si="218"/>
        <v>3.1236468593925961</v>
      </c>
      <c r="BI221" s="6">
        <f t="shared" si="219"/>
        <v>3.1236468593925961</v>
      </c>
      <c r="BV221" s="39"/>
      <c r="BW221" s="6">
        <f t="shared" si="199"/>
        <v>3.595378259108303</v>
      </c>
      <c r="BX221" s="9">
        <f t="shared" ca="1" si="200"/>
        <v>-293.41993673629679</v>
      </c>
      <c r="BY221" s="9">
        <f t="shared" ca="1" si="201"/>
        <v>-180.22254903596803</v>
      </c>
      <c r="BZ221">
        <f t="shared" ca="1" si="223"/>
        <v>344.34782771981344</v>
      </c>
      <c r="CA221" s="6">
        <f t="shared" ca="1" si="224"/>
        <v>-0.85210334759261119</v>
      </c>
      <c r="CB221" s="6">
        <f t="shared" ca="1" si="225"/>
        <v>-0.52337356163782822</v>
      </c>
      <c r="CC221" s="6">
        <f t="shared" ca="1" si="226"/>
        <v>-2.5907873955246155</v>
      </c>
      <c r="CD221" s="6">
        <f t="shared" ca="1" si="220"/>
        <v>-2.2404093183985685</v>
      </c>
      <c r="CE221" s="9">
        <f t="shared" ca="1" si="221"/>
        <v>-268.1198948719408</v>
      </c>
      <c r="CF221" s="9">
        <f t="shared" ca="1" si="222"/>
        <v>-107.92292581517209</v>
      </c>
      <c r="CG221">
        <f t="shared" ca="1" si="227"/>
        <v>289.02532059085712</v>
      </c>
      <c r="CH221">
        <f t="shared" ca="1" si="228"/>
        <v>-0.92766922401061902</v>
      </c>
      <c r="CI221">
        <f t="shared" ca="1" si="229"/>
        <v>-0.37340301394543657</v>
      </c>
      <c r="CJ221">
        <f t="shared" ca="1" si="230"/>
        <v>-2.7589179805619346</v>
      </c>
      <c r="CK221" s="39">
        <f t="shared" ca="1" si="231"/>
        <v>-3.1817719066948751</v>
      </c>
    </row>
    <row r="222" spans="55:89" x14ac:dyDescent="0.25">
      <c r="BC222">
        <v>3.8397243543875064</v>
      </c>
      <c r="BD222">
        <v>-257.57105775484723</v>
      </c>
      <c r="BE222">
        <v>-122.95320174133992</v>
      </c>
      <c r="BF222" s="6">
        <f t="shared" si="216"/>
        <v>3.5869618723940193</v>
      </c>
      <c r="BG222" s="6">
        <f t="shared" si="217"/>
        <v>0.25276248199348705</v>
      </c>
      <c r="BH222" s="6">
        <f t="shared" si="218"/>
        <v>3.1190773609185074</v>
      </c>
      <c r="BI222" s="6">
        <f t="shared" si="219"/>
        <v>3.1190773609185074</v>
      </c>
      <c r="BV222" s="39"/>
      <c r="BW222" s="6">
        <f t="shared" si="199"/>
        <v>3.6128315516282461</v>
      </c>
      <c r="BX222" s="9">
        <f t="shared" ca="1" si="200"/>
        <v>-292.8704579856801</v>
      </c>
      <c r="BY222" s="9">
        <f t="shared" ca="1" si="201"/>
        <v>-181.22284135258926</v>
      </c>
      <c r="BZ222">
        <f t="shared" ca="1" si="223"/>
        <v>344.40502811173906</v>
      </c>
      <c r="CA222" s="6">
        <f t="shared" ca="1" si="224"/>
        <v>-0.85036638283533117</v>
      </c>
      <c r="CB222" s="6">
        <f t="shared" ca="1" si="225"/>
        <v>-0.52619104414989304</v>
      </c>
      <c r="CC222" s="6">
        <f t="shared" ca="1" si="226"/>
        <v>-2.5874775217694239</v>
      </c>
      <c r="CD222" s="6">
        <f t="shared" ca="1" si="220"/>
        <v>-2.237099444643377</v>
      </c>
      <c r="CE222" s="9">
        <f t="shared" ca="1" si="221"/>
        <v>-267.57041612132412</v>
      </c>
      <c r="CF222" s="9">
        <f t="shared" ca="1" si="222"/>
        <v>-108.92321813179332</v>
      </c>
      <c r="CG222">
        <f t="shared" ca="1" si="227"/>
        <v>288.89132045031187</v>
      </c>
      <c r="CH222">
        <f t="shared" ca="1" si="228"/>
        <v>-0.92619749082196856</v>
      </c>
      <c r="CI222">
        <f t="shared" ca="1" si="229"/>
        <v>-0.37703873540405541</v>
      </c>
      <c r="CJ222">
        <f t="shared" ca="1" si="230"/>
        <v>-2.7549956739922274</v>
      </c>
      <c r="CK222" s="39">
        <f t="shared" ca="1" si="231"/>
        <v>-3.1778496001251684</v>
      </c>
    </row>
    <row r="223" spans="55:89" x14ac:dyDescent="0.25">
      <c r="BC223">
        <v>3.8571776469074495</v>
      </c>
      <c r="BD223">
        <v>-256.65715144481862</v>
      </c>
      <c r="BE223">
        <v>-123.95425963411977</v>
      </c>
      <c r="BF223" s="6">
        <f t="shared" si="216"/>
        <v>3.5915127964269176</v>
      </c>
      <c r="BG223" s="6">
        <f t="shared" si="217"/>
        <v>0.2656648504805319</v>
      </c>
      <c r="BH223" s="6">
        <f t="shared" si="218"/>
        <v>3.1145264368856092</v>
      </c>
      <c r="BI223" s="6">
        <f t="shared" si="219"/>
        <v>3.1145264368856092</v>
      </c>
      <c r="BV223" s="39"/>
      <c r="BW223" s="6">
        <f t="shared" si="199"/>
        <v>3.6302848441481892</v>
      </c>
      <c r="BX223" s="9">
        <f t="shared" ca="1" si="200"/>
        <v>-292.29030186433044</v>
      </c>
      <c r="BY223" s="9">
        <f t="shared" ca="1" si="201"/>
        <v>-182.24108613405684</v>
      </c>
      <c r="BZ223">
        <f t="shared" ca="1" si="223"/>
        <v>344.44946514585001</v>
      </c>
      <c r="CA223" s="6">
        <f t="shared" ca="1" si="224"/>
        <v>-0.84857237836199328</v>
      </c>
      <c r="CB223" s="6">
        <f t="shared" ca="1" si="225"/>
        <v>-0.52907931227848071</v>
      </c>
      <c r="CC223" s="6">
        <f t="shared" ca="1" si="226"/>
        <v>-2.5840774400100877</v>
      </c>
      <c r="CD223" s="6">
        <f t="shared" ca="1" si="220"/>
        <v>-2.2336993628840407</v>
      </c>
      <c r="CE223" s="9">
        <f t="shared" ca="1" si="221"/>
        <v>-266.99025999997446</v>
      </c>
      <c r="CF223" s="9">
        <f t="shared" ca="1" si="222"/>
        <v>-109.94146291326091</v>
      </c>
      <c r="CG223">
        <f t="shared" ca="1" si="227"/>
        <v>288.74023654898161</v>
      </c>
      <c r="CH223">
        <f t="shared" ca="1" si="228"/>
        <v>-0.92467285886801742</v>
      </c>
      <c r="CI223">
        <f t="shared" ca="1" si="229"/>
        <v>-0.38076252976474423</v>
      </c>
      <c r="CJ223">
        <f t="shared" ca="1" si="230"/>
        <v>-2.7509718488367492</v>
      </c>
      <c r="CK223" s="39">
        <f t="shared" ca="1" si="231"/>
        <v>-3.1738257749696901</v>
      </c>
    </row>
    <row r="224" spans="55:89" x14ac:dyDescent="0.25">
      <c r="BC224">
        <v>3.8746309394273926</v>
      </c>
      <c r="BD224">
        <v>-255.72494960025372</v>
      </c>
      <c r="BE224">
        <v>-124.9395034878481</v>
      </c>
      <c r="BF224" s="6">
        <f t="shared" si="216"/>
        <v>3.5960544116440945</v>
      </c>
      <c r="BG224" s="6">
        <f t="shared" si="217"/>
        <v>0.27857652778329811</v>
      </c>
      <c r="BH224" s="6">
        <f t="shared" si="218"/>
        <v>3.1099848216684327</v>
      </c>
      <c r="BI224" s="6">
        <f t="shared" si="219"/>
        <v>3.1099848216684327</v>
      </c>
      <c r="BV224" s="39"/>
      <c r="BW224" s="6">
        <f t="shared" si="199"/>
        <v>3.6477381366681323</v>
      </c>
      <c r="BX224" s="9">
        <f t="shared" ca="1" si="200"/>
        <v>-291.67760371807623</v>
      </c>
      <c r="BY224" s="9">
        <f t="shared" ca="1" si="201"/>
        <v>-183.27840868247702</v>
      </c>
      <c r="BZ224">
        <f t="shared" ca="1" si="223"/>
        <v>344.48047782116794</v>
      </c>
      <c r="CA224" s="6">
        <f t="shared" ca="1" si="224"/>
        <v>-0.84671736860948166</v>
      </c>
      <c r="CB224" s="6">
        <f t="shared" ca="1" si="225"/>
        <v>-0.53204294722798007</v>
      </c>
      <c r="CC224" s="6">
        <f t="shared" ca="1" si="226"/>
        <v>-2.5805811268449945</v>
      </c>
      <c r="CD224" s="6">
        <f t="shared" ca="1" si="220"/>
        <v>-2.2302030497189476</v>
      </c>
      <c r="CE224" s="9">
        <f t="shared" ca="1" si="221"/>
        <v>-266.37756185372024</v>
      </c>
      <c r="CF224" s="9">
        <f t="shared" ca="1" si="222"/>
        <v>-110.97878546168108</v>
      </c>
      <c r="CG224">
        <f t="shared" ca="1" si="227"/>
        <v>288.57112863500811</v>
      </c>
      <c r="CH224">
        <f t="shared" ca="1" si="228"/>
        <v>-0.92309152032544861</v>
      </c>
      <c r="CI224">
        <f t="shared" ca="1" si="229"/>
        <v>-0.38458034934620849</v>
      </c>
      <c r="CJ224">
        <f t="shared" ca="1" si="230"/>
        <v>-2.7468394884648668</v>
      </c>
      <c r="CK224" s="39">
        <f t="shared" ca="1" si="231"/>
        <v>-3.1696934145978073</v>
      </c>
    </row>
    <row r="225" spans="55:89" x14ac:dyDescent="0.25">
      <c r="BC225">
        <v>3.8920842319473357</v>
      </c>
      <c r="BD225">
        <v>-254.77287327588797</v>
      </c>
      <c r="BE225">
        <v>-125.91076593381382</v>
      </c>
      <c r="BF225" s="6">
        <f t="shared" si="216"/>
        <v>3.6005958532099931</v>
      </c>
      <c r="BG225" s="6">
        <f t="shared" si="217"/>
        <v>0.29148837873734257</v>
      </c>
      <c r="BH225" s="6">
        <f t="shared" si="218"/>
        <v>3.1054433801025336</v>
      </c>
      <c r="BI225" s="6">
        <f t="shared" si="219"/>
        <v>3.1054433801025336</v>
      </c>
      <c r="BV225" s="39"/>
      <c r="BW225" s="6">
        <f t="shared" si="199"/>
        <v>3.6651914291880754</v>
      </c>
      <c r="BX225" s="9">
        <f t="shared" ca="1" si="200"/>
        <v>-291.03033808230282</v>
      </c>
      <c r="BY225" s="9">
        <f t="shared" ca="1" si="201"/>
        <v>-184.33600057659874</v>
      </c>
      <c r="BZ225">
        <f t="shared" ca="1" si="223"/>
        <v>344.49734221453042</v>
      </c>
      <c r="CA225" s="6">
        <f t="shared" ca="1" si="224"/>
        <v>-0.84479704897423602</v>
      </c>
      <c r="CB225" s="6">
        <f t="shared" ca="1" si="225"/>
        <v>-0.53508685841125103</v>
      </c>
      <c r="CC225" s="6">
        <f t="shared" ca="1" si="226"/>
        <v>-2.5769820940895301</v>
      </c>
      <c r="CD225" s="6">
        <f t="shared" ca="1" si="220"/>
        <v>-2.2266040169634831</v>
      </c>
      <c r="CE225" s="9">
        <f t="shared" ca="1" si="221"/>
        <v>-265.73029621794683</v>
      </c>
      <c r="CF225" s="9">
        <f t="shared" ca="1" si="222"/>
        <v>-112.0363773558028</v>
      </c>
      <c r="CG225">
        <f t="shared" ca="1" si="227"/>
        <v>288.38297484263808</v>
      </c>
      <c r="CH225">
        <f t="shared" ca="1" si="228"/>
        <v>-0.921449320518827</v>
      </c>
      <c r="CI225">
        <f t="shared" ca="1" si="229"/>
        <v>-0.38849858392971248</v>
      </c>
      <c r="CJ225">
        <f t="shared" ca="1" si="230"/>
        <v>-2.7425910287905086</v>
      </c>
      <c r="CK225" s="39">
        <f t="shared" ca="1" si="231"/>
        <v>-3.1654449549234496</v>
      </c>
    </row>
    <row r="226" spans="55:89" x14ac:dyDescent="0.25">
      <c r="BC226">
        <v>3.9095375244672788</v>
      </c>
      <c r="BD226">
        <v>-253.79924190031477</v>
      </c>
      <c r="BE226">
        <v>-126.86978447636366</v>
      </c>
      <c r="BF226" s="6">
        <f t="shared" si="216"/>
        <v>3.6051462106885657</v>
      </c>
      <c r="BG226" s="6">
        <f t="shared" si="217"/>
        <v>0.30439131377871309</v>
      </c>
      <c r="BH226" s="6">
        <f t="shared" si="218"/>
        <v>3.1008930226239615</v>
      </c>
      <c r="BI226" s="6">
        <f t="shared" si="219"/>
        <v>3.1008930226239615</v>
      </c>
      <c r="BV226" s="39"/>
      <c r="BW226" s="6">
        <f t="shared" si="199"/>
        <v>3.6826447217080185</v>
      </c>
      <c r="BX226" s="9">
        <f t="shared" ca="1" si="200"/>
        <v>-290.34630231661333</v>
      </c>
      <c r="BY226" s="9">
        <f t="shared" ca="1" si="201"/>
        <v>-185.41512563415992</v>
      </c>
      <c r="BZ226">
        <f t="shared" ca="1" si="223"/>
        <v>344.49926572180317</v>
      </c>
      <c r="CA226" s="6">
        <f t="shared" ca="1" si="224"/>
        <v>-0.84280673779746018</v>
      </c>
      <c r="CB226" s="6">
        <f t="shared" ca="1" si="225"/>
        <v>-0.53821631592065566</v>
      </c>
      <c r="CC226" s="6">
        <f t="shared" ca="1" si="226"/>
        <v>-2.5732733397636265</v>
      </c>
      <c r="CD226" s="6">
        <f t="shared" ca="1" si="220"/>
        <v>-2.2228952626375795</v>
      </c>
      <c r="CE226" s="9">
        <f t="shared" ca="1" si="221"/>
        <v>-265.04626045225734</v>
      </c>
      <c r="CF226" s="9">
        <f t="shared" ca="1" si="222"/>
        <v>-113.11550241336398</v>
      </c>
      <c r="CG226">
        <f t="shared" ca="1" si="227"/>
        <v>288.17466416386014</v>
      </c>
      <c r="CH226">
        <f t="shared" ca="1" si="228"/>
        <v>-0.91974171713287167</v>
      </c>
      <c r="CI226">
        <f t="shared" ca="1" si="229"/>
        <v>-0.39252410596736198</v>
      </c>
      <c r="CJ226">
        <f t="shared" ca="1" si="230"/>
        <v>-2.7382182988118466</v>
      </c>
      <c r="CK226" s="39">
        <f t="shared" ca="1" si="231"/>
        <v>-3.1610722249447871</v>
      </c>
    </row>
    <row r="227" spans="55:89" x14ac:dyDescent="0.25">
      <c r="BC227">
        <v>3.9269908169872219</v>
      </c>
      <c r="BD227">
        <v>-252.8022599632192</v>
      </c>
      <c r="BE227">
        <v>-127.81821658554277</v>
      </c>
      <c r="BF227" s="6">
        <f t="shared" si="216"/>
        <v>3.6097146114437146</v>
      </c>
      <c r="BG227" s="6">
        <f t="shared" si="217"/>
        <v>0.31727620554350722</v>
      </c>
      <c r="BH227" s="6">
        <f t="shared" si="218"/>
        <v>3.0963246218688125</v>
      </c>
      <c r="BI227" s="6">
        <f t="shared" si="219"/>
        <v>3.0963246218688125</v>
      </c>
      <c r="BV227" s="39"/>
      <c r="BW227" s="6">
        <f t="shared" si="199"/>
        <v>3.7000980142279616</v>
      </c>
      <c r="BX227" s="9">
        <f t="shared" ca="1" si="200"/>
        <v>-289.62309824436852</v>
      </c>
      <c r="BY227" s="9">
        <f t="shared" ca="1" si="201"/>
        <v>-186.51712647343297</v>
      </c>
      <c r="BZ227">
        <f t="shared" ca="1" si="223"/>
        <v>344.4853806833807</v>
      </c>
      <c r="CA227" s="6">
        <f t="shared" ca="1" si="224"/>
        <v>-0.84074133326012879</v>
      </c>
      <c r="CB227" s="6">
        <f t="shared" ca="1" si="225"/>
        <v>-0.54143698668264351</v>
      </c>
      <c r="CC227" s="6">
        <f t="shared" ca="1" si="226"/>
        <v>-2.5694472929895515</v>
      </c>
      <c r="CD227" s="6">
        <f t="shared" ca="1" si="220"/>
        <v>-2.219069215863505</v>
      </c>
      <c r="CE227" s="9">
        <f t="shared" ca="1" si="221"/>
        <v>-264.32305638001253</v>
      </c>
      <c r="CF227" s="9">
        <f t="shared" ca="1" si="222"/>
        <v>-114.21750325263703</v>
      </c>
      <c r="CG227">
        <f t="shared" ca="1" si="227"/>
        <v>287.9449881198446</v>
      </c>
      <c r="CH227">
        <f t="shared" ca="1" si="228"/>
        <v>-0.91796373364901052</v>
      </c>
      <c r="CI227">
        <f t="shared" ca="1" si="229"/>
        <v>-0.39666432119005646</v>
      </c>
      <c r="CJ227">
        <f t="shared" ca="1" si="230"/>
        <v>-2.7337124535294537</v>
      </c>
      <c r="CK227" s="39">
        <f t="shared" ca="1" si="231"/>
        <v>-3.1565663796623946</v>
      </c>
    </row>
    <row r="228" spans="55:89" x14ac:dyDescent="0.25">
      <c r="BC228">
        <v>3.944444109507165</v>
      </c>
      <c r="BD228">
        <v>-251.78000219652716</v>
      </c>
      <c r="BE228">
        <v>-128.75765350479264</v>
      </c>
      <c r="BF228" s="6">
        <f t="shared" si="216"/>
        <v>3.6143103043135989</v>
      </c>
      <c r="BG228" s="6">
        <f t="shared" si="217"/>
        <v>0.33013380519356605</v>
      </c>
      <c r="BH228" s="6">
        <f t="shared" si="218"/>
        <v>3.0917289289989283</v>
      </c>
      <c r="BI228" s="6">
        <f t="shared" si="219"/>
        <v>3.0917289289989283</v>
      </c>
      <c r="BV228" s="39"/>
      <c r="BW228" s="6">
        <f t="shared" si="199"/>
        <v>3.7175513067479047</v>
      </c>
      <c r="BX228" s="9">
        <f t="shared" ca="1" si="200"/>
        <v>-288.85811151943199</v>
      </c>
      <c r="BY228" s="9">
        <f t="shared" ca="1" si="201"/>
        <v>-187.64343174856054</v>
      </c>
      <c r="BZ228">
        <f t="shared" ca="1" si="223"/>
        <v>344.45473732981128</v>
      </c>
      <c r="CA228" s="6">
        <f t="shared" ca="1" si="224"/>
        <v>-0.83859526438405119</v>
      </c>
      <c r="CB228" s="6">
        <f t="shared" ca="1" si="225"/>
        <v>-0.54475497478466728</v>
      </c>
      <c r="CC228" s="6">
        <f t="shared" ca="1" si="226"/>
        <v>-2.565495751899773</v>
      </c>
      <c r="CD228" s="6">
        <f t="shared" ca="1" si="220"/>
        <v>-2.215117674773726</v>
      </c>
      <c r="CE228" s="9">
        <f t="shared" ca="1" si="221"/>
        <v>-263.558069655076</v>
      </c>
      <c r="CF228" s="9">
        <f t="shared" ca="1" si="222"/>
        <v>-115.34380852776461</v>
      </c>
      <c r="CG228">
        <f t="shared" ca="1" si="227"/>
        <v>287.69263154623809</v>
      </c>
      <c r="CH228">
        <f t="shared" ca="1" si="228"/>
        <v>-0.91610990604295972</v>
      </c>
      <c r="CI228">
        <f t="shared" ca="1" si="229"/>
        <v>-0.40092722537882064</v>
      </c>
      <c r="CJ228">
        <f t="shared" ca="1" si="230"/>
        <v>-2.7290638980733832</v>
      </c>
      <c r="CK228" s="39">
        <f t="shared" ca="1" si="231"/>
        <v>-3.1519178242063237</v>
      </c>
    </row>
    <row r="229" spans="55:89" x14ac:dyDescent="0.25">
      <c r="BC229">
        <v>3.9618974020271081</v>
      </c>
      <c r="BD229">
        <v>-250.73039697898767</v>
      </c>
      <c r="BE229">
        <v>-129.68963304123264</v>
      </c>
      <c r="BF229" s="6">
        <f t="shared" si="216"/>
        <v>3.6189427452770278</v>
      </c>
      <c r="BG229" s="6">
        <f t="shared" si="217"/>
        <v>0.3429546567500803</v>
      </c>
      <c r="BH229" s="6">
        <f t="shared" si="218"/>
        <v>3.087096488035499</v>
      </c>
      <c r="BI229" s="6">
        <f t="shared" si="219"/>
        <v>3.087096488035499</v>
      </c>
      <c r="BV229" s="39"/>
      <c r="BW229" s="6">
        <f t="shared" si="199"/>
        <v>3.7350045992678478</v>
      </c>
      <c r="BX229" s="9">
        <f t="shared" ca="1" si="200"/>
        <v>-288.04878100668446</v>
      </c>
      <c r="BY229" s="9">
        <f t="shared" ca="1" si="201"/>
        <v>-188.79510234794378</v>
      </c>
      <c r="BZ229">
        <f t="shared" ca="1" si="223"/>
        <v>344.40628755876025</v>
      </c>
      <c r="CA229" s="6">
        <f t="shared" ca="1" si="224"/>
        <v>-0.83636330523594038</v>
      </c>
      <c r="CB229" s="6">
        <f t="shared" ca="1" si="225"/>
        <v>-0.54817553908835892</v>
      </c>
      <c r="CC229" s="6">
        <f t="shared" ca="1" si="226"/>
        <v>-2.5614114006679292</v>
      </c>
      <c r="CD229" s="6">
        <f t="shared" ca="1" si="220"/>
        <v>-2.2110333235418826</v>
      </c>
      <c r="CE229" s="9">
        <f t="shared" ca="1" si="221"/>
        <v>-262.74873914232847</v>
      </c>
      <c r="CF229" s="9">
        <f t="shared" ca="1" si="222"/>
        <v>-116.49547912714785</v>
      </c>
      <c r="CG229">
        <f t="shared" ca="1" si="227"/>
        <v>287.41624271767785</v>
      </c>
      <c r="CH229">
        <f t="shared" ca="1" si="228"/>
        <v>-0.91417498418981258</v>
      </c>
      <c r="CI229">
        <f t="shared" ca="1" si="229"/>
        <v>-0.4053197482007953</v>
      </c>
      <c r="CJ229">
        <f t="shared" ca="1" si="230"/>
        <v>-2.7242640831238982</v>
      </c>
      <c r="CK229" s="39">
        <f t="shared" ca="1" si="231"/>
        <v>-3.1471180092568387</v>
      </c>
    </row>
    <row r="230" spans="55:89" x14ac:dyDescent="0.25">
      <c r="BC230">
        <v>3.9793506945470511</v>
      </c>
      <c r="BD230">
        <v>-249.65120763938776</v>
      </c>
      <c r="BE230">
        <v>-130.61565157563442</v>
      </c>
      <c r="BF230" s="6">
        <f t="shared" si="216"/>
        <v>3.6236216869007061</v>
      </c>
      <c r="BG230" s="6">
        <f t="shared" si="217"/>
        <v>0.35572900764634507</v>
      </c>
      <c r="BH230" s="6">
        <f t="shared" si="218"/>
        <v>3.0824175464118211</v>
      </c>
      <c r="BI230" s="6">
        <f t="shared" si="219"/>
        <v>3.0824175464118211</v>
      </c>
      <c r="BV230" s="39"/>
      <c r="BW230" s="6">
        <f t="shared" si="199"/>
        <v>3.7524578917877909</v>
      </c>
      <c r="BX230" s="9">
        <f t="shared" ca="1" si="200"/>
        <v>-287.21578247991556</v>
      </c>
      <c r="BY230" s="9">
        <f t="shared" ca="1" si="201"/>
        <v>-189.93724250363914</v>
      </c>
      <c r="BZ230">
        <f t="shared" ca="1" si="223"/>
        <v>344.33858598106082</v>
      </c>
      <c r="CA230" s="6">
        <f t="shared" ca="1" si="224"/>
        <v>-0.83410861917087875</v>
      </c>
      <c r="CB230" s="6">
        <f t="shared" ca="1" si="225"/>
        <v>-0.55160022790500163</v>
      </c>
      <c r="CC230" s="6">
        <f t="shared" ca="1" si="226"/>
        <v>-2.5573111413716441</v>
      </c>
      <c r="CD230" s="6">
        <f t="shared" ca="1" si="220"/>
        <v>-2.2069330642455975</v>
      </c>
      <c r="CE230" s="9">
        <f t="shared" ca="1" si="221"/>
        <v>-261.91574061555957</v>
      </c>
      <c r="CF230" s="9">
        <f t="shared" ca="1" si="222"/>
        <v>-117.6376192828432</v>
      </c>
      <c r="CG230">
        <f t="shared" ca="1" si="227"/>
        <v>287.1209930547264</v>
      </c>
      <c r="CH230">
        <f t="shared" ca="1" si="228"/>
        <v>-0.91221382953923325</v>
      </c>
      <c r="CI230">
        <f t="shared" ca="1" si="229"/>
        <v>-0.40971444836296245</v>
      </c>
      <c r="CJ230">
        <f t="shared" ca="1" si="230"/>
        <v>-2.7194516448878359</v>
      </c>
      <c r="CK230" s="39">
        <f t="shared" ca="1" si="231"/>
        <v>-3.1423055710207768</v>
      </c>
    </row>
    <row r="231" spans="55:89" x14ac:dyDescent="0.25">
      <c r="BC231">
        <v>3.9968039870669942</v>
      </c>
      <c r="BD231">
        <v>-248.54001129932624</v>
      </c>
      <c r="BE231">
        <v>-131.5371755110136</v>
      </c>
      <c r="BF231" s="6">
        <f t="shared" si="216"/>
        <v>3.6283572734554417</v>
      </c>
      <c r="BG231" s="6">
        <f t="shared" si="217"/>
        <v>0.36844671361155257</v>
      </c>
      <c r="BH231" s="6">
        <f t="shared" si="218"/>
        <v>3.0776819598570855</v>
      </c>
      <c r="BI231" s="6">
        <f t="shared" si="219"/>
        <v>3.0776819598570855</v>
      </c>
      <c r="BV231" s="39"/>
      <c r="BW231" s="6">
        <f t="shared" si="199"/>
        <v>3.769911184307734</v>
      </c>
      <c r="BX231" s="9">
        <f t="shared" ca="1" si="200"/>
        <v>-286.37243785592307</v>
      </c>
      <c r="BY231" s="9">
        <f t="shared" ca="1" si="201"/>
        <v>-191.04947873814476</v>
      </c>
      <c r="BZ231">
        <f t="shared" ca="1" si="223"/>
        <v>344.25147274871802</v>
      </c>
      <c r="CA231" s="6">
        <f t="shared" ca="1" si="224"/>
        <v>-0.83186989897050345</v>
      </c>
      <c r="CB231" s="6">
        <f t="shared" ca="1" si="225"/>
        <v>-0.55497069398915511</v>
      </c>
      <c r="CC231" s="6">
        <f t="shared" ca="1" si="226"/>
        <v>-2.553264916946743</v>
      </c>
      <c r="CD231" s="6">
        <f t="shared" ca="1" si="220"/>
        <v>-2.202886839820696</v>
      </c>
      <c r="CE231" s="9">
        <f t="shared" ca="1" si="221"/>
        <v>-261.07239599156708</v>
      </c>
      <c r="CF231" s="9">
        <f t="shared" ca="1" si="222"/>
        <v>-118.74985551734882</v>
      </c>
      <c r="CG231">
        <f t="shared" ca="1" si="227"/>
        <v>286.81060673233276</v>
      </c>
      <c r="CH231">
        <f t="shared" ca="1" si="228"/>
        <v>-0.91026060355994443</v>
      </c>
      <c r="CI231">
        <f t="shared" ca="1" si="229"/>
        <v>-0.41403578783323253</v>
      </c>
      <c r="CJ231">
        <f t="shared" ca="1" si="230"/>
        <v>-2.7147093765814114</v>
      </c>
      <c r="CK231" s="39">
        <f t="shared" ca="1" si="231"/>
        <v>-3.1375633027143524</v>
      </c>
    </row>
    <row r="232" spans="55:89" x14ac:dyDescent="0.25">
      <c r="BC232">
        <v>4.0142572795869373</v>
      </c>
      <c r="BD232">
        <v>-247.39417479528572</v>
      </c>
      <c r="BE232">
        <v>-132.45565236028062</v>
      </c>
      <c r="BF232" s="6">
        <f t="shared" si="216"/>
        <v>3.6331601438243211</v>
      </c>
      <c r="BG232" s="6">
        <f t="shared" si="217"/>
        <v>0.38109713576261628</v>
      </c>
      <c r="BH232" s="6">
        <f t="shared" si="218"/>
        <v>3.0728790894882057</v>
      </c>
      <c r="BI232" s="6">
        <f t="shared" si="219"/>
        <v>3.0728790894882057</v>
      </c>
      <c r="BV232" s="39"/>
      <c r="BW232" s="6">
        <f t="shared" si="199"/>
        <v>3.7873644768276771</v>
      </c>
      <c r="BX232" s="9">
        <f t="shared" ca="1" si="200"/>
        <v>-285.5175561603985</v>
      </c>
      <c r="BY232" s="9">
        <f t="shared" ca="1" si="201"/>
        <v>-192.13464944232385</v>
      </c>
      <c r="BZ232">
        <f t="shared" ca="1" si="223"/>
        <v>344.14531580733592</v>
      </c>
      <c r="CA232" s="6">
        <f t="shared" ca="1" si="224"/>
        <v>-0.82964243023502549</v>
      </c>
      <c r="CB232" s="6">
        <f t="shared" ca="1" si="225"/>
        <v>-0.55829511725763914</v>
      </c>
      <c r="CC232" s="6">
        <f t="shared" ca="1" si="226"/>
        <v>-2.5492632387481975</v>
      </c>
      <c r="CD232" s="6">
        <f t="shared" ca="1" si="220"/>
        <v>-2.198885161622151</v>
      </c>
      <c r="CE232" s="9">
        <f t="shared" ca="1" si="221"/>
        <v>-260.21751429604251</v>
      </c>
      <c r="CF232" s="9">
        <f t="shared" ca="1" si="222"/>
        <v>-119.83502622152791</v>
      </c>
      <c r="CG232">
        <f t="shared" ca="1" si="227"/>
        <v>286.48488311938098</v>
      </c>
      <c r="CH232">
        <f t="shared" ca="1" si="228"/>
        <v>-0.90831150133533356</v>
      </c>
      <c r="CI232">
        <f t="shared" ca="1" si="229"/>
        <v>-0.4182944137111469</v>
      </c>
      <c r="CJ232">
        <f t="shared" ca="1" si="230"/>
        <v>-2.7100259020223789</v>
      </c>
      <c r="CK232" s="39">
        <f t="shared" ca="1" si="231"/>
        <v>-3.1328798281553194</v>
      </c>
    </row>
    <row r="233" spans="55:89" x14ac:dyDescent="0.25">
      <c r="BC233">
        <v>4.0317105721068804</v>
      </c>
      <c r="BD233">
        <v>-246.21082715674004</v>
      </c>
      <c r="BE233">
        <v>-133.37252166850064</v>
      </c>
      <c r="BF233" s="6">
        <f t="shared" si="216"/>
        <v>3.6380415445782517</v>
      </c>
      <c r="BG233" s="6">
        <f t="shared" si="217"/>
        <v>0.39366902752862876</v>
      </c>
      <c r="BH233" s="6">
        <f t="shared" si="218"/>
        <v>3.067997688734275</v>
      </c>
      <c r="BI233" s="6">
        <f t="shared" si="219"/>
        <v>3.067997688734275</v>
      </c>
      <c r="BV233" s="39"/>
      <c r="BW233" s="6">
        <f t="shared" si="199"/>
        <v>3.8048177693476202</v>
      </c>
      <c r="BX233" s="9">
        <f t="shared" ca="1" si="200"/>
        <v>-284.64990451933505</v>
      </c>
      <c r="BY233" s="9">
        <f t="shared" ca="1" si="201"/>
        <v>-193.19535885484211</v>
      </c>
      <c r="BZ233">
        <f t="shared" ca="1" si="223"/>
        <v>344.02036978341528</v>
      </c>
      <c r="CA233" s="6">
        <f t="shared" ca="1" si="224"/>
        <v>-0.82742165732378559</v>
      </c>
      <c r="CB233" s="6">
        <f t="shared" ca="1" si="225"/>
        <v>-0.56158116153549864</v>
      </c>
      <c r="CC233" s="6">
        <f t="shared" ca="1" si="226"/>
        <v>-2.5452971399170297</v>
      </c>
      <c r="CD233" s="6">
        <f t="shared" ca="1" si="220"/>
        <v>-2.1949190627909827</v>
      </c>
      <c r="CE233" s="9">
        <f t="shared" ca="1" si="221"/>
        <v>-259.34986265497906</v>
      </c>
      <c r="CF233" s="9">
        <f t="shared" ca="1" si="222"/>
        <v>-120.89573563404618</v>
      </c>
      <c r="CG233">
        <f t="shared" ca="1" si="227"/>
        <v>286.14354816010388</v>
      </c>
      <c r="CH233">
        <f t="shared" ca="1" si="228"/>
        <v>-0.90636278302478746</v>
      </c>
      <c r="CI233">
        <f t="shared" ca="1" si="229"/>
        <v>-0.42250030242304204</v>
      </c>
      <c r="CJ233">
        <f t="shared" ca="1" si="230"/>
        <v>-2.7053904903486341</v>
      </c>
      <c r="CK233" s="39">
        <f t="shared" ca="1" si="231"/>
        <v>-3.128244416481575</v>
      </c>
    </row>
    <row r="234" spans="55:89" x14ac:dyDescent="0.25">
      <c r="BC234">
        <v>4.0491638646268235</v>
      </c>
      <c r="BD234">
        <v>-244.98682800047368</v>
      </c>
      <c r="BE234">
        <v>-134.2892259622958</v>
      </c>
      <c r="BF234" s="6">
        <f t="shared" si="216"/>
        <v>3.643013455984708</v>
      </c>
      <c r="BG234" s="6">
        <f t="shared" si="217"/>
        <v>0.40615040864211549</v>
      </c>
      <c r="BH234" s="6">
        <f t="shared" si="218"/>
        <v>3.0630257773278187</v>
      </c>
      <c r="BI234" s="6">
        <f t="shared" si="219"/>
        <v>3.0630257773278187</v>
      </c>
      <c r="BV234" s="39"/>
      <c r="BW234" s="6">
        <f t="shared" si="199"/>
        <v>3.8222710618675633</v>
      </c>
      <c r="BX234" s="9">
        <f t="shared" ca="1" si="200"/>
        <v>-283.76819976476327</v>
      </c>
      <c r="BY234" s="9">
        <f t="shared" ca="1" si="201"/>
        <v>-194.23400858917114</v>
      </c>
      <c r="BZ234">
        <f t="shared" ca="1" si="223"/>
        <v>343.87678213329963</v>
      </c>
      <c r="CA234" s="6">
        <f t="shared" ca="1" si="224"/>
        <v>-0.8252031381832694</v>
      </c>
      <c r="CB234" s="6">
        <f t="shared" ca="1" si="225"/>
        <v>-0.5648360653609894</v>
      </c>
      <c r="CC234" s="6">
        <f t="shared" ca="1" si="226"/>
        <v>-2.5413580732569128</v>
      </c>
      <c r="CD234" s="6">
        <f t="shared" ca="1" si="220"/>
        <v>-2.1909799961308662</v>
      </c>
      <c r="CE234" s="9">
        <f t="shared" ca="1" si="221"/>
        <v>-258.46815790040728</v>
      </c>
      <c r="CF234" s="9">
        <f t="shared" ca="1" si="222"/>
        <v>-121.9343853683752</v>
      </c>
      <c r="CG234">
        <f t="shared" ca="1" si="227"/>
        <v>285.78625401441775</v>
      </c>
      <c r="CH234">
        <f t="shared" ca="1" si="228"/>
        <v>-0.90441074148852418</v>
      </c>
      <c r="CI234">
        <f t="shared" ca="1" si="229"/>
        <v>-0.42666287708233752</v>
      </c>
      <c r="CJ234">
        <f t="shared" ca="1" si="230"/>
        <v>-2.7007929332596556</v>
      </c>
      <c r="CK234" s="39">
        <f t="shared" ca="1" si="231"/>
        <v>-3.1236468593925961</v>
      </c>
    </row>
    <row r="235" spans="55:89" x14ac:dyDescent="0.25">
      <c r="BC235">
        <v>4.0666171571467666</v>
      </c>
      <c r="BD235">
        <v>-243.71873107148124</v>
      </c>
      <c r="BE235">
        <v>-135.20722192379395</v>
      </c>
      <c r="BF235" s="6">
        <f t="shared" si="216"/>
        <v>3.6480887342117105</v>
      </c>
      <c r="BG235" s="6">
        <f t="shared" si="217"/>
        <v>0.4185284229350561</v>
      </c>
      <c r="BH235" s="6">
        <f t="shared" si="218"/>
        <v>3.0579504991008166</v>
      </c>
      <c r="BI235" s="6">
        <f t="shared" si="219"/>
        <v>3.0579504991008166</v>
      </c>
      <c r="BV235" s="39"/>
      <c r="BW235" s="6">
        <f t="shared" ref="BW235:BW298" si="232">BC222</f>
        <v>3.8397243543875064</v>
      </c>
      <c r="BX235" s="9">
        <f t="shared" ref="BX235:BX298" ca="1" si="233">BD222-$BW$5</f>
        <v>-282.87109961920322</v>
      </c>
      <c r="BY235" s="9">
        <f t="shared" ref="BY235:BY298" ca="1" si="234">BE222-$BX$5</f>
        <v>-195.25282496213586</v>
      </c>
      <c r="BZ235">
        <f t="shared" ca="1" si="223"/>
        <v>343.71459767585031</v>
      </c>
      <c r="CA235" s="6">
        <f t="shared" ca="1" si="224"/>
        <v>-0.8229825021454944</v>
      </c>
      <c r="CB235" s="6">
        <f t="shared" ca="1" si="225"/>
        <v>-0.56806672245638667</v>
      </c>
      <c r="CC235" s="6">
        <f t="shared" ca="1" si="226"/>
        <v>-2.5374378195198979</v>
      </c>
      <c r="CD235" s="6">
        <f t="shared" ca="1" si="220"/>
        <v>-2.1870597423938509</v>
      </c>
      <c r="CE235" s="9">
        <f t="shared" ca="1" si="221"/>
        <v>-257.57105775484723</v>
      </c>
      <c r="CF235" s="9">
        <f t="shared" ca="1" si="222"/>
        <v>-122.95320174133992</v>
      </c>
      <c r="CG235">
        <f t="shared" ca="1" si="227"/>
        <v>285.41257787875691</v>
      </c>
      <c r="CH235">
        <f t="shared" ca="1" si="228"/>
        <v>-0.90245167073282684</v>
      </c>
      <c r="CI235">
        <f t="shared" ca="1" si="229"/>
        <v>-0.43079111178334395</v>
      </c>
      <c r="CJ235">
        <f t="shared" ca="1" si="230"/>
        <v>-2.6962234347855669</v>
      </c>
      <c r="CK235" s="39">
        <f t="shared" ca="1" si="231"/>
        <v>-3.1190773609185074</v>
      </c>
    </row>
    <row r="236" spans="55:89" x14ac:dyDescent="0.25">
      <c r="BC236">
        <v>4.0840704496667097</v>
      </c>
      <c r="BD236">
        <v>-242.40274200050604</v>
      </c>
      <c r="BE236">
        <v>-136.12799199881297</v>
      </c>
      <c r="BF236" s="6">
        <f t="shared" si="216"/>
        <v>3.6532812736345495</v>
      </c>
      <c r="BG236" s="6">
        <f t="shared" si="217"/>
        <v>0.43078917603216027</v>
      </c>
      <c r="BH236" s="6">
        <f t="shared" si="218"/>
        <v>3.0527579596779777</v>
      </c>
      <c r="BI236" s="6">
        <f t="shared" si="219"/>
        <v>3.0527579596779777</v>
      </c>
      <c r="BV236" s="39"/>
      <c r="BW236" s="6">
        <f t="shared" si="232"/>
        <v>3.8571776469074495</v>
      </c>
      <c r="BX236" s="9">
        <f t="shared" ca="1" si="233"/>
        <v>-281.95719330917461</v>
      </c>
      <c r="BY236" s="9">
        <f t="shared" ca="1" si="234"/>
        <v>-196.2538828549157</v>
      </c>
      <c r="BZ236">
        <f t="shared" ca="1" si="223"/>
        <v>343.53376165148342</v>
      </c>
      <c r="CA236" s="6">
        <f t="shared" ca="1" si="224"/>
        <v>-0.82075540975568362</v>
      </c>
      <c r="CB236" s="6">
        <f t="shared" ca="1" si="225"/>
        <v>-0.57127975402317566</v>
      </c>
      <c r="CC236" s="6">
        <f t="shared" ca="1" si="226"/>
        <v>-2.5335284037288295</v>
      </c>
      <c r="CD236" s="6">
        <f t="shared" ca="1" si="220"/>
        <v>-2.1831503266027825</v>
      </c>
      <c r="CE236" s="9">
        <f t="shared" ca="1" si="221"/>
        <v>-256.65715144481862</v>
      </c>
      <c r="CF236" s="9">
        <f t="shared" ca="1" si="222"/>
        <v>-123.95425963411977</v>
      </c>
      <c r="CG236">
        <f t="shared" ca="1" si="227"/>
        <v>285.02201997251257</v>
      </c>
      <c r="CH236">
        <f t="shared" ca="1" si="228"/>
        <v>-0.9004818345949922</v>
      </c>
      <c r="CI236">
        <f t="shared" ca="1" si="229"/>
        <v>-0.43489362557346928</v>
      </c>
      <c r="CJ236">
        <f t="shared" ca="1" si="230"/>
        <v>-2.6916725107526687</v>
      </c>
      <c r="CK236" s="39">
        <f t="shared" ca="1" si="231"/>
        <v>-3.1145264368856092</v>
      </c>
    </row>
    <row r="237" spans="55:89" x14ac:dyDescent="0.25">
      <c r="BC237">
        <v>4.1015237421866528</v>
      </c>
      <c r="BD237">
        <v>-241.03466912051863</v>
      </c>
      <c r="BE237">
        <v>-137.05305666308772</v>
      </c>
      <c r="BF237" s="6">
        <f t="shared" si="216"/>
        <v>3.6586061940183052</v>
      </c>
      <c r="BG237" s="6">
        <f t="shared" si="217"/>
        <v>0.44291754816834761</v>
      </c>
      <c r="BH237" s="6">
        <f t="shared" si="218"/>
        <v>3.0474330392942219</v>
      </c>
      <c r="BI237" s="6">
        <f t="shared" si="219"/>
        <v>3.0474330392942219</v>
      </c>
      <c r="BV237" s="39"/>
      <c r="BW237" s="6">
        <f t="shared" si="232"/>
        <v>3.8746309394273926</v>
      </c>
      <c r="BX237" s="9">
        <f t="shared" ca="1" si="233"/>
        <v>-281.02499146460968</v>
      </c>
      <c r="BY237" s="9">
        <f t="shared" ca="1" si="234"/>
        <v>-197.23912670864405</v>
      </c>
      <c r="BZ237">
        <f t="shared" ca="1" si="223"/>
        <v>343.33412142179009</v>
      </c>
      <c r="CA237" s="6">
        <f t="shared" ca="1" si="224"/>
        <v>-0.81851751378758864</v>
      </c>
      <c r="CB237" s="6">
        <f t="shared" ca="1" si="225"/>
        <v>-0.57448157465926153</v>
      </c>
      <c r="CC237" s="6">
        <f t="shared" ca="1" si="226"/>
        <v>-2.5296220175273727</v>
      </c>
      <c r="CD237" s="6">
        <f t="shared" ca="1" si="220"/>
        <v>-2.1792439404013262</v>
      </c>
      <c r="CE237" s="9">
        <f t="shared" ca="1" si="221"/>
        <v>-255.72494960025369</v>
      </c>
      <c r="CF237" s="9">
        <f t="shared" ca="1" si="222"/>
        <v>-124.93950348784811</v>
      </c>
      <c r="CG237">
        <f t="shared" ca="1" si="227"/>
        <v>284.61400067432083</v>
      </c>
      <c r="CH237">
        <f t="shared" ca="1" si="228"/>
        <v>-0.89849743510290481</v>
      </c>
      <c r="CI237">
        <f t="shared" ca="1" si="229"/>
        <v>-0.43897876840856592</v>
      </c>
      <c r="CJ237">
        <f t="shared" ca="1" si="230"/>
        <v>-2.6871308955354918</v>
      </c>
      <c r="CK237" s="39">
        <f t="shared" ca="1" si="231"/>
        <v>-3.1099848216684327</v>
      </c>
    </row>
    <row r="238" spans="55:89" x14ac:dyDescent="0.25">
      <c r="BC238">
        <v>4.1189770347065959</v>
      </c>
      <c r="BD238">
        <v>-239.60986594908729</v>
      </c>
      <c r="BE238">
        <v>-137.98398760234437</v>
      </c>
      <c r="BF238" s="6">
        <f t="shared" si="216"/>
        <v>3.6640800584134734</v>
      </c>
      <c r="BG238" s="6">
        <f t="shared" si="217"/>
        <v>0.45489697629312253</v>
      </c>
      <c r="BH238" s="6">
        <f t="shared" si="218"/>
        <v>3.0419591748990538</v>
      </c>
      <c r="BI238" s="6">
        <f t="shared" si="219"/>
        <v>3.0419591748990538</v>
      </c>
      <c r="BV238" s="39"/>
      <c r="BW238" s="6">
        <f t="shared" si="232"/>
        <v>3.8920842319473357</v>
      </c>
      <c r="BX238" s="9">
        <f t="shared" ca="1" si="233"/>
        <v>-280.07291514024394</v>
      </c>
      <c r="BY238" s="9">
        <f t="shared" ca="1" si="234"/>
        <v>-198.21038915460974</v>
      </c>
      <c r="BZ238">
        <f t="shared" ca="1" si="223"/>
        <v>343.11542688135739</v>
      </c>
      <c r="CA238" s="6">
        <f t="shared" ca="1" si="224"/>
        <v>-0.81626442065249272</v>
      </c>
      <c r="CB238" s="6">
        <f t="shared" ca="1" si="225"/>
        <v>-0.57767845344694169</v>
      </c>
      <c r="CC238" s="6">
        <f t="shared" ca="1" si="226"/>
        <v>-2.5257109457871643</v>
      </c>
      <c r="CD238" s="6">
        <f t="shared" ca="1" si="220"/>
        <v>-2.1753328686611173</v>
      </c>
      <c r="CE238" s="9">
        <f t="shared" ca="1" si="221"/>
        <v>-254.77287327588795</v>
      </c>
      <c r="CF238" s="9">
        <f t="shared" ca="1" si="222"/>
        <v>-125.91076593381381</v>
      </c>
      <c r="CG238">
        <f t="shared" ca="1" si="227"/>
        <v>284.18785676958703</v>
      </c>
      <c r="CH238">
        <f t="shared" ca="1" si="228"/>
        <v>-0.89649457993010562</v>
      </c>
      <c r="CI238">
        <f t="shared" ca="1" si="229"/>
        <v>-0.44305470108773631</v>
      </c>
      <c r="CJ238">
        <f t="shared" ca="1" si="230"/>
        <v>-2.6825894539695931</v>
      </c>
      <c r="CK238" s="39">
        <f t="shared" ca="1" si="231"/>
        <v>-3.1054433801025336</v>
      </c>
    </row>
    <row r="239" spans="55:89" x14ac:dyDescent="0.25">
      <c r="BC239">
        <v>4.136430327226539</v>
      </c>
      <c r="BD239">
        <v>-238.12316360221621</v>
      </c>
      <c r="BE239">
        <v>-138.92242209767784</v>
      </c>
      <c r="BF239" s="6">
        <f t="shared" si="216"/>
        <v>3.6697211290325003</v>
      </c>
      <c r="BG239" s="6">
        <f t="shared" si="217"/>
        <v>0.46670919819403878</v>
      </c>
      <c r="BH239" s="6">
        <f t="shared" si="218"/>
        <v>3.0363181042800269</v>
      </c>
      <c r="BI239" s="6">
        <f t="shared" si="219"/>
        <v>3.0363181042800269</v>
      </c>
      <c r="BV239" s="39"/>
      <c r="BW239" s="6">
        <f t="shared" si="232"/>
        <v>3.9095375244672788</v>
      </c>
      <c r="BX239" s="9">
        <f t="shared" ca="1" si="233"/>
        <v>-279.09928376467076</v>
      </c>
      <c r="BY239" s="9">
        <f t="shared" ca="1" si="234"/>
        <v>-199.16940769715961</v>
      </c>
      <c r="BZ239">
        <f t="shared" ca="1" si="223"/>
        <v>342.87732960986148</v>
      </c>
      <c r="CA239" s="6">
        <f t="shared" ca="1" si="224"/>
        <v>-0.81399165142309138</v>
      </c>
      <c r="CB239" s="6">
        <f t="shared" ca="1" si="225"/>
        <v>-0.58087657158255968</v>
      </c>
      <c r="CC239" s="6">
        <f t="shared" ca="1" si="226"/>
        <v>-2.5217874958606306</v>
      </c>
      <c r="CD239" s="6">
        <f t="shared" ca="1" si="220"/>
        <v>-2.1714094187345836</v>
      </c>
      <c r="CE239" s="9">
        <f t="shared" ca="1" si="221"/>
        <v>-253.79924190031477</v>
      </c>
      <c r="CF239" s="9">
        <f t="shared" ca="1" si="222"/>
        <v>-126.86978447636368</v>
      </c>
      <c r="CG239">
        <f t="shared" ca="1" si="227"/>
        <v>283.7428367417466</v>
      </c>
      <c r="CH239">
        <f t="shared" ca="1" si="228"/>
        <v>-0.89446924833318164</v>
      </c>
      <c r="CI239">
        <f t="shared" ca="1" si="229"/>
        <v>-0.44712947094356564</v>
      </c>
      <c r="CJ239">
        <f t="shared" ca="1" si="230"/>
        <v>-2.6780390964910206</v>
      </c>
      <c r="CK239" s="39">
        <f t="shared" ca="1" si="231"/>
        <v>-3.1008930226239615</v>
      </c>
    </row>
    <row r="240" spans="55:89" x14ac:dyDescent="0.25">
      <c r="BC240">
        <v>4.1538836197464821</v>
      </c>
      <c r="BD240">
        <v>-236.56879095473442</v>
      </c>
      <c r="BE240">
        <v>-139.87007894994821</v>
      </c>
      <c r="BF240" s="6">
        <f t="shared" si="216"/>
        <v>3.6755496702522805</v>
      </c>
      <c r="BG240" s="6">
        <f t="shared" si="217"/>
        <v>0.4783339494942016</v>
      </c>
      <c r="BH240" s="6">
        <f t="shared" si="218"/>
        <v>3.0304895630602466</v>
      </c>
      <c r="BI240" s="6">
        <f t="shared" si="219"/>
        <v>3.0304895630602466</v>
      </c>
      <c r="BV240" s="39"/>
      <c r="BW240" s="6">
        <f t="shared" si="232"/>
        <v>3.9269908169872219</v>
      </c>
      <c r="BX240" s="9">
        <f t="shared" ca="1" si="233"/>
        <v>-278.10230182757516</v>
      </c>
      <c r="BY240" s="9">
        <f t="shared" ca="1" si="234"/>
        <v>-200.11783980633871</v>
      </c>
      <c r="BZ240">
        <f t="shared" ca="1" si="223"/>
        <v>342.61938078653861</v>
      </c>
      <c r="CA240" s="6">
        <f t="shared" ca="1" si="224"/>
        <v>-0.81169460171560059</v>
      </c>
      <c r="CB240" s="6">
        <f t="shared" ca="1" si="225"/>
        <v>-0.58408207774742804</v>
      </c>
      <c r="CC240" s="6">
        <f t="shared" ca="1" si="226"/>
        <v>-2.5178439280234595</v>
      </c>
      <c r="CD240" s="6">
        <f t="shared" ca="1" si="220"/>
        <v>-2.1674658508974129</v>
      </c>
      <c r="CE240" s="9">
        <f t="shared" ca="1" si="221"/>
        <v>-252.80225996321917</v>
      </c>
      <c r="CF240" s="9">
        <f t="shared" ca="1" si="222"/>
        <v>-127.81821658554277</v>
      </c>
      <c r="CG240">
        <f t="shared" ca="1" si="227"/>
        <v>283.27809504728702</v>
      </c>
      <c r="CH240">
        <f t="shared" ca="1" si="228"/>
        <v>-0.89241725492759827</v>
      </c>
      <c r="CI240">
        <f t="shared" ca="1" si="229"/>
        <v>-0.45121108486770339</v>
      </c>
      <c r="CJ240">
        <f t="shared" ca="1" si="230"/>
        <v>-2.6734706957358711</v>
      </c>
      <c r="CK240" s="39">
        <f t="shared" ca="1" si="231"/>
        <v>-3.0963246218688116</v>
      </c>
    </row>
    <row r="241" spans="55:89" x14ac:dyDescent="0.25">
      <c r="BC241">
        <v>4.1713369122664252</v>
      </c>
      <c r="BD241">
        <v>-234.94027987120856</v>
      </c>
      <c r="BE241">
        <v>-140.8287763551125</v>
      </c>
      <c r="BF241" s="6">
        <f t="shared" si="216"/>
        <v>3.6815883102598539</v>
      </c>
      <c r="BG241" s="6">
        <f t="shared" si="217"/>
        <v>0.48974860200657133</v>
      </c>
      <c r="BH241" s="6">
        <f t="shared" si="218"/>
        <v>3.0244509230526733</v>
      </c>
      <c r="BI241" s="6">
        <f t="shared" si="219"/>
        <v>3.0244509230526733</v>
      </c>
      <c r="BV241" s="39"/>
      <c r="BW241" s="6">
        <f t="shared" si="232"/>
        <v>3.944444109507165</v>
      </c>
      <c r="BX241" s="9">
        <f t="shared" ca="1" si="233"/>
        <v>-277.08004406088315</v>
      </c>
      <c r="BY241" s="9">
        <f t="shared" ca="1" si="234"/>
        <v>-201.05727672558857</v>
      </c>
      <c r="BZ241">
        <f t="shared" ca="1" si="223"/>
        <v>342.34102783787228</v>
      </c>
      <c r="CA241" s="6">
        <f t="shared" ca="1" si="224"/>
        <v>-0.8093684996240188</v>
      </c>
      <c r="CB241" s="6">
        <f t="shared" ca="1" si="225"/>
        <v>-0.58730114235915176</v>
      </c>
      <c r="CC241" s="6">
        <f t="shared" ca="1" si="226"/>
        <v>-2.5138723856722329</v>
      </c>
      <c r="CD241" s="6">
        <f t="shared" ca="1" si="220"/>
        <v>-2.163494308546186</v>
      </c>
      <c r="CE241" s="9">
        <f t="shared" ca="1" si="221"/>
        <v>-251.78000219652716</v>
      </c>
      <c r="CF241" s="9">
        <f t="shared" ca="1" si="222"/>
        <v>-128.75765350479264</v>
      </c>
      <c r="CG241">
        <f t="shared" ca="1" si="227"/>
        <v>282.79268526986948</v>
      </c>
      <c r="CH241">
        <f t="shared" ca="1" si="228"/>
        <v>-0.89033421057639139</v>
      </c>
      <c r="CI241">
        <f t="shared" ca="1" si="229"/>
        <v>-0.45530758117706976</v>
      </c>
      <c r="CJ241">
        <f t="shared" ca="1" si="230"/>
        <v>-2.6688750028659873</v>
      </c>
      <c r="CK241" s="39">
        <f t="shared" ca="1" si="231"/>
        <v>-3.0917289289989283</v>
      </c>
    </row>
    <row r="242" spans="55:89" x14ac:dyDescent="0.25">
      <c r="BC242">
        <v>4.1887902047863683</v>
      </c>
      <c r="BD242">
        <v>-233.23035206090313</v>
      </c>
      <c r="BE242">
        <v>-141.80045221082679</v>
      </c>
      <c r="BF242" s="6">
        <f t="shared" si="216"/>
        <v>3.6878624761291237</v>
      </c>
      <c r="BG242" s="6">
        <f t="shared" si="217"/>
        <v>0.50092772865724466</v>
      </c>
      <c r="BH242" s="6">
        <f t="shared" si="218"/>
        <v>3.0181767571834035</v>
      </c>
      <c r="BI242" s="6">
        <f t="shared" si="219"/>
        <v>3.0181767571834035</v>
      </c>
      <c r="BV242" s="39"/>
      <c r="BW242" s="6">
        <f t="shared" si="232"/>
        <v>3.9618974020271081</v>
      </c>
      <c r="BX242" s="9">
        <f t="shared" ca="1" si="233"/>
        <v>-276.03043884334363</v>
      </c>
      <c r="BY242" s="9">
        <f t="shared" ca="1" si="234"/>
        <v>-201.98925626202856</v>
      </c>
      <c r="BZ242">
        <f t="shared" ca="1" si="223"/>
        <v>342.04160976895241</v>
      </c>
      <c r="CA242" s="6">
        <f t="shared" ca="1" si="224"/>
        <v>-0.8070083608535259</v>
      </c>
      <c r="CB242" s="6">
        <f t="shared" ca="1" si="225"/>
        <v>-0.59054001177947735</v>
      </c>
      <c r="CC242" s="6">
        <f t="shared" ca="1" si="226"/>
        <v>-2.5098648238657222</v>
      </c>
      <c r="CD242" s="6">
        <f t="shared" ca="1" si="220"/>
        <v>-2.1594867467396757</v>
      </c>
      <c r="CE242" s="9">
        <f t="shared" ca="1" si="221"/>
        <v>-250.73039697898764</v>
      </c>
      <c r="CF242" s="9">
        <f t="shared" ca="1" si="222"/>
        <v>-129.68963304123264</v>
      </c>
      <c r="CG242">
        <f t="shared" ca="1" si="227"/>
        <v>282.28555203483285</v>
      </c>
      <c r="CH242">
        <f t="shared" ca="1" si="228"/>
        <v>-0.88821547957951663</v>
      </c>
      <c r="CI242">
        <f t="shared" ca="1" si="229"/>
        <v>-0.45942710176406582</v>
      </c>
      <c r="CJ242">
        <f t="shared" ca="1" si="230"/>
        <v>-2.6642425619025585</v>
      </c>
      <c r="CK242" s="39">
        <f t="shared" ca="1" si="231"/>
        <v>-3.087096488035499</v>
      </c>
    </row>
    <row r="243" spans="55:89" x14ac:dyDescent="0.25">
      <c r="BC243">
        <v>4.2062434973063114</v>
      </c>
      <c r="BD243">
        <v>-231.4307832390715</v>
      </c>
      <c r="BE243">
        <v>-142.78718745789132</v>
      </c>
      <c r="BF243" s="6">
        <f t="shared" si="216"/>
        <v>3.6944009213314684</v>
      </c>
      <c r="BG243" s="6">
        <f t="shared" si="217"/>
        <v>0.51184257597484306</v>
      </c>
      <c r="BH243" s="6">
        <f t="shared" si="218"/>
        <v>3.0116383119810584</v>
      </c>
      <c r="BI243" s="6">
        <f t="shared" si="219"/>
        <v>3.0116383119810584</v>
      </c>
      <c r="BV243" s="39"/>
      <c r="BW243" s="6">
        <f t="shared" si="232"/>
        <v>3.9793506945470511</v>
      </c>
      <c r="BX243" s="9">
        <f t="shared" ca="1" si="233"/>
        <v>-274.95124950374372</v>
      </c>
      <c r="BY243" s="9">
        <f t="shared" ca="1" si="234"/>
        <v>-202.91527479643037</v>
      </c>
      <c r="BZ243">
        <f t="shared" ca="1" si="223"/>
        <v>341.72035109045055</v>
      </c>
      <c r="CA243" s="6">
        <f t="shared" ca="1" si="224"/>
        <v>-0.80460894010660311</v>
      </c>
      <c r="CB243" s="6">
        <f t="shared" ca="1" si="225"/>
        <v>-0.59380506355244955</v>
      </c>
      <c r="CC243" s="6">
        <f t="shared" ca="1" si="226"/>
        <v>-2.5058129347429836</v>
      </c>
      <c r="CD243" s="6">
        <f t="shared" ca="1" si="220"/>
        <v>-2.1554348576169371</v>
      </c>
      <c r="CE243" s="9">
        <f t="shared" ca="1" si="221"/>
        <v>-249.65120763938774</v>
      </c>
      <c r="CF243" s="9">
        <f t="shared" ca="1" si="222"/>
        <v>-130.61565157563444</v>
      </c>
      <c r="CG243">
        <f t="shared" ca="1" si="227"/>
        <v>281.75552152944977</v>
      </c>
      <c r="CH243">
        <f t="shared" ca="1" si="228"/>
        <v>-0.88605613222487845</v>
      </c>
      <c r="CI243">
        <f t="shared" ca="1" si="229"/>
        <v>-0.46357796598489087</v>
      </c>
      <c r="CJ243">
        <f t="shared" ca="1" si="230"/>
        <v>-2.6595636202788802</v>
      </c>
      <c r="CK243" s="39">
        <f t="shared" ca="1" si="231"/>
        <v>-3.0824175464118211</v>
      </c>
    </row>
    <row r="244" spans="55:89" x14ac:dyDescent="0.25">
      <c r="BC244">
        <v>4.2236967898262545</v>
      </c>
      <c r="BD244">
        <v>-229.53223904047331</v>
      </c>
      <c r="BE244">
        <v>-143.79123319901908</v>
      </c>
      <c r="BF244" s="6">
        <f t="shared" si="216"/>
        <v>3.7012363704346325</v>
      </c>
      <c r="BG244" s="6">
        <f t="shared" si="217"/>
        <v>0.52246041939162202</v>
      </c>
      <c r="BH244" s="6">
        <f t="shared" si="218"/>
        <v>3.0048028628778942</v>
      </c>
      <c r="BI244" s="6">
        <f t="shared" si="219"/>
        <v>3.0048028628778942</v>
      </c>
      <c r="BV244" s="39"/>
      <c r="BW244" s="6">
        <f t="shared" si="232"/>
        <v>3.9968039870669942</v>
      </c>
      <c r="BX244" s="9">
        <f t="shared" ca="1" si="233"/>
        <v>-273.84005316368223</v>
      </c>
      <c r="BY244" s="9">
        <f t="shared" ca="1" si="234"/>
        <v>-203.83679873180955</v>
      </c>
      <c r="BZ244">
        <f t="shared" ca="1" si="223"/>
        <v>341.37635423959955</v>
      </c>
      <c r="CA244" s="6">
        <f t="shared" ca="1" si="224"/>
        <v>-0.80216467767267774</v>
      </c>
      <c r="CB244" s="6">
        <f t="shared" ca="1" si="225"/>
        <v>-0.59710286374651467</v>
      </c>
      <c r="CC244" s="6">
        <f t="shared" ca="1" si="226"/>
        <v>-2.501708068286463</v>
      </c>
      <c r="CD244" s="6">
        <f t="shared" ca="1" si="220"/>
        <v>-2.1513299911604165</v>
      </c>
      <c r="CE244" s="9">
        <f t="shared" ca="1" si="221"/>
        <v>-248.54001129932624</v>
      </c>
      <c r="CF244" s="9">
        <f t="shared" ca="1" si="222"/>
        <v>-131.53717551101363</v>
      </c>
      <c r="CG244">
        <f t="shared" ca="1" si="227"/>
        <v>281.20129046304965</v>
      </c>
      <c r="CH244">
        <f t="shared" ca="1" si="228"/>
        <v>-0.88385089161596453</v>
      </c>
      <c r="CI244">
        <f t="shared" ca="1" si="229"/>
        <v>-0.46776874776930605</v>
      </c>
      <c r="CJ244">
        <f t="shared" ca="1" si="230"/>
        <v>-2.6548280337241446</v>
      </c>
      <c r="CK244" s="39">
        <f t="shared" ca="1" si="231"/>
        <v>-3.0776819598570855</v>
      </c>
    </row>
    <row r="245" spans="55:89" x14ac:dyDescent="0.25">
      <c r="BC245">
        <v>4.2411500823461976</v>
      </c>
      <c r="BD245">
        <v>-227.52407550466796</v>
      </c>
      <c r="BE245">
        <v>-144.81504252129162</v>
      </c>
      <c r="BF245" s="6">
        <f t="shared" si="216"/>
        <v>3.7084063135200314</v>
      </c>
      <c r="BG245" s="6">
        <f t="shared" si="217"/>
        <v>0.53274376882616625</v>
      </c>
      <c r="BH245" s="6">
        <f t="shared" si="218"/>
        <v>2.9976329197924958</v>
      </c>
      <c r="BI245" s="6">
        <f t="shared" si="219"/>
        <v>2.9976329197924958</v>
      </c>
      <c r="BV245" s="39"/>
      <c r="BW245" s="6">
        <f t="shared" si="232"/>
        <v>4.0142572795869373</v>
      </c>
      <c r="BX245" s="9">
        <f t="shared" ca="1" si="233"/>
        <v>-272.69421665964171</v>
      </c>
      <c r="BY245" s="9">
        <f t="shared" ca="1" si="234"/>
        <v>-204.75527558107655</v>
      </c>
      <c r="BZ245">
        <f t="shared" ca="1" si="223"/>
        <v>341.00859032859893</v>
      </c>
      <c r="CA245" s="6">
        <f t="shared" ca="1" si="224"/>
        <v>-0.79966963998435092</v>
      </c>
      <c r="CB245" s="6">
        <f t="shared" ca="1" si="225"/>
        <v>-0.60044022757248583</v>
      </c>
      <c r="CC245" s="6">
        <f t="shared" ca="1" si="226"/>
        <v>-2.4975411467013413</v>
      </c>
      <c r="CD245" s="6">
        <f t="shared" ca="1" si="220"/>
        <v>-2.1471630695752948</v>
      </c>
      <c r="CE245" s="9">
        <f t="shared" ca="1" si="221"/>
        <v>-247.39417479528572</v>
      </c>
      <c r="CF245" s="9">
        <f t="shared" ca="1" si="222"/>
        <v>-132.45565236028062</v>
      </c>
      <c r="CG245">
        <f t="shared" ca="1" si="227"/>
        <v>280.6214132328962</v>
      </c>
      <c r="CH245">
        <f t="shared" ca="1" si="228"/>
        <v>-0.88159407347138474</v>
      </c>
      <c r="CI245">
        <f t="shared" ca="1" si="229"/>
        <v>-0.47200835757445092</v>
      </c>
      <c r="CJ245">
        <f t="shared" ca="1" si="230"/>
        <v>-2.6500251633552652</v>
      </c>
      <c r="CK245" s="39">
        <f t="shared" ca="1" si="231"/>
        <v>-3.0728790894882057</v>
      </c>
    </row>
    <row r="246" spans="55:89" x14ac:dyDescent="0.25">
      <c r="BC246">
        <v>4.2586033748661407</v>
      </c>
      <c r="BD246">
        <v>-225.39409483496934</v>
      </c>
      <c r="BE246">
        <v>-145.86130821288305</v>
      </c>
      <c r="BF246" s="6">
        <f t="shared" si="216"/>
        <v>3.7159539934409471</v>
      </c>
      <c r="BG246" s="6">
        <f t="shared" si="217"/>
        <v>0.54264938142519359</v>
      </c>
      <c r="BH246" s="6">
        <f t="shared" si="218"/>
        <v>2.99008523987158</v>
      </c>
      <c r="BI246" s="6">
        <f t="shared" si="219"/>
        <v>2.99008523987158</v>
      </c>
      <c r="BV246" s="39"/>
      <c r="BW246" s="6">
        <f t="shared" si="232"/>
        <v>4.0317105721068804</v>
      </c>
      <c r="BX246" s="9">
        <f t="shared" ca="1" si="233"/>
        <v>-271.51086902109603</v>
      </c>
      <c r="BY246" s="9">
        <f t="shared" ca="1" si="234"/>
        <v>-205.67214488929659</v>
      </c>
      <c r="BZ246">
        <f t="shared" ca="1" si="223"/>
        <v>340.61588803218586</v>
      </c>
      <c r="CA246" s="6">
        <f t="shared" ca="1" si="224"/>
        <v>-0.79711745271095547</v>
      </c>
      <c r="CB246" s="6">
        <f t="shared" ca="1" si="225"/>
        <v>-0.60382428452621673</v>
      </c>
      <c r="CC246" s="6">
        <f t="shared" ca="1" si="226"/>
        <v>-2.4933025704968541</v>
      </c>
      <c r="CD246" s="6">
        <f t="shared" ca="1" si="220"/>
        <v>-2.1429244933708071</v>
      </c>
      <c r="CE246" s="9">
        <f t="shared" ca="1" si="221"/>
        <v>-246.21082715674004</v>
      </c>
      <c r="CF246" s="9">
        <f t="shared" ca="1" si="222"/>
        <v>-133.37252166850067</v>
      </c>
      <c r="CG246">
        <f t="shared" ca="1" si="227"/>
        <v>280.01428703803811</v>
      </c>
      <c r="CH246">
        <f t="shared" ca="1" si="228"/>
        <v>-0.87927951734581999</v>
      </c>
      <c r="CI246">
        <f t="shared" ca="1" si="229"/>
        <v>-0.47630613094532165</v>
      </c>
      <c r="CJ246">
        <f t="shared" ca="1" si="230"/>
        <v>-2.6451437626013345</v>
      </c>
      <c r="CK246" s="39">
        <f t="shared" ca="1" si="231"/>
        <v>-3.067997688734275</v>
      </c>
    </row>
    <row r="247" spans="55:89" x14ac:dyDescent="0.25">
      <c r="BC247">
        <v>4.2760566673860838</v>
      </c>
      <c r="BD247">
        <v>-223.1282441536984</v>
      </c>
      <c r="BE247">
        <v>-146.93300788002421</v>
      </c>
      <c r="BF247" s="6">
        <f t="shared" si="216"/>
        <v>3.7239296438129923</v>
      </c>
      <c r="BG247" s="6">
        <f t="shared" si="217"/>
        <v>0.55212702357309151</v>
      </c>
      <c r="BH247" s="6">
        <f t="shared" si="218"/>
        <v>2.9821095894995349</v>
      </c>
      <c r="BI247" s="6">
        <f t="shared" si="219"/>
        <v>2.9821095894995349</v>
      </c>
      <c r="BV247" s="39"/>
      <c r="BW247" s="6">
        <f t="shared" si="232"/>
        <v>4.0491638646268235</v>
      </c>
      <c r="BX247" s="9">
        <f t="shared" ca="1" si="233"/>
        <v>-270.28686986482967</v>
      </c>
      <c r="BY247" s="9">
        <f t="shared" ca="1" si="234"/>
        <v>-206.58884918309172</v>
      </c>
      <c r="BZ247">
        <f t="shared" ca="1" si="223"/>
        <v>340.19692036836784</v>
      </c>
      <c r="CA247" s="6">
        <f t="shared" ca="1" si="224"/>
        <v>-0.79450122467940321</v>
      </c>
      <c r="CB247" s="6">
        <f t="shared" ca="1" si="225"/>
        <v>-0.60726254946516189</v>
      </c>
      <c r="CC247" s="6">
        <f t="shared" ca="1" si="226"/>
        <v>-2.4889821140464923</v>
      </c>
      <c r="CD247" s="6">
        <f t="shared" ca="1" si="220"/>
        <v>-2.1386040369204453</v>
      </c>
      <c r="CE247" s="9">
        <f t="shared" ca="1" si="221"/>
        <v>-244.98682800047368</v>
      </c>
      <c r="CF247" s="9">
        <f t="shared" ca="1" si="222"/>
        <v>-134.2892259622958</v>
      </c>
      <c r="CG247">
        <f t="shared" ca="1" si="227"/>
        <v>279.37813461916846</v>
      </c>
      <c r="CH247">
        <f t="shared" ca="1" si="228"/>
        <v>-0.87690050738732661</v>
      </c>
      <c r="CI247">
        <f t="shared" ca="1" si="229"/>
        <v>-0.48067192568720823</v>
      </c>
      <c r="CJ247">
        <f t="shared" ca="1" si="230"/>
        <v>-2.6401718511948777</v>
      </c>
      <c r="CK247" s="39">
        <f t="shared" ca="1" si="231"/>
        <v>-3.0630257773278187</v>
      </c>
    </row>
    <row r="248" spans="55:89" x14ac:dyDescent="0.25">
      <c r="BC248">
        <v>4.2935099599060269</v>
      </c>
      <c r="BD248">
        <v>-222.34472564073511</v>
      </c>
      <c r="BE248">
        <v>-147.28717748318735</v>
      </c>
      <c r="BF248" s="6">
        <f t="shared" si="216"/>
        <v>3.7266544443369125</v>
      </c>
      <c r="BG248" s="6">
        <f t="shared" si="217"/>
        <v>0.5668555155691144</v>
      </c>
      <c r="BH248" s="6">
        <f t="shared" si="218"/>
        <v>2.9793847889756142</v>
      </c>
      <c r="BI248" s="6">
        <f t="shared" si="219"/>
        <v>2.9793847889756142</v>
      </c>
      <c r="BV248" s="39"/>
      <c r="BW248" s="6">
        <f t="shared" si="232"/>
        <v>4.0666171571467666</v>
      </c>
      <c r="BX248" s="9">
        <f t="shared" ca="1" si="233"/>
        <v>-269.01877293583721</v>
      </c>
      <c r="BY248" s="9">
        <f t="shared" ca="1" si="234"/>
        <v>-207.50684514458987</v>
      </c>
      <c r="BZ248">
        <f t="shared" ca="1" si="223"/>
        <v>339.7501890709766</v>
      </c>
      <c r="CA248" s="6">
        <f t="shared" ca="1" si="224"/>
        <v>-0.79181346056480628</v>
      </c>
      <c r="CB248" s="6">
        <f t="shared" ca="1" si="225"/>
        <v>-0.61076300122746952</v>
      </c>
      <c r="CC248" s="6">
        <f t="shared" ca="1" si="226"/>
        <v>-2.4845688080193047</v>
      </c>
      <c r="CD248" s="6">
        <f t="shared" ca="1" si="220"/>
        <v>-2.1341907308932582</v>
      </c>
      <c r="CE248" s="9">
        <f t="shared" ca="1" si="221"/>
        <v>-243.71873107148122</v>
      </c>
      <c r="CF248" s="9">
        <f t="shared" ca="1" si="222"/>
        <v>-135.20722192379395</v>
      </c>
      <c r="CG248">
        <f t="shared" ca="1" si="227"/>
        <v>278.71098423894784</v>
      </c>
      <c r="CH248">
        <f t="shared" ca="1" si="228"/>
        <v>-0.87444968032739379</v>
      </c>
      <c r="CI248">
        <f t="shared" ca="1" si="229"/>
        <v>-0.4851162299648602</v>
      </c>
      <c r="CJ248">
        <f t="shared" ca="1" si="230"/>
        <v>-2.6350965729678757</v>
      </c>
      <c r="CK248" s="39">
        <f t="shared" ca="1" si="231"/>
        <v>-3.0579504991008166</v>
      </c>
    </row>
    <row r="249" spans="55:89" x14ac:dyDescent="0.25">
      <c r="BC249">
        <v>4.31096325242597</v>
      </c>
      <c r="BD249">
        <v>-219.81234383476817</v>
      </c>
      <c r="BE249">
        <v>-148.40046009215578</v>
      </c>
      <c r="BF249" s="6">
        <f t="shared" si="216"/>
        <v>3.7354270999073633</v>
      </c>
      <c r="BG249" s="6">
        <f t="shared" si="217"/>
        <v>0.57553615251860668</v>
      </c>
      <c r="BH249" s="6">
        <f t="shared" si="218"/>
        <v>2.9706121334051634</v>
      </c>
      <c r="BI249" s="6">
        <f t="shared" si="219"/>
        <v>2.9706121334051634</v>
      </c>
      <c r="BV249" s="39"/>
      <c r="BW249" s="6">
        <f t="shared" si="232"/>
        <v>4.0840704496667097</v>
      </c>
      <c r="BX249" s="9">
        <f t="shared" ca="1" si="233"/>
        <v>-267.702783864862</v>
      </c>
      <c r="BY249" s="9">
        <f t="shared" ca="1" si="234"/>
        <v>-208.42761521960892</v>
      </c>
      <c r="BZ249">
        <f t="shared" ca="1" si="223"/>
        <v>339.27400618840574</v>
      </c>
      <c r="CA249" s="6">
        <f t="shared" ca="1" si="224"/>
        <v>-0.78904595984934145</v>
      </c>
      <c r="CB249" s="6">
        <f t="shared" ca="1" si="225"/>
        <v>-0.61433417066400553</v>
      </c>
      <c r="CC249" s="6">
        <f t="shared" ca="1" si="226"/>
        <v>-2.4800508055761323</v>
      </c>
      <c r="CD249" s="6">
        <f t="shared" ca="1" si="220"/>
        <v>-2.1296727284500854</v>
      </c>
      <c r="CE249" s="9">
        <f t="shared" ca="1" si="221"/>
        <v>-242.40274200050601</v>
      </c>
      <c r="CF249" s="9">
        <f t="shared" ca="1" si="222"/>
        <v>-136.127991998813</v>
      </c>
      <c r="CG249">
        <f t="shared" ca="1" si="227"/>
        <v>278.01064644180946</v>
      </c>
      <c r="CH249">
        <f t="shared" ca="1" si="228"/>
        <v>-0.87191891786505182</v>
      </c>
      <c r="CI249">
        <f t="shared" ca="1" si="229"/>
        <v>-0.48965028404876582</v>
      </c>
      <c r="CJ249">
        <f t="shared" ca="1" si="230"/>
        <v>-2.6299040335450368</v>
      </c>
      <c r="CK249" s="39">
        <f t="shared" ca="1" si="231"/>
        <v>-3.0527579596779777</v>
      </c>
    </row>
    <row r="250" spans="55:89" x14ac:dyDescent="0.25">
      <c r="BC250">
        <v>4.3284165449459131</v>
      </c>
      <c r="BD250">
        <v>-217.09008641829848</v>
      </c>
      <c r="BE250">
        <v>-149.55035020230224</v>
      </c>
      <c r="BF250" s="6">
        <f t="shared" si="216"/>
        <v>3.7448206377432722</v>
      </c>
      <c r="BG250" s="6">
        <f t="shared" si="217"/>
        <v>0.58359590720264087</v>
      </c>
      <c r="BH250" s="6">
        <f t="shared" si="218"/>
        <v>2.9612185955692549</v>
      </c>
      <c r="BI250" s="6">
        <f t="shared" si="219"/>
        <v>2.9612185955692549</v>
      </c>
      <c r="BV250" s="39"/>
      <c r="BW250" s="6">
        <f t="shared" si="232"/>
        <v>4.1015237421866528</v>
      </c>
      <c r="BX250" s="9">
        <f t="shared" ca="1" si="233"/>
        <v>-266.33471098487462</v>
      </c>
      <c r="BY250" s="9">
        <f t="shared" ca="1" si="234"/>
        <v>-209.35267988388364</v>
      </c>
      <c r="BZ250">
        <f t="shared" ca="1" si="223"/>
        <v>338.76647244076645</v>
      </c>
      <c r="CA250" s="6">
        <f t="shared" ca="1" si="224"/>
        <v>-0.78618969895683355</v>
      </c>
      <c r="CB250" s="6">
        <f t="shared" ca="1" si="225"/>
        <v>-0.61798524032064328</v>
      </c>
      <c r="CC250" s="6">
        <f t="shared" ca="1" si="226"/>
        <v>-2.4754152285458626</v>
      </c>
      <c r="CD250" s="6">
        <f t="shared" ca="1" si="220"/>
        <v>-2.1250371514198161</v>
      </c>
      <c r="CE250" s="9">
        <f t="shared" ca="1" si="221"/>
        <v>-241.03466912051863</v>
      </c>
      <c r="CF250" s="9">
        <f t="shared" ca="1" si="222"/>
        <v>-137.05305666308772</v>
      </c>
      <c r="CG250">
        <f t="shared" ca="1" si="227"/>
        <v>277.27468701403927</v>
      </c>
      <c r="CH250">
        <f t="shared" ca="1" si="228"/>
        <v>-0.86929921990431924</v>
      </c>
      <c r="CI250">
        <f t="shared" ca="1" si="229"/>
        <v>-0.49428621898019959</v>
      </c>
      <c r="CJ250">
        <f t="shared" ca="1" si="230"/>
        <v>-2.624579113161281</v>
      </c>
      <c r="CK250" s="39">
        <f t="shared" ca="1" si="231"/>
        <v>-3.0474330392942219</v>
      </c>
    </row>
    <row r="251" spans="55:89" x14ac:dyDescent="0.25">
      <c r="BC251">
        <v>4.3458698374658562</v>
      </c>
      <c r="BD251">
        <v>-214.15206631148163</v>
      </c>
      <c r="BE251">
        <v>-150.74162174422503</v>
      </c>
      <c r="BF251" s="6">
        <f t="shared" si="216"/>
        <v>3.7549312193705831</v>
      </c>
      <c r="BG251" s="6">
        <f t="shared" si="217"/>
        <v>0.59093861809527315</v>
      </c>
      <c r="BH251" s="6">
        <f t="shared" si="218"/>
        <v>2.9511080139419441</v>
      </c>
      <c r="BI251" s="6">
        <f t="shared" si="219"/>
        <v>2.9511080139419441</v>
      </c>
      <c r="BV251" s="39"/>
      <c r="BW251" s="6">
        <f t="shared" si="232"/>
        <v>4.1189770347065959</v>
      </c>
      <c r="BX251" s="9">
        <f t="shared" ca="1" si="233"/>
        <v>-264.90990781344328</v>
      </c>
      <c r="BY251" s="9">
        <f t="shared" ca="1" si="234"/>
        <v>-210.28361082314029</v>
      </c>
      <c r="BZ251">
        <f t="shared" ca="1" si="223"/>
        <v>338.22545178999309</v>
      </c>
      <c r="CA251" s="6">
        <f t="shared" ca="1" si="224"/>
        <v>-0.78323469275141355</v>
      </c>
      <c r="CB251" s="6">
        <f t="shared" ca="1" si="225"/>
        <v>-0.62172615842555545</v>
      </c>
      <c r="CC251" s="6">
        <f t="shared" ca="1" si="226"/>
        <v>-2.4706479889899846</v>
      </c>
      <c r="CD251" s="6">
        <f t="shared" ca="1" si="220"/>
        <v>-2.1202699118639377</v>
      </c>
      <c r="CE251" s="9">
        <f t="shared" ca="1" si="221"/>
        <v>-239.60986594908729</v>
      </c>
      <c r="CF251" s="9">
        <f t="shared" ca="1" si="222"/>
        <v>-137.98398760234437</v>
      </c>
      <c r="CG251">
        <f t="shared" ca="1" si="227"/>
        <v>276.50039546948847</v>
      </c>
      <c r="CH251">
        <f t="shared" ca="1" si="228"/>
        <v>-0.86658055422393776</v>
      </c>
      <c r="CI251">
        <f t="shared" ca="1" si="229"/>
        <v>-0.49903721608807161</v>
      </c>
      <c r="CJ251">
        <f t="shared" ca="1" si="230"/>
        <v>-2.6191052487661128</v>
      </c>
      <c r="CK251" s="39">
        <f t="shared" ca="1" si="231"/>
        <v>-3.0419591748990538</v>
      </c>
    </row>
    <row r="252" spans="55:89" x14ac:dyDescent="0.25">
      <c r="BC252">
        <v>4.3633231299857993</v>
      </c>
      <c r="BD252">
        <v>-210.96744033254532</v>
      </c>
      <c r="BE252">
        <v>-151.97976422166101</v>
      </c>
      <c r="BF252" s="6">
        <f t="shared" si="216"/>
        <v>3.7658754101617302</v>
      </c>
      <c r="BG252" s="6">
        <f t="shared" si="217"/>
        <v>0.59744771982406908</v>
      </c>
      <c r="BH252" s="6">
        <f t="shared" si="218"/>
        <v>2.9401638231507965</v>
      </c>
      <c r="BI252" s="6">
        <f t="shared" si="219"/>
        <v>2.9401638231507965</v>
      </c>
      <c r="BV252" s="39"/>
      <c r="BW252" s="6">
        <f t="shared" si="232"/>
        <v>4.136430327226539</v>
      </c>
      <c r="BX252" s="9">
        <f t="shared" ca="1" si="233"/>
        <v>-263.4232054665722</v>
      </c>
      <c r="BY252" s="9">
        <f t="shared" ca="1" si="234"/>
        <v>-211.22204531847376</v>
      </c>
      <c r="BZ252">
        <f t="shared" ca="1" si="223"/>
        <v>337.64854154401922</v>
      </c>
      <c r="CA252" s="6">
        <f t="shared" ca="1" si="224"/>
        <v>-0.78016983062321243</v>
      </c>
      <c r="CB252" s="6">
        <f t="shared" ca="1" si="225"/>
        <v>-0.62556777041768075</v>
      </c>
      <c r="CC252" s="6">
        <f t="shared" ca="1" si="226"/>
        <v>-2.4657335804629659</v>
      </c>
      <c r="CD252" s="6">
        <f t="shared" ca="1" si="220"/>
        <v>-2.1153555033369189</v>
      </c>
      <c r="CE252" s="9">
        <f t="shared" ca="1" si="221"/>
        <v>-238.12316360221621</v>
      </c>
      <c r="CF252" s="9">
        <f t="shared" ca="1" si="222"/>
        <v>-138.92242209767784</v>
      </c>
      <c r="CG252">
        <f t="shared" ca="1" si="227"/>
        <v>275.68474822777773</v>
      </c>
      <c r="CH252">
        <f t="shared" ca="1" si="228"/>
        <v>-0.8637516769896636</v>
      </c>
      <c r="CI252">
        <f t="shared" ca="1" si="229"/>
        <v>-0.50391769218548355</v>
      </c>
      <c r="CJ252">
        <f t="shared" ca="1" si="230"/>
        <v>-2.613464178147086</v>
      </c>
      <c r="CK252" s="39">
        <f t="shared" ca="1" si="231"/>
        <v>-3.0363181042800269</v>
      </c>
    </row>
    <row r="253" spans="55:89" x14ac:dyDescent="0.25">
      <c r="BC253">
        <v>4.3807764225057424</v>
      </c>
      <c r="BD253">
        <v>-207.49914491779595</v>
      </c>
      <c r="BE253">
        <v>-153.27114485683319</v>
      </c>
      <c r="BF253" s="6">
        <f t="shared" si="216"/>
        <v>3.7777960300645903</v>
      </c>
      <c r="BG253" s="6">
        <f t="shared" si="217"/>
        <v>0.60298039244115209</v>
      </c>
      <c r="BH253" s="6">
        <f t="shared" si="218"/>
        <v>2.9282432032479369</v>
      </c>
      <c r="BI253" s="6">
        <f t="shared" si="219"/>
        <v>2.9282432032479369</v>
      </c>
      <c r="BV253" s="39"/>
      <c r="BW253" s="6">
        <f t="shared" si="232"/>
        <v>4.1538836197464821</v>
      </c>
      <c r="BX253" s="9">
        <f t="shared" ca="1" si="233"/>
        <v>-261.86883281909041</v>
      </c>
      <c r="BY253" s="9">
        <f t="shared" ca="1" si="234"/>
        <v>-212.16970217074413</v>
      </c>
      <c r="BZ253">
        <f t="shared" ca="1" si="223"/>
        <v>337.03303713620568</v>
      </c>
      <c r="CA253" s="6">
        <f t="shared" ca="1" si="224"/>
        <v>-0.77698268111698787</v>
      </c>
      <c r="CB253" s="6">
        <f t="shared" ca="1" si="225"/>
        <v>-0.62952197201071314</v>
      </c>
      <c r="CC253" s="6">
        <f t="shared" ca="1" si="226"/>
        <v>-2.4606548318320351</v>
      </c>
      <c r="CD253" s="6">
        <f t="shared" ca="1" si="220"/>
        <v>-2.1102767547059882</v>
      </c>
      <c r="CE253" s="9">
        <f t="shared" ca="1" si="221"/>
        <v>-236.56879095473442</v>
      </c>
      <c r="CF253" s="9">
        <f t="shared" ca="1" si="222"/>
        <v>-139.87007894994821</v>
      </c>
      <c r="CG253">
        <f t="shared" ca="1" si="227"/>
        <v>274.8243654395468</v>
      </c>
      <c r="CH253">
        <f t="shared" ca="1" si="228"/>
        <v>-0.86079991698106018</v>
      </c>
      <c r="CI253">
        <f t="shared" ca="1" si="229"/>
        <v>-0.50894351643910363</v>
      </c>
      <c r="CJ253">
        <f t="shared" ca="1" si="230"/>
        <v>-2.6076356369273057</v>
      </c>
      <c r="CK253" s="39">
        <f t="shared" ca="1" si="231"/>
        <v>-3.0304895630602466</v>
      </c>
    </row>
    <row r="254" spans="55:89" x14ac:dyDescent="0.25">
      <c r="BC254">
        <v>4.3982297150256855</v>
      </c>
      <c r="BD254">
        <v>-203.70222111268598</v>
      </c>
      <c r="BE254">
        <v>-154.62321728084231</v>
      </c>
      <c r="BF254" s="6">
        <f t="shared" si="216"/>
        <v>3.7908701349622067</v>
      </c>
      <c r="BG254" s="6">
        <f t="shared" si="217"/>
        <v>0.60735958006347879</v>
      </c>
      <c r="BH254" s="6">
        <f t="shared" si="218"/>
        <v>2.9151690983503205</v>
      </c>
      <c r="BI254" s="6">
        <f t="shared" si="219"/>
        <v>2.9151690983503205</v>
      </c>
      <c r="BV254" s="39"/>
      <c r="BW254" s="6">
        <f t="shared" si="232"/>
        <v>4.1713369122664252</v>
      </c>
      <c r="BX254" s="9">
        <f t="shared" ca="1" si="233"/>
        <v>-260.24032173556452</v>
      </c>
      <c r="BY254" s="9">
        <f t="shared" ca="1" si="234"/>
        <v>-213.12839957590842</v>
      </c>
      <c r="BZ254">
        <f t="shared" ca="1" si="223"/>
        <v>336.37589057900419</v>
      </c>
      <c r="CA254" s="6">
        <f t="shared" ca="1" si="224"/>
        <v>-0.77365925746822273</v>
      </c>
      <c r="CB254" s="6">
        <f t="shared" ca="1" si="225"/>
        <v>-0.63360188867594014</v>
      </c>
      <c r="CC254" s="6">
        <f t="shared" ca="1" si="226"/>
        <v>-2.4553926147476428</v>
      </c>
      <c r="CD254" s="6">
        <f t="shared" ca="1" si="220"/>
        <v>-2.1050145376215958</v>
      </c>
      <c r="CE254" s="9">
        <f t="shared" ca="1" si="221"/>
        <v>-234.94027987120853</v>
      </c>
      <c r="CF254" s="9">
        <f t="shared" ca="1" si="222"/>
        <v>-140.8287763551125</v>
      </c>
      <c r="CG254">
        <f t="shared" ca="1" si="227"/>
        <v>273.91546023479594</v>
      </c>
      <c r="CH254">
        <f t="shared" ca="1" si="228"/>
        <v>-0.85771091441797953</v>
      </c>
      <c r="CI254">
        <f t="shared" ca="1" si="229"/>
        <v>-0.51413226633646869</v>
      </c>
      <c r="CJ254">
        <f t="shared" ca="1" si="230"/>
        <v>-2.6015969969197323</v>
      </c>
      <c r="CK254" s="39">
        <f t="shared" ca="1" si="231"/>
        <v>-3.0244509230526733</v>
      </c>
    </row>
    <row r="255" spans="55:89" x14ac:dyDescent="0.25">
      <c r="BC255">
        <v>4.4156830075456286</v>
      </c>
      <c r="BD255">
        <v>-199.52156330444478</v>
      </c>
      <c r="BE255">
        <v>-156.04479372693868</v>
      </c>
      <c r="BF255" s="6">
        <f t="shared" si="216"/>
        <v>3.8053200888264325</v>
      </c>
      <c r="BG255" s="6">
        <f t="shared" si="217"/>
        <v>0.61036291871919612</v>
      </c>
      <c r="BH255" s="6">
        <f t="shared" si="218"/>
        <v>2.9007191444860947</v>
      </c>
      <c r="BI255" s="6">
        <f t="shared" si="219"/>
        <v>2.9007191444860947</v>
      </c>
      <c r="BV255" s="39"/>
      <c r="BW255" s="6">
        <f t="shared" si="232"/>
        <v>4.1887902047863683</v>
      </c>
      <c r="BX255" s="9">
        <f t="shared" ca="1" si="233"/>
        <v>-258.53039392525909</v>
      </c>
      <c r="BY255" s="9">
        <f t="shared" ca="1" si="234"/>
        <v>-214.10007543162271</v>
      </c>
      <c r="BZ255">
        <f t="shared" ca="1" si="223"/>
        <v>335.67366128872277</v>
      </c>
      <c r="CA255" s="6">
        <f t="shared" ca="1" si="224"/>
        <v>-0.77018373420394615</v>
      </c>
      <c r="CB255" s="6">
        <f t="shared" ca="1" si="225"/>
        <v>-0.63782208770758742</v>
      </c>
      <c r="CC255" s="6">
        <f t="shared" ca="1" si="226"/>
        <v>-2.449925493359264</v>
      </c>
      <c r="CD255" s="6">
        <f t="shared" ca="1" si="220"/>
        <v>-2.0995474162332171</v>
      </c>
      <c r="CE255" s="9">
        <f t="shared" ca="1" si="221"/>
        <v>-233.2303520609031</v>
      </c>
      <c r="CF255" s="9">
        <f t="shared" ca="1" si="222"/>
        <v>-141.80045221082679</v>
      </c>
      <c r="CG255">
        <f t="shared" ca="1" si="227"/>
        <v>272.95377881547597</v>
      </c>
      <c r="CH255">
        <f t="shared" ca="1" si="228"/>
        <v>-0.85446830255672346</v>
      </c>
      <c r="CI255">
        <f t="shared" ca="1" si="229"/>
        <v>-0.51950353215914868</v>
      </c>
      <c r="CJ255">
        <f t="shared" ca="1" si="230"/>
        <v>-2.5953228310504626</v>
      </c>
      <c r="CK255" s="39">
        <f t="shared" ca="1" si="231"/>
        <v>-3.0181767571834035</v>
      </c>
    </row>
    <row r="256" spans="55:89" x14ac:dyDescent="0.25">
      <c r="BC256">
        <v>4.4331363000655717</v>
      </c>
      <c r="BD256">
        <v>-194.88884493292437</v>
      </c>
      <c r="BE256">
        <v>-157.54640527358887</v>
      </c>
      <c r="BF256" s="6">
        <f t="shared" si="216"/>
        <v>3.8214292107852739</v>
      </c>
      <c r="BG256" s="6">
        <f t="shared" si="217"/>
        <v>0.61170708928029782</v>
      </c>
      <c r="BH256" s="6">
        <f t="shared" si="218"/>
        <v>2.8846100225272533</v>
      </c>
      <c r="BI256" s="6">
        <f t="shared" si="219"/>
        <v>2.8846100225272533</v>
      </c>
      <c r="BV256" s="39"/>
      <c r="BW256" s="6">
        <f t="shared" si="232"/>
        <v>4.2062434973063114</v>
      </c>
      <c r="BX256" s="9">
        <f t="shared" ca="1" si="233"/>
        <v>-256.73082510342749</v>
      </c>
      <c r="BY256" s="9">
        <f t="shared" ca="1" si="234"/>
        <v>-215.08681067868724</v>
      </c>
      <c r="BZ256">
        <f t="shared" ca="1" si="223"/>
        <v>334.9224577215092</v>
      </c>
      <c r="CA256" s="6">
        <f t="shared" ca="1" si="224"/>
        <v>-0.76653810213258766</v>
      </c>
      <c r="CB256" s="6">
        <f t="shared" ca="1" si="225"/>
        <v>-0.64219883056493543</v>
      </c>
      <c r="CC256" s="6">
        <f t="shared" ca="1" si="226"/>
        <v>-2.444229301739349</v>
      </c>
      <c r="CD256" s="6">
        <f t="shared" ca="1" si="220"/>
        <v>-2.0938512246133021</v>
      </c>
      <c r="CE256" s="9">
        <f t="shared" ca="1" si="221"/>
        <v>-231.4307832390715</v>
      </c>
      <c r="CF256" s="9">
        <f t="shared" ca="1" si="222"/>
        <v>-142.78718745789132</v>
      </c>
      <c r="CG256">
        <f t="shared" ca="1" si="227"/>
        <v>271.93452949705579</v>
      </c>
      <c r="CH256">
        <f t="shared" ca="1" si="228"/>
        <v>-0.85105331664612005</v>
      </c>
      <c r="CI256">
        <f t="shared" ca="1" si="229"/>
        <v>-0.52507928184764507</v>
      </c>
      <c r="CJ256">
        <f t="shared" ca="1" si="230"/>
        <v>-2.5887843858481179</v>
      </c>
      <c r="CK256" s="39">
        <f t="shared" ca="1" si="231"/>
        <v>-3.0116383119810584</v>
      </c>
    </row>
    <row r="257" spans="55:89" x14ac:dyDescent="0.25">
      <c r="BC257">
        <v>4.4505895925855148</v>
      </c>
      <c r="BD257">
        <v>-189.71824524581567</v>
      </c>
      <c r="BE257">
        <v>-159.14078639784111</v>
      </c>
      <c r="BF257" s="6">
        <f t="shared" si="216"/>
        <v>3.8395643460355111</v>
      </c>
      <c r="BG257" s="6">
        <f t="shared" si="217"/>
        <v>0.61102524655000368</v>
      </c>
      <c r="BH257" s="6">
        <f t="shared" si="218"/>
        <v>2.8664748872770156</v>
      </c>
      <c r="BI257" s="6">
        <f t="shared" si="219"/>
        <v>2.8664748872770156</v>
      </c>
      <c r="BV257" s="39"/>
      <c r="BW257" s="6">
        <f t="shared" si="232"/>
        <v>4.2236967898262545</v>
      </c>
      <c r="BX257" s="9">
        <f t="shared" ca="1" si="233"/>
        <v>-254.8322809048293</v>
      </c>
      <c r="BY257" s="9">
        <f t="shared" ca="1" si="234"/>
        <v>-216.090856419815</v>
      </c>
      <c r="BZ257">
        <f t="shared" ca="1" si="223"/>
        <v>334.11786785415552</v>
      </c>
      <c r="CA257" s="6">
        <f t="shared" ca="1" si="224"/>
        <v>-0.76270174516995648</v>
      </c>
      <c r="CB257" s="6">
        <f t="shared" ca="1" si="225"/>
        <v>-0.64675037527217782</v>
      </c>
      <c r="CC257" s="6">
        <f t="shared" ca="1" si="226"/>
        <v>-2.4382766301879286</v>
      </c>
      <c r="CD257" s="6">
        <f t="shared" ca="1" si="220"/>
        <v>-2.0878985530618817</v>
      </c>
      <c r="CE257" s="9">
        <f t="shared" ca="1" si="221"/>
        <v>-229.53223904047331</v>
      </c>
      <c r="CF257" s="9">
        <f t="shared" ca="1" si="222"/>
        <v>-143.79123319901908</v>
      </c>
      <c r="CG257">
        <f t="shared" ca="1" si="227"/>
        <v>270.8522983174181</v>
      </c>
      <c r="CH257">
        <f t="shared" ca="1" si="228"/>
        <v>-0.84744430992968411</v>
      </c>
      <c r="CI257">
        <f t="shared" ca="1" si="229"/>
        <v>-0.53088430148931864</v>
      </c>
      <c r="CJ257">
        <f t="shared" ca="1" si="230"/>
        <v>-2.5819489367449537</v>
      </c>
      <c r="CK257" s="39">
        <f t="shared" ca="1" si="231"/>
        <v>-3.0048028628778942</v>
      </c>
    </row>
    <row r="258" spans="55:89" x14ac:dyDescent="0.25">
      <c r="BC258">
        <v>4.4680428851054579</v>
      </c>
      <c r="BD258">
        <v>-183.90039029058107</v>
      </c>
      <c r="BE258">
        <v>-160.84353860061779</v>
      </c>
      <c r="BF258" s="6">
        <f t="shared" si="216"/>
        <v>3.8602091760500343</v>
      </c>
      <c r="BG258" s="6">
        <f t="shared" si="217"/>
        <v>0.60783370905542355</v>
      </c>
      <c r="BH258" s="6">
        <f t="shared" si="218"/>
        <v>2.8458300572624928</v>
      </c>
      <c r="BI258" s="6">
        <f t="shared" si="219"/>
        <v>2.8458300572624928</v>
      </c>
      <c r="BV258" s="39"/>
      <c r="BW258" s="6">
        <f t="shared" si="232"/>
        <v>4.2411500823461976</v>
      </c>
      <c r="BX258" s="9">
        <f t="shared" ca="1" si="233"/>
        <v>-252.82411736902395</v>
      </c>
      <c r="BY258" s="9">
        <f t="shared" ca="1" si="234"/>
        <v>-217.11466574208754</v>
      </c>
      <c r="BZ258">
        <f t="shared" ca="1" si="223"/>
        <v>333.25487603893271</v>
      </c>
      <c r="CA258" s="6">
        <f t="shared" ca="1" si="224"/>
        <v>-0.75865091720214661</v>
      </c>
      <c r="CB258" s="6">
        <f t="shared" ca="1" si="225"/>
        <v>-0.65149734138240478</v>
      </c>
      <c r="CC258" s="6">
        <f t="shared" ca="1" si="226"/>
        <v>-2.43203619583957</v>
      </c>
      <c r="CD258" s="6">
        <f t="shared" ca="1" si="220"/>
        <v>-2.0816581187135235</v>
      </c>
      <c r="CE258" s="9">
        <f t="shared" ca="1" si="221"/>
        <v>-227.52407550466796</v>
      </c>
      <c r="CF258" s="9">
        <f t="shared" ca="1" si="222"/>
        <v>-144.81504252129162</v>
      </c>
      <c r="CG258">
        <f t="shared" ca="1" si="227"/>
        <v>269.70094822728629</v>
      </c>
      <c r="CH258">
        <f t="shared" ca="1" si="228"/>
        <v>-0.84361614966561249</v>
      </c>
      <c r="CI258">
        <f t="shared" ca="1" si="229"/>
        <v>-0.53694673108546498</v>
      </c>
      <c r="CJ258">
        <f t="shared" ca="1" si="230"/>
        <v>-2.5747789936595549</v>
      </c>
      <c r="CK258" s="39">
        <f t="shared" ca="1" si="231"/>
        <v>-2.9976329197924958</v>
      </c>
    </row>
    <row r="259" spans="55:89" x14ac:dyDescent="0.25">
      <c r="BC259">
        <v>4.485496177625401</v>
      </c>
      <c r="BD259">
        <v>-177.29356688569661</v>
      </c>
      <c r="BE259">
        <v>-162.67405793395039</v>
      </c>
      <c r="BF259" s="6">
        <f t="shared" ref="BF259:BF322" si="235">IF(BC259&lt;&gt;"",IF(AND(BD259=0,BE259=0),0,MOD(ATAN2(BD259,BE259),2*PI())),NA())</f>
        <v>3.8840146443487766</v>
      </c>
      <c r="BG259" s="6">
        <f t="shared" ref="BG259:BG322" si="236">ABS(BC259-BF259)</f>
        <v>0.60148153327662435</v>
      </c>
      <c r="BH259" s="6">
        <f t="shared" ref="BH259:BH322" si="237">ATAN2(COS($U$13-BF259),SIN($U$13-BF259))</f>
        <v>2.8220245889637505</v>
      </c>
      <c r="BI259" s="6">
        <f t="shared" ref="BI259:BI322" si="238">ABS(BH259)</f>
        <v>2.8220245889637505</v>
      </c>
      <c r="BV259" s="39"/>
      <c r="BW259" s="6">
        <f t="shared" si="232"/>
        <v>4.2586033748661407</v>
      </c>
      <c r="BX259" s="9">
        <f t="shared" ca="1" si="233"/>
        <v>-250.69413669932533</v>
      </c>
      <c r="BY259" s="9">
        <f t="shared" ca="1" si="234"/>
        <v>-218.16093143367897</v>
      </c>
      <c r="BZ259">
        <f t="shared" ca="1" si="223"/>
        <v>332.32776317880877</v>
      </c>
      <c r="CA259" s="6">
        <f t="shared" ca="1" si="224"/>
        <v>-0.75435809004148557</v>
      </c>
      <c r="CB259" s="6">
        <f t="shared" ca="1" si="225"/>
        <v>-0.65646315356534812</v>
      </c>
      <c r="CC259" s="6">
        <f t="shared" ca="1" si="226"/>
        <v>-2.4254720652512409</v>
      </c>
      <c r="CD259" s="6">
        <f t="shared" ca="1" si="220"/>
        <v>-2.075093988125194</v>
      </c>
      <c r="CE259" s="9">
        <f t="shared" ca="1" si="221"/>
        <v>-225.39409483496934</v>
      </c>
      <c r="CF259" s="9">
        <f t="shared" ca="1" si="222"/>
        <v>-145.86130821288305</v>
      </c>
      <c r="CG259">
        <f t="shared" ca="1" si="227"/>
        <v>268.47349817076696</v>
      </c>
      <c r="CH259">
        <f t="shared" ca="1" si="228"/>
        <v>-0.8395394568576886</v>
      </c>
      <c r="CI259">
        <f t="shared" ca="1" si="229"/>
        <v>-0.54329872112779476</v>
      </c>
      <c r="CJ259">
        <f t="shared" ca="1" si="230"/>
        <v>-2.5672313137386391</v>
      </c>
      <c r="CK259" s="39">
        <f t="shared" ca="1" si="231"/>
        <v>-2.99008523987158</v>
      </c>
    </row>
    <row r="260" spans="55:89" x14ac:dyDescent="0.25">
      <c r="BC260">
        <v>4.5029494701453441</v>
      </c>
      <c r="BD260">
        <v>-169.71065237185047</v>
      </c>
      <c r="BE260">
        <v>-164.65686161981898</v>
      </c>
      <c r="BF260" s="6">
        <f t="shared" si="235"/>
        <v>3.9118774888336336</v>
      </c>
      <c r="BG260" s="6">
        <f t="shared" si="236"/>
        <v>0.59107198131171046</v>
      </c>
      <c r="BH260" s="6">
        <f t="shared" si="237"/>
        <v>2.7941617444788935</v>
      </c>
      <c r="BI260" s="6">
        <f t="shared" si="238"/>
        <v>2.7941617444788935</v>
      </c>
      <c r="BV260" s="39"/>
      <c r="BW260" s="6">
        <f t="shared" si="232"/>
        <v>4.2760566673860838</v>
      </c>
      <c r="BX260" s="9">
        <f t="shared" ca="1" si="233"/>
        <v>-248.42828601805439</v>
      </c>
      <c r="BY260" s="9">
        <f t="shared" ca="1" si="234"/>
        <v>-219.23263110082013</v>
      </c>
      <c r="BZ260">
        <f t="shared" ca="1" si="223"/>
        <v>331.32998631765361</v>
      </c>
      <c r="CA260" s="6">
        <f t="shared" ca="1" si="224"/>
        <v>-0.74979113354346549</v>
      </c>
      <c r="CB260" s="6">
        <f t="shared" ca="1" si="225"/>
        <v>-0.66167458471638851</v>
      </c>
      <c r="CC260" s="6">
        <f t="shared" ca="1" si="226"/>
        <v>-2.4185426858831485</v>
      </c>
      <c r="CD260" s="6">
        <f t="shared" ca="1" si="220"/>
        <v>-2.068164608757102</v>
      </c>
      <c r="CE260" s="9">
        <f t="shared" ca="1" si="221"/>
        <v>-223.1282441536984</v>
      </c>
      <c r="CF260" s="9">
        <f t="shared" ca="1" si="222"/>
        <v>-146.93300788002421</v>
      </c>
      <c r="CG260">
        <f t="shared" ca="1" si="227"/>
        <v>267.16197735415813</v>
      </c>
      <c r="CH260">
        <f t="shared" ca="1" si="228"/>
        <v>-0.8351796403195233</v>
      </c>
      <c r="CI260">
        <f t="shared" ca="1" si="229"/>
        <v>-0.54997724352535882</v>
      </c>
      <c r="CJ260">
        <f t="shared" ca="1" si="230"/>
        <v>-2.5592556633665939</v>
      </c>
      <c r="CK260" s="39">
        <f t="shared" ca="1" si="231"/>
        <v>-2.9821095894995349</v>
      </c>
    </row>
    <row r="261" spans="55:89" x14ac:dyDescent="0.25">
      <c r="BC261">
        <v>4.5204027626652872</v>
      </c>
      <c r="BD261">
        <v>-160.95474247340658</v>
      </c>
      <c r="BE261">
        <v>-166.81149026684821</v>
      </c>
      <c r="BF261" s="6">
        <f t="shared" si="235"/>
        <v>3.944857589080244</v>
      </c>
      <c r="BG261" s="6">
        <f t="shared" si="236"/>
        <v>0.5755451735850432</v>
      </c>
      <c r="BH261" s="6">
        <f t="shared" si="237"/>
        <v>2.7611816442322832</v>
      </c>
      <c r="BI261" s="6">
        <f t="shared" si="238"/>
        <v>2.7611816442322832</v>
      </c>
      <c r="BV261" s="39"/>
      <c r="BW261" s="6">
        <f t="shared" si="232"/>
        <v>4.2935099599060269</v>
      </c>
      <c r="BX261" s="9">
        <f t="shared" ca="1" si="233"/>
        <v>-247.6447675050911</v>
      </c>
      <c r="BY261" s="9">
        <f t="shared" ca="1" si="234"/>
        <v>-219.58680070398327</v>
      </c>
      <c r="BZ261">
        <f t="shared" ca="1" si="223"/>
        <v>330.97778462619135</v>
      </c>
      <c r="CA261" s="6">
        <f t="shared" ca="1" si="224"/>
        <v>-0.74822172063536785</v>
      </c>
      <c r="CB261" s="6">
        <f t="shared" ca="1" si="225"/>
        <v>-0.66344875971656569</v>
      </c>
      <c r="CC261" s="6">
        <f t="shared" ca="1" si="226"/>
        <v>-2.4161739823494113</v>
      </c>
      <c r="CD261" s="6">
        <f t="shared" ca="1" si="220"/>
        <v>-2.0657959052233643</v>
      </c>
      <c r="CE261" s="9">
        <f t="shared" ca="1" si="221"/>
        <v>-222.34472564073511</v>
      </c>
      <c r="CF261" s="9">
        <f t="shared" ca="1" si="222"/>
        <v>-147.28717748318735</v>
      </c>
      <c r="CG261">
        <f t="shared" ca="1" si="227"/>
        <v>266.70337394044662</v>
      </c>
      <c r="CH261">
        <f t="shared" ca="1" si="228"/>
        <v>-0.83367796348306955</v>
      </c>
      <c r="CI261">
        <f t="shared" ca="1" si="229"/>
        <v>-0.55225089696868912</v>
      </c>
      <c r="CJ261">
        <f t="shared" ca="1" si="230"/>
        <v>-2.5565308628426737</v>
      </c>
      <c r="CK261" s="39">
        <f t="shared" ca="1" si="231"/>
        <v>-2.9793847889756142</v>
      </c>
    </row>
    <row r="262" spans="55:89" x14ac:dyDescent="0.25">
      <c r="BC262">
        <v>4.5378560551852303</v>
      </c>
      <c r="BD262">
        <v>-151.76962798155924</v>
      </c>
      <c r="BE262">
        <v>-168.95531388764834</v>
      </c>
      <c r="BF262" s="6">
        <f t="shared" si="235"/>
        <v>3.980523498461447</v>
      </c>
      <c r="BG262" s="6">
        <f t="shared" si="236"/>
        <v>0.55733255672378323</v>
      </c>
      <c r="BH262" s="6">
        <f t="shared" si="237"/>
        <v>2.7255157348510801</v>
      </c>
      <c r="BI262" s="6">
        <f t="shared" si="238"/>
        <v>2.7255157348510801</v>
      </c>
      <c r="BV262" s="39"/>
      <c r="BW262" s="6">
        <f t="shared" si="232"/>
        <v>4.31096325242597</v>
      </c>
      <c r="BX262" s="9">
        <f t="shared" ca="1" si="233"/>
        <v>-245.11238569912416</v>
      </c>
      <c r="BY262" s="9">
        <f t="shared" ca="1" si="234"/>
        <v>-220.70008331295173</v>
      </c>
      <c r="BZ262">
        <f t="shared" ca="1" si="223"/>
        <v>329.83118166337766</v>
      </c>
      <c r="CA262" s="6">
        <f t="shared" ca="1" si="224"/>
        <v>-0.74314497635727894</v>
      </c>
      <c r="CB262" s="6">
        <f t="shared" ca="1" si="225"/>
        <v>-0.66913043878973211</v>
      </c>
      <c r="CC262" s="6">
        <f t="shared" ca="1" si="226"/>
        <v>-2.4085545932386525</v>
      </c>
      <c r="CD262" s="6">
        <f t="shared" ca="1" si="220"/>
        <v>-2.0581765161126055</v>
      </c>
      <c r="CE262" s="9">
        <f t="shared" ca="1" si="221"/>
        <v>-219.81234383476817</v>
      </c>
      <c r="CF262" s="9">
        <f t="shared" ca="1" si="222"/>
        <v>-148.40046009215581</v>
      </c>
      <c r="CG262">
        <f t="shared" ca="1" si="227"/>
        <v>265.21719977727287</v>
      </c>
      <c r="CH262">
        <f t="shared" ca="1" si="228"/>
        <v>-0.82880123920833448</v>
      </c>
      <c r="CI262">
        <f t="shared" ca="1" si="229"/>
        <v>-0.55954312245503401</v>
      </c>
      <c r="CJ262">
        <f t="shared" ca="1" si="230"/>
        <v>-2.5477582072722229</v>
      </c>
      <c r="CK262" s="39">
        <f t="shared" ca="1" si="231"/>
        <v>-2.9706121334051634</v>
      </c>
    </row>
    <row r="263" spans="55:89" x14ac:dyDescent="0.25">
      <c r="BC263">
        <v>4.5553093477051734</v>
      </c>
      <c r="BD263">
        <v>-142.46937866668418</v>
      </c>
      <c r="BE263">
        <v>-171.01946696499556</v>
      </c>
      <c r="BF263" s="6">
        <f t="shared" si="235"/>
        <v>4.0178123772923557</v>
      </c>
      <c r="BG263" s="6">
        <f t="shared" si="236"/>
        <v>0.53749697041281763</v>
      </c>
      <c r="BH263" s="6">
        <f t="shared" si="237"/>
        <v>2.6882268560201714</v>
      </c>
      <c r="BI263" s="6">
        <f t="shared" si="238"/>
        <v>2.6882268560201714</v>
      </c>
      <c r="BV263" s="39"/>
      <c r="BW263" s="6">
        <f t="shared" si="232"/>
        <v>4.3284165449459131</v>
      </c>
      <c r="BX263" s="9">
        <f t="shared" ca="1" si="233"/>
        <v>-242.39012828265447</v>
      </c>
      <c r="BY263" s="9">
        <f t="shared" ca="1" si="234"/>
        <v>-221.84997342309816</v>
      </c>
      <c r="BZ263">
        <f t="shared" ca="1" si="223"/>
        <v>328.5884736212015</v>
      </c>
      <c r="CA263" s="6">
        <f t="shared" ca="1" si="224"/>
        <v>-0.7376708184903743</v>
      </c>
      <c r="CB263" s="6">
        <f t="shared" ca="1" si="225"/>
        <v>-0.67516054649819512</v>
      </c>
      <c r="CC263" s="6">
        <f t="shared" ca="1" si="226"/>
        <v>-2.4004103332996318</v>
      </c>
      <c r="CD263" s="6">
        <f t="shared" ca="1" si="220"/>
        <v>-2.0500322561735853</v>
      </c>
      <c r="CE263" s="9">
        <f t="shared" ca="1" si="221"/>
        <v>-217.09008641829848</v>
      </c>
      <c r="CF263" s="9">
        <f t="shared" ca="1" si="222"/>
        <v>-149.55035020230224</v>
      </c>
      <c r="CG263">
        <f t="shared" ca="1" si="227"/>
        <v>263.61603302290916</v>
      </c>
      <c r="CH263">
        <f t="shared" ca="1" si="228"/>
        <v>-0.82350866117248867</v>
      </c>
      <c r="CI263">
        <f t="shared" ca="1" si="229"/>
        <v>-0.56730369730321295</v>
      </c>
      <c r="CJ263">
        <f t="shared" ca="1" si="230"/>
        <v>-2.538364669436314</v>
      </c>
      <c r="CK263" s="39">
        <f t="shared" ca="1" si="231"/>
        <v>-2.9612185955692549</v>
      </c>
    </row>
    <row r="264" spans="55:89" x14ac:dyDescent="0.25">
      <c r="BC264">
        <v>4.5727626402251165</v>
      </c>
      <c r="BD264">
        <v>-133.03691679945746</v>
      </c>
      <c r="BE264">
        <v>-173.00953574899239</v>
      </c>
      <c r="BF264" s="6">
        <f t="shared" si="235"/>
        <v>4.0568652888467813</v>
      </c>
      <c r="BG264" s="6">
        <f t="shared" si="236"/>
        <v>0.51589735137833515</v>
      </c>
      <c r="BH264" s="6">
        <f t="shared" si="237"/>
        <v>2.6491739444657458</v>
      </c>
      <c r="BI264" s="6">
        <f t="shared" si="238"/>
        <v>2.6491739444657458</v>
      </c>
      <c r="BV264" s="39"/>
      <c r="BW264" s="6">
        <f t="shared" si="232"/>
        <v>4.3458698374658562</v>
      </c>
      <c r="BX264" s="9">
        <f t="shared" ca="1" si="233"/>
        <v>-239.45210817583762</v>
      </c>
      <c r="BY264" s="9">
        <f t="shared" ca="1" si="234"/>
        <v>-223.04124496502095</v>
      </c>
      <c r="BZ264">
        <f t="shared" ca="1" si="223"/>
        <v>327.23800064387319</v>
      </c>
      <c r="CA264" s="6">
        <f t="shared" ca="1" si="224"/>
        <v>-0.73173686339817468</v>
      </c>
      <c r="CB264" s="6">
        <f t="shared" ca="1" si="225"/>
        <v>-0.68158723780907227</v>
      </c>
      <c r="CC264" s="6">
        <f t="shared" ca="1" si="226"/>
        <v>-2.391663066748595</v>
      </c>
      <c r="CD264" s="6">
        <f t="shared" ca="1" si="220"/>
        <v>-2.0412849896225485</v>
      </c>
      <c r="CE264" s="9">
        <f t="shared" ca="1" si="221"/>
        <v>-214.15206631148163</v>
      </c>
      <c r="CF264" s="9">
        <f t="shared" ca="1" si="222"/>
        <v>-150.74162174422503</v>
      </c>
      <c r="CG264">
        <f t="shared" ca="1" si="227"/>
        <v>261.88574614048059</v>
      </c>
      <c r="CH264">
        <f t="shared" ca="1" si="228"/>
        <v>-0.81773089779619512</v>
      </c>
      <c r="CI264">
        <f t="shared" ca="1" si="229"/>
        <v>-0.57560071124819556</v>
      </c>
      <c r="CJ264">
        <f t="shared" ca="1" si="230"/>
        <v>-2.5282540878090032</v>
      </c>
      <c r="CK264" s="39">
        <f t="shared" ca="1" si="231"/>
        <v>-2.9511080139419441</v>
      </c>
    </row>
    <row r="265" spans="55:89" x14ac:dyDescent="0.25">
      <c r="BC265">
        <v>4.5902159327450596</v>
      </c>
      <c r="BD265">
        <v>-123.45425676481767</v>
      </c>
      <c r="BE265">
        <v>-174.93082017792295</v>
      </c>
      <c r="BF265" s="6">
        <f t="shared" si="235"/>
        <v>4.0978264660627257</v>
      </c>
      <c r="BG265" s="6">
        <f t="shared" si="236"/>
        <v>0.49238946668233385</v>
      </c>
      <c r="BH265" s="6">
        <f t="shared" si="237"/>
        <v>2.6082127672498014</v>
      </c>
      <c r="BI265" s="6">
        <f t="shared" si="238"/>
        <v>2.6082127672498014</v>
      </c>
      <c r="BV265" s="39"/>
      <c r="BW265" s="6">
        <f t="shared" si="232"/>
        <v>4.3633231299857993</v>
      </c>
      <c r="BX265" s="9">
        <f t="shared" ca="1" si="233"/>
        <v>-236.26748219690131</v>
      </c>
      <c r="BY265" s="9">
        <f t="shared" ca="1" si="234"/>
        <v>-224.27938744245694</v>
      </c>
      <c r="BZ265">
        <f t="shared" ca="1" si="223"/>
        <v>325.76612281700932</v>
      </c>
      <c r="CA265" s="6">
        <f t="shared" ca="1" si="224"/>
        <v>-0.72526719523140359</v>
      </c>
      <c r="CB265" s="6">
        <f t="shared" ca="1" si="225"/>
        <v>-0.68846749779577321</v>
      </c>
      <c r="CC265" s="6">
        <f t="shared" ca="1" si="226"/>
        <v>-2.3822187432337301</v>
      </c>
      <c r="CD265" s="6">
        <f t="shared" ca="1" si="220"/>
        <v>-2.0318406661076835</v>
      </c>
      <c r="CE265" s="9">
        <f t="shared" ca="1" si="221"/>
        <v>-210.96744033254532</v>
      </c>
      <c r="CF265" s="9">
        <f t="shared" ca="1" si="222"/>
        <v>-151.97976422166101</v>
      </c>
      <c r="CG265">
        <f t="shared" ca="1" si="227"/>
        <v>260.00982599382229</v>
      </c>
      <c r="CH265">
        <f t="shared" ca="1" si="228"/>
        <v>-0.81138256804786224</v>
      </c>
      <c r="CI265">
        <f t="shared" ca="1" si="229"/>
        <v>-0.58451546452429837</v>
      </c>
      <c r="CJ265">
        <f t="shared" ca="1" si="230"/>
        <v>-2.517309897017856</v>
      </c>
      <c r="CK265" s="39">
        <f t="shared" ca="1" si="231"/>
        <v>-2.9401638231507965</v>
      </c>
    </row>
    <row r="266" spans="55:89" x14ac:dyDescent="0.25">
      <c r="BC266">
        <v>4.6076692252650027</v>
      </c>
      <c r="BD266">
        <v>-113.70246562546448</v>
      </c>
      <c r="BE266">
        <v>-176.7883064177401</v>
      </c>
      <c r="BF266" s="6">
        <f t="shared" si="235"/>
        <v>4.1408400410937363</v>
      </c>
      <c r="BG266" s="6">
        <f t="shared" si="236"/>
        <v>0.4668291841712664</v>
      </c>
      <c r="BH266" s="6">
        <f t="shared" si="237"/>
        <v>2.5651991922187909</v>
      </c>
      <c r="BI266" s="6">
        <f t="shared" si="238"/>
        <v>2.5651991922187909</v>
      </c>
      <c r="BV266" s="39"/>
      <c r="BW266" s="6">
        <f t="shared" si="232"/>
        <v>4.3807764225057424</v>
      </c>
      <c r="BX266" s="9">
        <f t="shared" ca="1" si="233"/>
        <v>-232.79918678215193</v>
      </c>
      <c r="BY266" s="9">
        <f t="shared" ca="1" si="234"/>
        <v>-225.57076807762911</v>
      </c>
      <c r="BZ266">
        <f t="shared" ca="1" si="223"/>
        <v>324.15680276304982</v>
      </c>
      <c r="CA266" s="6">
        <f t="shared" ca="1" si="224"/>
        <v>-0.71816844440041594</v>
      </c>
      <c r="CB266" s="6">
        <f t="shared" ca="1" si="225"/>
        <v>-0.69586930200109198</v>
      </c>
      <c r="CC266" s="6">
        <f t="shared" ca="1" si="226"/>
        <v>-2.3719630184542777</v>
      </c>
      <c r="CD266" s="6">
        <f t="shared" ca="1" si="220"/>
        <v>-2.0215849413282312</v>
      </c>
      <c r="CE266" s="9">
        <f t="shared" ca="1" si="221"/>
        <v>-207.49914491779595</v>
      </c>
      <c r="CF266" s="9">
        <f t="shared" ca="1" si="222"/>
        <v>-153.27114485683319</v>
      </c>
      <c r="CG266">
        <f t="shared" ca="1" si="227"/>
        <v>257.96887212867534</v>
      </c>
      <c r="CH266">
        <f t="shared" ca="1" si="228"/>
        <v>-0.8043572978614838</v>
      </c>
      <c r="CI266">
        <f t="shared" ca="1" si="229"/>
        <v>-0.59414588896749243</v>
      </c>
      <c r="CJ266">
        <f t="shared" ca="1" si="230"/>
        <v>-2.5053892771149955</v>
      </c>
      <c r="CK266" s="39">
        <f t="shared" ca="1" si="231"/>
        <v>-2.928243203247936</v>
      </c>
    </row>
    <row r="267" spans="55:89" x14ac:dyDescent="0.25">
      <c r="BC267">
        <v>4.6251225177849458</v>
      </c>
      <c r="BD267">
        <v>-103.76164097768238</v>
      </c>
      <c r="BE267">
        <v>-178.58662490186396</v>
      </c>
      <c r="BF267" s="6">
        <f t="shared" si="235"/>
        <v>4.1860454610174926</v>
      </c>
      <c r="BG267" s="6">
        <f t="shared" si="236"/>
        <v>0.43907705676745312</v>
      </c>
      <c r="BH267" s="6">
        <f t="shared" si="237"/>
        <v>2.5199937722950345</v>
      </c>
      <c r="BI267" s="6">
        <f t="shared" si="238"/>
        <v>2.5199937722950345</v>
      </c>
      <c r="BV267" s="39"/>
      <c r="BW267" s="6">
        <f t="shared" si="232"/>
        <v>4.3982297150256855</v>
      </c>
      <c r="BX267" s="9">
        <f t="shared" ca="1" si="233"/>
        <v>-229.00226297704197</v>
      </c>
      <c r="BY267" s="9">
        <f t="shared" ca="1" si="234"/>
        <v>-226.92284050163823</v>
      </c>
      <c r="BZ267">
        <f t="shared" ca="1" si="223"/>
        <v>322.39108546909023</v>
      </c>
      <c r="CA267" s="6">
        <f t="shared" ca="1" si="224"/>
        <v>-0.71032442675589402</v>
      </c>
      <c r="CB267" s="6">
        <f t="shared" ca="1" si="225"/>
        <v>-0.7038744268361441</v>
      </c>
      <c r="CC267" s="6">
        <f t="shared" ca="1" si="226"/>
        <v>-2.3607553446862579</v>
      </c>
      <c r="CD267" s="6">
        <f t="shared" ca="1" si="220"/>
        <v>-2.0103772675602114</v>
      </c>
      <c r="CE267" s="9">
        <f t="shared" ca="1" si="221"/>
        <v>-203.70222111268598</v>
      </c>
      <c r="CF267" s="9">
        <f t="shared" ca="1" si="222"/>
        <v>-154.62321728084231</v>
      </c>
      <c r="CG267">
        <f t="shared" ca="1" si="227"/>
        <v>255.73997381817372</v>
      </c>
      <c r="CH267">
        <f t="shared" ca="1" si="228"/>
        <v>-0.79652084917125388</v>
      </c>
      <c r="CI267">
        <f t="shared" ca="1" si="229"/>
        <v>-0.60461106244883134</v>
      </c>
      <c r="CJ267">
        <f t="shared" ca="1" si="230"/>
        <v>-2.4923151722173795</v>
      </c>
      <c r="CK267" s="39">
        <f t="shared" ca="1" si="231"/>
        <v>-2.9151690983503205</v>
      </c>
    </row>
    <row r="268" spans="55:89" x14ac:dyDescent="0.25">
      <c r="BC268">
        <v>4.6425758103048889</v>
      </c>
      <c r="BD268">
        <v>-93.610911470198147</v>
      </c>
      <c r="BE268">
        <v>-180.32999188724176</v>
      </c>
      <c r="BF268" s="6">
        <f t="shared" si="235"/>
        <v>4.2335713430035256</v>
      </c>
      <c r="BG268" s="6">
        <f t="shared" si="236"/>
        <v>0.40900446730136331</v>
      </c>
      <c r="BH268" s="6">
        <f t="shared" si="237"/>
        <v>2.4724678903090016</v>
      </c>
      <c r="BI268" s="6">
        <f t="shared" si="238"/>
        <v>2.4724678903090016</v>
      </c>
      <c r="BV268" s="39"/>
      <c r="BW268" s="6">
        <f t="shared" si="232"/>
        <v>4.4156830075456286</v>
      </c>
      <c r="BX268" s="9">
        <f t="shared" ca="1" si="233"/>
        <v>-224.82160516880077</v>
      </c>
      <c r="BY268" s="9">
        <f t="shared" ca="1" si="234"/>
        <v>-228.3444169477346</v>
      </c>
      <c r="BZ268">
        <f t="shared" ca="1" si="223"/>
        <v>320.44644935133391</v>
      </c>
      <c r="CA268" s="6">
        <f t="shared" ca="1" si="224"/>
        <v>-0.70158869172648841</v>
      </c>
      <c r="CB268" s="6">
        <f t="shared" ca="1" si="225"/>
        <v>-0.71258214097850814</v>
      </c>
      <c r="CC268" s="6">
        <f t="shared" ca="1" si="226"/>
        <v>-2.3484208693855924</v>
      </c>
      <c r="CD268" s="6">
        <f t="shared" ca="1" si="220"/>
        <v>-1.9980427922595456</v>
      </c>
      <c r="CE268" s="9">
        <f t="shared" ca="1" si="221"/>
        <v>-199.52156330444478</v>
      </c>
      <c r="CF268" s="9">
        <f t="shared" ca="1" si="222"/>
        <v>-156.04479372693868</v>
      </c>
      <c r="CG268">
        <f t="shared" ca="1" si="227"/>
        <v>253.29593733957205</v>
      </c>
      <c r="CH268">
        <f t="shared" ca="1" si="228"/>
        <v>-0.78770139545097961</v>
      </c>
      <c r="CI268">
        <f t="shared" ca="1" si="229"/>
        <v>-0.61605723078670171</v>
      </c>
      <c r="CJ268">
        <f t="shared" ca="1" si="230"/>
        <v>-2.4778652183531542</v>
      </c>
      <c r="CK268" s="39">
        <f t="shared" ca="1" si="231"/>
        <v>-2.9007191444860947</v>
      </c>
    </row>
    <row r="269" spans="55:89" x14ac:dyDescent="0.25">
      <c r="BC269">
        <v>4.660029102824832</v>
      </c>
      <c r="BD269">
        <v>-83.228465941433853</v>
      </c>
      <c r="BE269">
        <v>-182.02213264417074</v>
      </c>
      <c r="BF269" s="6">
        <f t="shared" si="235"/>
        <v>4.283527578518675</v>
      </c>
      <c r="BG269" s="6">
        <f t="shared" si="236"/>
        <v>0.37650152430615691</v>
      </c>
      <c r="BH269" s="6">
        <f t="shared" si="237"/>
        <v>2.4225116547938521</v>
      </c>
      <c r="BI269" s="6">
        <f t="shared" si="238"/>
        <v>2.4225116547938521</v>
      </c>
      <c r="BV269" s="39"/>
      <c r="BW269" s="6">
        <f t="shared" si="232"/>
        <v>4.4331363000655717</v>
      </c>
      <c r="BX269" s="9">
        <f t="shared" ca="1" si="233"/>
        <v>-220.18888679728036</v>
      </c>
      <c r="BY269" s="9">
        <f t="shared" ca="1" si="234"/>
        <v>-229.84602849438483</v>
      </c>
      <c r="BZ269">
        <f t="shared" ca="1" si="223"/>
        <v>318.29599853543101</v>
      </c>
      <c r="CA269" s="6">
        <f t="shared" ca="1" si="224"/>
        <v>-0.69177397080211833</v>
      </c>
      <c r="CB269" s="6">
        <f t="shared" ca="1" si="225"/>
        <v>-0.72211409993204667</v>
      </c>
      <c r="CC269" s="6">
        <f t="shared" ca="1" si="226"/>
        <v>-2.3347391330812286</v>
      </c>
      <c r="CD269" s="6">
        <f t="shared" ca="1" si="220"/>
        <v>-1.9843610559551819</v>
      </c>
      <c r="CE269" s="9">
        <f t="shared" ca="1" si="221"/>
        <v>-194.88884493292437</v>
      </c>
      <c r="CF269" s="9">
        <f t="shared" ca="1" si="222"/>
        <v>-157.5464052735889</v>
      </c>
      <c r="CG269">
        <f t="shared" ca="1" si="227"/>
        <v>250.60433295120691</v>
      </c>
      <c r="CH269">
        <f t="shared" ca="1" si="228"/>
        <v>-0.77767548005991405</v>
      </c>
      <c r="CI269">
        <f t="shared" ca="1" si="229"/>
        <v>-0.62866592695451695</v>
      </c>
      <c r="CJ269">
        <f t="shared" ca="1" si="230"/>
        <v>-2.4617560963943124</v>
      </c>
      <c r="CK269" s="39">
        <f t="shared" ca="1" si="231"/>
        <v>-2.8846100225272533</v>
      </c>
    </row>
    <row r="270" spans="55:89" x14ac:dyDescent="0.25">
      <c r="BC270">
        <v>4.6774823953447751</v>
      </c>
      <c r="BD270">
        <v>-72.336388621268256</v>
      </c>
      <c r="BE270">
        <v>-183.62188750133549</v>
      </c>
      <c r="BF270" s="6">
        <f t="shared" si="235"/>
        <v>4.3371158307818742</v>
      </c>
      <c r="BG270" s="6">
        <f t="shared" si="236"/>
        <v>0.34036656456290082</v>
      </c>
      <c r="BH270" s="6">
        <f t="shared" si="237"/>
        <v>2.3689234025306529</v>
      </c>
      <c r="BI270" s="6">
        <f t="shared" si="238"/>
        <v>2.3689234025306529</v>
      </c>
      <c r="BV270" s="39"/>
      <c r="BW270" s="6">
        <f t="shared" si="232"/>
        <v>4.4505895925855148</v>
      </c>
      <c r="BX270" s="9">
        <f t="shared" ca="1" si="233"/>
        <v>-215.01828711017166</v>
      </c>
      <c r="BY270" s="9">
        <f t="shared" ca="1" si="234"/>
        <v>-231.44040961863703</v>
      </c>
      <c r="BZ270">
        <f t="shared" ca="1" si="223"/>
        <v>315.90746587606111</v>
      </c>
      <c r="CA270" s="6">
        <f t="shared" ca="1" si="224"/>
        <v>-0.68063692801273978</v>
      </c>
      <c r="CB270" s="6">
        <f t="shared" ca="1" si="225"/>
        <v>-0.73262089256680385</v>
      </c>
      <c r="CC270" s="6">
        <f t="shared" ca="1" si="226"/>
        <v>-2.3194279935628694</v>
      </c>
      <c r="CD270" s="6">
        <f t="shared" ca="1" si="220"/>
        <v>-1.9690499164368227</v>
      </c>
      <c r="CE270" s="9">
        <f t="shared" ca="1" si="221"/>
        <v>-189.71824524581567</v>
      </c>
      <c r="CF270" s="9">
        <f t="shared" ca="1" si="222"/>
        <v>-159.14078639784111</v>
      </c>
      <c r="CG270">
        <f t="shared" ca="1" si="227"/>
        <v>247.62633639109302</v>
      </c>
      <c r="CH270">
        <f t="shared" ca="1" si="228"/>
        <v>-0.76614728469826732</v>
      </c>
      <c r="CI270">
        <f t="shared" ca="1" si="229"/>
        <v>-0.64266502794960911</v>
      </c>
      <c r="CJ270">
        <f t="shared" ca="1" si="230"/>
        <v>-2.4436209611440751</v>
      </c>
      <c r="CK270" s="39">
        <f t="shared" ca="1" si="231"/>
        <v>-2.8664748872770156</v>
      </c>
    </row>
    <row r="271" spans="55:89" x14ac:dyDescent="0.25">
      <c r="BC271">
        <v>4.6949356878647182</v>
      </c>
      <c r="BD271">
        <v>-60.236204297836139</v>
      </c>
      <c r="BE271">
        <v>-185.02933411093321</v>
      </c>
      <c r="BF271" s="6">
        <f t="shared" si="235"/>
        <v>4.3976601718574635</v>
      </c>
      <c r="BG271" s="6">
        <f t="shared" si="236"/>
        <v>0.29727551600725466</v>
      </c>
      <c r="BH271" s="6">
        <f t="shared" si="237"/>
        <v>2.3083790614550637</v>
      </c>
      <c r="BI271" s="6">
        <f t="shared" si="238"/>
        <v>2.3083790614550637</v>
      </c>
      <c r="BV271" s="39"/>
      <c r="BW271" s="6">
        <f t="shared" si="232"/>
        <v>4.4680428851054579</v>
      </c>
      <c r="BX271" s="9">
        <f t="shared" ca="1" si="233"/>
        <v>-209.20043215493706</v>
      </c>
      <c r="BY271" s="9">
        <f t="shared" ca="1" si="234"/>
        <v>-233.14316182141374</v>
      </c>
      <c r="BZ271">
        <f t="shared" ca="1" si="223"/>
        <v>313.24200663049385</v>
      </c>
      <c r="CA271" s="6">
        <f t="shared" ca="1" si="224"/>
        <v>-0.66785561235953206</v>
      </c>
      <c r="CB271" s="6">
        <f t="shared" ca="1" si="225"/>
        <v>-0.74429085782365645</v>
      </c>
      <c r="CC271" s="6">
        <f t="shared" ca="1" si="226"/>
        <v>-2.3021202612808933</v>
      </c>
      <c r="CD271" s="6">
        <f t="shared" ref="CD271:CD334" ca="1" si="239">CC271-$BZ$11</f>
        <v>-1.9517421841548466</v>
      </c>
      <c r="CE271" s="9">
        <f t="shared" ref="CE271:CE334" ca="1" si="240">BX271+$BW$5</f>
        <v>-183.90039029058107</v>
      </c>
      <c r="CF271" s="9">
        <f t="shared" ref="CF271:CF334" ca="1" si="241">BY271+$BX$5</f>
        <v>-160.84353860061782</v>
      </c>
      <c r="CG271">
        <f t="shared" ca="1" si="227"/>
        <v>244.31536476160576</v>
      </c>
      <c r="CH271">
        <f t="shared" ca="1" si="228"/>
        <v>-0.75271725325185557</v>
      </c>
      <c r="CI271">
        <f t="shared" ca="1" si="229"/>
        <v>-0.65834393492837917</v>
      </c>
      <c r="CJ271">
        <f t="shared" ca="1" si="230"/>
        <v>-2.4229761311295519</v>
      </c>
      <c r="CK271" s="39">
        <f t="shared" ca="1" si="231"/>
        <v>-2.8458300572624928</v>
      </c>
    </row>
    <row r="272" spans="55:89" x14ac:dyDescent="0.25">
      <c r="BC272">
        <v>4.7123889803846613</v>
      </c>
      <c r="BD272">
        <v>-47.520000000021355</v>
      </c>
      <c r="BE272">
        <v>-186.36943828793892</v>
      </c>
      <c r="BF272" s="6">
        <f t="shared" si="235"/>
        <v>4.462731193493056</v>
      </c>
      <c r="BG272" s="6">
        <f t="shared" si="236"/>
        <v>0.24965778689160523</v>
      </c>
      <c r="BH272" s="6">
        <f t="shared" si="237"/>
        <v>2.2433080398194711</v>
      </c>
      <c r="BI272" s="6">
        <f t="shared" si="238"/>
        <v>2.2433080398194711</v>
      </c>
      <c r="BV272" s="39"/>
      <c r="BW272" s="6">
        <f t="shared" si="232"/>
        <v>4.485496177625401</v>
      </c>
      <c r="BX272" s="9">
        <f t="shared" ca="1" si="233"/>
        <v>-202.5936087500526</v>
      </c>
      <c r="BY272" s="9">
        <f t="shared" ca="1" si="234"/>
        <v>-234.97368115474632</v>
      </c>
      <c r="BZ272">
        <f t="shared" ref="BZ272:BZ335" ca="1" si="242">SQRT(POWER(BX272,2)+POWER(BY272,2))</f>
        <v>310.25280198860696</v>
      </c>
      <c r="CA272" s="6">
        <f t="shared" ref="CA272:CA335" ca="1" si="243">BX272/BZ272</f>
        <v>-0.65299525887115817</v>
      </c>
      <c r="CB272" s="6">
        <f t="shared" ref="CB272:CB335" ca="1" si="244">BY272/BZ272</f>
        <v>-0.75736199527820858</v>
      </c>
      <c r="CC272" s="6">
        <f t="shared" ref="CC272:CC335" ca="1" si="245">ATAN2(CA272,CB272)</f>
        <v>-2.2823289115147052</v>
      </c>
      <c r="CD272" s="6">
        <f t="shared" ca="1" si="239"/>
        <v>-1.9319508343886584</v>
      </c>
      <c r="CE272" s="9">
        <f t="shared" ca="1" si="240"/>
        <v>-177.29356688569661</v>
      </c>
      <c r="CF272" s="9">
        <f t="shared" ca="1" si="241"/>
        <v>-162.67405793395039</v>
      </c>
      <c r="CG272">
        <f t="shared" ref="CG272:CG335" ca="1" si="246">SQRT(POWER(CE272,2)+POWER(CF272,2))</f>
        <v>240.615581340343</v>
      </c>
      <c r="CH272">
        <f t="shared" ref="CH272:CH335" ca="1" si="247">CE272/CG272</f>
        <v>-0.73683327529367504</v>
      </c>
      <c r="CI272">
        <f t="shared" ref="CI272:CI335" ca="1" si="248">CF272/CG272</f>
        <v>-0.67607449620585114</v>
      </c>
      <c r="CJ272">
        <f t="shared" ref="CJ272:CJ335" ca="1" si="249">ATAN2(CH272,CI272)</f>
        <v>-2.3991706628308096</v>
      </c>
      <c r="CK272" s="39">
        <f t="shared" ref="CK272:CK335" ca="1" si="250">CJ272-$U$13</f>
        <v>-2.8220245889637505</v>
      </c>
    </row>
    <row r="273" spans="55:89" x14ac:dyDescent="0.25">
      <c r="BC273">
        <v>4.7298422729046044</v>
      </c>
      <c r="BD273">
        <v>-34.803795702200148</v>
      </c>
      <c r="BE273">
        <v>-185.02933411088708</v>
      </c>
      <c r="BF273" s="6">
        <f t="shared" si="235"/>
        <v>4.526462629837928</v>
      </c>
      <c r="BG273" s="6">
        <f t="shared" si="236"/>
        <v>0.20337964306667633</v>
      </c>
      <c r="BH273" s="6">
        <f t="shared" si="237"/>
        <v>2.1795766034745991</v>
      </c>
      <c r="BI273" s="6">
        <f t="shared" si="238"/>
        <v>2.1795766034745991</v>
      </c>
      <c r="BV273" s="39"/>
      <c r="BW273" s="6">
        <f t="shared" si="232"/>
        <v>4.5029494701453441</v>
      </c>
      <c r="BX273" s="9">
        <f t="shared" ca="1" si="233"/>
        <v>-195.01069423620646</v>
      </c>
      <c r="BY273" s="9">
        <f t="shared" ca="1" si="234"/>
        <v>-236.95648484061491</v>
      </c>
      <c r="BZ273">
        <f t="shared" ca="1" si="242"/>
        <v>306.88360427775831</v>
      </c>
      <c r="CA273" s="6">
        <f t="shared" ca="1" si="243"/>
        <v>-0.63545491358249162</v>
      </c>
      <c r="CB273" s="6">
        <f t="shared" ca="1" si="244"/>
        <v>-0.77213797523750138</v>
      </c>
      <c r="CC273" s="6">
        <f t="shared" ca="1" si="245"/>
        <v>-2.2593938651017194</v>
      </c>
      <c r="CD273" s="6">
        <f t="shared" ca="1" si="239"/>
        <v>-1.9090157879756726</v>
      </c>
      <c r="CE273" s="9">
        <f t="shared" ca="1" si="240"/>
        <v>-169.71065237185047</v>
      </c>
      <c r="CF273" s="9">
        <f t="shared" ca="1" si="241"/>
        <v>-164.65686161981898</v>
      </c>
      <c r="CG273">
        <f t="shared" ca="1" si="246"/>
        <v>236.46054133188332</v>
      </c>
      <c r="CH273">
        <f t="shared" ca="1" si="247"/>
        <v>-0.7177123566407374</v>
      </c>
      <c r="CI273">
        <f t="shared" ca="1" si="248"/>
        <v>-0.69633969664611173</v>
      </c>
      <c r="CJ273">
        <f t="shared" ca="1" si="249"/>
        <v>-2.3713078183459526</v>
      </c>
      <c r="CK273" s="39">
        <f t="shared" ca="1" si="250"/>
        <v>-2.7941617444788935</v>
      </c>
    </row>
    <row r="274" spans="55:89" x14ac:dyDescent="0.25">
      <c r="BC274">
        <v>4.7472955654245474</v>
      </c>
      <c r="BD274">
        <v>-22.703611378786519</v>
      </c>
      <c r="BE274">
        <v>-183.62188750144571</v>
      </c>
      <c r="BF274" s="6">
        <f t="shared" si="235"/>
        <v>4.5893700612743054</v>
      </c>
      <c r="BG274" s="6">
        <f t="shared" si="236"/>
        <v>0.15792550415024209</v>
      </c>
      <c r="BH274" s="6">
        <f t="shared" si="237"/>
        <v>2.1166691720382218</v>
      </c>
      <c r="BI274" s="6">
        <f t="shared" si="238"/>
        <v>2.1166691720382218</v>
      </c>
      <c r="BV274" s="39"/>
      <c r="BW274" s="6">
        <f t="shared" si="232"/>
        <v>4.5204027626652872</v>
      </c>
      <c r="BX274" s="9">
        <f t="shared" ca="1" si="233"/>
        <v>-186.25478433776257</v>
      </c>
      <c r="BY274" s="9">
        <f t="shared" ca="1" si="234"/>
        <v>-239.11111348764416</v>
      </c>
      <c r="BZ274">
        <f t="shared" ca="1" si="242"/>
        <v>303.09234447938053</v>
      </c>
      <c r="CA274" s="6">
        <f t="shared" ca="1" si="243"/>
        <v>-0.61451497449627446</v>
      </c>
      <c r="CB274" s="6">
        <f t="shared" ca="1" si="244"/>
        <v>-0.78890515660619387</v>
      </c>
      <c r="CC274" s="6">
        <f t="shared" ca="1" si="245"/>
        <v>-2.2325673375875459</v>
      </c>
      <c r="CD274" s="6">
        <f t="shared" ca="1" si="239"/>
        <v>-1.8821892604614991</v>
      </c>
      <c r="CE274" s="9">
        <f t="shared" ca="1" si="240"/>
        <v>-160.95474247340658</v>
      </c>
      <c r="CF274" s="9">
        <f t="shared" ca="1" si="241"/>
        <v>-166.81149026684824</v>
      </c>
      <c r="CG274">
        <f t="shared" ca="1" si="246"/>
        <v>231.80272304208904</v>
      </c>
      <c r="CH274">
        <f t="shared" ca="1" si="247"/>
        <v>-0.69436087877268637</v>
      </c>
      <c r="CI274">
        <f t="shared" ca="1" si="248"/>
        <v>-0.71962696588581421</v>
      </c>
      <c r="CJ274">
        <f t="shared" ca="1" si="249"/>
        <v>-2.3383277180993423</v>
      </c>
      <c r="CK274" s="39">
        <f t="shared" ca="1" si="250"/>
        <v>-2.7611816442322832</v>
      </c>
    </row>
    <row r="275" spans="55:89" x14ac:dyDescent="0.25">
      <c r="BC275">
        <v>4.7647488579444905</v>
      </c>
      <c r="BD275">
        <v>-11.81153405862792</v>
      </c>
      <c r="BE275">
        <v>-182.02213264415323</v>
      </c>
      <c r="BF275" s="6">
        <f t="shared" si="235"/>
        <v>4.6475891838253105</v>
      </c>
      <c r="BG275" s="6">
        <f t="shared" si="236"/>
        <v>0.11715967411918005</v>
      </c>
      <c r="BH275" s="6">
        <f t="shared" si="237"/>
        <v>2.0584500494872167</v>
      </c>
      <c r="BI275" s="6">
        <f t="shared" si="238"/>
        <v>2.0584500494872167</v>
      </c>
      <c r="BV275" s="39"/>
      <c r="BW275" s="6">
        <f t="shared" si="232"/>
        <v>4.5378560551852303</v>
      </c>
      <c r="BX275" s="9">
        <f t="shared" ca="1" si="233"/>
        <v>-177.06966984591523</v>
      </c>
      <c r="BY275" s="9">
        <f t="shared" ca="1" si="234"/>
        <v>-241.25493710844427</v>
      </c>
      <c r="BZ275">
        <f t="shared" ca="1" si="242"/>
        <v>299.26177948167856</v>
      </c>
      <c r="CA275" s="6">
        <f t="shared" ca="1" si="243"/>
        <v>-0.59168822076978866</v>
      </c>
      <c r="CB275" s="6">
        <f t="shared" ca="1" si="244"/>
        <v>-0.80616688681828286</v>
      </c>
      <c r="CC275" s="6">
        <f t="shared" ca="1" si="245"/>
        <v>-2.2039476953416317</v>
      </c>
      <c r="CD275" s="6">
        <f t="shared" ca="1" si="239"/>
        <v>-1.853569618215585</v>
      </c>
      <c r="CE275" s="9">
        <f t="shared" ca="1" si="240"/>
        <v>-151.76962798155924</v>
      </c>
      <c r="CF275" s="9">
        <f t="shared" ca="1" si="241"/>
        <v>-168.95531388764834</v>
      </c>
      <c r="CG275">
        <f t="shared" ca="1" si="246"/>
        <v>227.11212664350327</v>
      </c>
      <c r="CH275">
        <f t="shared" ca="1" si="247"/>
        <v>-0.66825858321423426</v>
      </c>
      <c r="CI275">
        <f t="shared" ca="1" si="248"/>
        <v>-0.743929073205574</v>
      </c>
      <c r="CJ275">
        <f t="shared" ca="1" si="249"/>
        <v>-2.3026618087181392</v>
      </c>
      <c r="CK275" s="39">
        <f t="shared" ca="1" si="250"/>
        <v>-2.7255157348510801</v>
      </c>
    </row>
    <row r="276" spans="55:89" x14ac:dyDescent="0.25">
      <c r="BC276">
        <v>4.7822021504644336</v>
      </c>
      <c r="BD276">
        <v>-1.4290885297389515</v>
      </c>
      <c r="BE276">
        <v>-180.32999188733726</v>
      </c>
      <c r="BF276" s="6">
        <f t="shared" si="235"/>
        <v>4.7044642940984005</v>
      </c>
      <c r="BG276" s="6">
        <f t="shared" si="236"/>
        <v>7.7737856366033142E-2</v>
      </c>
      <c r="BH276" s="6">
        <f t="shared" si="237"/>
        <v>2.0015749392141267</v>
      </c>
      <c r="BI276" s="6">
        <f t="shared" si="238"/>
        <v>2.0015749392141267</v>
      </c>
      <c r="BV276" s="39"/>
      <c r="BW276" s="6">
        <f t="shared" si="232"/>
        <v>4.5553093477051734</v>
      </c>
      <c r="BX276" s="9">
        <f t="shared" ca="1" si="233"/>
        <v>-167.76942053104017</v>
      </c>
      <c r="BY276" s="9">
        <f t="shared" ca="1" si="234"/>
        <v>-243.31909018579148</v>
      </c>
      <c r="BZ276">
        <f t="shared" ca="1" si="242"/>
        <v>295.55161666646717</v>
      </c>
      <c r="CA276" s="6">
        <f t="shared" ca="1" si="243"/>
        <v>-0.56764846162343807</v>
      </c>
      <c r="CB276" s="6">
        <f t="shared" ca="1" si="244"/>
        <v>-0.82327105136555356</v>
      </c>
      <c r="CC276" s="6">
        <f t="shared" ca="1" si="245"/>
        <v>-2.1744430242863686</v>
      </c>
      <c r="CD276" s="6">
        <f t="shared" ca="1" si="239"/>
        <v>-1.8240649471603219</v>
      </c>
      <c r="CE276" s="9">
        <f t="shared" ca="1" si="240"/>
        <v>-142.46937866668418</v>
      </c>
      <c r="CF276" s="9">
        <f t="shared" ca="1" si="241"/>
        <v>-171.01946696499556</v>
      </c>
      <c r="CG276">
        <f t="shared" ca="1" si="246"/>
        <v>222.58747030922979</v>
      </c>
      <c r="CH276">
        <f t="shared" ca="1" si="247"/>
        <v>-0.64006019057927432</v>
      </c>
      <c r="CI276">
        <f t="shared" ca="1" si="248"/>
        <v>-0.76832477015622958</v>
      </c>
      <c r="CJ276">
        <f t="shared" ca="1" si="249"/>
        <v>-2.2653729298872305</v>
      </c>
      <c r="CK276" s="39">
        <f t="shared" ca="1" si="250"/>
        <v>-2.6882268560201714</v>
      </c>
    </row>
    <row r="277" spans="55:89" x14ac:dyDescent="0.25">
      <c r="BC277">
        <v>4.7996554429843767</v>
      </c>
      <c r="BD277">
        <v>8.7216409775420125</v>
      </c>
      <c r="BE277">
        <v>-178.58662490175931</v>
      </c>
      <c r="BF277" s="6">
        <f t="shared" si="235"/>
        <v>4.7611872429709745</v>
      </c>
      <c r="BG277" s="6">
        <f t="shared" si="236"/>
        <v>3.8468200013402232E-2</v>
      </c>
      <c r="BH277" s="6">
        <f t="shared" si="237"/>
        <v>1.9448519903415526</v>
      </c>
      <c r="BI277" s="6">
        <f t="shared" si="238"/>
        <v>1.9448519903415526</v>
      </c>
      <c r="BV277" s="39"/>
      <c r="BW277" s="6">
        <f t="shared" si="232"/>
        <v>4.5727626402251165</v>
      </c>
      <c r="BX277" s="9">
        <f t="shared" ca="1" si="233"/>
        <v>-158.33695866381345</v>
      </c>
      <c r="BY277" s="9">
        <f t="shared" ca="1" si="234"/>
        <v>-245.30915896978831</v>
      </c>
      <c r="BZ277">
        <f t="shared" ca="1" si="242"/>
        <v>291.97119027974497</v>
      </c>
      <c r="CA277" s="6">
        <f t="shared" ca="1" si="243"/>
        <v>-0.54230336394528111</v>
      </c>
      <c r="CB277" s="6">
        <f t="shared" ca="1" si="244"/>
        <v>-0.84018275479423643</v>
      </c>
      <c r="CC277" s="6">
        <f t="shared" ca="1" si="245"/>
        <v>-2.1439725217939971</v>
      </c>
      <c r="CD277" s="6">
        <f t="shared" ca="1" si="239"/>
        <v>-1.7935944446679504</v>
      </c>
      <c r="CE277" s="9">
        <f t="shared" ca="1" si="240"/>
        <v>-133.03691679945746</v>
      </c>
      <c r="CF277" s="9">
        <f t="shared" ca="1" si="241"/>
        <v>-173.00953574899239</v>
      </c>
      <c r="CG277">
        <f t="shared" ca="1" si="246"/>
        <v>218.24555136723322</v>
      </c>
      <c r="CH277">
        <f t="shared" ca="1" si="247"/>
        <v>-0.609574472267714</v>
      </c>
      <c r="CI277">
        <f t="shared" ca="1" si="248"/>
        <v>-0.79272880782745503</v>
      </c>
      <c r="CJ277">
        <f t="shared" ca="1" si="249"/>
        <v>-2.2263200183328054</v>
      </c>
      <c r="CK277" s="39">
        <f t="shared" ca="1" si="250"/>
        <v>-2.6491739444657458</v>
      </c>
    </row>
    <row r="278" spans="55:89" x14ac:dyDescent="0.25">
      <c r="BC278">
        <v>4.8171087355043198</v>
      </c>
      <c r="BD278">
        <v>18.662465625323097</v>
      </c>
      <c r="BE278">
        <v>-176.78830641762275</v>
      </c>
      <c r="BF278" s="6">
        <f t="shared" si="235"/>
        <v>4.817563370222647</v>
      </c>
      <c r="BG278" s="6">
        <f t="shared" si="236"/>
        <v>4.5463471832718483E-4</v>
      </c>
      <c r="BH278" s="6">
        <f t="shared" si="237"/>
        <v>1.8884758630898804</v>
      </c>
      <c r="BI278" s="6">
        <f t="shared" si="238"/>
        <v>1.8884758630898804</v>
      </c>
      <c r="BV278" s="39"/>
      <c r="BW278" s="6">
        <f t="shared" si="232"/>
        <v>4.5902159327450596</v>
      </c>
      <c r="BX278" s="9">
        <f t="shared" ca="1" si="233"/>
        <v>-148.75429862917366</v>
      </c>
      <c r="BY278" s="9">
        <f t="shared" ca="1" si="234"/>
        <v>-247.23044339871888</v>
      </c>
      <c r="BZ278">
        <f t="shared" ca="1" si="242"/>
        <v>288.5320320238024</v>
      </c>
      <c r="CA278" s="6">
        <f t="shared" ca="1" si="243"/>
        <v>-0.5155555783037018</v>
      </c>
      <c r="CB278" s="6">
        <f t="shared" ca="1" si="244"/>
        <v>-0.85685614059767079</v>
      </c>
      <c r="CC278" s="6">
        <f t="shared" ca="1" si="245"/>
        <v>-2.1124522412380529</v>
      </c>
      <c r="CD278" s="6">
        <f t="shared" ca="1" si="239"/>
        <v>-1.7620741641120061</v>
      </c>
      <c r="CE278" s="9">
        <f t="shared" ca="1" si="240"/>
        <v>-123.45425676481767</v>
      </c>
      <c r="CF278" s="9">
        <f t="shared" ca="1" si="241"/>
        <v>-174.93082017792295</v>
      </c>
      <c r="CG278">
        <f t="shared" ca="1" si="246"/>
        <v>214.10685500813454</v>
      </c>
      <c r="CH278">
        <f t="shared" ca="1" si="247"/>
        <v>-0.576601140398458</v>
      </c>
      <c r="CI278">
        <f t="shared" ca="1" si="248"/>
        <v>-0.81702577982043978</v>
      </c>
      <c r="CJ278">
        <f t="shared" ca="1" si="249"/>
        <v>-2.1853588411168601</v>
      </c>
      <c r="CK278" s="39">
        <f t="shared" ca="1" si="250"/>
        <v>-2.6082127672498006</v>
      </c>
    </row>
    <row r="279" spans="55:89" x14ac:dyDescent="0.25">
      <c r="BC279">
        <v>4.8345620280242629</v>
      </c>
      <c r="BD279">
        <v>28.414256764796463</v>
      </c>
      <c r="BE279">
        <v>-174.93082017794214</v>
      </c>
      <c r="BF279" s="6">
        <f t="shared" si="235"/>
        <v>4.8734140420448764</v>
      </c>
      <c r="BG279" s="6">
        <f t="shared" si="236"/>
        <v>3.8852014020613446E-2</v>
      </c>
      <c r="BH279" s="6">
        <f t="shared" si="237"/>
        <v>1.832625191267651</v>
      </c>
      <c r="BI279" s="6">
        <f t="shared" si="238"/>
        <v>1.832625191267651</v>
      </c>
      <c r="BV279" s="39"/>
      <c r="BW279" s="6">
        <f t="shared" si="232"/>
        <v>4.6076692252650027</v>
      </c>
      <c r="BX279" s="9">
        <f t="shared" ca="1" si="233"/>
        <v>-139.00250748982046</v>
      </c>
      <c r="BY279" s="9">
        <f t="shared" ca="1" si="234"/>
        <v>-249.08792963853602</v>
      </c>
      <c r="BZ279">
        <f t="shared" ca="1" si="242"/>
        <v>285.24812668985203</v>
      </c>
      <c r="CA279" s="6">
        <f t="shared" ca="1" si="243"/>
        <v>-0.48730384000367777</v>
      </c>
      <c r="CB279" s="6">
        <f t="shared" ca="1" si="244"/>
        <v>-0.87323248194147585</v>
      </c>
      <c r="CC279" s="6">
        <f t="shared" ca="1" si="245"/>
        <v>-2.0797958476229659</v>
      </c>
      <c r="CD279" s="6">
        <f t="shared" ca="1" si="239"/>
        <v>-1.7294177704969191</v>
      </c>
      <c r="CE279" s="9">
        <f t="shared" ca="1" si="240"/>
        <v>-113.70246562546447</v>
      </c>
      <c r="CF279" s="9">
        <f t="shared" ca="1" si="241"/>
        <v>-176.7883064177401</v>
      </c>
      <c r="CG279">
        <f t="shared" ca="1" si="246"/>
        <v>210.19599419437731</v>
      </c>
      <c r="CH279">
        <f t="shared" ca="1" si="247"/>
        <v>-0.5409354543660756</v>
      </c>
      <c r="CI279">
        <f t="shared" ca="1" si="248"/>
        <v>-0.84106410826391076</v>
      </c>
      <c r="CJ279">
        <f t="shared" ca="1" si="249"/>
        <v>-2.14234526608585</v>
      </c>
      <c r="CK279" s="39">
        <f t="shared" ca="1" si="250"/>
        <v>-2.5651991922187909</v>
      </c>
    </row>
    <row r="280" spans="55:89" x14ac:dyDescent="0.25">
      <c r="BC280">
        <v>4.852015320544206</v>
      </c>
      <c r="BD280">
        <v>37.996916799578415</v>
      </c>
      <c r="BE280">
        <v>-173.00953574920527</v>
      </c>
      <c r="BF280" s="6">
        <f t="shared" si="235"/>
        <v>4.9285799013774492</v>
      </c>
      <c r="BG280" s="6">
        <f t="shared" si="236"/>
        <v>7.6564580833243134E-2</v>
      </c>
      <c r="BH280" s="6">
        <f t="shared" si="237"/>
        <v>1.7774593319350782</v>
      </c>
      <c r="BI280" s="6">
        <f t="shared" si="238"/>
        <v>1.7774593319350782</v>
      </c>
      <c r="BV280" s="39"/>
      <c r="BW280" s="6">
        <f t="shared" si="232"/>
        <v>4.6251225177849458</v>
      </c>
      <c r="BX280" s="9">
        <f t="shared" ca="1" si="233"/>
        <v>-129.06168284203835</v>
      </c>
      <c r="BY280" s="9">
        <f t="shared" ca="1" si="234"/>
        <v>-250.88624812265988</v>
      </c>
      <c r="BZ280">
        <f t="shared" ca="1" si="242"/>
        <v>282.13618604334283</v>
      </c>
      <c r="CA280" s="6">
        <f t="shared" ca="1" si="243"/>
        <v>-0.45744462860999829</v>
      </c>
      <c r="CB280" s="6">
        <f t="shared" ca="1" si="244"/>
        <v>-0.88923810745821086</v>
      </c>
      <c r="CC280" s="6">
        <f t="shared" ca="1" si="245"/>
        <v>-2.0459157303263735</v>
      </c>
      <c r="CD280" s="6">
        <f t="shared" ca="1" si="239"/>
        <v>-1.6955376532003268</v>
      </c>
      <c r="CE280" s="9">
        <f t="shared" ca="1" si="240"/>
        <v>-103.76164097768236</v>
      </c>
      <c r="CF280" s="9">
        <f t="shared" ca="1" si="241"/>
        <v>-178.58662490186396</v>
      </c>
      <c r="CG280">
        <f t="shared" ca="1" si="246"/>
        <v>206.54215243436511</v>
      </c>
      <c r="CH280">
        <f t="shared" ca="1" si="247"/>
        <v>-0.50237513144274848</v>
      </c>
      <c r="CI280">
        <f t="shared" ca="1" si="248"/>
        <v>-0.86464977147275135</v>
      </c>
      <c r="CJ280">
        <f t="shared" ca="1" si="249"/>
        <v>-2.0971398461620936</v>
      </c>
      <c r="CK280" s="39">
        <f t="shared" ca="1" si="250"/>
        <v>-2.5199937722950345</v>
      </c>
    </row>
    <row r="281" spans="55:89" x14ac:dyDescent="0.25">
      <c r="BC281">
        <v>4.8694686130641491</v>
      </c>
      <c r="BD281">
        <v>47.429378666463471</v>
      </c>
      <c r="BE281">
        <v>-171.01946696472069</v>
      </c>
      <c r="BF281" s="6">
        <f t="shared" si="235"/>
        <v>4.9829230664750206</v>
      </c>
      <c r="BG281" s="6">
        <f t="shared" si="236"/>
        <v>0.11345445341087146</v>
      </c>
      <c r="BH281" s="6">
        <f t="shared" si="237"/>
        <v>1.7231161668375068</v>
      </c>
      <c r="BI281" s="6">
        <f t="shared" si="238"/>
        <v>1.7231161668375068</v>
      </c>
      <c r="BV281" s="39"/>
      <c r="BW281" s="6">
        <f t="shared" si="232"/>
        <v>4.6425758103048889</v>
      </c>
      <c r="BX281" s="9">
        <f t="shared" ca="1" si="233"/>
        <v>-118.91095333455414</v>
      </c>
      <c r="BY281" s="9">
        <f t="shared" ca="1" si="234"/>
        <v>-252.62961510803768</v>
      </c>
      <c r="BZ281">
        <f t="shared" ca="1" si="242"/>
        <v>279.21593302060643</v>
      </c>
      <c r="CA281" s="6">
        <f t="shared" ca="1" si="243"/>
        <v>-0.42587452674406795</v>
      </c>
      <c r="CB281" s="6">
        <f t="shared" ca="1" si="244"/>
        <v>-0.90478223207052211</v>
      </c>
      <c r="CC281" s="6">
        <f t="shared" ca="1" si="245"/>
        <v>-2.0107245532602058</v>
      </c>
      <c r="CD281" s="6">
        <f t="shared" ca="1" si="239"/>
        <v>-1.6603464761341591</v>
      </c>
      <c r="CE281" s="9">
        <f t="shared" ca="1" si="240"/>
        <v>-93.610911470198147</v>
      </c>
      <c r="CF281" s="9">
        <f t="shared" ca="1" si="241"/>
        <v>-180.32999188724176</v>
      </c>
      <c r="CG281">
        <f t="shared" ca="1" si="246"/>
        <v>203.17949876976749</v>
      </c>
      <c r="CH281">
        <f t="shared" ca="1" si="247"/>
        <v>-0.46073010336674369</v>
      </c>
      <c r="CI281">
        <f t="shared" ca="1" si="248"/>
        <v>-0.88754029308627436</v>
      </c>
      <c r="CJ281">
        <f t="shared" ca="1" si="249"/>
        <v>-2.0496139641760602</v>
      </c>
      <c r="CK281" s="39">
        <f t="shared" ca="1" si="250"/>
        <v>-2.4724678903090007</v>
      </c>
    </row>
    <row r="282" spans="55:89" x14ac:dyDescent="0.25">
      <c r="BC282">
        <v>4.8869219055840922</v>
      </c>
      <c r="BD282">
        <v>56.729627981575277</v>
      </c>
      <c r="BE282">
        <v>-168.95531388772991</v>
      </c>
      <c r="BF282" s="6">
        <f t="shared" si="235"/>
        <v>5.0363282817367425</v>
      </c>
      <c r="BG282" s="6">
        <f t="shared" si="236"/>
        <v>0.14940637615265029</v>
      </c>
      <c r="BH282" s="6">
        <f t="shared" si="237"/>
        <v>1.6697109515757849</v>
      </c>
      <c r="BI282" s="6">
        <f t="shared" si="238"/>
        <v>1.6697109515757849</v>
      </c>
      <c r="BV282" s="39"/>
      <c r="BW282" s="6">
        <f t="shared" si="232"/>
        <v>4.660029102824832</v>
      </c>
      <c r="BX282" s="9">
        <f t="shared" ca="1" si="233"/>
        <v>-108.52850780578984</v>
      </c>
      <c r="BY282" s="9">
        <f t="shared" ca="1" si="234"/>
        <v>-254.32175586496669</v>
      </c>
      <c r="BZ282">
        <f t="shared" ca="1" si="242"/>
        <v>276.51038409577154</v>
      </c>
      <c r="CA282" s="6">
        <f t="shared" ca="1" si="243"/>
        <v>-0.39249342537602544</v>
      </c>
      <c r="CB282" s="6">
        <f t="shared" ca="1" si="244"/>
        <v>-0.91975481028184591</v>
      </c>
      <c r="CC282" s="6">
        <f t="shared" ca="1" si="245"/>
        <v>-1.9741373239764828</v>
      </c>
      <c r="CD282" s="6">
        <f t="shared" ca="1" si="239"/>
        <v>-1.623759246850436</v>
      </c>
      <c r="CE282" s="9">
        <f t="shared" ca="1" si="240"/>
        <v>-83.228465941433853</v>
      </c>
      <c r="CF282" s="9">
        <f t="shared" ca="1" si="241"/>
        <v>-182.02213264417077</v>
      </c>
      <c r="CG282">
        <f t="shared" ca="1" si="246"/>
        <v>200.14753137447514</v>
      </c>
      <c r="CH282">
        <f t="shared" ca="1" si="247"/>
        <v>-0.41583558572957746</v>
      </c>
      <c r="CI282">
        <f t="shared" ca="1" si="248"/>
        <v>-0.9094398086959572</v>
      </c>
      <c r="CJ282">
        <f t="shared" ca="1" si="249"/>
        <v>-1.999657728660911</v>
      </c>
      <c r="CK282" s="39">
        <f t="shared" ca="1" si="250"/>
        <v>-2.4225116547938517</v>
      </c>
    </row>
    <row r="283" spans="55:89" x14ac:dyDescent="0.25">
      <c r="BC283">
        <v>4.9043751981040353</v>
      </c>
      <c r="BD283">
        <v>65.914742473497853</v>
      </c>
      <c r="BE283">
        <v>-166.81149026706777</v>
      </c>
      <c r="BF283" s="6">
        <f t="shared" si="235"/>
        <v>5.0887031023867024</v>
      </c>
      <c r="BG283" s="6">
        <f t="shared" si="236"/>
        <v>0.1843279042826671</v>
      </c>
      <c r="BH283" s="6">
        <f t="shared" si="237"/>
        <v>1.617336130925825</v>
      </c>
      <c r="BI283" s="6">
        <f t="shared" si="238"/>
        <v>1.617336130925825</v>
      </c>
      <c r="BV283" s="39"/>
      <c r="BW283" s="6">
        <f t="shared" si="232"/>
        <v>4.6774823953447751</v>
      </c>
      <c r="BX283" s="9">
        <f t="shared" ca="1" si="233"/>
        <v>-97.636430485624246</v>
      </c>
      <c r="BY283" s="9">
        <f t="shared" ca="1" si="234"/>
        <v>-255.92151072213142</v>
      </c>
      <c r="BZ283">
        <f t="shared" ca="1" si="242"/>
        <v>273.91365830909592</v>
      </c>
      <c r="CA283" s="6">
        <f t="shared" ca="1" si="243"/>
        <v>-0.35644966040885451</v>
      </c>
      <c r="CB283" s="6">
        <f t="shared" ca="1" si="244"/>
        <v>-0.93431452926432246</v>
      </c>
      <c r="CC283" s="6">
        <f t="shared" ca="1" si="245"/>
        <v>-1.9352615121759633</v>
      </c>
      <c r="CD283" s="6">
        <f t="shared" ca="1" si="239"/>
        <v>-1.5848834350499166</v>
      </c>
      <c r="CE283" s="9">
        <f t="shared" ca="1" si="240"/>
        <v>-72.336388621268256</v>
      </c>
      <c r="CF283" s="9">
        <f t="shared" ca="1" si="241"/>
        <v>-183.62188750133549</v>
      </c>
      <c r="CG283">
        <f t="shared" ca="1" si="246"/>
        <v>197.35640523763161</v>
      </c>
      <c r="CH283">
        <f t="shared" ca="1" si="247"/>
        <v>-0.36652668320630349</v>
      </c>
      <c r="CI283">
        <f t="shared" ca="1" si="248"/>
        <v>-0.93040754000480119</v>
      </c>
      <c r="CJ283">
        <f t="shared" ca="1" si="249"/>
        <v>-1.9460694763977122</v>
      </c>
      <c r="CK283" s="39">
        <f t="shared" ca="1" si="250"/>
        <v>-2.3689234025306529</v>
      </c>
    </row>
    <row r="284" spans="55:89" x14ac:dyDescent="0.25">
      <c r="BC284">
        <v>4.9218284906239784</v>
      </c>
      <c r="BD284">
        <v>74.670652371728409</v>
      </c>
      <c r="BE284">
        <v>-164.65686161968571</v>
      </c>
      <c r="BF284" s="6">
        <f t="shared" si="235"/>
        <v>5.138143476127544</v>
      </c>
      <c r="BG284" s="6">
        <f t="shared" si="236"/>
        <v>0.21631498550356554</v>
      </c>
      <c r="BH284" s="6">
        <f t="shared" si="237"/>
        <v>1.5678957571849834</v>
      </c>
      <c r="BI284" s="6">
        <f t="shared" si="238"/>
        <v>1.5678957571849834</v>
      </c>
      <c r="BV284" s="39"/>
      <c r="BW284" s="6">
        <f t="shared" si="232"/>
        <v>4.6949356878647182</v>
      </c>
      <c r="BX284" s="9">
        <f t="shared" ca="1" si="233"/>
        <v>-85.536246162192128</v>
      </c>
      <c r="BY284" s="9">
        <f t="shared" ca="1" si="234"/>
        <v>-257.32895733172916</v>
      </c>
      <c r="BZ284">
        <f t="shared" ca="1" si="242"/>
        <v>271.17271560567082</v>
      </c>
      <c r="CA284" s="6">
        <f t="shared" ca="1" si="243"/>
        <v>-0.31543087205932518</v>
      </c>
      <c r="CB284" s="6">
        <f t="shared" ca="1" si="244"/>
        <v>-0.94894855758986929</v>
      </c>
      <c r="CC284" s="6">
        <f t="shared" ca="1" si="245"/>
        <v>-1.8917069986734414</v>
      </c>
      <c r="CD284" s="6">
        <f t="shared" ca="1" si="239"/>
        <v>-1.5413289215473946</v>
      </c>
      <c r="CE284" s="9">
        <f t="shared" ca="1" si="240"/>
        <v>-60.236204297836139</v>
      </c>
      <c r="CF284" s="9">
        <f t="shared" ca="1" si="241"/>
        <v>-185.02933411093323</v>
      </c>
      <c r="CG284">
        <f t="shared" ca="1" si="246"/>
        <v>194.58739627670136</v>
      </c>
      <c r="CH284">
        <f t="shared" ca="1" si="247"/>
        <v>-0.30955861196775997</v>
      </c>
      <c r="CI284">
        <f t="shared" ca="1" si="248"/>
        <v>-0.95088036353507377</v>
      </c>
      <c r="CJ284">
        <f t="shared" ca="1" si="249"/>
        <v>-1.8855251353221223</v>
      </c>
      <c r="CK284" s="39">
        <f t="shared" ca="1" si="250"/>
        <v>-2.3083790614550628</v>
      </c>
    </row>
    <row r="285" spans="55:89" x14ac:dyDescent="0.25">
      <c r="BC285">
        <v>4.9392817831439215</v>
      </c>
      <c r="BD285">
        <v>82.253566885727778</v>
      </c>
      <c r="BE285">
        <v>-162.67405793402099</v>
      </c>
      <c r="BF285" s="6">
        <f t="shared" si="235"/>
        <v>5.1805337824961883</v>
      </c>
      <c r="BG285" s="6">
        <f t="shared" si="236"/>
        <v>0.24125199935226682</v>
      </c>
      <c r="BH285" s="6">
        <f t="shared" si="237"/>
        <v>1.525505450816339</v>
      </c>
      <c r="BI285" s="6">
        <f t="shared" si="238"/>
        <v>1.525505450816339</v>
      </c>
      <c r="BV285" s="39"/>
      <c r="BW285" s="6">
        <f t="shared" si="232"/>
        <v>4.7123889803846613</v>
      </c>
      <c r="BX285" s="9">
        <f t="shared" ca="1" si="233"/>
        <v>-72.820041864377345</v>
      </c>
      <c r="BY285" s="9">
        <f t="shared" ca="1" si="234"/>
        <v>-258.66906150873484</v>
      </c>
      <c r="BZ285">
        <f t="shared" ca="1" si="242"/>
        <v>268.72372779294972</v>
      </c>
      <c r="CA285" s="6">
        <f t="shared" ca="1" si="243"/>
        <v>-0.27098478598244524</v>
      </c>
      <c r="CB285" s="6">
        <f t="shared" ca="1" si="244"/>
        <v>-0.9625836305308999</v>
      </c>
      <c r="CC285" s="6">
        <f t="shared" ca="1" si="245"/>
        <v>-1.845212276530332</v>
      </c>
      <c r="CD285" s="6">
        <f t="shared" ca="1" si="239"/>
        <v>-1.4948341994042853</v>
      </c>
      <c r="CE285" s="9">
        <f t="shared" ca="1" si="240"/>
        <v>-47.520000000021355</v>
      </c>
      <c r="CF285" s="9">
        <f t="shared" ca="1" si="241"/>
        <v>-186.36943828793892</v>
      </c>
      <c r="CG285">
        <f t="shared" ca="1" si="246"/>
        <v>192.33231119019993</v>
      </c>
      <c r="CH285">
        <f t="shared" ca="1" si="247"/>
        <v>-0.24707237024271084</v>
      </c>
      <c r="CI285">
        <f t="shared" ca="1" si="248"/>
        <v>-0.96899702985233593</v>
      </c>
      <c r="CJ285">
        <f t="shared" ca="1" si="249"/>
        <v>-1.82045411368653</v>
      </c>
      <c r="CK285" s="39">
        <f t="shared" ca="1" si="250"/>
        <v>-2.2433080398194707</v>
      </c>
    </row>
    <row r="286" spans="55:89" x14ac:dyDescent="0.25">
      <c r="BC286">
        <v>4.9567350756638646</v>
      </c>
      <c r="BD286">
        <v>88.860390290440378</v>
      </c>
      <c r="BE286">
        <v>-160.84353860050254</v>
      </c>
      <c r="BF286" s="6">
        <f t="shared" si="235"/>
        <v>5.2171225676499997</v>
      </c>
      <c r="BG286" s="6">
        <f t="shared" si="236"/>
        <v>0.26038749198613509</v>
      </c>
      <c r="BH286" s="6">
        <f t="shared" si="237"/>
        <v>1.4889166656625277</v>
      </c>
      <c r="BI286" s="6">
        <f t="shared" si="238"/>
        <v>1.4889166656625277</v>
      </c>
      <c r="BV286" s="39"/>
      <c r="BW286" s="6">
        <f t="shared" si="232"/>
        <v>4.7298422729046044</v>
      </c>
      <c r="BX286" s="9">
        <f t="shared" ca="1" si="233"/>
        <v>-60.103837566556138</v>
      </c>
      <c r="BY286" s="9">
        <f t="shared" ca="1" si="234"/>
        <v>-257.328957331683</v>
      </c>
      <c r="BZ286">
        <f t="shared" ca="1" si="242"/>
        <v>264.25492156559375</v>
      </c>
      <c r="CA286" s="6">
        <f t="shared" ca="1" si="243"/>
        <v>-0.22744642639186219</v>
      </c>
      <c r="CB286" s="6">
        <f t="shared" ca="1" si="244"/>
        <v>-0.9737905951083996</v>
      </c>
      <c r="CC286" s="6">
        <f t="shared" ca="1" si="245"/>
        <v>-1.8002509004950029</v>
      </c>
      <c r="CD286" s="6">
        <f t="shared" ca="1" si="239"/>
        <v>-1.4498728233689562</v>
      </c>
      <c r="CE286" s="9">
        <f t="shared" ca="1" si="240"/>
        <v>-34.803795702200148</v>
      </c>
      <c r="CF286" s="9">
        <f t="shared" ca="1" si="241"/>
        <v>-185.02933411088708</v>
      </c>
      <c r="CG286">
        <f t="shared" ca="1" si="246"/>
        <v>188.27415828200844</v>
      </c>
      <c r="CH286">
        <f t="shared" ca="1" si="247"/>
        <v>-0.18485699800643332</v>
      </c>
      <c r="CI286">
        <f t="shared" ca="1" si="248"/>
        <v>-0.98276542994147353</v>
      </c>
      <c r="CJ286">
        <f t="shared" ca="1" si="249"/>
        <v>-1.7567226773416587</v>
      </c>
      <c r="CK286" s="39">
        <f t="shared" ca="1" si="250"/>
        <v>-2.1795766034745991</v>
      </c>
    </row>
    <row r="287" spans="55:89" x14ac:dyDescent="0.25">
      <c r="BC287">
        <v>4.9741883681838077</v>
      </c>
      <c r="BD287">
        <v>94.678245245773965</v>
      </c>
      <c r="BE287">
        <v>-159.14078639782565</v>
      </c>
      <c r="BF287" s="6">
        <f t="shared" si="235"/>
        <v>5.2490750640833754</v>
      </c>
      <c r="BG287" s="6">
        <f t="shared" si="236"/>
        <v>0.27488669589956771</v>
      </c>
      <c r="BH287" s="6">
        <f t="shared" si="237"/>
        <v>1.456964169229152</v>
      </c>
      <c r="BI287" s="6">
        <f t="shared" si="238"/>
        <v>1.456964169229152</v>
      </c>
      <c r="BV287" s="39"/>
      <c r="BW287" s="6">
        <f t="shared" si="232"/>
        <v>4.7472955654245474</v>
      </c>
      <c r="BX287" s="9">
        <f t="shared" ca="1" si="233"/>
        <v>-48.003653243142509</v>
      </c>
      <c r="BY287" s="9">
        <f t="shared" ca="1" si="234"/>
        <v>-255.92151072224163</v>
      </c>
      <c r="BZ287">
        <f t="shared" ca="1" si="242"/>
        <v>260.38465848632922</v>
      </c>
      <c r="CA287" s="6">
        <f t="shared" ca="1" si="243"/>
        <v>-0.18435668799459171</v>
      </c>
      <c r="CB287" s="6">
        <f t="shared" ca="1" si="244"/>
        <v>-0.98285940581126097</v>
      </c>
      <c r="CC287" s="6">
        <f t="shared" ca="1" si="245"/>
        <v>-1.7562136178386067</v>
      </c>
      <c r="CD287" s="6">
        <f t="shared" ca="1" si="239"/>
        <v>-1.40583554071256</v>
      </c>
      <c r="CE287" s="9">
        <f t="shared" ca="1" si="240"/>
        <v>-22.703611378786519</v>
      </c>
      <c r="CF287" s="9">
        <f t="shared" ca="1" si="241"/>
        <v>-183.62188750144571</v>
      </c>
      <c r="CG287">
        <f t="shared" ca="1" si="246"/>
        <v>185.02013819914995</v>
      </c>
      <c r="CH287">
        <f t="shared" ca="1" si="247"/>
        <v>-0.1227088661794699</v>
      </c>
      <c r="CI287">
        <f t="shared" ca="1" si="248"/>
        <v>-0.99244271077022328</v>
      </c>
      <c r="CJ287">
        <f t="shared" ca="1" si="249"/>
        <v>-1.6938152459052807</v>
      </c>
      <c r="CK287" s="39">
        <f t="shared" ca="1" si="250"/>
        <v>-2.1166691720382214</v>
      </c>
    </row>
    <row r="288" spans="55:89" x14ac:dyDescent="0.25">
      <c r="BC288">
        <v>4.9916416607037508</v>
      </c>
      <c r="BD288">
        <v>99.848844932983269</v>
      </c>
      <c r="BE288">
        <v>-157.54640527365257</v>
      </c>
      <c r="BF288" s="6">
        <f t="shared" si="235"/>
        <v>5.2772729571830119</v>
      </c>
      <c r="BG288" s="6">
        <f t="shared" si="236"/>
        <v>0.28563129647926111</v>
      </c>
      <c r="BH288" s="6">
        <f t="shared" si="237"/>
        <v>1.4287662761295155</v>
      </c>
      <c r="BI288" s="6">
        <f t="shared" si="238"/>
        <v>1.4287662761295155</v>
      </c>
      <c r="BV288" s="39"/>
      <c r="BW288" s="6">
        <f t="shared" si="232"/>
        <v>4.7647488579444905</v>
      </c>
      <c r="BX288" s="9">
        <f t="shared" ca="1" si="233"/>
        <v>-37.11157592298391</v>
      </c>
      <c r="BY288" s="9">
        <f t="shared" ca="1" si="234"/>
        <v>-254.32175586494918</v>
      </c>
      <c r="BZ288">
        <f t="shared" ca="1" si="242"/>
        <v>257.0152224552433</v>
      </c>
      <c r="CA288" s="6">
        <f t="shared" ca="1" si="243"/>
        <v>-0.14439446647735632</v>
      </c>
      <c r="CB288" s="6">
        <f t="shared" ca="1" si="244"/>
        <v>-0.98952020598405155</v>
      </c>
      <c r="CC288" s="6">
        <f t="shared" ca="1" si="245"/>
        <v>-1.7156973253390762</v>
      </c>
      <c r="CD288" s="6">
        <f t="shared" ca="1" si="239"/>
        <v>-1.3653192482130294</v>
      </c>
      <c r="CE288" s="9">
        <f t="shared" ca="1" si="240"/>
        <v>-11.81153405862792</v>
      </c>
      <c r="CF288" s="9">
        <f t="shared" ca="1" si="241"/>
        <v>-182.02213264415326</v>
      </c>
      <c r="CG288">
        <f t="shared" ca="1" si="246"/>
        <v>182.40495911335267</v>
      </c>
      <c r="CH288">
        <f t="shared" ca="1" si="247"/>
        <v>-6.475445687465016E-2</v>
      </c>
      <c r="CI288">
        <f t="shared" ca="1" si="248"/>
        <v>-0.99790122773492407</v>
      </c>
      <c r="CJ288">
        <f t="shared" ca="1" si="249"/>
        <v>-1.6355961233542757</v>
      </c>
      <c r="CK288" s="39">
        <f t="shared" ca="1" si="250"/>
        <v>-2.0584500494872167</v>
      </c>
    </row>
    <row r="289" spans="55:89" x14ac:dyDescent="0.25">
      <c r="BC289">
        <v>5.0090949532236939</v>
      </c>
      <c r="BD289">
        <v>104.48156330470215</v>
      </c>
      <c r="BE289">
        <v>-156.04479372713553</v>
      </c>
      <c r="BF289" s="6">
        <f t="shared" si="235"/>
        <v>5.3023929214575354</v>
      </c>
      <c r="BG289" s="6">
        <f t="shared" si="236"/>
        <v>0.29329796823384147</v>
      </c>
      <c r="BH289" s="6">
        <f t="shared" si="237"/>
        <v>1.403646311854992</v>
      </c>
      <c r="BI289" s="6">
        <f t="shared" si="238"/>
        <v>1.403646311854992</v>
      </c>
      <c r="BV289" s="39"/>
      <c r="BW289" s="6">
        <f t="shared" si="232"/>
        <v>4.7822021504644336</v>
      </c>
      <c r="BX289" s="9">
        <f t="shared" ca="1" si="233"/>
        <v>-26.729130394094941</v>
      </c>
      <c r="BY289" s="9">
        <f t="shared" ca="1" si="234"/>
        <v>-252.62961510813318</v>
      </c>
      <c r="BZ289">
        <f t="shared" ca="1" si="242"/>
        <v>254.03969934108338</v>
      </c>
      <c r="CA289" s="6">
        <f t="shared" ca="1" si="243"/>
        <v>-0.10521635186714416</v>
      </c>
      <c r="CB289" s="6">
        <f t="shared" ca="1" si="244"/>
        <v>-0.9944493548189216</v>
      </c>
      <c r="CC289" s="6">
        <f t="shared" ca="1" si="245"/>
        <v>-1.6762077847956303</v>
      </c>
      <c r="CD289" s="6">
        <f t="shared" ca="1" si="239"/>
        <v>-1.3258297076695835</v>
      </c>
      <c r="CE289" s="9">
        <f t="shared" ca="1" si="240"/>
        <v>-1.4290885297389515</v>
      </c>
      <c r="CF289" s="9">
        <f t="shared" ca="1" si="241"/>
        <v>-180.32999188733726</v>
      </c>
      <c r="CG289">
        <f t="shared" ca="1" si="246"/>
        <v>180.33565445610847</v>
      </c>
      <c r="CH289">
        <f t="shared" ca="1" si="247"/>
        <v>-7.924603340637635E-3</v>
      </c>
      <c r="CI289">
        <f t="shared" ca="1" si="248"/>
        <v>-0.9999685998379616</v>
      </c>
      <c r="CJ289">
        <f t="shared" ca="1" si="249"/>
        <v>-1.5787210130811855</v>
      </c>
      <c r="CK289" s="39">
        <f t="shared" ca="1" si="250"/>
        <v>-2.0015749392141262</v>
      </c>
    </row>
    <row r="290" spans="55:89" x14ac:dyDescent="0.25">
      <c r="BC290">
        <v>5.026548245743637</v>
      </c>
      <c r="BD290">
        <v>108.66222111278411</v>
      </c>
      <c r="BE290">
        <v>-154.62321728091871</v>
      </c>
      <c r="BF290" s="6">
        <f t="shared" si="235"/>
        <v>5.3249614682143296</v>
      </c>
      <c r="BG290" s="6">
        <f t="shared" si="236"/>
        <v>0.29841322247069257</v>
      </c>
      <c r="BH290" s="6">
        <f t="shared" si="237"/>
        <v>1.3810777650981978</v>
      </c>
      <c r="BI290" s="6">
        <f t="shared" si="238"/>
        <v>1.3810777650981978</v>
      </c>
      <c r="BV290" s="39"/>
      <c r="BW290" s="6">
        <f t="shared" si="232"/>
        <v>4.7996554429843767</v>
      </c>
      <c r="BX290" s="9">
        <f t="shared" ca="1" si="233"/>
        <v>-16.578400886813977</v>
      </c>
      <c r="BY290" s="9">
        <f t="shared" ca="1" si="234"/>
        <v>-250.88624812255523</v>
      </c>
      <c r="BZ290">
        <f t="shared" ca="1" si="242"/>
        <v>251.43339649492918</v>
      </c>
      <c r="CA290" s="6">
        <f t="shared" ca="1" si="243"/>
        <v>-6.5935556365712633E-2</v>
      </c>
      <c r="CB290" s="6">
        <f t="shared" ca="1" si="244"/>
        <v>-0.99782388346177797</v>
      </c>
      <c r="CC290" s="6">
        <f t="shared" ca="1" si="245"/>
        <v>-1.6367797526492571</v>
      </c>
      <c r="CD290" s="6">
        <f t="shared" ca="1" si="239"/>
        <v>-1.2864016755232104</v>
      </c>
      <c r="CE290" s="9">
        <f t="shared" ca="1" si="240"/>
        <v>8.7216409775420125</v>
      </c>
      <c r="CF290" s="9">
        <f t="shared" ca="1" si="241"/>
        <v>-178.58662490175931</v>
      </c>
      <c r="CG290">
        <f t="shared" ca="1" si="246"/>
        <v>178.79946760307431</v>
      </c>
      <c r="CH290">
        <f t="shared" ca="1" si="247"/>
        <v>4.877889791542115E-2</v>
      </c>
      <c r="CI290">
        <f t="shared" ca="1" si="248"/>
        <v>-0.99880960103422955</v>
      </c>
      <c r="CJ290">
        <f t="shared" ca="1" si="249"/>
        <v>-1.5219980642086115</v>
      </c>
      <c r="CK290" s="39">
        <f t="shared" ca="1" si="250"/>
        <v>-1.9448519903415522</v>
      </c>
    </row>
    <row r="291" spans="55:89" x14ac:dyDescent="0.25">
      <c r="BC291">
        <v>5.0440015382635801</v>
      </c>
      <c r="BD291">
        <v>112.45914491745317</v>
      </c>
      <c r="BE291">
        <v>-153.27114485664038</v>
      </c>
      <c r="BF291" s="6">
        <f t="shared" si="235"/>
        <v>5.3453936270929985</v>
      </c>
      <c r="BG291" s="6">
        <f t="shared" si="236"/>
        <v>0.30139208882941837</v>
      </c>
      <c r="BH291" s="6">
        <f t="shared" si="237"/>
        <v>1.3606456062195289</v>
      </c>
      <c r="BI291" s="6">
        <f t="shared" si="238"/>
        <v>1.3606456062195289</v>
      </c>
      <c r="BV291" s="39"/>
      <c r="BW291" s="6">
        <f t="shared" si="232"/>
        <v>4.8171087355043198</v>
      </c>
      <c r="BX291" s="9">
        <f t="shared" ca="1" si="233"/>
        <v>-6.6375762390328923</v>
      </c>
      <c r="BY291" s="9">
        <f t="shared" ca="1" si="234"/>
        <v>-249.0879296384187</v>
      </c>
      <c r="BZ291">
        <f t="shared" ca="1" si="242"/>
        <v>249.1763514258181</v>
      </c>
      <c r="CA291" s="6">
        <f t="shared" ca="1" si="243"/>
        <v>-2.6638066578356472E-2</v>
      </c>
      <c r="CB291" s="6">
        <f t="shared" ca="1" si="244"/>
        <v>-0.99964514374300195</v>
      </c>
      <c r="CC291" s="6">
        <f t="shared" ca="1" si="245"/>
        <v>-1.5974375447154334</v>
      </c>
      <c r="CD291" s="6">
        <f t="shared" ca="1" si="239"/>
        <v>-1.2470594675893867</v>
      </c>
      <c r="CE291" s="9">
        <f t="shared" ca="1" si="240"/>
        <v>18.662465625323097</v>
      </c>
      <c r="CF291" s="9">
        <f t="shared" ca="1" si="241"/>
        <v>-176.78830641762278</v>
      </c>
      <c r="CG291">
        <f t="shared" ca="1" si="246"/>
        <v>177.77061880194839</v>
      </c>
      <c r="CH291">
        <f t="shared" ca="1" si="247"/>
        <v>0.10498059663118275</v>
      </c>
      <c r="CI291">
        <f t="shared" ca="1" si="248"/>
        <v>-0.99447427032123914</v>
      </c>
      <c r="CJ291">
        <f t="shared" ca="1" si="249"/>
        <v>-1.4656219369569392</v>
      </c>
      <c r="CK291" s="39">
        <f t="shared" ca="1" si="250"/>
        <v>-1.8884758630898799</v>
      </c>
    </row>
    <row r="292" spans="55:89" x14ac:dyDescent="0.25">
      <c r="BC292">
        <v>5.0614548307835232</v>
      </c>
      <c r="BD292">
        <v>115.92744033198269</v>
      </c>
      <c r="BE292">
        <v>-151.97976422135986</v>
      </c>
      <c r="BF292" s="6">
        <f t="shared" si="235"/>
        <v>5.3640205550557187</v>
      </c>
      <c r="BG292" s="6">
        <f t="shared" si="236"/>
        <v>0.30256572427219552</v>
      </c>
      <c r="BH292" s="6">
        <f t="shared" si="237"/>
        <v>1.3420186782568087</v>
      </c>
      <c r="BI292" s="6">
        <f t="shared" si="238"/>
        <v>1.3420186782568087</v>
      </c>
      <c r="BV292" s="39"/>
      <c r="BW292" s="6">
        <f t="shared" si="232"/>
        <v>4.8345620280242629</v>
      </c>
      <c r="BX292" s="9">
        <f t="shared" ca="1" si="233"/>
        <v>3.1142149004404729</v>
      </c>
      <c r="BY292" s="9">
        <f t="shared" ca="1" si="234"/>
        <v>-247.23044339873809</v>
      </c>
      <c r="BZ292">
        <f t="shared" ca="1" si="242"/>
        <v>247.25005657751177</v>
      </c>
      <c r="CA292" s="6">
        <f t="shared" ca="1" si="243"/>
        <v>1.2595406219711745E-2</v>
      </c>
      <c r="CB292" s="6">
        <f t="shared" ca="1" si="244"/>
        <v>-0.99992067472483048</v>
      </c>
      <c r="CC292" s="6">
        <f t="shared" ca="1" si="245"/>
        <v>-1.558200587519929</v>
      </c>
      <c r="CD292" s="6">
        <f t="shared" ca="1" si="239"/>
        <v>-1.2078225103938822</v>
      </c>
      <c r="CE292" s="9">
        <f t="shared" ca="1" si="240"/>
        <v>28.414256764796463</v>
      </c>
      <c r="CF292" s="9">
        <f t="shared" ca="1" si="241"/>
        <v>-174.93082017794217</v>
      </c>
      <c r="CG292">
        <f t="shared" ca="1" si="246"/>
        <v>177.22347992188654</v>
      </c>
      <c r="CH292">
        <f t="shared" ca="1" si="247"/>
        <v>0.16033009157319561</v>
      </c>
      <c r="CI292">
        <f t="shared" ca="1" si="248"/>
        <v>-0.98706345375367366</v>
      </c>
      <c r="CJ292">
        <f t="shared" ca="1" si="249"/>
        <v>-1.4097712651347101</v>
      </c>
      <c r="CK292" s="39">
        <f t="shared" ca="1" si="250"/>
        <v>-1.8326251912676508</v>
      </c>
    </row>
    <row r="293" spans="55:89" x14ac:dyDescent="0.25">
      <c r="BC293">
        <v>5.0789081233034663</v>
      </c>
      <c r="BD293">
        <v>119.11206631165447</v>
      </c>
      <c r="BE293">
        <v>-150.74162174432348</v>
      </c>
      <c r="BF293" s="6">
        <f t="shared" si="235"/>
        <v>5.3811094961848154</v>
      </c>
      <c r="BG293" s="6">
        <f t="shared" si="236"/>
        <v>0.30220137288134907</v>
      </c>
      <c r="BH293" s="6">
        <f t="shared" si="237"/>
        <v>1.324929737127712</v>
      </c>
      <c r="BI293" s="6">
        <f t="shared" si="238"/>
        <v>1.324929737127712</v>
      </c>
      <c r="BV293" s="39"/>
      <c r="BW293" s="6">
        <f t="shared" si="232"/>
        <v>4.852015320544206</v>
      </c>
      <c r="BX293" s="9">
        <f t="shared" ca="1" si="233"/>
        <v>12.696874935222425</v>
      </c>
      <c r="BY293" s="9">
        <f t="shared" ca="1" si="234"/>
        <v>-245.30915897000119</v>
      </c>
      <c r="BZ293">
        <f t="shared" ca="1" si="242"/>
        <v>245.63752585403151</v>
      </c>
      <c r="CA293" s="6">
        <f t="shared" ca="1" si="243"/>
        <v>5.1689475747152165E-2</v>
      </c>
      <c r="CB293" s="6">
        <f t="shared" ca="1" si="244"/>
        <v>-0.99866320553877652</v>
      </c>
      <c r="CC293" s="6">
        <f t="shared" ca="1" si="245"/>
        <v>-1.5190838059897105</v>
      </c>
      <c r="CD293" s="6">
        <f t="shared" ca="1" si="239"/>
        <v>-1.1687057288636638</v>
      </c>
      <c r="CE293" s="9">
        <f t="shared" ca="1" si="240"/>
        <v>37.996916799578415</v>
      </c>
      <c r="CF293" s="9">
        <f t="shared" ca="1" si="241"/>
        <v>-173.00953574920527</v>
      </c>
      <c r="CG293">
        <f t="shared" ca="1" si="246"/>
        <v>177.13290249535692</v>
      </c>
      <c r="CH293">
        <f t="shared" ca="1" si="247"/>
        <v>0.21451077842849894</v>
      </c>
      <c r="CI293">
        <f t="shared" ca="1" si="248"/>
        <v>-0.97672162151659125</v>
      </c>
      <c r="CJ293">
        <f t="shared" ca="1" si="249"/>
        <v>-1.3546054058021368</v>
      </c>
      <c r="CK293" s="39">
        <f t="shared" ca="1" si="250"/>
        <v>-1.7774593319350775</v>
      </c>
    </row>
    <row r="294" spans="55:89" x14ac:dyDescent="0.25">
      <c r="BC294">
        <v>5.0963614158234094</v>
      </c>
      <c r="BD294">
        <v>122.05008641772116</v>
      </c>
      <c r="BE294">
        <v>-149.55035020203098</v>
      </c>
      <c r="BF294" s="6">
        <f t="shared" si="235"/>
        <v>5.3968783988041018</v>
      </c>
      <c r="BG294" s="6">
        <f t="shared" si="236"/>
        <v>0.3005169829806924</v>
      </c>
      <c r="BH294" s="6">
        <f t="shared" si="237"/>
        <v>1.3091608345084256</v>
      </c>
      <c r="BI294" s="6">
        <f t="shared" si="238"/>
        <v>1.3091608345084256</v>
      </c>
      <c r="BV294" s="39"/>
      <c r="BW294" s="6">
        <f t="shared" si="232"/>
        <v>4.8694686130641491</v>
      </c>
      <c r="BX294" s="9">
        <f t="shared" ca="1" si="233"/>
        <v>22.129336802107481</v>
      </c>
      <c r="BY294" s="9">
        <f t="shared" ca="1" si="234"/>
        <v>-243.31909018551664</v>
      </c>
      <c r="BZ294">
        <f t="shared" ca="1" si="242"/>
        <v>244.32332511655267</v>
      </c>
      <c r="CA294" s="6">
        <f t="shared" ca="1" si="243"/>
        <v>9.0573983435887018E-2</v>
      </c>
      <c r="CB294" s="6">
        <f t="shared" ca="1" si="244"/>
        <v>-0.99588972960090094</v>
      </c>
      <c r="CC294" s="6">
        <f t="shared" ca="1" si="245"/>
        <v>-1.4800980444531235</v>
      </c>
      <c r="CD294" s="6">
        <f t="shared" ca="1" si="239"/>
        <v>-1.1297199673270768</v>
      </c>
      <c r="CE294" s="9">
        <f t="shared" ca="1" si="240"/>
        <v>47.429378666463471</v>
      </c>
      <c r="CF294" s="9">
        <f t="shared" ca="1" si="241"/>
        <v>-171.01946696472072</v>
      </c>
      <c r="CG294">
        <f t="shared" ca="1" si="246"/>
        <v>177.47451659769067</v>
      </c>
      <c r="CH294">
        <f t="shared" ca="1" si="247"/>
        <v>0.26724613525207724</v>
      </c>
      <c r="CI294">
        <f t="shared" ca="1" si="248"/>
        <v>-0.96362830136563993</v>
      </c>
      <c r="CJ294">
        <f t="shared" ca="1" si="249"/>
        <v>-1.3002622407045661</v>
      </c>
      <c r="CK294" s="39">
        <f t="shared" ca="1" si="250"/>
        <v>-1.7231161668375068</v>
      </c>
    </row>
    <row r="295" spans="55:89" x14ac:dyDescent="0.25">
      <c r="BC295">
        <v>5.1138147083433525</v>
      </c>
      <c r="BD295">
        <v>124.77234383466691</v>
      </c>
      <c r="BE295">
        <v>-148.40046009211727</v>
      </c>
      <c r="BF295" s="6">
        <f t="shared" si="235"/>
        <v>5.4115067558280909</v>
      </c>
      <c r="BG295" s="6">
        <f t="shared" si="236"/>
        <v>0.29769204748473843</v>
      </c>
      <c r="BH295" s="6">
        <f t="shared" si="237"/>
        <v>1.2945324774844365</v>
      </c>
      <c r="BI295" s="6">
        <f t="shared" si="238"/>
        <v>1.2945324774844365</v>
      </c>
      <c r="BV295" s="39"/>
      <c r="BW295" s="6">
        <f t="shared" si="232"/>
        <v>4.8869219055840922</v>
      </c>
      <c r="BX295" s="9">
        <f t="shared" ca="1" si="233"/>
        <v>31.429586117219287</v>
      </c>
      <c r="BY295" s="9">
        <f t="shared" ca="1" si="234"/>
        <v>-241.25493710852584</v>
      </c>
      <c r="BZ295">
        <f t="shared" ca="1" si="242"/>
        <v>243.29357484886125</v>
      </c>
      <c r="CA295" s="6">
        <f t="shared" ca="1" si="243"/>
        <v>0.12918379014630355</v>
      </c>
      <c r="CB295" s="6">
        <f t="shared" ca="1" si="244"/>
        <v>-0.99162066757578016</v>
      </c>
      <c r="CC295" s="6">
        <f t="shared" ca="1" si="245"/>
        <v>-1.4412504982609435</v>
      </c>
      <c r="CD295" s="6">
        <f t="shared" ca="1" si="239"/>
        <v>-1.0908724211348968</v>
      </c>
      <c r="CE295" s="9">
        <f t="shared" ca="1" si="240"/>
        <v>56.729627981575277</v>
      </c>
      <c r="CF295" s="9">
        <f t="shared" ca="1" si="241"/>
        <v>-168.95531388772991</v>
      </c>
      <c r="CG295">
        <f t="shared" ca="1" si="246"/>
        <v>178.22499482909032</v>
      </c>
      <c r="CH295">
        <f t="shared" ca="1" si="247"/>
        <v>0.31830343457704358</v>
      </c>
      <c r="CI295">
        <f t="shared" ca="1" si="248"/>
        <v>-0.94798888365658474</v>
      </c>
      <c r="CJ295">
        <f t="shared" ca="1" si="249"/>
        <v>-1.2468570254428437</v>
      </c>
      <c r="CK295" s="39">
        <f t="shared" ca="1" si="250"/>
        <v>-1.6697109515757844</v>
      </c>
    </row>
    <row r="296" spans="55:89" x14ac:dyDescent="0.25">
      <c r="BC296">
        <v>5.1312680008632956</v>
      </c>
      <c r="BD296">
        <v>127.30472564063578</v>
      </c>
      <c r="BE296">
        <v>-147.28717748315171</v>
      </c>
      <c r="BF296" s="6">
        <f t="shared" si="235"/>
        <v>5.4251437421165267</v>
      </c>
      <c r="BG296" s="6">
        <f t="shared" si="236"/>
        <v>0.29387574125323113</v>
      </c>
      <c r="BH296" s="6">
        <f t="shared" si="237"/>
        <v>1.2808954911960007</v>
      </c>
      <c r="BI296" s="6">
        <f t="shared" si="238"/>
        <v>1.2808954911960007</v>
      </c>
      <c r="BV296" s="39"/>
      <c r="BW296" s="6">
        <f t="shared" si="232"/>
        <v>4.9043751981040353</v>
      </c>
      <c r="BX296" s="9">
        <f t="shared" ca="1" si="233"/>
        <v>40.614700609141863</v>
      </c>
      <c r="BY296" s="9">
        <f t="shared" ca="1" si="234"/>
        <v>-239.11111348786369</v>
      </c>
      <c r="BZ296">
        <f t="shared" ca="1" si="242"/>
        <v>242.53593238729854</v>
      </c>
      <c r="CA296" s="6">
        <f t="shared" ca="1" si="243"/>
        <v>0.16745848835415214</v>
      </c>
      <c r="CB296" s="6">
        <f t="shared" ca="1" si="244"/>
        <v>-0.98587912782355946</v>
      </c>
      <c r="CC296" s="6">
        <f t="shared" ca="1" si="245"/>
        <v>-1.4025451392160651</v>
      </c>
      <c r="CD296" s="6">
        <f t="shared" ca="1" si="239"/>
        <v>-1.0521670620900183</v>
      </c>
      <c r="CE296" s="9">
        <f t="shared" ca="1" si="240"/>
        <v>65.914742473497853</v>
      </c>
      <c r="CF296" s="9">
        <f t="shared" ca="1" si="241"/>
        <v>-166.81149026706777</v>
      </c>
      <c r="CG296">
        <f t="shared" ca="1" si="246"/>
        <v>179.36227741771006</v>
      </c>
      <c r="CH296">
        <f t="shared" ca="1" si="247"/>
        <v>0.36749501301208104</v>
      </c>
      <c r="CI296">
        <f t="shared" ca="1" si="248"/>
        <v>-0.93002549180721406</v>
      </c>
      <c r="CJ296">
        <f t="shared" ca="1" si="249"/>
        <v>-1.1944822047928838</v>
      </c>
      <c r="CK296" s="39">
        <f t="shared" ca="1" si="250"/>
        <v>-1.6173361309258245</v>
      </c>
    </row>
    <row r="297" spans="55:89" x14ac:dyDescent="0.25">
      <c r="BC297">
        <v>5.1487212933832387</v>
      </c>
      <c r="BD297">
        <v>128.08824415370438</v>
      </c>
      <c r="BE297">
        <v>-146.9330078800333</v>
      </c>
      <c r="BF297" s="6">
        <f t="shared" si="235"/>
        <v>5.4293729632916081</v>
      </c>
      <c r="BG297" s="6">
        <f t="shared" si="236"/>
        <v>0.28065166990836943</v>
      </c>
      <c r="BH297" s="6">
        <f t="shared" si="237"/>
        <v>1.2766662700209193</v>
      </c>
      <c r="BI297" s="6">
        <f t="shared" si="238"/>
        <v>1.2766662700209193</v>
      </c>
      <c r="BV297" s="39"/>
      <c r="BW297" s="6">
        <f t="shared" si="232"/>
        <v>4.9218284906239784</v>
      </c>
      <c r="BX297" s="9">
        <f t="shared" ca="1" si="233"/>
        <v>49.370610507372419</v>
      </c>
      <c r="BY297" s="9">
        <f t="shared" ca="1" si="234"/>
        <v>-236.95648484048166</v>
      </c>
      <c r="BZ297">
        <f t="shared" ca="1" si="242"/>
        <v>242.04510507305883</v>
      </c>
      <c r="CA297" s="6">
        <f t="shared" ca="1" si="243"/>
        <v>0.20397276983754911</v>
      </c>
      <c r="CB297" s="6">
        <f t="shared" ca="1" si="244"/>
        <v>-0.97897656211208561</v>
      </c>
      <c r="CC297" s="6">
        <f t="shared" ca="1" si="245"/>
        <v>-1.3653820242932238</v>
      </c>
      <c r="CD297" s="6">
        <f t="shared" ca="1" si="239"/>
        <v>-1.015003947167177</v>
      </c>
      <c r="CE297" s="9">
        <f t="shared" ca="1" si="240"/>
        <v>74.670652371728409</v>
      </c>
      <c r="CF297" s="9">
        <f t="shared" ca="1" si="241"/>
        <v>-164.65686161968574</v>
      </c>
      <c r="CG297">
        <f t="shared" ca="1" si="246"/>
        <v>180.7970918020084</v>
      </c>
      <c r="CH297">
        <f t="shared" ca="1" si="247"/>
        <v>0.41300803916415058</v>
      </c>
      <c r="CI297">
        <f t="shared" ca="1" si="248"/>
        <v>-0.91072737939834847</v>
      </c>
      <c r="CJ297">
        <f t="shared" ca="1" si="249"/>
        <v>-1.145041831052042</v>
      </c>
      <c r="CK297" s="39">
        <f t="shared" ca="1" si="250"/>
        <v>-1.5678957571849828</v>
      </c>
    </row>
    <row r="298" spans="55:89" x14ac:dyDescent="0.25">
      <c r="BC298">
        <v>5.1661745859031818</v>
      </c>
      <c r="BD298">
        <v>130.35409483468149</v>
      </c>
      <c r="BE298">
        <v>-145.8613082127782</v>
      </c>
      <c r="BF298" s="6">
        <f t="shared" si="235"/>
        <v>5.4417042766439092</v>
      </c>
      <c r="BG298" s="6">
        <f t="shared" si="236"/>
        <v>0.27552969074072742</v>
      </c>
      <c r="BH298" s="6">
        <f t="shared" si="237"/>
        <v>1.2643349566686182</v>
      </c>
      <c r="BI298" s="6">
        <f t="shared" si="238"/>
        <v>1.2643349566686182</v>
      </c>
      <c r="BV298" s="39"/>
      <c r="BW298" s="6">
        <f t="shared" si="232"/>
        <v>4.9392817831439215</v>
      </c>
      <c r="BX298" s="9">
        <f t="shared" ca="1" si="233"/>
        <v>56.953525021371789</v>
      </c>
      <c r="BY298" s="9">
        <f t="shared" ca="1" si="234"/>
        <v>-234.97368115481692</v>
      </c>
      <c r="BZ298">
        <f t="shared" ca="1" si="242"/>
        <v>241.77744900591037</v>
      </c>
      <c r="CA298" s="6">
        <f t="shared" ca="1" si="243"/>
        <v>0.23556177491135466</v>
      </c>
      <c r="CB298" s="6">
        <f t="shared" ca="1" si="244"/>
        <v>-0.97185937779115561</v>
      </c>
      <c r="CC298" s="6">
        <f t="shared" ca="1" si="245"/>
        <v>-1.3329997578017325</v>
      </c>
      <c r="CD298" s="6">
        <f t="shared" ca="1" si="239"/>
        <v>-0.98262168067568578</v>
      </c>
      <c r="CE298" s="9">
        <f t="shared" ca="1" si="240"/>
        <v>82.253566885727778</v>
      </c>
      <c r="CF298" s="9">
        <f t="shared" ca="1" si="241"/>
        <v>-162.67405793402099</v>
      </c>
      <c r="CG298">
        <f t="shared" ca="1" si="246"/>
        <v>182.28685742572367</v>
      </c>
      <c r="CH298">
        <f t="shared" ca="1" si="247"/>
        <v>0.45123147135960473</v>
      </c>
      <c r="CI298">
        <f t="shared" ca="1" si="248"/>
        <v>-0.89240694711249657</v>
      </c>
      <c r="CJ298">
        <f t="shared" ca="1" si="249"/>
        <v>-1.1026515246833979</v>
      </c>
      <c r="CK298" s="39">
        <f t="shared" ca="1" si="250"/>
        <v>-1.5255054508163386</v>
      </c>
    </row>
    <row r="299" spans="55:89" x14ac:dyDescent="0.25">
      <c r="BC299">
        <v>5.1836278784231249</v>
      </c>
      <c r="BD299">
        <v>132.48407550513784</v>
      </c>
      <c r="BE299">
        <v>-144.81504252146928</v>
      </c>
      <c r="BF299" s="6">
        <f t="shared" si="235"/>
        <v>5.4533483120596093</v>
      </c>
      <c r="BG299" s="6">
        <f t="shared" si="236"/>
        <v>0.26972043363648446</v>
      </c>
      <c r="BH299" s="6">
        <f t="shared" si="237"/>
        <v>1.252690921252918</v>
      </c>
      <c r="BI299" s="6">
        <f t="shared" si="238"/>
        <v>1.252690921252918</v>
      </c>
      <c r="BV299" s="39"/>
      <c r="BW299" s="6">
        <f t="shared" ref="BW299:BW362" si="251">BC286</f>
        <v>4.9567350756638646</v>
      </c>
      <c r="BX299" s="9">
        <f t="shared" ref="BX299:BX362" ca="1" si="252">BD286-$BW$5</f>
        <v>63.560348426084389</v>
      </c>
      <c r="BY299" s="9">
        <f t="shared" ref="BY299:BY362" ca="1" si="253">BE286-$BX$5</f>
        <v>-233.14316182129846</v>
      </c>
      <c r="BZ299">
        <f t="shared" ca="1" si="242"/>
        <v>241.65192280649745</v>
      </c>
      <c r="CA299" s="6">
        <f t="shared" ca="1" si="243"/>
        <v>0.26302438518968574</v>
      </c>
      <c r="CB299" s="6">
        <f t="shared" ca="1" si="244"/>
        <v>-0.96478918567508209</v>
      </c>
      <c r="CC299" s="6">
        <f t="shared" ca="1" si="245"/>
        <v>-1.304640694380923</v>
      </c>
      <c r="CD299" s="6">
        <f t="shared" ca="1" si="239"/>
        <v>-0.95426261725487627</v>
      </c>
      <c r="CE299" s="9">
        <f t="shared" ca="1" si="240"/>
        <v>88.860390290440378</v>
      </c>
      <c r="CF299" s="9">
        <f t="shared" ca="1" si="241"/>
        <v>-160.84353860050254</v>
      </c>
      <c r="CG299">
        <f t="shared" ca="1" si="246"/>
        <v>183.7574838533134</v>
      </c>
      <c r="CH299">
        <f t="shared" ca="1" si="247"/>
        <v>0.48357426553235916</v>
      </c>
      <c r="CI299">
        <f t="shared" ca="1" si="248"/>
        <v>-0.87530333582983655</v>
      </c>
      <c r="CJ299">
        <f t="shared" ca="1" si="249"/>
        <v>-1.0660627395295863</v>
      </c>
      <c r="CK299" s="39">
        <f t="shared" ca="1" si="250"/>
        <v>-1.488916665662527</v>
      </c>
    </row>
    <row r="300" spans="55:89" x14ac:dyDescent="0.25">
      <c r="BC300">
        <v>5.201081170943068</v>
      </c>
      <c r="BD300">
        <v>134.4922390404036</v>
      </c>
      <c r="BE300">
        <v>-143.79123319900049</v>
      </c>
      <c r="BF300" s="6">
        <f t="shared" si="235"/>
        <v>5.4643840267407437</v>
      </c>
      <c r="BG300" s="6">
        <f t="shared" si="236"/>
        <v>0.26330285579767576</v>
      </c>
      <c r="BH300" s="6">
        <f t="shared" si="237"/>
        <v>1.2416552065717836</v>
      </c>
      <c r="BI300" s="6">
        <f t="shared" si="238"/>
        <v>1.2416552065717836</v>
      </c>
      <c r="BV300" s="39"/>
      <c r="BW300" s="6">
        <f t="shared" si="251"/>
        <v>4.9741883681838077</v>
      </c>
      <c r="BX300" s="9">
        <f t="shared" ca="1" si="252"/>
        <v>69.378203381417975</v>
      </c>
      <c r="BY300" s="9">
        <f t="shared" ca="1" si="253"/>
        <v>-231.44040961862157</v>
      </c>
      <c r="BZ300">
        <f t="shared" ca="1" si="242"/>
        <v>241.61539336074748</v>
      </c>
      <c r="CA300" s="6">
        <f t="shared" ca="1" si="243"/>
        <v>0.28714314272945274</v>
      </c>
      <c r="CB300" s="6">
        <f t="shared" ca="1" si="244"/>
        <v>-0.95788768422161752</v>
      </c>
      <c r="CC300" s="6">
        <f t="shared" ca="1" si="245"/>
        <v>-1.2795532832625036</v>
      </c>
      <c r="CD300" s="6">
        <f t="shared" ca="1" si="239"/>
        <v>-0.92917520613645688</v>
      </c>
      <c r="CE300" s="9">
        <f t="shared" ca="1" si="240"/>
        <v>94.678245245773965</v>
      </c>
      <c r="CF300" s="9">
        <f t="shared" ca="1" si="241"/>
        <v>-159.14078639782565</v>
      </c>
      <c r="CG300">
        <f t="shared" ca="1" si="246"/>
        <v>185.17494435840203</v>
      </c>
      <c r="CH300">
        <f t="shared" ca="1" si="247"/>
        <v>0.51129079894592167</v>
      </c>
      <c r="CI300">
        <f t="shared" ca="1" si="248"/>
        <v>-0.85940777219736686</v>
      </c>
      <c r="CJ300">
        <f t="shared" ca="1" si="249"/>
        <v>-1.0341102430962108</v>
      </c>
      <c r="CK300" s="39">
        <f t="shared" ca="1" si="250"/>
        <v>-1.4569641692291515</v>
      </c>
    </row>
    <row r="301" spans="55:89" x14ac:dyDescent="0.25">
      <c r="BC301">
        <v>5.2185344634630111</v>
      </c>
      <c r="BD301">
        <v>136.04047241186223</v>
      </c>
      <c r="BE301">
        <v>-142.2813138249746</v>
      </c>
      <c r="BF301" s="6">
        <f t="shared" si="235"/>
        <v>5.4753677857576308</v>
      </c>
      <c r="BG301" s="6">
        <f t="shared" si="236"/>
        <v>0.25683332229461975</v>
      </c>
      <c r="BH301" s="6">
        <f t="shared" si="237"/>
        <v>1.2306714475548965</v>
      </c>
      <c r="BI301" s="6">
        <f t="shared" si="238"/>
        <v>1.2306714475548965</v>
      </c>
      <c r="BV301" s="39"/>
      <c r="BW301" s="6">
        <f t="shared" si="251"/>
        <v>4.9916416607037508</v>
      </c>
      <c r="BX301" s="9">
        <f t="shared" ca="1" si="252"/>
        <v>74.548803068627279</v>
      </c>
      <c r="BY301" s="9">
        <f t="shared" ca="1" si="253"/>
        <v>-229.84602849444849</v>
      </c>
      <c r="BZ301">
        <f t="shared" ca="1" si="242"/>
        <v>241.633443160577</v>
      </c>
      <c r="CA301" s="6">
        <f t="shared" ca="1" si="243"/>
        <v>0.30852022010498781</v>
      </c>
      <c r="CB301" s="6">
        <f t="shared" ca="1" si="244"/>
        <v>-0.95121778462472506</v>
      </c>
      <c r="CC301" s="6">
        <f t="shared" ca="1" si="245"/>
        <v>-1.2571593565207286</v>
      </c>
      <c r="CD301" s="6">
        <f t="shared" ca="1" si="239"/>
        <v>-0.90678127939468189</v>
      </c>
      <c r="CE301" s="9">
        <f t="shared" ca="1" si="240"/>
        <v>99.848844932983269</v>
      </c>
      <c r="CF301" s="9">
        <f t="shared" ca="1" si="241"/>
        <v>-157.54640527365257</v>
      </c>
      <c r="CG301">
        <f t="shared" ca="1" si="246"/>
        <v>186.52254997479773</v>
      </c>
      <c r="CH301">
        <f t="shared" ca="1" si="247"/>
        <v>0.53531782053416332</v>
      </c>
      <c r="CI301">
        <f t="shared" ca="1" si="248"/>
        <v>-0.84465071539575076</v>
      </c>
      <c r="CJ301">
        <f t="shared" ca="1" si="249"/>
        <v>-1.0059123499965739</v>
      </c>
      <c r="CK301" s="39">
        <f t="shared" ca="1" si="250"/>
        <v>-1.4287662761295146</v>
      </c>
    </row>
    <row r="302" spans="55:89" x14ac:dyDescent="0.25">
      <c r="BC302">
        <v>5.2359877559829542</v>
      </c>
      <c r="BD302">
        <v>136.54905500304443</v>
      </c>
      <c r="BE302">
        <v>-139.46169980467312</v>
      </c>
      <c r="BF302" s="6">
        <f t="shared" si="235"/>
        <v>5.4872348857911604</v>
      </c>
      <c r="BG302" s="6">
        <f t="shared" si="236"/>
        <v>0.25124712980820618</v>
      </c>
      <c r="BH302" s="6">
        <f t="shared" si="237"/>
        <v>1.218804347521367</v>
      </c>
      <c r="BI302" s="6">
        <f t="shared" si="238"/>
        <v>1.218804347521367</v>
      </c>
      <c r="BV302" s="39"/>
      <c r="BW302" s="6">
        <f t="shared" si="251"/>
        <v>5.0090949532236939</v>
      </c>
      <c r="BX302" s="9">
        <f t="shared" ca="1" si="252"/>
        <v>79.18152144034616</v>
      </c>
      <c r="BY302" s="9">
        <f t="shared" ca="1" si="253"/>
        <v>-228.34441694793145</v>
      </c>
      <c r="BZ302">
        <f t="shared" ca="1" si="242"/>
        <v>241.68344190055461</v>
      </c>
      <c r="CA302" s="6">
        <f t="shared" ca="1" si="243"/>
        <v>0.32762493291918171</v>
      </c>
      <c r="CB302" s="6">
        <f t="shared" ca="1" si="244"/>
        <v>-0.94480786582759868</v>
      </c>
      <c r="CC302" s="6">
        <f t="shared" ca="1" si="245"/>
        <v>-1.2370076604880296</v>
      </c>
      <c r="CD302" s="6">
        <f t="shared" ca="1" si="239"/>
        <v>-0.88662958336198283</v>
      </c>
      <c r="CE302" s="9">
        <f t="shared" ca="1" si="240"/>
        <v>104.48156330470215</v>
      </c>
      <c r="CF302" s="9">
        <f t="shared" ca="1" si="241"/>
        <v>-156.04479372713553</v>
      </c>
      <c r="CG302">
        <f t="shared" ca="1" si="246"/>
        <v>187.7934363068602</v>
      </c>
      <c r="CH302">
        <f t="shared" ca="1" si="247"/>
        <v>0.55636429770620999</v>
      </c>
      <c r="CI302">
        <f t="shared" ca="1" si="248"/>
        <v>-0.8309384864343905</v>
      </c>
      <c r="CJ302">
        <f t="shared" ca="1" si="249"/>
        <v>-0.98079238572205074</v>
      </c>
      <c r="CK302" s="39">
        <f t="shared" ca="1" si="250"/>
        <v>-1.4036463118549913</v>
      </c>
    </row>
    <row r="303" spans="55:89" x14ac:dyDescent="0.25">
      <c r="BC303">
        <v>5.2534410485028973</v>
      </c>
      <c r="BD303">
        <v>136.99449325275717</v>
      </c>
      <c r="BE303">
        <v>-136.73972546866537</v>
      </c>
      <c r="BF303" s="6">
        <f t="shared" si="235"/>
        <v>5.4987178557395966</v>
      </c>
      <c r="BG303" s="6">
        <f t="shared" si="236"/>
        <v>0.24527680723669931</v>
      </c>
      <c r="BH303" s="6">
        <f t="shared" si="237"/>
        <v>1.2073213775729308</v>
      </c>
      <c r="BI303" s="6">
        <f t="shared" si="238"/>
        <v>1.2073213775729308</v>
      </c>
      <c r="BV303" s="39"/>
      <c r="BW303" s="6">
        <f t="shared" si="251"/>
        <v>5.026548245743637</v>
      </c>
      <c r="BX303" s="9">
        <f t="shared" ca="1" si="252"/>
        <v>83.36217924842812</v>
      </c>
      <c r="BY303" s="9">
        <f t="shared" ca="1" si="253"/>
        <v>-226.92284050171463</v>
      </c>
      <c r="BZ303">
        <f t="shared" ca="1" si="242"/>
        <v>241.75034326845056</v>
      </c>
      <c r="CA303" s="6">
        <f t="shared" ca="1" si="243"/>
        <v>0.34482755276115151</v>
      </c>
      <c r="CB303" s="6">
        <f t="shared" ca="1" si="244"/>
        <v>-0.93866605289461447</v>
      </c>
      <c r="CC303" s="6">
        <f t="shared" ca="1" si="245"/>
        <v>-1.2187412631170369</v>
      </c>
      <c r="CD303" s="6">
        <f t="shared" ca="1" si="239"/>
        <v>-0.86836318599099016</v>
      </c>
      <c r="CE303" s="9">
        <f t="shared" ca="1" si="240"/>
        <v>108.66222111278411</v>
      </c>
      <c r="CF303" s="9">
        <f t="shared" ca="1" si="241"/>
        <v>-154.62321728091871</v>
      </c>
      <c r="CG303">
        <f t="shared" ca="1" si="246"/>
        <v>188.98628950129103</v>
      </c>
      <c r="CH303">
        <f t="shared" ca="1" si="247"/>
        <v>0.57497409679574563</v>
      </c>
      <c r="CI303">
        <f t="shared" ca="1" si="248"/>
        <v>-0.81817161281354445</v>
      </c>
      <c r="CJ303">
        <f t="shared" ca="1" si="249"/>
        <v>-0.95822383896525665</v>
      </c>
      <c r="CK303" s="39">
        <f t="shared" ca="1" si="250"/>
        <v>-1.3810777650981974</v>
      </c>
    </row>
    <row r="304" spans="55:89" x14ac:dyDescent="0.25">
      <c r="BC304">
        <v>5.2708943410228404</v>
      </c>
      <c r="BD304">
        <v>137.38430556193933</v>
      </c>
      <c r="BE304">
        <v>-134.10628136126559</v>
      </c>
      <c r="BF304" s="6">
        <f t="shared" si="235"/>
        <v>5.5098607296676185</v>
      </c>
      <c r="BG304" s="6">
        <f t="shared" si="236"/>
        <v>0.23896638864477815</v>
      </c>
      <c r="BH304" s="6">
        <f t="shared" si="237"/>
        <v>1.1961785036449089</v>
      </c>
      <c r="BI304" s="6">
        <f t="shared" si="238"/>
        <v>1.1961785036449089</v>
      </c>
      <c r="BV304" s="39"/>
      <c r="BW304" s="6">
        <f t="shared" si="251"/>
        <v>5.0440015382635801</v>
      </c>
      <c r="BX304" s="9">
        <f t="shared" ca="1" si="252"/>
        <v>87.159103053097184</v>
      </c>
      <c r="BY304" s="9">
        <f t="shared" ca="1" si="253"/>
        <v>-225.5707680774363</v>
      </c>
      <c r="BZ304">
        <f t="shared" ca="1" si="242"/>
        <v>241.82406963754656</v>
      </c>
      <c r="CA304" s="6">
        <f t="shared" ca="1" si="243"/>
        <v>0.36042360540757568</v>
      </c>
      <c r="CB304" s="6">
        <f t="shared" ca="1" si="244"/>
        <v>-0.93278873527986184</v>
      </c>
      <c r="CC304" s="6">
        <f t="shared" ca="1" si="245"/>
        <v>-1.2020743452596772</v>
      </c>
      <c r="CD304" s="6">
        <f t="shared" ca="1" si="239"/>
        <v>-0.85169626813363042</v>
      </c>
      <c r="CE304" s="9">
        <f t="shared" ca="1" si="240"/>
        <v>112.45914491745317</v>
      </c>
      <c r="CF304" s="9">
        <f t="shared" ca="1" si="241"/>
        <v>-153.27114485664038</v>
      </c>
      <c r="CG304">
        <f t="shared" ca="1" si="246"/>
        <v>190.1028750998521</v>
      </c>
      <c r="CH304">
        <f t="shared" ca="1" si="247"/>
        <v>0.59156993211377618</v>
      </c>
      <c r="CI304">
        <f t="shared" ca="1" si="248"/>
        <v>-0.80625369172420069</v>
      </c>
      <c r="CJ304">
        <f t="shared" ca="1" si="249"/>
        <v>-0.93779168008658809</v>
      </c>
      <c r="CK304" s="39">
        <f t="shared" ca="1" si="250"/>
        <v>-1.3606456062195287</v>
      </c>
    </row>
    <row r="305" spans="55:89" x14ac:dyDescent="0.25">
      <c r="BC305">
        <v>5.2883476335427835</v>
      </c>
      <c r="BD305">
        <v>137.72495364889485</v>
      </c>
      <c r="BE305">
        <v>-131.55316348361114</v>
      </c>
      <c r="BF305" s="6">
        <f t="shared" si="235"/>
        <v>5.520702892968286</v>
      </c>
      <c r="BG305" s="6">
        <f t="shared" si="236"/>
        <v>0.2323552594255025</v>
      </c>
      <c r="BH305" s="6">
        <f t="shared" si="237"/>
        <v>1.1853363403442414</v>
      </c>
      <c r="BI305" s="6">
        <f t="shared" si="238"/>
        <v>1.1853363403442414</v>
      </c>
      <c r="BV305" s="39"/>
      <c r="BW305" s="6">
        <f t="shared" si="251"/>
        <v>5.0614548307835232</v>
      </c>
      <c r="BX305" s="9">
        <f t="shared" ca="1" si="252"/>
        <v>90.627398467626705</v>
      </c>
      <c r="BY305" s="9">
        <f t="shared" ca="1" si="253"/>
        <v>-224.27938744215578</v>
      </c>
      <c r="BZ305">
        <f t="shared" ca="1" si="242"/>
        <v>241.89784824267991</v>
      </c>
      <c r="CA305" s="6">
        <f t="shared" ca="1" si="243"/>
        <v>0.37465152801485985</v>
      </c>
      <c r="CB305" s="6">
        <f t="shared" ca="1" si="244"/>
        <v>-0.92716569854375597</v>
      </c>
      <c r="CC305" s="6">
        <f t="shared" ca="1" si="245"/>
        <v>-1.1867754273555315</v>
      </c>
      <c r="CD305" s="6">
        <f t="shared" ca="1" si="239"/>
        <v>-0.8363973502294848</v>
      </c>
      <c r="CE305" s="9">
        <f t="shared" ca="1" si="240"/>
        <v>115.92744033198269</v>
      </c>
      <c r="CF305" s="9">
        <f t="shared" ca="1" si="241"/>
        <v>-151.97976422135986</v>
      </c>
      <c r="CG305">
        <f t="shared" ca="1" si="246"/>
        <v>191.14659336411293</v>
      </c>
      <c r="CH305">
        <f t="shared" ca="1" si="247"/>
        <v>0.60648446980770332</v>
      </c>
      <c r="CI305">
        <f t="shared" ca="1" si="248"/>
        <v>-0.79509533257469756</v>
      </c>
      <c r="CJ305">
        <f t="shared" ca="1" si="249"/>
        <v>-0.91916475212386717</v>
      </c>
      <c r="CK305" s="39">
        <f t="shared" ca="1" si="250"/>
        <v>-1.342018678256808</v>
      </c>
    </row>
    <row r="306" spans="55:89" x14ac:dyDescent="0.25">
      <c r="BC306">
        <v>5.3058009260627266</v>
      </c>
      <c r="BD306">
        <v>138.02201519011652</v>
      </c>
      <c r="BE306">
        <v>-129.07294639595784</v>
      </c>
      <c r="BF306" s="6">
        <f t="shared" si="235"/>
        <v>5.5312798096824318</v>
      </c>
      <c r="BG306" s="6">
        <f t="shared" si="236"/>
        <v>0.22547888361970525</v>
      </c>
      <c r="BH306" s="6">
        <f t="shared" si="237"/>
        <v>1.1747594236300956</v>
      </c>
      <c r="BI306" s="6">
        <f t="shared" si="238"/>
        <v>1.1747594236300956</v>
      </c>
      <c r="BV306" s="39"/>
      <c r="BW306" s="6">
        <f t="shared" si="251"/>
        <v>5.0789081233034663</v>
      </c>
      <c r="BX306" s="9">
        <f t="shared" ca="1" si="252"/>
        <v>93.812024447298484</v>
      </c>
      <c r="BY306" s="9">
        <f t="shared" ca="1" si="253"/>
        <v>-223.0412449651194</v>
      </c>
      <c r="BZ306">
        <f t="shared" ca="1" si="242"/>
        <v>241.96713183093885</v>
      </c>
      <c r="CA306" s="6">
        <f t="shared" ca="1" si="243"/>
        <v>0.38770565133137358</v>
      </c>
      <c r="CB306" s="6">
        <f t="shared" ca="1" si="244"/>
        <v>-0.92178323261258943</v>
      </c>
      <c r="CC306" s="6">
        <f t="shared" ca="1" si="245"/>
        <v>-1.1726550736812991</v>
      </c>
      <c r="CD306" s="6">
        <f t="shared" ca="1" si="239"/>
        <v>-0.82227699655525233</v>
      </c>
      <c r="CE306" s="9">
        <f t="shared" ca="1" si="240"/>
        <v>119.11206631165447</v>
      </c>
      <c r="CF306" s="9">
        <f t="shared" ca="1" si="241"/>
        <v>-150.74162174432348</v>
      </c>
      <c r="CG306">
        <f t="shared" ca="1" si="246"/>
        <v>192.12163039892377</v>
      </c>
      <c r="CH306">
        <f t="shared" ca="1" si="247"/>
        <v>0.61998259157143665</v>
      </c>
      <c r="CI306">
        <f t="shared" ca="1" si="248"/>
        <v>-0.78461556583359038</v>
      </c>
      <c r="CJ306">
        <f t="shared" ca="1" si="249"/>
        <v>-0.90207581099477074</v>
      </c>
      <c r="CK306" s="39">
        <f t="shared" ca="1" si="250"/>
        <v>-1.3249297371277113</v>
      </c>
    </row>
    <row r="307" spans="55:89" x14ac:dyDescent="0.25">
      <c r="BC307">
        <v>5.3232542185826697</v>
      </c>
      <c r="BD307">
        <v>138.28032454989989</v>
      </c>
      <c r="BE307">
        <v>-126.65887596258395</v>
      </c>
      <c r="BF307" s="6">
        <f t="shared" si="235"/>
        <v>5.5416236298156214</v>
      </c>
      <c r="BG307" s="6">
        <f t="shared" si="236"/>
        <v>0.21836941123295173</v>
      </c>
      <c r="BH307" s="6">
        <f t="shared" si="237"/>
        <v>1.164415603496906</v>
      </c>
      <c r="BI307" s="6">
        <f t="shared" si="238"/>
        <v>1.164415603496906</v>
      </c>
      <c r="BV307" s="39"/>
      <c r="BW307" s="6">
        <f t="shared" si="251"/>
        <v>5.0963614158234094</v>
      </c>
      <c r="BX307" s="9">
        <f t="shared" ca="1" si="252"/>
        <v>96.750044553365171</v>
      </c>
      <c r="BY307" s="9">
        <f t="shared" ca="1" si="253"/>
        <v>-221.84997342282691</v>
      </c>
      <c r="BZ307">
        <f t="shared" ca="1" si="242"/>
        <v>242.02888635199548</v>
      </c>
      <c r="CA307" s="6">
        <f t="shared" ca="1" si="243"/>
        <v>0.39974585683403274</v>
      </c>
      <c r="CB307" s="6">
        <f t="shared" ca="1" si="244"/>
        <v>-0.91662601421955348</v>
      </c>
      <c r="CC307" s="6">
        <f t="shared" ca="1" si="245"/>
        <v>-1.1595567568813958</v>
      </c>
      <c r="CD307" s="6">
        <f t="shared" ca="1" si="239"/>
        <v>-0.80917867975534907</v>
      </c>
      <c r="CE307" s="9">
        <f t="shared" ca="1" si="240"/>
        <v>122.05008641772116</v>
      </c>
      <c r="CF307" s="9">
        <f t="shared" ca="1" si="241"/>
        <v>-149.55035020203098</v>
      </c>
      <c r="CG307">
        <f t="shared" ca="1" si="246"/>
        <v>193.03246058661563</v>
      </c>
      <c r="CH307">
        <f t="shared" ca="1" si="247"/>
        <v>0.63227752496557976</v>
      </c>
      <c r="CI307">
        <f t="shared" ca="1" si="248"/>
        <v>-0.77474197732109529</v>
      </c>
      <c r="CJ307">
        <f t="shared" ca="1" si="249"/>
        <v>-0.88630690837548431</v>
      </c>
      <c r="CK307" s="39">
        <f t="shared" ca="1" si="250"/>
        <v>-1.3091608345084249</v>
      </c>
    </row>
    <row r="308" spans="55:89" x14ac:dyDescent="0.25">
      <c r="BC308">
        <v>5.3407075111026128</v>
      </c>
      <c r="BD308">
        <v>138.50408818760707</v>
      </c>
      <c r="BE308">
        <v>-124.30477809390885</v>
      </c>
      <c r="BF308" s="6">
        <f t="shared" si="235"/>
        <v>5.5517637004596114</v>
      </c>
      <c r="BG308" s="6">
        <f t="shared" si="236"/>
        <v>0.21105618935699866</v>
      </c>
      <c r="BH308" s="6">
        <f t="shared" si="237"/>
        <v>1.154275532852916</v>
      </c>
      <c r="BI308" s="6">
        <f t="shared" si="238"/>
        <v>1.154275532852916</v>
      </c>
      <c r="BV308" s="39"/>
      <c r="BW308" s="6">
        <f t="shared" si="251"/>
        <v>5.1138147083433525</v>
      </c>
      <c r="BX308" s="9">
        <f t="shared" ca="1" si="252"/>
        <v>99.472301970310923</v>
      </c>
      <c r="BY308" s="9">
        <f t="shared" ca="1" si="253"/>
        <v>-220.70008331291319</v>
      </c>
      <c r="BZ308">
        <f t="shared" ca="1" si="242"/>
        <v>242.08111374826319</v>
      </c>
      <c r="CA308" s="6">
        <f t="shared" ca="1" si="243"/>
        <v>0.4109048427204065</v>
      </c>
      <c r="CB308" s="6">
        <f t="shared" ca="1" si="244"/>
        <v>-0.91167823832145845</v>
      </c>
      <c r="CC308" s="6">
        <f t="shared" ca="1" si="245"/>
        <v>-1.1473499840664425</v>
      </c>
      <c r="CD308" s="6">
        <f t="shared" ca="1" si="239"/>
        <v>-0.79697190694039577</v>
      </c>
      <c r="CE308" s="9">
        <f t="shared" ca="1" si="240"/>
        <v>124.77234383466691</v>
      </c>
      <c r="CF308" s="9">
        <f t="shared" ca="1" si="241"/>
        <v>-148.40046009211727</v>
      </c>
      <c r="CG308">
        <f t="shared" ca="1" si="246"/>
        <v>193.88355871901163</v>
      </c>
      <c r="CH308">
        <f t="shared" ca="1" si="247"/>
        <v>0.64354267406188326</v>
      </c>
      <c r="CI308">
        <f t="shared" ca="1" si="248"/>
        <v>-0.76541023422820831</v>
      </c>
      <c r="CJ308">
        <f t="shared" ca="1" si="249"/>
        <v>-0.87167855135149519</v>
      </c>
      <c r="CK308" s="39">
        <f t="shared" ca="1" si="250"/>
        <v>-1.2945324774844358</v>
      </c>
    </row>
    <row r="309" spans="55:89" x14ac:dyDescent="0.25">
      <c r="BC309">
        <v>5.3581608036225559</v>
      </c>
      <c r="BD309">
        <v>138.69697984909305</v>
      </c>
      <c r="BE309">
        <v>-122.00498057503873</v>
      </c>
      <c r="BF309" s="6">
        <f t="shared" si="235"/>
        <v>5.5617269995307081</v>
      </c>
      <c r="BG309" s="6">
        <f t="shared" si="236"/>
        <v>0.20356619590815228</v>
      </c>
      <c r="BH309" s="6">
        <f t="shared" si="237"/>
        <v>1.1443122337818192</v>
      </c>
      <c r="BI309" s="6">
        <f t="shared" si="238"/>
        <v>1.1443122337818192</v>
      </c>
      <c r="BV309" s="39"/>
      <c r="BW309" s="6">
        <f t="shared" si="251"/>
        <v>5.1312680008632956</v>
      </c>
      <c r="BX309" s="9">
        <f t="shared" ca="1" si="252"/>
        <v>102.00468377627979</v>
      </c>
      <c r="BY309" s="9">
        <f t="shared" ca="1" si="253"/>
        <v>-219.58680070394763</v>
      </c>
      <c r="BZ309">
        <f t="shared" ca="1" si="242"/>
        <v>242.1225279805538</v>
      </c>
      <c r="CA309" s="6">
        <f t="shared" ca="1" si="243"/>
        <v>0.42129365089262721</v>
      </c>
      <c r="CB309" s="6">
        <f t="shared" ca="1" si="244"/>
        <v>-0.90692428554844706</v>
      </c>
      <c r="CC309" s="6">
        <f t="shared" ca="1" si="245"/>
        <v>-1.1359250629719451</v>
      </c>
      <c r="CD309" s="6">
        <f t="shared" ca="1" si="239"/>
        <v>-0.78554698584589833</v>
      </c>
      <c r="CE309" s="9">
        <f t="shared" ca="1" si="240"/>
        <v>127.30472564063578</v>
      </c>
      <c r="CF309" s="9">
        <f t="shared" ca="1" si="241"/>
        <v>-147.28717748315171</v>
      </c>
      <c r="CG309">
        <f t="shared" ca="1" si="246"/>
        <v>194.67923829055573</v>
      </c>
      <c r="CH309">
        <f t="shared" ca="1" si="247"/>
        <v>0.65392040136624874</v>
      </c>
      <c r="CI309">
        <f t="shared" ca="1" si="248"/>
        <v>-0.75656335404049557</v>
      </c>
      <c r="CJ309">
        <f t="shared" ca="1" si="249"/>
        <v>-0.85804156506305929</v>
      </c>
      <c r="CK309" s="39">
        <f t="shared" ca="1" si="250"/>
        <v>-1.280895491196</v>
      </c>
    </row>
    <row r="310" spans="55:89" x14ac:dyDescent="0.25">
      <c r="BC310">
        <v>5.375614096142499</v>
      </c>
      <c r="BD310">
        <v>138.86221950665703</v>
      </c>
      <c r="BE310">
        <v>-119.75424564494847</v>
      </c>
      <c r="BF310" s="6">
        <f t="shared" si="235"/>
        <v>5.5715385070061068</v>
      </c>
      <c r="BG310" s="6">
        <f t="shared" si="236"/>
        <v>0.19592441086360779</v>
      </c>
      <c r="BH310" s="6">
        <f t="shared" si="237"/>
        <v>1.1345007263064206</v>
      </c>
      <c r="BI310" s="6">
        <f t="shared" si="238"/>
        <v>1.1345007263064206</v>
      </c>
      <c r="BV310" s="39"/>
      <c r="BW310" s="6">
        <f t="shared" si="251"/>
        <v>5.1487212933832387</v>
      </c>
      <c r="BX310" s="9">
        <f t="shared" ca="1" si="252"/>
        <v>102.78820228934839</v>
      </c>
      <c r="BY310" s="9">
        <f t="shared" ca="1" si="253"/>
        <v>-219.23263110082922</v>
      </c>
      <c r="BZ310">
        <f t="shared" ca="1" si="242"/>
        <v>242.1329409007958</v>
      </c>
      <c r="CA310" s="6">
        <f t="shared" ca="1" si="243"/>
        <v>0.4245114353584038</v>
      </c>
      <c r="CB310" s="6">
        <f t="shared" ca="1" si="244"/>
        <v>-0.90542257606597587</v>
      </c>
      <c r="CC310" s="6">
        <f t="shared" ca="1" si="245"/>
        <v>-1.1323741079613274</v>
      </c>
      <c r="CD310" s="6">
        <f t="shared" ca="1" si="239"/>
        <v>-0.78199603083528069</v>
      </c>
      <c r="CE310" s="9">
        <f t="shared" ca="1" si="240"/>
        <v>128.08824415370438</v>
      </c>
      <c r="CF310" s="9">
        <f t="shared" ca="1" si="241"/>
        <v>-146.9330078800333</v>
      </c>
      <c r="CG310">
        <f t="shared" ca="1" si="246"/>
        <v>194.92538853380006</v>
      </c>
      <c r="CH310">
        <f t="shared" ca="1" si="247"/>
        <v>0.65711421748170007</v>
      </c>
      <c r="CI310">
        <f t="shared" ca="1" si="248"/>
        <v>-0.75379102222261374</v>
      </c>
      <c r="CJ310">
        <f t="shared" ca="1" si="249"/>
        <v>-0.85381234388797844</v>
      </c>
      <c r="CK310" s="39">
        <f t="shared" ca="1" si="250"/>
        <v>-1.276666270020919</v>
      </c>
    </row>
    <row r="311" spans="55:89" x14ac:dyDescent="0.25">
      <c r="BC311">
        <v>5.3930673886624421</v>
      </c>
      <c r="BD311">
        <v>139.00263917225095</v>
      </c>
      <c r="BE311">
        <v>-117.54771142883131</v>
      </c>
      <c r="BF311" s="6">
        <f t="shared" si="235"/>
        <v>5.5812215256571953</v>
      </c>
      <c r="BG311" s="6">
        <f t="shared" si="236"/>
        <v>0.18815413699475325</v>
      </c>
      <c r="BH311" s="6">
        <f t="shared" si="237"/>
        <v>1.1248177076553321</v>
      </c>
      <c r="BI311" s="6">
        <f t="shared" si="238"/>
        <v>1.1248177076553321</v>
      </c>
      <c r="BV311" s="39"/>
      <c r="BW311" s="6">
        <f t="shared" si="251"/>
        <v>5.1661745859031818</v>
      </c>
      <c r="BX311" s="9">
        <f t="shared" ca="1" si="252"/>
        <v>105.0540529703255</v>
      </c>
      <c r="BY311" s="9">
        <f t="shared" ca="1" si="253"/>
        <v>-218.16093143357415</v>
      </c>
      <c r="BZ311">
        <f t="shared" ca="1" si="242"/>
        <v>242.13745280203267</v>
      </c>
      <c r="CA311" s="6">
        <f t="shared" ca="1" si="243"/>
        <v>0.43386122945720357</v>
      </c>
      <c r="CB311" s="6">
        <f t="shared" ca="1" si="244"/>
        <v>-0.90097970763712754</v>
      </c>
      <c r="CC311" s="6">
        <f t="shared" ca="1" si="245"/>
        <v>-1.1220223599699044</v>
      </c>
      <c r="CD311" s="6">
        <f t="shared" ca="1" si="239"/>
        <v>-0.77164428284385767</v>
      </c>
      <c r="CE311" s="9">
        <f t="shared" ca="1" si="240"/>
        <v>130.35409483468149</v>
      </c>
      <c r="CF311" s="9">
        <f t="shared" ca="1" si="241"/>
        <v>-145.86130821277823</v>
      </c>
      <c r="CG311">
        <f t="shared" ca="1" si="246"/>
        <v>195.62134667186049</v>
      </c>
      <c r="CH311">
        <f t="shared" ca="1" si="247"/>
        <v>0.66635925502210291</v>
      </c>
      <c r="CI311">
        <f t="shared" ca="1" si="248"/>
        <v>-0.74563083576686118</v>
      </c>
      <c r="CJ311">
        <f t="shared" ca="1" si="249"/>
        <v>-0.84148103053567724</v>
      </c>
      <c r="CK311" s="39">
        <f t="shared" ca="1" si="250"/>
        <v>-1.2643349566686179</v>
      </c>
    </row>
    <row r="312" spans="55:89" x14ac:dyDescent="0.25">
      <c r="BC312">
        <v>5.4105206811823852</v>
      </c>
      <c r="BD312">
        <v>139.12073803529927</v>
      </c>
      <c r="BE312">
        <v>-115.38084067840715</v>
      </c>
      <c r="BF312" s="6">
        <f t="shared" si="235"/>
        <v>5.5907979609072571</v>
      </c>
      <c r="BG312" s="6">
        <f t="shared" si="236"/>
        <v>0.18027727972487195</v>
      </c>
      <c r="BH312" s="6">
        <f t="shared" si="237"/>
        <v>1.1152412724052703</v>
      </c>
      <c r="BI312" s="6">
        <f t="shared" si="238"/>
        <v>1.1152412724052703</v>
      </c>
      <c r="BV312" s="39"/>
      <c r="BW312" s="6">
        <f t="shared" si="251"/>
        <v>5.1836278784231249</v>
      </c>
      <c r="BX312" s="9">
        <f t="shared" ca="1" si="252"/>
        <v>107.18403364078185</v>
      </c>
      <c r="BY312" s="9">
        <f t="shared" ca="1" si="253"/>
        <v>-217.11466574226523</v>
      </c>
      <c r="BZ312">
        <f t="shared" ca="1" si="242"/>
        <v>242.130533282946</v>
      </c>
      <c r="CA312" s="6">
        <f t="shared" ca="1" si="243"/>
        <v>0.4426704562515047</v>
      </c>
      <c r="CB312" s="6">
        <f t="shared" ca="1" si="244"/>
        <v>-0.89668437432693371</v>
      </c>
      <c r="CC312" s="6">
        <f t="shared" ca="1" si="245"/>
        <v>-1.1122216899006179</v>
      </c>
      <c r="CD312" s="6">
        <f t="shared" ca="1" si="239"/>
        <v>-0.76184361277457113</v>
      </c>
      <c r="CE312" s="9">
        <f t="shared" ca="1" si="240"/>
        <v>132.48407550513784</v>
      </c>
      <c r="CF312" s="9">
        <f t="shared" ca="1" si="241"/>
        <v>-144.81504252146931</v>
      </c>
      <c r="CG312">
        <f t="shared" ca="1" si="246"/>
        <v>196.27385664664058</v>
      </c>
      <c r="CH312">
        <f t="shared" ca="1" si="247"/>
        <v>0.67499603751942394</v>
      </c>
      <c r="CI312">
        <f t="shared" ca="1" si="248"/>
        <v>-0.73782135326451259</v>
      </c>
      <c r="CJ312">
        <f t="shared" ca="1" si="249"/>
        <v>-0.82983699511997666</v>
      </c>
      <c r="CK312" s="39">
        <f t="shared" ca="1" si="250"/>
        <v>-1.2526909212529174</v>
      </c>
    </row>
    <row r="313" spans="55:89" x14ac:dyDescent="0.25">
      <c r="BC313">
        <v>5.4279739737023283</v>
      </c>
      <c r="BD313">
        <v>139.2187288839383</v>
      </c>
      <c r="BE313">
        <v>-113.24937554314631</v>
      </c>
      <c r="BF313" s="6">
        <f t="shared" si="235"/>
        <v>5.6002885677344718</v>
      </c>
      <c r="BG313" s="6">
        <f t="shared" si="236"/>
        <v>0.17231459403214355</v>
      </c>
      <c r="BH313" s="6">
        <f t="shared" si="237"/>
        <v>1.1057506655780556</v>
      </c>
      <c r="BI313" s="6">
        <f t="shared" si="238"/>
        <v>1.1057506655780556</v>
      </c>
      <c r="BV313" s="39"/>
      <c r="BW313" s="6">
        <f t="shared" si="251"/>
        <v>5.201081170943068</v>
      </c>
      <c r="BX313" s="9">
        <f t="shared" ca="1" si="252"/>
        <v>109.19219717604761</v>
      </c>
      <c r="BY313" s="9">
        <f t="shared" ca="1" si="253"/>
        <v>-216.09085641979641</v>
      </c>
      <c r="BZ313">
        <f t="shared" ca="1" si="242"/>
        <v>242.11194549706531</v>
      </c>
      <c r="CA313" s="6">
        <f t="shared" ca="1" si="243"/>
        <v>0.45099880120277319</v>
      </c>
      <c r="CB313" s="6">
        <f t="shared" ca="1" si="244"/>
        <v>-0.89252455502000705</v>
      </c>
      <c r="CC313" s="6">
        <f t="shared" ca="1" si="245"/>
        <v>-1.102912229539843</v>
      </c>
      <c r="CD313" s="6">
        <f t="shared" ca="1" si="239"/>
        <v>-0.75253415241379629</v>
      </c>
      <c r="CE313" s="9">
        <f t="shared" ca="1" si="240"/>
        <v>134.4922390404036</v>
      </c>
      <c r="CF313" s="9">
        <f t="shared" ca="1" si="241"/>
        <v>-143.79123319900049</v>
      </c>
      <c r="CG313">
        <f t="shared" ca="1" si="246"/>
        <v>196.88595964921012</v>
      </c>
      <c r="CH313">
        <f t="shared" ca="1" si="247"/>
        <v>0.68309715573435081</v>
      </c>
      <c r="CI313">
        <f t="shared" ca="1" si="248"/>
        <v>-0.73032751271442609</v>
      </c>
      <c r="CJ313">
        <f t="shared" ca="1" si="249"/>
        <v>-0.81880128043884215</v>
      </c>
      <c r="CK313" s="39">
        <f t="shared" ca="1" si="250"/>
        <v>-1.241655206571783</v>
      </c>
    </row>
    <row r="314" spans="55:89" x14ac:dyDescent="0.25">
      <c r="BC314">
        <v>5.4454272662222714</v>
      </c>
      <c r="BD314">
        <v>139.3200682995666</v>
      </c>
      <c r="BE314">
        <v>-111.17646009625292</v>
      </c>
      <c r="BF314" s="6">
        <f t="shared" si="235"/>
        <v>5.6096692527556824</v>
      </c>
      <c r="BG314" s="6">
        <f t="shared" si="236"/>
        <v>0.16424198653341104</v>
      </c>
      <c r="BH314" s="6">
        <f t="shared" si="237"/>
        <v>1.096369980556845</v>
      </c>
      <c r="BI314" s="6">
        <f t="shared" si="238"/>
        <v>1.096369980556845</v>
      </c>
      <c r="BV314" s="39"/>
      <c r="BW314" s="6">
        <f t="shared" si="251"/>
        <v>5.2185344634630111</v>
      </c>
      <c r="BX314" s="9">
        <f t="shared" ca="1" si="252"/>
        <v>110.74043054750624</v>
      </c>
      <c r="BY314" s="9">
        <f t="shared" ca="1" si="253"/>
        <v>-214.58093704577055</v>
      </c>
      <c r="BZ314">
        <f t="shared" ca="1" si="242"/>
        <v>241.47136787057798</v>
      </c>
      <c r="CA314" s="6">
        <f t="shared" ca="1" si="243"/>
        <v>0.45860687966475622</v>
      </c>
      <c r="CB314" s="6">
        <f t="shared" ca="1" si="244"/>
        <v>-0.8886392574741202</v>
      </c>
      <c r="CC314" s="6">
        <f t="shared" ca="1" si="245"/>
        <v>-1.094369464254024</v>
      </c>
      <c r="CD314" s="6">
        <f t="shared" ca="1" si="239"/>
        <v>-0.7439913871279773</v>
      </c>
      <c r="CE314" s="9">
        <f t="shared" ca="1" si="240"/>
        <v>136.04047241186223</v>
      </c>
      <c r="CF314" s="9">
        <f t="shared" ca="1" si="241"/>
        <v>-142.28131382497463</v>
      </c>
      <c r="CG314">
        <f t="shared" ca="1" si="246"/>
        <v>196.85269212739652</v>
      </c>
      <c r="CH314">
        <f t="shared" ca="1" si="247"/>
        <v>0.69107753082605217</v>
      </c>
      <c r="CI314">
        <f t="shared" ca="1" si="248"/>
        <v>-0.72278063503899093</v>
      </c>
      <c r="CJ314">
        <f t="shared" ca="1" si="249"/>
        <v>-0.80781752142195529</v>
      </c>
      <c r="CK314" s="39">
        <f t="shared" ca="1" si="250"/>
        <v>-1.2306714475548959</v>
      </c>
    </row>
    <row r="315" spans="55:89" x14ac:dyDescent="0.25">
      <c r="BC315">
        <v>5.4628805587422145</v>
      </c>
      <c r="BD315">
        <v>141.07015295880575</v>
      </c>
      <c r="BE315">
        <v>-111.22219311036213</v>
      </c>
      <c r="BF315" s="6">
        <f t="shared" si="235"/>
        <v>5.6155468063578233</v>
      </c>
      <c r="BG315" s="6">
        <f t="shared" si="236"/>
        <v>0.15266624761560887</v>
      </c>
      <c r="BH315" s="6">
        <f t="shared" si="237"/>
        <v>1.0904924269547041</v>
      </c>
      <c r="BI315" s="6">
        <f t="shared" si="238"/>
        <v>1.0904924269547041</v>
      </c>
      <c r="BV315" s="39"/>
      <c r="BW315" s="6">
        <f t="shared" si="251"/>
        <v>5.2359877559829542</v>
      </c>
      <c r="BX315" s="9">
        <f t="shared" ca="1" si="252"/>
        <v>111.24901313868844</v>
      </c>
      <c r="BY315" s="9">
        <f t="shared" ca="1" si="253"/>
        <v>-211.76132302546904</v>
      </c>
      <c r="BZ315">
        <f t="shared" ca="1" si="242"/>
        <v>239.205352895434</v>
      </c>
      <c r="CA315" s="6">
        <f t="shared" ca="1" si="243"/>
        <v>0.46507743991548434</v>
      </c>
      <c r="CB315" s="6">
        <f t="shared" ca="1" si="244"/>
        <v>-0.88527000111923992</v>
      </c>
      <c r="CC315" s="6">
        <f t="shared" ca="1" si="245"/>
        <v>-1.0870742415448862</v>
      </c>
      <c r="CD315" s="6">
        <f t="shared" ca="1" si="239"/>
        <v>-0.73669616441883945</v>
      </c>
      <c r="CE315" s="9">
        <f t="shared" ca="1" si="240"/>
        <v>136.54905500304443</v>
      </c>
      <c r="CF315" s="9">
        <f t="shared" ca="1" si="241"/>
        <v>-139.46169980467312</v>
      </c>
      <c r="CG315">
        <f t="shared" ca="1" si="246"/>
        <v>195.17994296195812</v>
      </c>
      <c r="CH315">
        <f t="shared" ca="1" si="247"/>
        <v>0.69960597862075791</v>
      </c>
      <c r="CI315">
        <f t="shared" ca="1" si="248"/>
        <v>-0.71452884803770611</v>
      </c>
      <c r="CJ315">
        <f t="shared" ca="1" si="249"/>
        <v>-0.7959504213884262</v>
      </c>
      <c r="CK315" s="39">
        <f t="shared" ca="1" si="250"/>
        <v>-1.2188043475213668</v>
      </c>
    </row>
    <row r="316" spans="55:89" x14ac:dyDescent="0.25">
      <c r="BC316">
        <v>5.4803338512621576</v>
      </c>
      <c r="BD316">
        <v>142.81835395389027</v>
      </c>
      <c r="BE316">
        <v>-111.28239696418396</v>
      </c>
      <c r="BF316" s="6">
        <f t="shared" si="235"/>
        <v>5.6212638465702938</v>
      </c>
      <c r="BG316" s="6">
        <f t="shared" si="236"/>
        <v>0.14092999530813621</v>
      </c>
      <c r="BH316" s="6">
        <f t="shared" si="237"/>
        <v>1.0847753867422336</v>
      </c>
      <c r="BI316" s="6">
        <f t="shared" si="238"/>
        <v>1.0847753867422336</v>
      </c>
      <c r="BV316" s="39"/>
      <c r="BW316" s="6">
        <f t="shared" si="251"/>
        <v>5.2534410485028973</v>
      </c>
      <c r="BX316" s="9">
        <f t="shared" ca="1" si="252"/>
        <v>111.69445138840118</v>
      </c>
      <c r="BY316" s="9">
        <f t="shared" ca="1" si="253"/>
        <v>-209.03934868946129</v>
      </c>
      <c r="BZ316">
        <f t="shared" ca="1" si="242"/>
        <v>237.00864914907663</v>
      </c>
      <c r="CA316" s="6">
        <f t="shared" ca="1" si="243"/>
        <v>0.47126740644028658</v>
      </c>
      <c r="CB316" s="6">
        <f t="shared" ca="1" si="244"/>
        <v>-0.88199038068850022</v>
      </c>
      <c r="CC316" s="6">
        <f t="shared" ca="1" si="245"/>
        <v>-1.0800691151065078</v>
      </c>
      <c r="CD316" s="6">
        <f t="shared" ca="1" si="239"/>
        <v>-0.72969103798046109</v>
      </c>
      <c r="CE316" s="9">
        <f t="shared" ca="1" si="240"/>
        <v>136.99449325275717</v>
      </c>
      <c r="CF316" s="9">
        <f t="shared" ca="1" si="241"/>
        <v>-136.73972546866537</v>
      </c>
      <c r="CG316">
        <f t="shared" ca="1" si="246"/>
        <v>193.55940613368728</v>
      </c>
      <c r="CH316">
        <f t="shared" ca="1" si="247"/>
        <v>0.70776458757131155</v>
      </c>
      <c r="CI316">
        <f t="shared" ca="1" si="248"/>
        <v>-0.70644836228843466</v>
      </c>
      <c r="CJ316">
        <f t="shared" ca="1" si="249"/>
        <v>-0.78446745143998931</v>
      </c>
      <c r="CK316" s="39">
        <f t="shared" ca="1" si="250"/>
        <v>-1.2073213775729301</v>
      </c>
    </row>
    <row r="317" spans="55:89" x14ac:dyDescent="0.25">
      <c r="BC317">
        <v>5.4977871437821006</v>
      </c>
      <c r="BD317">
        <v>144.56777093414581</v>
      </c>
      <c r="BE317">
        <v>-111.35686011068842</v>
      </c>
      <c r="BF317" s="6">
        <f t="shared" si="235"/>
        <v>5.6268343168111583</v>
      </c>
      <c r="BG317" s="6">
        <f t="shared" si="236"/>
        <v>0.12904717302905766</v>
      </c>
      <c r="BH317" s="6">
        <f t="shared" si="237"/>
        <v>1.0792049165013691</v>
      </c>
      <c r="BI317" s="6">
        <f t="shared" si="238"/>
        <v>1.0792049165013691</v>
      </c>
      <c r="BV317" s="39"/>
      <c r="BW317" s="6">
        <f t="shared" si="251"/>
        <v>5.2708943410228404</v>
      </c>
      <c r="BX317" s="9">
        <f t="shared" ca="1" si="252"/>
        <v>112.08426369758334</v>
      </c>
      <c r="BY317" s="9">
        <f t="shared" ca="1" si="253"/>
        <v>-206.40590458206151</v>
      </c>
      <c r="BZ317">
        <f t="shared" ca="1" si="242"/>
        <v>234.87502978172984</v>
      </c>
      <c r="CA317" s="6">
        <f t="shared" ca="1" si="243"/>
        <v>0.47720808721873764</v>
      </c>
      <c r="CB317" s="6">
        <f t="shared" ca="1" si="244"/>
        <v>-0.87879032851587169</v>
      </c>
      <c r="CC317" s="6">
        <f t="shared" ca="1" si="245"/>
        <v>-1.0733213603107401</v>
      </c>
      <c r="CD317" s="6">
        <f t="shared" ca="1" si="239"/>
        <v>-0.72294328318469336</v>
      </c>
      <c r="CE317" s="9">
        <f t="shared" ca="1" si="240"/>
        <v>137.38430556193933</v>
      </c>
      <c r="CF317" s="9">
        <f t="shared" ca="1" si="241"/>
        <v>-134.10628136126559</v>
      </c>
      <c r="CG317">
        <f t="shared" ca="1" si="246"/>
        <v>191.9868279733879</v>
      </c>
      <c r="CH317">
        <f t="shared" ca="1" si="247"/>
        <v>0.71559235085118833</v>
      </c>
      <c r="CI317">
        <f t="shared" ca="1" si="248"/>
        <v>-0.69851813677475116</v>
      </c>
      <c r="CJ317">
        <f t="shared" ca="1" si="249"/>
        <v>-0.77332457751196726</v>
      </c>
      <c r="CK317" s="39">
        <f t="shared" ca="1" si="250"/>
        <v>-1.196178503644908</v>
      </c>
    </row>
    <row r="318" spans="55:89" x14ac:dyDescent="0.25">
      <c r="BC318">
        <v>5.5152404363020437</v>
      </c>
      <c r="BD318">
        <v>146.32148753262277</v>
      </c>
      <c r="BE318">
        <v>-111.44542567953505</v>
      </c>
      <c r="BF318" s="6">
        <f t="shared" si="235"/>
        <v>5.6322712465838309</v>
      </c>
      <c r="BG318" s="6">
        <f t="shared" si="236"/>
        <v>0.11703081028178719</v>
      </c>
      <c r="BH318" s="6">
        <f t="shared" si="237"/>
        <v>1.0737679867286964</v>
      </c>
      <c r="BI318" s="6">
        <f t="shared" si="238"/>
        <v>1.0737679867286964</v>
      </c>
      <c r="BV318" s="39"/>
      <c r="BW318" s="6">
        <f t="shared" si="251"/>
        <v>5.2883476335427835</v>
      </c>
      <c r="BX318" s="9">
        <f t="shared" ca="1" si="252"/>
        <v>112.42491178453886</v>
      </c>
      <c r="BY318" s="9">
        <f t="shared" ca="1" si="253"/>
        <v>-203.85278670440709</v>
      </c>
      <c r="BZ318">
        <f t="shared" ca="1" si="242"/>
        <v>232.79888194944976</v>
      </c>
      <c r="CA318" s="6">
        <f t="shared" ca="1" si="243"/>
        <v>0.48292719811665996</v>
      </c>
      <c r="CB318" s="6">
        <f t="shared" ca="1" si="244"/>
        <v>-0.8756605057436313</v>
      </c>
      <c r="CC318" s="6">
        <f t="shared" ca="1" si="245"/>
        <v>-1.0668018380430788</v>
      </c>
      <c r="CD318" s="6">
        <f t="shared" ca="1" si="239"/>
        <v>-0.71642376091703208</v>
      </c>
      <c r="CE318" s="9">
        <f t="shared" ca="1" si="240"/>
        <v>137.72495364889485</v>
      </c>
      <c r="CF318" s="9">
        <f t="shared" ca="1" si="241"/>
        <v>-131.55316348361117</v>
      </c>
      <c r="CG318">
        <f t="shared" ca="1" si="246"/>
        <v>190.45838831654532</v>
      </c>
      <c r="CH318">
        <f t="shared" ca="1" si="247"/>
        <v>0.72312359075512844</v>
      </c>
      <c r="CI318">
        <f t="shared" ca="1" si="248"/>
        <v>-0.69071866377955171</v>
      </c>
      <c r="CJ318">
        <f t="shared" ca="1" si="249"/>
        <v>-0.76248241421130081</v>
      </c>
      <c r="CK318" s="39">
        <f t="shared" ca="1" si="250"/>
        <v>-1.1853363403442416</v>
      </c>
    </row>
    <row r="319" spans="55:89" x14ac:dyDescent="0.25">
      <c r="BC319">
        <v>5.5326937288219868</v>
      </c>
      <c r="BD319">
        <v>148.08259666987598</v>
      </c>
      <c r="BE319">
        <v>-111.5479875557802</v>
      </c>
      <c r="BF319" s="6">
        <f t="shared" si="235"/>
        <v>5.637586883218682</v>
      </c>
      <c r="BG319" s="6">
        <f t="shared" si="236"/>
        <v>0.10489315439669511</v>
      </c>
      <c r="BH319" s="6">
        <f t="shared" si="237"/>
        <v>1.0684523500938454</v>
      </c>
      <c r="BI319" s="6">
        <f t="shared" si="238"/>
        <v>1.0684523500938454</v>
      </c>
      <c r="BV319" s="39"/>
      <c r="BW319" s="6">
        <f t="shared" si="251"/>
        <v>5.3058009260627266</v>
      </c>
      <c r="BX319" s="9">
        <f t="shared" ca="1" si="252"/>
        <v>112.72197332576053</v>
      </c>
      <c r="BY319" s="9">
        <f t="shared" ca="1" si="253"/>
        <v>-201.37256961675376</v>
      </c>
      <c r="BZ319">
        <f t="shared" ca="1" si="242"/>
        <v>230.77511794928805</v>
      </c>
      <c r="CA319" s="6">
        <f t="shared" ca="1" si="243"/>
        <v>0.48844942352290666</v>
      </c>
      <c r="CB319" s="6">
        <f t="shared" ca="1" si="244"/>
        <v>-0.87259220754034938</v>
      </c>
      <c r="CC319" s="6">
        <f t="shared" ca="1" si="245"/>
        <v>-1.0604844366760162</v>
      </c>
      <c r="CD319" s="6">
        <f t="shared" ca="1" si="239"/>
        <v>-0.71010635954996948</v>
      </c>
      <c r="CE319" s="9">
        <f t="shared" ca="1" si="240"/>
        <v>138.02201519011652</v>
      </c>
      <c r="CF319" s="9">
        <f t="shared" ca="1" si="241"/>
        <v>-129.07294639595784</v>
      </c>
      <c r="CG319">
        <f t="shared" ca="1" si="246"/>
        <v>188.97063837663924</v>
      </c>
      <c r="CH319">
        <f t="shared" ca="1" si="247"/>
        <v>0.73038868035691074</v>
      </c>
      <c r="CI319">
        <f t="shared" ca="1" si="248"/>
        <v>-0.68303175300017394</v>
      </c>
      <c r="CJ319">
        <f t="shared" ca="1" si="249"/>
        <v>-0.75190549749715441</v>
      </c>
      <c r="CK319" s="39">
        <f t="shared" ca="1" si="250"/>
        <v>-1.1747594236300951</v>
      </c>
    </row>
    <row r="320" spans="55:89" x14ac:dyDescent="0.25">
      <c r="BC320">
        <v>5.5501470213419299</v>
      </c>
      <c r="BD320">
        <v>149.85422577542334</v>
      </c>
      <c r="BE320">
        <v>-111.66448679729032</v>
      </c>
      <c r="BF320" s="6">
        <f t="shared" si="235"/>
        <v>5.6427928120040312</v>
      </c>
      <c r="BG320" s="6">
        <f t="shared" si="236"/>
        <v>9.2645790662101213E-2</v>
      </c>
      <c r="BH320" s="6">
        <f t="shared" si="237"/>
        <v>1.0632464213084962</v>
      </c>
      <c r="BI320" s="6">
        <f t="shared" si="238"/>
        <v>1.0632464213084962</v>
      </c>
      <c r="BV320" s="39"/>
      <c r="BW320" s="6">
        <f t="shared" si="251"/>
        <v>5.3232542185826697</v>
      </c>
      <c r="BX320" s="9">
        <f t="shared" ca="1" si="252"/>
        <v>112.9802826855439</v>
      </c>
      <c r="BY320" s="9">
        <f t="shared" ca="1" si="253"/>
        <v>-198.9584991833799</v>
      </c>
      <c r="BZ320">
        <f t="shared" ca="1" si="242"/>
        <v>228.79910111931906</v>
      </c>
      <c r="CA320" s="6">
        <f t="shared" ca="1" si="243"/>
        <v>0.49379688177456832</v>
      </c>
      <c r="CB320" s="6">
        <f t="shared" ca="1" si="244"/>
        <v>-0.86957727635312154</v>
      </c>
      <c r="CC320" s="6">
        <f t="shared" ca="1" si="245"/>
        <v>-1.0543456063179648</v>
      </c>
      <c r="CD320" s="6">
        <f t="shared" ca="1" si="239"/>
        <v>-0.70396752919191807</v>
      </c>
      <c r="CE320" s="9">
        <f t="shared" ca="1" si="240"/>
        <v>138.28032454989989</v>
      </c>
      <c r="CF320" s="9">
        <f t="shared" ca="1" si="241"/>
        <v>-126.65887596258396</v>
      </c>
      <c r="CG320">
        <f t="shared" ca="1" si="246"/>
        <v>187.52044959878609</v>
      </c>
      <c r="CH320">
        <f t="shared" ca="1" si="247"/>
        <v>0.73741463848748712</v>
      </c>
      <c r="CI320">
        <f t="shared" ca="1" si="248"/>
        <v>-0.67544033855283525</v>
      </c>
      <c r="CJ320">
        <f t="shared" ca="1" si="249"/>
        <v>-0.74156167736396505</v>
      </c>
      <c r="CK320" s="39">
        <f t="shared" ca="1" si="250"/>
        <v>-1.1644156034969058</v>
      </c>
    </row>
    <row r="321" spans="55:89" x14ac:dyDescent="0.25">
      <c r="BC321">
        <v>5.567600313861873</v>
      </c>
      <c r="BD321">
        <v>151.63956239830904</v>
      </c>
      <c r="BE321">
        <v>-111.79490827051104</v>
      </c>
      <c r="BF321" s="6">
        <f t="shared" si="235"/>
        <v>5.6479000672789788</v>
      </c>
      <c r="BG321" s="6">
        <f t="shared" si="236"/>
        <v>8.0299753417105713E-2</v>
      </c>
      <c r="BH321" s="6">
        <f t="shared" si="237"/>
        <v>1.0581391660335486</v>
      </c>
      <c r="BI321" s="6">
        <f t="shared" si="238"/>
        <v>1.0581391660335486</v>
      </c>
      <c r="BV321" s="39"/>
      <c r="BW321" s="6">
        <f t="shared" si="251"/>
        <v>5.3407075111026128</v>
      </c>
      <c r="BX321" s="9">
        <f t="shared" ca="1" si="252"/>
        <v>113.20404632325108</v>
      </c>
      <c r="BY321" s="9">
        <f t="shared" ca="1" si="253"/>
        <v>-196.60440131470477</v>
      </c>
      <c r="BZ321">
        <f t="shared" ca="1" si="242"/>
        <v>226.86658352492168</v>
      </c>
      <c r="CA321" s="6">
        <f t="shared" ca="1" si="243"/>
        <v>0.49898951429669419</v>
      </c>
      <c r="CB321" s="6">
        <f t="shared" ca="1" si="244"/>
        <v>-0.86660802247726121</v>
      </c>
      <c r="CC321" s="6">
        <f t="shared" ca="1" si="245"/>
        <v>-1.0483639670967226</v>
      </c>
      <c r="CD321" s="6">
        <f t="shared" ca="1" si="239"/>
        <v>-0.6979858899706759</v>
      </c>
      <c r="CE321" s="9">
        <f t="shared" ca="1" si="240"/>
        <v>138.50408818760707</v>
      </c>
      <c r="CF321" s="9">
        <f t="shared" ca="1" si="241"/>
        <v>-124.30477809390884</v>
      </c>
      <c r="CG321">
        <f t="shared" ca="1" si="246"/>
        <v>186.10497119006885</v>
      </c>
      <c r="CH321">
        <f t="shared" ca="1" si="247"/>
        <v>0.74422562332390874</v>
      </c>
      <c r="CI321">
        <f t="shared" ca="1" si="248"/>
        <v>-0.66792830572460349</v>
      </c>
      <c r="CJ321">
        <f t="shared" ca="1" si="249"/>
        <v>-0.73142160671997503</v>
      </c>
      <c r="CK321" s="39">
        <f t="shared" ca="1" si="250"/>
        <v>-1.1542755328529157</v>
      </c>
    </row>
    <row r="322" spans="55:89" x14ac:dyDescent="0.25">
      <c r="BC322">
        <v>5.5850536063818161</v>
      </c>
      <c r="BD322">
        <v>153.44188067901342</v>
      </c>
      <c r="BE322">
        <v>-111.93927738198319</v>
      </c>
      <c r="BF322" s="6">
        <f t="shared" si="235"/>
        <v>5.6529192367905079</v>
      </c>
      <c r="BG322" s="6">
        <f t="shared" si="236"/>
        <v>6.7865630408691757E-2</v>
      </c>
      <c r="BH322" s="6">
        <f t="shared" si="237"/>
        <v>1.0531199965220195</v>
      </c>
      <c r="BI322" s="6">
        <f t="shared" si="238"/>
        <v>1.0531199965220195</v>
      </c>
      <c r="BV322" s="39"/>
      <c r="BW322" s="6">
        <f t="shared" si="251"/>
        <v>5.3581608036225559</v>
      </c>
      <c r="BX322" s="9">
        <f t="shared" ca="1" si="252"/>
        <v>113.39693798473706</v>
      </c>
      <c r="BY322" s="9">
        <f t="shared" ca="1" si="253"/>
        <v>-194.30460379583468</v>
      </c>
      <c r="BZ322">
        <f t="shared" ca="1" si="242"/>
        <v>224.97365312536175</v>
      </c>
      <c r="CA322" s="6">
        <f t="shared" ca="1" si="243"/>
        <v>0.50404541336024378</v>
      </c>
      <c r="CB322" s="6">
        <f t="shared" ca="1" si="244"/>
        <v>-0.86367715106427423</v>
      </c>
      <c r="CC322" s="6">
        <f t="shared" ca="1" si="245"/>
        <v>-1.0425199770404343</v>
      </c>
      <c r="CD322" s="6">
        <f t="shared" ca="1" si="239"/>
        <v>-0.69214189991438757</v>
      </c>
      <c r="CE322" s="9">
        <f t="shared" ca="1" si="240"/>
        <v>138.69697984909305</v>
      </c>
      <c r="CF322" s="9">
        <f t="shared" ca="1" si="241"/>
        <v>-122.00498057503874</v>
      </c>
      <c r="CG322">
        <f t="shared" ca="1" si="246"/>
        <v>184.72159458053437</v>
      </c>
      <c r="CH322">
        <f t="shared" ca="1" si="247"/>
        <v>0.75084334435313871</v>
      </c>
      <c r="CI322">
        <f t="shared" ca="1" si="248"/>
        <v>-0.6604803344843766</v>
      </c>
      <c r="CJ322">
        <f t="shared" ca="1" si="249"/>
        <v>-0.72145830764887842</v>
      </c>
      <c r="CK322" s="39">
        <f t="shared" ca="1" si="250"/>
        <v>-1.144312233781819</v>
      </c>
    </row>
    <row r="323" spans="55:89" x14ac:dyDescent="0.25">
      <c r="BC323">
        <v>5.6025068989017592</v>
      </c>
      <c r="BD323">
        <v>155.26456919172409</v>
      </c>
      <c r="BE323">
        <v>-112.09765676590666</v>
      </c>
      <c r="BF323" s="6">
        <f t="shared" ref="BF323:BF362" si="254">IF(BC323&lt;&gt;"",IF(AND(BD323=0,BE323=0),0,MOD(ATAN2(BD323,BE323),2*PI())),NA())</f>
        <v>5.6578605615324431</v>
      </c>
      <c r="BG323" s="6">
        <f t="shared" ref="BG323:BG362" si="255">ABS(BC323-BF323)</f>
        <v>5.5353662630683864E-2</v>
      </c>
      <c r="BH323" s="6">
        <f t="shared" ref="BH323:BH362" si="256">ATAN2(COS($U$13-BF323),SIN($U$13-BF323))</f>
        <v>1.0481786717800843</v>
      </c>
      <c r="BI323" s="6">
        <f t="shared" ref="BI323:BI362" si="257">ABS(BH323)</f>
        <v>1.0481786717800843</v>
      </c>
      <c r="BV323" s="39"/>
      <c r="BW323" s="6">
        <f t="shared" si="251"/>
        <v>5.375614096142499</v>
      </c>
      <c r="BX323" s="9">
        <f t="shared" ca="1" si="252"/>
        <v>113.56217764230104</v>
      </c>
      <c r="BY323" s="9">
        <f t="shared" ca="1" si="253"/>
        <v>-192.05386886574439</v>
      </c>
      <c r="BZ323">
        <f t="shared" ca="1" si="242"/>
        <v>223.11668861195051</v>
      </c>
      <c r="CA323" s="6">
        <f t="shared" ca="1" si="243"/>
        <v>0.50898110019825049</v>
      </c>
      <c r="CB323" s="6">
        <f t="shared" ca="1" si="244"/>
        <v>-0.86077769466975529</v>
      </c>
      <c r="CC323" s="6">
        <f t="shared" ca="1" si="245"/>
        <v>-1.0367956481343827</v>
      </c>
      <c r="CD323" s="6">
        <f t="shared" ca="1" si="239"/>
        <v>-0.686417571008336</v>
      </c>
      <c r="CE323" s="9">
        <f t="shared" ca="1" si="240"/>
        <v>138.86221950665703</v>
      </c>
      <c r="CF323" s="9">
        <f t="shared" ca="1" si="241"/>
        <v>-119.75424564494845</v>
      </c>
      <c r="CG323">
        <f t="shared" ca="1" si="246"/>
        <v>183.36792346619856</v>
      </c>
      <c r="CH323">
        <f t="shared" ca="1" si="247"/>
        <v>0.75728740818867613</v>
      </c>
      <c r="CI323">
        <f t="shared" ca="1" si="248"/>
        <v>-0.65308175705563665</v>
      </c>
      <c r="CJ323">
        <f t="shared" ca="1" si="249"/>
        <v>-0.71164680017347948</v>
      </c>
      <c r="CK323" s="39">
        <f t="shared" ca="1" si="250"/>
        <v>-1.1345007263064202</v>
      </c>
    </row>
    <row r="324" spans="55:89" x14ac:dyDescent="0.25">
      <c r="BC324">
        <v>5.6199601914217023</v>
      </c>
      <c r="BD324">
        <v>157.11116068794121</v>
      </c>
      <c r="BE324">
        <v>-112.27014277715165</v>
      </c>
      <c r="BF324" s="6">
        <f t="shared" si="254"/>
        <v>5.6627340331186842</v>
      </c>
      <c r="BG324" s="6">
        <f t="shared" si="255"/>
        <v>4.277384169698184E-2</v>
      </c>
      <c r="BH324" s="6">
        <f t="shared" si="256"/>
        <v>1.0433052001938432</v>
      </c>
      <c r="BI324" s="6">
        <f t="shared" si="257"/>
        <v>1.0433052001938432</v>
      </c>
      <c r="BV324" s="39"/>
      <c r="BW324" s="6">
        <f t="shared" si="251"/>
        <v>5.3930673886624421</v>
      </c>
      <c r="BX324" s="9">
        <f t="shared" ca="1" si="252"/>
        <v>113.70259730789496</v>
      </c>
      <c r="BY324" s="9">
        <f t="shared" ca="1" si="253"/>
        <v>-189.84733464962724</v>
      </c>
      <c r="BZ324">
        <f t="shared" ca="1" si="242"/>
        <v>221.29232049063265</v>
      </c>
      <c r="CA324" s="6">
        <f t="shared" ca="1" si="243"/>
        <v>0.5138117629016774</v>
      </c>
      <c r="CB324" s="6">
        <f t="shared" ca="1" si="244"/>
        <v>-0.85790295039932718</v>
      </c>
      <c r="CC324" s="6">
        <f t="shared" ca="1" si="245"/>
        <v>-1.0311743013219665</v>
      </c>
      <c r="CD324" s="6">
        <f t="shared" ca="1" si="239"/>
        <v>-0.68079622419591979</v>
      </c>
      <c r="CE324" s="9">
        <f t="shared" ca="1" si="240"/>
        <v>139.00263917225095</v>
      </c>
      <c r="CF324" s="9">
        <f t="shared" ca="1" si="241"/>
        <v>-117.54771142883131</v>
      </c>
      <c r="CG324">
        <f t="shared" ca="1" si="246"/>
        <v>182.04174839581935</v>
      </c>
      <c r="CH324">
        <f t="shared" ca="1" si="247"/>
        <v>0.763575610524312</v>
      </c>
      <c r="CI324">
        <f t="shared" ca="1" si="248"/>
        <v>-0.6457184270348989</v>
      </c>
      <c r="CJ324">
        <f t="shared" ca="1" si="249"/>
        <v>-0.70196378152239114</v>
      </c>
      <c r="CK324" s="39">
        <f t="shared" ca="1" si="250"/>
        <v>-1.1248177076553318</v>
      </c>
    </row>
    <row r="325" spans="55:89" x14ac:dyDescent="0.25">
      <c r="BC325">
        <v>5.6374134839416454</v>
      </c>
      <c r="BD325">
        <v>158.98536435141233</v>
      </c>
      <c r="BE325">
        <v>-112.45686160258728</v>
      </c>
      <c r="BF325" s="6">
        <f t="shared" si="254"/>
        <v>5.6675494908479562</v>
      </c>
      <c r="BG325" s="6">
        <f t="shared" si="255"/>
        <v>3.0136006906310797E-2</v>
      </c>
      <c r="BH325" s="6">
        <f t="shared" si="256"/>
        <v>1.0384897424645712</v>
      </c>
      <c r="BI325" s="6">
        <f t="shared" si="257"/>
        <v>1.0384897424645712</v>
      </c>
      <c r="BV325" s="39"/>
      <c r="BW325" s="6">
        <f t="shared" si="251"/>
        <v>5.4105206811823852</v>
      </c>
      <c r="BX325" s="9">
        <f t="shared" ca="1" si="252"/>
        <v>113.82069617094328</v>
      </c>
      <c r="BY325" s="9">
        <f t="shared" ca="1" si="253"/>
        <v>-187.68046389920309</v>
      </c>
      <c r="BZ325">
        <f t="shared" ca="1" si="242"/>
        <v>219.49739726533946</v>
      </c>
      <c r="CA325" s="6">
        <f t="shared" ca="1" si="243"/>
        <v>0.51855146160731513</v>
      </c>
      <c r="CB325" s="6">
        <f t="shared" ca="1" si="244"/>
        <v>-0.85504642076609927</v>
      </c>
      <c r="CC325" s="6">
        <f t="shared" ca="1" si="245"/>
        <v>-1.0256403530459994</v>
      </c>
      <c r="CD325" s="6">
        <f t="shared" ca="1" si="239"/>
        <v>-0.67526227591995269</v>
      </c>
      <c r="CE325" s="9">
        <f t="shared" ca="1" si="240"/>
        <v>139.12073803529927</v>
      </c>
      <c r="CF325" s="9">
        <f t="shared" ca="1" si="241"/>
        <v>-115.38084067840715</v>
      </c>
      <c r="CG325">
        <f t="shared" ca="1" si="246"/>
        <v>180.74102508047901</v>
      </c>
      <c r="CH325">
        <f t="shared" ca="1" si="247"/>
        <v>0.76972418394414122</v>
      </c>
      <c r="CI325">
        <f t="shared" ca="1" si="248"/>
        <v>-0.63837659782570799</v>
      </c>
      <c r="CJ325">
        <f t="shared" ca="1" si="249"/>
        <v>-0.6923873462723289</v>
      </c>
      <c r="CK325" s="39">
        <f t="shared" ca="1" si="250"/>
        <v>-1.1152412724052696</v>
      </c>
    </row>
    <row r="326" spans="55:89" x14ac:dyDescent="0.25">
      <c r="BC326">
        <v>5.6548667764615885</v>
      </c>
      <c r="BD326">
        <v>160.89110123990713</v>
      </c>
      <c r="BE326">
        <v>-112.65796477106753</v>
      </c>
      <c r="BF326" s="6">
        <f t="shared" si="254"/>
        <v>5.6723167206265268</v>
      </c>
      <c r="BG326" s="6">
        <f t="shared" si="255"/>
        <v>1.744994416493828E-2</v>
      </c>
      <c r="BH326" s="6">
        <f t="shared" si="256"/>
        <v>1.0337225126860006</v>
      </c>
      <c r="BI326" s="6">
        <f t="shared" si="257"/>
        <v>1.0337225126860006</v>
      </c>
      <c r="BV326" s="39"/>
      <c r="BW326" s="6">
        <f t="shared" si="251"/>
        <v>5.4279739737023283</v>
      </c>
      <c r="BX326" s="9">
        <f t="shared" ca="1" si="252"/>
        <v>113.91868701958231</v>
      </c>
      <c r="BY326" s="9">
        <f t="shared" ca="1" si="253"/>
        <v>-185.54899876394225</v>
      </c>
      <c r="BZ326">
        <f t="shared" ca="1" si="242"/>
        <v>217.72895580185698</v>
      </c>
      <c r="CA326" s="6">
        <f t="shared" ca="1" si="243"/>
        <v>0.52321330711406788</v>
      </c>
      <c r="CB326" s="6">
        <f t="shared" ca="1" si="244"/>
        <v>-0.85220175736662274</v>
      </c>
      <c r="CC326" s="6">
        <f t="shared" ca="1" si="245"/>
        <v>-1.0201791272209151</v>
      </c>
      <c r="CD326" s="6">
        <f t="shared" ca="1" si="239"/>
        <v>-0.66980105009486834</v>
      </c>
      <c r="CE326" s="9">
        <f t="shared" ca="1" si="240"/>
        <v>139.2187288839383</v>
      </c>
      <c r="CF326" s="9">
        <f t="shared" ca="1" si="241"/>
        <v>-113.24937554314631</v>
      </c>
      <c r="CG326">
        <f t="shared" ca="1" si="246"/>
        <v>179.46385578431136</v>
      </c>
      <c r="CH326">
        <f t="shared" ca="1" si="247"/>
        <v>0.77574800940005617</v>
      </c>
      <c r="CI326">
        <f t="shared" ca="1" si="248"/>
        <v>-0.63104280830372372</v>
      </c>
      <c r="CJ326">
        <f t="shared" ca="1" si="249"/>
        <v>-0.68289673944511486</v>
      </c>
      <c r="CK326" s="39">
        <f t="shared" ca="1" si="250"/>
        <v>-1.1057506655780556</v>
      </c>
    </row>
    <row r="327" spans="55:89" x14ac:dyDescent="0.25">
      <c r="BC327">
        <v>5.6723200689815316</v>
      </c>
      <c r="BD327">
        <v>162.83254370952901</v>
      </c>
      <c r="BE327">
        <v>-112.87362378218252</v>
      </c>
      <c r="BF327" s="6">
        <f t="shared" si="254"/>
        <v>5.677045558158575</v>
      </c>
      <c r="BG327" s="6">
        <f t="shared" si="255"/>
        <v>4.7254891770434071E-3</v>
      </c>
      <c r="BH327" s="6">
        <f t="shared" si="256"/>
        <v>1.0289936751539523</v>
      </c>
      <c r="BI327" s="6">
        <f t="shared" si="257"/>
        <v>1.0289936751539523</v>
      </c>
      <c r="BV327" s="39"/>
      <c r="BW327" s="6">
        <f t="shared" si="251"/>
        <v>5.4454272662222714</v>
      </c>
      <c r="BX327" s="9">
        <f t="shared" ca="1" si="252"/>
        <v>114.02002643521061</v>
      </c>
      <c r="BY327" s="9">
        <f t="shared" ca="1" si="253"/>
        <v>-183.47608331704885</v>
      </c>
      <c r="BZ327">
        <f t="shared" ca="1" si="242"/>
        <v>216.01860933181376</v>
      </c>
      <c r="CA327" s="6">
        <f t="shared" ca="1" si="243"/>
        <v>0.52782501835326145</v>
      </c>
      <c r="CB327" s="6">
        <f t="shared" ca="1" si="244"/>
        <v>-0.84935313621624975</v>
      </c>
      <c r="CC327" s="6">
        <f t="shared" ca="1" si="245"/>
        <v>-1.0147585557605681</v>
      </c>
      <c r="CD327" s="6">
        <f t="shared" ca="1" si="239"/>
        <v>-0.66438047863452132</v>
      </c>
      <c r="CE327" s="9">
        <f t="shared" ca="1" si="240"/>
        <v>139.3200682995666</v>
      </c>
      <c r="CF327" s="9">
        <f t="shared" ca="1" si="241"/>
        <v>-111.17646009625291</v>
      </c>
      <c r="CG327">
        <f t="shared" ca="1" si="246"/>
        <v>178.24221360421222</v>
      </c>
      <c r="CH327">
        <f t="shared" ca="1" si="247"/>
        <v>0.78163340480570753</v>
      </c>
      <c r="CI327">
        <f t="shared" ca="1" si="248"/>
        <v>-0.62373810248519934</v>
      </c>
      <c r="CJ327">
        <f t="shared" ca="1" si="249"/>
        <v>-0.67351605442390372</v>
      </c>
      <c r="CK327" s="39">
        <f t="shared" ca="1" si="250"/>
        <v>-1.0963699805568443</v>
      </c>
    </row>
    <row r="328" spans="55:89" x14ac:dyDescent="0.25">
      <c r="BC328">
        <v>5.6897733615014747</v>
      </c>
      <c r="BD328">
        <v>164.81415975426367</v>
      </c>
      <c r="BE328">
        <v>-113.10402350060599</v>
      </c>
      <c r="BF328" s="6">
        <f t="shared" si="254"/>
        <v>5.681745999086603</v>
      </c>
      <c r="BG328" s="6">
        <f t="shared" si="255"/>
        <v>8.0273624148716749E-3</v>
      </c>
      <c r="BH328" s="6">
        <f t="shared" si="256"/>
        <v>1.0242932342259243</v>
      </c>
      <c r="BI328" s="6">
        <f t="shared" si="257"/>
        <v>1.0242932342259243</v>
      </c>
      <c r="BV328" s="39"/>
      <c r="BW328" s="6">
        <f t="shared" si="251"/>
        <v>5.4628805587422145</v>
      </c>
      <c r="BX328" s="9">
        <f t="shared" ca="1" si="252"/>
        <v>115.77011109444976</v>
      </c>
      <c r="BY328" s="9">
        <f t="shared" ca="1" si="253"/>
        <v>-183.52181633115805</v>
      </c>
      <c r="BZ328">
        <f t="shared" ca="1" si="242"/>
        <v>216.98611866271202</v>
      </c>
      <c r="CA328" s="6">
        <f t="shared" ca="1" si="243"/>
        <v>0.53353694608642388</v>
      </c>
      <c r="CB328" s="6">
        <f t="shared" ca="1" si="244"/>
        <v>-0.84577675964806021</v>
      </c>
      <c r="CC328" s="6">
        <f t="shared" ca="1" si="245"/>
        <v>-1.0080193599868665</v>
      </c>
      <c r="CD328" s="6">
        <f t="shared" ca="1" si="239"/>
        <v>-0.6576412828608198</v>
      </c>
      <c r="CE328" s="9">
        <f t="shared" ca="1" si="240"/>
        <v>141.07015295880575</v>
      </c>
      <c r="CF328" s="9">
        <f t="shared" ca="1" si="241"/>
        <v>-111.22219311036211</v>
      </c>
      <c r="CG328">
        <f t="shared" ca="1" si="246"/>
        <v>179.64176656919051</v>
      </c>
      <c r="CH328">
        <f t="shared" ca="1" si="247"/>
        <v>0.78528593685629011</v>
      </c>
      <c r="CI328">
        <f t="shared" ca="1" si="248"/>
        <v>-0.61913326301834137</v>
      </c>
      <c r="CJ328">
        <f t="shared" ca="1" si="249"/>
        <v>-0.66763850082176324</v>
      </c>
      <c r="CK328" s="39">
        <f t="shared" ca="1" si="250"/>
        <v>-1.0904924269547038</v>
      </c>
    </row>
    <row r="329" spans="55:89" x14ac:dyDescent="0.25">
      <c r="BC329">
        <v>5.7072266540214178</v>
      </c>
      <c r="BD329">
        <v>166.84076335977642</v>
      </c>
      <c r="BE329">
        <v>-113.3493538694182</v>
      </c>
      <c r="BF329" s="6">
        <f t="shared" si="254"/>
        <v>5.6864283191122897</v>
      </c>
      <c r="BG329" s="6">
        <f t="shared" si="255"/>
        <v>2.079833490912808E-2</v>
      </c>
      <c r="BH329" s="6">
        <f t="shared" si="256"/>
        <v>1.0196109142002376</v>
      </c>
      <c r="BI329" s="6">
        <f t="shared" si="257"/>
        <v>1.0196109142002376</v>
      </c>
      <c r="BV329" s="39"/>
      <c r="BW329" s="6">
        <f t="shared" si="251"/>
        <v>5.4803338512621576</v>
      </c>
      <c r="BX329" s="9">
        <f t="shared" ca="1" si="252"/>
        <v>117.51831208953428</v>
      </c>
      <c r="BY329" s="9">
        <f t="shared" ca="1" si="253"/>
        <v>-183.58202018497991</v>
      </c>
      <c r="BZ329">
        <f t="shared" ca="1" si="242"/>
        <v>217.97456689157923</v>
      </c>
      <c r="CA329" s="6">
        <f t="shared" ca="1" si="243"/>
        <v>0.53913772494379131</v>
      </c>
      <c r="CB329" s="6">
        <f t="shared" ca="1" si="244"/>
        <v>-0.84221761649969829</v>
      </c>
      <c r="CC329" s="6">
        <f t="shared" ca="1" si="245"/>
        <v>-1.0013833683232418</v>
      </c>
      <c r="CD329" s="6">
        <f t="shared" ca="1" si="239"/>
        <v>-0.65100529119719508</v>
      </c>
      <c r="CE329" s="9">
        <f t="shared" ca="1" si="240"/>
        <v>142.81835395389027</v>
      </c>
      <c r="CF329" s="9">
        <f t="shared" ca="1" si="241"/>
        <v>-111.28239696418397</v>
      </c>
      <c r="CG329">
        <f t="shared" ca="1" si="246"/>
        <v>181.05483727366388</v>
      </c>
      <c r="CH329">
        <f t="shared" ca="1" si="247"/>
        <v>0.78881269401281295</v>
      </c>
      <c r="CI329">
        <f t="shared" ca="1" si="248"/>
        <v>-0.61463365817716842</v>
      </c>
      <c r="CJ329">
        <f t="shared" ca="1" si="249"/>
        <v>-0.66192146060929269</v>
      </c>
      <c r="CK329" s="39">
        <f t="shared" ca="1" si="250"/>
        <v>-1.0847753867422334</v>
      </c>
    </row>
    <row r="330" spans="55:89" x14ac:dyDescent="0.25">
      <c r="BC330">
        <v>5.7246799465413609</v>
      </c>
      <c r="BD330">
        <v>168.91757223521168</v>
      </c>
      <c r="BE330">
        <v>-113.60979934225037</v>
      </c>
      <c r="BF330" s="6">
        <f t="shared" si="254"/>
        <v>5.6911032078756829</v>
      </c>
      <c r="BG330" s="6">
        <f t="shared" si="255"/>
        <v>3.3576738665678008E-2</v>
      </c>
      <c r="BH330" s="6">
        <f t="shared" si="256"/>
        <v>1.0149360254368445</v>
      </c>
      <c r="BI330" s="6">
        <f t="shared" si="257"/>
        <v>1.0149360254368445</v>
      </c>
      <c r="BV330" s="39"/>
      <c r="BW330" s="6">
        <f t="shared" si="251"/>
        <v>5.4977871437821006</v>
      </c>
      <c r="BX330" s="9">
        <f t="shared" ca="1" si="252"/>
        <v>119.26772906978982</v>
      </c>
      <c r="BY330" s="9">
        <f t="shared" ca="1" si="253"/>
        <v>-183.65648333148437</v>
      </c>
      <c r="BZ330">
        <f t="shared" ca="1" si="242"/>
        <v>218.98514805153471</v>
      </c>
      <c r="CA330" s="6">
        <f t="shared" ca="1" si="243"/>
        <v>0.54463843841008819</v>
      </c>
      <c r="CB330" s="6">
        <f t="shared" ca="1" si="244"/>
        <v>-0.83867095538489989</v>
      </c>
      <c r="CC330" s="6">
        <f t="shared" ca="1" si="245"/>
        <v>-0.99483838500643307</v>
      </c>
      <c r="CD330" s="6">
        <f t="shared" ca="1" si="239"/>
        <v>-0.64446030788038633</v>
      </c>
      <c r="CE330" s="9">
        <f t="shared" ca="1" si="240"/>
        <v>144.56777093414581</v>
      </c>
      <c r="CF330" s="9">
        <f t="shared" ca="1" si="241"/>
        <v>-111.35686011068843</v>
      </c>
      <c r="CG330">
        <f t="shared" ca="1" si="246"/>
        <v>182.48339838620686</v>
      </c>
      <c r="CH330">
        <f t="shared" ca="1" si="247"/>
        <v>0.79222423635591976</v>
      </c>
      <c r="CI330">
        <f t="shared" ca="1" si="248"/>
        <v>-0.61023008720504746</v>
      </c>
      <c r="CJ330">
        <f t="shared" ca="1" si="249"/>
        <v>-0.65635099036842792</v>
      </c>
      <c r="CK330" s="39">
        <f t="shared" ca="1" si="250"/>
        <v>-1.0792049165013686</v>
      </c>
    </row>
    <row r="331" spans="55:89" x14ac:dyDescent="0.25">
      <c r="BC331">
        <v>5.742133239061304</v>
      </c>
      <c r="BD331">
        <v>170.15710862418985</v>
      </c>
      <c r="BE331">
        <v>-112.85692510160393</v>
      </c>
      <c r="BF331" s="6">
        <f t="shared" si="254"/>
        <v>5.6975509103562452</v>
      </c>
      <c r="BG331" s="6">
        <f t="shared" si="255"/>
        <v>4.4582328705058849E-2</v>
      </c>
      <c r="BH331" s="6">
        <f t="shared" si="256"/>
        <v>1.0084883229562822</v>
      </c>
      <c r="BI331" s="6">
        <f t="shared" si="257"/>
        <v>1.0084883229562822</v>
      </c>
      <c r="BV331" s="39"/>
      <c r="BW331" s="6">
        <f t="shared" si="251"/>
        <v>5.5152404363020437</v>
      </c>
      <c r="BX331" s="9">
        <f t="shared" ca="1" si="252"/>
        <v>121.02144566826678</v>
      </c>
      <c r="BY331" s="9">
        <f t="shared" ca="1" si="253"/>
        <v>-183.74504890033097</v>
      </c>
      <c r="BZ331">
        <f t="shared" ca="1" si="242"/>
        <v>220.01916577203511</v>
      </c>
      <c r="CA331" s="6">
        <f t="shared" ca="1" si="243"/>
        <v>0.55004956156255391</v>
      </c>
      <c r="CB331" s="6">
        <f t="shared" ca="1" si="244"/>
        <v>-0.83513201341155774</v>
      </c>
      <c r="CC331" s="6">
        <f t="shared" ca="1" si="245"/>
        <v>-0.98837274430373523</v>
      </c>
      <c r="CD331" s="6">
        <f t="shared" ca="1" si="239"/>
        <v>-0.63799466717768849</v>
      </c>
      <c r="CE331" s="9">
        <f t="shared" ca="1" si="240"/>
        <v>146.32148753262277</v>
      </c>
      <c r="CF331" s="9">
        <f t="shared" ca="1" si="241"/>
        <v>-111.44542567953503</v>
      </c>
      <c r="CG331">
        <f t="shared" ca="1" si="246"/>
        <v>183.9294990442051</v>
      </c>
      <c r="CH331">
        <f t="shared" ca="1" si="247"/>
        <v>0.79553028901283673</v>
      </c>
      <c r="CI331">
        <f t="shared" ca="1" si="248"/>
        <v>-0.60591382164723095</v>
      </c>
      <c r="CJ331">
        <f t="shared" ca="1" si="249"/>
        <v>-0.65091406059575529</v>
      </c>
      <c r="CK331" s="39">
        <f t="shared" ca="1" si="250"/>
        <v>-1.073767986728696</v>
      </c>
    </row>
    <row r="332" spans="55:89" x14ac:dyDescent="0.25">
      <c r="BC332">
        <v>5.7595865315812471</v>
      </c>
      <c r="BD332">
        <v>170.96007595172753</v>
      </c>
      <c r="BE332">
        <v>-111.56068033603597</v>
      </c>
      <c r="BF332" s="6">
        <f t="shared" si="254"/>
        <v>5.7050167551850972</v>
      </c>
      <c r="BG332" s="6">
        <f t="shared" si="255"/>
        <v>5.4569776396149905E-2</v>
      </c>
      <c r="BH332" s="6">
        <f t="shared" si="256"/>
        <v>1.0010224781274302</v>
      </c>
      <c r="BI332" s="6">
        <f t="shared" si="257"/>
        <v>1.0010224781274302</v>
      </c>
      <c r="BV332" s="39"/>
      <c r="BW332" s="6">
        <f t="shared" si="251"/>
        <v>5.5326937288219868</v>
      </c>
      <c r="BX332" s="9">
        <f t="shared" ca="1" si="252"/>
        <v>122.78255480551999</v>
      </c>
      <c r="BY332" s="9">
        <f t="shared" ca="1" si="253"/>
        <v>-183.84761077657612</v>
      </c>
      <c r="BZ332">
        <f t="shared" ca="1" si="242"/>
        <v>221.07803996061199</v>
      </c>
      <c r="CA332" s="6">
        <f t="shared" ca="1" si="243"/>
        <v>0.55538105380070923</v>
      </c>
      <c r="CB332" s="6">
        <f t="shared" ca="1" si="244"/>
        <v>-0.83159598669017976</v>
      </c>
      <c r="CC332" s="6">
        <f t="shared" ca="1" si="245"/>
        <v>-0.98197521086854744</v>
      </c>
      <c r="CD332" s="6">
        <f t="shared" ca="1" si="239"/>
        <v>-0.6315971337425007</v>
      </c>
      <c r="CE332" s="9">
        <f t="shared" ca="1" si="240"/>
        <v>148.08259666987598</v>
      </c>
      <c r="CF332" s="9">
        <f t="shared" ca="1" si="241"/>
        <v>-111.54798755578018</v>
      </c>
      <c r="CG332">
        <f t="shared" ca="1" si="246"/>
        <v>185.39527762118877</v>
      </c>
      <c r="CH332">
        <f t="shared" ca="1" si="247"/>
        <v>0.79873985233026057</v>
      </c>
      <c r="CI332">
        <f t="shared" ca="1" si="248"/>
        <v>-0.6016765312852359</v>
      </c>
      <c r="CJ332">
        <f t="shared" ca="1" si="249"/>
        <v>-0.64559842396090394</v>
      </c>
      <c r="CK332" s="39">
        <f t="shared" ca="1" si="250"/>
        <v>-1.0684523500938448</v>
      </c>
    </row>
    <row r="333" spans="55:89" x14ac:dyDescent="0.25">
      <c r="BC333">
        <v>5.7770398241011902</v>
      </c>
      <c r="BD333">
        <v>171.84652265227032</v>
      </c>
      <c r="BE333">
        <v>-109.15369677934677</v>
      </c>
      <c r="BF333" s="6">
        <f t="shared" si="254"/>
        <v>5.7172980893107193</v>
      </c>
      <c r="BG333" s="6">
        <f t="shared" si="255"/>
        <v>5.9741734790470957E-2</v>
      </c>
      <c r="BH333" s="6">
        <f t="shared" si="256"/>
        <v>0.98874114400180813</v>
      </c>
      <c r="BI333" s="6">
        <f t="shared" si="257"/>
        <v>0.98874114400180813</v>
      </c>
      <c r="BV333" s="39"/>
      <c r="BW333" s="6">
        <f t="shared" si="251"/>
        <v>5.5501470213419299</v>
      </c>
      <c r="BX333" s="9">
        <f t="shared" ca="1" si="252"/>
        <v>124.55418391106735</v>
      </c>
      <c r="BY333" s="9">
        <f t="shared" ca="1" si="253"/>
        <v>-183.96411001808627</v>
      </c>
      <c r="BZ333">
        <f t="shared" ca="1" si="242"/>
        <v>222.16331493857967</v>
      </c>
      <c r="CA333" s="6">
        <f t="shared" ca="1" si="243"/>
        <v>0.56064244425548926</v>
      </c>
      <c r="CB333" s="6">
        <f t="shared" ca="1" si="244"/>
        <v>-0.82805799899477495</v>
      </c>
      <c r="CC333" s="6">
        <f t="shared" ca="1" si="245"/>
        <v>-0.9756348858675371</v>
      </c>
      <c r="CD333" s="6">
        <f t="shared" ca="1" si="239"/>
        <v>-0.62525680874149037</v>
      </c>
      <c r="CE333" s="9">
        <f t="shared" ca="1" si="240"/>
        <v>149.85422577542334</v>
      </c>
      <c r="CF333" s="9">
        <f t="shared" ca="1" si="241"/>
        <v>-111.66448679729034</v>
      </c>
      <c r="CG333">
        <f t="shared" ca="1" si="246"/>
        <v>186.88297566780605</v>
      </c>
      <c r="CH333">
        <f t="shared" ca="1" si="247"/>
        <v>0.8018612997782999</v>
      </c>
      <c r="CI333">
        <f t="shared" ca="1" si="248"/>
        <v>-0.59751021406989802</v>
      </c>
      <c r="CJ333">
        <f t="shared" ca="1" si="249"/>
        <v>-0.64039249517555508</v>
      </c>
      <c r="CK333" s="39">
        <f t="shared" ca="1" si="250"/>
        <v>-1.0632464213084958</v>
      </c>
    </row>
    <row r="334" spans="55:89" x14ac:dyDescent="0.25">
      <c r="BC334">
        <v>5.7944931166211333</v>
      </c>
      <c r="BD334">
        <v>172.81144815872455</v>
      </c>
      <c r="BE334">
        <v>-105.55675488104795</v>
      </c>
      <c r="BF334" s="6">
        <f t="shared" si="254"/>
        <v>5.7348476086043378</v>
      </c>
      <c r="BG334" s="6">
        <f t="shared" si="255"/>
        <v>5.9645508016795468E-2</v>
      </c>
      <c r="BH334" s="6">
        <f t="shared" si="256"/>
        <v>0.97119162470818954</v>
      </c>
      <c r="BI334" s="6">
        <f t="shared" si="257"/>
        <v>0.97119162470818954</v>
      </c>
      <c r="BV334" s="39"/>
      <c r="BW334" s="6">
        <f t="shared" si="251"/>
        <v>5.567600313861873</v>
      </c>
      <c r="BX334" s="9">
        <f t="shared" ca="1" si="252"/>
        <v>126.33952053395305</v>
      </c>
      <c r="BY334" s="9">
        <f t="shared" ca="1" si="253"/>
        <v>-184.09453149130698</v>
      </c>
      <c r="BZ334">
        <f t="shared" ca="1" si="242"/>
        <v>223.27666912096518</v>
      </c>
      <c r="CA334" s="6">
        <f t="shared" ca="1" si="243"/>
        <v>0.56584291153817667</v>
      </c>
      <c r="CB334" s="6">
        <f t="shared" ca="1" si="244"/>
        <v>-0.82451306809655789</v>
      </c>
      <c r="CC334" s="6">
        <f t="shared" ca="1" si="245"/>
        <v>-0.96934111706122195</v>
      </c>
      <c r="CD334" s="6">
        <f t="shared" ca="1" si="239"/>
        <v>-0.61896303993517521</v>
      </c>
      <c r="CE334" s="9">
        <f t="shared" ca="1" si="240"/>
        <v>151.63956239830904</v>
      </c>
      <c r="CF334" s="9">
        <f t="shared" ca="1" si="241"/>
        <v>-111.79490827051104</v>
      </c>
      <c r="CG334">
        <f t="shared" ca="1" si="246"/>
        <v>188.39495322211431</v>
      </c>
      <c r="CH334">
        <f t="shared" ca="1" si="247"/>
        <v>0.80490246582947833</v>
      </c>
      <c r="CI334">
        <f t="shared" ca="1" si="248"/>
        <v>-0.59340712879238766</v>
      </c>
      <c r="CJ334">
        <f t="shared" ca="1" si="249"/>
        <v>-0.63528523990060748</v>
      </c>
      <c r="CK334" s="39">
        <f t="shared" ca="1" si="250"/>
        <v>-1.0581391660335482</v>
      </c>
    </row>
    <row r="335" spans="55:89" x14ac:dyDescent="0.25">
      <c r="BC335">
        <v>5.8119464091410764</v>
      </c>
      <c r="BD335">
        <v>173.75549500569471</v>
      </c>
      <c r="BE335">
        <v>-101.92314880058549</v>
      </c>
      <c r="BF335" s="6">
        <f t="shared" si="254"/>
        <v>5.7526848307514156</v>
      </c>
      <c r="BG335" s="6">
        <f t="shared" si="255"/>
        <v>5.9261578389660841E-2</v>
      </c>
      <c r="BH335" s="6">
        <f t="shared" si="256"/>
        <v>0.95335440256111181</v>
      </c>
      <c r="BI335" s="6">
        <f t="shared" si="257"/>
        <v>0.95335440256111181</v>
      </c>
      <c r="BV335" s="39"/>
      <c r="BW335" s="6">
        <f t="shared" si="251"/>
        <v>5.5850536063818161</v>
      </c>
      <c r="BX335" s="9">
        <f t="shared" ca="1" si="252"/>
        <v>128.14183881465743</v>
      </c>
      <c r="BY335" s="9">
        <f t="shared" ca="1" si="253"/>
        <v>-184.23890060277913</v>
      </c>
      <c r="BZ335">
        <f t="shared" ca="1" si="242"/>
        <v>224.41992636600335</v>
      </c>
      <c r="CA335" s="6">
        <f t="shared" ca="1" si="243"/>
        <v>0.57099135932195555</v>
      </c>
      <c r="CB335" s="6">
        <f t="shared" ca="1" si="244"/>
        <v>-0.82095606921422148</v>
      </c>
      <c r="CC335" s="6">
        <f t="shared" ca="1" si="245"/>
        <v>-0.96308341113844809</v>
      </c>
      <c r="CD335" s="6">
        <f t="shared" ref="CD335:CD375" ca="1" si="258">CC335-$BZ$11</f>
        <v>-0.61270533401240135</v>
      </c>
      <c r="CE335" s="9">
        <f t="shared" ref="CE335:CE375" ca="1" si="259">BX335+$BW$5</f>
        <v>153.44188067901342</v>
      </c>
      <c r="CF335" s="9">
        <f t="shared" ref="CF335:CF375" ca="1" si="260">BY335+$BX$5</f>
        <v>-111.93927738198319</v>
      </c>
      <c r="CG335">
        <f t="shared" ca="1" si="246"/>
        <v>189.93370571626608</v>
      </c>
      <c r="CH335">
        <f t="shared" ca="1" si="247"/>
        <v>0.80787072573750418</v>
      </c>
      <c r="CI335">
        <f t="shared" ca="1" si="248"/>
        <v>-0.5893597292794599</v>
      </c>
      <c r="CJ335">
        <f t="shared" ca="1" si="249"/>
        <v>-0.63026607038907823</v>
      </c>
      <c r="CK335" s="39">
        <f t="shared" ca="1" si="250"/>
        <v>-1.0531199965220188</v>
      </c>
    </row>
    <row r="336" spans="55:89" x14ac:dyDescent="0.25">
      <c r="BC336">
        <v>5.8293997016610195</v>
      </c>
      <c r="BD336">
        <v>174.6799517890579</v>
      </c>
      <c r="BE336">
        <v>-98.246319006805791</v>
      </c>
      <c r="BF336" s="6">
        <f t="shared" si="254"/>
        <v>5.7708443538900438</v>
      </c>
      <c r="BG336" s="6">
        <f t="shared" si="255"/>
        <v>5.8555347770975708E-2</v>
      </c>
      <c r="BH336" s="6">
        <f t="shared" si="256"/>
        <v>0.93519487942248358</v>
      </c>
      <c r="BI336" s="6">
        <f t="shared" si="257"/>
        <v>0.93519487942248358</v>
      </c>
      <c r="BV336" s="39"/>
      <c r="BW336" s="6">
        <f t="shared" si="251"/>
        <v>5.6025068989017592</v>
      </c>
      <c r="BX336" s="9">
        <f t="shared" ca="1" si="252"/>
        <v>129.9645273273681</v>
      </c>
      <c r="BY336" s="9">
        <f t="shared" ca="1" si="253"/>
        <v>-184.39727998670259</v>
      </c>
      <c r="BZ336">
        <f t="shared" ref="BZ336:BZ375" ca="1" si="261">SQRT(POWER(BX336,2)+POWER(BY336,2))</f>
        <v>225.59506916136397</v>
      </c>
      <c r="CA336" s="6">
        <f t="shared" ref="CA336:CA375" ca="1" si="262">BX336/BZ336</f>
        <v>0.57609648921185808</v>
      </c>
      <c r="CB336" s="6">
        <f t="shared" ref="CB336:CB375" ca="1" si="263">BY336/BZ336</f>
        <v>-0.81738169487563861</v>
      </c>
      <c r="CC336" s="6">
        <f t="shared" ref="CC336:CC375" ca="1" si="264">ATAN2(CA336,CB336)</f>
        <v>-0.95685134656816395</v>
      </c>
      <c r="CD336" s="6">
        <f t="shared" ca="1" si="258"/>
        <v>-0.60647326944211721</v>
      </c>
      <c r="CE336" s="9">
        <f t="shared" ca="1" si="259"/>
        <v>155.26456919172409</v>
      </c>
      <c r="CF336" s="9">
        <f t="shared" ca="1" si="260"/>
        <v>-112.09765676590665</v>
      </c>
      <c r="CG336">
        <f t="shared" ref="CG336:CG375" ca="1" si="265">SQRT(POWER(CE336,2)+POWER(CF336,2))</f>
        <v>191.50188275497109</v>
      </c>
      <c r="CH336">
        <f t="shared" ref="CH336:CH375" ca="1" si="266">CE336/CG336</f>
        <v>0.810773068954037</v>
      </c>
      <c r="CI336">
        <f t="shared" ref="CI336:CI375" ca="1" si="267">CF336/CG336</f>
        <v>-0.58536059882678504</v>
      </c>
      <c r="CJ336">
        <f t="shared" ref="CJ336:CJ375" ca="1" si="268">ATAN2(CH336,CI336)</f>
        <v>-0.62532474564714358</v>
      </c>
      <c r="CK336" s="39">
        <f t="shared" ref="CK336:CK375" ca="1" si="269">CJ336-$U$13</f>
        <v>-1.0481786717800843</v>
      </c>
    </row>
    <row r="337" spans="55:89" x14ac:dyDescent="0.25">
      <c r="BC337">
        <v>5.8468529941809626</v>
      </c>
      <c r="BD337">
        <v>175.58606821182426</v>
      </c>
      <c r="BE337">
        <v>-94.519122505427418</v>
      </c>
      <c r="BF337" s="6">
        <f t="shared" si="254"/>
        <v>5.7893641334134935</v>
      </c>
      <c r="BG337" s="6">
        <f t="shared" si="255"/>
        <v>5.7488860767469063E-2</v>
      </c>
      <c r="BH337" s="6">
        <f t="shared" si="256"/>
        <v>0.91667509989903395</v>
      </c>
      <c r="BI337" s="6">
        <f t="shared" si="257"/>
        <v>0.91667509989903395</v>
      </c>
      <c r="BV337" s="39"/>
      <c r="BW337" s="6">
        <f t="shared" si="251"/>
        <v>5.6199601914217023</v>
      </c>
      <c r="BX337" s="9">
        <f t="shared" ca="1" si="252"/>
        <v>131.81111882358522</v>
      </c>
      <c r="BY337" s="9">
        <f t="shared" ca="1" si="253"/>
        <v>-184.56976599794757</v>
      </c>
      <c r="BZ337">
        <f t="shared" ca="1" si="261"/>
        <v>226.80425385354312</v>
      </c>
      <c r="CA337" s="6">
        <f t="shared" ca="1" si="262"/>
        <v>0.5811668722435035</v>
      </c>
      <c r="CB337" s="6">
        <f t="shared" ca="1" si="263"/>
        <v>-0.81378441039792793</v>
      </c>
      <c r="CC337" s="6">
        <f t="shared" ca="1" si="264"/>
        <v>-0.95063448528757166</v>
      </c>
      <c r="CD337" s="6">
        <f t="shared" ca="1" si="258"/>
        <v>-0.60025640816152492</v>
      </c>
      <c r="CE337" s="9">
        <f t="shared" ca="1" si="259"/>
        <v>157.11116068794121</v>
      </c>
      <c r="CF337" s="9">
        <f t="shared" ca="1" si="260"/>
        <v>-112.27014277715163</v>
      </c>
      <c r="CG337">
        <f t="shared" ca="1" si="265"/>
        <v>193.10230907970546</v>
      </c>
      <c r="CH337">
        <f t="shared" ca="1" si="266"/>
        <v>0.81361616770253919</v>
      </c>
      <c r="CI337">
        <f t="shared" ca="1" si="267"/>
        <v>-0.58140238359765384</v>
      </c>
      <c r="CJ337">
        <f t="shared" ca="1" si="268"/>
        <v>-0.62045127406090217</v>
      </c>
      <c r="CK337" s="39">
        <f t="shared" ca="1" si="269"/>
        <v>-1.043305200193843</v>
      </c>
    </row>
    <row r="338" spans="55:89" x14ac:dyDescent="0.25">
      <c r="BC338">
        <v>5.8643062867009057</v>
      </c>
      <c r="BD338">
        <v>176.4750672085396</v>
      </c>
      <c r="BE338">
        <v>-90.73371038416748</v>
      </c>
      <c r="BF338" s="6">
        <f t="shared" si="254"/>
        <v>5.8082861213126185</v>
      </c>
      <c r="BG338" s="6">
        <f t="shared" si="255"/>
        <v>5.6020165388287246E-2</v>
      </c>
      <c r="BH338" s="6">
        <f t="shared" si="256"/>
        <v>0.89775311199990893</v>
      </c>
      <c r="BI338" s="6">
        <f t="shared" si="257"/>
        <v>0.89775311199990893</v>
      </c>
      <c r="BV338" s="39"/>
      <c r="BW338" s="6">
        <f t="shared" si="251"/>
        <v>5.6374134839416454</v>
      </c>
      <c r="BX338" s="9">
        <f t="shared" ca="1" si="252"/>
        <v>133.68532248705634</v>
      </c>
      <c r="BY338" s="9">
        <f t="shared" ca="1" si="253"/>
        <v>-184.75648482338323</v>
      </c>
      <c r="BZ338">
        <f t="shared" ca="1" si="261"/>
        <v>228.04982817963554</v>
      </c>
      <c r="CA338" s="6">
        <f t="shared" ca="1" si="262"/>
        <v>0.58621102043432372</v>
      </c>
      <c r="CB338" s="6">
        <f t="shared" ca="1" si="263"/>
        <v>-0.81015840396884664</v>
      </c>
      <c r="CC338" s="6">
        <f t="shared" ca="1" si="264"/>
        <v>-0.94442228135474338</v>
      </c>
      <c r="CD338" s="6">
        <f t="shared" ca="1" si="258"/>
        <v>-0.59404420422869664</v>
      </c>
      <c r="CE338" s="9">
        <f t="shared" ca="1" si="259"/>
        <v>158.98536435141233</v>
      </c>
      <c r="CF338" s="9">
        <f t="shared" ca="1" si="260"/>
        <v>-112.4568616025873</v>
      </c>
      <c r="CG338">
        <f t="shared" ca="1" si="265"/>
        <v>194.73800810179506</v>
      </c>
      <c r="CH338">
        <f t="shared" ca="1" si="266"/>
        <v>0.81640644217900282</v>
      </c>
      <c r="CI338">
        <f t="shared" ca="1" si="267"/>
        <v>-0.57747772352587134</v>
      </c>
      <c r="CJ338">
        <f t="shared" ca="1" si="268"/>
        <v>-0.61563581633163011</v>
      </c>
      <c r="CK338" s="39">
        <f t="shared" ca="1" si="269"/>
        <v>-1.0384897424645709</v>
      </c>
    </row>
    <row r="339" spans="55:89" x14ac:dyDescent="0.25">
      <c r="BC339">
        <v>5.8817595792208488</v>
      </c>
      <c r="BD339">
        <v>177.34815840819488</v>
      </c>
      <c r="BE339">
        <v>-86.881377194200923</v>
      </c>
      <c r="BF339" s="6">
        <f t="shared" si="254"/>
        <v>5.8276570513076722</v>
      </c>
      <c r="BG339" s="6">
        <f t="shared" si="255"/>
        <v>5.4102527913176601E-2</v>
      </c>
      <c r="BH339" s="6">
        <f t="shared" si="256"/>
        <v>0.87838218200485529</v>
      </c>
      <c r="BI339" s="6">
        <f t="shared" si="257"/>
        <v>0.87838218200485529</v>
      </c>
      <c r="BV339" s="39"/>
      <c r="BW339" s="6">
        <f t="shared" si="251"/>
        <v>5.6548667764615885</v>
      </c>
      <c r="BX339" s="9">
        <f t="shared" ca="1" si="252"/>
        <v>135.59105937555114</v>
      </c>
      <c r="BY339" s="9">
        <f t="shared" ca="1" si="253"/>
        <v>-184.95758799186348</v>
      </c>
      <c r="BZ339">
        <f t="shared" ca="1" si="261"/>
        <v>229.33435141372118</v>
      </c>
      <c r="CA339" s="6">
        <f t="shared" ca="1" si="262"/>
        <v>0.59123745980358466</v>
      </c>
      <c r="CB339" s="6">
        <f t="shared" ca="1" si="263"/>
        <v>-0.80649753014191217</v>
      </c>
      <c r="CC339" s="6">
        <f t="shared" ca="1" si="264"/>
        <v>-0.93820398460196996</v>
      </c>
      <c r="CD339" s="6">
        <f t="shared" ca="1" si="258"/>
        <v>-0.58782590747592323</v>
      </c>
      <c r="CE339" s="9">
        <f t="shared" ca="1" si="259"/>
        <v>160.89110123990713</v>
      </c>
      <c r="CF339" s="9">
        <f t="shared" ca="1" si="260"/>
        <v>-112.65796477106754</v>
      </c>
      <c r="CG339">
        <f t="shared" ca="1" si="265"/>
        <v>196.41222844962871</v>
      </c>
      <c r="CH339">
        <f t="shared" ca="1" si="266"/>
        <v>0.81915012374684593</v>
      </c>
      <c r="CI339">
        <f t="shared" ca="1" si="267"/>
        <v>-0.57357917915971035</v>
      </c>
      <c r="CJ339">
        <f t="shared" ca="1" si="268"/>
        <v>-0.61086858655305964</v>
      </c>
      <c r="CK339" s="39">
        <f t="shared" ca="1" si="269"/>
        <v>-1.0337225126860003</v>
      </c>
    </row>
    <row r="340" spans="55:89" x14ac:dyDescent="0.25">
      <c r="BC340">
        <v>5.8992128717407919</v>
      </c>
      <c r="BD340">
        <v>178.20655357604596</v>
      </c>
      <c r="BE340">
        <v>-82.952373369240462</v>
      </c>
      <c r="BF340" s="6">
        <f t="shared" si="254"/>
        <v>5.8475294140618121</v>
      </c>
      <c r="BG340" s="6">
        <f t="shared" si="255"/>
        <v>5.168345767897975E-2</v>
      </c>
      <c r="BH340" s="6">
        <f t="shared" si="256"/>
        <v>0.85850981925071534</v>
      </c>
      <c r="BI340" s="6">
        <f t="shared" si="257"/>
        <v>0.85850981925071534</v>
      </c>
      <c r="BV340" s="39"/>
      <c r="BW340" s="6">
        <f t="shared" si="251"/>
        <v>5.6723200689815316</v>
      </c>
      <c r="BX340" s="9">
        <f t="shared" ca="1" si="252"/>
        <v>137.53250184517302</v>
      </c>
      <c r="BY340" s="9">
        <f t="shared" ca="1" si="253"/>
        <v>-185.17324700297846</v>
      </c>
      <c r="BZ340">
        <f t="shared" ca="1" si="261"/>
        <v>230.66061750853478</v>
      </c>
      <c r="CA340" s="6">
        <f t="shared" ca="1" si="262"/>
        <v>0.59625480643692508</v>
      </c>
      <c r="CB340" s="6">
        <f t="shared" ca="1" si="263"/>
        <v>-0.80279524525302537</v>
      </c>
      <c r="CC340" s="6">
        <f t="shared" ca="1" si="264"/>
        <v>-0.93196853701468041</v>
      </c>
      <c r="CD340" s="6">
        <f t="shared" ca="1" si="258"/>
        <v>-0.58159045988863367</v>
      </c>
      <c r="CE340" s="9">
        <f t="shared" ca="1" si="259"/>
        <v>162.83254370952901</v>
      </c>
      <c r="CF340" s="9">
        <f t="shared" ca="1" si="260"/>
        <v>-112.87362378218252</v>
      </c>
      <c r="CG340">
        <f t="shared" ca="1" si="265"/>
        <v>198.12847406831091</v>
      </c>
      <c r="CH340">
        <f t="shared" ca="1" si="266"/>
        <v>0.82185331752662394</v>
      </c>
      <c r="CI340">
        <f t="shared" ca="1" si="267"/>
        <v>-0.56969915259765158</v>
      </c>
      <c r="CJ340">
        <f t="shared" ca="1" si="268"/>
        <v>-0.60613974902101098</v>
      </c>
      <c r="CK340" s="39">
        <f t="shared" ca="1" si="269"/>
        <v>-1.0289936751539517</v>
      </c>
    </row>
    <row r="341" spans="55:89" x14ac:dyDescent="0.25">
      <c r="BC341">
        <v>5.916666164260735</v>
      </c>
      <c r="BD341">
        <v>179.0514848660182</v>
      </c>
      <c r="BE341">
        <v>-78.935668607749832</v>
      </c>
      <c r="BF341" s="6">
        <f t="shared" si="254"/>
        <v>5.8679626829214655</v>
      </c>
      <c r="BG341" s="6">
        <f t="shared" si="255"/>
        <v>4.8703481339269494E-2</v>
      </c>
      <c r="BH341" s="6">
        <f t="shared" si="256"/>
        <v>0.83807655039106188</v>
      </c>
      <c r="BI341" s="6">
        <f t="shared" si="257"/>
        <v>0.83807655039106188</v>
      </c>
      <c r="BV341" s="39"/>
      <c r="BW341" s="6">
        <f t="shared" si="251"/>
        <v>5.6897733615014747</v>
      </c>
      <c r="BX341" s="9">
        <f t="shared" ca="1" si="252"/>
        <v>139.51411788990768</v>
      </c>
      <c r="BY341" s="9">
        <f t="shared" ca="1" si="253"/>
        <v>-185.40364672140191</v>
      </c>
      <c r="BZ341">
        <f t="shared" ca="1" si="261"/>
        <v>232.03168169065503</v>
      </c>
      <c r="CA341" s="6">
        <f t="shared" ca="1" si="262"/>
        <v>0.60127184733293493</v>
      </c>
      <c r="CB341" s="6">
        <f t="shared" ca="1" si="263"/>
        <v>-0.79904453292969846</v>
      </c>
      <c r="CC341" s="6">
        <f t="shared" ca="1" si="264"/>
        <v>-0.92570445922217737</v>
      </c>
      <c r="CD341" s="6">
        <f t="shared" ca="1" si="258"/>
        <v>-0.57532638209613063</v>
      </c>
      <c r="CE341" s="9">
        <f t="shared" ca="1" si="259"/>
        <v>164.81415975426367</v>
      </c>
      <c r="CF341" s="9">
        <f t="shared" ca="1" si="260"/>
        <v>-113.10402350060598</v>
      </c>
      <c r="CG341">
        <f t="shared" ca="1" si="265"/>
        <v>199.89053851428179</v>
      </c>
      <c r="CH341">
        <f t="shared" ca="1" si="266"/>
        <v>0.82452206582298049</v>
      </c>
      <c r="CI341">
        <f t="shared" ca="1" si="267"/>
        <v>-0.56582980035608299</v>
      </c>
      <c r="CJ341">
        <f t="shared" ca="1" si="268"/>
        <v>-0.60143930809298329</v>
      </c>
      <c r="CK341" s="39">
        <f t="shared" ca="1" si="269"/>
        <v>-1.0242932342259241</v>
      </c>
    </row>
    <row r="342" spans="55:89" x14ac:dyDescent="0.25">
      <c r="BC342">
        <v>5.9341194567806781</v>
      </c>
      <c r="BD342">
        <v>179.8842270086127</v>
      </c>
      <c r="BE342">
        <v>-74.81864938532982</v>
      </c>
      <c r="BF342" s="6">
        <f t="shared" si="254"/>
        <v>5.8890248739815192</v>
      </c>
      <c r="BG342" s="6">
        <f t="shared" si="255"/>
        <v>4.50945827991589E-2</v>
      </c>
      <c r="BH342" s="6">
        <f t="shared" si="256"/>
        <v>0.81701435933100819</v>
      </c>
      <c r="BI342" s="6">
        <f t="shared" si="257"/>
        <v>0.81701435933100819</v>
      </c>
      <c r="BV342" s="39"/>
      <c r="BW342" s="6">
        <f t="shared" si="251"/>
        <v>5.7072266540214178</v>
      </c>
      <c r="BX342" s="9">
        <f t="shared" ca="1" si="252"/>
        <v>141.54072149542043</v>
      </c>
      <c r="BY342" s="9">
        <f t="shared" ca="1" si="253"/>
        <v>-185.64897709021415</v>
      </c>
      <c r="BZ342">
        <f t="shared" ca="1" si="261"/>
        <v>233.45089105867004</v>
      </c>
      <c r="CA342" s="6">
        <f t="shared" ca="1" si="262"/>
        <v>0.60629762796599873</v>
      </c>
      <c r="CB342" s="6">
        <f t="shared" ca="1" si="263"/>
        <v>-0.79523781746267785</v>
      </c>
      <c r="CC342" s="6">
        <f t="shared" ca="1" si="264"/>
        <v>-0.9193997240740408</v>
      </c>
      <c r="CD342" s="6">
        <f t="shared" ca="1" si="258"/>
        <v>-0.56902164694799406</v>
      </c>
      <c r="CE342" s="9">
        <f t="shared" ca="1" si="259"/>
        <v>166.84076335977642</v>
      </c>
      <c r="CF342" s="9">
        <f t="shared" ca="1" si="260"/>
        <v>-113.34935386941821</v>
      </c>
      <c r="CG342">
        <f t="shared" ca="1" si="265"/>
        <v>201.70254421074492</v>
      </c>
      <c r="CH342">
        <f t="shared" ca="1" si="266"/>
        <v>0.82716241390319867</v>
      </c>
      <c r="CI342">
        <f t="shared" ca="1" si="267"/>
        <v>-0.56196293563351074</v>
      </c>
      <c r="CJ342">
        <f t="shared" ca="1" si="268"/>
        <v>-0.59675698806729671</v>
      </c>
      <c r="CK342" s="39">
        <f t="shared" ca="1" si="269"/>
        <v>-1.0196109142002374</v>
      </c>
    </row>
    <row r="343" spans="55:89" x14ac:dyDescent="0.25">
      <c r="BC343">
        <v>5.9515727493006212</v>
      </c>
      <c r="BD343">
        <v>180.70612501866452</v>
      </c>
      <c r="BE343">
        <v>-70.58672672979128</v>
      </c>
      <c r="BF343" s="6">
        <f t="shared" si="254"/>
        <v>5.9107945586150903</v>
      </c>
      <c r="BG343" s="6">
        <f t="shared" si="255"/>
        <v>4.0778190685530902E-2</v>
      </c>
      <c r="BH343" s="6">
        <f t="shared" si="256"/>
        <v>0.7952446746974372</v>
      </c>
      <c r="BI343" s="6">
        <f t="shared" si="257"/>
        <v>0.7952446746974372</v>
      </c>
      <c r="BV343" s="39"/>
      <c r="BW343" s="6">
        <f t="shared" si="251"/>
        <v>5.7246799465413609</v>
      </c>
      <c r="BX343" s="9">
        <f t="shared" ca="1" si="252"/>
        <v>143.61753037085569</v>
      </c>
      <c r="BY343" s="9">
        <f t="shared" ca="1" si="253"/>
        <v>-185.90942256304629</v>
      </c>
      <c r="BZ343">
        <f t="shared" ca="1" si="261"/>
        <v>234.92191985327585</v>
      </c>
      <c r="CA343" s="6">
        <f t="shared" ca="1" si="262"/>
        <v>0.61134154897318338</v>
      </c>
      <c r="CB343" s="6">
        <f t="shared" ca="1" si="263"/>
        <v>-0.79136686214363872</v>
      </c>
      <c r="CC343" s="6">
        <f t="shared" ca="1" si="264"/>
        <v>-0.91304161347464929</v>
      </c>
      <c r="CD343" s="6">
        <f t="shared" ca="1" si="258"/>
        <v>-0.56266353634860256</v>
      </c>
      <c r="CE343" s="9">
        <f t="shared" ca="1" si="259"/>
        <v>168.91757223521168</v>
      </c>
      <c r="CF343" s="9">
        <f t="shared" ca="1" si="260"/>
        <v>-113.60979934225035</v>
      </c>
      <c r="CG343">
        <f t="shared" ca="1" si="265"/>
        <v>203.56898760966598</v>
      </c>
      <c r="CH343">
        <f t="shared" ca="1" si="266"/>
        <v>0.82978047991820458</v>
      </c>
      <c r="CI343">
        <f t="shared" ca="1" si="267"/>
        <v>-0.55808991672195096</v>
      </c>
      <c r="CJ343">
        <f t="shared" ca="1" si="268"/>
        <v>-0.59208209930390276</v>
      </c>
      <c r="CK343" s="39">
        <f t="shared" ca="1" si="269"/>
        <v>-1.0149360254368434</v>
      </c>
    </row>
    <row r="344" spans="55:89" x14ac:dyDescent="0.25">
      <c r="BC344">
        <v>5.9690260418205643</v>
      </c>
      <c r="BD344">
        <v>181.51862963136534</v>
      </c>
      <c r="BE344">
        <v>-66.222819858974304</v>
      </c>
      <c r="BF344" s="6">
        <f t="shared" si="254"/>
        <v>5.9333634975132776</v>
      </c>
      <c r="BG344" s="6">
        <f t="shared" si="255"/>
        <v>3.5662544307286659E-2</v>
      </c>
      <c r="BH344" s="6">
        <f t="shared" si="256"/>
        <v>0.77267573579924986</v>
      </c>
      <c r="BI344" s="6">
        <f t="shared" si="257"/>
        <v>0.77267573579924986</v>
      </c>
      <c r="BV344" s="39"/>
      <c r="BW344" s="6">
        <f t="shared" si="251"/>
        <v>5.742133239061304</v>
      </c>
      <c r="BX344" s="9">
        <f t="shared" ca="1" si="252"/>
        <v>144.85706675983386</v>
      </c>
      <c r="BY344" s="9">
        <f t="shared" ca="1" si="253"/>
        <v>-185.15654832239989</v>
      </c>
      <c r="BZ344">
        <f t="shared" ca="1" si="261"/>
        <v>235.0883178231708</v>
      </c>
      <c r="CA344" s="6">
        <f t="shared" ca="1" si="262"/>
        <v>0.61618147639642706</v>
      </c>
      <c r="CB344" s="6">
        <f t="shared" ca="1" si="263"/>
        <v>-0.78760420780104989</v>
      </c>
      <c r="CC344" s="6">
        <f t="shared" ca="1" si="264"/>
        <v>-0.90691114996296174</v>
      </c>
      <c r="CD344" s="6">
        <f t="shared" ca="1" si="258"/>
        <v>-0.556533072836915</v>
      </c>
      <c r="CE344" s="9">
        <f t="shared" ca="1" si="259"/>
        <v>170.15710862418985</v>
      </c>
      <c r="CF344" s="9">
        <f t="shared" ca="1" si="260"/>
        <v>-112.85692510160395</v>
      </c>
      <c r="CG344">
        <f t="shared" ca="1" si="265"/>
        <v>204.18160337976923</v>
      </c>
      <c r="CH344">
        <f t="shared" ca="1" si="266"/>
        <v>0.83336160460893605</v>
      </c>
      <c r="CI344">
        <f t="shared" ca="1" si="267"/>
        <v>-0.55272817547472575</v>
      </c>
      <c r="CJ344">
        <f t="shared" ca="1" si="268"/>
        <v>-0.5856343968233414</v>
      </c>
      <c r="CK344" s="39">
        <f t="shared" ca="1" si="269"/>
        <v>-1.008488322956282</v>
      </c>
    </row>
    <row r="345" spans="55:89" x14ac:dyDescent="0.25">
      <c r="BC345">
        <v>5.9864793343405074</v>
      </c>
      <c r="BD345">
        <v>182.32334368959619</v>
      </c>
      <c r="BE345">
        <v>-61.706665094684809</v>
      </c>
      <c r="BF345" s="6">
        <f t="shared" si="254"/>
        <v>5.9568401429801643</v>
      </c>
      <c r="BG345" s="6">
        <f t="shared" si="255"/>
        <v>2.9639191360343098E-2</v>
      </c>
      <c r="BH345" s="6">
        <f t="shared" si="256"/>
        <v>0.74919909033236309</v>
      </c>
      <c r="BI345" s="6">
        <f t="shared" si="257"/>
        <v>0.74919909033236309</v>
      </c>
      <c r="BV345" s="39"/>
      <c r="BW345" s="6">
        <f t="shared" si="251"/>
        <v>5.7595865315812471</v>
      </c>
      <c r="BX345" s="9">
        <f t="shared" ca="1" si="252"/>
        <v>145.66003408737154</v>
      </c>
      <c r="BY345" s="9">
        <f t="shared" ca="1" si="253"/>
        <v>-183.86030355683192</v>
      </c>
      <c r="BZ345">
        <f t="shared" ca="1" si="261"/>
        <v>234.56652948437596</v>
      </c>
      <c r="CA345" s="6">
        <f t="shared" ca="1" si="262"/>
        <v>0.62097535572343321</v>
      </c>
      <c r="CB345" s="6">
        <f t="shared" ca="1" si="263"/>
        <v>-0.78383008846570545</v>
      </c>
      <c r="CC345" s="6">
        <f t="shared" ca="1" si="264"/>
        <v>-0.90080989015563262</v>
      </c>
      <c r="CD345" s="6">
        <f t="shared" ca="1" si="258"/>
        <v>-0.55043181302958588</v>
      </c>
      <c r="CE345" s="9">
        <f t="shared" ca="1" si="259"/>
        <v>170.96007595172753</v>
      </c>
      <c r="CF345" s="9">
        <f t="shared" ca="1" si="260"/>
        <v>-111.56068033603599</v>
      </c>
      <c r="CG345">
        <f t="shared" ca="1" si="265"/>
        <v>204.13998375247229</v>
      </c>
      <c r="CH345">
        <f t="shared" ca="1" si="266"/>
        <v>0.8374649238682379</v>
      </c>
      <c r="CI345">
        <f t="shared" ca="1" si="267"/>
        <v>-0.54649108070522667</v>
      </c>
      <c r="CJ345">
        <f t="shared" ca="1" si="268"/>
        <v>-0.57816855199448891</v>
      </c>
      <c r="CK345" s="39">
        <f t="shared" ca="1" si="269"/>
        <v>-1.0010224781274295</v>
      </c>
    </row>
    <row r="346" spans="55:89" x14ac:dyDescent="0.25">
      <c r="BC346">
        <v>6.0039326268604505</v>
      </c>
      <c r="BD346">
        <v>183.12208418168791</v>
      </c>
      <c r="BE346">
        <v>-57.013874146570771</v>
      </c>
      <c r="BF346" s="6">
        <f t="shared" si="254"/>
        <v>5.9813543763989303</v>
      </c>
      <c r="BG346" s="6">
        <f t="shared" si="255"/>
        <v>2.2578250461520177E-2</v>
      </c>
      <c r="BH346" s="6">
        <f t="shared" si="256"/>
        <v>0.72468485691359708</v>
      </c>
      <c r="BI346" s="6">
        <f t="shared" si="257"/>
        <v>0.72468485691359708</v>
      </c>
      <c r="BV346" s="39"/>
      <c r="BW346" s="6">
        <f t="shared" si="251"/>
        <v>5.7770398241011902</v>
      </c>
      <c r="BX346" s="9">
        <f t="shared" ca="1" si="252"/>
        <v>146.54648078791433</v>
      </c>
      <c r="BY346" s="9">
        <f t="shared" ca="1" si="253"/>
        <v>-181.4533200001427</v>
      </c>
      <c r="BZ346">
        <f t="shared" ca="1" si="261"/>
        <v>233.24060189083016</v>
      </c>
      <c r="CA346" s="6">
        <f t="shared" ca="1" si="262"/>
        <v>0.62830604791744793</v>
      </c>
      <c r="CB346" s="6">
        <f t="shared" ca="1" si="263"/>
        <v>-0.77796626543209291</v>
      </c>
      <c r="CC346" s="6">
        <f t="shared" ca="1" si="264"/>
        <v>-0.8914224455743851</v>
      </c>
      <c r="CD346" s="6">
        <f t="shared" ca="1" si="258"/>
        <v>-0.54104436844833836</v>
      </c>
      <c r="CE346" s="9">
        <f t="shared" ca="1" si="259"/>
        <v>171.84652265227032</v>
      </c>
      <c r="CF346" s="9">
        <f t="shared" ca="1" si="260"/>
        <v>-109.15369677934676</v>
      </c>
      <c r="CG346">
        <f t="shared" ca="1" si="265"/>
        <v>203.58230981171923</v>
      </c>
      <c r="CH346">
        <f t="shared" ca="1" si="266"/>
        <v>0.84411323759515555</v>
      </c>
      <c r="CI346">
        <f t="shared" ca="1" si="267"/>
        <v>-0.53616493928326248</v>
      </c>
      <c r="CJ346">
        <f t="shared" ca="1" si="268"/>
        <v>-0.56588721786886709</v>
      </c>
      <c r="CK346" s="39">
        <f t="shared" ca="1" si="269"/>
        <v>-0.98874114400180779</v>
      </c>
    </row>
    <row r="347" spans="55:89" x14ac:dyDescent="0.25">
      <c r="BC347">
        <v>6.0213859193803936</v>
      </c>
      <c r="BD347">
        <v>183.91696701067485</v>
      </c>
      <c r="BE347">
        <v>-52.114625147855463</v>
      </c>
      <c r="BF347" s="6">
        <f t="shared" si="254"/>
        <v>6.007064038937699</v>
      </c>
      <c r="BG347" s="6">
        <f t="shared" si="255"/>
        <v>1.4321880442694557E-2</v>
      </c>
      <c r="BH347" s="6">
        <f t="shared" si="256"/>
        <v>0.69897519437482836</v>
      </c>
      <c r="BI347" s="6">
        <f t="shared" si="257"/>
        <v>0.69897519437482836</v>
      </c>
      <c r="BV347" s="39"/>
      <c r="BW347" s="6">
        <f t="shared" si="251"/>
        <v>5.7944931166211333</v>
      </c>
      <c r="BX347" s="9">
        <f t="shared" ca="1" si="252"/>
        <v>147.51140629436856</v>
      </c>
      <c r="BY347" s="9">
        <f t="shared" ca="1" si="253"/>
        <v>-177.85637810184389</v>
      </c>
      <c r="BZ347">
        <f t="shared" ca="1" si="261"/>
        <v>231.06818521477231</v>
      </c>
      <c r="CA347" s="6">
        <f t="shared" ca="1" si="262"/>
        <v>0.63838908050998133</v>
      </c>
      <c r="CB347" s="6">
        <f t="shared" ca="1" si="263"/>
        <v>-0.76971383116429748</v>
      </c>
      <c r="CC347" s="6">
        <f t="shared" ca="1" si="264"/>
        <v>-0.87839276332622651</v>
      </c>
      <c r="CD347" s="6">
        <f t="shared" ca="1" si="258"/>
        <v>-0.52801468620017977</v>
      </c>
      <c r="CE347" s="9">
        <f t="shared" ca="1" si="259"/>
        <v>172.81144815872455</v>
      </c>
      <c r="CF347" s="9">
        <f t="shared" ca="1" si="260"/>
        <v>-105.55675488104795</v>
      </c>
      <c r="CG347">
        <f t="shared" ca="1" si="265"/>
        <v>202.49944472944409</v>
      </c>
      <c r="CH347">
        <f t="shared" ca="1" si="266"/>
        <v>0.85339220751748157</v>
      </c>
      <c r="CI347">
        <f t="shared" ca="1" si="267"/>
        <v>-0.5212693546991225</v>
      </c>
      <c r="CJ347">
        <f t="shared" ca="1" si="268"/>
        <v>-0.54833769857524794</v>
      </c>
      <c r="CK347" s="39">
        <f t="shared" ca="1" si="269"/>
        <v>-0.97119162470818865</v>
      </c>
    </row>
    <row r="348" spans="55:89" x14ac:dyDescent="0.25">
      <c r="BC348">
        <v>6.0388392119003367</v>
      </c>
      <c r="BD348">
        <v>184.71052536620803</v>
      </c>
      <c r="BE348">
        <v>-46.971802630550059</v>
      </c>
      <c r="BF348" s="6">
        <f t="shared" si="254"/>
        <v>6.0341641247806717</v>
      </c>
      <c r="BG348" s="6">
        <f t="shared" si="255"/>
        <v>4.6750871196650223E-3</v>
      </c>
      <c r="BH348" s="6">
        <f t="shared" si="256"/>
        <v>0.67187510853185572</v>
      </c>
      <c r="BI348" s="6">
        <f t="shared" si="257"/>
        <v>0.67187510853185572</v>
      </c>
      <c r="BV348" s="39"/>
      <c r="BW348" s="6">
        <f t="shared" si="251"/>
        <v>5.8119464091410764</v>
      </c>
      <c r="BX348" s="9">
        <f t="shared" ca="1" si="252"/>
        <v>148.45545314133872</v>
      </c>
      <c r="BY348" s="9">
        <f t="shared" ca="1" si="253"/>
        <v>-174.22277202138145</v>
      </c>
      <c r="BZ348">
        <f t="shared" ca="1" si="261"/>
        <v>228.89428970206851</v>
      </c>
      <c r="CA348" s="6">
        <f t="shared" ca="1" si="262"/>
        <v>0.64857648189725525</v>
      </c>
      <c r="CB348" s="6">
        <f t="shared" ca="1" si="263"/>
        <v>-0.76114949065855619</v>
      </c>
      <c r="CC348" s="6">
        <f t="shared" ca="1" si="264"/>
        <v>-0.86508360520094996</v>
      </c>
      <c r="CD348" s="6">
        <f t="shared" ca="1" si="258"/>
        <v>-0.51470552807490322</v>
      </c>
      <c r="CE348" s="9">
        <f t="shared" ca="1" si="259"/>
        <v>173.75549500569471</v>
      </c>
      <c r="CF348" s="9">
        <f t="shared" ca="1" si="260"/>
        <v>-101.92314880058551</v>
      </c>
      <c r="CG348">
        <f t="shared" ca="1" si="265"/>
        <v>201.44304481937394</v>
      </c>
      <c r="CH348">
        <f t="shared" ca="1" si="266"/>
        <v>0.86255395494788334</v>
      </c>
      <c r="CI348">
        <f t="shared" ca="1" si="267"/>
        <v>-0.50596509247552324</v>
      </c>
      <c r="CJ348">
        <f t="shared" ca="1" si="268"/>
        <v>-0.53050047642817078</v>
      </c>
      <c r="CK348" s="39">
        <f t="shared" ca="1" si="269"/>
        <v>-0.95335440256111148</v>
      </c>
    </row>
    <row r="349" spans="55:89" x14ac:dyDescent="0.25">
      <c r="BC349">
        <v>6.0562925044202798</v>
      </c>
      <c r="BD349">
        <v>185.50587881508665</v>
      </c>
      <c r="BE349">
        <v>-41.538288237176204</v>
      </c>
      <c r="BF349" s="6">
        <f t="shared" si="254"/>
        <v>6.0629000276422049</v>
      </c>
      <c r="BG349" s="6">
        <f t="shared" si="255"/>
        <v>6.607523221925149E-3</v>
      </c>
      <c r="BH349" s="6">
        <f t="shared" si="256"/>
        <v>0.64313920567032246</v>
      </c>
      <c r="BI349" s="6">
        <f t="shared" si="257"/>
        <v>0.64313920567032246</v>
      </c>
      <c r="BV349" s="39"/>
      <c r="BW349" s="6">
        <f t="shared" si="251"/>
        <v>5.8293997016610195</v>
      </c>
      <c r="BX349" s="9">
        <f t="shared" ca="1" si="252"/>
        <v>149.37990992470191</v>
      </c>
      <c r="BY349" s="9">
        <f t="shared" ca="1" si="253"/>
        <v>-170.54594222760173</v>
      </c>
      <c r="BZ349">
        <f t="shared" ca="1" si="261"/>
        <v>226.7162894443461</v>
      </c>
      <c r="CA349" s="6">
        <f t="shared" ca="1" si="262"/>
        <v>0.65888476867195467</v>
      </c>
      <c r="CB349" s="6">
        <f t="shared" ca="1" si="263"/>
        <v>-0.75224388439661294</v>
      </c>
      <c r="CC349" s="6">
        <f t="shared" ca="1" si="264"/>
        <v>-0.85146106986801173</v>
      </c>
      <c r="CD349" s="6">
        <f t="shared" ca="1" si="258"/>
        <v>-0.50108299274196499</v>
      </c>
      <c r="CE349" s="9">
        <f t="shared" ca="1" si="259"/>
        <v>174.6799517890579</v>
      </c>
      <c r="CF349" s="9">
        <f t="shared" ca="1" si="260"/>
        <v>-98.246319006805791</v>
      </c>
      <c r="CG349">
        <f t="shared" ca="1" si="265"/>
        <v>200.41313518683012</v>
      </c>
      <c r="CH349">
        <f t="shared" ca="1" si="266"/>
        <v>0.87159931721150363</v>
      </c>
      <c r="CI349">
        <f t="shared" ca="1" si="267"/>
        <v>-0.49021896152274713</v>
      </c>
      <c r="CJ349">
        <f t="shared" ca="1" si="268"/>
        <v>-0.51234095328954199</v>
      </c>
      <c r="CK349" s="39">
        <f t="shared" ca="1" si="269"/>
        <v>-0.93519487942248269</v>
      </c>
    </row>
    <row r="350" spans="55:89" x14ac:dyDescent="0.25">
      <c r="BC350">
        <v>6.0737457969402229</v>
      </c>
      <c r="BD350">
        <v>186.30698087383206</v>
      </c>
      <c r="BE350">
        <v>-35.752902343285726</v>
      </c>
      <c r="BF350" s="6">
        <f t="shared" si="254"/>
        <v>6.0935871332221776</v>
      </c>
      <c r="BG350" s="6">
        <f t="shared" si="255"/>
        <v>1.9841336281954725E-2</v>
      </c>
      <c r="BH350" s="6">
        <f t="shared" si="256"/>
        <v>0.61245210009034978</v>
      </c>
      <c r="BI350" s="6">
        <f t="shared" si="257"/>
        <v>0.61245210009034978</v>
      </c>
      <c r="BV350" s="39"/>
      <c r="BW350" s="6">
        <f t="shared" si="251"/>
        <v>5.8468529941809626</v>
      </c>
      <c r="BX350" s="9">
        <f t="shared" ca="1" si="252"/>
        <v>150.28602634746827</v>
      </c>
      <c r="BY350" s="9">
        <f t="shared" ca="1" si="253"/>
        <v>-166.81874572622337</v>
      </c>
      <c r="BZ350">
        <f t="shared" ca="1" si="261"/>
        <v>224.53147583575515</v>
      </c>
      <c r="CA350" s="6">
        <f t="shared" ca="1" si="262"/>
        <v>0.66933166402648392</v>
      </c>
      <c r="CB350" s="6">
        <f t="shared" ca="1" si="263"/>
        <v>-0.74296374308006308</v>
      </c>
      <c r="CC350" s="6">
        <f t="shared" ca="1" si="264"/>
        <v>-0.83748745821433068</v>
      </c>
      <c r="CD350" s="6">
        <f t="shared" ca="1" si="258"/>
        <v>-0.48710938108828394</v>
      </c>
      <c r="CE350" s="9">
        <f t="shared" ca="1" si="259"/>
        <v>175.58606821182426</v>
      </c>
      <c r="CF350" s="9">
        <f t="shared" ca="1" si="260"/>
        <v>-94.519122505427433</v>
      </c>
      <c r="CG350">
        <f t="shared" ca="1" si="265"/>
        <v>199.40995930314864</v>
      </c>
      <c r="CH350">
        <f t="shared" ca="1" si="266"/>
        <v>0.8805280780630087</v>
      </c>
      <c r="CI350">
        <f t="shared" ca="1" si="267"/>
        <v>-0.47399399125164454</v>
      </c>
      <c r="CJ350">
        <f t="shared" ca="1" si="268"/>
        <v>-0.49382117376609275</v>
      </c>
      <c r="CK350" s="39">
        <f t="shared" ca="1" si="269"/>
        <v>-0.9166750998990334</v>
      </c>
    </row>
    <row r="351" spans="55:89" x14ac:dyDescent="0.25">
      <c r="BC351">
        <v>6.091199089460166</v>
      </c>
      <c r="BD351">
        <v>187.11899152682867</v>
      </c>
      <c r="BE351">
        <v>-29.534127181266093</v>
      </c>
      <c r="BF351" s="6">
        <f t="shared" si="254"/>
        <v>6.126640665643464</v>
      </c>
      <c r="BG351" s="6">
        <f t="shared" si="255"/>
        <v>3.5441576183298018E-2</v>
      </c>
      <c r="BH351" s="6">
        <f t="shared" si="256"/>
        <v>0.5793985676690635</v>
      </c>
      <c r="BI351" s="6">
        <f t="shared" si="257"/>
        <v>0.5793985676690635</v>
      </c>
      <c r="BV351" s="39"/>
      <c r="BW351" s="6">
        <f t="shared" si="251"/>
        <v>5.8643062867009057</v>
      </c>
      <c r="BX351" s="9">
        <f t="shared" ca="1" si="252"/>
        <v>151.17502534418361</v>
      </c>
      <c r="BY351" s="9">
        <f t="shared" ca="1" si="253"/>
        <v>-163.03333360496342</v>
      </c>
      <c r="BZ351">
        <f t="shared" ca="1" si="261"/>
        <v>222.33703279967071</v>
      </c>
      <c r="CA351" s="6">
        <f t="shared" ca="1" si="262"/>
        <v>0.67993632657855418</v>
      </c>
      <c r="CB351" s="6">
        <f t="shared" ca="1" si="263"/>
        <v>-0.73327115843926505</v>
      </c>
      <c r="CC351" s="6">
        <f t="shared" ca="1" si="264"/>
        <v>-0.82312053038635513</v>
      </c>
      <c r="CD351" s="6">
        <f t="shared" ca="1" si="258"/>
        <v>-0.47274245326030839</v>
      </c>
      <c r="CE351" s="9">
        <f t="shared" ca="1" si="259"/>
        <v>176.4750672085396</v>
      </c>
      <c r="CF351" s="9">
        <f t="shared" ca="1" si="260"/>
        <v>-90.73371038416748</v>
      </c>
      <c r="CG351">
        <f t="shared" ca="1" si="265"/>
        <v>198.4340080387849</v>
      </c>
      <c r="CH351">
        <f t="shared" ca="1" si="266"/>
        <v>0.8893388232829863</v>
      </c>
      <c r="CI351">
        <f t="shared" ca="1" si="267"/>
        <v>-0.45724879158028764</v>
      </c>
      <c r="CJ351">
        <f t="shared" ca="1" si="268"/>
        <v>-0.47489918586696755</v>
      </c>
      <c r="CK351" s="39">
        <f t="shared" ca="1" si="269"/>
        <v>-0.89775311199990826</v>
      </c>
    </row>
    <row r="352" spans="55:89" x14ac:dyDescent="0.25">
      <c r="BC352">
        <v>6.1086523819801091</v>
      </c>
      <c r="BD352">
        <v>187.94885548496154</v>
      </c>
      <c r="BE352">
        <v>-22.770033149008487</v>
      </c>
      <c r="BF352" s="6">
        <f t="shared" si="254"/>
        <v>6.1626227070979791</v>
      </c>
      <c r="BG352" s="6">
        <f t="shared" si="255"/>
        <v>5.3970325117870033E-2</v>
      </c>
      <c r="BH352" s="6">
        <f t="shared" si="256"/>
        <v>0.54341652621454839</v>
      </c>
      <c r="BI352" s="6">
        <f t="shared" si="257"/>
        <v>0.54341652621454839</v>
      </c>
      <c r="BV352" s="39"/>
      <c r="BW352" s="6">
        <f t="shared" si="251"/>
        <v>5.8817595792208488</v>
      </c>
      <c r="BX352" s="9">
        <f t="shared" ca="1" si="252"/>
        <v>152.04811654383889</v>
      </c>
      <c r="BY352" s="9">
        <f t="shared" ca="1" si="253"/>
        <v>-159.18100041499684</v>
      </c>
      <c r="BZ352">
        <f t="shared" ca="1" si="261"/>
        <v>220.13000848963785</v>
      </c>
      <c r="CA352" s="6">
        <f t="shared" ca="1" si="262"/>
        <v>0.69071962331294889</v>
      </c>
      <c r="CB352" s="6">
        <f t="shared" ca="1" si="263"/>
        <v>-0.72312267421953946</v>
      </c>
      <c r="CC352" s="6">
        <f t="shared" ca="1" si="264"/>
        <v>-0.80831258565412289</v>
      </c>
      <c r="CD352" s="6">
        <f t="shared" ca="1" si="258"/>
        <v>-0.45793450852807616</v>
      </c>
      <c r="CE352" s="9">
        <f t="shared" ca="1" si="259"/>
        <v>177.34815840819488</v>
      </c>
      <c r="CF352" s="9">
        <f t="shared" ca="1" si="260"/>
        <v>-86.881377194200908</v>
      </c>
      <c r="CG352">
        <f t="shared" ca="1" si="265"/>
        <v>197.48605772038491</v>
      </c>
      <c r="CH352">
        <f t="shared" ca="1" si="266"/>
        <v>0.8980287543098221</v>
      </c>
      <c r="CI352">
        <f t="shared" ca="1" si="267"/>
        <v>-0.43993676412951577</v>
      </c>
      <c r="CJ352">
        <f t="shared" ca="1" si="268"/>
        <v>-0.45552825587191409</v>
      </c>
      <c r="CK352" s="39">
        <f t="shared" ca="1" si="269"/>
        <v>-0.87838218200485474</v>
      </c>
    </row>
    <row r="353" spans="55:89" x14ac:dyDescent="0.25">
      <c r="BC353">
        <v>6.1261056745000522</v>
      </c>
      <c r="BD353">
        <v>188.80623277902009</v>
      </c>
      <c r="BE353">
        <v>-15.301396987558064</v>
      </c>
      <c r="BF353" s="6">
        <f t="shared" si="254"/>
        <v>6.2023191801329087</v>
      </c>
      <c r="BG353" s="6">
        <f t="shared" si="255"/>
        <v>7.621350563285656E-2</v>
      </c>
      <c r="BH353" s="6">
        <f t="shared" si="256"/>
        <v>0.50372005317961865</v>
      </c>
      <c r="BI353" s="6">
        <f t="shared" si="257"/>
        <v>0.50372005317961865</v>
      </c>
      <c r="BV353" s="39"/>
      <c r="BW353" s="6">
        <f t="shared" si="251"/>
        <v>5.8992128717407919</v>
      </c>
      <c r="BX353" s="9">
        <f t="shared" ca="1" si="252"/>
        <v>152.90651171168997</v>
      </c>
      <c r="BY353" s="9">
        <f t="shared" ca="1" si="253"/>
        <v>-155.25199659003641</v>
      </c>
      <c r="BZ353">
        <f t="shared" ca="1" si="261"/>
        <v>217.90728250572505</v>
      </c>
      <c r="CA353" s="6">
        <f t="shared" ca="1" si="262"/>
        <v>0.70170445867348508</v>
      </c>
      <c r="CB353" s="6">
        <f t="shared" ca="1" si="263"/>
        <v>-0.71246814151774618</v>
      </c>
      <c r="CC353" s="6">
        <f t="shared" ca="1" si="264"/>
        <v>-0.79300931001200703</v>
      </c>
      <c r="CD353" s="6">
        <f t="shared" ca="1" si="258"/>
        <v>-0.44263123288596029</v>
      </c>
      <c r="CE353" s="9">
        <f t="shared" ca="1" si="259"/>
        <v>178.20655357604596</v>
      </c>
      <c r="CF353" s="9">
        <f t="shared" ca="1" si="260"/>
        <v>-82.952373369240476</v>
      </c>
      <c r="CG353">
        <f t="shared" ca="1" si="265"/>
        <v>196.56722001656843</v>
      </c>
      <c r="CH353">
        <f t="shared" ca="1" si="266"/>
        <v>0.90659344707131295</v>
      </c>
      <c r="CI353">
        <f t="shared" ca="1" si="267"/>
        <v>-0.42200512049897493</v>
      </c>
      <c r="CJ353">
        <f t="shared" ca="1" si="268"/>
        <v>-0.43565589311777414</v>
      </c>
      <c r="CK353" s="39">
        <f t="shared" ca="1" si="269"/>
        <v>-0.85850981925071479</v>
      </c>
    </row>
    <row r="354" spans="55:89" x14ac:dyDescent="0.25">
      <c r="BC354">
        <v>6.1435589670199953</v>
      </c>
      <c r="BD354">
        <v>189.70506201688715</v>
      </c>
      <c r="BE354">
        <v>-6.8919182400598986</v>
      </c>
      <c r="BF354" s="6">
        <f t="shared" si="254"/>
        <v>6.2468716290863835</v>
      </c>
      <c r="BG354" s="6">
        <f t="shared" si="255"/>
        <v>0.10331266206638823</v>
      </c>
      <c r="BH354" s="6">
        <f t="shared" si="256"/>
        <v>0.45916760422614394</v>
      </c>
      <c r="BI354" s="6">
        <f t="shared" si="257"/>
        <v>0.45916760422614394</v>
      </c>
      <c r="BV354" s="39"/>
      <c r="BW354" s="6">
        <f t="shared" si="251"/>
        <v>5.916666164260735</v>
      </c>
      <c r="BX354" s="9">
        <f t="shared" ca="1" si="252"/>
        <v>153.75144300166221</v>
      </c>
      <c r="BY354" s="9">
        <f t="shared" ca="1" si="253"/>
        <v>-151.23529182854577</v>
      </c>
      <c r="BZ354">
        <f t="shared" ca="1" si="261"/>
        <v>215.66552742512835</v>
      </c>
      <c r="CA354" s="6">
        <f t="shared" ca="1" si="262"/>
        <v>0.71291617551182085</v>
      </c>
      <c r="CB354" s="6">
        <f t="shared" ca="1" si="263"/>
        <v>-0.70124926145672239</v>
      </c>
      <c r="CC354" s="6">
        <f t="shared" ca="1" si="264"/>
        <v>-0.77714831577313392</v>
      </c>
      <c r="CD354" s="6">
        <f t="shared" ca="1" si="258"/>
        <v>-0.42677023864708719</v>
      </c>
      <c r="CE354" s="9">
        <f t="shared" ca="1" si="259"/>
        <v>179.0514848660182</v>
      </c>
      <c r="CF354" s="9">
        <f t="shared" ca="1" si="260"/>
        <v>-78.935668607749832</v>
      </c>
      <c r="CG354">
        <f t="shared" ca="1" si="265"/>
        <v>195.67900758967082</v>
      </c>
      <c r="CH354">
        <f t="shared" ca="1" si="266"/>
        <v>0.91502653795894284</v>
      </c>
      <c r="CI354">
        <f t="shared" ca="1" si="267"/>
        <v>-0.40339364748452738</v>
      </c>
      <c r="CJ354">
        <f t="shared" ca="1" si="268"/>
        <v>-0.41522262425812112</v>
      </c>
      <c r="CK354" s="39">
        <f t="shared" ca="1" si="269"/>
        <v>-0.83807655039106188</v>
      </c>
    </row>
    <row r="355" spans="55:89" x14ac:dyDescent="0.25">
      <c r="BC355">
        <v>6.1610122595399384</v>
      </c>
      <c r="BD355">
        <v>190.66632647317309</v>
      </c>
      <c r="BE355">
        <v>2.8277007352000028</v>
      </c>
      <c r="BF355" s="6">
        <f t="shared" si="254"/>
        <v>1.4829537547014483E-2</v>
      </c>
      <c r="BG355" s="6">
        <f t="shared" si="255"/>
        <v>6.1461827219929237</v>
      </c>
      <c r="BH355" s="6">
        <f t="shared" si="256"/>
        <v>0.40802438858592621</v>
      </c>
      <c r="BI355" s="6">
        <f t="shared" si="257"/>
        <v>0.40802438858592621</v>
      </c>
      <c r="BV355" s="39"/>
      <c r="BW355" s="6">
        <f t="shared" si="251"/>
        <v>5.9341194567806781</v>
      </c>
      <c r="BX355" s="9">
        <f t="shared" ca="1" si="252"/>
        <v>154.58418514425671</v>
      </c>
      <c r="BY355" s="9">
        <f t="shared" ca="1" si="253"/>
        <v>-147.11827260612574</v>
      </c>
      <c r="BZ355">
        <f t="shared" ca="1" si="261"/>
        <v>213.40116314426257</v>
      </c>
      <c r="CA355" s="6">
        <f t="shared" ca="1" si="262"/>
        <v>0.7243830486516859</v>
      </c>
      <c r="CB355" s="6">
        <f t="shared" ca="1" si="263"/>
        <v>-0.6893977072968035</v>
      </c>
      <c r="CC355" s="6">
        <f t="shared" ca="1" si="264"/>
        <v>-0.76065726732755823</v>
      </c>
      <c r="CD355" s="6">
        <f t="shared" ca="1" si="258"/>
        <v>-0.41027919020151149</v>
      </c>
      <c r="CE355" s="9">
        <f t="shared" ca="1" si="259"/>
        <v>179.8842270086127</v>
      </c>
      <c r="CF355" s="9">
        <f t="shared" ca="1" si="260"/>
        <v>-74.818649385329806</v>
      </c>
      <c r="CG355">
        <f t="shared" ca="1" si="265"/>
        <v>194.82342113393611</v>
      </c>
      <c r="CH355">
        <f t="shared" ca="1" si="266"/>
        <v>0.92331931120820887</v>
      </c>
      <c r="CI355">
        <f t="shared" ca="1" si="267"/>
        <v>-0.38403313600521316</v>
      </c>
      <c r="CJ355">
        <f t="shared" ca="1" si="268"/>
        <v>-0.39416043319806709</v>
      </c>
      <c r="CK355" s="39">
        <f t="shared" ca="1" si="269"/>
        <v>-0.81701435933100774</v>
      </c>
    </row>
    <row r="356" spans="55:89" x14ac:dyDescent="0.25">
      <c r="BC356">
        <v>6.1784655520598815</v>
      </c>
      <c r="BD356">
        <v>191.72327558811156</v>
      </c>
      <c r="BE356">
        <v>14.47317168463259</v>
      </c>
      <c r="BF356" s="6">
        <f t="shared" si="254"/>
        <v>7.5346993659979059E-2</v>
      </c>
      <c r="BG356" s="6">
        <f t="shared" si="255"/>
        <v>6.1031185583999026</v>
      </c>
      <c r="BH356" s="6">
        <f t="shared" si="256"/>
        <v>0.34750693247296166</v>
      </c>
      <c r="BI356" s="6">
        <f t="shared" si="257"/>
        <v>0.34750693247296166</v>
      </c>
      <c r="BV356" s="39"/>
      <c r="BW356" s="6">
        <f t="shared" si="251"/>
        <v>5.9515727493006212</v>
      </c>
      <c r="BX356" s="9">
        <f t="shared" ca="1" si="252"/>
        <v>155.40608315430853</v>
      </c>
      <c r="BY356" s="9">
        <f t="shared" ca="1" si="253"/>
        <v>-142.8863499505872</v>
      </c>
      <c r="BZ356">
        <f t="shared" ca="1" si="261"/>
        <v>211.1103021729767</v>
      </c>
      <c r="CA356" s="6">
        <f t="shared" ca="1" si="262"/>
        <v>0.73613689883771749</v>
      </c>
      <c r="CB356" s="6">
        <f t="shared" ca="1" si="263"/>
        <v>-0.67683267220900911</v>
      </c>
      <c r="CC356" s="6">
        <f t="shared" ca="1" si="264"/>
        <v>-0.74345144261010132</v>
      </c>
      <c r="CD356" s="6">
        <f t="shared" ca="1" si="258"/>
        <v>-0.39307336548405458</v>
      </c>
      <c r="CE356" s="9">
        <f t="shared" ca="1" si="259"/>
        <v>180.70612501866452</v>
      </c>
      <c r="CF356" s="9">
        <f t="shared" ca="1" si="260"/>
        <v>-70.586726729791266</v>
      </c>
      <c r="CG356">
        <f t="shared" ca="1" si="265"/>
        <v>194.00306598012168</v>
      </c>
      <c r="CH356">
        <f t="shared" ca="1" si="266"/>
        <v>0.93146015041422281</v>
      </c>
      <c r="CI356">
        <f t="shared" ca="1" si="267"/>
        <v>-0.36384335666645529</v>
      </c>
      <c r="CJ356">
        <f t="shared" ca="1" si="268"/>
        <v>-0.37239074856449605</v>
      </c>
      <c r="CK356" s="39">
        <f t="shared" ca="1" si="269"/>
        <v>-0.79524467469743676</v>
      </c>
    </row>
    <row r="357" spans="55:89" x14ac:dyDescent="0.25">
      <c r="BC357">
        <v>6.1959188445798246</v>
      </c>
      <c r="BD357">
        <v>192.9321346207696</v>
      </c>
      <c r="BE357">
        <v>29.160515594865618</v>
      </c>
      <c r="BF357" s="6">
        <f t="shared" si="254"/>
        <v>0.15000848973504821</v>
      </c>
      <c r="BG357" s="6">
        <f t="shared" si="255"/>
        <v>6.0459103548447768</v>
      </c>
      <c r="BH357" s="6">
        <f t="shared" si="256"/>
        <v>0.27284543639789249</v>
      </c>
      <c r="BI357" s="6">
        <f t="shared" si="257"/>
        <v>0.27284543639789249</v>
      </c>
      <c r="BV357" s="39"/>
      <c r="BW357" s="6">
        <f t="shared" si="251"/>
        <v>5.9690260418205643</v>
      </c>
      <c r="BX357" s="9">
        <f t="shared" ca="1" si="252"/>
        <v>156.21858776700935</v>
      </c>
      <c r="BY357" s="9">
        <f t="shared" ca="1" si="253"/>
        <v>-138.52244307977026</v>
      </c>
      <c r="BZ357">
        <f t="shared" ca="1" si="261"/>
        <v>208.78868360307987</v>
      </c>
      <c r="CA357" s="6">
        <f t="shared" ca="1" si="262"/>
        <v>0.74821386423409086</v>
      </c>
      <c r="CB357" s="6">
        <f t="shared" ca="1" si="263"/>
        <v>-0.66345761987325869</v>
      </c>
      <c r="CC357" s="6">
        <f t="shared" ca="1" si="264"/>
        <v>-0.7254305129217512</v>
      </c>
      <c r="CD357" s="6">
        <f t="shared" ca="1" si="258"/>
        <v>-0.37505243579570446</v>
      </c>
      <c r="CE357" s="9">
        <f t="shared" ca="1" si="259"/>
        <v>181.51862963136534</v>
      </c>
      <c r="CF357" s="9">
        <f t="shared" ca="1" si="260"/>
        <v>-66.222819858974319</v>
      </c>
      <c r="CG357">
        <f t="shared" ca="1" si="265"/>
        <v>193.22131034987561</v>
      </c>
      <c r="CH357">
        <f t="shared" ca="1" si="266"/>
        <v>0.93943379900840318</v>
      </c>
      <c r="CI357">
        <f t="shared" ca="1" si="267"/>
        <v>-0.34273041487536393</v>
      </c>
      <c r="CJ357">
        <f t="shared" ca="1" si="268"/>
        <v>-0.34982180966630866</v>
      </c>
      <c r="CK357" s="39">
        <f t="shared" ca="1" si="269"/>
        <v>-0.77267573579924931</v>
      </c>
    </row>
    <row r="358" spans="55:89" x14ac:dyDescent="0.25">
      <c r="BC358">
        <v>6.2133721370997677</v>
      </c>
      <c r="BD358">
        <v>194.39665131709842</v>
      </c>
      <c r="BE358">
        <v>49.154423314095823</v>
      </c>
      <c r="BF358" s="6">
        <f t="shared" si="254"/>
        <v>0.24766515928372018</v>
      </c>
      <c r="BG358" s="6">
        <f t="shared" si="255"/>
        <v>5.9657069778160476</v>
      </c>
      <c r="BH358" s="6">
        <f t="shared" si="256"/>
        <v>0.17518876684922052</v>
      </c>
      <c r="BI358" s="6">
        <f t="shared" si="257"/>
        <v>0.17518876684922052</v>
      </c>
      <c r="BV358" s="39"/>
      <c r="BW358" s="6">
        <f t="shared" si="251"/>
        <v>5.9864793343405074</v>
      </c>
      <c r="BX358" s="9">
        <f t="shared" ca="1" si="252"/>
        <v>157.0233018252402</v>
      </c>
      <c r="BY358" s="9">
        <f t="shared" ca="1" si="253"/>
        <v>-134.00628831548073</v>
      </c>
      <c r="BZ358">
        <f t="shared" ca="1" si="261"/>
        <v>206.43159308640776</v>
      </c>
      <c r="CA358" s="6">
        <f t="shared" ca="1" si="262"/>
        <v>0.76065537971948738</v>
      </c>
      <c r="CB358" s="6">
        <f t="shared" ca="1" si="263"/>
        <v>-0.64915590831771874</v>
      </c>
      <c r="CC358" s="6">
        <f t="shared" ca="1" si="264"/>
        <v>-0.70647422052688125</v>
      </c>
      <c r="CD358" s="6">
        <f t="shared" ca="1" si="258"/>
        <v>-0.35609614340083451</v>
      </c>
      <c r="CE358" s="9">
        <f t="shared" ca="1" si="259"/>
        <v>182.32334368959619</v>
      </c>
      <c r="CF358" s="9">
        <f t="shared" ca="1" si="260"/>
        <v>-61.706665094684794</v>
      </c>
      <c r="CG358">
        <f t="shared" ca="1" si="265"/>
        <v>192.48250354580856</v>
      </c>
      <c r="CH358">
        <f t="shared" ca="1" si="266"/>
        <v>0.94722034642595654</v>
      </c>
      <c r="CI358">
        <f t="shared" ca="1" si="267"/>
        <v>-0.32058324241402719</v>
      </c>
      <c r="CJ358">
        <f t="shared" ca="1" si="268"/>
        <v>-0.32634516419942139</v>
      </c>
      <c r="CK358" s="39">
        <f t="shared" ca="1" si="269"/>
        <v>-0.74919909033236209</v>
      </c>
    </row>
    <row r="359" spans="55:89" x14ac:dyDescent="0.25">
      <c r="BC359">
        <v>6.2308254296197108</v>
      </c>
      <c r="BD359">
        <v>195.88115687504711</v>
      </c>
      <c r="BE359">
        <v>71.963528161691585</v>
      </c>
      <c r="BF359" s="6">
        <f t="shared" si="254"/>
        <v>0.35207663225908054</v>
      </c>
      <c r="BG359" s="6">
        <f t="shared" si="255"/>
        <v>5.8787487973606298</v>
      </c>
      <c r="BH359" s="6">
        <f t="shared" si="256"/>
        <v>7.0777293873860156E-2</v>
      </c>
      <c r="BI359" s="6">
        <f t="shared" si="257"/>
        <v>7.0777293873860156E-2</v>
      </c>
      <c r="BV359" s="39"/>
      <c r="BW359" s="6">
        <f t="shared" si="251"/>
        <v>6.0039326268604505</v>
      </c>
      <c r="BX359" s="9">
        <f t="shared" ca="1" si="252"/>
        <v>157.82204231733192</v>
      </c>
      <c r="BY359" s="9">
        <f t="shared" ca="1" si="253"/>
        <v>-129.31349736736672</v>
      </c>
      <c r="BZ359">
        <f t="shared" ca="1" si="261"/>
        <v>204.03376593739006</v>
      </c>
      <c r="CA359" s="6">
        <f t="shared" ca="1" si="262"/>
        <v>0.77350943159947994</v>
      </c>
      <c r="CB359" s="6">
        <f t="shared" ca="1" si="263"/>
        <v>-0.63378478936201155</v>
      </c>
      <c r="CC359" s="6">
        <f t="shared" ca="1" si="264"/>
        <v>-0.6864364716067376</v>
      </c>
      <c r="CD359" s="6">
        <f t="shared" ca="1" si="258"/>
        <v>-0.33605839448069086</v>
      </c>
      <c r="CE359" s="9">
        <f t="shared" ca="1" si="259"/>
        <v>183.12208418168791</v>
      </c>
      <c r="CF359" s="9">
        <f t="shared" ca="1" si="260"/>
        <v>-57.013874146570785</v>
      </c>
      <c r="CG359">
        <f t="shared" ca="1" si="265"/>
        <v>191.79228232712131</v>
      </c>
      <c r="CH359">
        <f t="shared" ca="1" si="266"/>
        <v>0.95479381109483075</v>
      </c>
      <c r="CI359">
        <f t="shared" ca="1" si="267"/>
        <v>-0.29726886533071128</v>
      </c>
      <c r="CJ359">
        <f t="shared" ca="1" si="268"/>
        <v>-0.30183093078065559</v>
      </c>
      <c r="CK359" s="39">
        <f t="shared" ca="1" si="269"/>
        <v>-0.7246848569135963</v>
      </c>
    </row>
    <row r="360" spans="55:89" x14ac:dyDescent="0.25">
      <c r="BC360">
        <v>6.2482787221396539</v>
      </c>
      <c r="BD360">
        <v>197.23849605347988</v>
      </c>
      <c r="BE360">
        <v>100.41338464774709</v>
      </c>
      <c r="BF360" s="6">
        <f t="shared" si="254"/>
        <v>0.47089812453284213</v>
      </c>
      <c r="BG360" s="6">
        <f t="shared" si="255"/>
        <v>5.777380597606812</v>
      </c>
      <c r="BH360" s="6">
        <f t="shared" si="256"/>
        <v>-4.8044198399901435E-2</v>
      </c>
      <c r="BI360" s="6">
        <f t="shared" si="257"/>
        <v>4.8044198399901435E-2</v>
      </c>
      <c r="BV360" s="39"/>
      <c r="BW360" s="6">
        <f t="shared" si="251"/>
        <v>6.0213859193803936</v>
      </c>
      <c r="BX360" s="9">
        <f t="shared" ca="1" si="252"/>
        <v>158.61692514631886</v>
      </c>
      <c r="BY360" s="9">
        <f t="shared" ca="1" si="253"/>
        <v>-124.4142483686514</v>
      </c>
      <c r="BZ360">
        <f t="shared" ca="1" si="261"/>
        <v>201.58927089507864</v>
      </c>
      <c r="CA360" s="6">
        <f t="shared" ca="1" si="262"/>
        <v>0.78683217832993879</v>
      </c>
      <c r="CB360" s="6">
        <f t="shared" ca="1" si="263"/>
        <v>-0.61716701397965468</v>
      </c>
      <c r="CC360" s="6">
        <f t="shared" ca="1" si="264"/>
        <v>-0.66513710096578815</v>
      </c>
      <c r="CD360" s="6">
        <f t="shared" ca="1" si="258"/>
        <v>-0.31475902383974141</v>
      </c>
      <c r="CE360" s="9">
        <f t="shared" ca="1" si="259"/>
        <v>183.91696701067485</v>
      </c>
      <c r="CF360" s="9">
        <f t="shared" ca="1" si="260"/>
        <v>-52.114625147855463</v>
      </c>
      <c r="CG360">
        <f t="shared" ca="1" si="265"/>
        <v>191.15801031792299</v>
      </c>
      <c r="CH360">
        <f t="shared" ca="1" si="266"/>
        <v>0.96212011573459444</v>
      </c>
      <c r="CI360">
        <f t="shared" ca="1" si="267"/>
        <v>-0.27262590283912991</v>
      </c>
      <c r="CJ360">
        <f t="shared" ca="1" si="268"/>
        <v>-0.27612126824188749</v>
      </c>
      <c r="CK360" s="39">
        <f t="shared" ca="1" si="269"/>
        <v>-0.69897519437482813</v>
      </c>
    </row>
    <row r="361" spans="55:89" x14ac:dyDescent="0.25">
      <c r="BC361">
        <v>6.2657320146595969</v>
      </c>
      <c r="BD361">
        <v>198.25993768425815</v>
      </c>
      <c r="BE361">
        <v>130.91550617780035</v>
      </c>
      <c r="BF361" s="6">
        <f t="shared" si="254"/>
        <v>0.5835976482078119</v>
      </c>
      <c r="BG361" s="6">
        <f t="shared" si="255"/>
        <v>5.6821343664517849</v>
      </c>
      <c r="BH361" s="6">
        <f t="shared" si="256"/>
        <v>-0.16074372207487117</v>
      </c>
      <c r="BI361" s="6">
        <f t="shared" si="257"/>
        <v>0.16074372207487117</v>
      </c>
      <c r="BV361" s="39"/>
      <c r="BW361" s="6">
        <f t="shared" si="251"/>
        <v>6.0388392119003367</v>
      </c>
      <c r="BX361" s="9">
        <f t="shared" ca="1" si="252"/>
        <v>159.41048350185204</v>
      </c>
      <c r="BY361" s="9">
        <f t="shared" ca="1" si="253"/>
        <v>-119.271425851346</v>
      </c>
      <c r="BZ361">
        <f t="shared" ca="1" si="261"/>
        <v>199.09137418508962</v>
      </c>
      <c r="CA361" s="6">
        <f t="shared" ca="1" si="262"/>
        <v>0.80069005578138519</v>
      </c>
      <c r="CB361" s="6">
        <f t="shared" ca="1" si="263"/>
        <v>-0.59907882166940452</v>
      </c>
      <c r="CC361" s="6">
        <f t="shared" ca="1" si="264"/>
        <v>-0.64235013240585159</v>
      </c>
      <c r="CD361" s="6">
        <f t="shared" ca="1" si="258"/>
        <v>-0.29197205527980485</v>
      </c>
      <c r="CE361" s="9">
        <f t="shared" ca="1" si="259"/>
        <v>184.71052536620803</v>
      </c>
      <c r="CF361" s="9">
        <f t="shared" ca="1" si="260"/>
        <v>-46.971802630550059</v>
      </c>
      <c r="CG361">
        <f t="shared" ca="1" si="265"/>
        <v>190.58942369245972</v>
      </c>
      <c r="CH361">
        <f t="shared" ca="1" si="266"/>
        <v>0.96915412087221564</v>
      </c>
      <c r="CI361">
        <f t="shared" ca="1" si="267"/>
        <v>-0.24645545235681618</v>
      </c>
      <c r="CJ361">
        <f t="shared" ca="1" si="268"/>
        <v>-0.24902118239891435</v>
      </c>
      <c r="CK361" s="39">
        <f t="shared" ca="1" si="269"/>
        <v>-0.67187510853185506</v>
      </c>
    </row>
    <row r="362" spans="55:89" x14ac:dyDescent="0.25">
      <c r="BC362">
        <v>6.28318530717954</v>
      </c>
      <c r="BD362">
        <v>198.94534872248289</v>
      </c>
      <c r="BE362">
        <v>164.45558313093886</v>
      </c>
      <c r="BF362" s="6">
        <f t="shared" si="254"/>
        <v>0.69077329546424493</v>
      </c>
      <c r="BG362" s="6">
        <f t="shared" si="255"/>
        <v>5.5924120117152949</v>
      </c>
      <c r="BH362" s="6">
        <f t="shared" si="256"/>
        <v>-0.26791936933130428</v>
      </c>
      <c r="BI362" s="6">
        <f t="shared" si="257"/>
        <v>0.26791936933130428</v>
      </c>
      <c r="BV362" s="39"/>
      <c r="BW362" s="6">
        <f t="shared" si="251"/>
        <v>6.0562925044202798</v>
      </c>
      <c r="BX362" s="9">
        <f t="shared" ca="1" si="252"/>
        <v>160.20583695073066</v>
      </c>
      <c r="BY362" s="9">
        <f t="shared" ca="1" si="253"/>
        <v>-113.83791145797214</v>
      </c>
      <c r="BZ362">
        <f t="shared" ca="1" si="261"/>
        <v>196.53238989590798</v>
      </c>
      <c r="CA362" s="6">
        <f t="shared" ca="1" si="262"/>
        <v>0.81516251359677949</v>
      </c>
      <c r="CB362" s="6">
        <f t="shared" ca="1" si="263"/>
        <v>-0.57923231645565187</v>
      </c>
      <c r="CC362" s="6">
        <f t="shared" ca="1" si="264"/>
        <v>-0.61778662000704943</v>
      </c>
      <c r="CD362" s="6">
        <f t="shared" ca="1" si="258"/>
        <v>-0.26740854288100269</v>
      </c>
      <c r="CE362" s="9">
        <f t="shared" ca="1" si="259"/>
        <v>185.50587881508665</v>
      </c>
      <c r="CF362" s="9">
        <f t="shared" ca="1" si="260"/>
        <v>-41.538288237176204</v>
      </c>
      <c r="CG362">
        <f t="shared" ca="1" si="265"/>
        <v>190.09960669247147</v>
      </c>
      <c r="CH362">
        <f t="shared" ca="1" si="266"/>
        <v>0.97583515317411362</v>
      </c>
      <c r="CI362">
        <f t="shared" ca="1" si="267"/>
        <v>-0.21850801776972456</v>
      </c>
      <c r="CJ362">
        <f t="shared" ca="1" si="268"/>
        <v>-0.2202852795373812</v>
      </c>
      <c r="CK362" s="39">
        <f t="shared" ca="1" si="269"/>
        <v>-0.6431392056703219</v>
      </c>
    </row>
    <row r="363" spans="55:89" x14ac:dyDescent="0.25">
      <c r="BC363" s="6"/>
      <c r="BD363" s="6"/>
      <c r="BE363" s="6"/>
      <c r="BF363" s="6"/>
      <c r="BG363" s="6"/>
      <c r="BH363" s="6"/>
      <c r="BI363" s="6"/>
      <c r="BW363" s="6">
        <f t="shared" ref="BW363:BW375" si="270">BC350</f>
        <v>6.0737457969402229</v>
      </c>
      <c r="BX363" s="9">
        <f t="shared" ref="BX363:BX375" ca="1" si="271">BD350-$BW$5</f>
        <v>161.00693900947607</v>
      </c>
      <c r="BY363" s="9">
        <f t="shared" ref="BY363:BY375" ca="1" si="272">BE350-$BX$5</f>
        <v>-108.05252556408166</v>
      </c>
      <c r="BZ363">
        <f t="shared" ca="1" si="261"/>
        <v>193.90353965303902</v>
      </c>
      <c r="CA363" s="6">
        <f t="shared" ca="1" si="262"/>
        <v>0.83034553828967528</v>
      </c>
      <c r="CB363" s="6">
        <f t="shared" ca="1" si="263"/>
        <v>-0.55724885557749626</v>
      </c>
      <c r="CC363" s="6">
        <f t="shared" ca="1" si="264"/>
        <v>-0.59106884963095985</v>
      </c>
      <c r="CD363" s="6">
        <f t="shared" ca="1" si="258"/>
        <v>-0.24069077250491311</v>
      </c>
      <c r="CE363" s="9">
        <f t="shared" ca="1" si="259"/>
        <v>186.30698087383206</v>
      </c>
      <c r="CF363" s="9">
        <f t="shared" ca="1" si="260"/>
        <v>-35.752902343285726</v>
      </c>
      <c r="CG363">
        <f t="shared" ca="1" si="265"/>
        <v>189.70651319417303</v>
      </c>
      <c r="CH363">
        <f t="shared" ca="1" si="266"/>
        <v>0.98208004425835715</v>
      </c>
      <c r="CI363">
        <f t="shared" ca="1" si="267"/>
        <v>-0.18846428486454256</v>
      </c>
      <c r="CJ363">
        <f t="shared" ca="1" si="268"/>
        <v>-0.18959817395740891</v>
      </c>
      <c r="CK363" s="39">
        <f t="shared" ca="1" si="269"/>
        <v>-0.61245210009034956</v>
      </c>
    </row>
    <row r="364" spans="55:89" x14ac:dyDescent="0.25">
      <c r="BC364" s="6"/>
      <c r="BD364" s="6"/>
      <c r="BE364" s="6"/>
      <c r="BF364" s="6"/>
      <c r="BG364" s="6"/>
      <c r="BH364" s="6"/>
      <c r="BI364" s="6"/>
      <c r="BW364" s="6">
        <f t="shared" si="270"/>
        <v>6.091199089460166</v>
      </c>
      <c r="BX364" s="9">
        <f t="shared" ca="1" si="271"/>
        <v>161.81894966247268</v>
      </c>
      <c r="BY364" s="9">
        <f t="shared" ca="1" si="272"/>
        <v>-101.83375040206204</v>
      </c>
      <c r="BZ364">
        <f t="shared" ca="1" si="261"/>
        <v>191.19488798295663</v>
      </c>
      <c r="CA364" s="6">
        <f t="shared" ca="1" si="262"/>
        <v>0.84635604732746539</v>
      </c>
      <c r="CB364" s="6">
        <f t="shared" ca="1" si="263"/>
        <v>-0.53261753740580986</v>
      </c>
      <c r="CC364" s="6">
        <f t="shared" ca="1" si="264"/>
        <v>-0.56169028072009708</v>
      </c>
      <c r="CD364" s="6">
        <f t="shared" ca="1" si="258"/>
        <v>-0.21131220359405034</v>
      </c>
      <c r="CE364" s="9">
        <f t="shared" ca="1" si="259"/>
        <v>187.11899152682867</v>
      </c>
      <c r="CF364" s="9">
        <f t="shared" ca="1" si="260"/>
        <v>-29.534127181266101</v>
      </c>
      <c r="CG364">
        <f t="shared" ca="1" si="265"/>
        <v>189.43542873068012</v>
      </c>
      <c r="CH364">
        <f t="shared" ca="1" si="266"/>
        <v>0.98777189029859502</v>
      </c>
      <c r="CI364">
        <f t="shared" ca="1" si="267"/>
        <v>-0.15590603816382573</v>
      </c>
      <c r="CJ364">
        <f t="shared" ca="1" si="268"/>
        <v>-0.15654464153612213</v>
      </c>
      <c r="CK364" s="39">
        <f t="shared" ca="1" si="269"/>
        <v>-0.57939856766906284</v>
      </c>
    </row>
    <row r="365" spans="55:89" x14ac:dyDescent="0.25">
      <c r="BW365" s="6">
        <f t="shared" si="270"/>
        <v>6.1086523819801091</v>
      </c>
      <c r="BX365" s="9">
        <f t="shared" ca="1" si="271"/>
        <v>162.64881362060555</v>
      </c>
      <c r="BY365" s="9">
        <f t="shared" ca="1" si="272"/>
        <v>-95.06965636980442</v>
      </c>
      <c r="BZ365">
        <f t="shared" ca="1" si="261"/>
        <v>188.39553108941618</v>
      </c>
      <c r="CA365" s="6">
        <f t="shared" ca="1" si="262"/>
        <v>0.86333689912957257</v>
      </c>
      <c r="CB365" s="6">
        <f t="shared" ca="1" si="263"/>
        <v>-0.50462798039876278</v>
      </c>
      <c r="CC365" s="6">
        <f t="shared" ca="1" si="264"/>
        <v>-0.5289510020728464</v>
      </c>
      <c r="CD365" s="6">
        <f t="shared" ca="1" si="258"/>
        <v>-0.17857292494679966</v>
      </c>
      <c r="CE365" s="9">
        <f t="shared" ca="1" si="259"/>
        <v>187.94885548496154</v>
      </c>
      <c r="CF365" s="9">
        <f t="shared" ca="1" si="260"/>
        <v>-22.770033149008484</v>
      </c>
      <c r="CG365">
        <f t="shared" ca="1" si="265"/>
        <v>189.32312771479852</v>
      </c>
      <c r="CH365">
        <f t="shared" ca="1" si="266"/>
        <v>0.99274112863850839</v>
      </c>
      <c r="CI365">
        <f t="shared" ca="1" si="267"/>
        <v>-0.12027074253342084</v>
      </c>
      <c r="CJ365">
        <f t="shared" ca="1" si="268"/>
        <v>-0.12056260008160716</v>
      </c>
      <c r="CK365" s="39">
        <f t="shared" ca="1" si="269"/>
        <v>-0.54341652621454783</v>
      </c>
    </row>
    <row r="366" spans="55:89" x14ac:dyDescent="0.25">
      <c r="BW366" s="6">
        <f t="shared" si="270"/>
        <v>6.1261056745000522</v>
      </c>
      <c r="BX366" s="9">
        <f t="shared" ca="1" si="271"/>
        <v>163.5061909146641</v>
      </c>
      <c r="BY366" s="9">
        <f t="shared" ca="1" si="272"/>
        <v>-87.601020208354001</v>
      </c>
      <c r="BZ366">
        <f t="shared" ca="1" si="261"/>
        <v>185.49450991597308</v>
      </c>
      <c r="CA366" s="6">
        <f t="shared" ca="1" si="262"/>
        <v>0.8814610792994928</v>
      </c>
      <c r="CB366" s="6">
        <f t="shared" ca="1" si="263"/>
        <v>-0.47225667351576212</v>
      </c>
      <c r="CC366" s="6">
        <f t="shared" ca="1" si="264"/>
        <v>-0.49184917846110332</v>
      </c>
      <c r="CD366" s="6">
        <f t="shared" ca="1" si="258"/>
        <v>-0.14147110133505658</v>
      </c>
      <c r="CE366" s="9">
        <f t="shared" ca="1" si="259"/>
        <v>188.80623277902009</v>
      </c>
      <c r="CF366" s="9">
        <f t="shared" ca="1" si="260"/>
        <v>-15.301396987558064</v>
      </c>
      <c r="CG366">
        <f t="shared" ca="1" si="265"/>
        <v>189.42525250339872</v>
      </c>
      <c r="CH366">
        <f t="shared" ca="1" si="266"/>
        <v>0.99673211614503443</v>
      </c>
      <c r="CI366">
        <f t="shared" ca="1" si="267"/>
        <v>-8.0778020804187778E-2</v>
      </c>
      <c r="CJ366">
        <f t="shared" ca="1" si="268"/>
        <v>-8.0866127046677838E-2</v>
      </c>
      <c r="CK366" s="39">
        <f t="shared" ca="1" si="269"/>
        <v>-0.50372005317961854</v>
      </c>
    </row>
    <row r="367" spans="55:89" x14ac:dyDescent="0.25">
      <c r="BW367" s="6">
        <f t="shared" si="270"/>
        <v>6.1435589670199953</v>
      </c>
      <c r="BX367" s="9">
        <f t="shared" ca="1" si="271"/>
        <v>164.40502015253116</v>
      </c>
      <c r="BY367" s="9">
        <f t="shared" ca="1" si="272"/>
        <v>-79.191541460855831</v>
      </c>
      <c r="BZ367">
        <f t="shared" ca="1" si="261"/>
        <v>182.48372774113486</v>
      </c>
      <c r="CA367" s="6">
        <f t="shared" ca="1" si="262"/>
        <v>0.90092975514918505</v>
      </c>
      <c r="CB367" s="6">
        <f t="shared" ca="1" si="263"/>
        <v>-0.43396494822373549</v>
      </c>
      <c r="CC367" s="6">
        <f t="shared" ca="1" si="264"/>
        <v>-0.44888908777702602</v>
      </c>
      <c r="CD367" s="6">
        <f t="shared" ca="1" si="258"/>
        <v>-9.851101065097928E-2</v>
      </c>
      <c r="CE367" s="9">
        <f t="shared" ca="1" si="259"/>
        <v>189.70506201688715</v>
      </c>
      <c r="CF367" s="9">
        <f t="shared" ca="1" si="260"/>
        <v>-6.8919182400598942</v>
      </c>
      <c r="CG367">
        <f t="shared" ca="1" si="265"/>
        <v>189.83021122007602</v>
      </c>
      <c r="CH367">
        <f t="shared" ca="1" si="266"/>
        <v>0.99934073084371289</v>
      </c>
      <c r="CI367">
        <f t="shared" ca="1" si="267"/>
        <v>-3.6305697579769751E-2</v>
      </c>
      <c r="CJ367">
        <f t="shared" ca="1" si="268"/>
        <v>-3.6313678093202552E-2</v>
      </c>
      <c r="CK367" s="39">
        <f t="shared" ca="1" si="269"/>
        <v>-0.45916760422614328</v>
      </c>
    </row>
    <row r="368" spans="55:89" x14ac:dyDescent="0.25">
      <c r="BW368" s="6">
        <f t="shared" si="270"/>
        <v>6.1610122595399384</v>
      </c>
      <c r="BX368" s="9">
        <f t="shared" ca="1" si="271"/>
        <v>165.3662846088171</v>
      </c>
      <c r="BY368" s="9">
        <f t="shared" ca="1" si="272"/>
        <v>-69.47192248559594</v>
      </c>
      <c r="BZ368">
        <f t="shared" ca="1" si="261"/>
        <v>179.36654119196521</v>
      </c>
      <c r="CA368" s="6">
        <f t="shared" ca="1" si="262"/>
        <v>0.92194610828691581</v>
      </c>
      <c r="CB368" s="6">
        <f t="shared" ca="1" si="263"/>
        <v>-0.3873181811051612</v>
      </c>
      <c r="CC368" s="6">
        <f t="shared" ca="1" si="264"/>
        <v>-0.39772094172416217</v>
      </c>
      <c r="CD368" s="6">
        <f t="shared" ca="1" si="258"/>
        <v>-4.7342864598115431E-2</v>
      </c>
      <c r="CE368" s="9">
        <f t="shared" ca="1" si="259"/>
        <v>190.66632647317309</v>
      </c>
      <c r="CF368" s="9">
        <f t="shared" ca="1" si="260"/>
        <v>2.827700735199997</v>
      </c>
      <c r="CG368">
        <f t="shared" ca="1" si="265"/>
        <v>190.68729360453588</v>
      </c>
      <c r="CH368">
        <f t="shared" ca="1" si="266"/>
        <v>0.99989004442316809</v>
      </c>
      <c r="CI368">
        <f t="shared" ca="1" si="267"/>
        <v>1.4828994012911694E-2</v>
      </c>
      <c r="CJ368">
        <f t="shared" ca="1" si="268"/>
        <v>1.4829537547014453E-2</v>
      </c>
      <c r="CK368" s="39">
        <f t="shared" ca="1" si="269"/>
        <v>-0.40802438858592627</v>
      </c>
    </row>
    <row r="369" spans="75:89" x14ac:dyDescent="0.25">
      <c r="BW369" s="6">
        <f t="shared" si="270"/>
        <v>6.1784655520598815</v>
      </c>
      <c r="BX369" s="9">
        <f t="shared" ca="1" si="271"/>
        <v>166.42323372375557</v>
      </c>
      <c r="BY369" s="9">
        <f t="shared" ca="1" si="272"/>
        <v>-57.826451536163347</v>
      </c>
      <c r="BZ369">
        <f t="shared" ca="1" si="261"/>
        <v>176.18340222715651</v>
      </c>
      <c r="CA369" s="6">
        <f t="shared" ca="1" si="262"/>
        <v>0.9446022248405842</v>
      </c>
      <c r="CB369" s="6">
        <f t="shared" ca="1" si="263"/>
        <v>-0.32821736216449399</v>
      </c>
      <c r="CC369" s="6">
        <f t="shared" ca="1" si="264"/>
        <v>-0.33441577127346311</v>
      </c>
      <c r="CD369" s="6">
        <f t="shared" ca="1" si="258"/>
        <v>1.5962305852583625E-2</v>
      </c>
      <c r="CE369" s="9">
        <f t="shared" ca="1" si="259"/>
        <v>191.72327558811156</v>
      </c>
      <c r="CF369" s="9">
        <f t="shared" ca="1" si="260"/>
        <v>14.47317168463259</v>
      </c>
      <c r="CG369">
        <f t="shared" ca="1" si="265"/>
        <v>192.26878868097086</v>
      </c>
      <c r="CH369">
        <f t="shared" ca="1" si="266"/>
        <v>0.9971627579463016</v>
      </c>
      <c r="CI369">
        <f t="shared" ca="1" si="267"/>
        <v>7.5275720952544922E-2</v>
      </c>
      <c r="CJ369">
        <f t="shared" ca="1" si="268"/>
        <v>7.5346993659979059E-2</v>
      </c>
      <c r="CK369" s="39">
        <f t="shared" ca="1" si="269"/>
        <v>-0.34750693247296166</v>
      </c>
    </row>
    <row r="370" spans="75:89" x14ac:dyDescent="0.25">
      <c r="BW370" s="6">
        <f t="shared" si="270"/>
        <v>6.1959188445798246</v>
      </c>
      <c r="BX370" s="9">
        <f t="shared" ca="1" si="271"/>
        <v>167.63209275641361</v>
      </c>
      <c r="BY370" s="9">
        <f t="shared" ca="1" si="272"/>
        <v>-43.139107625930322</v>
      </c>
      <c r="BZ370">
        <f t="shared" ca="1" si="261"/>
        <v>173.09390841002019</v>
      </c>
      <c r="CA370" s="6">
        <f t="shared" ca="1" si="262"/>
        <v>0.96844593952625546</v>
      </c>
      <c r="CB370" s="6">
        <f t="shared" ca="1" si="263"/>
        <v>-0.24922371920647585</v>
      </c>
      <c r="CC370" s="6">
        <f t="shared" ca="1" si="264"/>
        <v>-0.25187859866628892</v>
      </c>
      <c r="CD370" s="6">
        <f t="shared" ca="1" si="258"/>
        <v>9.8499478459757817E-2</v>
      </c>
      <c r="CE370" s="9">
        <f t="shared" ca="1" si="259"/>
        <v>192.9321346207696</v>
      </c>
      <c r="CF370" s="9">
        <f t="shared" ca="1" si="260"/>
        <v>29.160515594865615</v>
      </c>
      <c r="CG370">
        <f t="shared" ca="1" si="265"/>
        <v>195.12340771697578</v>
      </c>
      <c r="CH370">
        <f t="shared" ca="1" si="266"/>
        <v>0.98876980921025837</v>
      </c>
      <c r="CI370">
        <f t="shared" ca="1" si="267"/>
        <v>0.1494465268726887</v>
      </c>
      <c r="CJ370">
        <f t="shared" ca="1" si="268"/>
        <v>0.15000848973504818</v>
      </c>
      <c r="CK370" s="39">
        <f t="shared" ca="1" si="269"/>
        <v>-0.27284543639789249</v>
      </c>
    </row>
    <row r="371" spans="75:89" x14ac:dyDescent="0.25">
      <c r="BW371" s="6">
        <f t="shared" si="270"/>
        <v>6.2133721370997677</v>
      </c>
      <c r="BX371" s="9">
        <f t="shared" ca="1" si="271"/>
        <v>169.09660945274243</v>
      </c>
      <c r="BY371" s="9">
        <f t="shared" ca="1" si="272"/>
        <v>-23.145199906700114</v>
      </c>
      <c r="BZ371">
        <f t="shared" ca="1" si="261"/>
        <v>170.67326564853209</v>
      </c>
      <c r="CA371" s="6">
        <f t="shared" ca="1" si="262"/>
        <v>0.9907621372931571</v>
      </c>
      <c r="CB371" s="6">
        <f t="shared" ca="1" si="263"/>
        <v>-0.1356111621744151</v>
      </c>
      <c r="CC371" s="6">
        <f t="shared" ca="1" si="264"/>
        <v>-0.13603029711451145</v>
      </c>
      <c r="CD371" s="6">
        <f t="shared" ca="1" si="258"/>
        <v>0.21434778001153529</v>
      </c>
      <c r="CE371" s="9">
        <f t="shared" ca="1" si="259"/>
        <v>194.39665131709842</v>
      </c>
      <c r="CF371" s="9">
        <f t="shared" ca="1" si="260"/>
        <v>49.154423314095823</v>
      </c>
      <c r="CG371">
        <f t="shared" ca="1" si="265"/>
        <v>200.51487569415607</v>
      </c>
      <c r="CH371">
        <f t="shared" ca="1" si="266"/>
        <v>0.96948742902052942</v>
      </c>
      <c r="CI371">
        <f t="shared" ca="1" si="267"/>
        <v>0.24514103077853794</v>
      </c>
      <c r="CJ371">
        <f t="shared" ca="1" si="268"/>
        <v>0.24766515928372018</v>
      </c>
      <c r="CK371" s="39">
        <f t="shared" ca="1" si="269"/>
        <v>-0.17518876684922052</v>
      </c>
    </row>
    <row r="372" spans="75:89" x14ac:dyDescent="0.25">
      <c r="BW372" s="6">
        <f t="shared" si="270"/>
        <v>6.2308254296197108</v>
      </c>
      <c r="BX372" s="9">
        <f t="shared" ca="1" si="271"/>
        <v>170.58111501069112</v>
      </c>
      <c r="BY372" s="9">
        <f t="shared" ca="1" si="272"/>
        <v>-0.33609505910435189</v>
      </c>
      <c r="BZ372">
        <f t="shared" ca="1" si="261"/>
        <v>170.58144611351901</v>
      </c>
      <c r="CA372" s="6">
        <f t="shared" ca="1" si="262"/>
        <v>0.99999805897513805</v>
      </c>
      <c r="CB372" s="6">
        <f t="shared" ca="1" si="263"/>
        <v>-1.9702908303443883E-3</v>
      </c>
      <c r="CC372" s="6">
        <f t="shared" ca="1" si="264"/>
        <v>-1.970292105139874E-3</v>
      </c>
      <c r="CD372" s="6">
        <f t="shared" ca="1" si="258"/>
        <v>0.34840778502090686</v>
      </c>
      <c r="CE372" s="9">
        <f t="shared" ca="1" si="259"/>
        <v>195.88115687504711</v>
      </c>
      <c r="CF372" s="9">
        <f t="shared" ca="1" si="260"/>
        <v>71.963528161691585</v>
      </c>
      <c r="CG372">
        <f t="shared" ca="1" si="265"/>
        <v>208.6819997129254</v>
      </c>
      <c r="CH372">
        <f t="shared" ca="1" si="266"/>
        <v>0.93865861523520067</v>
      </c>
      <c r="CI372">
        <f t="shared" ca="1" si="267"/>
        <v>0.34484779837594343</v>
      </c>
      <c r="CJ372">
        <f t="shared" ca="1" si="268"/>
        <v>0.35207663225908054</v>
      </c>
      <c r="CK372" s="39">
        <f t="shared" ca="1" si="269"/>
        <v>-7.077729387386017E-2</v>
      </c>
    </row>
    <row r="373" spans="75:89" x14ac:dyDescent="0.25">
      <c r="BW373" s="6">
        <f t="shared" si="270"/>
        <v>6.2482787221396539</v>
      </c>
      <c r="BX373" s="9">
        <f t="shared" ca="1" si="271"/>
        <v>171.93845418912389</v>
      </c>
      <c r="BY373" s="9">
        <f t="shared" ca="1" si="272"/>
        <v>28.113761426951157</v>
      </c>
      <c r="BZ373">
        <f t="shared" ca="1" si="261"/>
        <v>174.22174264573576</v>
      </c>
      <c r="CA373" s="6">
        <f t="shared" ca="1" si="262"/>
        <v>0.98689435416075055</v>
      </c>
      <c r="CB373" s="6">
        <f t="shared" ca="1" si="263"/>
        <v>0.16136769728057399</v>
      </c>
      <c r="CC373" s="6">
        <f t="shared" ca="1" si="264"/>
        <v>0.16207635628021635</v>
      </c>
      <c r="CD373" s="6">
        <f t="shared" ca="1" si="258"/>
        <v>0.51245443340626307</v>
      </c>
      <c r="CE373" s="9">
        <f t="shared" ca="1" si="259"/>
        <v>197.23849605347988</v>
      </c>
      <c r="CF373" s="9">
        <f t="shared" ca="1" si="260"/>
        <v>100.41338464774709</v>
      </c>
      <c r="CG373">
        <f t="shared" ca="1" si="265"/>
        <v>221.32752233252648</v>
      </c>
      <c r="CH373">
        <f t="shared" ca="1" si="266"/>
        <v>0.89116118038472047</v>
      </c>
      <c r="CI373">
        <f t="shared" ca="1" si="267"/>
        <v>0.45368684196845704</v>
      </c>
      <c r="CJ373">
        <f t="shared" ca="1" si="268"/>
        <v>0.47089812453284213</v>
      </c>
      <c r="CK373" s="39">
        <f t="shared" ca="1" si="269"/>
        <v>4.8044198399901428E-2</v>
      </c>
    </row>
    <row r="374" spans="75:89" x14ac:dyDescent="0.25">
      <c r="BW374" s="6">
        <f t="shared" si="270"/>
        <v>6.2657320146595969</v>
      </c>
      <c r="BX374" s="9">
        <f t="shared" ca="1" si="271"/>
        <v>172.95989581990216</v>
      </c>
      <c r="BY374" s="9">
        <f t="shared" ca="1" si="272"/>
        <v>58.615882957004416</v>
      </c>
      <c r="BZ374">
        <f t="shared" ca="1" si="261"/>
        <v>182.62241729004862</v>
      </c>
      <c r="CA374" s="6">
        <f t="shared" ca="1" si="262"/>
        <v>0.94709016771582843</v>
      </c>
      <c r="CB374" s="6">
        <f t="shared" ca="1" si="263"/>
        <v>0.32096762175646926</v>
      </c>
      <c r="CC374" s="6">
        <f t="shared" ca="1" si="264"/>
        <v>0.32675098925745399</v>
      </c>
      <c r="CD374" s="6">
        <f t="shared" ca="1" si="258"/>
        <v>0.67712906638350079</v>
      </c>
      <c r="CE374" s="9">
        <f t="shared" ca="1" si="259"/>
        <v>198.25993768425815</v>
      </c>
      <c r="CF374" s="9">
        <f t="shared" ca="1" si="260"/>
        <v>130.91550617780035</v>
      </c>
      <c r="CG374">
        <f t="shared" ca="1" si="265"/>
        <v>237.58340145800508</v>
      </c>
      <c r="CH374">
        <f t="shared" ca="1" si="266"/>
        <v>0.83448564364165945</v>
      </c>
      <c r="CI374">
        <f t="shared" ca="1" si="267"/>
        <v>0.55102968210066983</v>
      </c>
      <c r="CJ374">
        <f t="shared" ca="1" si="268"/>
        <v>0.5835976482078119</v>
      </c>
      <c r="CK374" s="39">
        <f t="shared" ca="1" si="269"/>
        <v>0.1607437220748712</v>
      </c>
    </row>
    <row r="375" spans="75:89" x14ac:dyDescent="0.25">
      <c r="BW375" s="6">
        <f t="shared" si="270"/>
        <v>6.28318530717954</v>
      </c>
      <c r="BX375" s="9">
        <f t="shared" ca="1" si="271"/>
        <v>173.6453068581269</v>
      </c>
      <c r="BY375" s="9">
        <f t="shared" ca="1" si="272"/>
        <v>92.155959910142926</v>
      </c>
      <c r="BZ375">
        <f t="shared" ca="1" si="261"/>
        <v>196.58436748839651</v>
      </c>
      <c r="CA375" s="6">
        <f t="shared" ca="1" si="262"/>
        <v>0.88331187813484913</v>
      </c>
      <c r="CB375" s="6">
        <f t="shared" ca="1" si="263"/>
        <v>0.46878579964188899</v>
      </c>
      <c r="CC375" s="6">
        <f t="shared" ca="1" si="264"/>
        <v>0.48791567598532098</v>
      </c>
      <c r="CD375" s="6">
        <f t="shared" ca="1" si="258"/>
        <v>0.83829375311136767</v>
      </c>
      <c r="CE375" s="9">
        <f t="shared" ca="1" si="259"/>
        <v>198.94534872248289</v>
      </c>
      <c r="CF375" s="9">
        <f t="shared" ca="1" si="260"/>
        <v>164.45558313093886</v>
      </c>
      <c r="CG375">
        <f t="shared" ca="1" si="265"/>
        <v>258.11797806671171</v>
      </c>
      <c r="CH375">
        <f t="shared" ca="1" si="266"/>
        <v>0.77075355313322891</v>
      </c>
      <c r="CI375">
        <f t="shared" ca="1" si="267"/>
        <v>0.63713339288762982</v>
      </c>
      <c r="CJ375">
        <f t="shared" ca="1" si="268"/>
        <v>0.69077329546424493</v>
      </c>
      <c r="CK375" s="39">
        <f t="shared" ca="1" si="269"/>
        <v>0.26791936933130422</v>
      </c>
    </row>
    <row r="376" spans="75:89" x14ac:dyDescent="0.25">
      <c r="BW376" s="6"/>
    </row>
    <row r="377" spans="75:89" x14ac:dyDescent="0.25">
      <c r="BW377" s="6"/>
    </row>
    <row r="378" spans="75:89" x14ac:dyDescent="0.25">
      <c r="BW378" s="6"/>
    </row>
  </sheetData>
  <phoneticPr fontId="3" type="noConversion"/>
  <dataValidations count="4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  <dataValidation type="list" allowBlank="1" showInputMessage="1" showErrorMessage="1" sqref="AE2" xr:uid="{FC993A26-B9CA-4338-9813-199EC9B1DB94}">
      <formula1>"6,8,12,24,36,72,180,360"</formula1>
    </dataValidation>
    <dataValidation type="list" allowBlank="1" showInputMessage="1" showErrorMessage="1" sqref="B1" xr:uid="{9BC63E87-8495-41F0-9100-35456B261A63}">
      <formula1>"PCA_Parabolic,Whitney"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section_method_for_na_vector">
                <anchor moveWithCells="1" sizeWithCells="1">
                  <from>
                    <xdr:col>19</xdr:col>
                    <xdr:colOff>295275</xdr:colOff>
                    <xdr:row>24</xdr:row>
                    <xdr:rowOff>85725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295275</xdr:colOff>
                    <xdr:row>2</xdr:row>
                    <xdr:rowOff>85725</xdr:rowOff>
                  </from>
                  <to>
                    <xdr:col>31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2020-11-12T15:41:58Z</dcterms:modified>
</cp:coreProperties>
</file>