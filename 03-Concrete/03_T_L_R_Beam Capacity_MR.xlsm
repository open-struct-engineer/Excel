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fe6b96fae790869d/Work/In_Development/"/>
    </mc:Choice>
  </mc:AlternateContent>
  <xr:revisionPtr revIDLastSave="2666737" documentId="114_{4C9766C2-934B-FE43-8898-95272A9847CE}" xr6:coauthVersionLast="45" xr6:coauthVersionMax="45" xr10:uidLastSave="{DCA34621-56F6-40A3-9069-3402543756C1}"/>
  <bookViews>
    <workbookView xWindow="-120" yWindow="-120" windowWidth="27930" windowHeight="18240" xr2:uid="{2AFCDE7C-57C4-4CF6-8D68-85BA7869C158}"/>
  </bookViews>
  <sheets>
    <sheet name="L_Section_Capacity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E37" i="1" l="1"/>
  <c r="AV3" i="1"/>
  <c r="AV4" i="1"/>
  <c r="AV5" i="1"/>
  <c r="AV6" i="1"/>
  <c r="AV7" i="1"/>
  <c r="AV8" i="1"/>
  <c r="AV9" i="1"/>
  <c r="AV10" i="1"/>
  <c r="AV11" i="1"/>
  <c r="AV12" i="1"/>
  <c r="AV13" i="1"/>
  <c r="AV14" i="1"/>
  <c r="AV15" i="1"/>
  <c r="AV16" i="1"/>
  <c r="AV17" i="1"/>
  <c r="AV18" i="1"/>
  <c r="AV19" i="1"/>
  <c r="AV20" i="1"/>
  <c r="AV21" i="1"/>
  <c r="AV22" i="1"/>
  <c r="AV23" i="1"/>
  <c r="AV24" i="1"/>
  <c r="AV25" i="1"/>
  <c r="AV26" i="1"/>
  <c r="AV27" i="1"/>
  <c r="AV28" i="1"/>
  <c r="AV29" i="1"/>
  <c r="AV30" i="1"/>
  <c r="AV31" i="1"/>
  <c r="AV32" i="1"/>
  <c r="AV33" i="1"/>
  <c r="AV34" i="1"/>
  <c r="AW34" i="1" s="1"/>
  <c r="AV35" i="1"/>
  <c r="AV36" i="1"/>
  <c r="AV37" i="1"/>
  <c r="AV38" i="1"/>
  <c r="AV39" i="1"/>
  <c r="AV40" i="1"/>
  <c r="AV41" i="1"/>
  <c r="AV42" i="1"/>
  <c r="AW42" i="1" s="1"/>
  <c r="AV43" i="1"/>
  <c r="AV44" i="1"/>
  <c r="AV45" i="1"/>
  <c r="AV46" i="1"/>
  <c r="AV47" i="1"/>
  <c r="AV48" i="1"/>
  <c r="AV49" i="1"/>
  <c r="AV50" i="1"/>
  <c r="AW50" i="1" s="1"/>
  <c r="AV51" i="1"/>
  <c r="AV52" i="1"/>
  <c r="AV53" i="1"/>
  <c r="AV54" i="1"/>
  <c r="AV55" i="1"/>
  <c r="AV56" i="1"/>
  <c r="AV57" i="1"/>
  <c r="AV58" i="1"/>
  <c r="AW58" i="1" s="1"/>
  <c r="AV59" i="1"/>
  <c r="AV60" i="1"/>
  <c r="AV61" i="1"/>
  <c r="AV62" i="1"/>
  <c r="AV63" i="1"/>
  <c r="AV64" i="1"/>
  <c r="AV65" i="1"/>
  <c r="AV66" i="1"/>
  <c r="AW66" i="1" s="1"/>
  <c r="AV67" i="1"/>
  <c r="AV68" i="1"/>
  <c r="AV69" i="1"/>
  <c r="AV70" i="1"/>
  <c r="AV71" i="1"/>
  <c r="AV72" i="1"/>
  <c r="AV73" i="1"/>
  <c r="AV74" i="1"/>
  <c r="AV75" i="1"/>
  <c r="AV76" i="1"/>
  <c r="AV77" i="1"/>
  <c r="AV78" i="1"/>
  <c r="AV79" i="1"/>
  <c r="AV80" i="1"/>
  <c r="AV81" i="1"/>
  <c r="AV82" i="1"/>
  <c r="AV83" i="1"/>
  <c r="AV84" i="1"/>
  <c r="AV85" i="1"/>
  <c r="AV86" i="1"/>
  <c r="AV87" i="1"/>
  <c r="AV88" i="1"/>
  <c r="AV89" i="1"/>
  <c r="AV90" i="1"/>
  <c r="AV91" i="1"/>
  <c r="AV92" i="1"/>
  <c r="AV93" i="1"/>
  <c r="AV94" i="1"/>
  <c r="AV95" i="1"/>
  <c r="AV96" i="1"/>
  <c r="AV97" i="1"/>
  <c r="AV98" i="1"/>
  <c r="AV99" i="1"/>
  <c r="AV100" i="1"/>
  <c r="AV101" i="1"/>
  <c r="AV102" i="1"/>
  <c r="AV103" i="1"/>
  <c r="AV104" i="1"/>
  <c r="AV105" i="1"/>
  <c r="AV106" i="1"/>
  <c r="AW106" i="1" s="1"/>
  <c r="AV107" i="1"/>
  <c r="AV108" i="1"/>
  <c r="AV109" i="1"/>
  <c r="AV110" i="1"/>
  <c r="AV111" i="1"/>
  <c r="AV112" i="1"/>
  <c r="AV113" i="1"/>
  <c r="AV114" i="1"/>
  <c r="AW114" i="1" s="1"/>
  <c r="AV115" i="1"/>
  <c r="AV116" i="1"/>
  <c r="AV117" i="1"/>
  <c r="AV118" i="1"/>
  <c r="AV119" i="1"/>
  <c r="AV120" i="1"/>
  <c r="AV121" i="1"/>
  <c r="AV122" i="1"/>
  <c r="AW122" i="1" s="1"/>
  <c r="AV123" i="1"/>
  <c r="AV124" i="1"/>
  <c r="AV125" i="1"/>
  <c r="AV126" i="1"/>
  <c r="AV127" i="1"/>
  <c r="AV128" i="1"/>
  <c r="AV129" i="1"/>
  <c r="AV130" i="1"/>
  <c r="AW130" i="1" s="1"/>
  <c r="AV131" i="1"/>
  <c r="AV132" i="1"/>
  <c r="AV133" i="1"/>
  <c r="AV134" i="1"/>
  <c r="AV135" i="1"/>
  <c r="AV136" i="1"/>
  <c r="AV137" i="1"/>
  <c r="AV138" i="1"/>
  <c r="AV139" i="1"/>
  <c r="AV140" i="1"/>
  <c r="AV141" i="1"/>
  <c r="AV142" i="1"/>
  <c r="AV143" i="1"/>
  <c r="AV144" i="1"/>
  <c r="AV145" i="1"/>
  <c r="AV146" i="1"/>
  <c r="AV147" i="1"/>
  <c r="AV148" i="1"/>
  <c r="AV149" i="1"/>
  <c r="AV150" i="1"/>
  <c r="AV151" i="1"/>
  <c r="AV152" i="1"/>
  <c r="AV153" i="1"/>
  <c r="AV154" i="1"/>
  <c r="AV155" i="1"/>
  <c r="AV156" i="1"/>
  <c r="AV157" i="1"/>
  <c r="AV158" i="1"/>
  <c r="AV159" i="1"/>
  <c r="AV160" i="1"/>
  <c r="AV161" i="1"/>
  <c r="AV162" i="1"/>
  <c r="AW162" i="1" s="1"/>
  <c r="AV163" i="1"/>
  <c r="AV164" i="1"/>
  <c r="AV165" i="1"/>
  <c r="AV166" i="1"/>
  <c r="AV167" i="1"/>
  <c r="AV168" i="1"/>
  <c r="AV169" i="1"/>
  <c r="AV170" i="1"/>
  <c r="AW170" i="1" s="1"/>
  <c r="AV171" i="1"/>
  <c r="AV172" i="1"/>
  <c r="AV173" i="1"/>
  <c r="AV174" i="1"/>
  <c r="AV175" i="1"/>
  <c r="AV176" i="1"/>
  <c r="AV177" i="1"/>
  <c r="AV178" i="1"/>
  <c r="AW178" i="1" s="1"/>
  <c r="AV179" i="1"/>
  <c r="AV180" i="1"/>
  <c r="AV181" i="1"/>
  <c r="AV182" i="1"/>
  <c r="AV183" i="1"/>
  <c r="AV184" i="1"/>
  <c r="AV185" i="1"/>
  <c r="AV186" i="1"/>
  <c r="AW186" i="1" s="1"/>
  <c r="AV187" i="1"/>
  <c r="AV188" i="1"/>
  <c r="AV189" i="1"/>
  <c r="AV190" i="1"/>
  <c r="AV191" i="1"/>
  <c r="AV192" i="1"/>
  <c r="AV193" i="1"/>
  <c r="AV194" i="1"/>
  <c r="AW194" i="1" s="1"/>
  <c r="AV195" i="1"/>
  <c r="AV196" i="1"/>
  <c r="AV197" i="1"/>
  <c r="AV198" i="1"/>
  <c r="AV199" i="1"/>
  <c r="AV200" i="1"/>
  <c r="AV201" i="1"/>
  <c r="AV202" i="1"/>
  <c r="AV203" i="1"/>
  <c r="AV204" i="1"/>
  <c r="AV205" i="1"/>
  <c r="AV206" i="1"/>
  <c r="AV207" i="1"/>
  <c r="AV208" i="1"/>
  <c r="AV209" i="1"/>
  <c r="AV210" i="1"/>
  <c r="AV211" i="1"/>
  <c r="AV212" i="1"/>
  <c r="AV213" i="1"/>
  <c r="AV214" i="1"/>
  <c r="AV215" i="1"/>
  <c r="AV216" i="1"/>
  <c r="AV217" i="1"/>
  <c r="AV218" i="1"/>
  <c r="AV219" i="1"/>
  <c r="AV220" i="1"/>
  <c r="AV221" i="1"/>
  <c r="AV222" i="1"/>
  <c r="AV223" i="1"/>
  <c r="AV224" i="1"/>
  <c r="AV225" i="1"/>
  <c r="AV226" i="1"/>
  <c r="AW226" i="1" s="1"/>
  <c r="AV227" i="1"/>
  <c r="AV228" i="1"/>
  <c r="AV229" i="1"/>
  <c r="AV230" i="1"/>
  <c r="AV231" i="1"/>
  <c r="AV232" i="1"/>
  <c r="AV233" i="1"/>
  <c r="AV234" i="1"/>
  <c r="AW234" i="1" s="1"/>
  <c r="AV235" i="1"/>
  <c r="AV236" i="1"/>
  <c r="AV237" i="1"/>
  <c r="AV238" i="1"/>
  <c r="AV239" i="1"/>
  <c r="AV240" i="1"/>
  <c r="AV241" i="1"/>
  <c r="AV242" i="1"/>
  <c r="AW242" i="1" s="1"/>
  <c r="AV243" i="1"/>
  <c r="AV244" i="1"/>
  <c r="AV245" i="1"/>
  <c r="AV246" i="1"/>
  <c r="AV247" i="1"/>
  <c r="AV248" i="1"/>
  <c r="AV249" i="1"/>
  <c r="AV250" i="1"/>
  <c r="AW250" i="1" s="1"/>
  <c r="AV251" i="1"/>
  <c r="AV252" i="1"/>
  <c r="AV253" i="1"/>
  <c r="AV254" i="1"/>
  <c r="AV255" i="1"/>
  <c r="AV256" i="1"/>
  <c r="AV257" i="1"/>
  <c r="AV258" i="1"/>
  <c r="AW258" i="1" s="1"/>
  <c r="AV259" i="1"/>
  <c r="AV260" i="1"/>
  <c r="AV261" i="1"/>
  <c r="AV262" i="1"/>
  <c r="AV263" i="1"/>
  <c r="AV264" i="1"/>
  <c r="AV265" i="1"/>
  <c r="AV266" i="1"/>
  <c r="AV267" i="1"/>
  <c r="AV268" i="1"/>
  <c r="AV269" i="1"/>
  <c r="AV270" i="1"/>
  <c r="AV271" i="1"/>
  <c r="AV272" i="1"/>
  <c r="AV273" i="1"/>
  <c r="AV274" i="1"/>
  <c r="AV275" i="1"/>
  <c r="AV276" i="1"/>
  <c r="AV277" i="1"/>
  <c r="AV278" i="1"/>
  <c r="AV279" i="1"/>
  <c r="AV280" i="1"/>
  <c r="AV281" i="1"/>
  <c r="AV282" i="1"/>
  <c r="AV283" i="1"/>
  <c r="AV284" i="1"/>
  <c r="AV285" i="1"/>
  <c r="AV286" i="1"/>
  <c r="AV287" i="1"/>
  <c r="AV288" i="1"/>
  <c r="AV289" i="1"/>
  <c r="AV290" i="1"/>
  <c r="AW290" i="1" s="1"/>
  <c r="AV291" i="1"/>
  <c r="AV292" i="1"/>
  <c r="AV293" i="1"/>
  <c r="AV294" i="1"/>
  <c r="AV295" i="1"/>
  <c r="AV296" i="1"/>
  <c r="AV297" i="1"/>
  <c r="AV298" i="1"/>
  <c r="AW298" i="1" s="1"/>
  <c r="AV299" i="1"/>
  <c r="AV300" i="1"/>
  <c r="AV301" i="1"/>
  <c r="AV302" i="1"/>
  <c r="AV303" i="1"/>
  <c r="AV304" i="1"/>
  <c r="AV305" i="1"/>
  <c r="AV306" i="1"/>
  <c r="AW306" i="1" s="1"/>
  <c r="AV307" i="1"/>
  <c r="AV308" i="1"/>
  <c r="AV309" i="1"/>
  <c r="AV310" i="1"/>
  <c r="AV311" i="1"/>
  <c r="AV312" i="1"/>
  <c r="AV313" i="1"/>
  <c r="AV314" i="1"/>
  <c r="AW314" i="1" s="1"/>
  <c r="AV315" i="1"/>
  <c r="AV316" i="1"/>
  <c r="AV317" i="1"/>
  <c r="AV318" i="1"/>
  <c r="AV319" i="1"/>
  <c r="AV320" i="1"/>
  <c r="AV321" i="1"/>
  <c r="AV322" i="1"/>
  <c r="AV323" i="1"/>
  <c r="AV324" i="1"/>
  <c r="AV325" i="1"/>
  <c r="AV326" i="1"/>
  <c r="AV327" i="1"/>
  <c r="AV328" i="1"/>
  <c r="AV329" i="1"/>
  <c r="AV330" i="1"/>
  <c r="AV331" i="1"/>
  <c r="AV332" i="1"/>
  <c r="AV333" i="1"/>
  <c r="AV334" i="1"/>
  <c r="AV335" i="1"/>
  <c r="AV336" i="1"/>
  <c r="AV337" i="1"/>
  <c r="AV338" i="1"/>
  <c r="AV339" i="1"/>
  <c r="AV340" i="1"/>
  <c r="AV341" i="1"/>
  <c r="AV342" i="1"/>
  <c r="AV343" i="1"/>
  <c r="AV344" i="1"/>
  <c r="AV345" i="1"/>
  <c r="AV346" i="1"/>
  <c r="AV347" i="1"/>
  <c r="AV348" i="1"/>
  <c r="AV349" i="1"/>
  <c r="AV350" i="1"/>
  <c r="AV351" i="1"/>
  <c r="AV352" i="1"/>
  <c r="AV353" i="1"/>
  <c r="AV354" i="1"/>
  <c r="AV355" i="1"/>
  <c r="AV356" i="1"/>
  <c r="AV357" i="1"/>
  <c r="AV358" i="1"/>
  <c r="AV359" i="1"/>
  <c r="AV360" i="1"/>
  <c r="AV361" i="1"/>
  <c r="AV362" i="1"/>
  <c r="AV2" i="1"/>
  <c r="U13" i="1"/>
  <c r="AX3" i="1" s="1"/>
  <c r="I3" i="1"/>
  <c r="I2" i="1"/>
  <c r="AX362" i="1" l="1"/>
  <c r="AX354" i="1"/>
  <c r="AX346" i="1"/>
  <c r="AX338" i="1"/>
  <c r="AX330" i="1"/>
  <c r="AX322" i="1"/>
  <c r="AX314" i="1"/>
  <c r="AX306" i="1"/>
  <c r="AX298" i="1"/>
  <c r="AX290" i="1"/>
  <c r="AX282" i="1"/>
  <c r="AX274" i="1"/>
  <c r="AX266" i="1"/>
  <c r="AX258" i="1"/>
  <c r="AX250" i="1"/>
  <c r="AX242" i="1"/>
  <c r="AX234" i="1"/>
  <c r="AX226" i="1"/>
  <c r="AX218" i="1"/>
  <c r="AX210" i="1"/>
  <c r="AX202" i="1"/>
  <c r="AX194" i="1"/>
  <c r="AX186" i="1"/>
  <c r="AX178" i="1"/>
  <c r="AX170" i="1"/>
  <c r="AX162" i="1"/>
  <c r="AX154" i="1"/>
  <c r="AX146" i="1"/>
  <c r="AX138" i="1"/>
  <c r="AX130" i="1"/>
  <c r="AX122" i="1"/>
  <c r="AX114" i="1"/>
  <c r="AX106" i="1"/>
  <c r="AX98" i="1"/>
  <c r="AX90" i="1"/>
  <c r="AX82" i="1"/>
  <c r="AX74" i="1"/>
  <c r="AX66" i="1"/>
  <c r="AX58" i="1"/>
  <c r="AX50" i="1"/>
  <c r="AX42" i="1"/>
  <c r="AX34" i="1"/>
  <c r="AX26" i="1"/>
  <c r="AX18" i="1"/>
  <c r="AX10" i="1"/>
  <c r="AX361" i="1"/>
  <c r="AX353" i="1"/>
  <c r="AX345" i="1"/>
  <c r="AX337" i="1"/>
  <c r="AX329" i="1"/>
  <c r="AX321" i="1"/>
  <c r="AX313" i="1"/>
  <c r="AX305" i="1"/>
  <c r="AX297" i="1"/>
  <c r="AX289" i="1"/>
  <c r="AX281" i="1"/>
  <c r="AX273" i="1"/>
  <c r="AX265" i="1"/>
  <c r="AX257" i="1"/>
  <c r="AX249" i="1"/>
  <c r="AX241" i="1"/>
  <c r="AX233" i="1"/>
  <c r="AX225" i="1"/>
  <c r="AX217" i="1"/>
  <c r="AX209" i="1"/>
  <c r="AX201" i="1"/>
  <c r="AX193" i="1"/>
  <c r="AX185" i="1"/>
  <c r="AX177" i="1"/>
  <c r="AX169" i="1"/>
  <c r="AX161" i="1"/>
  <c r="AX153" i="1"/>
  <c r="AX145" i="1"/>
  <c r="AX137" i="1"/>
  <c r="AX129" i="1"/>
  <c r="AX121" i="1"/>
  <c r="AX113" i="1"/>
  <c r="AX105" i="1"/>
  <c r="AX97" i="1"/>
  <c r="AX89" i="1"/>
  <c r="AX81" i="1"/>
  <c r="AX73" i="1"/>
  <c r="AX65" i="1"/>
  <c r="AX57" i="1"/>
  <c r="AX49" i="1"/>
  <c r="AX41" i="1"/>
  <c r="AX33" i="1"/>
  <c r="AX25" i="1"/>
  <c r="AX17" i="1"/>
  <c r="AX9" i="1"/>
  <c r="AX360" i="1"/>
  <c r="AX352" i="1"/>
  <c r="AX344" i="1"/>
  <c r="AX336" i="1"/>
  <c r="AX328" i="1"/>
  <c r="AX320" i="1"/>
  <c r="AX312" i="1"/>
  <c r="AX304" i="1"/>
  <c r="AX296" i="1"/>
  <c r="AX288" i="1"/>
  <c r="AX280" i="1"/>
  <c r="AX272" i="1"/>
  <c r="AX264" i="1"/>
  <c r="AX256" i="1"/>
  <c r="AX248" i="1"/>
  <c r="AX240" i="1"/>
  <c r="AX232" i="1"/>
  <c r="AX224" i="1"/>
  <c r="AX216" i="1"/>
  <c r="AX208" i="1"/>
  <c r="AX200" i="1"/>
  <c r="AX192" i="1"/>
  <c r="AX184" i="1"/>
  <c r="AX176" i="1"/>
  <c r="AX168" i="1"/>
  <c r="AX160" i="1"/>
  <c r="AX152" i="1"/>
  <c r="AX144" i="1"/>
  <c r="AX136" i="1"/>
  <c r="AX128" i="1"/>
  <c r="AX120" i="1"/>
  <c r="AX112" i="1"/>
  <c r="AX104" i="1"/>
  <c r="AX96" i="1"/>
  <c r="AX88" i="1"/>
  <c r="AX80" i="1"/>
  <c r="AX72" i="1"/>
  <c r="AX64" i="1"/>
  <c r="AX56" i="1"/>
  <c r="AX48" i="1"/>
  <c r="AX40" i="1"/>
  <c r="AX32" i="1"/>
  <c r="AX24" i="1"/>
  <c r="AX16" i="1"/>
  <c r="AX8" i="1"/>
  <c r="AX359" i="1"/>
  <c r="AX351" i="1"/>
  <c r="AX343" i="1"/>
  <c r="AX335" i="1"/>
  <c r="AX327" i="1"/>
  <c r="AX319" i="1"/>
  <c r="AX311" i="1"/>
  <c r="AX303" i="1"/>
  <c r="AX295" i="1"/>
  <c r="AX287" i="1"/>
  <c r="AX279" i="1"/>
  <c r="AX271" i="1"/>
  <c r="AX263" i="1"/>
  <c r="AX255" i="1"/>
  <c r="AX247" i="1"/>
  <c r="AX239" i="1"/>
  <c r="AX231" i="1"/>
  <c r="AX223" i="1"/>
  <c r="AX215" i="1"/>
  <c r="AX207" i="1"/>
  <c r="AX199" i="1"/>
  <c r="AX191" i="1"/>
  <c r="AX183" i="1"/>
  <c r="AX175" i="1"/>
  <c r="AX167" i="1"/>
  <c r="AX159" i="1"/>
  <c r="AX151" i="1"/>
  <c r="AX143" i="1"/>
  <c r="AX135" i="1"/>
  <c r="AX127" i="1"/>
  <c r="AX119" i="1"/>
  <c r="AX111" i="1"/>
  <c r="AX103" i="1"/>
  <c r="AX95" i="1"/>
  <c r="AX87" i="1"/>
  <c r="AX79" i="1"/>
  <c r="AX71" i="1"/>
  <c r="AX63" i="1"/>
  <c r="AX55" i="1"/>
  <c r="AX47" i="1"/>
  <c r="AX39" i="1"/>
  <c r="AX31" i="1"/>
  <c r="AX23" i="1"/>
  <c r="AX15" i="1"/>
  <c r="AX7" i="1"/>
  <c r="AX358" i="1"/>
  <c r="AX350" i="1"/>
  <c r="AX342" i="1"/>
  <c r="AX334" i="1"/>
  <c r="AX326" i="1"/>
  <c r="AX318" i="1"/>
  <c r="AX310" i="1"/>
  <c r="AX302" i="1"/>
  <c r="AX294" i="1"/>
  <c r="AX286" i="1"/>
  <c r="AX278" i="1"/>
  <c r="AX270" i="1"/>
  <c r="AX262" i="1"/>
  <c r="AX254" i="1"/>
  <c r="AX246" i="1"/>
  <c r="AX238" i="1"/>
  <c r="AX230" i="1"/>
  <c r="AX222" i="1"/>
  <c r="AX214" i="1"/>
  <c r="AX206" i="1"/>
  <c r="AX198" i="1"/>
  <c r="AX190" i="1"/>
  <c r="AX182" i="1"/>
  <c r="AX174" i="1"/>
  <c r="AX166" i="1"/>
  <c r="AX158" i="1"/>
  <c r="AX150" i="1"/>
  <c r="AX142" i="1"/>
  <c r="AX134" i="1"/>
  <c r="AX126" i="1"/>
  <c r="AX118" i="1"/>
  <c r="AX110" i="1"/>
  <c r="AX102" i="1"/>
  <c r="AX94" i="1"/>
  <c r="AX86" i="1"/>
  <c r="AX78" i="1"/>
  <c r="AX70" i="1"/>
  <c r="AX62" i="1"/>
  <c r="AX54" i="1"/>
  <c r="AX46" i="1"/>
  <c r="AX38" i="1"/>
  <c r="AX30" i="1"/>
  <c r="AX22" i="1"/>
  <c r="AX14" i="1"/>
  <c r="AX6" i="1"/>
  <c r="AX357" i="1"/>
  <c r="AX349" i="1"/>
  <c r="AX341" i="1"/>
  <c r="AX333" i="1"/>
  <c r="AX325" i="1"/>
  <c r="AX317" i="1"/>
  <c r="AX309" i="1"/>
  <c r="AX301" i="1"/>
  <c r="AX293" i="1"/>
  <c r="AX285" i="1"/>
  <c r="AX277" i="1"/>
  <c r="AX269" i="1"/>
  <c r="AX261" i="1"/>
  <c r="AX253" i="1"/>
  <c r="AX245" i="1"/>
  <c r="AX237" i="1"/>
  <c r="AX229" i="1"/>
  <c r="AX221" i="1"/>
  <c r="AX213" i="1"/>
  <c r="AX205" i="1"/>
  <c r="AX197" i="1"/>
  <c r="AX189" i="1"/>
  <c r="AX181" i="1"/>
  <c r="AX173" i="1"/>
  <c r="AX165" i="1"/>
  <c r="AX157" i="1"/>
  <c r="AX149" i="1"/>
  <c r="AX141" i="1"/>
  <c r="AX133" i="1"/>
  <c r="AX125" i="1"/>
  <c r="AX117" i="1"/>
  <c r="AX109" i="1"/>
  <c r="AX101" i="1"/>
  <c r="AX93" i="1"/>
  <c r="AX85" i="1"/>
  <c r="AX77" i="1"/>
  <c r="AX69" i="1"/>
  <c r="AX61" i="1"/>
  <c r="AX53" i="1"/>
  <c r="AX45" i="1"/>
  <c r="AX37" i="1"/>
  <c r="AX29" i="1"/>
  <c r="AX21" i="1"/>
  <c r="AX13" i="1"/>
  <c r="AX5" i="1"/>
  <c r="AX356" i="1"/>
  <c r="AX348" i="1"/>
  <c r="AX340" i="1"/>
  <c r="AX332" i="1"/>
  <c r="AX324" i="1"/>
  <c r="AX316" i="1"/>
  <c r="AX308" i="1"/>
  <c r="AX300" i="1"/>
  <c r="AX292" i="1"/>
  <c r="AX284" i="1"/>
  <c r="AX276" i="1"/>
  <c r="AX268" i="1"/>
  <c r="AX260" i="1"/>
  <c r="AX252" i="1"/>
  <c r="AX244" i="1"/>
  <c r="AX236" i="1"/>
  <c r="AX228" i="1"/>
  <c r="AX220" i="1"/>
  <c r="AX212" i="1"/>
  <c r="AX204" i="1"/>
  <c r="AX196" i="1"/>
  <c r="AX188" i="1"/>
  <c r="AX180" i="1"/>
  <c r="AX172" i="1"/>
  <c r="AX164" i="1"/>
  <c r="AX156" i="1"/>
  <c r="AX148" i="1"/>
  <c r="AX140" i="1"/>
  <c r="AX132" i="1"/>
  <c r="AX124" i="1"/>
  <c r="AX116" i="1"/>
  <c r="AX108" i="1"/>
  <c r="AX100" i="1"/>
  <c r="AX92" i="1"/>
  <c r="AX84" i="1"/>
  <c r="AX76" i="1"/>
  <c r="AX68" i="1"/>
  <c r="AX60" i="1"/>
  <c r="AX52" i="1"/>
  <c r="AX44" i="1"/>
  <c r="AX36" i="1"/>
  <c r="AX28" i="1"/>
  <c r="AX20" i="1"/>
  <c r="AX12" i="1"/>
  <c r="AX4" i="1"/>
  <c r="AX2" i="1"/>
  <c r="AX355" i="1"/>
  <c r="AX347" i="1"/>
  <c r="AX339" i="1"/>
  <c r="AX331" i="1"/>
  <c r="AX323" i="1"/>
  <c r="AX315" i="1"/>
  <c r="AX307" i="1"/>
  <c r="AX299" i="1"/>
  <c r="AX291" i="1"/>
  <c r="AX283" i="1"/>
  <c r="AX275" i="1"/>
  <c r="AX267" i="1"/>
  <c r="AX259" i="1"/>
  <c r="AX251" i="1"/>
  <c r="AX243" i="1"/>
  <c r="AX235" i="1"/>
  <c r="AX227" i="1"/>
  <c r="AX219" i="1"/>
  <c r="AX211" i="1"/>
  <c r="AX203" i="1"/>
  <c r="AX195" i="1"/>
  <c r="AX187" i="1"/>
  <c r="AX179" i="1"/>
  <c r="AX171" i="1"/>
  <c r="AX163" i="1"/>
  <c r="AX155" i="1"/>
  <c r="AX147" i="1"/>
  <c r="AX139" i="1"/>
  <c r="AX131" i="1"/>
  <c r="AX123" i="1"/>
  <c r="AX115" i="1"/>
  <c r="AX107" i="1"/>
  <c r="AX99" i="1"/>
  <c r="AX91" i="1"/>
  <c r="AX83" i="1"/>
  <c r="AX75" i="1"/>
  <c r="AX67" i="1"/>
  <c r="AX59" i="1"/>
  <c r="AX51" i="1"/>
  <c r="AX43" i="1"/>
  <c r="AX35" i="1"/>
  <c r="AX27" i="1"/>
  <c r="AX19" i="1"/>
  <c r="AX11" i="1"/>
  <c r="AD46" i="1"/>
  <c r="AW274" i="1"/>
  <c r="AW210" i="1"/>
  <c r="AW146" i="1"/>
  <c r="AW82" i="1"/>
  <c r="AW18" i="1"/>
  <c r="AW263" i="1"/>
  <c r="AW199" i="1"/>
  <c r="AW135" i="1"/>
  <c r="AW87" i="1"/>
  <c r="AW7" i="1"/>
  <c r="AW320" i="1"/>
  <c r="AW312" i="1"/>
  <c r="AW304" i="1"/>
  <c r="AW296" i="1"/>
  <c r="AW288" i="1"/>
  <c r="AW280" i="1"/>
  <c r="AW272" i="1"/>
  <c r="AW264" i="1"/>
  <c r="AW256" i="1"/>
  <c r="AW248" i="1"/>
  <c r="AW240" i="1"/>
  <c r="AW232" i="1"/>
  <c r="AW224" i="1"/>
  <c r="AW216" i="1"/>
  <c r="AW208" i="1"/>
  <c r="AW200" i="1"/>
  <c r="AW192" i="1"/>
  <c r="AW184" i="1"/>
  <c r="AW176" i="1"/>
  <c r="AW168" i="1"/>
  <c r="AW160" i="1"/>
  <c r="AW152" i="1"/>
  <c r="AW144" i="1"/>
  <c r="AW136" i="1"/>
  <c r="AW128" i="1"/>
  <c r="AW120" i="1"/>
  <c r="AW112" i="1"/>
  <c r="AW104" i="1"/>
  <c r="AW96" i="1"/>
  <c r="AW88" i="1"/>
  <c r="AW80" i="1"/>
  <c r="AW72" i="1"/>
  <c r="AW64" i="1"/>
  <c r="AW56" i="1"/>
  <c r="AW48" i="1"/>
  <c r="AW40" i="1"/>
  <c r="AW32" i="1"/>
  <c r="AW24" i="1"/>
  <c r="AW16" i="1"/>
  <c r="AW8" i="1"/>
  <c r="AW362" i="1"/>
  <c r="AW354" i="1"/>
  <c r="AW346" i="1"/>
  <c r="AW338" i="1"/>
  <c r="AW330" i="1"/>
  <c r="AW322" i="1"/>
  <c r="AW282" i="1"/>
  <c r="AW218" i="1"/>
  <c r="AW154" i="1"/>
  <c r="AW90" i="1"/>
  <c r="AW26" i="1"/>
  <c r="AW239" i="1"/>
  <c r="AW175" i="1"/>
  <c r="AW111" i="1"/>
  <c r="AW71" i="1"/>
  <c r="AW15" i="1"/>
  <c r="AW361" i="1"/>
  <c r="AW353" i="1"/>
  <c r="AW345" i="1"/>
  <c r="AW337" i="1"/>
  <c r="AW329" i="1"/>
  <c r="AW319" i="1"/>
  <c r="AW295" i="1"/>
  <c r="AW231" i="1"/>
  <c r="AW159" i="1"/>
  <c r="AW55" i="1"/>
  <c r="AW318" i="1"/>
  <c r="AW310" i="1"/>
  <c r="AW302" i="1"/>
  <c r="AW294" i="1"/>
  <c r="AW286" i="1"/>
  <c r="AW278" i="1"/>
  <c r="AW270" i="1"/>
  <c r="AW262" i="1"/>
  <c r="AW254" i="1"/>
  <c r="AW246" i="1"/>
  <c r="AW238" i="1"/>
  <c r="AW230" i="1"/>
  <c r="AW222" i="1"/>
  <c r="AW214" i="1"/>
  <c r="AW206" i="1"/>
  <c r="AW198" i="1"/>
  <c r="AW190" i="1"/>
  <c r="AW182" i="1"/>
  <c r="AW174" i="1"/>
  <c r="AW166" i="1"/>
  <c r="AW158" i="1"/>
  <c r="AW150" i="1"/>
  <c r="AW142" i="1"/>
  <c r="AW134" i="1"/>
  <c r="AW126" i="1"/>
  <c r="AW118" i="1"/>
  <c r="AW110" i="1"/>
  <c r="AW102" i="1"/>
  <c r="AW94" i="1"/>
  <c r="AW86" i="1"/>
  <c r="AW78" i="1"/>
  <c r="AW70" i="1"/>
  <c r="AW62" i="1"/>
  <c r="AW54" i="1"/>
  <c r="AW46" i="1"/>
  <c r="AW38" i="1"/>
  <c r="AW30" i="1"/>
  <c r="AW22" i="1"/>
  <c r="AW14" i="1"/>
  <c r="AW6" i="1"/>
  <c r="AW360" i="1"/>
  <c r="AW352" i="1"/>
  <c r="AW344" i="1"/>
  <c r="AW336" i="1"/>
  <c r="AW328" i="1"/>
  <c r="AW266" i="1"/>
  <c r="AW202" i="1"/>
  <c r="AW138" i="1"/>
  <c r="AW74" i="1"/>
  <c r="AW10" i="1"/>
  <c r="AW271" i="1"/>
  <c r="AW207" i="1"/>
  <c r="AW143" i="1"/>
  <c r="AW95" i="1"/>
  <c r="AW23" i="1"/>
  <c r="AW317" i="1"/>
  <c r="AW309" i="1"/>
  <c r="AW301" i="1"/>
  <c r="AW293" i="1"/>
  <c r="AW285" i="1"/>
  <c r="AW277" i="1"/>
  <c r="AW269" i="1"/>
  <c r="AW261" i="1"/>
  <c r="AW253" i="1"/>
  <c r="AW245" i="1"/>
  <c r="AW237" i="1"/>
  <c r="AW229" i="1"/>
  <c r="AW221" i="1"/>
  <c r="AW213" i="1"/>
  <c r="AW205" i="1"/>
  <c r="AW197" i="1"/>
  <c r="AW189" i="1"/>
  <c r="AW181" i="1"/>
  <c r="AW173" i="1"/>
  <c r="AW165" i="1"/>
  <c r="AW157" i="1"/>
  <c r="AW149" i="1"/>
  <c r="AW141" i="1"/>
  <c r="AW133" i="1"/>
  <c r="AW125" i="1"/>
  <c r="AW117" i="1"/>
  <c r="AW109" i="1"/>
  <c r="AW101" i="1"/>
  <c r="AW93" i="1"/>
  <c r="AW85" i="1"/>
  <c r="AW77" i="1"/>
  <c r="AW69" i="1"/>
  <c r="AW61" i="1"/>
  <c r="AW53" i="1"/>
  <c r="AW45" i="1"/>
  <c r="AW37" i="1"/>
  <c r="AW29" i="1"/>
  <c r="AW21" i="1"/>
  <c r="AW13" i="1"/>
  <c r="AW5" i="1"/>
  <c r="AW359" i="1"/>
  <c r="AW351" i="1"/>
  <c r="AW343" i="1"/>
  <c r="AW335" i="1"/>
  <c r="AW327" i="1"/>
  <c r="AW311" i="1"/>
  <c r="AW279" i="1"/>
  <c r="AW215" i="1"/>
  <c r="AW167" i="1"/>
  <c r="AW103" i="1"/>
  <c r="AW31" i="1"/>
  <c r="AW316" i="1"/>
  <c r="AW308" i="1"/>
  <c r="AW300" i="1"/>
  <c r="AW292" i="1"/>
  <c r="AW284" i="1"/>
  <c r="AW276" i="1"/>
  <c r="AW268" i="1"/>
  <c r="AW260" i="1"/>
  <c r="AW252" i="1"/>
  <c r="AW244" i="1"/>
  <c r="AW236" i="1"/>
  <c r="AW228" i="1"/>
  <c r="AW220" i="1"/>
  <c r="AW212" i="1"/>
  <c r="AW204" i="1"/>
  <c r="AW196" i="1"/>
  <c r="AW188" i="1"/>
  <c r="AW180" i="1"/>
  <c r="AW172" i="1"/>
  <c r="AW164" i="1"/>
  <c r="AW156" i="1"/>
  <c r="AW148" i="1"/>
  <c r="AW140" i="1"/>
  <c r="AW132" i="1"/>
  <c r="AW124" i="1"/>
  <c r="AW116" i="1"/>
  <c r="AW108" i="1"/>
  <c r="AW100" i="1"/>
  <c r="AW92" i="1"/>
  <c r="AW84" i="1"/>
  <c r="AW76" i="1"/>
  <c r="AW68" i="1"/>
  <c r="AW60" i="1"/>
  <c r="AW52" i="1"/>
  <c r="AW44" i="1"/>
  <c r="AW36" i="1"/>
  <c r="AW28" i="1"/>
  <c r="AW20" i="1"/>
  <c r="AW12" i="1"/>
  <c r="AW4" i="1"/>
  <c r="AW358" i="1"/>
  <c r="AW350" i="1"/>
  <c r="AW342" i="1"/>
  <c r="AW334" i="1"/>
  <c r="AW326" i="1"/>
  <c r="AW287" i="1"/>
  <c r="AW223" i="1"/>
  <c r="AW151" i="1"/>
  <c r="AW47" i="1"/>
  <c r="AW315" i="1"/>
  <c r="AW307" i="1"/>
  <c r="AW299" i="1"/>
  <c r="AW291" i="1"/>
  <c r="AW283" i="1"/>
  <c r="AW275" i="1"/>
  <c r="AW267" i="1"/>
  <c r="AW259" i="1"/>
  <c r="AW251" i="1"/>
  <c r="AW243" i="1"/>
  <c r="AW235" i="1"/>
  <c r="AW227" i="1"/>
  <c r="AW219" i="1"/>
  <c r="AW211" i="1"/>
  <c r="AW203" i="1"/>
  <c r="AW195" i="1"/>
  <c r="AW187" i="1"/>
  <c r="AW179" i="1"/>
  <c r="AW171" i="1"/>
  <c r="AW163" i="1"/>
  <c r="AW155" i="1"/>
  <c r="AW147" i="1"/>
  <c r="AW139" i="1"/>
  <c r="AW131" i="1"/>
  <c r="AW123" i="1"/>
  <c r="AW115" i="1"/>
  <c r="AW107" i="1"/>
  <c r="AW99" i="1"/>
  <c r="AW91" i="1"/>
  <c r="AW83" i="1"/>
  <c r="AW75" i="1"/>
  <c r="AW67" i="1"/>
  <c r="AW59" i="1"/>
  <c r="AW51" i="1"/>
  <c r="AW43" i="1"/>
  <c r="AW35" i="1"/>
  <c r="AW27" i="1"/>
  <c r="AW19" i="1"/>
  <c r="AW11" i="1"/>
  <c r="AW3" i="1"/>
  <c r="AW357" i="1"/>
  <c r="AW349" i="1"/>
  <c r="AW341" i="1"/>
  <c r="AW333" i="1"/>
  <c r="AW325" i="1"/>
  <c r="AW303" i="1"/>
  <c r="AW255" i="1"/>
  <c r="AW183" i="1"/>
  <c r="AW119" i="1"/>
  <c r="AW79" i="1"/>
  <c r="AW39" i="1"/>
  <c r="AW2" i="1"/>
  <c r="AW356" i="1"/>
  <c r="AW348" i="1"/>
  <c r="AW340" i="1"/>
  <c r="AW332" i="1"/>
  <c r="AW324" i="1"/>
  <c r="AW247" i="1"/>
  <c r="AW191" i="1"/>
  <c r="AW127" i="1"/>
  <c r="AW63" i="1"/>
  <c r="AW321" i="1"/>
  <c r="AW313" i="1"/>
  <c r="AW305" i="1"/>
  <c r="AW297" i="1"/>
  <c r="AW289" i="1"/>
  <c r="AW281" i="1"/>
  <c r="AW273" i="1"/>
  <c r="AW265" i="1"/>
  <c r="AW257" i="1"/>
  <c r="AW249" i="1"/>
  <c r="AW241" i="1"/>
  <c r="AW233" i="1"/>
  <c r="AW225" i="1"/>
  <c r="AW217" i="1"/>
  <c r="AW209" i="1"/>
  <c r="AW201" i="1"/>
  <c r="AW193" i="1"/>
  <c r="AW185" i="1"/>
  <c r="AW177" i="1"/>
  <c r="AW169" i="1"/>
  <c r="AW161" i="1"/>
  <c r="AW153" i="1"/>
  <c r="AW145" i="1"/>
  <c r="AW137" i="1"/>
  <c r="AW129" i="1"/>
  <c r="AW121" i="1"/>
  <c r="AW113" i="1"/>
  <c r="AW105" i="1"/>
  <c r="AW97" i="1"/>
  <c r="AW89" i="1"/>
  <c r="AW81" i="1"/>
  <c r="AW73" i="1"/>
  <c r="AW65" i="1"/>
  <c r="AW57" i="1"/>
  <c r="AW49" i="1"/>
  <c r="AW41" i="1"/>
  <c r="AW33" i="1"/>
  <c r="AW25" i="1"/>
  <c r="AW17" i="1"/>
  <c r="AW9" i="1"/>
  <c r="AW355" i="1"/>
  <c r="AW347" i="1"/>
  <c r="AW339" i="1"/>
  <c r="AW331" i="1"/>
  <c r="AW323" i="1"/>
  <c r="AW98" i="1"/>
  <c r="AD45" i="1"/>
  <c r="AU363" i="1" l="1"/>
  <c r="AU364" i="1" s="1"/>
  <c r="AT363" i="1"/>
  <c r="AT364" i="1" s="1"/>
  <c r="BG374" i="1"/>
  <c r="BG375" i="1"/>
  <c r="BG369" i="1"/>
  <c r="BG370" i="1"/>
  <c r="BG371" i="1"/>
  <c r="BG372" i="1"/>
  <c r="BG373" i="1"/>
  <c r="BG362" i="1"/>
  <c r="BG363" i="1"/>
  <c r="BG364" i="1"/>
  <c r="BG365" i="1"/>
  <c r="BG366" i="1"/>
  <c r="BG367" i="1"/>
  <c r="BG368" i="1"/>
  <c r="BG349" i="1"/>
  <c r="BG350" i="1"/>
  <c r="BG351" i="1"/>
  <c r="BG352" i="1"/>
  <c r="BG353" i="1"/>
  <c r="BG354" i="1"/>
  <c r="BG355" i="1"/>
  <c r="BG356" i="1"/>
  <c r="BG357" i="1"/>
  <c r="BG358" i="1"/>
  <c r="BG359" i="1"/>
  <c r="BG360" i="1"/>
  <c r="BG361" i="1"/>
  <c r="BG16" i="1"/>
  <c r="BG17" i="1"/>
  <c r="BG18" i="1"/>
  <c r="BG19" i="1"/>
  <c r="BG20" i="1"/>
  <c r="BG21" i="1"/>
  <c r="BG22" i="1"/>
  <c r="BG23" i="1"/>
  <c r="BG24" i="1"/>
  <c r="BG25" i="1"/>
  <c r="BG26" i="1"/>
  <c r="BG27" i="1"/>
  <c r="BG28" i="1"/>
  <c r="BG29" i="1"/>
  <c r="BG30" i="1"/>
  <c r="BG31" i="1"/>
  <c r="BG32" i="1"/>
  <c r="BG33" i="1"/>
  <c r="BG34" i="1"/>
  <c r="BG35" i="1"/>
  <c r="BG36" i="1"/>
  <c r="BG37" i="1"/>
  <c r="BG38" i="1"/>
  <c r="BG39" i="1"/>
  <c r="BG40" i="1"/>
  <c r="BG41" i="1"/>
  <c r="BG42" i="1"/>
  <c r="BG43" i="1"/>
  <c r="BG44" i="1"/>
  <c r="BG45" i="1"/>
  <c r="BG46" i="1"/>
  <c r="BG47" i="1"/>
  <c r="BG48" i="1"/>
  <c r="BG49" i="1"/>
  <c r="BG50" i="1"/>
  <c r="BG51" i="1"/>
  <c r="BG52" i="1"/>
  <c r="BG53" i="1"/>
  <c r="BG54" i="1"/>
  <c r="BG55" i="1"/>
  <c r="BG56" i="1"/>
  <c r="BG57" i="1"/>
  <c r="BG58" i="1"/>
  <c r="BG59" i="1"/>
  <c r="BG60" i="1"/>
  <c r="BG61" i="1"/>
  <c r="BG62" i="1"/>
  <c r="BG63" i="1"/>
  <c r="BG64" i="1"/>
  <c r="BG65" i="1"/>
  <c r="BG66" i="1"/>
  <c r="BG67" i="1"/>
  <c r="BG68" i="1"/>
  <c r="BG69" i="1"/>
  <c r="BG70" i="1"/>
  <c r="BG71" i="1"/>
  <c r="BG72" i="1"/>
  <c r="BG73" i="1"/>
  <c r="BG74" i="1"/>
  <c r="BG75" i="1"/>
  <c r="BG76" i="1"/>
  <c r="BG77" i="1"/>
  <c r="BG78" i="1"/>
  <c r="BG79" i="1"/>
  <c r="BG80" i="1"/>
  <c r="BG81" i="1"/>
  <c r="BG82" i="1"/>
  <c r="BG83" i="1"/>
  <c r="BG84" i="1"/>
  <c r="BG85" i="1"/>
  <c r="BG86" i="1"/>
  <c r="BG87" i="1"/>
  <c r="BG88" i="1"/>
  <c r="BG89" i="1"/>
  <c r="BG90" i="1"/>
  <c r="BG91" i="1"/>
  <c r="BG92" i="1"/>
  <c r="BG93" i="1"/>
  <c r="BG94" i="1"/>
  <c r="BG95" i="1"/>
  <c r="BG96" i="1"/>
  <c r="BG97" i="1"/>
  <c r="BG98" i="1"/>
  <c r="BG99" i="1"/>
  <c r="BG100" i="1"/>
  <c r="BG101" i="1"/>
  <c r="BG102" i="1"/>
  <c r="BG103" i="1"/>
  <c r="BG104" i="1"/>
  <c r="BG105" i="1"/>
  <c r="BG106" i="1"/>
  <c r="BG107" i="1"/>
  <c r="BG108" i="1"/>
  <c r="BG109" i="1"/>
  <c r="BG110" i="1"/>
  <c r="BG111" i="1"/>
  <c r="BG112" i="1"/>
  <c r="BG113" i="1"/>
  <c r="BG114" i="1"/>
  <c r="BG115" i="1"/>
  <c r="BG116" i="1"/>
  <c r="BG117" i="1"/>
  <c r="BG118" i="1"/>
  <c r="BG119" i="1"/>
  <c r="BG120" i="1"/>
  <c r="BG121" i="1"/>
  <c r="BG122" i="1"/>
  <c r="BG123" i="1"/>
  <c r="BG124" i="1"/>
  <c r="BG125" i="1"/>
  <c r="BG126" i="1"/>
  <c r="BG127" i="1"/>
  <c r="BG128" i="1"/>
  <c r="BG129" i="1"/>
  <c r="BG130" i="1"/>
  <c r="BG131" i="1"/>
  <c r="BG132" i="1"/>
  <c r="BG133" i="1"/>
  <c r="BG134" i="1"/>
  <c r="BG135" i="1"/>
  <c r="BG136" i="1"/>
  <c r="BG137" i="1"/>
  <c r="BG138" i="1"/>
  <c r="BG139" i="1"/>
  <c r="BG140" i="1"/>
  <c r="BG141" i="1"/>
  <c r="BG142" i="1"/>
  <c r="BG143" i="1"/>
  <c r="BG144" i="1"/>
  <c r="BG145" i="1"/>
  <c r="BG146" i="1"/>
  <c r="BG147" i="1"/>
  <c r="BG148" i="1"/>
  <c r="BG149" i="1"/>
  <c r="BG150" i="1"/>
  <c r="BG151" i="1"/>
  <c r="BG152" i="1"/>
  <c r="BG153" i="1"/>
  <c r="BG154" i="1"/>
  <c r="BG155" i="1"/>
  <c r="BG156" i="1"/>
  <c r="BG157" i="1"/>
  <c r="BG158" i="1"/>
  <c r="BG159" i="1"/>
  <c r="BG160" i="1"/>
  <c r="BG161" i="1"/>
  <c r="BG162" i="1"/>
  <c r="BG163" i="1"/>
  <c r="BG164" i="1"/>
  <c r="BG165" i="1"/>
  <c r="BG166" i="1"/>
  <c r="BG167" i="1"/>
  <c r="BG168" i="1"/>
  <c r="BG169" i="1"/>
  <c r="BG170" i="1"/>
  <c r="BG171" i="1"/>
  <c r="BG172" i="1"/>
  <c r="BG173" i="1"/>
  <c r="BG174" i="1"/>
  <c r="BG175" i="1"/>
  <c r="BG176" i="1"/>
  <c r="BG177" i="1"/>
  <c r="BG178" i="1"/>
  <c r="BG179" i="1"/>
  <c r="BG180" i="1"/>
  <c r="BG181" i="1"/>
  <c r="BG182" i="1"/>
  <c r="BG183" i="1"/>
  <c r="BG184" i="1"/>
  <c r="BG185" i="1"/>
  <c r="BG186" i="1"/>
  <c r="BG187" i="1"/>
  <c r="BG188" i="1"/>
  <c r="BG189" i="1"/>
  <c r="BG190" i="1"/>
  <c r="BG191" i="1"/>
  <c r="BG192" i="1"/>
  <c r="BG193" i="1"/>
  <c r="BG194" i="1"/>
  <c r="BG195" i="1"/>
  <c r="BG196" i="1"/>
  <c r="BG197" i="1"/>
  <c r="BG198" i="1"/>
  <c r="BG199" i="1"/>
  <c r="BG200" i="1"/>
  <c r="BG201" i="1"/>
  <c r="BG202" i="1"/>
  <c r="BG203" i="1"/>
  <c r="BG204" i="1"/>
  <c r="BG205" i="1"/>
  <c r="BG206" i="1"/>
  <c r="BG207" i="1"/>
  <c r="BG208" i="1"/>
  <c r="BG209" i="1"/>
  <c r="BG210" i="1"/>
  <c r="BG211" i="1"/>
  <c r="BG212" i="1"/>
  <c r="BG213" i="1"/>
  <c r="BG214" i="1"/>
  <c r="BG215" i="1"/>
  <c r="BG216" i="1"/>
  <c r="BG217" i="1"/>
  <c r="BG218" i="1"/>
  <c r="BG219" i="1"/>
  <c r="BG220" i="1"/>
  <c r="BG221" i="1"/>
  <c r="BG222" i="1"/>
  <c r="BG223" i="1"/>
  <c r="BG224" i="1"/>
  <c r="BG225" i="1"/>
  <c r="BG226" i="1"/>
  <c r="BG227" i="1"/>
  <c r="BG228" i="1"/>
  <c r="BG229" i="1"/>
  <c r="BG230" i="1"/>
  <c r="BG231" i="1"/>
  <c r="BG232" i="1"/>
  <c r="BG233" i="1"/>
  <c r="BG234" i="1"/>
  <c r="BG235" i="1"/>
  <c r="BG236" i="1"/>
  <c r="BG237" i="1"/>
  <c r="BG238" i="1"/>
  <c r="BG239" i="1"/>
  <c r="BG240" i="1"/>
  <c r="BG241" i="1"/>
  <c r="BG242" i="1"/>
  <c r="BG243" i="1"/>
  <c r="BG244" i="1"/>
  <c r="BG245" i="1"/>
  <c r="BG246" i="1"/>
  <c r="BG247" i="1"/>
  <c r="BG248" i="1"/>
  <c r="BG249" i="1"/>
  <c r="BG250" i="1"/>
  <c r="BG251" i="1"/>
  <c r="BG252" i="1"/>
  <c r="BG253" i="1"/>
  <c r="BG254" i="1"/>
  <c r="BG255" i="1"/>
  <c r="BG256" i="1"/>
  <c r="BG257" i="1"/>
  <c r="BG258" i="1"/>
  <c r="BG259" i="1"/>
  <c r="BG260" i="1"/>
  <c r="BG261" i="1"/>
  <c r="BG262" i="1"/>
  <c r="BG263" i="1"/>
  <c r="BG264" i="1"/>
  <c r="BG265" i="1"/>
  <c r="BG266" i="1"/>
  <c r="BG267" i="1"/>
  <c r="BG268" i="1"/>
  <c r="BG269" i="1"/>
  <c r="BG270" i="1"/>
  <c r="BG271" i="1"/>
  <c r="BG272" i="1"/>
  <c r="BG273" i="1"/>
  <c r="BG274" i="1"/>
  <c r="BG275" i="1"/>
  <c r="BG276" i="1"/>
  <c r="BG277" i="1"/>
  <c r="BG278" i="1"/>
  <c r="BG279" i="1"/>
  <c r="BG280" i="1"/>
  <c r="BG281" i="1"/>
  <c r="BG282" i="1"/>
  <c r="BG283" i="1"/>
  <c r="BG284" i="1"/>
  <c r="BG285" i="1"/>
  <c r="BG286" i="1"/>
  <c r="BG287" i="1"/>
  <c r="BG288" i="1"/>
  <c r="BG289" i="1"/>
  <c r="BG290" i="1"/>
  <c r="BG291" i="1"/>
  <c r="BG292" i="1"/>
  <c r="BG293" i="1"/>
  <c r="BG294" i="1"/>
  <c r="BG295" i="1"/>
  <c r="BG296" i="1"/>
  <c r="BG297" i="1"/>
  <c r="BG298" i="1"/>
  <c r="BG299" i="1"/>
  <c r="BG300" i="1"/>
  <c r="BG301" i="1"/>
  <c r="BG302" i="1"/>
  <c r="BG303" i="1"/>
  <c r="BG304" i="1"/>
  <c r="BG305" i="1"/>
  <c r="BG306" i="1"/>
  <c r="BG307" i="1"/>
  <c r="BG308" i="1"/>
  <c r="BG309" i="1"/>
  <c r="BG310" i="1"/>
  <c r="BG311" i="1"/>
  <c r="BG312" i="1"/>
  <c r="BG313" i="1"/>
  <c r="BG314" i="1"/>
  <c r="BG315" i="1"/>
  <c r="BG316" i="1"/>
  <c r="BG317" i="1"/>
  <c r="BG318" i="1"/>
  <c r="BG319" i="1"/>
  <c r="BG320" i="1"/>
  <c r="BG321" i="1"/>
  <c r="BG322" i="1"/>
  <c r="BG323" i="1"/>
  <c r="BG324" i="1"/>
  <c r="BG325" i="1"/>
  <c r="BG326" i="1"/>
  <c r="BG327" i="1"/>
  <c r="BG328" i="1"/>
  <c r="BG329" i="1"/>
  <c r="BG330" i="1"/>
  <c r="BG331" i="1"/>
  <c r="BG332" i="1"/>
  <c r="BG333" i="1"/>
  <c r="BG334" i="1"/>
  <c r="BG335" i="1"/>
  <c r="BG336" i="1"/>
  <c r="BG337" i="1"/>
  <c r="BG338" i="1"/>
  <c r="BG339" i="1"/>
  <c r="BG340" i="1"/>
  <c r="BG341" i="1"/>
  <c r="BG342" i="1"/>
  <c r="BG343" i="1"/>
  <c r="BG344" i="1"/>
  <c r="BG345" i="1"/>
  <c r="BG346" i="1"/>
  <c r="BG347" i="1"/>
  <c r="BG348" i="1"/>
  <c r="BG15" i="1"/>
  <c r="D112" i="1" l="1"/>
  <c r="D110" i="1"/>
  <c r="D105" i="1"/>
  <c r="D113" i="1"/>
  <c r="A90" i="1"/>
  <c r="D111" i="1"/>
  <c r="D106" i="1"/>
  <c r="D109" i="1"/>
  <c r="D107" i="1"/>
  <c r="D104" i="1"/>
  <c r="A97" i="1"/>
  <c r="A98" i="1"/>
  <c r="D108" i="1"/>
  <c r="E105" i="1"/>
  <c r="E113" i="1"/>
  <c r="B90" i="1"/>
  <c r="B98" i="1"/>
  <c r="E106" i="1"/>
  <c r="B91" i="1"/>
  <c r="E107" i="1"/>
  <c r="E104" i="1"/>
  <c r="E108" i="1"/>
  <c r="E109" i="1"/>
  <c r="E112" i="1"/>
  <c r="E110" i="1"/>
  <c r="E111" i="1"/>
  <c r="B130" i="1"/>
  <c r="C125" i="1"/>
  <c r="B104" i="1"/>
  <c r="B105" i="1"/>
  <c r="B106" i="1"/>
  <c r="B107" i="1"/>
  <c r="B108" i="1"/>
  <c r="B109" i="1"/>
  <c r="B110" i="1"/>
  <c r="B111" i="1"/>
  <c r="B112" i="1"/>
  <c r="B113" i="1"/>
  <c r="A105" i="1"/>
  <c r="A106" i="1"/>
  <c r="A107" i="1"/>
  <c r="A108" i="1"/>
  <c r="A109" i="1"/>
  <c r="A110" i="1"/>
  <c r="A111" i="1"/>
  <c r="A112" i="1"/>
  <c r="A113" i="1"/>
  <c r="A104" i="1"/>
  <c r="AE46" i="1" l="1"/>
  <c r="AE41" i="1" l="1"/>
  <c r="AE38" i="1"/>
  <c r="AD38" i="1"/>
  <c r="AD39" i="1" s="1"/>
  <c r="AY3" i="1" l="1"/>
  <c r="AE40" i="1"/>
  <c r="AD40" i="1"/>
  <c r="AD41" i="1" s="1"/>
  <c r="AY328" i="1"/>
  <c r="AY264" i="1"/>
  <c r="AY200" i="1"/>
  <c r="AY136" i="1"/>
  <c r="AY72" i="1"/>
  <c r="AY360" i="1"/>
  <c r="AY320" i="1"/>
  <c r="AY256" i="1"/>
  <c r="AY192" i="1"/>
  <c r="AY128" i="1"/>
  <c r="AY64" i="1"/>
  <c r="AY359" i="1"/>
  <c r="AY312" i="1"/>
  <c r="AY248" i="1"/>
  <c r="AY184" i="1"/>
  <c r="AY120" i="1"/>
  <c r="AY56" i="1"/>
  <c r="AY352" i="1"/>
  <c r="AY304" i="1"/>
  <c r="AY240" i="1"/>
  <c r="AY176" i="1"/>
  <c r="AY112" i="1"/>
  <c r="AY48" i="1"/>
  <c r="AY351" i="1"/>
  <c r="AY296" i="1"/>
  <c r="AY232" i="1"/>
  <c r="AY168" i="1"/>
  <c r="AY104" i="1"/>
  <c r="AY40" i="1"/>
  <c r="AY344" i="1"/>
  <c r="AY288" i="1"/>
  <c r="AY224" i="1"/>
  <c r="AY160" i="1"/>
  <c r="AY96" i="1"/>
  <c r="AY32" i="1"/>
  <c r="AY336" i="1"/>
  <c r="AY280" i="1"/>
  <c r="AY216" i="1"/>
  <c r="AY152" i="1"/>
  <c r="AY88" i="1"/>
  <c r="AY24" i="1"/>
  <c r="AY335" i="1"/>
  <c r="AY272" i="1"/>
  <c r="AY208" i="1"/>
  <c r="AY144" i="1"/>
  <c r="AY80" i="1"/>
  <c r="AY16" i="1"/>
  <c r="AY287" i="1"/>
  <c r="AY239" i="1"/>
  <c r="AY207" i="1"/>
  <c r="AY167" i="1"/>
  <c r="AY151" i="1"/>
  <c r="AY119" i="1"/>
  <c r="AY95" i="1"/>
  <c r="AY63" i="1"/>
  <c r="AY47" i="1"/>
  <c r="AY362" i="1"/>
  <c r="AY354" i="1"/>
  <c r="AY346" i="1"/>
  <c r="AY338" i="1"/>
  <c r="AY330" i="1"/>
  <c r="AY322" i="1"/>
  <c r="AY314" i="1"/>
  <c r="AY306" i="1"/>
  <c r="AY298" i="1"/>
  <c r="AY290" i="1"/>
  <c r="AY282" i="1"/>
  <c r="AY274" i="1"/>
  <c r="AY266" i="1"/>
  <c r="AY258" i="1"/>
  <c r="AY250" i="1"/>
  <c r="AY242" i="1"/>
  <c r="AY234" i="1"/>
  <c r="AY226" i="1"/>
  <c r="AY218" i="1"/>
  <c r="AY210" i="1"/>
  <c r="AY202" i="1"/>
  <c r="AY194" i="1"/>
  <c r="AY186" i="1"/>
  <c r="AY178" i="1"/>
  <c r="AY170" i="1"/>
  <c r="AY162" i="1"/>
  <c r="AY154" i="1"/>
  <c r="AY146" i="1"/>
  <c r="AY138" i="1"/>
  <c r="AY130" i="1"/>
  <c r="AY122" i="1"/>
  <c r="AY114" i="1"/>
  <c r="AY106" i="1"/>
  <c r="AY98" i="1"/>
  <c r="AY90" i="1"/>
  <c r="AY82" i="1"/>
  <c r="AY74" i="1"/>
  <c r="AY66" i="1"/>
  <c r="AY58" i="1"/>
  <c r="AY50" i="1"/>
  <c r="AY42" i="1"/>
  <c r="AY34" i="1"/>
  <c r="AY26" i="1"/>
  <c r="AY18" i="1"/>
  <c r="AY10" i="1"/>
  <c r="AY311" i="1"/>
  <c r="AY295" i="1"/>
  <c r="AY247" i="1"/>
  <c r="AY215" i="1"/>
  <c r="AY175" i="1"/>
  <c r="AY143" i="1"/>
  <c r="AY111" i="1"/>
  <c r="AY87" i="1"/>
  <c r="AY55" i="1"/>
  <c r="AY39" i="1"/>
  <c r="AY361" i="1"/>
  <c r="AY353" i="1"/>
  <c r="AY345" i="1"/>
  <c r="AY337" i="1"/>
  <c r="AY329" i="1"/>
  <c r="AY321" i="1"/>
  <c r="AY313" i="1"/>
  <c r="AY305" i="1"/>
  <c r="AY297" i="1"/>
  <c r="AY289" i="1"/>
  <c r="AY281" i="1"/>
  <c r="AY273" i="1"/>
  <c r="AY265" i="1"/>
  <c r="AY257" i="1"/>
  <c r="AY249" i="1"/>
  <c r="AY241" i="1"/>
  <c r="AY233" i="1"/>
  <c r="AY225" i="1"/>
  <c r="AY217" i="1"/>
  <c r="AY209" i="1"/>
  <c r="AY201" i="1"/>
  <c r="AY193" i="1"/>
  <c r="AY185" i="1"/>
  <c r="AY177" i="1"/>
  <c r="AY169" i="1"/>
  <c r="AY161" i="1"/>
  <c r="AY153" i="1"/>
  <c r="AY145" i="1"/>
  <c r="AY137" i="1"/>
  <c r="AY129" i="1"/>
  <c r="AY121" i="1"/>
  <c r="AY113" i="1"/>
  <c r="AY105" i="1"/>
  <c r="AY97" i="1"/>
  <c r="AY89" i="1"/>
  <c r="AY81" i="1"/>
  <c r="AY73" i="1"/>
  <c r="AY65" i="1"/>
  <c r="AY57" i="1"/>
  <c r="AY49" i="1"/>
  <c r="AY41" i="1"/>
  <c r="AY33" i="1"/>
  <c r="AY25" i="1"/>
  <c r="AY17" i="1"/>
  <c r="AY9" i="1"/>
  <c r="AY8" i="1"/>
  <c r="AY7" i="1"/>
  <c r="AY327" i="1"/>
  <c r="AY271" i="1"/>
  <c r="AY231" i="1"/>
  <c r="AY183" i="1"/>
  <c r="AY127" i="1"/>
  <c r="AY71" i="1"/>
  <c r="AY23" i="1"/>
  <c r="AY358" i="1"/>
  <c r="AY350" i="1"/>
  <c r="AY342" i="1"/>
  <c r="AY334" i="1"/>
  <c r="AY326" i="1"/>
  <c r="AY318" i="1"/>
  <c r="AY310" i="1"/>
  <c r="AY302" i="1"/>
  <c r="AY294" i="1"/>
  <c r="AY286" i="1"/>
  <c r="AY278" i="1"/>
  <c r="AY270" i="1"/>
  <c r="AY262" i="1"/>
  <c r="AY254" i="1"/>
  <c r="AY246" i="1"/>
  <c r="AY238" i="1"/>
  <c r="AY230" i="1"/>
  <c r="AY222" i="1"/>
  <c r="AY214" i="1"/>
  <c r="AY206" i="1"/>
  <c r="AY198" i="1"/>
  <c r="AY190" i="1"/>
  <c r="AY182" i="1"/>
  <c r="AY174" i="1"/>
  <c r="AY166" i="1"/>
  <c r="AY158" i="1"/>
  <c r="AY150" i="1"/>
  <c r="AY142" i="1"/>
  <c r="AY134" i="1"/>
  <c r="AY126" i="1"/>
  <c r="AY118" i="1"/>
  <c r="AY110" i="1"/>
  <c r="AY102" i="1"/>
  <c r="AY94" i="1"/>
  <c r="AY86" i="1"/>
  <c r="AY78" i="1"/>
  <c r="AY70" i="1"/>
  <c r="AY62" i="1"/>
  <c r="AY54" i="1"/>
  <c r="AY46" i="1"/>
  <c r="AY38" i="1"/>
  <c r="AY30" i="1"/>
  <c r="AY22" i="1"/>
  <c r="AY14" i="1"/>
  <c r="AY6" i="1"/>
  <c r="AY343" i="1"/>
  <c r="AY303" i="1"/>
  <c r="AY279" i="1"/>
  <c r="AY255" i="1"/>
  <c r="AY199" i="1"/>
  <c r="AY135" i="1"/>
  <c r="AY79" i="1"/>
  <c r="AY31" i="1"/>
  <c r="AY357" i="1"/>
  <c r="AY349" i="1"/>
  <c r="AY341" i="1"/>
  <c r="AY333" i="1"/>
  <c r="AY325" i="1"/>
  <c r="AY317" i="1"/>
  <c r="AY309" i="1"/>
  <c r="AY301" i="1"/>
  <c r="AY293" i="1"/>
  <c r="AY285" i="1"/>
  <c r="AY277" i="1"/>
  <c r="AY269" i="1"/>
  <c r="AY261" i="1"/>
  <c r="AY253" i="1"/>
  <c r="AY245" i="1"/>
  <c r="AY237" i="1"/>
  <c r="AY229" i="1"/>
  <c r="AY221" i="1"/>
  <c r="AY213" i="1"/>
  <c r="AY205" i="1"/>
  <c r="AY197" i="1"/>
  <c r="AY189" i="1"/>
  <c r="AY181" i="1"/>
  <c r="AY173" i="1"/>
  <c r="AY165" i="1"/>
  <c r="AY157" i="1"/>
  <c r="AY149" i="1"/>
  <c r="AY141" i="1"/>
  <c r="AY133" i="1"/>
  <c r="AY125" i="1"/>
  <c r="AY117" i="1"/>
  <c r="AY109" i="1"/>
  <c r="AY101" i="1"/>
  <c r="AY93" i="1"/>
  <c r="AY85" i="1"/>
  <c r="AY77" i="1"/>
  <c r="AY69" i="1"/>
  <c r="AY61" i="1"/>
  <c r="AY53" i="1"/>
  <c r="AY45" i="1"/>
  <c r="AY37" i="1"/>
  <c r="AY29" i="1"/>
  <c r="AY21" i="1"/>
  <c r="AY13" i="1"/>
  <c r="AY5" i="1"/>
  <c r="AY319" i="1"/>
  <c r="AY263" i="1"/>
  <c r="AY223" i="1"/>
  <c r="AY191" i="1"/>
  <c r="AY159" i="1"/>
  <c r="AY103" i="1"/>
  <c r="AY15" i="1"/>
  <c r="AY356" i="1"/>
  <c r="AY348" i="1"/>
  <c r="AY340" i="1"/>
  <c r="AY332" i="1"/>
  <c r="AY324" i="1"/>
  <c r="AY316" i="1"/>
  <c r="AY308" i="1"/>
  <c r="AY300" i="1"/>
  <c r="AY292" i="1"/>
  <c r="AY284" i="1"/>
  <c r="AY276" i="1"/>
  <c r="AY268" i="1"/>
  <c r="AY260" i="1"/>
  <c r="AY252" i="1"/>
  <c r="AY244" i="1"/>
  <c r="AY236" i="1"/>
  <c r="AY228" i="1"/>
  <c r="AY220" i="1"/>
  <c r="AY212" i="1"/>
  <c r="AY204" i="1"/>
  <c r="AY196" i="1"/>
  <c r="AY188" i="1"/>
  <c r="AY180" i="1"/>
  <c r="AY172" i="1"/>
  <c r="AY164" i="1"/>
  <c r="AY156" i="1"/>
  <c r="AY148" i="1"/>
  <c r="AY140" i="1"/>
  <c r="AY132" i="1"/>
  <c r="AY124" i="1"/>
  <c r="AY116" i="1"/>
  <c r="AY108" i="1"/>
  <c r="AY100" i="1"/>
  <c r="AY92" i="1"/>
  <c r="AY84" i="1"/>
  <c r="AY76" i="1"/>
  <c r="AY68" i="1"/>
  <c r="AY60" i="1"/>
  <c r="AY52" i="1"/>
  <c r="AY44" i="1"/>
  <c r="AY36" i="1"/>
  <c r="AY28" i="1"/>
  <c r="AY20" i="1"/>
  <c r="AY12" i="1"/>
  <c r="AY4" i="1"/>
  <c r="AY2" i="1"/>
  <c r="AY355" i="1"/>
  <c r="AY347" i="1"/>
  <c r="AY339" i="1"/>
  <c r="AY331" i="1"/>
  <c r="AY323" i="1"/>
  <c r="AY315" i="1"/>
  <c r="AY307" i="1"/>
  <c r="AY299" i="1"/>
  <c r="AY291" i="1"/>
  <c r="AY283" i="1"/>
  <c r="AY275" i="1"/>
  <c r="AY267" i="1"/>
  <c r="AY259" i="1"/>
  <c r="AY251" i="1"/>
  <c r="AY243" i="1"/>
  <c r="AY235" i="1"/>
  <c r="AY227" i="1"/>
  <c r="AY219" i="1"/>
  <c r="AY211" i="1"/>
  <c r="AY203" i="1"/>
  <c r="AY195" i="1"/>
  <c r="AY187" i="1"/>
  <c r="AY179" i="1"/>
  <c r="AY171" i="1"/>
  <c r="AY163" i="1"/>
  <c r="AY155" i="1"/>
  <c r="AY147" i="1"/>
  <c r="AY139" i="1"/>
  <c r="AY131" i="1"/>
  <c r="AY123" i="1"/>
  <c r="AY115" i="1"/>
  <c r="AY107" i="1"/>
  <c r="AY99" i="1"/>
  <c r="AY91" i="1"/>
  <c r="AY83" i="1"/>
  <c r="AY75" i="1"/>
  <c r="AY67" i="1"/>
  <c r="AY59" i="1"/>
  <c r="AY51" i="1"/>
  <c r="AY43" i="1"/>
  <c r="AY35" i="1"/>
  <c r="AY27" i="1"/>
  <c r="AY19" i="1"/>
  <c r="AY11" i="1"/>
  <c r="AB6" i="1"/>
  <c r="U14" i="1"/>
  <c r="AA6" i="1" s="1"/>
  <c r="U15" i="1" l="1"/>
  <c r="W16" i="1" l="1"/>
  <c r="U16" i="1"/>
  <c r="V16" i="1"/>
  <c r="W12" i="1"/>
  <c r="W11" i="1"/>
  <c r="W10" i="1"/>
  <c r="E6" i="1" l="1"/>
  <c r="A93" i="1" s="1"/>
  <c r="F27" i="1" l="1" a="1"/>
  <c r="F27" i="1" s="1"/>
  <c r="I26" i="1" l="1"/>
  <c r="C16" i="1" s="1"/>
  <c r="C105" i="1" s="1"/>
  <c r="J105" i="1" s="1"/>
  <c r="L105" i="1" s="1"/>
  <c r="F28" i="1"/>
  <c r="H27" i="1" s="1"/>
  <c r="I27" i="1" s="1"/>
  <c r="C17" i="1"/>
  <c r="C106" i="1" s="1"/>
  <c r="J106" i="1" s="1"/>
  <c r="L106" i="1" s="1"/>
  <c r="C18" i="1"/>
  <c r="C107" i="1" s="1"/>
  <c r="J107" i="1" s="1"/>
  <c r="L107" i="1" s="1"/>
  <c r="C19" i="1"/>
  <c r="C108" i="1" s="1"/>
  <c r="J108" i="1" s="1"/>
  <c r="L108" i="1" s="1"/>
  <c r="C20" i="1"/>
  <c r="C109" i="1" s="1"/>
  <c r="J109" i="1" s="1"/>
  <c r="L109" i="1" s="1"/>
  <c r="C21" i="1"/>
  <c r="C110" i="1" s="1"/>
  <c r="J110" i="1" s="1"/>
  <c r="L110" i="1" s="1"/>
  <c r="C22" i="1"/>
  <c r="C111" i="1" s="1"/>
  <c r="J111" i="1" s="1"/>
  <c r="L111" i="1" s="1"/>
  <c r="C23" i="1"/>
  <c r="C112" i="1" s="1"/>
  <c r="J112" i="1" s="1"/>
  <c r="L112" i="1" s="1"/>
  <c r="C24" i="1"/>
  <c r="C113" i="1" s="1"/>
  <c r="J113" i="1" s="1"/>
  <c r="L113" i="1" s="1"/>
  <c r="K110" i="1" l="1"/>
  <c r="K113" i="1"/>
  <c r="K106" i="1"/>
  <c r="K109" i="1"/>
  <c r="K111" i="1"/>
  <c r="K107" i="1"/>
  <c r="K105" i="1"/>
  <c r="K112" i="1"/>
  <c r="K108" i="1"/>
  <c r="B82" i="1"/>
  <c r="E61" i="1" l="1"/>
  <c r="E62" i="1"/>
  <c r="E63" i="1"/>
  <c r="E64" i="1"/>
  <c r="E65" i="1"/>
  <c r="E66" i="1"/>
  <c r="E67" i="1"/>
  <c r="E68" i="1"/>
  <c r="E69" i="1"/>
  <c r="E70" i="1"/>
  <c r="E71" i="1"/>
  <c r="B61" i="1"/>
  <c r="C61" i="1"/>
  <c r="D61" i="1"/>
  <c r="B62" i="1"/>
  <c r="D62" i="1"/>
  <c r="B63" i="1"/>
  <c r="D63" i="1"/>
  <c r="B64" i="1"/>
  <c r="D64" i="1"/>
  <c r="B65" i="1"/>
  <c r="D65" i="1"/>
  <c r="B66" i="1"/>
  <c r="B67" i="1"/>
  <c r="D67" i="1"/>
  <c r="B68" i="1"/>
  <c r="D68" i="1"/>
  <c r="B69" i="1"/>
  <c r="D69" i="1"/>
  <c r="B70" i="1"/>
  <c r="D70" i="1"/>
  <c r="B71" i="1"/>
  <c r="D71" i="1"/>
  <c r="A68" i="1"/>
  <c r="A69" i="1"/>
  <c r="A70" i="1"/>
  <c r="A71" i="1"/>
  <c r="A62" i="1"/>
  <c r="A63" i="1"/>
  <c r="A64" i="1"/>
  <c r="A65" i="1"/>
  <c r="A66" i="1"/>
  <c r="A67" i="1"/>
  <c r="A61" i="1"/>
  <c r="B31" i="1"/>
  <c r="F108" i="1" l="1"/>
  <c r="H108" i="1" s="1"/>
  <c r="F105" i="1"/>
  <c r="H105" i="1" s="1"/>
  <c r="F107" i="1"/>
  <c r="H107" i="1" s="1"/>
  <c r="F106" i="1"/>
  <c r="H106" i="1" s="1"/>
  <c r="F113" i="1"/>
  <c r="H113" i="1" s="1"/>
  <c r="F112" i="1"/>
  <c r="H112" i="1" s="1"/>
  <c r="F109" i="1"/>
  <c r="H109" i="1" s="1"/>
  <c r="F111" i="1"/>
  <c r="H111" i="1" s="1"/>
  <c r="F110" i="1"/>
  <c r="H110" i="1" s="1"/>
  <c r="K16" i="1"/>
  <c r="L16" i="1"/>
  <c r="K17" i="1"/>
  <c r="L17" i="1"/>
  <c r="K18" i="1"/>
  <c r="L18" i="1"/>
  <c r="K19" i="1"/>
  <c r="L19" i="1"/>
  <c r="K20" i="1"/>
  <c r="L20" i="1"/>
  <c r="K21" i="1"/>
  <c r="L21" i="1"/>
  <c r="K22" i="1"/>
  <c r="L22" i="1"/>
  <c r="K23" i="1"/>
  <c r="L23" i="1"/>
  <c r="K24" i="1"/>
  <c r="L24" i="1"/>
  <c r="L15" i="1"/>
  <c r="K15" i="1"/>
  <c r="D66" i="1"/>
  <c r="C63" i="1"/>
  <c r="C64" i="1"/>
  <c r="C65" i="1"/>
  <c r="C66" i="1"/>
  <c r="C67" i="1"/>
  <c r="C68" i="1"/>
  <c r="C69" i="1"/>
  <c r="C70" i="1"/>
  <c r="C71" i="1"/>
  <c r="F7" i="1"/>
  <c r="B94" i="1" s="1"/>
  <c r="F5" i="1"/>
  <c r="B92" i="1" s="1"/>
  <c r="E4" i="1"/>
  <c r="A91" i="1" s="1"/>
  <c r="B4" i="1"/>
  <c r="B29" i="1" s="1"/>
  <c r="B3" i="1"/>
  <c r="G112" i="1" l="1"/>
  <c r="G113" i="1"/>
  <c r="G106" i="1"/>
  <c r="F8" i="1"/>
  <c r="B95" i="1" s="1"/>
  <c r="G107" i="1"/>
  <c r="G105" i="1"/>
  <c r="G109" i="1"/>
  <c r="D91" i="1"/>
  <c r="C91" i="1"/>
  <c r="E91" i="1"/>
  <c r="G110" i="1"/>
  <c r="G108" i="1"/>
  <c r="G111" i="1"/>
  <c r="E5" i="1"/>
  <c r="A92" i="1" s="1"/>
  <c r="E92" i="1" s="1"/>
  <c r="G4" i="1"/>
  <c r="F6" i="1"/>
  <c r="B93" i="1" s="1"/>
  <c r="E7" i="1"/>
  <c r="A94" i="1" s="1"/>
  <c r="G5" i="1" l="1"/>
  <c r="E8" i="1"/>
  <c r="A95" i="1" s="1"/>
  <c r="E95" i="1" s="1"/>
  <c r="F9" i="1"/>
  <c r="B96" i="1" s="1"/>
  <c r="E93" i="1"/>
  <c r="C94" i="1"/>
  <c r="D92" i="1"/>
  <c r="C92" i="1"/>
  <c r="G7" i="1"/>
  <c r="G6" i="1"/>
  <c r="E94" i="1" l="1"/>
  <c r="G8" i="1"/>
  <c r="E9" i="1"/>
  <c r="A96" i="1" s="1"/>
  <c r="D93" i="1"/>
  <c r="C93" i="1"/>
  <c r="F10" i="1"/>
  <c r="B97" i="1" s="1"/>
  <c r="D94" i="1"/>
  <c r="C95" i="1"/>
  <c r="D95" i="1"/>
  <c r="G9" i="1" l="1"/>
  <c r="E96" i="1"/>
  <c r="D96" i="1"/>
  <c r="D97" i="1"/>
  <c r="G11" i="1"/>
  <c r="X4" i="1" a="1"/>
  <c r="X4" i="1" s="1"/>
  <c r="C96" i="1"/>
  <c r="G10" i="1"/>
  <c r="G12" i="1" l="1"/>
  <c r="E97" i="1"/>
  <c r="E98" i="1"/>
  <c r="D98" i="1"/>
  <c r="C98" i="1"/>
  <c r="C97" i="1"/>
  <c r="Y4" i="1"/>
  <c r="X5" i="1"/>
  <c r="C15" i="1"/>
  <c r="C104" i="1" s="1"/>
  <c r="C99" i="1" l="1"/>
  <c r="B100" i="1" s="1"/>
  <c r="Y5" i="1"/>
  <c r="Y6" i="1" s="1"/>
  <c r="X6" i="1"/>
  <c r="J104" i="1"/>
  <c r="F104" i="1"/>
  <c r="C62" i="1"/>
  <c r="C25" i="1"/>
  <c r="D25" i="1" s="1"/>
  <c r="F114" i="1" l="1"/>
  <c r="B115" i="1" s="1"/>
  <c r="B127" i="1" s="1"/>
  <c r="H104" i="1"/>
  <c r="H114" i="1" s="1"/>
  <c r="J114" i="1"/>
  <c r="J115" i="1" s="1"/>
  <c r="D127" i="1" s="1"/>
  <c r="L104" i="1"/>
  <c r="L114" i="1" s="1"/>
  <c r="J117" i="1" s="1"/>
  <c r="D99" i="1"/>
  <c r="B102" i="1" s="1"/>
  <c r="E99" i="1"/>
  <c r="B101" i="1" s="1"/>
  <c r="K104" i="1"/>
  <c r="K114" i="1" s="1"/>
  <c r="J116" i="1" s="1"/>
  <c r="G104" i="1"/>
  <c r="G114" i="1" s="1"/>
  <c r="D126" i="1" l="1"/>
  <c r="K117" i="1"/>
  <c r="D125" i="1"/>
  <c r="K116" i="1"/>
  <c r="B116" i="1"/>
  <c r="B117" i="1"/>
  <c r="F127" i="1"/>
  <c r="B131" i="1" s="1"/>
  <c r="J119" i="1"/>
  <c r="J120" i="1"/>
  <c r="F126" i="1" l="1"/>
  <c r="C117" i="1"/>
  <c r="B125" i="1"/>
  <c r="C116" i="1"/>
  <c r="F125" i="1"/>
  <c r="B120" i="1"/>
  <c r="B119" i="1"/>
  <c r="B126" i="1"/>
  <c r="B132" i="1" l="1"/>
  <c r="BG5" i="1" s="1"/>
  <c r="BG9" i="1" s="1"/>
  <c r="B133" i="1"/>
  <c r="BH5" i="1" s="1"/>
  <c r="BH9" i="1" s="1"/>
  <c r="G71" i="1"/>
  <c r="F66" i="1"/>
  <c r="B41" i="1"/>
  <c r="G65" i="1"/>
  <c r="G64" i="1"/>
  <c r="B38" i="1"/>
  <c r="B43" i="1"/>
  <c r="G69" i="1"/>
  <c r="B42" i="1"/>
  <c r="B39" i="1"/>
  <c r="B37" i="1"/>
  <c r="B44" i="1"/>
  <c r="B40" i="1"/>
  <c r="G63" i="1"/>
  <c r="G70" i="1"/>
  <c r="B45" i="1"/>
  <c r="G66" i="1"/>
  <c r="G62" i="1"/>
  <c r="G68" i="1"/>
  <c r="F69" i="1"/>
  <c r="A40" i="1"/>
  <c r="A39" i="1"/>
  <c r="A42" i="1"/>
  <c r="A43" i="1"/>
  <c r="BW13" i="1" l="1"/>
  <c r="BW16" i="1" s="1"/>
  <c r="BV13" i="1"/>
  <c r="BV16" i="1" s="1"/>
  <c r="BI16" i="1"/>
  <c r="BP16" i="1" s="1"/>
  <c r="BI24" i="1"/>
  <c r="BP24" i="1" s="1"/>
  <c r="BI32" i="1"/>
  <c r="BP32" i="1" s="1"/>
  <c r="BI40" i="1"/>
  <c r="BP40" i="1" s="1"/>
  <c r="BI48" i="1"/>
  <c r="BP48" i="1" s="1"/>
  <c r="BI56" i="1"/>
  <c r="BP56" i="1" s="1"/>
  <c r="BI64" i="1"/>
  <c r="BP64" i="1" s="1"/>
  <c r="BI72" i="1"/>
  <c r="BP72" i="1" s="1"/>
  <c r="BI80" i="1"/>
  <c r="BP80" i="1" s="1"/>
  <c r="BI88" i="1"/>
  <c r="BP88" i="1" s="1"/>
  <c r="BI96" i="1"/>
  <c r="BP96" i="1" s="1"/>
  <c r="BI104" i="1"/>
  <c r="BP104" i="1" s="1"/>
  <c r="BI112" i="1"/>
  <c r="BP112" i="1" s="1"/>
  <c r="BI120" i="1"/>
  <c r="BP120" i="1" s="1"/>
  <c r="BI128" i="1"/>
  <c r="BP128" i="1" s="1"/>
  <c r="BI136" i="1"/>
  <c r="BP136" i="1" s="1"/>
  <c r="BI144" i="1"/>
  <c r="BP144" i="1" s="1"/>
  <c r="BI152" i="1"/>
  <c r="BP152" i="1" s="1"/>
  <c r="BI160" i="1"/>
  <c r="BP160" i="1" s="1"/>
  <c r="BI168" i="1"/>
  <c r="BP168" i="1" s="1"/>
  <c r="BI176" i="1"/>
  <c r="BP176" i="1" s="1"/>
  <c r="BI184" i="1"/>
  <c r="BP184" i="1" s="1"/>
  <c r="BI192" i="1"/>
  <c r="BP192" i="1" s="1"/>
  <c r="BI200" i="1"/>
  <c r="BP200" i="1" s="1"/>
  <c r="BI208" i="1"/>
  <c r="BP208" i="1" s="1"/>
  <c r="BI216" i="1"/>
  <c r="BP216" i="1" s="1"/>
  <c r="BI224" i="1"/>
  <c r="BP224" i="1" s="1"/>
  <c r="BI232" i="1"/>
  <c r="BP232" i="1" s="1"/>
  <c r="BI240" i="1"/>
  <c r="BP240" i="1" s="1"/>
  <c r="BI248" i="1"/>
  <c r="BP248" i="1" s="1"/>
  <c r="BI256" i="1"/>
  <c r="BP256" i="1" s="1"/>
  <c r="BI264" i="1"/>
  <c r="BP264" i="1" s="1"/>
  <c r="BI272" i="1"/>
  <c r="BP272" i="1" s="1"/>
  <c r="BI280" i="1"/>
  <c r="BP280" i="1" s="1"/>
  <c r="BI288" i="1"/>
  <c r="BP288" i="1" s="1"/>
  <c r="BI296" i="1"/>
  <c r="BP296" i="1" s="1"/>
  <c r="BI304" i="1"/>
  <c r="BP304" i="1" s="1"/>
  <c r="BI312" i="1"/>
  <c r="BP312" i="1" s="1"/>
  <c r="BI320" i="1"/>
  <c r="BP320" i="1" s="1"/>
  <c r="BI328" i="1"/>
  <c r="BP328" i="1" s="1"/>
  <c r="BI336" i="1"/>
  <c r="BP336" i="1" s="1"/>
  <c r="BI344" i="1"/>
  <c r="BP344" i="1" s="1"/>
  <c r="BI352" i="1"/>
  <c r="BP352" i="1" s="1"/>
  <c r="BI360" i="1"/>
  <c r="BP360" i="1" s="1"/>
  <c r="BI368" i="1"/>
  <c r="BP368" i="1" s="1"/>
  <c r="BI17" i="1"/>
  <c r="BP17" i="1" s="1"/>
  <c r="BI25" i="1"/>
  <c r="BP25" i="1" s="1"/>
  <c r="BI33" i="1"/>
  <c r="BP33" i="1" s="1"/>
  <c r="BI41" i="1"/>
  <c r="BP41" i="1" s="1"/>
  <c r="BI49" i="1"/>
  <c r="BP49" i="1" s="1"/>
  <c r="BI57" i="1"/>
  <c r="BP57" i="1" s="1"/>
  <c r="BI65" i="1"/>
  <c r="BP65" i="1" s="1"/>
  <c r="BI73" i="1"/>
  <c r="BP73" i="1" s="1"/>
  <c r="BI81" i="1"/>
  <c r="BP81" i="1" s="1"/>
  <c r="BI89" i="1"/>
  <c r="BP89" i="1" s="1"/>
  <c r="BI97" i="1"/>
  <c r="BP97" i="1" s="1"/>
  <c r="BI105" i="1"/>
  <c r="BP105" i="1" s="1"/>
  <c r="BI113" i="1"/>
  <c r="BP113" i="1" s="1"/>
  <c r="BI121" i="1"/>
  <c r="BP121" i="1" s="1"/>
  <c r="BI129" i="1"/>
  <c r="BP129" i="1" s="1"/>
  <c r="BI137" i="1"/>
  <c r="BP137" i="1" s="1"/>
  <c r="BI145" i="1"/>
  <c r="BP145" i="1" s="1"/>
  <c r="BI153" i="1"/>
  <c r="BP153" i="1" s="1"/>
  <c r="BI161" i="1"/>
  <c r="BP161" i="1" s="1"/>
  <c r="BI169" i="1"/>
  <c r="BP169" i="1" s="1"/>
  <c r="BI177" i="1"/>
  <c r="BP177" i="1" s="1"/>
  <c r="BI185" i="1"/>
  <c r="BP185" i="1" s="1"/>
  <c r="BI193" i="1"/>
  <c r="BP193" i="1" s="1"/>
  <c r="BI201" i="1"/>
  <c r="BP201" i="1" s="1"/>
  <c r="BI209" i="1"/>
  <c r="BP209" i="1" s="1"/>
  <c r="BI217" i="1"/>
  <c r="BP217" i="1" s="1"/>
  <c r="BI225" i="1"/>
  <c r="BP225" i="1" s="1"/>
  <c r="BI233" i="1"/>
  <c r="BP233" i="1" s="1"/>
  <c r="BI241" i="1"/>
  <c r="BP241" i="1" s="1"/>
  <c r="BI249" i="1"/>
  <c r="BP249" i="1" s="1"/>
  <c r="BI257" i="1"/>
  <c r="BP257" i="1" s="1"/>
  <c r="BI265" i="1"/>
  <c r="BP265" i="1" s="1"/>
  <c r="BI273" i="1"/>
  <c r="BP273" i="1" s="1"/>
  <c r="BI281" i="1"/>
  <c r="BP281" i="1" s="1"/>
  <c r="BI289" i="1"/>
  <c r="BP289" i="1" s="1"/>
  <c r="BI297" i="1"/>
  <c r="BP297" i="1" s="1"/>
  <c r="BI305" i="1"/>
  <c r="BP305" i="1" s="1"/>
  <c r="BI313" i="1"/>
  <c r="BP313" i="1" s="1"/>
  <c r="BI321" i="1"/>
  <c r="BP321" i="1" s="1"/>
  <c r="BI329" i="1"/>
  <c r="BP329" i="1" s="1"/>
  <c r="BI18" i="1"/>
  <c r="BP18" i="1" s="1"/>
  <c r="BI26" i="1"/>
  <c r="BP26" i="1" s="1"/>
  <c r="BI34" i="1"/>
  <c r="BP34" i="1" s="1"/>
  <c r="BI42" i="1"/>
  <c r="BP42" i="1" s="1"/>
  <c r="BI50" i="1"/>
  <c r="BP50" i="1" s="1"/>
  <c r="BI58" i="1"/>
  <c r="BP58" i="1" s="1"/>
  <c r="BI66" i="1"/>
  <c r="BP66" i="1" s="1"/>
  <c r="BI74" i="1"/>
  <c r="BP74" i="1" s="1"/>
  <c r="BI82" i="1"/>
  <c r="BP82" i="1" s="1"/>
  <c r="BI90" i="1"/>
  <c r="BP90" i="1" s="1"/>
  <c r="BI98" i="1"/>
  <c r="BP98" i="1" s="1"/>
  <c r="BI106" i="1"/>
  <c r="BP106" i="1" s="1"/>
  <c r="BI114" i="1"/>
  <c r="BP114" i="1" s="1"/>
  <c r="BI122" i="1"/>
  <c r="BP122" i="1" s="1"/>
  <c r="BI130" i="1"/>
  <c r="BP130" i="1" s="1"/>
  <c r="BI138" i="1"/>
  <c r="BP138" i="1" s="1"/>
  <c r="BI146" i="1"/>
  <c r="BP146" i="1" s="1"/>
  <c r="BI154" i="1"/>
  <c r="BP154" i="1" s="1"/>
  <c r="BI162" i="1"/>
  <c r="BP162" i="1" s="1"/>
  <c r="BI170" i="1"/>
  <c r="BP170" i="1" s="1"/>
  <c r="BI178" i="1"/>
  <c r="BP178" i="1" s="1"/>
  <c r="BI186" i="1"/>
  <c r="BP186" i="1" s="1"/>
  <c r="BI194" i="1"/>
  <c r="BP194" i="1" s="1"/>
  <c r="BI202" i="1"/>
  <c r="BP202" i="1" s="1"/>
  <c r="BI210" i="1"/>
  <c r="BP210" i="1" s="1"/>
  <c r="BI218" i="1"/>
  <c r="BP218" i="1" s="1"/>
  <c r="BI226" i="1"/>
  <c r="BP226" i="1" s="1"/>
  <c r="BI234" i="1"/>
  <c r="BP234" i="1" s="1"/>
  <c r="BI242" i="1"/>
  <c r="BP242" i="1" s="1"/>
  <c r="BI250" i="1"/>
  <c r="BP250" i="1" s="1"/>
  <c r="BI258" i="1"/>
  <c r="BP258" i="1" s="1"/>
  <c r="BI266" i="1"/>
  <c r="BP266" i="1" s="1"/>
  <c r="BI274" i="1"/>
  <c r="BP274" i="1" s="1"/>
  <c r="BI282" i="1"/>
  <c r="BP282" i="1" s="1"/>
  <c r="BI290" i="1"/>
  <c r="BP290" i="1" s="1"/>
  <c r="BI298" i="1"/>
  <c r="BP298" i="1" s="1"/>
  <c r="BI306" i="1"/>
  <c r="BP306" i="1" s="1"/>
  <c r="BI314" i="1"/>
  <c r="BP314" i="1" s="1"/>
  <c r="BI322" i="1"/>
  <c r="BP322" i="1" s="1"/>
  <c r="BI330" i="1"/>
  <c r="BP330" i="1" s="1"/>
  <c r="BI338" i="1"/>
  <c r="BP338" i="1" s="1"/>
  <c r="BI346" i="1"/>
  <c r="BP346" i="1" s="1"/>
  <c r="BI354" i="1"/>
  <c r="BP354" i="1" s="1"/>
  <c r="BI362" i="1"/>
  <c r="BP362" i="1" s="1"/>
  <c r="BI370" i="1"/>
  <c r="BP370" i="1" s="1"/>
  <c r="BI28" i="1"/>
  <c r="BP28" i="1" s="1"/>
  <c r="BI44" i="1"/>
  <c r="BP44" i="1" s="1"/>
  <c r="BI60" i="1"/>
  <c r="BP60" i="1" s="1"/>
  <c r="BI76" i="1"/>
  <c r="BP76" i="1" s="1"/>
  <c r="BI92" i="1"/>
  <c r="BP92" i="1" s="1"/>
  <c r="BI108" i="1"/>
  <c r="BP108" i="1" s="1"/>
  <c r="BI124" i="1"/>
  <c r="BP124" i="1" s="1"/>
  <c r="BI140" i="1"/>
  <c r="BP140" i="1" s="1"/>
  <c r="BI156" i="1"/>
  <c r="BP156" i="1" s="1"/>
  <c r="BI172" i="1"/>
  <c r="BP172" i="1" s="1"/>
  <c r="BI188" i="1"/>
  <c r="BP188" i="1" s="1"/>
  <c r="BI204" i="1"/>
  <c r="BP204" i="1" s="1"/>
  <c r="BI228" i="1"/>
  <c r="BP228" i="1" s="1"/>
  <c r="BI252" i="1"/>
  <c r="BP252" i="1" s="1"/>
  <c r="BI268" i="1"/>
  <c r="BP268" i="1" s="1"/>
  <c r="BI284" i="1"/>
  <c r="BP284" i="1" s="1"/>
  <c r="BI300" i="1"/>
  <c r="BP300" i="1" s="1"/>
  <c r="BI324" i="1"/>
  <c r="BP324" i="1" s="1"/>
  <c r="BI340" i="1"/>
  <c r="BP340" i="1" s="1"/>
  <c r="BI364" i="1"/>
  <c r="BP364" i="1" s="1"/>
  <c r="BI21" i="1"/>
  <c r="BP21" i="1" s="1"/>
  <c r="BI37" i="1"/>
  <c r="BP37" i="1" s="1"/>
  <c r="BI53" i="1"/>
  <c r="BP53" i="1" s="1"/>
  <c r="BI69" i="1"/>
  <c r="BP69" i="1" s="1"/>
  <c r="BI85" i="1"/>
  <c r="BP85" i="1" s="1"/>
  <c r="BI101" i="1"/>
  <c r="BP101" i="1" s="1"/>
  <c r="BI109" i="1"/>
  <c r="BP109" i="1" s="1"/>
  <c r="BI125" i="1"/>
  <c r="BP125" i="1" s="1"/>
  <c r="BI141" i="1"/>
  <c r="BP141" i="1" s="1"/>
  <c r="BI157" i="1"/>
  <c r="BP157" i="1" s="1"/>
  <c r="BI165" i="1"/>
  <c r="BP165" i="1" s="1"/>
  <c r="BI181" i="1"/>
  <c r="BP181" i="1" s="1"/>
  <c r="BI205" i="1"/>
  <c r="BP205" i="1" s="1"/>
  <c r="BI221" i="1"/>
  <c r="BP221" i="1" s="1"/>
  <c r="BI237" i="1"/>
  <c r="BP237" i="1" s="1"/>
  <c r="BI253" i="1"/>
  <c r="BP253" i="1" s="1"/>
  <c r="BI19" i="1"/>
  <c r="BP19" i="1" s="1"/>
  <c r="BI27" i="1"/>
  <c r="BP27" i="1" s="1"/>
  <c r="BI35" i="1"/>
  <c r="BP35" i="1" s="1"/>
  <c r="BI43" i="1"/>
  <c r="BP43" i="1" s="1"/>
  <c r="BI51" i="1"/>
  <c r="BP51" i="1" s="1"/>
  <c r="BI59" i="1"/>
  <c r="BP59" i="1" s="1"/>
  <c r="BI67" i="1"/>
  <c r="BP67" i="1" s="1"/>
  <c r="BI75" i="1"/>
  <c r="BP75" i="1" s="1"/>
  <c r="BI83" i="1"/>
  <c r="BP83" i="1" s="1"/>
  <c r="BI91" i="1"/>
  <c r="BP91" i="1" s="1"/>
  <c r="BI99" i="1"/>
  <c r="BP99" i="1" s="1"/>
  <c r="BI107" i="1"/>
  <c r="BP107" i="1" s="1"/>
  <c r="BI115" i="1"/>
  <c r="BP115" i="1" s="1"/>
  <c r="BI123" i="1"/>
  <c r="BP123" i="1" s="1"/>
  <c r="BI131" i="1"/>
  <c r="BP131" i="1" s="1"/>
  <c r="BI139" i="1"/>
  <c r="BP139" i="1" s="1"/>
  <c r="BI147" i="1"/>
  <c r="BP147" i="1" s="1"/>
  <c r="BI155" i="1"/>
  <c r="BP155" i="1" s="1"/>
  <c r="BI163" i="1"/>
  <c r="BP163" i="1" s="1"/>
  <c r="BI171" i="1"/>
  <c r="BP171" i="1" s="1"/>
  <c r="BI179" i="1"/>
  <c r="BP179" i="1" s="1"/>
  <c r="BI187" i="1"/>
  <c r="BP187" i="1" s="1"/>
  <c r="BI195" i="1"/>
  <c r="BP195" i="1" s="1"/>
  <c r="BI203" i="1"/>
  <c r="BP203" i="1" s="1"/>
  <c r="BI211" i="1"/>
  <c r="BP211" i="1" s="1"/>
  <c r="BI219" i="1"/>
  <c r="BP219" i="1" s="1"/>
  <c r="BI227" i="1"/>
  <c r="BP227" i="1" s="1"/>
  <c r="BI235" i="1"/>
  <c r="BP235" i="1" s="1"/>
  <c r="BI243" i="1"/>
  <c r="BP243" i="1" s="1"/>
  <c r="BI251" i="1"/>
  <c r="BP251" i="1" s="1"/>
  <c r="BI259" i="1"/>
  <c r="BP259" i="1" s="1"/>
  <c r="BI267" i="1"/>
  <c r="BP267" i="1" s="1"/>
  <c r="BI275" i="1"/>
  <c r="BP275" i="1" s="1"/>
  <c r="BI283" i="1"/>
  <c r="BP283" i="1" s="1"/>
  <c r="BI291" i="1"/>
  <c r="BP291" i="1" s="1"/>
  <c r="BI299" i="1"/>
  <c r="BP299" i="1" s="1"/>
  <c r="BI307" i="1"/>
  <c r="BP307" i="1" s="1"/>
  <c r="BI315" i="1"/>
  <c r="BP315" i="1" s="1"/>
  <c r="BI323" i="1"/>
  <c r="BP323" i="1" s="1"/>
  <c r="BI331" i="1"/>
  <c r="BP331" i="1" s="1"/>
  <c r="BI339" i="1"/>
  <c r="BP339" i="1" s="1"/>
  <c r="BI347" i="1"/>
  <c r="BP347" i="1" s="1"/>
  <c r="BI355" i="1"/>
  <c r="BP355" i="1" s="1"/>
  <c r="BI363" i="1"/>
  <c r="BP363" i="1" s="1"/>
  <c r="BI371" i="1"/>
  <c r="BP371" i="1" s="1"/>
  <c r="BI20" i="1"/>
  <c r="BP20" i="1" s="1"/>
  <c r="BI36" i="1"/>
  <c r="BP36" i="1" s="1"/>
  <c r="BI52" i="1"/>
  <c r="BP52" i="1" s="1"/>
  <c r="BI68" i="1"/>
  <c r="BP68" i="1" s="1"/>
  <c r="BI84" i="1"/>
  <c r="BP84" i="1" s="1"/>
  <c r="BI100" i="1"/>
  <c r="BP100" i="1" s="1"/>
  <c r="BI116" i="1"/>
  <c r="BP116" i="1" s="1"/>
  <c r="BI132" i="1"/>
  <c r="BP132" i="1" s="1"/>
  <c r="BI148" i="1"/>
  <c r="BP148" i="1" s="1"/>
  <c r="BI164" i="1"/>
  <c r="BP164" i="1" s="1"/>
  <c r="BI180" i="1"/>
  <c r="BP180" i="1" s="1"/>
  <c r="BI196" i="1"/>
  <c r="BP196" i="1" s="1"/>
  <c r="BI212" i="1"/>
  <c r="BP212" i="1" s="1"/>
  <c r="BI220" i="1"/>
  <c r="BP220" i="1" s="1"/>
  <c r="BI236" i="1"/>
  <c r="BP236" i="1" s="1"/>
  <c r="BI244" i="1"/>
  <c r="BP244" i="1" s="1"/>
  <c r="BI260" i="1"/>
  <c r="BP260" i="1" s="1"/>
  <c r="BI276" i="1"/>
  <c r="BP276" i="1" s="1"/>
  <c r="BI292" i="1"/>
  <c r="BP292" i="1" s="1"/>
  <c r="BI308" i="1"/>
  <c r="BP308" i="1" s="1"/>
  <c r="BI316" i="1"/>
  <c r="BP316" i="1" s="1"/>
  <c r="BI332" i="1"/>
  <c r="BP332" i="1" s="1"/>
  <c r="BI348" i="1"/>
  <c r="BP348" i="1" s="1"/>
  <c r="BI356" i="1"/>
  <c r="BP356" i="1" s="1"/>
  <c r="BI372" i="1"/>
  <c r="BP372" i="1" s="1"/>
  <c r="BI29" i="1"/>
  <c r="BP29" i="1" s="1"/>
  <c r="BI45" i="1"/>
  <c r="BP45" i="1" s="1"/>
  <c r="BI61" i="1"/>
  <c r="BP61" i="1" s="1"/>
  <c r="BI77" i="1"/>
  <c r="BP77" i="1" s="1"/>
  <c r="BI93" i="1"/>
  <c r="BP93" i="1" s="1"/>
  <c r="BI117" i="1"/>
  <c r="BP117" i="1" s="1"/>
  <c r="BI133" i="1"/>
  <c r="BP133" i="1" s="1"/>
  <c r="BI149" i="1"/>
  <c r="BP149" i="1" s="1"/>
  <c r="BI173" i="1"/>
  <c r="BP173" i="1" s="1"/>
  <c r="BI189" i="1"/>
  <c r="BP189" i="1" s="1"/>
  <c r="BI197" i="1"/>
  <c r="BP197" i="1" s="1"/>
  <c r="BI213" i="1"/>
  <c r="BP213" i="1" s="1"/>
  <c r="BI229" i="1"/>
  <c r="BP229" i="1" s="1"/>
  <c r="BI245" i="1"/>
  <c r="BP245" i="1" s="1"/>
  <c r="BI261" i="1"/>
  <c r="BP261" i="1" s="1"/>
  <c r="BI30" i="1"/>
  <c r="BP30" i="1" s="1"/>
  <c r="BI62" i="1"/>
  <c r="BP62" i="1" s="1"/>
  <c r="BI94" i="1"/>
  <c r="BP94" i="1" s="1"/>
  <c r="BI126" i="1"/>
  <c r="BP126" i="1" s="1"/>
  <c r="BI158" i="1"/>
  <c r="BP158" i="1" s="1"/>
  <c r="BI190" i="1"/>
  <c r="BP190" i="1" s="1"/>
  <c r="BI222" i="1"/>
  <c r="BP222" i="1" s="1"/>
  <c r="BI254" i="1"/>
  <c r="BP254" i="1" s="1"/>
  <c r="BI278" i="1"/>
  <c r="BP278" i="1" s="1"/>
  <c r="BI301" i="1"/>
  <c r="BP301" i="1" s="1"/>
  <c r="BI319" i="1"/>
  <c r="BP319" i="1" s="1"/>
  <c r="BI341" i="1"/>
  <c r="BP341" i="1" s="1"/>
  <c r="BI357" i="1"/>
  <c r="BP357" i="1" s="1"/>
  <c r="BI373" i="1"/>
  <c r="BP373" i="1" s="1"/>
  <c r="BI111" i="1"/>
  <c r="BP111" i="1" s="1"/>
  <c r="BI86" i="1"/>
  <c r="BP86" i="1" s="1"/>
  <c r="BI182" i="1"/>
  <c r="BP182" i="1" s="1"/>
  <c r="BI271" i="1"/>
  <c r="BP271" i="1" s="1"/>
  <c r="BI335" i="1"/>
  <c r="BP335" i="1" s="1"/>
  <c r="BI55" i="1"/>
  <c r="BP55" i="1" s="1"/>
  <c r="BI119" i="1"/>
  <c r="BP119" i="1" s="1"/>
  <c r="BI183" i="1"/>
  <c r="BP183" i="1" s="1"/>
  <c r="BI295" i="1"/>
  <c r="BP295" i="1" s="1"/>
  <c r="BI31" i="1"/>
  <c r="BP31" i="1" s="1"/>
  <c r="BI63" i="1"/>
  <c r="BP63" i="1" s="1"/>
  <c r="BI95" i="1"/>
  <c r="BP95" i="1" s="1"/>
  <c r="BI127" i="1"/>
  <c r="BP127" i="1" s="1"/>
  <c r="BI159" i="1"/>
  <c r="BP159" i="1" s="1"/>
  <c r="BI191" i="1"/>
  <c r="BP191" i="1" s="1"/>
  <c r="BI223" i="1"/>
  <c r="BP223" i="1" s="1"/>
  <c r="BI255" i="1"/>
  <c r="BP255" i="1" s="1"/>
  <c r="BI279" i="1"/>
  <c r="BP279" i="1" s="1"/>
  <c r="BI302" i="1"/>
  <c r="BP302" i="1" s="1"/>
  <c r="BI325" i="1"/>
  <c r="BP325" i="1" s="1"/>
  <c r="BI342" i="1"/>
  <c r="BP342" i="1" s="1"/>
  <c r="BI358" i="1"/>
  <c r="BP358" i="1" s="1"/>
  <c r="BI374" i="1"/>
  <c r="BP374" i="1" s="1"/>
  <c r="BI39" i="1"/>
  <c r="BP39" i="1" s="1"/>
  <c r="BI103" i="1"/>
  <c r="BP103" i="1" s="1"/>
  <c r="BI135" i="1"/>
  <c r="BP135" i="1" s="1"/>
  <c r="BI167" i="1"/>
  <c r="BP167" i="1" s="1"/>
  <c r="BI231" i="1"/>
  <c r="BP231" i="1" s="1"/>
  <c r="BI263" i="1"/>
  <c r="BP263" i="1" s="1"/>
  <c r="BI309" i="1"/>
  <c r="BP309" i="1" s="1"/>
  <c r="BI345" i="1"/>
  <c r="BP345" i="1" s="1"/>
  <c r="BI46" i="1"/>
  <c r="BP46" i="1" s="1"/>
  <c r="BI110" i="1"/>
  <c r="BP110" i="1" s="1"/>
  <c r="BI206" i="1"/>
  <c r="BP206" i="1" s="1"/>
  <c r="BI269" i="1"/>
  <c r="BP269" i="1" s="1"/>
  <c r="BI310" i="1"/>
  <c r="BP310" i="1" s="1"/>
  <c r="BI365" i="1"/>
  <c r="BP365" i="1" s="1"/>
  <c r="BI79" i="1"/>
  <c r="BP79" i="1" s="1"/>
  <c r="BI175" i="1"/>
  <c r="BP175" i="1" s="1"/>
  <c r="BI239" i="1"/>
  <c r="BP239" i="1" s="1"/>
  <c r="BI293" i="1"/>
  <c r="BP293" i="1" s="1"/>
  <c r="BI311" i="1"/>
  <c r="BP311" i="1" s="1"/>
  <c r="BI350" i="1"/>
  <c r="BP350" i="1" s="1"/>
  <c r="BI22" i="1"/>
  <c r="BP22" i="1" s="1"/>
  <c r="BI150" i="1"/>
  <c r="BP150" i="1" s="1"/>
  <c r="BI246" i="1"/>
  <c r="BP246" i="1" s="1"/>
  <c r="BI317" i="1"/>
  <c r="BP317" i="1" s="1"/>
  <c r="BI367" i="1"/>
  <c r="BP367" i="1" s="1"/>
  <c r="BI87" i="1"/>
  <c r="BP87" i="1" s="1"/>
  <c r="BI151" i="1"/>
  <c r="BP151" i="1" s="1"/>
  <c r="BI247" i="1"/>
  <c r="BP247" i="1" s="1"/>
  <c r="BI277" i="1"/>
  <c r="BP277" i="1" s="1"/>
  <c r="BI318" i="1"/>
  <c r="BP318" i="1" s="1"/>
  <c r="BI353" i="1"/>
  <c r="BP353" i="1" s="1"/>
  <c r="BI369" i="1"/>
  <c r="BP369" i="1" s="1"/>
  <c r="BI38" i="1"/>
  <c r="BP38" i="1" s="1"/>
  <c r="BI70" i="1"/>
  <c r="BP70" i="1" s="1"/>
  <c r="BI102" i="1"/>
  <c r="BP102" i="1" s="1"/>
  <c r="BI134" i="1"/>
  <c r="BP134" i="1" s="1"/>
  <c r="BI166" i="1"/>
  <c r="BP166" i="1" s="1"/>
  <c r="BI198" i="1"/>
  <c r="BP198" i="1" s="1"/>
  <c r="BI230" i="1"/>
  <c r="BP230" i="1" s="1"/>
  <c r="BI262" i="1"/>
  <c r="BP262" i="1" s="1"/>
  <c r="BI285" i="1"/>
  <c r="BP285" i="1" s="1"/>
  <c r="BI303" i="1"/>
  <c r="BP303" i="1" s="1"/>
  <c r="BI326" i="1"/>
  <c r="BP326" i="1" s="1"/>
  <c r="BI343" i="1"/>
  <c r="BP343" i="1" s="1"/>
  <c r="BI359" i="1"/>
  <c r="BP359" i="1" s="1"/>
  <c r="BI375" i="1"/>
  <c r="BP375" i="1" s="1"/>
  <c r="BI71" i="1"/>
  <c r="BP71" i="1" s="1"/>
  <c r="BI199" i="1"/>
  <c r="BP199" i="1" s="1"/>
  <c r="BI286" i="1"/>
  <c r="BP286" i="1" s="1"/>
  <c r="BI327" i="1"/>
  <c r="BP327" i="1" s="1"/>
  <c r="BI361" i="1"/>
  <c r="BP361" i="1" s="1"/>
  <c r="BI78" i="1"/>
  <c r="BP78" i="1" s="1"/>
  <c r="BI142" i="1"/>
  <c r="BP142" i="1" s="1"/>
  <c r="BI174" i="1"/>
  <c r="BP174" i="1" s="1"/>
  <c r="BI238" i="1"/>
  <c r="BP238" i="1" s="1"/>
  <c r="BI287" i="1"/>
  <c r="BP287" i="1" s="1"/>
  <c r="BI333" i="1"/>
  <c r="BP333" i="1" s="1"/>
  <c r="BI349" i="1"/>
  <c r="BP349" i="1" s="1"/>
  <c r="BI47" i="1"/>
  <c r="BP47" i="1" s="1"/>
  <c r="BI143" i="1"/>
  <c r="BP143" i="1" s="1"/>
  <c r="BI207" i="1"/>
  <c r="BP207" i="1" s="1"/>
  <c r="BI270" i="1"/>
  <c r="BP270" i="1" s="1"/>
  <c r="BI334" i="1"/>
  <c r="BP334" i="1" s="1"/>
  <c r="BI366" i="1"/>
  <c r="BP366" i="1" s="1"/>
  <c r="BI54" i="1"/>
  <c r="BP54" i="1" s="1"/>
  <c r="BI118" i="1"/>
  <c r="BP118" i="1" s="1"/>
  <c r="BI214" i="1"/>
  <c r="BP214" i="1" s="1"/>
  <c r="BI294" i="1"/>
  <c r="BP294" i="1" s="1"/>
  <c r="BI351" i="1"/>
  <c r="BP351" i="1" s="1"/>
  <c r="BI23" i="1"/>
  <c r="BP23" i="1" s="1"/>
  <c r="BI215" i="1"/>
  <c r="BP215" i="1" s="1"/>
  <c r="BI337" i="1"/>
  <c r="BP337" i="1" s="1"/>
  <c r="BH16" i="1"/>
  <c r="BO16" i="1" s="1"/>
  <c r="BH24" i="1"/>
  <c r="BO24" i="1" s="1"/>
  <c r="BH32" i="1"/>
  <c r="BO32" i="1" s="1"/>
  <c r="BH40" i="1"/>
  <c r="BO40" i="1" s="1"/>
  <c r="BH48" i="1"/>
  <c r="BO48" i="1" s="1"/>
  <c r="BH56" i="1"/>
  <c r="BO56" i="1" s="1"/>
  <c r="BH64" i="1"/>
  <c r="BO64" i="1" s="1"/>
  <c r="BH72" i="1"/>
  <c r="BO72" i="1" s="1"/>
  <c r="BH80" i="1"/>
  <c r="BO80" i="1" s="1"/>
  <c r="BH88" i="1"/>
  <c r="BO88" i="1" s="1"/>
  <c r="BH96" i="1"/>
  <c r="BO96" i="1" s="1"/>
  <c r="BH104" i="1"/>
  <c r="BO104" i="1" s="1"/>
  <c r="BH112" i="1"/>
  <c r="BO112" i="1" s="1"/>
  <c r="BH120" i="1"/>
  <c r="BO120" i="1" s="1"/>
  <c r="BH128" i="1"/>
  <c r="BO128" i="1" s="1"/>
  <c r="BH136" i="1"/>
  <c r="BO136" i="1" s="1"/>
  <c r="BH144" i="1"/>
  <c r="BO144" i="1" s="1"/>
  <c r="BH152" i="1"/>
  <c r="BO152" i="1" s="1"/>
  <c r="BH160" i="1"/>
  <c r="BO160" i="1" s="1"/>
  <c r="BH168" i="1"/>
  <c r="BO168" i="1" s="1"/>
  <c r="BH176" i="1"/>
  <c r="BO176" i="1" s="1"/>
  <c r="BH184" i="1"/>
  <c r="BO184" i="1" s="1"/>
  <c r="BH192" i="1"/>
  <c r="BO192" i="1" s="1"/>
  <c r="BH200" i="1"/>
  <c r="BO200" i="1" s="1"/>
  <c r="BH208" i="1"/>
  <c r="BO208" i="1" s="1"/>
  <c r="BH216" i="1"/>
  <c r="BO216" i="1" s="1"/>
  <c r="BH224" i="1"/>
  <c r="BO224" i="1" s="1"/>
  <c r="BH232" i="1"/>
  <c r="BO232" i="1" s="1"/>
  <c r="BH240" i="1"/>
  <c r="BO240" i="1" s="1"/>
  <c r="BH248" i="1"/>
  <c r="BO248" i="1" s="1"/>
  <c r="BH256" i="1"/>
  <c r="BO256" i="1" s="1"/>
  <c r="BH264" i="1"/>
  <c r="BO264" i="1" s="1"/>
  <c r="BH272" i="1"/>
  <c r="BO272" i="1" s="1"/>
  <c r="BH280" i="1"/>
  <c r="BO280" i="1" s="1"/>
  <c r="BH288" i="1"/>
  <c r="BO288" i="1" s="1"/>
  <c r="BH296" i="1"/>
  <c r="BO296" i="1" s="1"/>
  <c r="BH304" i="1"/>
  <c r="BO304" i="1" s="1"/>
  <c r="BH312" i="1"/>
  <c r="BO312" i="1" s="1"/>
  <c r="BH320" i="1"/>
  <c r="BO320" i="1" s="1"/>
  <c r="BH328" i="1"/>
  <c r="BO328" i="1" s="1"/>
  <c r="BH336" i="1"/>
  <c r="BO336" i="1" s="1"/>
  <c r="BH344" i="1"/>
  <c r="BO344" i="1" s="1"/>
  <c r="BH352" i="1"/>
  <c r="BO352" i="1" s="1"/>
  <c r="BH360" i="1"/>
  <c r="BO360" i="1" s="1"/>
  <c r="BH368" i="1"/>
  <c r="BO368" i="1" s="1"/>
  <c r="BH211" i="1"/>
  <c r="BO211" i="1" s="1"/>
  <c r="BH315" i="1"/>
  <c r="BO315" i="1" s="1"/>
  <c r="BH371" i="1"/>
  <c r="BO371" i="1" s="1"/>
  <c r="BH20" i="1"/>
  <c r="BO20" i="1" s="1"/>
  <c r="BH44" i="1"/>
  <c r="BO44" i="1" s="1"/>
  <c r="BH52" i="1"/>
  <c r="BO52" i="1" s="1"/>
  <c r="BH60" i="1"/>
  <c r="BO60" i="1" s="1"/>
  <c r="BH76" i="1"/>
  <c r="BO76" i="1" s="1"/>
  <c r="BH92" i="1"/>
  <c r="BO92" i="1" s="1"/>
  <c r="BH116" i="1"/>
  <c r="BO116" i="1" s="1"/>
  <c r="BH132" i="1"/>
  <c r="BO132" i="1" s="1"/>
  <c r="BH17" i="1"/>
  <c r="BO17" i="1" s="1"/>
  <c r="BH25" i="1"/>
  <c r="BO25" i="1" s="1"/>
  <c r="BH33" i="1"/>
  <c r="BO33" i="1" s="1"/>
  <c r="BH41" i="1"/>
  <c r="BO41" i="1" s="1"/>
  <c r="BH49" i="1"/>
  <c r="BO49" i="1" s="1"/>
  <c r="BH57" i="1"/>
  <c r="BO57" i="1" s="1"/>
  <c r="BH65" i="1"/>
  <c r="BO65" i="1" s="1"/>
  <c r="BH73" i="1"/>
  <c r="BO73" i="1" s="1"/>
  <c r="BH81" i="1"/>
  <c r="BO81" i="1" s="1"/>
  <c r="BH89" i="1"/>
  <c r="BO89" i="1" s="1"/>
  <c r="BH97" i="1"/>
  <c r="BO97" i="1" s="1"/>
  <c r="BH105" i="1"/>
  <c r="BO105" i="1" s="1"/>
  <c r="BH113" i="1"/>
  <c r="BO113" i="1" s="1"/>
  <c r="BH121" i="1"/>
  <c r="BO121" i="1" s="1"/>
  <c r="BH129" i="1"/>
  <c r="BO129" i="1" s="1"/>
  <c r="BH137" i="1"/>
  <c r="BO137" i="1" s="1"/>
  <c r="BH145" i="1"/>
  <c r="BO145" i="1" s="1"/>
  <c r="BH153" i="1"/>
  <c r="BO153" i="1" s="1"/>
  <c r="BH161" i="1"/>
  <c r="BO161" i="1" s="1"/>
  <c r="BH169" i="1"/>
  <c r="BO169" i="1" s="1"/>
  <c r="BH177" i="1"/>
  <c r="BO177" i="1" s="1"/>
  <c r="BH185" i="1"/>
  <c r="BO185" i="1" s="1"/>
  <c r="BH193" i="1"/>
  <c r="BO193" i="1" s="1"/>
  <c r="BH201" i="1"/>
  <c r="BO201" i="1" s="1"/>
  <c r="BH209" i="1"/>
  <c r="BO209" i="1" s="1"/>
  <c r="BH217" i="1"/>
  <c r="BO217" i="1" s="1"/>
  <c r="BH225" i="1"/>
  <c r="BO225" i="1" s="1"/>
  <c r="BH233" i="1"/>
  <c r="BO233" i="1" s="1"/>
  <c r="BH241" i="1"/>
  <c r="BO241" i="1" s="1"/>
  <c r="BH249" i="1"/>
  <c r="BO249" i="1" s="1"/>
  <c r="BH257" i="1"/>
  <c r="BO257" i="1" s="1"/>
  <c r="BH265" i="1"/>
  <c r="BO265" i="1" s="1"/>
  <c r="BH273" i="1"/>
  <c r="BO273" i="1" s="1"/>
  <c r="BH281" i="1"/>
  <c r="BO281" i="1" s="1"/>
  <c r="BH289" i="1"/>
  <c r="BO289" i="1" s="1"/>
  <c r="BH297" i="1"/>
  <c r="BO297" i="1" s="1"/>
  <c r="BH305" i="1"/>
  <c r="BO305" i="1" s="1"/>
  <c r="BH313" i="1"/>
  <c r="BO313" i="1" s="1"/>
  <c r="BH321" i="1"/>
  <c r="BO321" i="1" s="1"/>
  <c r="BH329" i="1"/>
  <c r="BO329" i="1" s="1"/>
  <c r="BH337" i="1"/>
  <c r="BO337" i="1" s="1"/>
  <c r="BH345" i="1"/>
  <c r="BO345" i="1" s="1"/>
  <c r="BH353" i="1"/>
  <c r="BO353" i="1" s="1"/>
  <c r="BH361" i="1"/>
  <c r="BO361" i="1" s="1"/>
  <c r="BH369" i="1"/>
  <c r="BO369" i="1" s="1"/>
  <c r="BH186" i="1"/>
  <c r="BO186" i="1" s="1"/>
  <c r="BH282" i="1"/>
  <c r="BO282" i="1" s="1"/>
  <c r="BH306" i="1"/>
  <c r="BO306" i="1" s="1"/>
  <c r="BH330" i="1"/>
  <c r="BO330" i="1" s="1"/>
  <c r="BH346" i="1"/>
  <c r="BO346" i="1" s="1"/>
  <c r="BH354" i="1"/>
  <c r="BO354" i="1" s="1"/>
  <c r="BH370" i="1"/>
  <c r="BO370" i="1" s="1"/>
  <c r="BH19" i="1"/>
  <c r="BO19" i="1" s="1"/>
  <c r="BH35" i="1"/>
  <c r="BO35" i="1" s="1"/>
  <c r="BH43" i="1"/>
  <c r="BO43" i="1" s="1"/>
  <c r="BH51" i="1"/>
  <c r="BO51" i="1" s="1"/>
  <c r="BH59" i="1"/>
  <c r="BO59" i="1" s="1"/>
  <c r="BH67" i="1"/>
  <c r="BO67" i="1" s="1"/>
  <c r="BH75" i="1"/>
  <c r="BO75" i="1" s="1"/>
  <c r="BH83" i="1"/>
  <c r="BO83" i="1" s="1"/>
  <c r="BH91" i="1"/>
  <c r="BO91" i="1" s="1"/>
  <c r="BH99" i="1"/>
  <c r="BO99" i="1" s="1"/>
  <c r="BH107" i="1"/>
  <c r="BO107" i="1" s="1"/>
  <c r="BH123" i="1"/>
  <c r="BO123" i="1" s="1"/>
  <c r="BH131" i="1"/>
  <c r="BO131" i="1" s="1"/>
  <c r="BH139" i="1"/>
  <c r="BO139" i="1" s="1"/>
  <c r="BH155" i="1"/>
  <c r="BO155" i="1" s="1"/>
  <c r="BH163" i="1"/>
  <c r="BO163" i="1" s="1"/>
  <c r="BH179" i="1"/>
  <c r="BO179" i="1" s="1"/>
  <c r="BH187" i="1"/>
  <c r="BO187" i="1" s="1"/>
  <c r="BH195" i="1"/>
  <c r="BO195" i="1" s="1"/>
  <c r="BH219" i="1"/>
  <c r="BO219" i="1" s="1"/>
  <c r="BH235" i="1"/>
  <c r="BO235" i="1" s="1"/>
  <c r="BH243" i="1"/>
  <c r="BO243" i="1" s="1"/>
  <c r="BH259" i="1"/>
  <c r="BO259" i="1" s="1"/>
  <c r="BH267" i="1"/>
  <c r="BO267" i="1" s="1"/>
  <c r="BH283" i="1"/>
  <c r="BO283" i="1" s="1"/>
  <c r="BH291" i="1"/>
  <c r="BO291" i="1" s="1"/>
  <c r="BH307" i="1"/>
  <c r="BO307" i="1" s="1"/>
  <c r="BH323" i="1"/>
  <c r="BO323" i="1" s="1"/>
  <c r="BH339" i="1"/>
  <c r="BO339" i="1" s="1"/>
  <c r="BH347" i="1"/>
  <c r="BO347" i="1" s="1"/>
  <c r="BH355" i="1"/>
  <c r="BO355" i="1" s="1"/>
  <c r="BH36" i="1"/>
  <c r="BO36" i="1" s="1"/>
  <c r="BH100" i="1"/>
  <c r="BO100" i="1" s="1"/>
  <c r="BH18" i="1"/>
  <c r="BO18" i="1" s="1"/>
  <c r="BH26" i="1"/>
  <c r="BO26" i="1" s="1"/>
  <c r="BH34" i="1"/>
  <c r="BO34" i="1" s="1"/>
  <c r="BH42" i="1"/>
  <c r="BO42" i="1" s="1"/>
  <c r="BH50" i="1"/>
  <c r="BO50" i="1" s="1"/>
  <c r="BH58" i="1"/>
  <c r="BO58" i="1" s="1"/>
  <c r="BH66" i="1"/>
  <c r="BO66" i="1" s="1"/>
  <c r="BH74" i="1"/>
  <c r="BO74" i="1" s="1"/>
  <c r="BH82" i="1"/>
  <c r="BO82" i="1" s="1"/>
  <c r="BH90" i="1"/>
  <c r="BO90" i="1" s="1"/>
  <c r="BH98" i="1"/>
  <c r="BO98" i="1" s="1"/>
  <c r="BH106" i="1"/>
  <c r="BO106" i="1" s="1"/>
  <c r="BH114" i="1"/>
  <c r="BO114" i="1" s="1"/>
  <c r="BH122" i="1"/>
  <c r="BO122" i="1" s="1"/>
  <c r="BH130" i="1"/>
  <c r="BO130" i="1" s="1"/>
  <c r="BH138" i="1"/>
  <c r="BO138" i="1" s="1"/>
  <c r="BH146" i="1"/>
  <c r="BO146" i="1" s="1"/>
  <c r="BH154" i="1"/>
  <c r="BO154" i="1" s="1"/>
  <c r="BH162" i="1"/>
  <c r="BO162" i="1" s="1"/>
  <c r="BH170" i="1"/>
  <c r="BO170" i="1" s="1"/>
  <c r="BH178" i="1"/>
  <c r="BO178" i="1" s="1"/>
  <c r="BH194" i="1"/>
  <c r="BO194" i="1" s="1"/>
  <c r="BH202" i="1"/>
  <c r="BO202" i="1" s="1"/>
  <c r="BH210" i="1"/>
  <c r="BO210" i="1" s="1"/>
  <c r="BH218" i="1"/>
  <c r="BO218" i="1" s="1"/>
  <c r="BH226" i="1"/>
  <c r="BO226" i="1" s="1"/>
  <c r="BH234" i="1"/>
  <c r="BO234" i="1" s="1"/>
  <c r="BH242" i="1"/>
  <c r="BO242" i="1" s="1"/>
  <c r="BH250" i="1"/>
  <c r="BO250" i="1" s="1"/>
  <c r="BH258" i="1"/>
  <c r="BO258" i="1" s="1"/>
  <c r="BH266" i="1"/>
  <c r="BO266" i="1" s="1"/>
  <c r="BH274" i="1"/>
  <c r="BO274" i="1" s="1"/>
  <c r="BH290" i="1"/>
  <c r="BO290" i="1" s="1"/>
  <c r="BH298" i="1"/>
  <c r="BO298" i="1" s="1"/>
  <c r="BH314" i="1"/>
  <c r="BO314" i="1" s="1"/>
  <c r="BH322" i="1"/>
  <c r="BO322" i="1" s="1"/>
  <c r="BH338" i="1"/>
  <c r="BO338" i="1" s="1"/>
  <c r="BH362" i="1"/>
  <c r="BO362" i="1" s="1"/>
  <c r="BH27" i="1"/>
  <c r="BO27" i="1" s="1"/>
  <c r="BH115" i="1"/>
  <c r="BO115" i="1" s="1"/>
  <c r="BH147" i="1"/>
  <c r="BO147" i="1" s="1"/>
  <c r="BH171" i="1"/>
  <c r="BO171" i="1" s="1"/>
  <c r="BH203" i="1"/>
  <c r="BO203" i="1" s="1"/>
  <c r="BH227" i="1"/>
  <c r="BO227" i="1" s="1"/>
  <c r="BH251" i="1"/>
  <c r="BO251" i="1" s="1"/>
  <c r="BH275" i="1"/>
  <c r="BO275" i="1" s="1"/>
  <c r="BH299" i="1"/>
  <c r="BO299" i="1" s="1"/>
  <c r="BH331" i="1"/>
  <c r="BO331" i="1" s="1"/>
  <c r="BH363" i="1"/>
  <c r="BO363" i="1" s="1"/>
  <c r="BH28" i="1"/>
  <c r="BO28" i="1" s="1"/>
  <c r="BH68" i="1"/>
  <c r="BO68" i="1" s="1"/>
  <c r="BH84" i="1"/>
  <c r="BO84" i="1" s="1"/>
  <c r="BH108" i="1"/>
  <c r="BO108" i="1" s="1"/>
  <c r="BH124" i="1"/>
  <c r="BO124" i="1" s="1"/>
  <c r="BH21" i="1"/>
  <c r="BO21" i="1" s="1"/>
  <c r="BH39" i="1"/>
  <c r="BO39" i="1" s="1"/>
  <c r="BH62" i="1"/>
  <c r="BO62" i="1" s="1"/>
  <c r="BH85" i="1"/>
  <c r="BO85" i="1" s="1"/>
  <c r="BH103" i="1"/>
  <c r="BO103" i="1" s="1"/>
  <c r="BH126" i="1"/>
  <c r="BO126" i="1" s="1"/>
  <c r="BH143" i="1"/>
  <c r="BO143" i="1" s="1"/>
  <c r="BH159" i="1"/>
  <c r="BO159" i="1" s="1"/>
  <c r="BH175" i="1"/>
  <c r="BO175" i="1" s="1"/>
  <c r="BH191" i="1"/>
  <c r="BO191" i="1" s="1"/>
  <c r="BH207" i="1"/>
  <c r="BO207" i="1" s="1"/>
  <c r="BH223" i="1"/>
  <c r="BO223" i="1" s="1"/>
  <c r="BH239" i="1"/>
  <c r="BO239" i="1" s="1"/>
  <c r="BH255" i="1"/>
  <c r="BO255" i="1" s="1"/>
  <c r="BH271" i="1"/>
  <c r="BO271" i="1" s="1"/>
  <c r="BH287" i="1"/>
  <c r="BO287" i="1" s="1"/>
  <c r="BH303" i="1"/>
  <c r="BO303" i="1" s="1"/>
  <c r="BH319" i="1"/>
  <c r="BO319" i="1" s="1"/>
  <c r="BH335" i="1"/>
  <c r="BO335" i="1" s="1"/>
  <c r="BH351" i="1"/>
  <c r="BO351" i="1" s="1"/>
  <c r="BH367" i="1"/>
  <c r="BO367" i="1" s="1"/>
  <c r="BH22" i="1"/>
  <c r="BO22" i="1" s="1"/>
  <c r="BH127" i="1"/>
  <c r="BO127" i="1" s="1"/>
  <c r="BH164" i="1"/>
  <c r="BO164" i="1" s="1"/>
  <c r="BH180" i="1"/>
  <c r="BO180" i="1" s="1"/>
  <c r="BH212" i="1"/>
  <c r="BO212" i="1" s="1"/>
  <c r="BH244" i="1"/>
  <c r="BO244" i="1" s="1"/>
  <c r="BH260" i="1"/>
  <c r="BO260" i="1" s="1"/>
  <c r="BH308" i="1"/>
  <c r="BO308" i="1" s="1"/>
  <c r="BH356" i="1"/>
  <c r="BO356" i="1" s="1"/>
  <c r="BH118" i="1"/>
  <c r="BO118" i="1" s="1"/>
  <c r="BH252" i="1"/>
  <c r="BO252" i="1" s="1"/>
  <c r="BH300" i="1"/>
  <c r="BO300" i="1" s="1"/>
  <c r="BH348" i="1"/>
  <c r="BO348" i="1" s="1"/>
  <c r="BH55" i="1"/>
  <c r="BO55" i="1" s="1"/>
  <c r="BH141" i="1"/>
  <c r="BO141" i="1" s="1"/>
  <c r="BH189" i="1"/>
  <c r="BO189" i="1" s="1"/>
  <c r="BH253" i="1"/>
  <c r="BO253" i="1" s="1"/>
  <c r="BH317" i="1"/>
  <c r="BO317" i="1" s="1"/>
  <c r="BH45" i="1"/>
  <c r="BO45" i="1" s="1"/>
  <c r="BH63" i="1"/>
  <c r="BO63" i="1" s="1"/>
  <c r="BH86" i="1"/>
  <c r="BO86" i="1" s="1"/>
  <c r="BH109" i="1"/>
  <c r="BO109" i="1" s="1"/>
  <c r="BH148" i="1"/>
  <c r="BO148" i="1" s="1"/>
  <c r="BH196" i="1"/>
  <c r="BO196" i="1" s="1"/>
  <c r="BH228" i="1"/>
  <c r="BO228" i="1" s="1"/>
  <c r="BH276" i="1"/>
  <c r="BO276" i="1" s="1"/>
  <c r="BH292" i="1"/>
  <c r="BO292" i="1" s="1"/>
  <c r="BH324" i="1"/>
  <c r="BO324" i="1" s="1"/>
  <c r="BH340" i="1"/>
  <c r="BO340" i="1" s="1"/>
  <c r="BH372" i="1"/>
  <c r="BO372" i="1" s="1"/>
  <c r="BH172" i="1"/>
  <c r="BO172" i="1" s="1"/>
  <c r="BH332" i="1"/>
  <c r="BO332" i="1" s="1"/>
  <c r="BH37" i="1"/>
  <c r="BO37" i="1" s="1"/>
  <c r="BH101" i="1"/>
  <c r="BO101" i="1" s="1"/>
  <c r="BH119" i="1"/>
  <c r="BO119" i="1" s="1"/>
  <c r="BH173" i="1"/>
  <c r="BO173" i="1" s="1"/>
  <c r="BH221" i="1"/>
  <c r="BO221" i="1" s="1"/>
  <c r="BH285" i="1"/>
  <c r="BO285" i="1" s="1"/>
  <c r="BH349" i="1"/>
  <c r="BO349" i="1" s="1"/>
  <c r="BH23" i="1"/>
  <c r="BO23" i="1" s="1"/>
  <c r="BH46" i="1"/>
  <c r="BO46" i="1" s="1"/>
  <c r="BH69" i="1"/>
  <c r="BO69" i="1" s="1"/>
  <c r="BH87" i="1"/>
  <c r="BO87" i="1" s="1"/>
  <c r="BH110" i="1"/>
  <c r="BO110" i="1" s="1"/>
  <c r="BH133" i="1"/>
  <c r="BO133" i="1" s="1"/>
  <c r="BH149" i="1"/>
  <c r="BO149" i="1" s="1"/>
  <c r="BH165" i="1"/>
  <c r="BO165" i="1" s="1"/>
  <c r="BH181" i="1"/>
  <c r="BO181" i="1" s="1"/>
  <c r="BH197" i="1"/>
  <c r="BO197" i="1" s="1"/>
  <c r="BH213" i="1"/>
  <c r="BO213" i="1" s="1"/>
  <c r="BH229" i="1"/>
  <c r="BO229" i="1" s="1"/>
  <c r="BH245" i="1"/>
  <c r="BO245" i="1" s="1"/>
  <c r="BH261" i="1"/>
  <c r="BO261" i="1" s="1"/>
  <c r="BH277" i="1"/>
  <c r="BO277" i="1" s="1"/>
  <c r="BH293" i="1"/>
  <c r="BO293" i="1" s="1"/>
  <c r="BH309" i="1"/>
  <c r="BO309" i="1" s="1"/>
  <c r="BH325" i="1"/>
  <c r="BO325" i="1" s="1"/>
  <c r="BH341" i="1"/>
  <c r="BO341" i="1" s="1"/>
  <c r="BH357" i="1"/>
  <c r="BO357" i="1" s="1"/>
  <c r="BH373" i="1"/>
  <c r="BO373" i="1" s="1"/>
  <c r="BH29" i="1"/>
  <c r="BO29" i="1" s="1"/>
  <c r="BH47" i="1"/>
  <c r="BO47" i="1" s="1"/>
  <c r="BH70" i="1"/>
  <c r="BO70" i="1" s="1"/>
  <c r="BH93" i="1"/>
  <c r="BO93" i="1" s="1"/>
  <c r="BH111" i="1"/>
  <c r="BO111" i="1" s="1"/>
  <c r="BH134" i="1"/>
  <c r="BO134" i="1" s="1"/>
  <c r="BH150" i="1"/>
  <c r="BO150" i="1" s="1"/>
  <c r="BH166" i="1"/>
  <c r="BO166" i="1" s="1"/>
  <c r="BH182" i="1"/>
  <c r="BO182" i="1" s="1"/>
  <c r="BH198" i="1"/>
  <c r="BO198" i="1" s="1"/>
  <c r="BH214" i="1"/>
  <c r="BO214" i="1" s="1"/>
  <c r="BH230" i="1"/>
  <c r="BO230" i="1" s="1"/>
  <c r="BH246" i="1"/>
  <c r="BO246" i="1" s="1"/>
  <c r="BH262" i="1"/>
  <c r="BO262" i="1" s="1"/>
  <c r="BH278" i="1"/>
  <c r="BO278" i="1" s="1"/>
  <c r="BH294" i="1"/>
  <c r="BO294" i="1" s="1"/>
  <c r="BH310" i="1"/>
  <c r="BO310" i="1" s="1"/>
  <c r="BH326" i="1"/>
  <c r="BO326" i="1" s="1"/>
  <c r="BH342" i="1"/>
  <c r="BO342" i="1" s="1"/>
  <c r="BH358" i="1"/>
  <c r="BO358" i="1" s="1"/>
  <c r="BH374" i="1"/>
  <c r="BO374" i="1" s="1"/>
  <c r="BH30" i="1"/>
  <c r="BO30" i="1" s="1"/>
  <c r="BH53" i="1"/>
  <c r="BO53" i="1" s="1"/>
  <c r="BH71" i="1"/>
  <c r="BO71" i="1" s="1"/>
  <c r="BH94" i="1"/>
  <c r="BO94" i="1" s="1"/>
  <c r="BH117" i="1"/>
  <c r="BO117" i="1" s="1"/>
  <c r="BH135" i="1"/>
  <c r="BO135" i="1" s="1"/>
  <c r="BH151" i="1"/>
  <c r="BO151" i="1" s="1"/>
  <c r="BH167" i="1"/>
  <c r="BO167" i="1" s="1"/>
  <c r="BH183" i="1"/>
  <c r="BO183" i="1" s="1"/>
  <c r="BH199" i="1"/>
  <c r="BO199" i="1" s="1"/>
  <c r="BH215" i="1"/>
  <c r="BO215" i="1" s="1"/>
  <c r="BH231" i="1"/>
  <c r="BO231" i="1" s="1"/>
  <c r="BH247" i="1"/>
  <c r="BO247" i="1" s="1"/>
  <c r="BH263" i="1"/>
  <c r="BO263" i="1" s="1"/>
  <c r="BH279" i="1"/>
  <c r="BO279" i="1" s="1"/>
  <c r="BH295" i="1"/>
  <c r="BO295" i="1" s="1"/>
  <c r="BH311" i="1"/>
  <c r="BO311" i="1" s="1"/>
  <c r="BH327" i="1"/>
  <c r="BO327" i="1" s="1"/>
  <c r="BH343" i="1"/>
  <c r="BO343" i="1" s="1"/>
  <c r="BH359" i="1"/>
  <c r="BO359" i="1" s="1"/>
  <c r="BH375" i="1"/>
  <c r="BO375" i="1" s="1"/>
  <c r="BH31" i="1"/>
  <c r="BO31" i="1" s="1"/>
  <c r="BH54" i="1"/>
  <c r="BO54" i="1" s="1"/>
  <c r="BH77" i="1"/>
  <c r="BO77" i="1" s="1"/>
  <c r="BH95" i="1"/>
  <c r="BO95" i="1" s="1"/>
  <c r="BH140" i="1"/>
  <c r="BO140" i="1" s="1"/>
  <c r="BH156" i="1"/>
  <c r="BO156" i="1" s="1"/>
  <c r="BH188" i="1"/>
  <c r="BO188" i="1" s="1"/>
  <c r="BH204" i="1"/>
  <c r="BO204" i="1" s="1"/>
  <c r="BH220" i="1"/>
  <c r="BO220" i="1" s="1"/>
  <c r="BH236" i="1"/>
  <c r="BO236" i="1" s="1"/>
  <c r="BH268" i="1"/>
  <c r="BO268" i="1" s="1"/>
  <c r="BH284" i="1"/>
  <c r="BO284" i="1" s="1"/>
  <c r="BH316" i="1"/>
  <c r="BO316" i="1" s="1"/>
  <c r="BH364" i="1"/>
  <c r="BO364" i="1" s="1"/>
  <c r="BH78" i="1"/>
  <c r="BO78" i="1" s="1"/>
  <c r="BH157" i="1"/>
  <c r="BO157" i="1" s="1"/>
  <c r="BH205" i="1"/>
  <c r="BO205" i="1" s="1"/>
  <c r="BH237" i="1"/>
  <c r="BO237" i="1" s="1"/>
  <c r="BH269" i="1"/>
  <c r="BO269" i="1" s="1"/>
  <c r="BH301" i="1"/>
  <c r="BO301" i="1" s="1"/>
  <c r="BH333" i="1"/>
  <c r="BO333" i="1" s="1"/>
  <c r="BH365" i="1"/>
  <c r="BO365" i="1" s="1"/>
  <c r="BH38" i="1"/>
  <c r="BO38" i="1" s="1"/>
  <c r="BH190" i="1"/>
  <c r="BO190" i="1" s="1"/>
  <c r="BH318" i="1"/>
  <c r="BO318" i="1" s="1"/>
  <c r="BH61" i="1"/>
  <c r="BO61" i="1" s="1"/>
  <c r="BH206" i="1"/>
  <c r="BO206" i="1" s="1"/>
  <c r="BH334" i="1"/>
  <c r="BO334" i="1" s="1"/>
  <c r="BH222" i="1"/>
  <c r="BO222" i="1" s="1"/>
  <c r="BH102" i="1"/>
  <c r="BO102" i="1" s="1"/>
  <c r="BH238" i="1"/>
  <c r="BO238" i="1" s="1"/>
  <c r="BH366" i="1"/>
  <c r="BO366" i="1" s="1"/>
  <c r="BH125" i="1"/>
  <c r="BO125" i="1" s="1"/>
  <c r="BH254" i="1"/>
  <c r="BO254" i="1" s="1"/>
  <c r="BH142" i="1"/>
  <c r="BO142" i="1" s="1"/>
  <c r="BH270" i="1"/>
  <c r="BO270" i="1" s="1"/>
  <c r="BH158" i="1"/>
  <c r="BO158" i="1" s="1"/>
  <c r="BH286" i="1"/>
  <c r="BO286" i="1" s="1"/>
  <c r="BH174" i="1"/>
  <c r="BO174" i="1" s="1"/>
  <c r="BH302" i="1"/>
  <c r="BO302" i="1" s="1"/>
  <c r="BH79" i="1"/>
  <c r="BO79" i="1" s="1"/>
  <c r="BH350" i="1"/>
  <c r="BO350" i="1" s="1"/>
  <c r="BI15" i="1"/>
  <c r="BP15" i="1" s="1"/>
  <c r="BH15" i="1"/>
  <c r="BO15" i="1" s="1"/>
  <c r="F65" i="1"/>
  <c r="I65" i="1" s="1"/>
  <c r="R65" i="1" s="1"/>
  <c r="A45" i="1"/>
  <c r="C45" i="1" s="1"/>
  <c r="D56" i="1" s="1"/>
  <c r="F62" i="1"/>
  <c r="H62" i="1" s="1"/>
  <c r="Q62" i="1" s="1"/>
  <c r="A44" i="1"/>
  <c r="D44" i="1" s="1"/>
  <c r="E55" i="1" s="1"/>
  <c r="C56" i="1" s="1"/>
  <c r="F68" i="1"/>
  <c r="H68" i="1" s="1"/>
  <c r="Q68" i="1" s="1"/>
  <c r="F70" i="1"/>
  <c r="H70" i="1" s="1"/>
  <c r="Q70" i="1" s="1"/>
  <c r="A37" i="1"/>
  <c r="C37" i="1" s="1"/>
  <c r="B49" i="1" s="1"/>
  <c r="F71" i="1"/>
  <c r="I71" i="1" s="1"/>
  <c r="R71" i="1" s="1"/>
  <c r="A38" i="1"/>
  <c r="D38" i="1" s="1"/>
  <c r="E49" i="1" s="1"/>
  <c r="C50" i="1" s="1"/>
  <c r="F63" i="1"/>
  <c r="I63" i="1" s="1"/>
  <c r="R63" i="1" s="1"/>
  <c r="F67" i="1"/>
  <c r="A41" i="1"/>
  <c r="C41" i="1" s="1"/>
  <c r="D52" i="1" s="1"/>
  <c r="B53" i="1" s="1"/>
  <c r="F64" i="1"/>
  <c r="I64" i="1" s="1"/>
  <c r="R64" i="1" s="1"/>
  <c r="G67" i="1"/>
  <c r="I66" i="1"/>
  <c r="R66" i="1" s="1"/>
  <c r="H69" i="1"/>
  <c r="Q69" i="1" s="1"/>
  <c r="D39" i="1"/>
  <c r="E50" i="1" s="1"/>
  <c r="C51" i="1" s="1"/>
  <c r="C40" i="1"/>
  <c r="D51" i="1" s="1"/>
  <c r="B52" i="1" s="1"/>
  <c r="C43" i="1"/>
  <c r="D54" i="1" s="1"/>
  <c r="B55" i="1" s="1"/>
  <c r="D40" i="1"/>
  <c r="E51" i="1" s="1"/>
  <c r="C52" i="1" s="1"/>
  <c r="C42" i="1"/>
  <c r="D53" i="1" s="1"/>
  <c r="B54" i="1" s="1"/>
  <c r="C39" i="1"/>
  <c r="D50" i="1" s="1"/>
  <c r="B51" i="1" s="1"/>
  <c r="D42" i="1"/>
  <c r="E53" i="1" s="1"/>
  <c r="C54" i="1" s="1"/>
  <c r="H66" i="1"/>
  <c r="Q66" i="1" s="1"/>
  <c r="I69" i="1"/>
  <c r="R69" i="1" s="1"/>
  <c r="D43" i="1"/>
  <c r="E54" i="1" s="1"/>
  <c r="C55" i="1" s="1"/>
  <c r="H65" i="1" l="1"/>
  <c r="Q65" i="1" s="1"/>
  <c r="BQ311" i="1"/>
  <c r="BQ279" i="1"/>
  <c r="BQ244" i="1"/>
  <c r="BQ352" i="1"/>
  <c r="BS352" i="1" s="1"/>
  <c r="BQ86" i="1"/>
  <c r="BR86" i="1" s="1"/>
  <c r="BQ58" i="1"/>
  <c r="BQ185" i="1"/>
  <c r="BR185" i="1" s="1"/>
  <c r="BQ178" i="1"/>
  <c r="BQ270" i="1"/>
  <c r="BR270" i="1" s="1"/>
  <c r="BQ198" i="1"/>
  <c r="BQ318" i="1"/>
  <c r="BS318" i="1" s="1"/>
  <c r="BQ150" i="1"/>
  <c r="BR150" i="1" s="1"/>
  <c r="BQ342" i="1"/>
  <c r="BR342" i="1" s="1"/>
  <c r="BQ319" i="1"/>
  <c r="BR319" i="1" s="1"/>
  <c r="BQ94" i="1"/>
  <c r="BR94" i="1" s="1"/>
  <c r="BQ292" i="1"/>
  <c r="BQ203" i="1"/>
  <c r="BS203" i="1" s="1"/>
  <c r="BQ274" i="1"/>
  <c r="BQ210" i="1"/>
  <c r="BQ146" i="1"/>
  <c r="BQ145" i="1"/>
  <c r="BR145" i="1" s="1"/>
  <c r="BQ248" i="1"/>
  <c r="BQ184" i="1"/>
  <c r="BQ120" i="1"/>
  <c r="BS120" i="1" s="1"/>
  <c r="BQ56" i="1"/>
  <c r="BQ115" i="1"/>
  <c r="BQ307" i="1"/>
  <c r="BQ51" i="1"/>
  <c r="BR51" i="1" s="1"/>
  <c r="BQ122" i="1"/>
  <c r="BS122" i="1" s="1"/>
  <c r="BQ31" i="1"/>
  <c r="BS31" i="1" s="1"/>
  <c r="BQ243" i="1"/>
  <c r="BQ255" i="1"/>
  <c r="BR255" i="1" s="1"/>
  <c r="BQ18" i="1"/>
  <c r="BQ127" i="1"/>
  <c r="BR127" i="1" s="1"/>
  <c r="BQ209" i="1"/>
  <c r="BR209" i="1" s="1"/>
  <c r="BQ312" i="1"/>
  <c r="BR312" i="1" s="1"/>
  <c r="BQ174" i="1"/>
  <c r="BQ359" i="1"/>
  <c r="BS359" i="1" s="1"/>
  <c r="BQ310" i="1"/>
  <c r="BQ261" i="1"/>
  <c r="BS261" i="1" s="1"/>
  <c r="BQ133" i="1"/>
  <c r="BR133" i="1" s="1"/>
  <c r="BQ340" i="1"/>
  <c r="BR340" i="1" s="1"/>
  <c r="BQ138" i="1"/>
  <c r="BR138" i="1" s="1"/>
  <c r="BQ74" i="1"/>
  <c r="BS74" i="1" s="1"/>
  <c r="BQ179" i="1"/>
  <c r="BQ19" i="1"/>
  <c r="BS19" i="1" s="1"/>
  <c r="BQ305" i="1"/>
  <c r="BR305" i="1" s="1"/>
  <c r="BQ177" i="1"/>
  <c r="BR177" i="1" s="1"/>
  <c r="BQ113" i="1"/>
  <c r="BR113" i="1" s="1"/>
  <c r="BQ368" i="1"/>
  <c r="BS368" i="1" s="1"/>
  <c r="BQ304" i="1"/>
  <c r="BQ240" i="1"/>
  <c r="BS240" i="1" s="1"/>
  <c r="BQ176" i="1"/>
  <c r="BR176" i="1" s="1"/>
  <c r="BQ112" i="1"/>
  <c r="BS112" i="1" s="1"/>
  <c r="BQ48" i="1"/>
  <c r="BR48" i="1" s="1"/>
  <c r="BQ301" i="1"/>
  <c r="BR301" i="1" s="1"/>
  <c r="BQ62" i="1"/>
  <c r="BR62" i="1" s="1"/>
  <c r="BQ259" i="1"/>
  <c r="BR259" i="1" s="1"/>
  <c r="BQ67" i="1"/>
  <c r="BR67" i="1" s="1"/>
  <c r="BQ188" i="1"/>
  <c r="BR188" i="1" s="1"/>
  <c r="BQ60" i="1"/>
  <c r="BR60" i="1" s="1"/>
  <c r="BQ201" i="1"/>
  <c r="BR201" i="1" s="1"/>
  <c r="BQ365" i="1"/>
  <c r="BR365" i="1" s="1"/>
  <c r="BQ364" i="1"/>
  <c r="BR364" i="1" s="1"/>
  <c r="BQ166" i="1"/>
  <c r="BS166" i="1" s="1"/>
  <c r="BQ245" i="1"/>
  <c r="BR245" i="1" s="1"/>
  <c r="BQ173" i="1"/>
  <c r="BS173" i="1" s="1"/>
  <c r="BQ180" i="1"/>
  <c r="BS180" i="1" s="1"/>
  <c r="BQ303" i="1"/>
  <c r="BQ266" i="1"/>
  <c r="BS266" i="1" s="1"/>
  <c r="BQ202" i="1"/>
  <c r="BR202" i="1" s="1"/>
  <c r="BQ36" i="1"/>
  <c r="BS36" i="1" s="1"/>
  <c r="BQ267" i="1"/>
  <c r="BR267" i="1" s="1"/>
  <c r="BQ361" i="1"/>
  <c r="BS361" i="1" s="1"/>
  <c r="BQ143" i="1"/>
  <c r="BR143" i="1" s="1"/>
  <c r="BQ134" i="1"/>
  <c r="BR134" i="1" s="1"/>
  <c r="BQ269" i="1"/>
  <c r="BR269" i="1" s="1"/>
  <c r="BQ167" i="1"/>
  <c r="BR167" i="1" s="1"/>
  <c r="BQ278" i="1"/>
  <c r="BR278" i="1" s="1"/>
  <c r="BQ149" i="1"/>
  <c r="BR149" i="1" s="1"/>
  <c r="BQ148" i="1"/>
  <c r="BR148" i="1" s="1"/>
  <c r="BQ187" i="1"/>
  <c r="BR187" i="1" s="1"/>
  <c r="BQ123" i="1"/>
  <c r="BR123" i="1" s="1"/>
  <c r="BQ101" i="1"/>
  <c r="BR101" i="1" s="1"/>
  <c r="BQ322" i="1"/>
  <c r="BR322" i="1" s="1"/>
  <c r="BQ130" i="1"/>
  <c r="BR130" i="1" s="1"/>
  <c r="BQ66" i="1"/>
  <c r="BR66" i="1" s="1"/>
  <c r="BQ129" i="1"/>
  <c r="BR129" i="1" s="1"/>
  <c r="BQ40" i="1"/>
  <c r="BR40" i="1" s="1"/>
  <c r="BQ247" i="1"/>
  <c r="BR247" i="1" s="1"/>
  <c r="BQ47" i="1"/>
  <c r="BR47" i="1" s="1"/>
  <c r="BQ335" i="1"/>
  <c r="BR335" i="1" s="1"/>
  <c r="BQ363" i="1"/>
  <c r="BR363" i="1" s="1"/>
  <c r="BQ186" i="1"/>
  <c r="BR186" i="1" s="1"/>
  <c r="BQ121" i="1"/>
  <c r="BQ164" i="1"/>
  <c r="BS164" i="1" s="1"/>
  <c r="BQ258" i="1"/>
  <c r="BR258" i="1" s="1"/>
  <c r="BQ155" i="1"/>
  <c r="BR155" i="1" s="1"/>
  <c r="BQ102" i="1"/>
  <c r="BR102" i="1" s="1"/>
  <c r="BQ69" i="1"/>
  <c r="BS69" i="1" s="1"/>
  <c r="BQ317" i="1"/>
  <c r="BR317" i="1" s="1"/>
  <c r="BQ338" i="1"/>
  <c r="BR338" i="1" s="1"/>
  <c r="BQ114" i="1"/>
  <c r="BS114" i="1" s="1"/>
  <c r="BQ24" i="1"/>
  <c r="BS24" i="1" s="1"/>
  <c r="BQ110" i="1"/>
  <c r="BR110" i="1" s="1"/>
  <c r="BQ295" i="1"/>
  <c r="BR295" i="1" s="1"/>
  <c r="BQ171" i="1"/>
  <c r="BR171" i="1" s="1"/>
  <c r="BQ325" i="1"/>
  <c r="BR325" i="1" s="1"/>
  <c r="BQ253" i="1"/>
  <c r="BR253" i="1" s="1"/>
  <c r="BQ22" i="1"/>
  <c r="BR22" i="1" s="1"/>
  <c r="BQ242" i="1"/>
  <c r="BR242" i="1" s="1"/>
  <c r="BQ59" i="1"/>
  <c r="BR59" i="1" s="1"/>
  <c r="BQ330" i="1"/>
  <c r="BS330" i="1" s="1"/>
  <c r="BQ273" i="1"/>
  <c r="BS273" i="1" s="1"/>
  <c r="BQ81" i="1"/>
  <c r="BQ17" i="1"/>
  <c r="BR17" i="1" s="1"/>
  <c r="BQ16" i="1"/>
  <c r="BR16" i="1" s="1"/>
  <c r="BQ54" i="1"/>
  <c r="BR54" i="1" s="1"/>
  <c r="BQ286" i="1"/>
  <c r="BR286" i="1" s="1"/>
  <c r="BQ367" i="1"/>
  <c r="BR367" i="1" s="1"/>
  <c r="BQ39" i="1"/>
  <c r="BR39" i="1" s="1"/>
  <c r="BQ223" i="1"/>
  <c r="BR223" i="1" s="1"/>
  <c r="BQ229" i="1"/>
  <c r="BR229" i="1" s="1"/>
  <c r="BQ93" i="1"/>
  <c r="BR93" i="1" s="1"/>
  <c r="BQ220" i="1"/>
  <c r="BR220" i="1" s="1"/>
  <c r="BQ100" i="1"/>
  <c r="BR100" i="1" s="1"/>
  <c r="BQ355" i="1"/>
  <c r="BR355" i="1" s="1"/>
  <c r="BQ291" i="1"/>
  <c r="BR291" i="1" s="1"/>
  <c r="BQ35" i="1"/>
  <c r="BR35" i="1" s="1"/>
  <c r="BQ165" i="1"/>
  <c r="BR165" i="1" s="1"/>
  <c r="BQ53" i="1"/>
  <c r="BR53" i="1" s="1"/>
  <c r="BQ268" i="1"/>
  <c r="BR268" i="1" s="1"/>
  <c r="BQ124" i="1"/>
  <c r="BR124" i="1" s="1"/>
  <c r="BQ298" i="1"/>
  <c r="BR298" i="1" s="1"/>
  <c r="BQ106" i="1"/>
  <c r="BR106" i="1" s="1"/>
  <c r="BQ42" i="1"/>
  <c r="BR42" i="1" s="1"/>
  <c r="BQ297" i="1"/>
  <c r="BR297" i="1" s="1"/>
  <c r="BQ233" i="1"/>
  <c r="BR233" i="1" s="1"/>
  <c r="BQ105" i="1"/>
  <c r="BR105" i="1" s="1"/>
  <c r="BQ41" i="1"/>
  <c r="BR41" i="1" s="1"/>
  <c r="BQ272" i="1"/>
  <c r="BR272" i="1" s="1"/>
  <c r="BQ80" i="1"/>
  <c r="BR80" i="1" s="1"/>
  <c r="BQ117" i="1"/>
  <c r="BR117" i="1" s="1"/>
  <c r="BQ277" i="1"/>
  <c r="BR277" i="1" s="1"/>
  <c r="BQ313" i="1"/>
  <c r="BQ333" i="1"/>
  <c r="BR333" i="1" s="1"/>
  <c r="BQ87" i="1"/>
  <c r="BS87" i="1" s="1"/>
  <c r="BQ75" i="1"/>
  <c r="BR75" i="1" s="1"/>
  <c r="BQ97" i="1"/>
  <c r="BR97" i="1" s="1"/>
  <c r="BQ132" i="1"/>
  <c r="BR132" i="1" s="1"/>
  <c r="BQ28" i="1"/>
  <c r="BR28" i="1" s="1"/>
  <c r="BQ160" i="1"/>
  <c r="BR160" i="1" s="1"/>
  <c r="BQ95" i="1"/>
  <c r="BS95" i="1" s="1"/>
  <c r="BQ30" i="1"/>
  <c r="BR30" i="1" s="1"/>
  <c r="BQ250" i="1"/>
  <c r="BQ50" i="1"/>
  <c r="BS50" i="1" s="1"/>
  <c r="BQ44" i="1"/>
  <c r="BR44" i="1" s="1"/>
  <c r="BQ152" i="1"/>
  <c r="BR152" i="1" s="1"/>
  <c r="BQ235" i="1"/>
  <c r="BR235" i="1" s="1"/>
  <c r="BQ43" i="1"/>
  <c r="BR43" i="1" s="1"/>
  <c r="BQ206" i="1"/>
  <c r="BS206" i="1" s="1"/>
  <c r="BQ350" i="1"/>
  <c r="BR350" i="1" s="1"/>
  <c r="BQ236" i="1"/>
  <c r="BQ151" i="1"/>
  <c r="BR151" i="1" s="1"/>
  <c r="BQ181" i="1"/>
  <c r="BR181" i="1" s="1"/>
  <c r="BQ23" i="1"/>
  <c r="BR23" i="1" s="1"/>
  <c r="BQ332" i="1"/>
  <c r="BR332" i="1" s="1"/>
  <c r="BQ189" i="1"/>
  <c r="BQ103" i="1"/>
  <c r="BS103" i="1" s="1"/>
  <c r="BQ314" i="1"/>
  <c r="BS314" i="1" s="1"/>
  <c r="BQ323" i="1"/>
  <c r="BR323" i="1" s="1"/>
  <c r="BQ306" i="1"/>
  <c r="BS306" i="1" s="1"/>
  <c r="BQ329" i="1"/>
  <c r="BR329" i="1" s="1"/>
  <c r="BQ265" i="1"/>
  <c r="BS265" i="1" s="1"/>
  <c r="BQ137" i="1"/>
  <c r="BR137" i="1" s="1"/>
  <c r="BQ73" i="1"/>
  <c r="BS73" i="1" s="1"/>
  <c r="BQ371" i="1"/>
  <c r="BR371" i="1" s="1"/>
  <c r="BQ366" i="1"/>
  <c r="BR366" i="1" s="1"/>
  <c r="BQ262" i="1"/>
  <c r="BR262" i="1" s="1"/>
  <c r="BQ369" i="1"/>
  <c r="BR369" i="1" s="1"/>
  <c r="BQ357" i="1"/>
  <c r="BR357" i="1" s="1"/>
  <c r="BQ158" i="1"/>
  <c r="BR158" i="1" s="1"/>
  <c r="BQ213" i="1"/>
  <c r="BR213" i="1" s="1"/>
  <c r="BQ212" i="1"/>
  <c r="BR212" i="1" s="1"/>
  <c r="BQ283" i="1"/>
  <c r="BR283" i="1" s="1"/>
  <c r="BQ219" i="1"/>
  <c r="BR219" i="1" s="1"/>
  <c r="BQ108" i="1"/>
  <c r="BR108" i="1" s="1"/>
  <c r="BQ354" i="1"/>
  <c r="BR354" i="1" s="1"/>
  <c r="BQ290" i="1"/>
  <c r="BR290" i="1" s="1"/>
  <c r="BQ98" i="1"/>
  <c r="BR98" i="1" s="1"/>
  <c r="BQ225" i="1"/>
  <c r="BR225" i="1" s="1"/>
  <c r="BQ200" i="1"/>
  <c r="BR200" i="1" s="1"/>
  <c r="BQ72" i="1"/>
  <c r="BR72" i="1" s="1"/>
  <c r="BQ375" i="1"/>
  <c r="BS375" i="1" s="1"/>
  <c r="BQ207" i="1"/>
  <c r="BS207" i="1" s="1"/>
  <c r="BQ82" i="1"/>
  <c r="BQ249" i="1"/>
  <c r="BS249" i="1" s="1"/>
  <c r="BQ140" i="1"/>
  <c r="BS140" i="1" s="1"/>
  <c r="BQ161" i="1"/>
  <c r="BR161" i="1" s="1"/>
  <c r="BQ52" i="1"/>
  <c r="BS52" i="1" s="1"/>
  <c r="BQ224" i="1"/>
  <c r="BR224" i="1" s="1"/>
  <c r="BQ32" i="1"/>
  <c r="BS32" i="1" s="1"/>
  <c r="BQ156" i="1"/>
  <c r="BR156" i="1" s="1"/>
  <c r="BQ96" i="1"/>
  <c r="BR96" i="1" s="1"/>
  <c r="BQ276" i="1"/>
  <c r="BS276" i="1" s="1"/>
  <c r="BQ271" i="1"/>
  <c r="BR271" i="1" s="1"/>
  <c r="BQ251" i="1"/>
  <c r="BR251" i="1" s="1"/>
  <c r="BQ216" i="1"/>
  <c r="BQ222" i="1"/>
  <c r="BR222" i="1" s="1"/>
  <c r="BQ299" i="1"/>
  <c r="BR299" i="1" s="1"/>
  <c r="BQ107" i="1"/>
  <c r="BR107" i="1" s="1"/>
  <c r="BQ344" i="1"/>
  <c r="BR344" i="1" s="1"/>
  <c r="BQ88" i="1"/>
  <c r="BR88" i="1" s="1"/>
  <c r="BQ142" i="1"/>
  <c r="BS142" i="1" s="1"/>
  <c r="BQ254" i="1"/>
  <c r="BR254" i="1" s="1"/>
  <c r="BQ237" i="1"/>
  <c r="BR237" i="1" s="1"/>
  <c r="BQ125" i="1"/>
  <c r="BS125" i="1" s="1"/>
  <c r="BQ205" i="1"/>
  <c r="BR205" i="1" s="1"/>
  <c r="BQ263" i="1"/>
  <c r="BS263" i="1" s="1"/>
  <c r="BQ135" i="1"/>
  <c r="BQ70" i="1"/>
  <c r="BS70" i="1" s="1"/>
  <c r="BQ293" i="1"/>
  <c r="BR293" i="1" s="1"/>
  <c r="BQ349" i="1"/>
  <c r="BS349" i="1" s="1"/>
  <c r="BQ172" i="1"/>
  <c r="BR172" i="1" s="1"/>
  <c r="BQ351" i="1"/>
  <c r="BR351" i="1" s="1"/>
  <c r="BQ85" i="1"/>
  <c r="BR85" i="1" s="1"/>
  <c r="BQ226" i="1"/>
  <c r="BR226" i="1" s="1"/>
  <c r="BQ257" i="1"/>
  <c r="BR257" i="1" s="1"/>
  <c r="BQ193" i="1"/>
  <c r="BR193" i="1" s="1"/>
  <c r="BQ65" i="1"/>
  <c r="BR65" i="1" s="1"/>
  <c r="BQ116" i="1"/>
  <c r="BS116" i="1" s="1"/>
  <c r="BQ64" i="1"/>
  <c r="BR64" i="1" s="1"/>
  <c r="BQ334" i="1"/>
  <c r="BR334" i="1" s="1"/>
  <c r="BQ230" i="1"/>
  <c r="BR230" i="1" s="1"/>
  <c r="BQ79" i="1"/>
  <c r="BR79" i="1" s="1"/>
  <c r="BQ358" i="1"/>
  <c r="BR358" i="1" s="1"/>
  <c r="BQ341" i="1"/>
  <c r="BR341" i="1" s="1"/>
  <c r="BQ308" i="1"/>
  <c r="BR308" i="1" s="1"/>
  <c r="BQ275" i="1"/>
  <c r="BR275" i="1" s="1"/>
  <c r="BQ83" i="1"/>
  <c r="BR83" i="1" s="1"/>
  <c r="BQ141" i="1"/>
  <c r="BR141" i="1" s="1"/>
  <c r="BQ92" i="1"/>
  <c r="BR92" i="1" s="1"/>
  <c r="BQ282" i="1"/>
  <c r="BR282" i="1" s="1"/>
  <c r="BQ218" i="1"/>
  <c r="BR218" i="1" s="1"/>
  <c r="BQ154" i="1"/>
  <c r="BR154" i="1" s="1"/>
  <c r="BQ90" i="1"/>
  <c r="BR90" i="1" s="1"/>
  <c r="BQ217" i="1"/>
  <c r="BR217" i="1" s="1"/>
  <c r="BQ153" i="1"/>
  <c r="BR153" i="1" s="1"/>
  <c r="BQ25" i="1"/>
  <c r="BR25" i="1" s="1"/>
  <c r="BQ15" i="1"/>
  <c r="BS15" i="1" s="1"/>
  <c r="BX16" i="1"/>
  <c r="BY16" i="1" s="1"/>
  <c r="BX13" i="1"/>
  <c r="BY13" i="1" s="1"/>
  <c r="BJ237" i="1"/>
  <c r="BK237" i="1" s="1"/>
  <c r="BJ279" i="1"/>
  <c r="BK279" i="1" s="1"/>
  <c r="BJ93" i="1"/>
  <c r="BK93" i="1" s="1"/>
  <c r="BJ332" i="1"/>
  <c r="BK332" i="1" s="1"/>
  <c r="BJ367" i="1"/>
  <c r="BL367" i="1" s="1"/>
  <c r="BJ103" i="1"/>
  <c r="BL103" i="1" s="1"/>
  <c r="BJ314" i="1"/>
  <c r="BL314" i="1" s="1"/>
  <c r="BJ162" i="1"/>
  <c r="BL162" i="1" s="1"/>
  <c r="BJ323" i="1"/>
  <c r="BK323" i="1" s="1"/>
  <c r="BJ123" i="1"/>
  <c r="BL123" i="1" s="1"/>
  <c r="BJ306" i="1"/>
  <c r="BK306" i="1" s="1"/>
  <c r="BJ265" i="1"/>
  <c r="BL265" i="1" s="1"/>
  <c r="BJ73" i="1"/>
  <c r="BL73" i="1" s="1"/>
  <c r="BJ132" i="1"/>
  <c r="BK132" i="1" s="1"/>
  <c r="BJ371" i="1"/>
  <c r="BK371" i="1" s="1"/>
  <c r="BJ328" i="1"/>
  <c r="BK328" i="1" s="1"/>
  <c r="BJ264" i="1"/>
  <c r="BK264" i="1" s="1"/>
  <c r="BJ200" i="1"/>
  <c r="BK200" i="1" s="1"/>
  <c r="BJ136" i="1"/>
  <c r="BK136" i="1" s="1"/>
  <c r="BJ72" i="1"/>
  <c r="BL72" i="1" s="1"/>
  <c r="BJ79" i="1"/>
  <c r="BL79" i="1" s="1"/>
  <c r="BJ125" i="1"/>
  <c r="BK125" i="1" s="1"/>
  <c r="BJ318" i="1"/>
  <c r="BL318" i="1" s="1"/>
  <c r="BJ205" i="1"/>
  <c r="BL205" i="1" s="1"/>
  <c r="BJ220" i="1"/>
  <c r="BK220" i="1" s="1"/>
  <c r="BJ31" i="1"/>
  <c r="BK31" i="1" s="1"/>
  <c r="BJ263" i="1"/>
  <c r="BL263" i="1" s="1"/>
  <c r="BJ135" i="1"/>
  <c r="BL135" i="1" s="1"/>
  <c r="BJ342" i="1"/>
  <c r="BL342" i="1" s="1"/>
  <c r="BJ214" i="1"/>
  <c r="BK214" i="1" s="1"/>
  <c r="BJ70" i="1"/>
  <c r="BL70" i="1" s="1"/>
  <c r="BJ293" i="1"/>
  <c r="BL293" i="1" s="1"/>
  <c r="BJ165" i="1"/>
  <c r="BK165" i="1" s="1"/>
  <c r="BJ349" i="1"/>
  <c r="BL349" i="1" s="1"/>
  <c r="BJ172" i="1"/>
  <c r="BK172" i="1" s="1"/>
  <c r="BJ148" i="1"/>
  <c r="BK148" i="1" s="1"/>
  <c r="BJ141" i="1"/>
  <c r="BK141" i="1" s="1"/>
  <c r="BJ260" i="1"/>
  <c r="BL260" i="1" s="1"/>
  <c r="BJ351" i="1"/>
  <c r="BK351" i="1" s="1"/>
  <c r="BJ223" i="1"/>
  <c r="BL223" i="1" s="1"/>
  <c r="BJ85" i="1"/>
  <c r="BK85" i="1" s="1"/>
  <c r="BJ28" i="1"/>
  <c r="BK28" i="1" s="1"/>
  <c r="BJ171" i="1"/>
  <c r="BK171" i="1" s="1"/>
  <c r="BJ298" i="1"/>
  <c r="BL298" i="1" s="1"/>
  <c r="BJ154" i="1"/>
  <c r="BL154" i="1" s="1"/>
  <c r="BJ90" i="1"/>
  <c r="BK90" i="1" s="1"/>
  <c r="BJ26" i="1"/>
  <c r="BL26" i="1" s="1"/>
  <c r="BJ307" i="1"/>
  <c r="BK307" i="1" s="1"/>
  <c r="BJ195" i="1"/>
  <c r="BK195" i="1" s="1"/>
  <c r="BJ107" i="1"/>
  <c r="BL107" i="1" s="1"/>
  <c r="BJ43" i="1"/>
  <c r="BK43" i="1" s="1"/>
  <c r="BJ282" i="1"/>
  <c r="BL282" i="1" s="1"/>
  <c r="BJ321" i="1"/>
  <c r="BK321" i="1" s="1"/>
  <c r="BJ257" i="1"/>
  <c r="BK257" i="1" s="1"/>
  <c r="BJ193" i="1"/>
  <c r="BL193" i="1" s="1"/>
  <c r="BJ129" i="1"/>
  <c r="BL129" i="1" s="1"/>
  <c r="BJ65" i="1"/>
  <c r="BK65" i="1" s="1"/>
  <c r="BJ116" i="1"/>
  <c r="BL116" i="1" s="1"/>
  <c r="BJ315" i="1"/>
  <c r="BK315" i="1" s="1"/>
  <c r="BJ320" i="1"/>
  <c r="BL320" i="1" s="1"/>
  <c r="BJ256" i="1"/>
  <c r="BL256" i="1" s="1"/>
  <c r="BJ192" i="1"/>
  <c r="BK192" i="1" s="1"/>
  <c r="BJ128" i="1"/>
  <c r="BL128" i="1" s="1"/>
  <c r="BJ64" i="1"/>
  <c r="BL64" i="1" s="1"/>
  <c r="BJ302" i="1"/>
  <c r="BL302" i="1" s="1"/>
  <c r="BJ190" i="1"/>
  <c r="BL190" i="1" s="1"/>
  <c r="BJ204" i="1"/>
  <c r="BL204" i="1" s="1"/>
  <c r="BJ375" i="1"/>
  <c r="BL375" i="1" s="1"/>
  <c r="BJ247" i="1"/>
  <c r="BK247" i="1" s="1"/>
  <c r="BJ117" i="1"/>
  <c r="BK117" i="1" s="1"/>
  <c r="BJ326" i="1"/>
  <c r="BK326" i="1" s="1"/>
  <c r="BJ198" i="1"/>
  <c r="BL198" i="1" s="1"/>
  <c r="BJ47" i="1"/>
  <c r="BK47" i="1" s="1"/>
  <c r="BJ277" i="1"/>
  <c r="BL277" i="1" s="1"/>
  <c r="BJ149" i="1"/>
  <c r="BK149" i="1" s="1"/>
  <c r="BJ285" i="1"/>
  <c r="BK285" i="1" s="1"/>
  <c r="BJ372" i="1"/>
  <c r="BL372" i="1" s="1"/>
  <c r="BJ109" i="1"/>
  <c r="BL109" i="1" s="1"/>
  <c r="BJ244" i="1"/>
  <c r="BL244" i="1" s="1"/>
  <c r="BJ335" i="1"/>
  <c r="BL335" i="1" s="1"/>
  <c r="BJ207" i="1"/>
  <c r="BL207" i="1" s="1"/>
  <c r="BJ62" i="1"/>
  <c r="BL62" i="1" s="1"/>
  <c r="BJ363" i="1"/>
  <c r="BL363" i="1" s="1"/>
  <c r="BJ146" i="1"/>
  <c r="BK146" i="1" s="1"/>
  <c r="BJ82" i="1"/>
  <c r="BK82" i="1" s="1"/>
  <c r="BJ18" i="1"/>
  <c r="BK18" i="1" s="1"/>
  <c r="BJ291" i="1"/>
  <c r="BL291" i="1" s="1"/>
  <c r="BJ187" i="1"/>
  <c r="BL187" i="1" s="1"/>
  <c r="BJ99" i="1"/>
  <c r="BL99" i="1" s="1"/>
  <c r="BJ35" i="1"/>
  <c r="BL35" i="1" s="1"/>
  <c r="BJ186" i="1"/>
  <c r="BK186" i="1" s="1"/>
  <c r="BJ313" i="1"/>
  <c r="BK313" i="1" s="1"/>
  <c r="BJ249" i="1"/>
  <c r="BK249" i="1" s="1"/>
  <c r="BJ185" i="1"/>
  <c r="BK185" i="1" s="1"/>
  <c r="BJ121" i="1"/>
  <c r="BL121" i="1" s="1"/>
  <c r="BJ57" i="1"/>
  <c r="BL57" i="1" s="1"/>
  <c r="BJ312" i="1"/>
  <c r="BK312" i="1" s="1"/>
  <c r="BJ248" i="1"/>
  <c r="BK248" i="1" s="1"/>
  <c r="BJ184" i="1"/>
  <c r="BK184" i="1" s="1"/>
  <c r="BJ120" i="1"/>
  <c r="BL120" i="1" s="1"/>
  <c r="BJ56" i="1"/>
  <c r="BL56" i="1" s="1"/>
  <c r="BJ61" i="1"/>
  <c r="BL61" i="1" s="1"/>
  <c r="BJ151" i="1"/>
  <c r="BL151" i="1" s="1"/>
  <c r="BJ309" i="1"/>
  <c r="BK309" i="1" s="1"/>
  <c r="BJ196" i="1"/>
  <c r="BK196" i="1" s="1"/>
  <c r="BJ239" i="1"/>
  <c r="BL239" i="1" s="1"/>
  <c r="BJ234" i="1"/>
  <c r="BL234" i="1" s="1"/>
  <c r="BJ219" i="1"/>
  <c r="BK219" i="1" s="1"/>
  <c r="BJ201" i="1"/>
  <c r="BL201" i="1" s="1"/>
  <c r="BJ188" i="1"/>
  <c r="BL188" i="1" s="1"/>
  <c r="BJ231" i="1"/>
  <c r="BK231" i="1" s="1"/>
  <c r="BJ182" i="1"/>
  <c r="BK182" i="1" s="1"/>
  <c r="BJ221" i="1"/>
  <c r="BL221" i="1" s="1"/>
  <c r="BJ39" i="1"/>
  <c r="BK39" i="1" s="1"/>
  <c r="BJ177" i="1"/>
  <c r="BK177" i="1" s="1"/>
  <c r="BJ240" i="1"/>
  <c r="BL240" i="1" s="1"/>
  <c r="BJ48" i="1"/>
  <c r="BL48" i="1" s="1"/>
  <c r="BJ343" i="1"/>
  <c r="BK343" i="1" s="1"/>
  <c r="BJ300" i="1"/>
  <c r="BL300" i="1" s="1"/>
  <c r="BJ130" i="1"/>
  <c r="BK130" i="1" s="1"/>
  <c r="BJ370" i="1"/>
  <c r="BK370" i="1" s="1"/>
  <c r="BJ233" i="1"/>
  <c r="BL233" i="1" s="1"/>
  <c r="BJ41" i="1"/>
  <c r="BL41" i="1" s="1"/>
  <c r="BJ360" i="1"/>
  <c r="BK360" i="1" s="1"/>
  <c r="BJ232" i="1"/>
  <c r="BK232" i="1" s="1"/>
  <c r="BJ104" i="1"/>
  <c r="BL104" i="1" s="1"/>
  <c r="BJ222" i="1"/>
  <c r="BL222" i="1" s="1"/>
  <c r="BJ333" i="1"/>
  <c r="BL333" i="1" s="1"/>
  <c r="BJ140" i="1"/>
  <c r="BL140" i="1" s="1"/>
  <c r="BJ327" i="1"/>
  <c r="BL327" i="1" s="1"/>
  <c r="BJ53" i="1"/>
  <c r="BK53" i="1" s="1"/>
  <c r="BJ229" i="1"/>
  <c r="BL229" i="1" s="1"/>
  <c r="BJ87" i="1"/>
  <c r="BK87" i="1" s="1"/>
  <c r="BJ124" i="1"/>
  <c r="BK124" i="1" s="1"/>
  <c r="BJ362" i="1"/>
  <c r="BK362" i="1" s="1"/>
  <c r="BJ122" i="1"/>
  <c r="BL122" i="1" s="1"/>
  <c r="BJ58" i="1"/>
  <c r="BK58" i="1" s="1"/>
  <c r="BJ355" i="1"/>
  <c r="BK355" i="1" s="1"/>
  <c r="BJ352" i="1"/>
  <c r="BL352" i="1" s="1"/>
  <c r="BJ288" i="1"/>
  <c r="BL288" i="1" s="1"/>
  <c r="BJ224" i="1"/>
  <c r="BL224" i="1" s="1"/>
  <c r="BJ160" i="1"/>
  <c r="BK160" i="1" s="1"/>
  <c r="BJ96" i="1"/>
  <c r="BK96" i="1" s="1"/>
  <c r="BJ32" i="1"/>
  <c r="BK32" i="1" s="1"/>
  <c r="BJ350" i="1"/>
  <c r="BK350" i="1" s="1"/>
  <c r="BJ54" i="1"/>
  <c r="BK54" i="1" s="1"/>
  <c r="BJ230" i="1"/>
  <c r="BK230" i="1" s="1"/>
  <c r="BJ23" i="1"/>
  <c r="BL23" i="1" s="1"/>
  <c r="BJ308" i="1"/>
  <c r="BL308" i="1" s="1"/>
  <c r="BJ203" i="1"/>
  <c r="BL203" i="1" s="1"/>
  <c r="BJ98" i="1"/>
  <c r="BL98" i="1" s="1"/>
  <c r="BJ51" i="1"/>
  <c r="BL51" i="1" s="1"/>
  <c r="BJ137" i="1"/>
  <c r="BK137" i="1" s="1"/>
  <c r="BJ78" i="1"/>
  <c r="BK78" i="1" s="1"/>
  <c r="BJ29" i="1"/>
  <c r="BL29" i="1" s="1"/>
  <c r="BJ133" i="1"/>
  <c r="BL133" i="1" s="1"/>
  <c r="BJ86" i="1"/>
  <c r="BK86" i="1" s="1"/>
  <c r="BJ115" i="1"/>
  <c r="BK115" i="1" s="1"/>
  <c r="BJ138" i="1"/>
  <c r="BK138" i="1" s="1"/>
  <c r="BJ100" i="1"/>
  <c r="BL100" i="1" s="1"/>
  <c r="BJ305" i="1"/>
  <c r="BL305" i="1" s="1"/>
  <c r="BJ113" i="1"/>
  <c r="BK113" i="1" s="1"/>
  <c r="BJ368" i="1"/>
  <c r="BK368" i="1" s="1"/>
  <c r="BJ176" i="1"/>
  <c r="BL176" i="1" s="1"/>
  <c r="BJ286" i="1"/>
  <c r="BK286" i="1" s="1"/>
  <c r="BJ294" i="1"/>
  <c r="BL294" i="1" s="1"/>
  <c r="BJ245" i="1"/>
  <c r="BL245" i="1" s="1"/>
  <c r="BJ324" i="1"/>
  <c r="BK324" i="1" s="1"/>
  <c r="BJ303" i="1"/>
  <c r="BL303" i="1" s="1"/>
  <c r="BJ299" i="1"/>
  <c r="BL299" i="1" s="1"/>
  <c r="BJ66" i="1"/>
  <c r="BL66" i="1" s="1"/>
  <c r="BJ163" i="1"/>
  <c r="BL163" i="1" s="1"/>
  <c r="BJ297" i="1"/>
  <c r="BK297" i="1" s="1"/>
  <c r="BJ168" i="1"/>
  <c r="BL168" i="1" s="1"/>
  <c r="BJ284" i="1"/>
  <c r="BL284" i="1" s="1"/>
  <c r="BJ311" i="1"/>
  <c r="BK311" i="1" s="1"/>
  <c r="BJ183" i="1"/>
  <c r="BK183" i="1" s="1"/>
  <c r="BJ69" i="1"/>
  <c r="BL69" i="1" s="1"/>
  <c r="BJ118" i="1"/>
  <c r="BK118" i="1" s="1"/>
  <c r="BJ250" i="1"/>
  <c r="BL250" i="1" s="1"/>
  <c r="BJ178" i="1"/>
  <c r="BK178" i="1" s="1"/>
  <c r="BJ114" i="1"/>
  <c r="BK114" i="1" s="1"/>
  <c r="BJ50" i="1"/>
  <c r="BL50" i="1" s="1"/>
  <c r="BJ243" i="1"/>
  <c r="BL243" i="1" s="1"/>
  <c r="BJ344" i="1"/>
  <c r="BK344" i="1" s="1"/>
  <c r="BJ280" i="1"/>
  <c r="BK280" i="1" s="1"/>
  <c r="BJ216" i="1"/>
  <c r="BL216" i="1" s="1"/>
  <c r="BJ152" i="1"/>
  <c r="BL152" i="1" s="1"/>
  <c r="BJ88" i="1"/>
  <c r="BL88" i="1" s="1"/>
  <c r="BJ24" i="1"/>
  <c r="BK24" i="1" s="1"/>
  <c r="BJ254" i="1"/>
  <c r="BK254" i="1" s="1"/>
  <c r="BJ236" i="1"/>
  <c r="BL236" i="1" s="1"/>
  <c r="BJ358" i="1"/>
  <c r="BL358" i="1" s="1"/>
  <c r="BJ181" i="1"/>
  <c r="BK181" i="1" s="1"/>
  <c r="BJ189" i="1"/>
  <c r="BK189" i="1" s="1"/>
  <c r="BJ68" i="1"/>
  <c r="BK68" i="1" s="1"/>
  <c r="BJ34" i="1"/>
  <c r="BL34" i="1" s="1"/>
  <c r="BJ329" i="1"/>
  <c r="BL329" i="1" s="1"/>
  <c r="BJ38" i="1"/>
  <c r="BK38" i="1" s="1"/>
  <c r="BJ359" i="1"/>
  <c r="BL359" i="1" s="1"/>
  <c r="BJ310" i="1"/>
  <c r="BK310" i="1" s="1"/>
  <c r="BJ261" i="1"/>
  <c r="BL261" i="1" s="1"/>
  <c r="BJ340" i="1"/>
  <c r="BK340" i="1" s="1"/>
  <c r="BJ348" i="1"/>
  <c r="BK348" i="1" s="1"/>
  <c r="BJ74" i="1"/>
  <c r="BL74" i="1" s="1"/>
  <c r="BJ179" i="1"/>
  <c r="BL179" i="1" s="1"/>
  <c r="BJ241" i="1"/>
  <c r="BL241" i="1" s="1"/>
  <c r="BJ49" i="1"/>
  <c r="BK49" i="1" s="1"/>
  <c r="BJ304" i="1"/>
  <c r="BK304" i="1" s="1"/>
  <c r="BJ112" i="1"/>
  <c r="BL112" i="1" s="1"/>
  <c r="BJ102" i="1"/>
  <c r="BJ156" i="1"/>
  <c r="BK156" i="1" s="1"/>
  <c r="BJ373" i="1"/>
  <c r="BK373" i="1" s="1"/>
  <c r="BJ110" i="1"/>
  <c r="BK110" i="1" s="1"/>
  <c r="BJ63" i="1"/>
  <c r="BL63" i="1" s="1"/>
  <c r="BJ361" i="1"/>
  <c r="BL361" i="1" s="1"/>
  <c r="BJ169" i="1"/>
  <c r="BL169" i="1" s="1"/>
  <c r="BJ105" i="1"/>
  <c r="BL105" i="1" s="1"/>
  <c r="BJ296" i="1"/>
  <c r="BJ40" i="1"/>
  <c r="BK40" i="1" s="1"/>
  <c r="BJ206" i="1"/>
  <c r="BK206" i="1" s="1"/>
  <c r="BJ269" i="1"/>
  <c r="BL269" i="1" s="1"/>
  <c r="BJ268" i="1"/>
  <c r="BL268" i="1" s="1"/>
  <c r="BJ295" i="1"/>
  <c r="BL295" i="1" s="1"/>
  <c r="BJ167" i="1"/>
  <c r="BL167" i="1" s="1"/>
  <c r="BJ111" i="1"/>
  <c r="BL111" i="1" s="1"/>
  <c r="BJ46" i="1"/>
  <c r="BK46" i="1" s="1"/>
  <c r="BJ356" i="1"/>
  <c r="BL356" i="1" s="1"/>
  <c r="BJ255" i="1"/>
  <c r="BL255" i="1" s="1"/>
  <c r="BJ227" i="1"/>
  <c r="BL227" i="1" s="1"/>
  <c r="BJ242" i="1"/>
  <c r="BL242" i="1" s="1"/>
  <c r="BJ170" i="1"/>
  <c r="BL170" i="1" s="1"/>
  <c r="BJ106" i="1"/>
  <c r="BK106" i="1" s="1"/>
  <c r="BJ42" i="1"/>
  <c r="BK42" i="1" s="1"/>
  <c r="BJ235" i="1"/>
  <c r="BJ336" i="1"/>
  <c r="BL336" i="1" s="1"/>
  <c r="BJ272" i="1"/>
  <c r="BL272" i="1" s="1"/>
  <c r="BJ208" i="1"/>
  <c r="BL208" i="1" s="1"/>
  <c r="BJ144" i="1"/>
  <c r="BK144" i="1" s="1"/>
  <c r="BJ80" i="1"/>
  <c r="BK80" i="1" s="1"/>
  <c r="BJ16" i="1"/>
  <c r="BK16" i="1" s="1"/>
  <c r="BJ55" i="1"/>
  <c r="BK55" i="1" s="1"/>
  <c r="BJ147" i="1"/>
  <c r="BJ211" i="1"/>
  <c r="BL211" i="1" s="1"/>
  <c r="BJ238" i="1"/>
  <c r="BL238" i="1" s="1"/>
  <c r="BJ94" i="1"/>
  <c r="BK94" i="1" s="1"/>
  <c r="BJ319" i="1"/>
  <c r="BL319" i="1" s="1"/>
  <c r="BJ283" i="1"/>
  <c r="BL283" i="1" s="1"/>
  <c r="BJ91" i="1"/>
  <c r="BK91" i="1" s="1"/>
  <c r="BJ369" i="1"/>
  <c r="BK369" i="1" s="1"/>
  <c r="BJ76" i="1"/>
  <c r="BK76" i="1" s="1"/>
  <c r="BJ71" i="1"/>
  <c r="BL71" i="1" s="1"/>
  <c r="BJ21" i="1"/>
  <c r="BL21" i="1" s="1"/>
  <c r="BJ27" i="1"/>
  <c r="BK27" i="1" s="1"/>
  <c r="BJ202" i="1"/>
  <c r="BK202" i="1" s="1"/>
  <c r="BG10" i="1"/>
  <c r="BG11" i="1" s="1"/>
  <c r="BJ158" i="1"/>
  <c r="BK158" i="1" s="1"/>
  <c r="BJ316" i="1"/>
  <c r="BK316" i="1" s="1"/>
  <c r="BJ199" i="1"/>
  <c r="BK199" i="1" s="1"/>
  <c r="BJ278" i="1"/>
  <c r="BL278" i="1" s="1"/>
  <c r="BJ150" i="1"/>
  <c r="BK150" i="1" s="1"/>
  <c r="BJ357" i="1"/>
  <c r="BK357" i="1" s="1"/>
  <c r="BJ119" i="1"/>
  <c r="BK119" i="1" s="1"/>
  <c r="BJ292" i="1"/>
  <c r="BK292" i="1" s="1"/>
  <c r="BJ45" i="1"/>
  <c r="BK45" i="1" s="1"/>
  <c r="BJ252" i="1"/>
  <c r="BL252" i="1" s="1"/>
  <c r="BJ164" i="1"/>
  <c r="BJ287" i="1"/>
  <c r="BK287" i="1" s="1"/>
  <c r="BJ159" i="1"/>
  <c r="BK159" i="1" s="1"/>
  <c r="BJ275" i="1"/>
  <c r="BK275" i="1" s="1"/>
  <c r="BJ258" i="1"/>
  <c r="BK258" i="1" s="1"/>
  <c r="BJ194" i="1"/>
  <c r="BL194" i="1" s="1"/>
  <c r="BJ259" i="1"/>
  <c r="BK259" i="1" s="1"/>
  <c r="BJ155" i="1"/>
  <c r="BL155" i="1" s="1"/>
  <c r="BJ75" i="1"/>
  <c r="BJ354" i="1"/>
  <c r="BL354" i="1" s="1"/>
  <c r="BJ353" i="1"/>
  <c r="BL353" i="1" s="1"/>
  <c r="BJ289" i="1"/>
  <c r="BL289" i="1" s="1"/>
  <c r="BJ225" i="1"/>
  <c r="BK225" i="1" s="1"/>
  <c r="BJ161" i="1"/>
  <c r="BL161" i="1" s="1"/>
  <c r="BJ97" i="1"/>
  <c r="BL97" i="1" s="1"/>
  <c r="BJ33" i="1"/>
  <c r="BK33" i="1" s="1"/>
  <c r="BJ52" i="1"/>
  <c r="BJ226" i="1"/>
  <c r="BK226" i="1" s="1"/>
  <c r="BJ157" i="1"/>
  <c r="BL157" i="1" s="1"/>
  <c r="BJ218" i="1"/>
  <c r="BK218" i="1" s="1"/>
  <c r="BJ174" i="1"/>
  <c r="BK174" i="1" s="1"/>
  <c r="BJ191" i="1"/>
  <c r="BL191" i="1" s="1"/>
  <c r="BJ331" i="1"/>
  <c r="BL331" i="1" s="1"/>
  <c r="BJ210" i="1"/>
  <c r="BK210" i="1" s="1"/>
  <c r="BJ19" i="1"/>
  <c r="BJ365" i="1"/>
  <c r="BK365" i="1" s="1"/>
  <c r="BJ166" i="1"/>
  <c r="BK166" i="1" s="1"/>
  <c r="BJ173" i="1"/>
  <c r="BL173" i="1" s="1"/>
  <c r="BJ180" i="1"/>
  <c r="BK180" i="1" s="1"/>
  <c r="BJ175" i="1"/>
  <c r="BK175" i="1" s="1"/>
  <c r="BJ266" i="1"/>
  <c r="BL266" i="1" s="1"/>
  <c r="BJ36" i="1"/>
  <c r="BL36" i="1" s="1"/>
  <c r="BJ267" i="1"/>
  <c r="BL267" i="1" s="1"/>
  <c r="BJ83" i="1"/>
  <c r="BK83" i="1" s="1"/>
  <c r="BJ60" i="1"/>
  <c r="BK60" i="1" s="1"/>
  <c r="BJ270" i="1"/>
  <c r="BL270" i="1" s="1"/>
  <c r="BJ334" i="1"/>
  <c r="BL334" i="1" s="1"/>
  <c r="BJ301" i="1"/>
  <c r="BL301" i="1" s="1"/>
  <c r="BJ95" i="1"/>
  <c r="BK95" i="1" s="1"/>
  <c r="BJ30" i="1"/>
  <c r="BK30" i="1" s="1"/>
  <c r="BJ262" i="1"/>
  <c r="BL262" i="1" s="1"/>
  <c r="BJ134" i="1"/>
  <c r="BL134" i="1" s="1"/>
  <c r="BJ341" i="1"/>
  <c r="BK341" i="1" s="1"/>
  <c r="BJ213" i="1"/>
  <c r="BL213" i="1" s="1"/>
  <c r="BJ101" i="1"/>
  <c r="BL101" i="1" s="1"/>
  <c r="BJ276" i="1"/>
  <c r="BK276" i="1" s="1"/>
  <c r="BJ317" i="1"/>
  <c r="BK317" i="1" s="1"/>
  <c r="BJ127" i="1"/>
  <c r="BK127" i="1" s="1"/>
  <c r="BJ271" i="1"/>
  <c r="BJ143" i="1"/>
  <c r="BL143" i="1" s="1"/>
  <c r="BJ108" i="1"/>
  <c r="BL108" i="1" s="1"/>
  <c r="BJ251" i="1"/>
  <c r="BK251" i="1" s="1"/>
  <c r="BJ338" i="1"/>
  <c r="BK338" i="1" s="1"/>
  <c r="BJ347" i="1"/>
  <c r="BK347" i="1" s="1"/>
  <c r="BJ139" i="1"/>
  <c r="BL139" i="1" s="1"/>
  <c r="BJ67" i="1"/>
  <c r="BK67" i="1" s="1"/>
  <c r="BJ346" i="1"/>
  <c r="BK346" i="1" s="1"/>
  <c r="BJ345" i="1"/>
  <c r="BL345" i="1" s="1"/>
  <c r="BJ281" i="1"/>
  <c r="BK281" i="1" s="1"/>
  <c r="BJ217" i="1"/>
  <c r="BL217" i="1" s="1"/>
  <c r="BJ153" i="1"/>
  <c r="BK153" i="1" s="1"/>
  <c r="BJ89" i="1"/>
  <c r="BL89" i="1" s="1"/>
  <c r="BJ25" i="1"/>
  <c r="BL25" i="1" s="1"/>
  <c r="BJ44" i="1"/>
  <c r="BK44" i="1" s="1"/>
  <c r="BJ366" i="1"/>
  <c r="BJ290" i="1"/>
  <c r="BL290" i="1" s="1"/>
  <c r="BJ92" i="1"/>
  <c r="BK92" i="1" s="1"/>
  <c r="BJ212" i="1"/>
  <c r="BL212" i="1" s="1"/>
  <c r="BJ274" i="1"/>
  <c r="BK274" i="1" s="1"/>
  <c r="BJ364" i="1"/>
  <c r="BK364" i="1" s="1"/>
  <c r="BJ215" i="1"/>
  <c r="BL215" i="1" s="1"/>
  <c r="BJ142" i="1"/>
  <c r="BK142" i="1" s="1"/>
  <c r="BJ77" i="1"/>
  <c r="BL77" i="1" s="1"/>
  <c r="BJ374" i="1"/>
  <c r="BK374" i="1" s="1"/>
  <c r="BJ246" i="1"/>
  <c r="BL246" i="1" s="1"/>
  <c r="BJ325" i="1"/>
  <c r="BL325" i="1" s="1"/>
  <c r="BJ197" i="1"/>
  <c r="BK197" i="1" s="1"/>
  <c r="BJ37" i="1"/>
  <c r="BL37" i="1" s="1"/>
  <c r="BJ228" i="1"/>
  <c r="BL228" i="1" s="1"/>
  <c r="BJ253" i="1"/>
  <c r="BL253" i="1" s="1"/>
  <c r="BJ22" i="1"/>
  <c r="BJ126" i="1"/>
  <c r="BK126" i="1" s="1"/>
  <c r="BJ84" i="1"/>
  <c r="BL84" i="1" s="1"/>
  <c r="BJ322" i="1"/>
  <c r="BL322" i="1" s="1"/>
  <c r="BJ339" i="1"/>
  <c r="BK339" i="1" s="1"/>
  <c r="BJ131" i="1"/>
  <c r="BK131" i="1" s="1"/>
  <c r="BJ59" i="1"/>
  <c r="BL59" i="1" s="1"/>
  <c r="BJ330" i="1"/>
  <c r="BK330" i="1" s="1"/>
  <c r="BJ337" i="1"/>
  <c r="BJ273" i="1"/>
  <c r="BL273" i="1" s="1"/>
  <c r="BJ209" i="1"/>
  <c r="BK209" i="1" s="1"/>
  <c r="BJ145" i="1"/>
  <c r="BK145" i="1" s="1"/>
  <c r="BJ81" i="1"/>
  <c r="BL81" i="1" s="1"/>
  <c r="BJ17" i="1"/>
  <c r="BL17" i="1" s="1"/>
  <c r="BJ20" i="1"/>
  <c r="BL20" i="1" s="1"/>
  <c r="BJ15" i="1"/>
  <c r="BK15" i="1" s="1"/>
  <c r="D45" i="1"/>
  <c r="E56" i="1" s="1"/>
  <c r="C44" i="1"/>
  <c r="D55" i="1" s="1"/>
  <c r="B56" i="1" s="1"/>
  <c r="I62" i="1"/>
  <c r="R62" i="1" s="1"/>
  <c r="D37" i="1"/>
  <c r="C49" i="1" s="1"/>
  <c r="C38" i="1"/>
  <c r="D49" i="1" s="1"/>
  <c r="B50" i="1" s="1"/>
  <c r="F50" i="1" s="1"/>
  <c r="G50" i="1" s="1"/>
  <c r="I68" i="1"/>
  <c r="R68" i="1" s="1"/>
  <c r="I70" i="1"/>
  <c r="R70" i="1" s="1"/>
  <c r="H71" i="1"/>
  <c r="Q71" i="1" s="1"/>
  <c r="H64" i="1"/>
  <c r="Q64" i="1" s="1"/>
  <c r="I67" i="1"/>
  <c r="R67" i="1" s="1"/>
  <c r="H63" i="1"/>
  <c r="Q63" i="1" s="1"/>
  <c r="D41" i="1"/>
  <c r="E52" i="1" s="1"/>
  <c r="C53" i="1" s="1"/>
  <c r="F53" i="1" s="1"/>
  <c r="G53" i="1" s="1"/>
  <c r="H67" i="1"/>
  <c r="Q67" i="1" s="1"/>
  <c r="F51" i="1"/>
  <c r="G51" i="1" s="1"/>
  <c r="F54" i="1"/>
  <c r="G54" i="1" s="1"/>
  <c r="BR112" i="1" l="1"/>
  <c r="BT112" i="1" s="1"/>
  <c r="BU112" i="1" s="1"/>
  <c r="BS305" i="1"/>
  <c r="BT305" i="1" s="1"/>
  <c r="BU305" i="1" s="1"/>
  <c r="BR24" i="1"/>
  <c r="BT24" i="1" s="1"/>
  <c r="BU24" i="1" s="1"/>
  <c r="BR164" i="1"/>
  <c r="BT164" i="1" s="1"/>
  <c r="BU164" i="1" s="1"/>
  <c r="BS117" i="1"/>
  <c r="BT117" i="1" s="1"/>
  <c r="BU117" i="1" s="1"/>
  <c r="BR173" i="1"/>
  <c r="BT173" i="1" s="1"/>
  <c r="BU173" i="1" s="1"/>
  <c r="BR87" i="1"/>
  <c r="BT87" i="1" s="1"/>
  <c r="BU87" i="1" s="1"/>
  <c r="BS186" i="1"/>
  <c r="BT186" i="1" s="1"/>
  <c r="BU186" i="1" s="1"/>
  <c r="BS176" i="1"/>
  <c r="BT176" i="1" s="1"/>
  <c r="BU176" i="1" s="1"/>
  <c r="BR261" i="1"/>
  <c r="BT261" i="1" s="1"/>
  <c r="BU261" i="1" s="1"/>
  <c r="BR125" i="1"/>
  <c r="BT125" i="1" s="1"/>
  <c r="BU125" i="1" s="1"/>
  <c r="BS371" i="1"/>
  <c r="BT371" i="1" s="1"/>
  <c r="BU371" i="1" s="1"/>
  <c r="BR103" i="1"/>
  <c r="BT103" i="1" s="1"/>
  <c r="BU103" i="1" s="1"/>
  <c r="BR306" i="1"/>
  <c r="BT306" i="1" s="1"/>
  <c r="BU306" i="1" s="1"/>
  <c r="BR50" i="1"/>
  <c r="BT50" i="1" s="1"/>
  <c r="BU50" i="1" s="1"/>
  <c r="BS335" i="1"/>
  <c r="BT335" i="1" s="1"/>
  <c r="BU335" i="1" s="1"/>
  <c r="BR249" i="1"/>
  <c r="BT249" i="1" s="1"/>
  <c r="BU249" i="1" s="1"/>
  <c r="BR73" i="1"/>
  <c r="BT73" i="1" s="1"/>
  <c r="BU73" i="1" s="1"/>
  <c r="BR314" i="1"/>
  <c r="BT314" i="1" s="1"/>
  <c r="BU314" i="1" s="1"/>
  <c r="BR166" i="1"/>
  <c r="BT166" i="1" s="1"/>
  <c r="BU166" i="1" s="1"/>
  <c r="BS152" i="1"/>
  <c r="BT152" i="1" s="1"/>
  <c r="BU152" i="1" s="1"/>
  <c r="BR266" i="1"/>
  <c r="BT266" i="1" s="1"/>
  <c r="BU266" i="1" s="1"/>
  <c r="BR74" i="1"/>
  <c r="BT74" i="1" s="1"/>
  <c r="BU74" i="1" s="1"/>
  <c r="BR359" i="1"/>
  <c r="BT359" i="1" s="1"/>
  <c r="BU359" i="1" s="1"/>
  <c r="BS248" i="1"/>
  <c r="BR248" i="1"/>
  <c r="BR244" i="1"/>
  <c r="BS244" i="1"/>
  <c r="BS274" i="1"/>
  <c r="BR274" i="1"/>
  <c r="BS311" i="1"/>
  <c r="BR311" i="1"/>
  <c r="BS253" i="1"/>
  <c r="BT253" i="1" s="1"/>
  <c r="BU253" i="1" s="1"/>
  <c r="BS113" i="1"/>
  <c r="BT113" i="1" s="1"/>
  <c r="BU113" i="1" s="1"/>
  <c r="BR375" i="1"/>
  <c r="BT375" i="1" s="1"/>
  <c r="BU375" i="1" s="1"/>
  <c r="BQ139" i="1"/>
  <c r="BR139" i="1" s="1"/>
  <c r="BR330" i="1"/>
  <c r="BT330" i="1" s="1"/>
  <c r="BU330" i="1" s="1"/>
  <c r="BS245" i="1"/>
  <c r="BT245" i="1" s="1"/>
  <c r="BU245" i="1" s="1"/>
  <c r="BR114" i="1"/>
  <c r="BT114" i="1" s="1"/>
  <c r="BU114" i="1" s="1"/>
  <c r="BR368" i="1"/>
  <c r="BT368" i="1" s="1"/>
  <c r="BU368" i="1" s="1"/>
  <c r="BR276" i="1"/>
  <c r="BT276" i="1" s="1"/>
  <c r="BU276" i="1" s="1"/>
  <c r="BR32" i="1"/>
  <c r="BT32" i="1" s="1"/>
  <c r="BU32" i="1" s="1"/>
  <c r="BR207" i="1"/>
  <c r="BT207" i="1" s="1"/>
  <c r="BU207" i="1" s="1"/>
  <c r="BS16" i="1"/>
  <c r="BT16" i="1" s="1"/>
  <c r="BU16" i="1" s="1"/>
  <c r="BR240" i="1"/>
  <c r="BT240" i="1" s="1"/>
  <c r="BU240" i="1" s="1"/>
  <c r="BS94" i="1"/>
  <c r="BT94" i="1" s="1"/>
  <c r="BU94" i="1" s="1"/>
  <c r="BS138" i="1"/>
  <c r="BT138" i="1" s="1"/>
  <c r="BU138" i="1" s="1"/>
  <c r="BS75" i="1"/>
  <c r="BT75" i="1" s="1"/>
  <c r="BU75" i="1" s="1"/>
  <c r="BS133" i="1"/>
  <c r="BT133" i="1" s="1"/>
  <c r="BU133" i="1" s="1"/>
  <c r="BR265" i="1"/>
  <c r="BT265" i="1" s="1"/>
  <c r="BU265" i="1" s="1"/>
  <c r="BR70" i="1"/>
  <c r="BT70" i="1" s="1"/>
  <c r="BU70" i="1" s="1"/>
  <c r="BQ356" i="1"/>
  <c r="BR356" i="1" s="1"/>
  <c r="BS242" i="1"/>
  <c r="BT242" i="1" s="1"/>
  <c r="BU242" i="1" s="1"/>
  <c r="BS364" i="1"/>
  <c r="BT364" i="1" s="1"/>
  <c r="BU364" i="1" s="1"/>
  <c r="BS178" i="1"/>
  <c r="BR178" i="1"/>
  <c r="BR292" i="1"/>
  <c r="BS292" i="1"/>
  <c r="BR58" i="1"/>
  <c r="BS58" i="1"/>
  <c r="BR115" i="1"/>
  <c r="BS115" i="1"/>
  <c r="BS181" i="1"/>
  <c r="BT181" i="1" s="1"/>
  <c r="BU181" i="1" s="1"/>
  <c r="BS342" i="1"/>
  <c r="BT342" i="1" s="1"/>
  <c r="BU342" i="1" s="1"/>
  <c r="BS237" i="1"/>
  <c r="BT237" i="1" s="1"/>
  <c r="BU237" i="1" s="1"/>
  <c r="BQ331" i="1"/>
  <c r="BR331" i="1" s="1"/>
  <c r="BS17" i="1"/>
  <c r="BT17" i="1" s="1"/>
  <c r="BU17" i="1" s="1"/>
  <c r="BQ204" i="1"/>
  <c r="BR204" i="1" s="1"/>
  <c r="BS185" i="1"/>
  <c r="BT185" i="1" s="1"/>
  <c r="BU185" i="1" s="1"/>
  <c r="BS270" i="1"/>
  <c r="BT270" i="1" s="1"/>
  <c r="BU270" i="1" s="1"/>
  <c r="BR206" i="1"/>
  <c r="BT206" i="1" s="1"/>
  <c r="BU206" i="1" s="1"/>
  <c r="BR95" i="1"/>
  <c r="BT95" i="1" s="1"/>
  <c r="BU95" i="1" s="1"/>
  <c r="BQ20" i="1"/>
  <c r="BS20" i="1" s="1"/>
  <c r="BS51" i="1"/>
  <c r="BT51" i="1" s="1"/>
  <c r="BU51" i="1" s="1"/>
  <c r="BS267" i="1"/>
  <c r="BT267" i="1" s="1"/>
  <c r="BU267" i="1" s="1"/>
  <c r="BR361" i="1"/>
  <c r="BT361" i="1" s="1"/>
  <c r="BU361" i="1" s="1"/>
  <c r="BS145" i="1"/>
  <c r="BT145" i="1" s="1"/>
  <c r="BU145" i="1" s="1"/>
  <c r="BS177" i="1"/>
  <c r="BT177" i="1" s="1"/>
  <c r="BU177" i="1" s="1"/>
  <c r="BQ370" i="1"/>
  <c r="BR370" i="1" s="1"/>
  <c r="BQ76" i="1"/>
  <c r="BR76" i="1" s="1"/>
  <c r="BR52" i="1"/>
  <c r="BT52" i="1" s="1"/>
  <c r="BU52" i="1" s="1"/>
  <c r="BS319" i="1"/>
  <c r="BT319" i="1" s="1"/>
  <c r="BU319" i="1" s="1"/>
  <c r="BR116" i="1"/>
  <c r="BT116" i="1" s="1"/>
  <c r="BU116" i="1" s="1"/>
  <c r="BR142" i="1"/>
  <c r="BT142" i="1" s="1"/>
  <c r="BU142" i="1" s="1"/>
  <c r="BR203" i="1"/>
  <c r="BT203" i="1" s="1"/>
  <c r="BU203" i="1" s="1"/>
  <c r="BS47" i="1"/>
  <c r="BT47" i="1" s="1"/>
  <c r="BU47" i="1" s="1"/>
  <c r="BS22" i="1"/>
  <c r="BT22" i="1" s="1"/>
  <c r="BU22" i="1" s="1"/>
  <c r="BR140" i="1"/>
  <c r="BT140" i="1" s="1"/>
  <c r="BU140" i="1" s="1"/>
  <c r="BS338" i="1"/>
  <c r="BT338" i="1" s="1"/>
  <c r="BU338" i="1" s="1"/>
  <c r="BS224" i="1"/>
  <c r="BT224" i="1" s="1"/>
  <c r="BU224" i="1" s="1"/>
  <c r="BS277" i="1"/>
  <c r="BT277" i="1" s="1"/>
  <c r="BU277" i="1" s="1"/>
  <c r="BQ55" i="1"/>
  <c r="BR55" i="1" s="1"/>
  <c r="BQ169" i="1"/>
  <c r="BR169" i="1" s="1"/>
  <c r="BQ190" i="1"/>
  <c r="BR190" i="1" s="1"/>
  <c r="BQ296" i="1"/>
  <c r="BR296" i="1" s="1"/>
  <c r="BQ128" i="1"/>
  <c r="BR128" i="1" s="1"/>
  <c r="BQ238" i="1"/>
  <c r="BR238" i="1" s="1"/>
  <c r="BQ241" i="1"/>
  <c r="BR241" i="1" s="1"/>
  <c r="BQ131" i="1"/>
  <c r="BR131" i="1" s="1"/>
  <c r="BQ26" i="1"/>
  <c r="BR26" i="1" s="1"/>
  <c r="BR263" i="1"/>
  <c r="BT263" i="1" s="1"/>
  <c r="BU263" i="1" s="1"/>
  <c r="BQ57" i="1"/>
  <c r="BR57" i="1" s="1"/>
  <c r="BQ136" i="1"/>
  <c r="BR136" i="1" s="1"/>
  <c r="BQ347" i="1"/>
  <c r="BR347" i="1" s="1"/>
  <c r="BQ119" i="1"/>
  <c r="BR119" i="1" s="1"/>
  <c r="BQ199" i="1"/>
  <c r="BR199" i="1" s="1"/>
  <c r="BR243" i="1"/>
  <c r="BS243" i="1"/>
  <c r="BR303" i="1"/>
  <c r="BS303" i="1"/>
  <c r="BS216" i="1"/>
  <c r="BR216" i="1"/>
  <c r="BR184" i="1"/>
  <c r="BS184" i="1"/>
  <c r="BS200" i="1"/>
  <c r="BT200" i="1" s="1"/>
  <c r="BU200" i="1" s="1"/>
  <c r="BQ34" i="1"/>
  <c r="BR34" i="1" s="1"/>
  <c r="BQ37" i="1"/>
  <c r="BR37" i="1" s="1"/>
  <c r="BQ191" i="1"/>
  <c r="BR191" i="1" s="1"/>
  <c r="BQ287" i="1"/>
  <c r="BR287" i="1" s="1"/>
  <c r="BS189" i="1"/>
  <c r="BR189" i="1"/>
  <c r="BQ111" i="1"/>
  <c r="BR111" i="1" s="1"/>
  <c r="BR146" i="1"/>
  <c r="BS146" i="1"/>
  <c r="BS325" i="1"/>
  <c r="BT325" i="1" s="1"/>
  <c r="BU325" i="1" s="1"/>
  <c r="BS174" i="1"/>
  <c r="BR174" i="1"/>
  <c r="BQ71" i="1"/>
  <c r="BR71" i="1" s="1"/>
  <c r="BS130" i="1"/>
  <c r="BT130" i="1" s="1"/>
  <c r="BU130" i="1" s="1"/>
  <c r="BQ281" i="1"/>
  <c r="BR281" i="1" s="1"/>
  <c r="BQ288" i="1"/>
  <c r="BR288" i="1" s="1"/>
  <c r="BS107" i="1"/>
  <c r="BT107" i="1" s="1"/>
  <c r="BU107" i="1" s="1"/>
  <c r="BS198" i="1"/>
  <c r="BR198" i="1"/>
  <c r="BS85" i="1"/>
  <c r="BT85" i="1" s="1"/>
  <c r="BU85" i="1" s="1"/>
  <c r="BQ182" i="1"/>
  <c r="BR182" i="1" s="1"/>
  <c r="BQ343" i="1"/>
  <c r="BR343" i="1" s="1"/>
  <c r="BQ300" i="1"/>
  <c r="BR300" i="1" s="1"/>
  <c r="BS210" i="1"/>
  <c r="BR210" i="1"/>
  <c r="BS312" i="1"/>
  <c r="BT312" i="1" s="1"/>
  <c r="BU312" i="1" s="1"/>
  <c r="BQ147" i="1"/>
  <c r="BR147" i="1" s="1"/>
  <c r="BQ197" i="1"/>
  <c r="BR197" i="1" s="1"/>
  <c r="BQ246" i="1"/>
  <c r="BR246" i="1" s="1"/>
  <c r="BS299" i="1"/>
  <c r="BT299" i="1" s="1"/>
  <c r="BU299" i="1" s="1"/>
  <c r="BS156" i="1"/>
  <c r="BT156" i="1" s="1"/>
  <c r="BU156" i="1" s="1"/>
  <c r="BQ362" i="1"/>
  <c r="BR362" i="1" s="1"/>
  <c r="BQ328" i="1"/>
  <c r="BR328" i="1" s="1"/>
  <c r="BQ162" i="1"/>
  <c r="BR162" i="1" s="1"/>
  <c r="BQ316" i="1"/>
  <c r="BR316" i="1" s="1"/>
  <c r="BQ345" i="1"/>
  <c r="BR345" i="1" s="1"/>
  <c r="BQ337" i="1"/>
  <c r="BR337" i="1" s="1"/>
  <c r="BS279" i="1"/>
  <c r="BR279" i="1"/>
  <c r="BQ118" i="1"/>
  <c r="BR118" i="1" s="1"/>
  <c r="BQ336" i="1"/>
  <c r="BR336" i="1" s="1"/>
  <c r="BQ170" i="1"/>
  <c r="BR170" i="1" s="1"/>
  <c r="BS35" i="1"/>
  <c r="BT35" i="1" s="1"/>
  <c r="BU35" i="1" s="1"/>
  <c r="BS332" i="1"/>
  <c r="BT332" i="1" s="1"/>
  <c r="BU332" i="1" s="1"/>
  <c r="BR81" i="1"/>
  <c r="BS81" i="1"/>
  <c r="BQ228" i="1"/>
  <c r="BR228" i="1" s="1"/>
  <c r="BQ327" i="1"/>
  <c r="BR327" i="1" s="1"/>
  <c r="BQ104" i="1"/>
  <c r="BR104" i="1" s="1"/>
  <c r="BS257" i="1"/>
  <c r="BT257" i="1" s="1"/>
  <c r="BU257" i="1" s="1"/>
  <c r="BS172" i="1"/>
  <c r="BT172" i="1" s="1"/>
  <c r="BU172" i="1" s="1"/>
  <c r="BQ315" i="1"/>
  <c r="BR315" i="1" s="1"/>
  <c r="BS179" i="1"/>
  <c r="BR179" i="1"/>
  <c r="BQ348" i="1"/>
  <c r="BR348" i="1" s="1"/>
  <c r="BR310" i="1"/>
  <c r="BS310" i="1"/>
  <c r="BS365" i="1"/>
  <c r="BT365" i="1" s="1"/>
  <c r="BU365" i="1" s="1"/>
  <c r="BQ221" i="1"/>
  <c r="BR221" i="1" s="1"/>
  <c r="BQ326" i="1"/>
  <c r="BR326" i="1" s="1"/>
  <c r="BR313" i="1"/>
  <c r="BS313" i="1"/>
  <c r="BR121" i="1"/>
  <c r="BS121" i="1"/>
  <c r="BR304" i="1"/>
  <c r="BS304" i="1"/>
  <c r="BQ89" i="1"/>
  <c r="BR89" i="1" s="1"/>
  <c r="BS282" i="1"/>
  <c r="BT282" i="1" s="1"/>
  <c r="BU282" i="1" s="1"/>
  <c r="BQ211" i="1"/>
  <c r="BR211" i="1" s="1"/>
  <c r="BQ126" i="1"/>
  <c r="BR126" i="1" s="1"/>
  <c r="BQ353" i="1"/>
  <c r="BR353" i="1" s="1"/>
  <c r="BQ192" i="1"/>
  <c r="BR192" i="1" s="1"/>
  <c r="BR307" i="1"/>
  <c r="BS307" i="1"/>
  <c r="BS344" i="1"/>
  <c r="BT344" i="1" s="1"/>
  <c r="BU344" i="1" s="1"/>
  <c r="BS222" i="1"/>
  <c r="BT222" i="1" s="1"/>
  <c r="BU222" i="1" s="1"/>
  <c r="BS205" i="1"/>
  <c r="BT205" i="1" s="1"/>
  <c r="BU205" i="1" s="1"/>
  <c r="BQ159" i="1"/>
  <c r="BR159" i="1" s="1"/>
  <c r="BQ33" i="1"/>
  <c r="BR33" i="1" s="1"/>
  <c r="BS226" i="1"/>
  <c r="BT226" i="1" s="1"/>
  <c r="BU226" i="1" s="1"/>
  <c r="BQ91" i="1"/>
  <c r="BR91" i="1" s="1"/>
  <c r="BQ77" i="1"/>
  <c r="BR77" i="1" s="1"/>
  <c r="BQ175" i="1"/>
  <c r="BR175" i="1" s="1"/>
  <c r="BS132" i="1"/>
  <c r="BT132" i="1" s="1"/>
  <c r="BU132" i="1" s="1"/>
  <c r="BQ289" i="1"/>
  <c r="BR289" i="1" s="1"/>
  <c r="BS150" i="1"/>
  <c r="BT150" i="1" s="1"/>
  <c r="BU150" i="1" s="1"/>
  <c r="BQ46" i="1"/>
  <c r="BR46" i="1" s="1"/>
  <c r="BS23" i="1"/>
  <c r="BT23" i="1" s="1"/>
  <c r="BU23" i="1" s="1"/>
  <c r="BQ109" i="1"/>
  <c r="BR109" i="1" s="1"/>
  <c r="BS56" i="1"/>
  <c r="BR56" i="1"/>
  <c r="BQ339" i="1"/>
  <c r="BR339" i="1" s="1"/>
  <c r="BS135" i="1"/>
  <c r="BR135" i="1"/>
  <c r="BS43" i="1"/>
  <c r="BT43" i="1" s="1"/>
  <c r="BU43" i="1" s="1"/>
  <c r="BQ227" i="1"/>
  <c r="BR227" i="1" s="1"/>
  <c r="BQ38" i="1"/>
  <c r="BR38" i="1" s="1"/>
  <c r="BQ68" i="1"/>
  <c r="BR68" i="1" s="1"/>
  <c r="BS18" i="1"/>
  <c r="BR18" i="1"/>
  <c r="BS153" i="1"/>
  <c r="BT153" i="1" s="1"/>
  <c r="BU153" i="1" s="1"/>
  <c r="BR318" i="1"/>
  <c r="BT318" i="1" s="1"/>
  <c r="BU318" i="1" s="1"/>
  <c r="BQ49" i="1"/>
  <c r="BR49" i="1" s="1"/>
  <c r="BS255" i="1"/>
  <c r="BT255" i="1" s="1"/>
  <c r="BU255" i="1" s="1"/>
  <c r="BQ346" i="1"/>
  <c r="BR346" i="1" s="1"/>
  <c r="BQ252" i="1"/>
  <c r="BR252" i="1" s="1"/>
  <c r="BR82" i="1"/>
  <c r="BS82" i="1"/>
  <c r="BR236" i="1"/>
  <c r="BS236" i="1"/>
  <c r="BQ284" i="1"/>
  <c r="BR284" i="1" s="1"/>
  <c r="BS250" i="1"/>
  <c r="BR250" i="1"/>
  <c r="BQ84" i="1"/>
  <c r="BR84" i="1" s="1"/>
  <c r="BQ260" i="1"/>
  <c r="BR260" i="1" s="1"/>
  <c r="BS167" i="1"/>
  <c r="BT167" i="1" s="1"/>
  <c r="BU167" i="1" s="1"/>
  <c r="BQ27" i="1"/>
  <c r="BR27" i="1" s="1"/>
  <c r="BQ294" i="1"/>
  <c r="BR294" i="1" s="1"/>
  <c r="BS41" i="1"/>
  <c r="BT41" i="1" s="1"/>
  <c r="BU41" i="1" s="1"/>
  <c r="BS93" i="1"/>
  <c r="BT93" i="1" s="1"/>
  <c r="BU93" i="1" s="1"/>
  <c r="BS171" i="1"/>
  <c r="BT171" i="1" s="1"/>
  <c r="BU171" i="1" s="1"/>
  <c r="BQ168" i="1"/>
  <c r="BR168" i="1" s="1"/>
  <c r="BS351" i="1"/>
  <c r="BT351" i="1" s="1"/>
  <c r="BU351" i="1" s="1"/>
  <c r="BS64" i="1"/>
  <c r="BT64" i="1" s="1"/>
  <c r="BU64" i="1" s="1"/>
  <c r="BS217" i="1"/>
  <c r="BT217" i="1" s="1"/>
  <c r="BU217" i="1" s="1"/>
  <c r="BS92" i="1"/>
  <c r="BT92" i="1" s="1"/>
  <c r="BU92" i="1" s="1"/>
  <c r="BS275" i="1"/>
  <c r="BT275" i="1" s="1"/>
  <c r="BU275" i="1" s="1"/>
  <c r="BS341" i="1"/>
  <c r="BT341" i="1" s="1"/>
  <c r="BU341" i="1" s="1"/>
  <c r="BS230" i="1"/>
  <c r="BT230" i="1" s="1"/>
  <c r="BU230" i="1" s="1"/>
  <c r="BS96" i="1"/>
  <c r="BT96" i="1" s="1"/>
  <c r="BU96" i="1" s="1"/>
  <c r="BS98" i="1"/>
  <c r="BT98" i="1" s="1"/>
  <c r="BU98" i="1" s="1"/>
  <c r="BS212" i="1"/>
  <c r="BT212" i="1" s="1"/>
  <c r="BU212" i="1" s="1"/>
  <c r="BS366" i="1"/>
  <c r="BT366" i="1" s="1"/>
  <c r="BU366" i="1" s="1"/>
  <c r="BQ264" i="1"/>
  <c r="BR264" i="1" s="1"/>
  <c r="BQ374" i="1"/>
  <c r="BR374" i="1" s="1"/>
  <c r="BS160" i="1"/>
  <c r="BT160" i="1" s="1"/>
  <c r="BU160" i="1" s="1"/>
  <c r="BQ157" i="1"/>
  <c r="BR157" i="1" s="1"/>
  <c r="BS105" i="1"/>
  <c r="BT105" i="1" s="1"/>
  <c r="BU105" i="1" s="1"/>
  <c r="BS298" i="1"/>
  <c r="BT298" i="1" s="1"/>
  <c r="BU298" i="1" s="1"/>
  <c r="BS229" i="1"/>
  <c r="BT229" i="1" s="1"/>
  <c r="BU229" i="1" s="1"/>
  <c r="BS367" i="1"/>
  <c r="BT367" i="1" s="1"/>
  <c r="BU367" i="1" s="1"/>
  <c r="BS363" i="1"/>
  <c r="BT363" i="1" s="1"/>
  <c r="BU363" i="1" s="1"/>
  <c r="BR69" i="1"/>
  <c r="BT69" i="1" s="1"/>
  <c r="BU69" i="1" s="1"/>
  <c r="BS66" i="1"/>
  <c r="BT66" i="1" s="1"/>
  <c r="BU66" i="1" s="1"/>
  <c r="BS101" i="1"/>
  <c r="BT101" i="1" s="1"/>
  <c r="BU101" i="1" s="1"/>
  <c r="BS148" i="1"/>
  <c r="BT148" i="1" s="1"/>
  <c r="BU148" i="1" s="1"/>
  <c r="BS143" i="1"/>
  <c r="BT143" i="1" s="1"/>
  <c r="BU143" i="1" s="1"/>
  <c r="BQ232" i="1"/>
  <c r="BR232" i="1" s="1"/>
  <c r="BQ163" i="1"/>
  <c r="BR163" i="1" s="1"/>
  <c r="BR180" i="1"/>
  <c r="BT180" i="1" s="1"/>
  <c r="BU180" i="1" s="1"/>
  <c r="BS202" i="1"/>
  <c r="BT202" i="1" s="1"/>
  <c r="BU202" i="1" s="1"/>
  <c r="BS67" i="1"/>
  <c r="BT67" i="1" s="1"/>
  <c r="BU67" i="1" s="1"/>
  <c r="BS124" i="1"/>
  <c r="BT124" i="1" s="1"/>
  <c r="BU124" i="1" s="1"/>
  <c r="BS269" i="1"/>
  <c r="BT269" i="1" s="1"/>
  <c r="BU269" i="1" s="1"/>
  <c r="BS137" i="1"/>
  <c r="BT137" i="1" s="1"/>
  <c r="BU137" i="1" s="1"/>
  <c r="BS209" i="1"/>
  <c r="BT209" i="1" s="1"/>
  <c r="BU209" i="1" s="1"/>
  <c r="BS90" i="1"/>
  <c r="BT90" i="1" s="1"/>
  <c r="BU90" i="1" s="1"/>
  <c r="BS141" i="1"/>
  <c r="BT141" i="1" s="1"/>
  <c r="BU141" i="1" s="1"/>
  <c r="BS358" i="1"/>
  <c r="BT358" i="1" s="1"/>
  <c r="BU358" i="1" s="1"/>
  <c r="BS334" i="1"/>
  <c r="BT334" i="1" s="1"/>
  <c r="BU334" i="1" s="1"/>
  <c r="BQ256" i="1"/>
  <c r="BR256" i="1" s="1"/>
  <c r="BR349" i="1"/>
  <c r="BT349" i="1" s="1"/>
  <c r="BU349" i="1" s="1"/>
  <c r="BR31" i="1"/>
  <c r="BT31" i="1" s="1"/>
  <c r="BU31" i="1" s="1"/>
  <c r="BS88" i="1"/>
  <c r="BT88" i="1" s="1"/>
  <c r="BU88" i="1" s="1"/>
  <c r="BS293" i="1"/>
  <c r="BT293" i="1" s="1"/>
  <c r="BU293" i="1" s="1"/>
  <c r="BS86" i="1"/>
  <c r="BT86" i="1" s="1"/>
  <c r="BU86" i="1" s="1"/>
  <c r="BR122" i="1"/>
  <c r="BT122" i="1" s="1"/>
  <c r="BU122" i="1" s="1"/>
  <c r="BQ99" i="1"/>
  <c r="BR99" i="1" s="1"/>
  <c r="BS97" i="1"/>
  <c r="BT97" i="1" s="1"/>
  <c r="BU97" i="1" s="1"/>
  <c r="BS290" i="1"/>
  <c r="BT290" i="1" s="1"/>
  <c r="BU290" i="1" s="1"/>
  <c r="BS155" i="1"/>
  <c r="BT155" i="1" s="1"/>
  <c r="BU155" i="1" s="1"/>
  <c r="BS213" i="1"/>
  <c r="BT213" i="1" s="1"/>
  <c r="BU213" i="1" s="1"/>
  <c r="BS317" i="1"/>
  <c r="BT317" i="1" s="1"/>
  <c r="BU317" i="1" s="1"/>
  <c r="BQ234" i="1"/>
  <c r="BR234" i="1" s="1"/>
  <c r="BS235" i="1"/>
  <c r="BT235" i="1" s="1"/>
  <c r="BU235" i="1" s="1"/>
  <c r="BR352" i="1"/>
  <c r="BT352" i="1" s="1"/>
  <c r="BU352" i="1" s="1"/>
  <c r="BQ45" i="1"/>
  <c r="BR45" i="1" s="1"/>
  <c r="BR120" i="1"/>
  <c r="BT120" i="1" s="1"/>
  <c r="BU120" i="1" s="1"/>
  <c r="BS297" i="1"/>
  <c r="BT297" i="1" s="1"/>
  <c r="BU297" i="1" s="1"/>
  <c r="BS268" i="1"/>
  <c r="BT268" i="1" s="1"/>
  <c r="BU268" i="1" s="1"/>
  <c r="BS355" i="1"/>
  <c r="BT355" i="1" s="1"/>
  <c r="BU355" i="1" s="1"/>
  <c r="BS286" i="1"/>
  <c r="BT286" i="1" s="1"/>
  <c r="BU286" i="1" s="1"/>
  <c r="BQ144" i="1"/>
  <c r="BR144" i="1" s="1"/>
  <c r="BR273" i="1"/>
  <c r="BT273" i="1" s="1"/>
  <c r="BU273" i="1" s="1"/>
  <c r="BS295" i="1"/>
  <c r="BT295" i="1" s="1"/>
  <c r="BU295" i="1" s="1"/>
  <c r="BQ183" i="1"/>
  <c r="BR183" i="1" s="1"/>
  <c r="BS65" i="1"/>
  <c r="BT65" i="1" s="1"/>
  <c r="BU65" i="1" s="1"/>
  <c r="BS258" i="1"/>
  <c r="BT258" i="1" s="1"/>
  <c r="BU258" i="1" s="1"/>
  <c r="BS123" i="1"/>
  <c r="BT123" i="1" s="1"/>
  <c r="BU123" i="1" s="1"/>
  <c r="BS149" i="1"/>
  <c r="BT149" i="1" s="1"/>
  <c r="BU149" i="1" s="1"/>
  <c r="BS350" i="1"/>
  <c r="BT350" i="1" s="1"/>
  <c r="BU350" i="1" s="1"/>
  <c r="BS48" i="1"/>
  <c r="BT48" i="1" s="1"/>
  <c r="BU48" i="1" s="1"/>
  <c r="BS201" i="1"/>
  <c r="BT201" i="1" s="1"/>
  <c r="BU201" i="1" s="1"/>
  <c r="BS60" i="1"/>
  <c r="BT60" i="1" s="1"/>
  <c r="BU60" i="1" s="1"/>
  <c r="BS259" i="1"/>
  <c r="BT259" i="1" s="1"/>
  <c r="BU259" i="1" s="1"/>
  <c r="BS301" i="1"/>
  <c r="BT301" i="1" s="1"/>
  <c r="BU301" i="1" s="1"/>
  <c r="BR19" i="1"/>
  <c r="BT19" i="1" s="1"/>
  <c r="BU19" i="1" s="1"/>
  <c r="BQ78" i="1"/>
  <c r="BR78" i="1" s="1"/>
  <c r="BS233" i="1"/>
  <c r="BT233" i="1" s="1"/>
  <c r="BU233" i="1" s="1"/>
  <c r="BS59" i="1"/>
  <c r="BT59" i="1" s="1"/>
  <c r="BU59" i="1" s="1"/>
  <c r="BS62" i="1"/>
  <c r="BT62" i="1" s="1"/>
  <c r="BU62" i="1" s="1"/>
  <c r="BS154" i="1"/>
  <c r="BT154" i="1" s="1"/>
  <c r="BU154" i="1" s="1"/>
  <c r="BS308" i="1"/>
  <c r="BT308" i="1" s="1"/>
  <c r="BU308" i="1" s="1"/>
  <c r="BQ321" i="1"/>
  <c r="BR321" i="1" s="1"/>
  <c r="BQ195" i="1"/>
  <c r="BR195" i="1" s="1"/>
  <c r="BQ214" i="1"/>
  <c r="BR214" i="1" s="1"/>
  <c r="BS161" i="1"/>
  <c r="BT161" i="1" s="1"/>
  <c r="BU161" i="1" s="1"/>
  <c r="BS354" i="1"/>
  <c r="BT354" i="1" s="1"/>
  <c r="BU354" i="1" s="1"/>
  <c r="BS219" i="1"/>
  <c r="BT219" i="1" s="1"/>
  <c r="BU219" i="1" s="1"/>
  <c r="BS158" i="1"/>
  <c r="BT158" i="1" s="1"/>
  <c r="BU158" i="1" s="1"/>
  <c r="BS369" i="1"/>
  <c r="BT369" i="1" s="1"/>
  <c r="BU369" i="1" s="1"/>
  <c r="BQ239" i="1"/>
  <c r="BR239" i="1" s="1"/>
  <c r="BS42" i="1"/>
  <c r="BT42" i="1" s="1"/>
  <c r="BU42" i="1" s="1"/>
  <c r="BS53" i="1"/>
  <c r="BT53" i="1" s="1"/>
  <c r="BU53" i="1" s="1"/>
  <c r="BS100" i="1"/>
  <c r="BT100" i="1" s="1"/>
  <c r="BU100" i="1" s="1"/>
  <c r="BS223" i="1"/>
  <c r="BT223" i="1" s="1"/>
  <c r="BU223" i="1" s="1"/>
  <c r="BS333" i="1"/>
  <c r="BT333" i="1" s="1"/>
  <c r="BU333" i="1" s="1"/>
  <c r="BQ208" i="1"/>
  <c r="BR208" i="1" s="1"/>
  <c r="BS110" i="1"/>
  <c r="BT110" i="1" s="1"/>
  <c r="BU110" i="1" s="1"/>
  <c r="BS129" i="1"/>
  <c r="BT129" i="1" s="1"/>
  <c r="BU129" i="1" s="1"/>
  <c r="BS322" i="1"/>
  <c r="BT322" i="1" s="1"/>
  <c r="BU322" i="1" s="1"/>
  <c r="BS187" i="1"/>
  <c r="BT187" i="1" s="1"/>
  <c r="BU187" i="1" s="1"/>
  <c r="BS30" i="1"/>
  <c r="BT30" i="1" s="1"/>
  <c r="BU30" i="1" s="1"/>
  <c r="BS247" i="1"/>
  <c r="BT247" i="1" s="1"/>
  <c r="BU247" i="1" s="1"/>
  <c r="BQ63" i="1"/>
  <c r="BR63" i="1" s="1"/>
  <c r="BS188" i="1"/>
  <c r="BT188" i="1" s="1"/>
  <c r="BU188" i="1" s="1"/>
  <c r="BS323" i="1"/>
  <c r="BT323" i="1" s="1"/>
  <c r="BU323" i="1" s="1"/>
  <c r="BS271" i="1"/>
  <c r="BT271" i="1" s="1"/>
  <c r="BU271" i="1" s="1"/>
  <c r="BQ231" i="1"/>
  <c r="BR231" i="1" s="1"/>
  <c r="BS80" i="1"/>
  <c r="BT80" i="1" s="1"/>
  <c r="BU80" i="1" s="1"/>
  <c r="BS291" i="1"/>
  <c r="BT291" i="1" s="1"/>
  <c r="BU291" i="1" s="1"/>
  <c r="BS254" i="1"/>
  <c r="BT254" i="1" s="1"/>
  <c r="BU254" i="1" s="1"/>
  <c r="BS25" i="1"/>
  <c r="BT25" i="1" s="1"/>
  <c r="BU25" i="1" s="1"/>
  <c r="BS218" i="1"/>
  <c r="BT218" i="1" s="1"/>
  <c r="BU218" i="1" s="1"/>
  <c r="BS83" i="1"/>
  <c r="BT83" i="1" s="1"/>
  <c r="BU83" i="1" s="1"/>
  <c r="BS79" i="1"/>
  <c r="BT79" i="1" s="1"/>
  <c r="BU79" i="1" s="1"/>
  <c r="BQ320" i="1"/>
  <c r="BR320" i="1" s="1"/>
  <c r="BS151" i="1"/>
  <c r="BT151" i="1" s="1"/>
  <c r="BU151" i="1" s="1"/>
  <c r="BQ285" i="1"/>
  <c r="BR285" i="1" s="1"/>
  <c r="BS72" i="1"/>
  <c r="BT72" i="1" s="1"/>
  <c r="BU72" i="1" s="1"/>
  <c r="BS225" i="1"/>
  <c r="BT225" i="1" s="1"/>
  <c r="BU225" i="1" s="1"/>
  <c r="BS108" i="1"/>
  <c r="BT108" i="1" s="1"/>
  <c r="BU108" i="1" s="1"/>
  <c r="BS283" i="1"/>
  <c r="BT283" i="1" s="1"/>
  <c r="BU283" i="1" s="1"/>
  <c r="BS357" i="1"/>
  <c r="BT357" i="1" s="1"/>
  <c r="BU357" i="1" s="1"/>
  <c r="BS262" i="1"/>
  <c r="BT262" i="1" s="1"/>
  <c r="BU262" i="1" s="1"/>
  <c r="BQ196" i="1"/>
  <c r="BR196" i="1" s="1"/>
  <c r="BQ309" i="1"/>
  <c r="BR309" i="1" s="1"/>
  <c r="BQ61" i="1"/>
  <c r="BR61" i="1" s="1"/>
  <c r="BQ280" i="1"/>
  <c r="BR280" i="1" s="1"/>
  <c r="BS28" i="1"/>
  <c r="BT28" i="1" s="1"/>
  <c r="BU28" i="1" s="1"/>
  <c r="BQ194" i="1"/>
  <c r="BR194" i="1" s="1"/>
  <c r="BS272" i="1"/>
  <c r="BT272" i="1" s="1"/>
  <c r="BU272" i="1" s="1"/>
  <c r="BS106" i="1"/>
  <c r="BT106" i="1" s="1"/>
  <c r="BU106" i="1" s="1"/>
  <c r="BS165" i="1"/>
  <c r="BT165" i="1" s="1"/>
  <c r="BU165" i="1" s="1"/>
  <c r="BS220" i="1"/>
  <c r="BT220" i="1" s="1"/>
  <c r="BU220" i="1" s="1"/>
  <c r="BS39" i="1"/>
  <c r="BT39" i="1" s="1"/>
  <c r="BU39" i="1" s="1"/>
  <c r="BS54" i="1"/>
  <c r="BT54" i="1" s="1"/>
  <c r="BU54" i="1" s="1"/>
  <c r="BS102" i="1"/>
  <c r="BT102" i="1" s="1"/>
  <c r="BU102" i="1" s="1"/>
  <c r="BQ372" i="1"/>
  <c r="BR372" i="1" s="1"/>
  <c r="BS40" i="1"/>
  <c r="BT40" i="1" s="1"/>
  <c r="BU40" i="1" s="1"/>
  <c r="BS193" i="1"/>
  <c r="BT193" i="1" s="1"/>
  <c r="BU193" i="1" s="1"/>
  <c r="BS44" i="1"/>
  <c r="BT44" i="1" s="1"/>
  <c r="BU44" i="1" s="1"/>
  <c r="BS251" i="1"/>
  <c r="BT251" i="1" s="1"/>
  <c r="BU251" i="1" s="1"/>
  <c r="BS278" i="1"/>
  <c r="BT278" i="1" s="1"/>
  <c r="BU278" i="1" s="1"/>
  <c r="BS134" i="1"/>
  <c r="BT134" i="1" s="1"/>
  <c r="BU134" i="1" s="1"/>
  <c r="BQ360" i="1"/>
  <c r="BR360" i="1" s="1"/>
  <c r="BR36" i="1"/>
  <c r="BT36" i="1" s="1"/>
  <c r="BU36" i="1" s="1"/>
  <c r="BQ324" i="1"/>
  <c r="BR324" i="1" s="1"/>
  <c r="BQ373" i="1"/>
  <c r="BR373" i="1" s="1"/>
  <c r="BQ215" i="1"/>
  <c r="BR215" i="1" s="1"/>
  <c r="BS329" i="1"/>
  <c r="BT329" i="1" s="1"/>
  <c r="BU329" i="1" s="1"/>
  <c r="BS340" i="1"/>
  <c r="BT340" i="1" s="1"/>
  <c r="BU340" i="1" s="1"/>
  <c r="BQ29" i="1"/>
  <c r="BR29" i="1" s="1"/>
  <c r="BS127" i="1"/>
  <c r="BT127" i="1" s="1"/>
  <c r="BU127" i="1" s="1"/>
  <c r="BQ302" i="1"/>
  <c r="BR302" i="1" s="1"/>
  <c r="BR15" i="1"/>
  <c r="BT15" i="1" s="1"/>
  <c r="BU15" i="1" s="1"/>
  <c r="BZ16" i="1"/>
  <c r="CA16" i="1" s="1"/>
  <c r="BZ13" i="1"/>
  <c r="CA13" i="1" s="1"/>
  <c r="BL39" i="1"/>
  <c r="BM39" i="1" s="1"/>
  <c r="BK104" i="1"/>
  <c r="BM104" i="1" s="1"/>
  <c r="BL132" i="1"/>
  <c r="BM132" i="1" s="1"/>
  <c r="BK252" i="1"/>
  <c r="BM252" i="1" s="1"/>
  <c r="BL374" i="1"/>
  <c r="BM374" i="1" s="1"/>
  <c r="BL192" i="1"/>
  <c r="BM192" i="1" s="1"/>
  <c r="BL343" i="1"/>
  <c r="BM343" i="1" s="1"/>
  <c r="BL124" i="1"/>
  <c r="BM124" i="1" s="1"/>
  <c r="BL153" i="1"/>
  <c r="BM153" i="1" s="1"/>
  <c r="BL254" i="1"/>
  <c r="BM254" i="1" s="1"/>
  <c r="BL38" i="1"/>
  <c r="BM38" i="1" s="1"/>
  <c r="BK270" i="1"/>
  <c r="BM270" i="1" s="1"/>
  <c r="BL357" i="1"/>
  <c r="BM357" i="1" s="1"/>
  <c r="BK208" i="1"/>
  <c r="BM208" i="1" s="1"/>
  <c r="BK176" i="1"/>
  <c r="BM176" i="1" s="1"/>
  <c r="BL257" i="1"/>
  <c r="BM257" i="1" s="1"/>
  <c r="BL127" i="1"/>
  <c r="BM127" i="1" s="1"/>
  <c r="BK241" i="1"/>
  <c r="BM241" i="1" s="1"/>
  <c r="BL174" i="1"/>
  <c r="BM174" i="1" s="1"/>
  <c r="BL24" i="1"/>
  <c r="BM24" i="1" s="1"/>
  <c r="BK179" i="1"/>
  <c r="BM179" i="1" s="1"/>
  <c r="BK260" i="1"/>
  <c r="BM260" i="1" s="1"/>
  <c r="BK290" i="1"/>
  <c r="BM290" i="1" s="1"/>
  <c r="BL85" i="1"/>
  <c r="BM85" i="1" s="1"/>
  <c r="BK318" i="1"/>
  <c r="BM318" i="1" s="1"/>
  <c r="BK227" i="1"/>
  <c r="BM227" i="1" s="1"/>
  <c r="BK245" i="1"/>
  <c r="BM245" i="1" s="1"/>
  <c r="BL181" i="1"/>
  <c r="BM181" i="1" s="1"/>
  <c r="BL251" i="1"/>
  <c r="BM251" i="1" s="1"/>
  <c r="BK103" i="1"/>
  <c r="BM103" i="1" s="1"/>
  <c r="BL275" i="1"/>
  <c r="BM275" i="1" s="1"/>
  <c r="BK71" i="1"/>
  <c r="BM71" i="1" s="1"/>
  <c r="BK278" i="1"/>
  <c r="BM278" i="1" s="1"/>
  <c r="BL285" i="1"/>
  <c r="BM285" i="1" s="1"/>
  <c r="BK289" i="1"/>
  <c r="BM289" i="1" s="1"/>
  <c r="BK212" i="1"/>
  <c r="BM212" i="1" s="1"/>
  <c r="BK169" i="1"/>
  <c r="BM169" i="1" s="1"/>
  <c r="BL350" i="1"/>
  <c r="BM350" i="1" s="1"/>
  <c r="BL27" i="1"/>
  <c r="BM27" i="1" s="1"/>
  <c r="BK26" i="1"/>
  <c r="BM26" i="1" s="1"/>
  <c r="BK59" i="1"/>
  <c r="BM59" i="1" s="1"/>
  <c r="BK217" i="1"/>
  <c r="BM217" i="1" s="1"/>
  <c r="BL304" i="1"/>
  <c r="BM304" i="1" s="1"/>
  <c r="BK268" i="1"/>
  <c r="BM268" i="1" s="1"/>
  <c r="BL92" i="1"/>
  <c r="BM92" i="1" s="1"/>
  <c r="BK294" i="1"/>
  <c r="BM294" i="1" s="1"/>
  <c r="BK168" i="1"/>
  <c r="BM168" i="1" s="1"/>
  <c r="BK73" i="1"/>
  <c r="BM73" i="1" s="1"/>
  <c r="BK99" i="1"/>
  <c r="BM99" i="1" s="1"/>
  <c r="BK239" i="1"/>
  <c r="BM239" i="1" s="1"/>
  <c r="BL365" i="1"/>
  <c r="BM365" i="1" s="1"/>
  <c r="BK221" i="1"/>
  <c r="BM221" i="1" s="1"/>
  <c r="BK211" i="1"/>
  <c r="BM211" i="1" s="1"/>
  <c r="BL106" i="1"/>
  <c r="BM106" i="1" s="1"/>
  <c r="BL195" i="1"/>
  <c r="BM195" i="1" s="1"/>
  <c r="BK269" i="1"/>
  <c r="BM269" i="1" s="1"/>
  <c r="BL219" i="1"/>
  <c r="BM219" i="1" s="1"/>
  <c r="BL90" i="1"/>
  <c r="BM90" i="1" s="1"/>
  <c r="BK163" i="1"/>
  <c r="BM163" i="1" s="1"/>
  <c r="BL18" i="1"/>
  <c r="BM18" i="1" s="1"/>
  <c r="BK291" i="1"/>
  <c r="BM291" i="1" s="1"/>
  <c r="BK358" i="1"/>
  <c r="BM358" i="1" s="1"/>
  <c r="BL83" i="1"/>
  <c r="BM83" i="1" s="1"/>
  <c r="BK152" i="1"/>
  <c r="BM152" i="1" s="1"/>
  <c r="BK342" i="1"/>
  <c r="BM342" i="1" s="1"/>
  <c r="BL362" i="1"/>
  <c r="BM362" i="1" s="1"/>
  <c r="BK322" i="1"/>
  <c r="BM322" i="1" s="1"/>
  <c r="BK101" i="1"/>
  <c r="BM101" i="1" s="1"/>
  <c r="BL259" i="1"/>
  <c r="BM259" i="1" s="1"/>
  <c r="BL68" i="1"/>
  <c r="BM68" i="1" s="1"/>
  <c r="BK215" i="1"/>
  <c r="BM215" i="1" s="1"/>
  <c r="BL125" i="1"/>
  <c r="BM125" i="1" s="1"/>
  <c r="BK61" i="1"/>
  <c r="BM61" i="1" s="1"/>
  <c r="BL337" i="1"/>
  <c r="BK337" i="1"/>
  <c r="BL75" i="1"/>
  <c r="BK75" i="1"/>
  <c r="BL164" i="1"/>
  <c r="BK164" i="1"/>
  <c r="BL147" i="1"/>
  <c r="BK147" i="1"/>
  <c r="BL296" i="1"/>
  <c r="BK296" i="1"/>
  <c r="BL271" i="1"/>
  <c r="BK271" i="1"/>
  <c r="BK19" i="1"/>
  <c r="BL19" i="1"/>
  <c r="BK235" i="1"/>
  <c r="BL235" i="1"/>
  <c r="BK102" i="1"/>
  <c r="BL102" i="1"/>
  <c r="BL22" i="1"/>
  <c r="BK22" i="1"/>
  <c r="BL366" i="1"/>
  <c r="BK366" i="1"/>
  <c r="BK52" i="1"/>
  <c r="BL52" i="1"/>
  <c r="BL136" i="1"/>
  <c r="BM136" i="1" s="1"/>
  <c r="BK327" i="1"/>
  <c r="BM327" i="1" s="1"/>
  <c r="BL200" i="1"/>
  <c r="BM200" i="1" s="1"/>
  <c r="BL344" i="1"/>
  <c r="BM344" i="1" s="1"/>
  <c r="BL368" i="1"/>
  <c r="BM368" i="1" s="1"/>
  <c r="BK29" i="1"/>
  <c r="BM29" i="1" s="1"/>
  <c r="BK302" i="1"/>
  <c r="BM302" i="1" s="1"/>
  <c r="BL16" i="1"/>
  <c r="BM16" i="1" s="1"/>
  <c r="BL113" i="1"/>
  <c r="BM113" i="1" s="1"/>
  <c r="BL279" i="1"/>
  <c r="BM279" i="1" s="1"/>
  <c r="BK305" i="1"/>
  <c r="BM305" i="1" s="1"/>
  <c r="BL231" i="1"/>
  <c r="BM231" i="1" s="1"/>
  <c r="BK20" i="1"/>
  <c r="BM20" i="1" s="1"/>
  <c r="BK228" i="1"/>
  <c r="BM228" i="1" s="1"/>
  <c r="BL114" i="1"/>
  <c r="BM114" i="1" s="1"/>
  <c r="BK139" i="1"/>
  <c r="BM139" i="1" s="1"/>
  <c r="BL185" i="1"/>
  <c r="BM185" i="1" s="1"/>
  <c r="BL47" i="1"/>
  <c r="BM47" i="1" s="1"/>
  <c r="BL330" i="1"/>
  <c r="BM330" i="1" s="1"/>
  <c r="BL310" i="1"/>
  <c r="BM310" i="1" s="1"/>
  <c r="BK331" i="1"/>
  <c r="BM331" i="1" s="1"/>
  <c r="BK222" i="1"/>
  <c r="BM222" i="1" s="1"/>
  <c r="BK233" i="1"/>
  <c r="BM233" i="1" s="1"/>
  <c r="BK256" i="1"/>
  <c r="BM256" i="1" s="1"/>
  <c r="BK201" i="1"/>
  <c r="BM201" i="1" s="1"/>
  <c r="BL33" i="1"/>
  <c r="BM33" i="1" s="1"/>
  <c r="BL258" i="1"/>
  <c r="BM258" i="1" s="1"/>
  <c r="BK36" i="1"/>
  <c r="BM36" i="1" s="1"/>
  <c r="BK193" i="1"/>
  <c r="BM193" i="1" s="1"/>
  <c r="BK329" i="1"/>
  <c r="BM329" i="1" s="1"/>
  <c r="BK121" i="1"/>
  <c r="BM121" i="1" s="1"/>
  <c r="BK62" i="1"/>
  <c r="BM62" i="1" s="1"/>
  <c r="BL126" i="1"/>
  <c r="BM126" i="1" s="1"/>
  <c r="BK265" i="1"/>
  <c r="BM265" i="1" s="1"/>
  <c r="BK23" i="1"/>
  <c r="BM23" i="1" s="1"/>
  <c r="BL43" i="1"/>
  <c r="BM43" i="1" s="1"/>
  <c r="BK234" i="1"/>
  <c r="BM234" i="1" s="1"/>
  <c r="BK277" i="1"/>
  <c r="BM277" i="1" s="1"/>
  <c r="BL171" i="1"/>
  <c r="BM171" i="1" s="1"/>
  <c r="BL30" i="1"/>
  <c r="BM30" i="1" s="1"/>
  <c r="BL65" i="1"/>
  <c r="BM65" i="1" s="1"/>
  <c r="BL53" i="1"/>
  <c r="BM53" i="1" s="1"/>
  <c r="BK25" i="1"/>
  <c r="BM25" i="1" s="1"/>
  <c r="BK155" i="1"/>
  <c r="BM155" i="1" s="1"/>
  <c r="BL369" i="1"/>
  <c r="BM369" i="1" s="1"/>
  <c r="BK349" i="1"/>
  <c r="BM349" i="1" s="1"/>
  <c r="BL91" i="1"/>
  <c r="BM91" i="1" s="1"/>
  <c r="BL220" i="1"/>
  <c r="BM220" i="1" s="1"/>
  <c r="BK273" i="1"/>
  <c r="BM273" i="1" s="1"/>
  <c r="BK111" i="1"/>
  <c r="BM111" i="1" s="1"/>
  <c r="BL306" i="1"/>
  <c r="BM306" i="1" s="1"/>
  <c r="BL110" i="1"/>
  <c r="BM110" i="1" s="1"/>
  <c r="BK50" i="1"/>
  <c r="BM50" i="1" s="1"/>
  <c r="BL58" i="1"/>
  <c r="BM58" i="1" s="1"/>
  <c r="BL214" i="1"/>
  <c r="BM214" i="1" s="1"/>
  <c r="BL237" i="1"/>
  <c r="BM237" i="1" s="1"/>
  <c r="BK300" i="1"/>
  <c r="BM300" i="1" s="1"/>
  <c r="BK203" i="1"/>
  <c r="BM203" i="1" s="1"/>
  <c r="BL149" i="1"/>
  <c r="BM149" i="1" s="1"/>
  <c r="BL226" i="1"/>
  <c r="BM226" i="1" s="1"/>
  <c r="BL172" i="1"/>
  <c r="BM172" i="1" s="1"/>
  <c r="BK299" i="1"/>
  <c r="BM299" i="1" s="1"/>
  <c r="BK107" i="1"/>
  <c r="BM107" i="1" s="1"/>
  <c r="BL184" i="1"/>
  <c r="BM184" i="1" s="1"/>
  <c r="BL45" i="1"/>
  <c r="BM45" i="1" s="1"/>
  <c r="BK207" i="1"/>
  <c r="BM207" i="1" s="1"/>
  <c r="BK123" i="1"/>
  <c r="BM123" i="1" s="1"/>
  <c r="BL40" i="1"/>
  <c r="BM40" i="1" s="1"/>
  <c r="BL315" i="1"/>
  <c r="BM315" i="1" s="1"/>
  <c r="BL280" i="1"/>
  <c r="BM280" i="1" s="1"/>
  <c r="BK66" i="1"/>
  <c r="BM66" i="1" s="1"/>
  <c r="BL210" i="1"/>
  <c r="BM210" i="1" s="1"/>
  <c r="BK204" i="1"/>
  <c r="BM204" i="1" s="1"/>
  <c r="BK216" i="1"/>
  <c r="BM216" i="1" s="1"/>
  <c r="BK190" i="1"/>
  <c r="BM190" i="1" s="1"/>
  <c r="BK266" i="1"/>
  <c r="BM266" i="1" s="1"/>
  <c r="BL54" i="1"/>
  <c r="BM54" i="1" s="1"/>
  <c r="BL137" i="1"/>
  <c r="BM137" i="1" s="1"/>
  <c r="BL264" i="1"/>
  <c r="BM264" i="1" s="1"/>
  <c r="BL165" i="1"/>
  <c r="BM165" i="1" s="1"/>
  <c r="BL177" i="1"/>
  <c r="BM177" i="1" s="1"/>
  <c r="BK69" i="1"/>
  <c r="BM69" i="1" s="1"/>
  <c r="BL138" i="1"/>
  <c r="BM138" i="1" s="1"/>
  <c r="BL44" i="1"/>
  <c r="BM44" i="1" s="1"/>
  <c r="BL42" i="1"/>
  <c r="BM42" i="1" s="1"/>
  <c r="BK167" i="1"/>
  <c r="BM167" i="1" s="1"/>
  <c r="BL370" i="1"/>
  <c r="BM370" i="1" s="1"/>
  <c r="BL118" i="1"/>
  <c r="BM118" i="1" s="1"/>
  <c r="BL28" i="1"/>
  <c r="BM28" i="1" s="1"/>
  <c r="BK224" i="1"/>
  <c r="BM224" i="1" s="1"/>
  <c r="BL67" i="1"/>
  <c r="BM67" i="1" s="1"/>
  <c r="BL351" i="1"/>
  <c r="BM351" i="1" s="1"/>
  <c r="BK319" i="1"/>
  <c r="BM319" i="1" s="1"/>
  <c r="BK173" i="1"/>
  <c r="BM173" i="1" s="1"/>
  <c r="BK284" i="1"/>
  <c r="BM284" i="1" s="1"/>
  <c r="BL78" i="1"/>
  <c r="BM78" i="1" s="1"/>
  <c r="BL317" i="1"/>
  <c r="BM317" i="1" s="1"/>
  <c r="BK303" i="1"/>
  <c r="BM303" i="1" s="1"/>
  <c r="BL248" i="1"/>
  <c r="BM248" i="1" s="1"/>
  <c r="BL189" i="1"/>
  <c r="BM189" i="1" s="1"/>
  <c r="BK35" i="1"/>
  <c r="BM35" i="1" s="1"/>
  <c r="BK109" i="1"/>
  <c r="BM109" i="1" s="1"/>
  <c r="BK314" i="1"/>
  <c r="BM314" i="1" s="1"/>
  <c r="BK188" i="1"/>
  <c r="BM188" i="1" s="1"/>
  <c r="BL32" i="1"/>
  <c r="BM32" i="1" s="1"/>
  <c r="BK359" i="1"/>
  <c r="BM359" i="1" s="1"/>
  <c r="BK293" i="1"/>
  <c r="BM293" i="1" s="1"/>
  <c r="BL328" i="1"/>
  <c r="BM328" i="1" s="1"/>
  <c r="BL364" i="1"/>
  <c r="BM364" i="1" s="1"/>
  <c r="BL80" i="1"/>
  <c r="BM80" i="1" s="1"/>
  <c r="BL373" i="1"/>
  <c r="BM373" i="1" s="1"/>
  <c r="BK272" i="1"/>
  <c r="BM272" i="1" s="1"/>
  <c r="BK170" i="1"/>
  <c r="BM170" i="1" s="1"/>
  <c r="BK356" i="1"/>
  <c r="BM356" i="1" s="1"/>
  <c r="BK246" i="1"/>
  <c r="BM246" i="1" s="1"/>
  <c r="BL178" i="1"/>
  <c r="BM178" i="1" s="1"/>
  <c r="BL348" i="1"/>
  <c r="BM348" i="1" s="1"/>
  <c r="BK89" i="1"/>
  <c r="BM89" i="1" s="1"/>
  <c r="BK243" i="1"/>
  <c r="BM243" i="1" s="1"/>
  <c r="BK108" i="1"/>
  <c r="BM108" i="1" s="1"/>
  <c r="BL96" i="1"/>
  <c r="BM96" i="1" s="1"/>
  <c r="BL249" i="1"/>
  <c r="BM249" i="1" s="1"/>
  <c r="BL156" i="1"/>
  <c r="BM156" i="1" s="1"/>
  <c r="BL307" i="1"/>
  <c r="BM307" i="1" s="1"/>
  <c r="BL86" i="1"/>
  <c r="BM86" i="1" s="1"/>
  <c r="BL326" i="1"/>
  <c r="BM326" i="1" s="1"/>
  <c r="BK288" i="1"/>
  <c r="BM288" i="1" s="1"/>
  <c r="BK353" i="1"/>
  <c r="BM353" i="1" s="1"/>
  <c r="BK194" i="1"/>
  <c r="BM194" i="1" s="1"/>
  <c r="BL202" i="1"/>
  <c r="BM202" i="1" s="1"/>
  <c r="BK48" i="1"/>
  <c r="BM48" i="1" s="1"/>
  <c r="BK283" i="1"/>
  <c r="BM283" i="1" s="1"/>
  <c r="BK133" i="1"/>
  <c r="BM133" i="1" s="1"/>
  <c r="BK295" i="1"/>
  <c r="BM295" i="1" s="1"/>
  <c r="BL141" i="1"/>
  <c r="BM141" i="1" s="1"/>
  <c r="BK135" i="1"/>
  <c r="BM135" i="1" s="1"/>
  <c r="BK51" i="1"/>
  <c r="BM51" i="1" s="1"/>
  <c r="BK301" i="1"/>
  <c r="BM301" i="1" s="1"/>
  <c r="BL182" i="1"/>
  <c r="BM182" i="1" s="1"/>
  <c r="BK361" i="1"/>
  <c r="BM361" i="1" s="1"/>
  <c r="BL197" i="1"/>
  <c r="BM197" i="1" s="1"/>
  <c r="BK154" i="1"/>
  <c r="BM154" i="1" s="1"/>
  <c r="BK64" i="1"/>
  <c r="BM64" i="1" s="1"/>
  <c r="BK70" i="1"/>
  <c r="BM70" i="1" s="1"/>
  <c r="BL82" i="1"/>
  <c r="BM82" i="1" s="1"/>
  <c r="BL180" i="1"/>
  <c r="BM180" i="1" s="1"/>
  <c r="BK129" i="1"/>
  <c r="BM129" i="1" s="1"/>
  <c r="BL347" i="1"/>
  <c r="BM347" i="1" s="1"/>
  <c r="BK236" i="1"/>
  <c r="BM236" i="1" s="1"/>
  <c r="BL144" i="1"/>
  <c r="BM144" i="1" s="1"/>
  <c r="BL297" i="1"/>
  <c r="BM297" i="1" s="1"/>
  <c r="BL355" i="1"/>
  <c r="BM355" i="1" s="1"/>
  <c r="BL183" i="1"/>
  <c r="BM183" i="1" s="1"/>
  <c r="BL286" i="1"/>
  <c r="BM286" i="1" s="1"/>
  <c r="BK336" i="1"/>
  <c r="BM336" i="1" s="1"/>
  <c r="BK242" i="1"/>
  <c r="BM242" i="1" s="1"/>
  <c r="BK253" i="1"/>
  <c r="BM253" i="1" s="1"/>
  <c r="BL49" i="1"/>
  <c r="BM49" i="1" s="1"/>
  <c r="BL117" i="1"/>
  <c r="BM117" i="1" s="1"/>
  <c r="BK88" i="1"/>
  <c r="BM88" i="1" s="1"/>
  <c r="BK143" i="1"/>
  <c r="BM143" i="1" s="1"/>
  <c r="BK213" i="1"/>
  <c r="BM213" i="1" s="1"/>
  <c r="BL160" i="1"/>
  <c r="BM160" i="1" s="1"/>
  <c r="BL313" i="1"/>
  <c r="BM313" i="1" s="1"/>
  <c r="BL371" i="1"/>
  <c r="BM371" i="1" s="1"/>
  <c r="BL31" i="1"/>
  <c r="BM31" i="1" s="1"/>
  <c r="BK352" i="1"/>
  <c r="BM352" i="1" s="1"/>
  <c r="BK354" i="1"/>
  <c r="BM354" i="1" s="1"/>
  <c r="BL131" i="1"/>
  <c r="BM131" i="1" s="1"/>
  <c r="BK112" i="1"/>
  <c r="BM112" i="1" s="1"/>
  <c r="BK100" i="1"/>
  <c r="BM100" i="1" s="1"/>
  <c r="BK191" i="1"/>
  <c r="BM191" i="1" s="1"/>
  <c r="BK261" i="1"/>
  <c r="BM261" i="1" s="1"/>
  <c r="BK77" i="1"/>
  <c r="BM77" i="1" s="1"/>
  <c r="BL360" i="1"/>
  <c r="BM360" i="1" s="1"/>
  <c r="BL148" i="1"/>
  <c r="BM148" i="1" s="1"/>
  <c r="BK41" i="1"/>
  <c r="BM41" i="1" s="1"/>
  <c r="BK375" i="1"/>
  <c r="BM375" i="1" s="1"/>
  <c r="BK205" i="1"/>
  <c r="BM205" i="1" s="1"/>
  <c r="BL158" i="1"/>
  <c r="BM158" i="1" s="1"/>
  <c r="BK98" i="1"/>
  <c r="BM98" i="1" s="1"/>
  <c r="BK334" i="1"/>
  <c r="BM334" i="1" s="1"/>
  <c r="BL130" i="1"/>
  <c r="BM130" i="1" s="1"/>
  <c r="BK267" i="1"/>
  <c r="BM267" i="1" s="1"/>
  <c r="BL159" i="1"/>
  <c r="BM159" i="1" s="1"/>
  <c r="BL287" i="1"/>
  <c r="BM287" i="1" s="1"/>
  <c r="BK140" i="1"/>
  <c r="BM140" i="1" s="1"/>
  <c r="BL346" i="1"/>
  <c r="BM346" i="1" s="1"/>
  <c r="BK320" i="1"/>
  <c r="BM320" i="1" s="1"/>
  <c r="BK263" i="1"/>
  <c r="BM263" i="1" s="1"/>
  <c r="BL316" i="1"/>
  <c r="BM316" i="1" s="1"/>
  <c r="BL312" i="1"/>
  <c r="BM312" i="1" s="1"/>
  <c r="BL146" i="1"/>
  <c r="BM146" i="1" s="1"/>
  <c r="BL292" i="1"/>
  <c r="BM292" i="1" s="1"/>
  <c r="BK57" i="1"/>
  <c r="BM57" i="1" s="1"/>
  <c r="BK187" i="1"/>
  <c r="BM187" i="1" s="1"/>
  <c r="BK363" i="1"/>
  <c r="BM363" i="1" s="1"/>
  <c r="BK198" i="1"/>
  <c r="BM198" i="1" s="1"/>
  <c r="BL196" i="1"/>
  <c r="BM196" i="1" s="1"/>
  <c r="BK282" i="1"/>
  <c r="BM282" i="1" s="1"/>
  <c r="BK34" i="1"/>
  <c r="BM34" i="1" s="1"/>
  <c r="BL87" i="1"/>
  <c r="BM87" i="1" s="1"/>
  <c r="BK333" i="1"/>
  <c r="BM333" i="1" s="1"/>
  <c r="BK162" i="1"/>
  <c r="BM162" i="1" s="1"/>
  <c r="BK56" i="1"/>
  <c r="BM56" i="1" s="1"/>
  <c r="BL119" i="1"/>
  <c r="BM119" i="1" s="1"/>
  <c r="BK17" i="1"/>
  <c r="BM17" i="1" s="1"/>
  <c r="BK240" i="1"/>
  <c r="BM240" i="1" s="1"/>
  <c r="BL341" i="1"/>
  <c r="BM341" i="1" s="1"/>
  <c r="BK367" i="1"/>
  <c r="BM367" i="1" s="1"/>
  <c r="BL339" i="1"/>
  <c r="BM339" i="1" s="1"/>
  <c r="BK120" i="1"/>
  <c r="BM120" i="1" s="1"/>
  <c r="BL332" i="1"/>
  <c r="BM332" i="1" s="1"/>
  <c r="BL46" i="1"/>
  <c r="BM46" i="1" s="1"/>
  <c r="BK81" i="1"/>
  <c r="BM81" i="1" s="1"/>
  <c r="BK84" i="1"/>
  <c r="BM84" i="1" s="1"/>
  <c r="BK345" i="1"/>
  <c r="BM345" i="1" s="1"/>
  <c r="BK262" i="1"/>
  <c r="BM262" i="1" s="1"/>
  <c r="BL186" i="1"/>
  <c r="BM186" i="1" s="1"/>
  <c r="BL206" i="1"/>
  <c r="BM206" i="1" s="1"/>
  <c r="BK97" i="1"/>
  <c r="BM97" i="1" s="1"/>
  <c r="BL323" i="1"/>
  <c r="BM323" i="1" s="1"/>
  <c r="BL309" i="1"/>
  <c r="BM309" i="1" s="1"/>
  <c r="BK21" i="1"/>
  <c r="BM21" i="1" s="1"/>
  <c r="BK372" i="1"/>
  <c r="BM372" i="1" s="1"/>
  <c r="BK128" i="1"/>
  <c r="BM128" i="1" s="1"/>
  <c r="BK229" i="1"/>
  <c r="BM229" i="1" s="1"/>
  <c r="BK105" i="1"/>
  <c r="BM105" i="1" s="1"/>
  <c r="BK63" i="1"/>
  <c r="BM63" i="1" s="1"/>
  <c r="BK308" i="1"/>
  <c r="BM308" i="1" s="1"/>
  <c r="BL145" i="1"/>
  <c r="BM145" i="1" s="1"/>
  <c r="BL338" i="1"/>
  <c r="BM338" i="1" s="1"/>
  <c r="BL94" i="1"/>
  <c r="BM94" i="1" s="1"/>
  <c r="BK335" i="1"/>
  <c r="BM335" i="1" s="1"/>
  <c r="BL199" i="1"/>
  <c r="BM199" i="1" s="1"/>
  <c r="BK151" i="1"/>
  <c r="BM151" i="1" s="1"/>
  <c r="BK122" i="1"/>
  <c r="BM122" i="1" s="1"/>
  <c r="BL276" i="1"/>
  <c r="BM276" i="1" s="1"/>
  <c r="BK74" i="1"/>
  <c r="BM74" i="1" s="1"/>
  <c r="BL247" i="1"/>
  <c r="BM247" i="1" s="1"/>
  <c r="BK37" i="1"/>
  <c r="BM37" i="1" s="1"/>
  <c r="BK134" i="1"/>
  <c r="BM134" i="1" s="1"/>
  <c r="BL321" i="1"/>
  <c r="BM321" i="1" s="1"/>
  <c r="BL232" i="1"/>
  <c r="BM232" i="1" s="1"/>
  <c r="BL274" i="1"/>
  <c r="BM274" i="1" s="1"/>
  <c r="BL150" i="1"/>
  <c r="BM150" i="1" s="1"/>
  <c r="BL93" i="1"/>
  <c r="BM93" i="1" s="1"/>
  <c r="BK250" i="1"/>
  <c r="BM250" i="1" s="1"/>
  <c r="BL115" i="1"/>
  <c r="BM115" i="1" s="1"/>
  <c r="BL311" i="1"/>
  <c r="BM311" i="1" s="1"/>
  <c r="BK161" i="1"/>
  <c r="BM161" i="1" s="1"/>
  <c r="BL340" i="1"/>
  <c r="BM340" i="1" s="1"/>
  <c r="BL95" i="1"/>
  <c r="BM95" i="1" s="1"/>
  <c r="BL142" i="1"/>
  <c r="BM142" i="1" s="1"/>
  <c r="BL281" i="1"/>
  <c r="BM281" i="1" s="1"/>
  <c r="BL230" i="1"/>
  <c r="BM230" i="1" s="1"/>
  <c r="BK223" i="1"/>
  <c r="BM223" i="1" s="1"/>
  <c r="BK116" i="1"/>
  <c r="BM116" i="1" s="1"/>
  <c r="BK157" i="1"/>
  <c r="BM157" i="1" s="1"/>
  <c r="BL55" i="1"/>
  <c r="BM55" i="1" s="1"/>
  <c r="BL209" i="1"/>
  <c r="BM209" i="1" s="1"/>
  <c r="BL76" i="1"/>
  <c r="BM76" i="1" s="1"/>
  <c r="BK244" i="1"/>
  <c r="BM244" i="1" s="1"/>
  <c r="BK72" i="1"/>
  <c r="BM72" i="1" s="1"/>
  <c r="BK238" i="1"/>
  <c r="BM238" i="1" s="1"/>
  <c r="BL60" i="1"/>
  <c r="BM60" i="1" s="1"/>
  <c r="BL166" i="1"/>
  <c r="BM166" i="1" s="1"/>
  <c r="BL225" i="1"/>
  <c r="BM225" i="1" s="1"/>
  <c r="BK298" i="1"/>
  <c r="BM298" i="1" s="1"/>
  <c r="BL175" i="1"/>
  <c r="BM175" i="1" s="1"/>
  <c r="BK255" i="1"/>
  <c r="BM255" i="1" s="1"/>
  <c r="BK325" i="1"/>
  <c r="BM325" i="1" s="1"/>
  <c r="BL324" i="1"/>
  <c r="BM324" i="1" s="1"/>
  <c r="BL218" i="1"/>
  <c r="BM218" i="1" s="1"/>
  <c r="BK79" i="1"/>
  <c r="BM79" i="1" s="1"/>
  <c r="BL15" i="1"/>
  <c r="BM15" i="1" s="1"/>
  <c r="BH11" i="1"/>
  <c r="F56" i="1"/>
  <c r="G56" i="1" s="1"/>
  <c r="F55" i="1"/>
  <c r="G55" i="1" s="1"/>
  <c r="J38" i="1"/>
  <c r="N38" i="1" s="1"/>
  <c r="F49" i="1"/>
  <c r="G49" i="1" s="1"/>
  <c r="J39" i="1"/>
  <c r="N39" i="1" s="1"/>
  <c r="F52" i="1"/>
  <c r="G52" i="1" s="1"/>
  <c r="G38" i="1"/>
  <c r="J64" i="1" s="1"/>
  <c r="K64" i="1" s="1"/>
  <c r="L64" i="1" s="1"/>
  <c r="M64" i="1" s="1"/>
  <c r="O64" i="1" s="1"/>
  <c r="G37" i="1"/>
  <c r="BT244" i="1" l="1"/>
  <c r="BU244" i="1" s="1"/>
  <c r="BT250" i="1"/>
  <c r="BU250" i="1" s="1"/>
  <c r="BT179" i="1"/>
  <c r="BU179" i="1" s="1"/>
  <c r="BT248" i="1"/>
  <c r="BU248" i="1" s="1"/>
  <c r="BT311" i="1"/>
  <c r="BU311" i="1" s="1"/>
  <c r="BT274" i="1"/>
  <c r="BU274" i="1" s="1"/>
  <c r="BT178" i="1"/>
  <c r="BU178" i="1" s="1"/>
  <c r="BT189" i="1"/>
  <c r="BU189" i="1" s="1"/>
  <c r="BT292" i="1"/>
  <c r="BU292" i="1" s="1"/>
  <c r="BS356" i="1"/>
  <c r="BT356" i="1" s="1"/>
  <c r="BU356" i="1" s="1"/>
  <c r="BT121" i="1"/>
  <c r="BU121" i="1" s="1"/>
  <c r="BT115" i="1"/>
  <c r="BU115" i="1" s="1"/>
  <c r="BS260" i="1"/>
  <c r="BT260" i="1" s="1"/>
  <c r="BU260" i="1" s="1"/>
  <c r="BT216" i="1"/>
  <c r="BU216" i="1" s="1"/>
  <c r="BS294" i="1"/>
  <c r="BT294" i="1" s="1"/>
  <c r="BU294" i="1" s="1"/>
  <c r="BS78" i="1"/>
  <c r="BT78" i="1" s="1"/>
  <c r="BU78" i="1" s="1"/>
  <c r="BS281" i="1"/>
  <c r="BT281" i="1" s="1"/>
  <c r="BU281" i="1" s="1"/>
  <c r="BS370" i="1"/>
  <c r="BT370" i="1" s="1"/>
  <c r="BU370" i="1" s="1"/>
  <c r="BS337" i="1"/>
  <c r="BT337" i="1" s="1"/>
  <c r="BU337" i="1" s="1"/>
  <c r="BS372" i="1"/>
  <c r="BT372" i="1" s="1"/>
  <c r="BU372" i="1" s="1"/>
  <c r="BS302" i="1"/>
  <c r="BT302" i="1" s="1"/>
  <c r="BU302" i="1" s="1"/>
  <c r="BS170" i="1"/>
  <c r="BT170" i="1" s="1"/>
  <c r="BU170" i="1" s="1"/>
  <c r="BS343" i="1"/>
  <c r="BT343" i="1" s="1"/>
  <c r="BU343" i="1" s="1"/>
  <c r="BS227" i="1"/>
  <c r="BT227" i="1" s="1"/>
  <c r="BU227" i="1" s="1"/>
  <c r="BS128" i="1"/>
  <c r="BT128" i="1" s="1"/>
  <c r="BU128" i="1" s="1"/>
  <c r="BT58" i="1"/>
  <c r="BU58" i="1" s="1"/>
  <c r="BS204" i="1"/>
  <c r="BT204" i="1" s="1"/>
  <c r="BU204" i="1" s="1"/>
  <c r="BS126" i="1"/>
  <c r="BT126" i="1" s="1"/>
  <c r="BU126" i="1" s="1"/>
  <c r="BS109" i="1"/>
  <c r="BT109" i="1" s="1"/>
  <c r="BU109" i="1" s="1"/>
  <c r="BS256" i="1"/>
  <c r="BT256" i="1" s="1"/>
  <c r="BU256" i="1" s="1"/>
  <c r="BS45" i="1"/>
  <c r="BT45" i="1" s="1"/>
  <c r="BU45" i="1" s="1"/>
  <c r="BS315" i="1"/>
  <c r="BT315" i="1" s="1"/>
  <c r="BU315" i="1" s="1"/>
  <c r="BS147" i="1"/>
  <c r="BT147" i="1" s="1"/>
  <c r="BU147" i="1" s="1"/>
  <c r="BS139" i="1"/>
  <c r="BT139" i="1" s="1"/>
  <c r="BU139" i="1" s="1"/>
  <c r="BS68" i="1"/>
  <c r="BT68" i="1" s="1"/>
  <c r="BU68" i="1" s="1"/>
  <c r="BT243" i="1"/>
  <c r="BU243" i="1" s="1"/>
  <c r="BS175" i="1"/>
  <c r="BT175" i="1" s="1"/>
  <c r="BU175" i="1" s="1"/>
  <c r="BT313" i="1"/>
  <c r="BU313" i="1" s="1"/>
  <c r="BS144" i="1"/>
  <c r="BT144" i="1" s="1"/>
  <c r="BU144" i="1" s="1"/>
  <c r="BS29" i="1"/>
  <c r="BT29" i="1" s="1"/>
  <c r="BU29" i="1" s="1"/>
  <c r="BS163" i="1"/>
  <c r="BT163" i="1" s="1"/>
  <c r="BU163" i="1" s="1"/>
  <c r="BS374" i="1"/>
  <c r="BT374" i="1" s="1"/>
  <c r="BU374" i="1" s="1"/>
  <c r="BS214" i="1"/>
  <c r="BT214" i="1" s="1"/>
  <c r="BU214" i="1" s="1"/>
  <c r="BS27" i="1"/>
  <c r="BT27" i="1" s="1"/>
  <c r="BU27" i="1" s="1"/>
  <c r="BS246" i="1"/>
  <c r="BT246" i="1" s="1"/>
  <c r="BU246" i="1" s="1"/>
  <c r="BT198" i="1"/>
  <c r="BU198" i="1" s="1"/>
  <c r="BT174" i="1"/>
  <c r="BU174" i="1" s="1"/>
  <c r="BT146" i="1"/>
  <c r="BU146" i="1" s="1"/>
  <c r="BS84" i="1"/>
  <c r="BT84" i="1" s="1"/>
  <c r="BU84" i="1" s="1"/>
  <c r="BS241" i="1"/>
  <c r="BT241" i="1" s="1"/>
  <c r="BU241" i="1" s="1"/>
  <c r="BS157" i="1"/>
  <c r="BT157" i="1" s="1"/>
  <c r="BU157" i="1" s="1"/>
  <c r="BT236" i="1"/>
  <c r="BU236" i="1" s="1"/>
  <c r="BT18" i="1"/>
  <c r="BU18" i="1" s="1"/>
  <c r="BT304" i="1"/>
  <c r="BU304" i="1" s="1"/>
  <c r="BS221" i="1"/>
  <c r="BT221" i="1" s="1"/>
  <c r="BU221" i="1" s="1"/>
  <c r="BS119" i="1"/>
  <c r="BT119" i="1" s="1"/>
  <c r="BU119" i="1" s="1"/>
  <c r="BS238" i="1"/>
  <c r="BT238" i="1" s="1"/>
  <c r="BU238" i="1" s="1"/>
  <c r="BS287" i="1"/>
  <c r="BT287" i="1" s="1"/>
  <c r="BU287" i="1" s="1"/>
  <c r="BS195" i="1"/>
  <c r="BT195" i="1" s="1"/>
  <c r="BU195" i="1" s="1"/>
  <c r="BS232" i="1"/>
  <c r="BT232" i="1" s="1"/>
  <c r="BU232" i="1" s="1"/>
  <c r="BS49" i="1"/>
  <c r="BT49" i="1" s="1"/>
  <c r="BU49" i="1" s="1"/>
  <c r="BS327" i="1"/>
  <c r="BT327" i="1" s="1"/>
  <c r="BU327" i="1" s="1"/>
  <c r="BS34" i="1"/>
  <c r="BT34" i="1" s="1"/>
  <c r="BU34" i="1" s="1"/>
  <c r="BS76" i="1"/>
  <c r="BT76" i="1" s="1"/>
  <c r="BU76" i="1" s="1"/>
  <c r="BS345" i="1"/>
  <c r="BT345" i="1" s="1"/>
  <c r="BU345" i="1" s="1"/>
  <c r="BS296" i="1"/>
  <c r="BT296" i="1" s="1"/>
  <c r="BU296" i="1" s="1"/>
  <c r="BS183" i="1"/>
  <c r="BT183" i="1" s="1"/>
  <c r="BU183" i="1" s="1"/>
  <c r="BS239" i="1"/>
  <c r="BT239" i="1" s="1"/>
  <c r="BU239" i="1" s="1"/>
  <c r="BT135" i="1"/>
  <c r="BU135" i="1" s="1"/>
  <c r="BS331" i="1"/>
  <c r="BT331" i="1" s="1"/>
  <c r="BU331" i="1" s="1"/>
  <c r="BS208" i="1"/>
  <c r="BT208" i="1" s="1"/>
  <c r="BU208" i="1" s="1"/>
  <c r="BS320" i="1"/>
  <c r="BT320" i="1" s="1"/>
  <c r="BU320" i="1" s="1"/>
  <c r="BS196" i="1"/>
  <c r="BT196" i="1" s="1"/>
  <c r="BU196" i="1" s="1"/>
  <c r="BT307" i="1"/>
  <c r="BU307" i="1" s="1"/>
  <c r="BS211" i="1"/>
  <c r="BT211" i="1" s="1"/>
  <c r="BU211" i="1" s="1"/>
  <c r="BS326" i="1"/>
  <c r="BT326" i="1" s="1"/>
  <c r="BU326" i="1" s="1"/>
  <c r="BT310" i="1"/>
  <c r="BU310" i="1" s="1"/>
  <c r="BS118" i="1"/>
  <c r="BT118" i="1" s="1"/>
  <c r="BU118" i="1" s="1"/>
  <c r="BS197" i="1"/>
  <c r="BT197" i="1" s="1"/>
  <c r="BU197" i="1" s="1"/>
  <c r="BS182" i="1"/>
  <c r="BT182" i="1" s="1"/>
  <c r="BU182" i="1" s="1"/>
  <c r="BS111" i="1"/>
  <c r="BT111" i="1" s="1"/>
  <c r="BU111" i="1" s="1"/>
  <c r="BS199" i="1"/>
  <c r="BT199" i="1" s="1"/>
  <c r="BU199" i="1" s="1"/>
  <c r="BS136" i="1"/>
  <c r="BT136" i="1" s="1"/>
  <c r="BU136" i="1" s="1"/>
  <c r="BS131" i="1"/>
  <c r="BT131" i="1" s="1"/>
  <c r="BU131" i="1" s="1"/>
  <c r="BS228" i="1"/>
  <c r="BT228" i="1" s="1"/>
  <c r="BU228" i="1" s="1"/>
  <c r="BS280" i="1"/>
  <c r="BT280" i="1" s="1"/>
  <c r="BU280" i="1" s="1"/>
  <c r="BS360" i="1"/>
  <c r="BT360" i="1" s="1"/>
  <c r="BU360" i="1" s="1"/>
  <c r="BS63" i="1"/>
  <c r="BT63" i="1" s="1"/>
  <c r="BU63" i="1" s="1"/>
  <c r="BT82" i="1"/>
  <c r="BU82" i="1" s="1"/>
  <c r="BS33" i="1"/>
  <c r="BT33" i="1" s="1"/>
  <c r="BU33" i="1" s="1"/>
  <c r="BT279" i="1"/>
  <c r="BU279" i="1" s="1"/>
  <c r="BS316" i="1"/>
  <c r="BT316" i="1" s="1"/>
  <c r="BU316" i="1" s="1"/>
  <c r="BS300" i="1"/>
  <c r="BT300" i="1" s="1"/>
  <c r="BU300" i="1" s="1"/>
  <c r="BS71" i="1"/>
  <c r="BT71" i="1" s="1"/>
  <c r="BU71" i="1" s="1"/>
  <c r="BS191" i="1"/>
  <c r="BT191" i="1" s="1"/>
  <c r="BU191" i="1" s="1"/>
  <c r="BT184" i="1"/>
  <c r="BU184" i="1" s="1"/>
  <c r="BS348" i="1"/>
  <c r="BT348" i="1" s="1"/>
  <c r="BU348" i="1" s="1"/>
  <c r="BS190" i="1"/>
  <c r="BT190" i="1" s="1"/>
  <c r="BU190" i="1" s="1"/>
  <c r="BS55" i="1"/>
  <c r="BT55" i="1" s="1"/>
  <c r="BU55" i="1" s="1"/>
  <c r="BS38" i="1"/>
  <c r="BT38" i="1" s="1"/>
  <c r="BU38" i="1" s="1"/>
  <c r="BS89" i="1"/>
  <c r="BT89" i="1" s="1"/>
  <c r="BU89" i="1" s="1"/>
  <c r="BS104" i="1"/>
  <c r="BT104" i="1" s="1"/>
  <c r="BU104" i="1" s="1"/>
  <c r="BS362" i="1"/>
  <c r="BT362" i="1" s="1"/>
  <c r="BU362" i="1" s="1"/>
  <c r="BT303" i="1"/>
  <c r="BU303" i="1" s="1"/>
  <c r="BS169" i="1"/>
  <c r="BT169" i="1" s="1"/>
  <c r="BU169" i="1" s="1"/>
  <c r="BS61" i="1"/>
  <c r="BT61" i="1" s="1"/>
  <c r="BU61" i="1" s="1"/>
  <c r="BR20" i="1"/>
  <c r="BT20" i="1" s="1"/>
  <c r="BU20" i="1" s="1"/>
  <c r="BS215" i="1"/>
  <c r="BT215" i="1" s="1"/>
  <c r="BU215" i="1" s="1"/>
  <c r="BS373" i="1"/>
  <c r="BT373" i="1" s="1"/>
  <c r="BU373" i="1" s="1"/>
  <c r="BS264" i="1"/>
  <c r="BT264" i="1" s="1"/>
  <c r="BU264" i="1" s="1"/>
  <c r="BS168" i="1"/>
  <c r="BT168" i="1" s="1"/>
  <c r="BU168" i="1" s="1"/>
  <c r="BS99" i="1"/>
  <c r="BT99" i="1" s="1"/>
  <c r="BU99" i="1" s="1"/>
  <c r="BT56" i="1"/>
  <c r="BU56" i="1" s="1"/>
  <c r="BS77" i="1"/>
  <c r="BT77" i="1" s="1"/>
  <c r="BU77" i="1" s="1"/>
  <c r="BS353" i="1"/>
  <c r="BT353" i="1" s="1"/>
  <c r="BU353" i="1" s="1"/>
  <c r="BT81" i="1"/>
  <c r="BU81" i="1" s="1"/>
  <c r="BS336" i="1"/>
  <c r="BT336" i="1" s="1"/>
  <c r="BU336" i="1" s="1"/>
  <c r="BS162" i="1"/>
  <c r="BT162" i="1" s="1"/>
  <c r="BU162" i="1" s="1"/>
  <c r="BS288" i="1"/>
  <c r="BT288" i="1" s="1"/>
  <c r="BU288" i="1" s="1"/>
  <c r="BS37" i="1"/>
  <c r="BT37" i="1" s="1"/>
  <c r="BU37" i="1" s="1"/>
  <c r="BS347" i="1"/>
  <c r="BT347" i="1" s="1"/>
  <c r="BU347" i="1" s="1"/>
  <c r="BS57" i="1"/>
  <c r="BT57" i="1" s="1"/>
  <c r="BU57" i="1" s="1"/>
  <c r="BS26" i="1"/>
  <c r="BT26" i="1" s="1"/>
  <c r="BU26" i="1" s="1"/>
  <c r="BS284" i="1"/>
  <c r="BT284" i="1" s="1"/>
  <c r="BU284" i="1" s="1"/>
  <c r="BS159" i="1"/>
  <c r="BT159" i="1" s="1"/>
  <c r="BU159" i="1" s="1"/>
  <c r="BS309" i="1"/>
  <c r="BT309" i="1" s="1"/>
  <c r="BU309" i="1" s="1"/>
  <c r="BS194" i="1"/>
  <c r="BT194" i="1" s="1"/>
  <c r="BU194" i="1" s="1"/>
  <c r="BS231" i="1"/>
  <c r="BT231" i="1" s="1"/>
  <c r="BU231" i="1" s="1"/>
  <c r="BS234" i="1"/>
  <c r="BT234" i="1" s="1"/>
  <c r="BU234" i="1" s="1"/>
  <c r="BS252" i="1"/>
  <c r="BT252" i="1" s="1"/>
  <c r="BU252" i="1" s="1"/>
  <c r="BS192" i="1"/>
  <c r="BT192" i="1" s="1"/>
  <c r="BU192" i="1" s="1"/>
  <c r="BJ11" i="1"/>
  <c r="BN371" i="1" s="1"/>
  <c r="BS324" i="1"/>
  <c r="BT324" i="1" s="1"/>
  <c r="BU324" i="1" s="1"/>
  <c r="BS321" i="1"/>
  <c r="BT321" i="1" s="1"/>
  <c r="BU321" i="1" s="1"/>
  <c r="BS346" i="1"/>
  <c r="BT346" i="1" s="1"/>
  <c r="BU346" i="1" s="1"/>
  <c r="BS339" i="1"/>
  <c r="BT339" i="1" s="1"/>
  <c r="BU339" i="1" s="1"/>
  <c r="BS285" i="1"/>
  <c r="BT285" i="1" s="1"/>
  <c r="BU285" i="1" s="1"/>
  <c r="BS91" i="1"/>
  <c r="BT91" i="1" s="1"/>
  <c r="BU91" i="1" s="1"/>
  <c r="BS46" i="1"/>
  <c r="BT46" i="1" s="1"/>
  <c r="BU46" i="1" s="1"/>
  <c r="BS328" i="1"/>
  <c r="BT328" i="1" s="1"/>
  <c r="BU328" i="1" s="1"/>
  <c r="BT210" i="1"/>
  <c r="BU210" i="1" s="1"/>
  <c r="BS289" i="1"/>
  <c r="BT289" i="1" s="1"/>
  <c r="BU289" i="1" s="1"/>
  <c r="BM366" i="1"/>
  <c r="BM164" i="1"/>
  <c r="BM75" i="1"/>
  <c r="BM337" i="1"/>
  <c r="BM52" i="1"/>
  <c r="BM235" i="1"/>
  <c r="BM296" i="1"/>
  <c r="BM147" i="1"/>
  <c r="BM22" i="1"/>
  <c r="BM19" i="1"/>
  <c r="BM271" i="1"/>
  <c r="BM102" i="1"/>
  <c r="G41" i="1"/>
  <c r="O38" i="1" s="1"/>
  <c r="O33" i="1" s="1"/>
  <c r="J66" i="1"/>
  <c r="K66" i="1" s="1"/>
  <c r="L66" i="1" s="1"/>
  <c r="M66" i="1" s="1"/>
  <c r="N66" i="1" s="1"/>
  <c r="J68" i="1"/>
  <c r="K68" i="1" s="1"/>
  <c r="L68" i="1" s="1"/>
  <c r="M68" i="1" s="1"/>
  <c r="J71" i="1"/>
  <c r="J67" i="1"/>
  <c r="K67" i="1" s="1"/>
  <c r="L67" i="1" s="1"/>
  <c r="M67" i="1" s="1"/>
  <c r="O67" i="1" s="1"/>
  <c r="J63" i="1"/>
  <c r="K63" i="1" s="1"/>
  <c r="L63" i="1" s="1"/>
  <c r="M63" i="1" s="1"/>
  <c r="O63" i="1" s="1"/>
  <c r="J70" i="1"/>
  <c r="J65" i="1"/>
  <c r="K65" i="1" s="1"/>
  <c r="L65" i="1" s="1"/>
  <c r="M65" i="1" s="1"/>
  <c r="O65" i="1" s="1"/>
  <c r="G40" i="1"/>
  <c r="K38" i="1" s="1"/>
  <c r="K39" i="1" s="1"/>
  <c r="J34" i="1" s="1"/>
  <c r="N64" i="1"/>
  <c r="J69" i="1"/>
  <c r="J62" i="1"/>
  <c r="K62" i="1" s="1"/>
  <c r="L62" i="1" s="1"/>
  <c r="M62" i="1" s="1"/>
  <c r="N62" i="1" s="1"/>
  <c r="BN329" i="1" l="1"/>
  <c r="BN122" i="1"/>
  <c r="BN84" i="1"/>
  <c r="BN170" i="1"/>
  <c r="BN41" i="1"/>
  <c r="BN173" i="1"/>
  <c r="BN225" i="1"/>
  <c r="BN298" i="1"/>
  <c r="BN268" i="1"/>
  <c r="BN348" i="1"/>
  <c r="BN38" i="1"/>
  <c r="BN161" i="1"/>
  <c r="BN49" i="1"/>
  <c r="BN156" i="1"/>
  <c r="BN271" i="1"/>
  <c r="BN75" i="1"/>
  <c r="BN304" i="1"/>
  <c r="BN243" i="1"/>
  <c r="BN278" i="1"/>
  <c r="BN310" i="1"/>
  <c r="BN181" i="1"/>
  <c r="BN367" i="1"/>
  <c r="BN323" i="1"/>
  <c r="BN335" i="1"/>
  <c r="BN130" i="1"/>
  <c r="BN256" i="1"/>
  <c r="BN35" i="1"/>
  <c r="BN57" i="1"/>
  <c r="BN152" i="1"/>
  <c r="BN234" i="1"/>
  <c r="BN246" i="1"/>
  <c r="BN93" i="1"/>
  <c r="BN118" i="1"/>
  <c r="BN90" i="1"/>
  <c r="BN189" i="1"/>
  <c r="BN242" i="1"/>
  <c r="BN37" i="1"/>
  <c r="BN214" i="1"/>
  <c r="BN203" i="1"/>
  <c r="BN27" i="1"/>
  <c r="BN344" i="1"/>
  <c r="BN111" i="1"/>
  <c r="BN355" i="1"/>
  <c r="BN273" i="1"/>
  <c r="BN106" i="1"/>
  <c r="BN19" i="1"/>
  <c r="BN164" i="1"/>
  <c r="BN168" i="1"/>
  <c r="BN277" i="1"/>
  <c r="BN109" i="1"/>
  <c r="BN31" i="1"/>
  <c r="BN308" i="1"/>
  <c r="BN279" i="1"/>
  <c r="BN218" i="1"/>
  <c r="BN129" i="1"/>
  <c r="BN43" i="1"/>
  <c r="BN208" i="1"/>
  <c r="BN124" i="1"/>
  <c r="BN125" i="1"/>
  <c r="BN107" i="1"/>
  <c r="BN288" i="1"/>
  <c r="BN316" i="1"/>
  <c r="BN281" i="1"/>
  <c r="BN69" i="1"/>
  <c r="BN305" i="1"/>
  <c r="BN374" i="1"/>
  <c r="BN158" i="1"/>
  <c r="BN172" i="1"/>
  <c r="BN59" i="1"/>
  <c r="BN62" i="1"/>
  <c r="BN78" i="1"/>
  <c r="BN88" i="1"/>
  <c r="BN21" i="1"/>
  <c r="BN322" i="1"/>
  <c r="BN134" i="1"/>
  <c r="BN336" i="1"/>
  <c r="BN110" i="1"/>
  <c r="BN104" i="1"/>
  <c r="BN362" i="1"/>
  <c r="BN300" i="1"/>
  <c r="BN96" i="1"/>
  <c r="BN159" i="1"/>
  <c r="BN115" i="1"/>
  <c r="BN224" i="1"/>
  <c r="BN221" i="1"/>
  <c r="BN199" i="1"/>
  <c r="BN283" i="1"/>
  <c r="BN368" i="1"/>
  <c r="BN253" i="1"/>
  <c r="BN274" i="1"/>
  <c r="BN22" i="1"/>
  <c r="BN366" i="1"/>
  <c r="BN195" i="1"/>
  <c r="BN349" i="1"/>
  <c r="BN80" i="1"/>
  <c r="BN77" i="1"/>
  <c r="BN276" i="1"/>
  <c r="BN265" i="1"/>
  <c r="BN270" i="1"/>
  <c r="BN100" i="1"/>
  <c r="BN266" i="1"/>
  <c r="BN103" i="1"/>
  <c r="BN257" i="1"/>
  <c r="BN302" i="1"/>
  <c r="BN66" i="1"/>
  <c r="BN141" i="1"/>
  <c r="BN196" i="1"/>
  <c r="BN244" i="1"/>
  <c r="BN249" i="1"/>
  <c r="BN23" i="1"/>
  <c r="BN169" i="1"/>
  <c r="BN120" i="1"/>
  <c r="BN54" i="1"/>
  <c r="BN99" i="1"/>
  <c r="BN30" i="1"/>
  <c r="BN188" i="1"/>
  <c r="BN354" i="1"/>
  <c r="BN338" i="1"/>
  <c r="BN327" i="1"/>
  <c r="BN60" i="1"/>
  <c r="BN140" i="1"/>
  <c r="BN44" i="1"/>
  <c r="BN254" i="1"/>
  <c r="BN136" i="1"/>
  <c r="BN45" i="1"/>
  <c r="BN194" i="1"/>
  <c r="BN146" i="1"/>
  <c r="BN223" i="1"/>
  <c r="BN359" i="1"/>
  <c r="BN258" i="1"/>
  <c r="BN166" i="1"/>
  <c r="BN313" i="1"/>
  <c r="BN193" i="1"/>
  <c r="BN236" i="1"/>
  <c r="BN95" i="1"/>
  <c r="BN83" i="1"/>
  <c r="BN334" i="1"/>
  <c r="BN212" i="1"/>
  <c r="BN358" i="1"/>
  <c r="BN64" i="1"/>
  <c r="BN286" i="1"/>
  <c r="BN232" i="1"/>
  <c r="BN220" i="1"/>
  <c r="BN247" i="1"/>
  <c r="BN339" i="1"/>
  <c r="BN113" i="1"/>
  <c r="BN34" i="1"/>
  <c r="BN306" i="1"/>
  <c r="BN187" i="1"/>
  <c r="BN363" i="1"/>
  <c r="BN209" i="1"/>
  <c r="BN296" i="1"/>
  <c r="BN299" i="1"/>
  <c r="BN263" i="1"/>
  <c r="BN101" i="1"/>
  <c r="BN331" i="1"/>
  <c r="BN370" i="1"/>
  <c r="BN245" i="1"/>
  <c r="BN36" i="1"/>
  <c r="BN342" i="1"/>
  <c r="BN267" i="1"/>
  <c r="BN18" i="1"/>
  <c r="BN227" i="1"/>
  <c r="BN82" i="1"/>
  <c r="BN324" i="1"/>
  <c r="BN190" i="1"/>
  <c r="BN56" i="1"/>
  <c r="BN235" i="1"/>
  <c r="BN176" i="1"/>
  <c r="BN29" i="1"/>
  <c r="BN280" i="1"/>
  <c r="BN295" i="1"/>
  <c r="BN198" i="1"/>
  <c r="BN76" i="1"/>
  <c r="BN301" i="1"/>
  <c r="BN330" i="1"/>
  <c r="BN79" i="1"/>
  <c r="BN191" i="1"/>
  <c r="BN369" i="1"/>
  <c r="BN26" i="1"/>
  <c r="BN121" i="1"/>
  <c r="BN284" i="1"/>
  <c r="BN117" i="1"/>
  <c r="BN309" i="1"/>
  <c r="BN289" i="1"/>
  <c r="BN262" i="1"/>
  <c r="BN182" i="1"/>
  <c r="BN226" i="1"/>
  <c r="BN294" i="1"/>
  <c r="BN153" i="1"/>
  <c r="BN61" i="1"/>
  <c r="BN184" i="1"/>
  <c r="BN353" i="1"/>
  <c r="BN312" i="1"/>
  <c r="BN230" i="1"/>
  <c r="BN356" i="1"/>
  <c r="BN200" i="1"/>
  <c r="BN157" i="1"/>
  <c r="BN346" i="1"/>
  <c r="BN285" i="1"/>
  <c r="BN201" i="1"/>
  <c r="BN28" i="1"/>
  <c r="BN183" i="1"/>
  <c r="BN345" i="1"/>
  <c r="BN132" i="1"/>
  <c r="BN292" i="1"/>
  <c r="BN248" i="1"/>
  <c r="BN231" i="1"/>
  <c r="BN55" i="1"/>
  <c r="BN86" i="1"/>
  <c r="BN332" i="1"/>
  <c r="BN98" i="1"/>
  <c r="BN147" i="1"/>
  <c r="BN58" i="1"/>
  <c r="BN150" i="1"/>
  <c r="BN333" i="1"/>
  <c r="BN85" i="1"/>
  <c r="BN264" i="1"/>
  <c r="BN255" i="1"/>
  <c r="BN259" i="1"/>
  <c r="BN219" i="1"/>
  <c r="BN148" i="1"/>
  <c r="BN24" i="1"/>
  <c r="BN241" i="1"/>
  <c r="BN51" i="1"/>
  <c r="BN202" i="1"/>
  <c r="BN50" i="1"/>
  <c r="BN215" i="1"/>
  <c r="BN142" i="1"/>
  <c r="BN361" i="1"/>
  <c r="BN233" i="1"/>
  <c r="BN81" i="1"/>
  <c r="BN293" i="1"/>
  <c r="BN39" i="1"/>
  <c r="BN108" i="1"/>
  <c r="BN216" i="1"/>
  <c r="BN347" i="1"/>
  <c r="BN185" i="1"/>
  <c r="BN341" i="1"/>
  <c r="BN213" i="1"/>
  <c r="BN92" i="1"/>
  <c r="BN319" i="1"/>
  <c r="BN261" i="1"/>
  <c r="BN52" i="1"/>
  <c r="BN290" i="1"/>
  <c r="BN228" i="1"/>
  <c r="BN137" i="1"/>
  <c r="BN154" i="1"/>
  <c r="BN119" i="1"/>
  <c r="BN175" i="1"/>
  <c r="BN112" i="1"/>
  <c r="BN149" i="1"/>
  <c r="BN179" i="1"/>
  <c r="BN162" i="1"/>
  <c r="BN315" i="1"/>
  <c r="BN73" i="1"/>
  <c r="BN171" i="1"/>
  <c r="BN314" i="1"/>
  <c r="BN352" i="1"/>
  <c r="BN145" i="1"/>
  <c r="BN365" i="1"/>
  <c r="BN311" i="1"/>
  <c r="BN205" i="1"/>
  <c r="BN351" i="1"/>
  <c r="BN68" i="1"/>
  <c r="BN127" i="1"/>
  <c r="BN16" i="1"/>
  <c r="BN210" i="1"/>
  <c r="BN135" i="1"/>
  <c r="BN282" i="1"/>
  <c r="BN72" i="1"/>
  <c r="BN180" i="1"/>
  <c r="BN25" i="1"/>
  <c r="BN357" i="1"/>
  <c r="BN206" i="1"/>
  <c r="BN217" i="1"/>
  <c r="BN126" i="1"/>
  <c r="BN317" i="1"/>
  <c r="BN143" i="1"/>
  <c r="BN372" i="1"/>
  <c r="BN163" i="1"/>
  <c r="BN128" i="1"/>
  <c r="BN48" i="1"/>
  <c r="BN155" i="1"/>
  <c r="BN192" i="1"/>
  <c r="BN197" i="1"/>
  <c r="BN97" i="1"/>
  <c r="BN320" i="1"/>
  <c r="BN15" i="1"/>
  <c r="BN89" i="1"/>
  <c r="BN207" i="1"/>
  <c r="BN328" i="1"/>
  <c r="BN114" i="1"/>
  <c r="BN17" i="1"/>
  <c r="BN123" i="1"/>
  <c r="BN364" i="1"/>
  <c r="BN272" i="1"/>
  <c r="BN53" i="1"/>
  <c r="BN178" i="1"/>
  <c r="BN204" i="1"/>
  <c r="BN238" i="1"/>
  <c r="BN251" i="1"/>
  <c r="BN343" i="1"/>
  <c r="BN326" i="1"/>
  <c r="BN303" i="1"/>
  <c r="BN321" i="1"/>
  <c r="BN71" i="1"/>
  <c r="BN297" i="1"/>
  <c r="BN287" i="1"/>
  <c r="BN260" i="1"/>
  <c r="BN237" i="1"/>
  <c r="BN250" i="1"/>
  <c r="BN229" i="1"/>
  <c r="BN177" i="1"/>
  <c r="BN105" i="1"/>
  <c r="BN102" i="1"/>
  <c r="BN337" i="1"/>
  <c r="BN275" i="1"/>
  <c r="BN222" i="1"/>
  <c r="BN167" i="1"/>
  <c r="BN144" i="1"/>
  <c r="BN46" i="1"/>
  <c r="BN174" i="1"/>
  <c r="BN87" i="1"/>
  <c r="BN67" i="1"/>
  <c r="BN291" i="1"/>
  <c r="BN151" i="1"/>
  <c r="BN42" i="1"/>
  <c r="BN269" i="1"/>
  <c r="BN91" i="1"/>
  <c r="BN373" i="1"/>
  <c r="BN360" i="1"/>
  <c r="BN74" i="1"/>
  <c r="BN47" i="1"/>
  <c r="BN252" i="1"/>
  <c r="BN186" i="1"/>
  <c r="BN307" i="1"/>
  <c r="BN20" i="1"/>
  <c r="BN318" i="1"/>
  <c r="BN139" i="1"/>
  <c r="BN165" i="1"/>
  <c r="BN70" i="1"/>
  <c r="BN240" i="1"/>
  <c r="BN325" i="1"/>
  <c r="BN375" i="1"/>
  <c r="BN138" i="1"/>
  <c r="BN211" i="1"/>
  <c r="BN340" i="1"/>
  <c r="BN239" i="1"/>
  <c r="BN65" i="1"/>
  <c r="BN32" i="1"/>
  <c r="BN131" i="1"/>
  <c r="BN94" i="1"/>
  <c r="BN33" i="1"/>
  <c r="BN116" i="1"/>
  <c r="BN160" i="1"/>
  <c r="BN40" i="1"/>
  <c r="BN350" i="1"/>
  <c r="BN133" i="1"/>
  <c r="BN63" i="1"/>
  <c r="BQ21" i="1"/>
  <c r="BR21" i="1" s="1"/>
  <c r="K71" i="1"/>
  <c r="L71" i="1" s="1"/>
  <c r="M71" i="1" s="1"/>
  <c r="K70" i="1"/>
  <c r="L70" i="1" s="1"/>
  <c r="M70" i="1" s="1"/>
  <c r="K69" i="1"/>
  <c r="L69" i="1" s="1"/>
  <c r="M69" i="1" s="1"/>
  <c r="H54" i="1"/>
  <c r="J52" i="1"/>
  <c r="N33" i="1"/>
  <c r="K50" i="1"/>
  <c r="J55" i="1"/>
  <c r="O39" i="1"/>
  <c r="O34" i="1" s="1"/>
  <c r="J53" i="1"/>
  <c r="I54" i="1"/>
  <c r="K54" i="1"/>
  <c r="J56" i="1"/>
  <c r="J49" i="1"/>
  <c r="I52" i="1"/>
  <c r="K51" i="1"/>
  <c r="K55" i="1"/>
  <c r="H51" i="1"/>
  <c r="J51" i="1"/>
  <c r="H52" i="1"/>
  <c r="J50" i="1"/>
  <c r="I55" i="1"/>
  <c r="I51" i="1"/>
  <c r="I49" i="1"/>
  <c r="K56" i="1"/>
  <c r="H53" i="1"/>
  <c r="H55" i="1"/>
  <c r="K52" i="1"/>
  <c r="K49" i="1"/>
  <c r="J54" i="1"/>
  <c r="I50" i="1"/>
  <c r="H49" i="1"/>
  <c r="I53" i="1"/>
  <c r="I56" i="1"/>
  <c r="H50" i="1"/>
  <c r="K53" i="1"/>
  <c r="H56" i="1"/>
  <c r="O66" i="1"/>
  <c r="G36" i="1"/>
  <c r="N67" i="1"/>
  <c r="N63" i="1"/>
  <c r="O62" i="1"/>
  <c r="N65" i="1"/>
  <c r="J33" i="1"/>
  <c r="K33" i="1"/>
  <c r="K34" i="1"/>
  <c r="N68" i="1"/>
  <c r="O68" i="1"/>
  <c r="BS21" i="1" l="1"/>
  <c r="BT21" i="1" s="1"/>
  <c r="BU21" i="1" s="1"/>
  <c r="K72" i="1"/>
  <c r="U3" i="1" s="1"/>
  <c r="N71" i="1"/>
  <c r="O71" i="1"/>
  <c r="N70" i="1"/>
  <c r="O70" i="1"/>
  <c r="N69" i="1"/>
  <c r="O69" i="1"/>
  <c r="M72" i="1"/>
  <c r="N34" i="1"/>
  <c r="M53" i="1"/>
  <c r="T56" i="1"/>
  <c r="M49" i="1"/>
  <c r="S54" i="1"/>
  <c r="S52" i="1"/>
  <c r="V55" i="1"/>
  <c r="S51" i="1"/>
  <c r="L51" i="1"/>
  <c r="M51" i="1"/>
  <c r="T51" i="1"/>
  <c r="V50" i="1"/>
  <c r="M55" i="1"/>
  <c r="W54" i="1"/>
  <c r="T49" i="1"/>
  <c r="S55" i="1"/>
  <c r="T55" i="1"/>
  <c r="S53" i="1"/>
  <c r="T50" i="1"/>
  <c r="W51" i="1"/>
  <c r="T52" i="1"/>
  <c r="W56" i="1"/>
  <c r="M50" i="1"/>
  <c r="V49" i="1"/>
  <c r="L50" i="1"/>
  <c r="S50" i="1"/>
  <c r="W50" i="1"/>
  <c r="L55" i="1"/>
  <c r="S49" i="1"/>
  <c r="V51" i="1"/>
  <c r="W55" i="1"/>
  <c r="W52" i="1"/>
  <c r="M54" i="1"/>
  <c r="T53" i="1"/>
  <c r="M56" i="1"/>
  <c r="W53" i="1"/>
  <c r="L54" i="1"/>
  <c r="V54" i="1"/>
  <c r="V52" i="1"/>
  <c r="M52" i="1"/>
  <c r="V56" i="1"/>
  <c r="T54" i="1"/>
  <c r="S56" i="1"/>
  <c r="L53" i="1"/>
  <c r="V53" i="1"/>
  <c r="L56" i="1"/>
  <c r="L52" i="1"/>
  <c r="L49" i="1"/>
  <c r="W49" i="1"/>
  <c r="O72" i="1" l="1"/>
  <c r="O73" i="1" s="1"/>
  <c r="N72" i="1"/>
  <c r="N73" i="1" s="1"/>
  <c r="P53" i="1"/>
  <c r="O49" i="1"/>
  <c r="P51" i="1"/>
  <c r="N51" i="1"/>
  <c r="O51" i="1"/>
  <c r="O55" i="1"/>
  <c r="P49" i="1"/>
  <c r="N54" i="1"/>
  <c r="O50" i="1"/>
  <c r="N50" i="1"/>
  <c r="P50" i="1"/>
  <c r="P54" i="1"/>
  <c r="N49" i="1"/>
  <c r="N55" i="1"/>
  <c r="N53" i="1"/>
  <c r="P55" i="1"/>
  <c r="P52" i="1"/>
  <c r="O53" i="1"/>
  <c r="N56" i="1"/>
  <c r="O54" i="1"/>
  <c r="O56" i="1"/>
  <c r="P56" i="1"/>
  <c r="N52" i="1"/>
  <c r="O52" i="1"/>
  <c r="F76" i="1" l="1"/>
  <c r="E76" i="1"/>
  <c r="P57" i="1"/>
  <c r="N57" i="1"/>
  <c r="B75" i="1" s="1"/>
  <c r="U4" i="1" s="1"/>
  <c r="W4" i="1" s="1"/>
  <c r="O57" i="1"/>
  <c r="B77" i="1" l="1"/>
  <c r="P59" i="1"/>
  <c r="B76" i="1"/>
  <c r="O59" i="1"/>
  <c r="AB7" i="1"/>
  <c r="O58" i="1"/>
  <c r="P58" i="1"/>
  <c r="B79" i="1" l="1"/>
  <c r="U5" i="1" s="1"/>
  <c r="B80" i="1"/>
  <c r="U6" i="1" s="1"/>
  <c r="BP9" i="1" s="1"/>
  <c r="BW9" i="1" s="1"/>
  <c r="F75" i="1"/>
  <c r="E75" i="1"/>
  <c r="S58" i="1"/>
  <c r="T58" i="1"/>
  <c r="U7" i="1" l="1"/>
  <c r="W7" i="1" s="1"/>
  <c r="BO9" i="1"/>
  <c r="BV9" i="1" s="1"/>
  <c r="BX9" i="1" s="1"/>
  <c r="BZ9" i="1" s="1"/>
  <c r="AA9" i="1"/>
  <c r="B83" i="1"/>
  <c r="AB9" i="1"/>
  <c r="W6" i="1"/>
  <c r="U18" i="1"/>
  <c r="U19" i="1" s="1"/>
  <c r="U21" i="1" s="1"/>
  <c r="U8" i="1"/>
  <c r="AA7" i="1" s="1"/>
  <c r="BQ9" i="1" l="1"/>
  <c r="BR9" i="1" s="1"/>
  <c r="X8" i="1"/>
  <c r="X7" i="1"/>
  <c r="AC9" i="1"/>
  <c r="V19" i="1"/>
  <c r="V21" i="1" s="1"/>
  <c r="W19" i="1"/>
  <c r="W21" i="1" s="1"/>
  <c r="BY9" i="1"/>
  <c r="CA9" i="1" s="1"/>
  <c r="CB9" i="1" s="1"/>
  <c r="BS9" i="1" l="1"/>
  <c r="BT9" i="1" s="1"/>
  <c r="BU9" i="1" s="1"/>
  <c r="U23" i="1"/>
  <c r="V23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<sst xmlns="http://schemas.openxmlformats.org/spreadsheetml/2006/main" count="265" uniqueCount="164">
  <si>
    <t>f'c</t>
  </si>
  <si>
    <t>ksi</t>
  </si>
  <si>
    <t>Ec</t>
  </si>
  <si>
    <t>Beta1</t>
  </si>
  <si>
    <t>in</t>
  </si>
  <si>
    <t>B,web</t>
  </si>
  <si>
    <t>H, total</t>
  </si>
  <si>
    <t>t,flange</t>
  </si>
  <si>
    <t>x</t>
  </si>
  <si>
    <t>y</t>
  </si>
  <si>
    <t>Reinf Steel:</t>
  </si>
  <si>
    <t xml:space="preserve">Fy = </t>
  </si>
  <si>
    <t xml:space="preserve">Es = </t>
  </si>
  <si>
    <t>Bar #</t>
  </si>
  <si>
    <t>As (in^2)</t>
  </si>
  <si>
    <t>NA Angle:</t>
  </si>
  <si>
    <t>radians</t>
  </si>
  <si>
    <t>NA Depth:</t>
  </si>
  <si>
    <t>Beta1*NA=</t>
  </si>
  <si>
    <t>Transformed Section so strain only varies in Y:</t>
  </si>
  <si>
    <t>Concrete:</t>
  </si>
  <si>
    <t>x'</t>
  </si>
  <si>
    <t>y'</t>
  </si>
  <si>
    <t>Transformed H:</t>
  </si>
  <si>
    <t>peak:</t>
  </si>
  <si>
    <t>Xc</t>
  </si>
  <si>
    <t>Yc</t>
  </si>
  <si>
    <t>Conrete Force and Moment by Line Integrals</t>
  </si>
  <si>
    <t>xi (in)</t>
  </si>
  <si>
    <t>yi (in)</t>
  </si>
  <si>
    <t>xj (in)</t>
  </si>
  <si>
    <t>yj (in)</t>
  </si>
  <si>
    <t>m</t>
  </si>
  <si>
    <t>b</t>
  </si>
  <si>
    <t>xi' (in)</t>
  </si>
  <si>
    <t>yi' (in)</t>
  </si>
  <si>
    <t>xj' (in)</t>
  </si>
  <si>
    <t>yj' (in)</t>
  </si>
  <si>
    <t>σi' (ksi)</t>
  </si>
  <si>
    <t>σj' (ksi)</t>
  </si>
  <si>
    <t>P (kips)</t>
  </si>
  <si>
    <t>Mx (kip-in)</t>
  </si>
  <si>
    <t>My (kip-in)</t>
  </si>
  <si>
    <t>Segment 1</t>
  </si>
  <si>
    <t>Segment 2</t>
  </si>
  <si>
    <t>Segment 3</t>
  </si>
  <si>
    <t>Segment 4</t>
  </si>
  <si>
    <t>Segment 5</t>
  </si>
  <si>
    <t>Segment 6</t>
  </si>
  <si>
    <t>0.85*F'c =</t>
  </si>
  <si>
    <t>y,na =</t>
  </si>
  <si>
    <t>y,stress block =</t>
  </si>
  <si>
    <t>NA Graph</t>
  </si>
  <si>
    <t>Whitney Block Graph</t>
  </si>
  <si>
    <t>Rebar</t>
  </si>
  <si>
    <t>x,t</t>
  </si>
  <si>
    <t>y,t</t>
  </si>
  <si>
    <t>Depth</t>
  </si>
  <si>
    <t>Strain</t>
  </si>
  <si>
    <t>Stress</t>
  </si>
  <si>
    <t>Ps</t>
  </si>
  <si>
    <t>Ps_Mx</t>
  </si>
  <si>
    <t>Ps_My</t>
  </si>
  <si>
    <t>Pn =</t>
  </si>
  <si>
    <t xml:space="preserve">Mnx = </t>
  </si>
  <si>
    <t xml:space="preserve">Mny = </t>
  </si>
  <si>
    <t xml:space="preserve">Mnx' = </t>
  </si>
  <si>
    <t xml:space="preserve">Mny' = </t>
  </si>
  <si>
    <t>kips</t>
  </si>
  <si>
    <t>kip-in</t>
  </si>
  <si>
    <t>kip-ft</t>
  </si>
  <si>
    <t>Tolerance:</t>
  </si>
  <si>
    <t>Max Iterations:</t>
  </si>
  <si>
    <t>Depth for All Fy+:</t>
  </si>
  <si>
    <t>alpha result</t>
  </si>
  <si>
    <t xml:space="preserve">P = </t>
  </si>
  <si>
    <t>My =</t>
  </si>
  <si>
    <t xml:space="preserve">Mx = </t>
  </si>
  <si>
    <t>phi</t>
  </si>
  <si>
    <t>scale pt</t>
  </si>
  <si>
    <t>web</t>
  </si>
  <si>
    <t>p1</t>
  </si>
  <si>
    <t>p2</t>
  </si>
  <si>
    <t>c1</t>
  </si>
  <si>
    <t>c2</t>
  </si>
  <si>
    <t>--</t>
  </si>
  <si>
    <t>% As based:</t>
  </si>
  <si>
    <t>Min As %:</t>
  </si>
  <si>
    <t>NA Original Orientation</t>
  </si>
  <si>
    <t>Whitney Block Original Orientation</t>
  </si>
  <si>
    <t>d:</t>
  </si>
  <si>
    <t>B,Flange Right</t>
  </si>
  <si>
    <t>B, Flange Left</t>
  </si>
  <si>
    <t>Segment 7</t>
  </si>
  <si>
    <t>Segment 8</t>
  </si>
  <si>
    <t>Error</t>
  </si>
  <si>
    <t>tan-1(My/Mx) =</t>
  </si>
  <si>
    <t>rad</t>
  </si>
  <si>
    <t>User:</t>
  </si>
  <si>
    <t>P</t>
  </si>
  <si>
    <t>Mx</t>
  </si>
  <si>
    <t>My</t>
  </si>
  <si>
    <t>eu</t>
  </si>
  <si>
    <t>|User|</t>
  </si>
  <si>
    <t>User - Unit Vector</t>
  </si>
  <si>
    <t>|Result|</t>
  </si>
  <si>
    <t>Result - Unit Vector</t>
  </si>
  <si>
    <t>Difference Vector</t>
  </si>
  <si>
    <t>|D.V.|</t>
  </si>
  <si>
    <t>|M|</t>
  </si>
  <si>
    <t>Result chart</t>
  </si>
  <si>
    <t>Alpha</t>
  </si>
  <si>
    <t>Tan-1(My/Mx)</t>
  </si>
  <si>
    <t>NA Bisection Steps</t>
  </si>
  <si>
    <t>a</t>
  </si>
  <si>
    <t>c</t>
  </si>
  <si>
    <t>f_a</t>
  </si>
  <si>
    <t>f_b</t>
  </si>
  <si>
    <t>f_c</t>
  </si>
  <si>
    <t>Plastic Center</t>
  </si>
  <si>
    <t>Concrete</t>
  </si>
  <si>
    <t>A</t>
  </si>
  <si>
    <t>Cx</t>
  </si>
  <si>
    <t>Cy</t>
  </si>
  <si>
    <t xml:space="preserve">Cc = </t>
  </si>
  <si>
    <t xml:space="preserve">My = </t>
  </si>
  <si>
    <t>T</t>
  </si>
  <si>
    <t>Tension Center</t>
  </si>
  <si>
    <t>Parametric C to T Line</t>
  </si>
  <si>
    <t>-</t>
  </si>
  <si>
    <t>)</t>
  </si>
  <si>
    <t>Given a P Solve for T</t>
  </si>
  <si>
    <t xml:space="preserve">t = </t>
  </si>
  <si>
    <t>P =</t>
  </si>
  <si>
    <t>Alpha Search Window</t>
  </si>
  <si>
    <t>Pi bounds</t>
  </si>
  <si>
    <t>Davister Steps</t>
  </si>
  <si>
    <t>am0</t>
  </si>
  <si>
    <t>ak</t>
  </si>
  <si>
    <t>ak1</t>
  </si>
  <si>
    <t>adelt</t>
  </si>
  <si>
    <t>amk</t>
  </si>
  <si>
    <t>amk1</t>
  </si>
  <si>
    <t>Newton-Raphson Steps</t>
  </si>
  <si>
    <t>Newton_Raphson Relax Factor:</t>
  </si>
  <si>
    <t>Abs(Alpha - Tan-1)</t>
  </si>
  <si>
    <t>Tan-1 - User Tan-1</t>
  </si>
  <si>
    <t>abs(Tan-1 - User Tan-1)</t>
  </si>
  <si>
    <t>Try Working with a guess center point of Mx vs My instead of 0,0</t>
  </si>
  <si>
    <t>Guess Point - determined via parametric line between full compression and tension</t>
  </si>
  <si>
    <t>2D Vector Between User Load and New Center Point - moving from load to point</t>
  </si>
  <si>
    <t>UG</t>
  </si>
  <si>
    <t>|UG|</t>
  </si>
  <si>
    <t>unit V</t>
  </si>
  <si>
    <t>2D Vectors from Guess to Mx v My Plot</t>
  </si>
  <si>
    <t>|v|</t>
  </si>
  <si>
    <t>Ux</t>
  </si>
  <si>
    <t>Uy</t>
  </si>
  <si>
    <t>Tan-1 Ux/Uy</t>
  </si>
  <si>
    <t>delta</t>
  </si>
  <si>
    <t>M0</t>
  </si>
  <si>
    <t>Mrd</t>
  </si>
  <si>
    <t>Screen Update:</t>
  </si>
  <si>
    <t># of Points: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</si>
</sst>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"/>
    <numFmt numFmtId="165" formatCode="0.00000"/>
    <numFmt numFmtId="166" formatCode="0.000%"/>
    <numFmt numFmtId="167" formatCode="0.000E+00"/>
    <numFmt numFmtId="168" formatCode="0.0000"/>
  </numFmts>
  <fonts count="6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2" tint="-0.249977111117893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51">
    <xf numFmtId="0" fontId="0" fillId="0" borderId="0" xfId="0"/>
    <xf numFmtId="0" fontId="0" fillId="0" borderId="0" xfId="0" applyAlignment="1">
      <alignment horizontal="center"/>
    </xf>
    <xf numFmtId="2" fontId="0" fillId="2" borderId="0" xfId="0" applyNumberFormat="1" applyFill="1" applyAlignment="1" applyProtection="1">
      <alignment horizontal="center"/>
      <protection locked="0"/>
    </xf>
    <xf numFmtId="2" fontId="0" fillId="0" borderId="0" xfId="0" applyNumberFormat="1" applyAlignment="1">
      <alignment horizontal="center"/>
    </xf>
    <xf numFmtId="0" fontId="0" fillId="2" borderId="0" xfId="0" applyFill="1" applyAlignment="1">
      <alignment horizontal="center"/>
    </xf>
    <xf numFmtId="2" fontId="0" fillId="0" borderId="0" xfId="0" applyNumberFormat="1"/>
    <xf numFmtId="164" fontId="0" fillId="0" borderId="0" xfId="0" applyNumberFormat="1" applyAlignment="1">
      <alignment horizontal="center"/>
    </xf>
    <xf numFmtId="164" fontId="0" fillId="2" borderId="0" xfId="0" applyNumberFormat="1" applyFill="1" applyAlignment="1">
      <alignment horizontal="center"/>
    </xf>
    <xf numFmtId="0" fontId="0" fillId="0" borderId="0" xfId="0" applyAlignment="1">
      <alignment horizontal="right"/>
    </xf>
    <xf numFmtId="164" fontId="0" fillId="0" borderId="0" xfId="0" applyNumberFormat="1"/>
    <xf numFmtId="164" fontId="0" fillId="0" borderId="0" xfId="0" applyNumberFormat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0" fontId="0" fillId="0" borderId="1" xfId="0" applyBorder="1"/>
    <xf numFmtId="0" fontId="0" fillId="0" borderId="0" xfId="0" applyFill="1" applyBorder="1"/>
    <xf numFmtId="11" fontId="0" fillId="2" borderId="0" xfId="0" applyNumberFormat="1" applyFill="1"/>
    <xf numFmtId="0" fontId="0" fillId="0" borderId="0" xfId="0" applyAlignment="1">
      <alignment horizontal="left"/>
    </xf>
    <xf numFmtId="0" fontId="0" fillId="0" borderId="4" xfId="0" applyBorder="1"/>
    <xf numFmtId="0" fontId="0" fillId="0" borderId="6" xfId="0" applyBorder="1"/>
    <xf numFmtId="0" fontId="0" fillId="0" borderId="9" xfId="0" applyBorder="1"/>
    <xf numFmtId="164" fontId="0" fillId="0" borderId="3" xfId="0" applyNumberFormat="1" applyBorder="1" applyAlignment="1">
      <alignment horizontal="center"/>
    </xf>
    <xf numFmtId="0" fontId="0" fillId="3" borderId="0" xfId="0" applyFill="1" applyAlignment="1" applyProtection="1">
      <alignment horizontal="center"/>
      <protection locked="0"/>
    </xf>
    <xf numFmtId="0" fontId="0" fillId="3" borderId="0" xfId="0" applyFill="1" applyAlignment="1">
      <alignment horizontal="center"/>
    </xf>
    <xf numFmtId="0" fontId="0" fillId="0" borderId="0" xfId="0" quotePrefix="1" applyAlignment="1">
      <alignment horizontal="center"/>
    </xf>
    <xf numFmtId="165" fontId="0" fillId="0" borderId="0" xfId="0" applyNumberFormat="1" applyAlignment="1">
      <alignment horizontal="center"/>
    </xf>
    <xf numFmtId="164" fontId="0" fillId="2" borderId="0" xfId="1" applyNumberFormat="1" applyFont="1" applyFill="1" applyAlignment="1">
      <alignment horizontal="center"/>
    </xf>
    <xf numFmtId="166" fontId="0" fillId="0" borderId="0" xfId="1" applyNumberFormat="1" applyFont="1" applyAlignment="1">
      <alignment horizontal="center"/>
    </xf>
    <xf numFmtId="0" fontId="0" fillId="0" borderId="2" xfId="0" applyBorder="1" applyAlignment="1">
      <alignment horizontal="right"/>
    </xf>
    <xf numFmtId="0" fontId="0" fillId="0" borderId="5" xfId="0" applyBorder="1" applyAlignment="1">
      <alignment horizontal="right"/>
    </xf>
    <xf numFmtId="0" fontId="4" fillId="0" borderId="7" xfId="0" applyFont="1" applyFill="1" applyBorder="1" applyAlignment="1">
      <alignment horizontal="right"/>
    </xf>
    <xf numFmtId="167" fontId="0" fillId="0" borderId="8" xfId="0" applyNumberFormat="1" applyBorder="1" applyAlignment="1">
      <alignment horizontal="center"/>
    </xf>
    <xf numFmtId="0" fontId="0" fillId="0" borderId="10" xfId="0" applyBorder="1" applyAlignment="1">
      <alignment horizontal="center"/>
    </xf>
    <xf numFmtId="167" fontId="0" fillId="0" borderId="11" xfId="0" applyNumberFormat="1" applyBorder="1" applyAlignment="1">
      <alignment horizontal="center"/>
    </xf>
    <xf numFmtId="164" fontId="0" fillId="4" borderId="11" xfId="0" applyNumberFormat="1" applyFill="1" applyBorder="1" applyAlignment="1">
      <alignment horizontal="center"/>
    </xf>
    <xf numFmtId="167" fontId="0" fillId="0" borderId="12" xfId="0" applyNumberFormat="1" applyBorder="1" applyAlignment="1">
      <alignment horizontal="center"/>
    </xf>
    <xf numFmtId="168" fontId="0" fillId="2" borderId="0" xfId="0" applyNumberFormat="1" applyFill="1" applyAlignment="1">
      <alignment horizontal="center"/>
    </xf>
    <xf numFmtId="0" fontId="0" fillId="0" borderId="2" xfId="0" applyFill="1" applyBorder="1" applyAlignment="1">
      <alignment horizontal="right"/>
    </xf>
    <xf numFmtId="0" fontId="0" fillId="0" borderId="3" xfId="0" applyBorder="1"/>
    <xf numFmtId="0" fontId="0" fillId="0" borderId="5" xfId="0" applyFill="1" applyBorder="1" applyAlignment="1">
      <alignment horizontal="right"/>
    </xf>
    <xf numFmtId="0" fontId="0" fillId="0" borderId="0" xfId="0" applyFill="1" applyBorder="1" applyAlignment="1">
      <alignment horizontal="right"/>
    </xf>
    <xf numFmtId="167" fontId="0" fillId="0" borderId="0" xfId="0" applyNumberFormat="1"/>
    <xf numFmtId="167" fontId="0" fillId="0" borderId="0" xfId="0" applyNumberFormat="1" applyAlignment="1">
      <alignment horizontal="center"/>
    </xf>
    <xf numFmtId="0" fontId="0" fillId="0" borderId="6" xfId="0" applyFill="1" applyBorder="1"/>
    <xf numFmtId="0" fontId="0" fillId="0" borderId="13" xfId="0" applyFill="1" applyBorder="1" applyAlignment="1">
      <alignment horizontal="right"/>
    </xf>
    <xf numFmtId="164" fontId="0" fillId="0" borderId="14" xfId="0" applyNumberFormat="1" applyBorder="1" applyAlignment="1">
      <alignment horizontal="center"/>
    </xf>
    <xf numFmtId="0" fontId="0" fillId="0" borderId="15" xfId="0" applyFill="1" applyBorder="1"/>
    <xf numFmtId="164" fontId="0" fillId="2" borderId="0" xfId="0" applyNumberFormat="1" applyFill="1" applyAlignment="1" applyProtection="1">
      <alignment horizontal="center"/>
      <protection locked="0"/>
    </xf>
    <xf numFmtId="164" fontId="0" fillId="0" borderId="0" xfId="0" applyNumberFormat="1" applyFill="1" applyAlignment="1">
      <alignment horizontal="left"/>
    </xf>
    <xf numFmtId="164" fontId="0" fillId="0" borderId="0" xfId="0" applyNumberFormat="1" applyFill="1" applyBorder="1" applyAlignment="1">
      <alignment horizontal="center"/>
    </xf>
    <xf numFmtId="164" fontId="0" fillId="2" borderId="0" xfId="0" applyNumberFormat="1" applyFill="1" applyBorder="1" applyAlignment="1">
      <alignment horizontal="center"/>
    </xf>
    <xf numFmtId="165" fontId="0" fillId="0" borderId="0" xfId="0" applyNumberFormat="1"/>
    <xf numFmtId="164" fontId="0" fillId="0" borderId="0" xfId="0" applyNumberFormat="1" applyFill="1" applyAlignment="1">
      <alignment horizont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Section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L_Section_Capacity!$E$3:$E$11</c:f>
              <c:numCache>
                <c:formatCode>0.00</c:formatCode>
                <c:ptCount val="9"/>
                <c:pt idx="0" formatCode="General">
                  <c:v>0</c:v>
                </c:pt>
                <c:pt idx="1">
                  <c:v>12</c:v>
                </c:pt>
                <c:pt idx="2">
                  <c:v>12</c:v>
                </c:pt>
                <c:pt idx="3">
                  <c:v>36</c:v>
                </c:pt>
                <c:pt idx="4">
                  <c:v>36</c:v>
                </c:pt>
                <c:pt idx="5">
                  <c:v>-24</c:v>
                </c:pt>
                <c:pt idx="6">
                  <c:v>-24</c:v>
                </c:pt>
                <c:pt idx="7" formatCode="General">
                  <c:v>0</c:v>
                </c:pt>
                <c:pt idx="8" formatCode="General">
                  <c:v>0</c:v>
                </c:pt>
              </c:numCache>
            </c:numRef>
          </c:xVal>
          <c:yVal>
            <c:numRef>
              <c:f>L_Section_Capacity!$F$3:$F$11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16</c:v>
                </c:pt>
                <c:pt idx="3">
                  <c:v>16</c:v>
                </c:pt>
                <c:pt idx="4">
                  <c:v>24</c:v>
                </c:pt>
                <c:pt idx="5">
                  <c:v>24</c:v>
                </c:pt>
                <c:pt idx="6">
                  <c:v>16</c:v>
                </c:pt>
                <c:pt idx="7">
                  <c:v>16</c:v>
                </c:pt>
                <c:pt idx="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569-450D-85AB-B7EA4F2AD83E}"/>
            </c:ext>
          </c:extLst>
        </c:ser>
        <c:ser>
          <c:idx val="1"/>
          <c:order val="1"/>
          <c:tx>
            <c:v>Reinforcement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L_Section_Capacity!$K$15:$K$24</c:f>
              <c:numCache>
                <c:formatCode>General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3</c:v>
                </c:pt>
                <c:pt idx="5">
                  <c:v>13</c:v>
                </c:pt>
                <c:pt idx="6">
                  <c:v>23</c:v>
                </c:pt>
                <c:pt idx="7">
                  <c:v>33</c:v>
                </c:pt>
                <c:pt idx="8">
                  <c:v>#N/A</c:v>
                </c:pt>
                <c:pt idx="9">
                  <c:v>#N/A</c:v>
                </c:pt>
              </c:numCache>
            </c:numRef>
          </c:xVal>
          <c:yVal>
            <c:numRef>
              <c:f>L_Section_Capacity!$L$15:$L$24</c:f>
              <c:numCache>
                <c:formatCode>General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22</c:v>
                </c:pt>
                <c:pt idx="5">
                  <c:v>22</c:v>
                </c:pt>
                <c:pt idx="6">
                  <c:v>22</c:v>
                </c:pt>
                <c:pt idx="7">
                  <c:v>22</c:v>
                </c:pt>
                <c:pt idx="8">
                  <c:v>#N/A</c:v>
                </c:pt>
                <c:pt idx="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E569-450D-85AB-B7EA4F2AD83E}"/>
            </c:ext>
          </c:extLst>
        </c:ser>
        <c:ser>
          <c:idx val="4"/>
          <c:order val="2"/>
          <c:tx>
            <c:v>scale_pt</c:v>
          </c:tx>
          <c:spPr>
            <a:ln>
              <a:noFill/>
            </a:ln>
          </c:spPr>
          <c:marker>
            <c:symbol val="plus"/>
            <c:size val="5"/>
            <c:spPr>
              <a:noFill/>
              <a:ln>
                <a:solidFill>
                  <a:srgbClr val="FF0000"/>
                </a:solidFill>
              </a:ln>
            </c:spPr>
          </c:marker>
          <c:xVal>
            <c:numRef>
              <c:f>L_Section_Capacity!$X$4:$X$6</c:f>
              <c:numCache>
                <c:formatCode>General</c:formatCode>
                <c:ptCount val="3"/>
                <c:pt idx="0">
                  <c:v>46</c:v>
                </c:pt>
                <c:pt idx="1">
                  <c:v>46</c:v>
                </c:pt>
                <c:pt idx="2">
                  <c:v>-46</c:v>
                </c:pt>
              </c:numCache>
            </c:numRef>
          </c:xVal>
          <c:yVal>
            <c:numRef>
              <c:f>L_Section_Capacity!$Y$4:$Y$6</c:f>
              <c:numCache>
                <c:formatCode>General</c:formatCode>
                <c:ptCount val="3"/>
                <c:pt idx="0">
                  <c:v>46</c:v>
                </c:pt>
                <c:pt idx="1">
                  <c:v>46</c:v>
                </c:pt>
                <c:pt idx="2">
                  <c:v>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E569-450D-85AB-B7EA4F2AD83E}"/>
            </c:ext>
          </c:extLst>
        </c:ser>
        <c:ser>
          <c:idx val="5"/>
          <c:order val="3"/>
          <c:tx>
            <c:v>Neutral_Axis</c:v>
          </c:tx>
          <c:spPr>
            <a:ln w="15875">
              <a:solidFill>
                <a:srgbClr val="C00000"/>
              </a:solidFill>
              <a:prstDash val="lgDash"/>
            </a:ln>
          </c:spPr>
          <c:marker>
            <c:symbol val="circle"/>
            <c:size val="5"/>
            <c:spPr>
              <a:noFill/>
              <a:ln>
                <a:solidFill>
                  <a:srgbClr val="C00000"/>
                </a:solidFill>
              </a:ln>
            </c:spPr>
          </c:marker>
          <c:xVal>
            <c:numRef>
              <c:f>L_Section_Capacity!$J$33:$J$34</c:f>
              <c:numCache>
                <c:formatCode>General</c:formatCode>
                <c:ptCount val="2"/>
                <c:pt idx="0">
                  <c:v>-25.005976642254964</c:v>
                </c:pt>
                <c:pt idx="1">
                  <c:v>37.210197517581577</c:v>
                </c:pt>
              </c:numCache>
            </c:numRef>
          </c:xVal>
          <c:yVal>
            <c:numRef>
              <c:f>L_Section_Capacity!$K$33:$K$34</c:f>
              <c:numCache>
                <c:formatCode>General</c:formatCode>
                <c:ptCount val="2"/>
                <c:pt idx="0">
                  <c:v>23.702854081081973</c:v>
                </c:pt>
                <c:pt idx="1">
                  <c:v>22.491173328930817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E569-450D-85AB-B7EA4F2AD83E}"/>
            </c:ext>
          </c:extLst>
        </c:ser>
        <c:ser>
          <c:idx val="6"/>
          <c:order val="4"/>
          <c:tx>
            <c:v>Whitney_Block</c:v>
          </c:tx>
          <c:spPr>
            <a:ln w="12700">
              <a:solidFill>
                <a:srgbClr val="FF0000"/>
              </a:solidFill>
              <a:prstDash val="sysDash"/>
            </a:ln>
          </c:spPr>
          <c:marker>
            <c:symbol val="diamond"/>
            <c:size val="5"/>
            <c:spPr>
              <a:noFill/>
              <a:ln>
                <a:solidFill>
                  <a:srgbClr val="FF0000"/>
                </a:solidFill>
              </a:ln>
            </c:spPr>
          </c:marker>
          <c:xVal>
            <c:numRef>
              <c:f>L_Section_Capacity!$N$33:$N$34</c:f>
              <c:numCache>
                <c:formatCode>General</c:formatCode>
                <c:ptCount val="2"/>
                <c:pt idx="0">
                  <c:v>-25.000193657927547</c:v>
                </c:pt>
                <c:pt idx="1">
                  <c:v>37.215980501908987</c:v>
                </c:pt>
              </c:numCache>
            </c:numRef>
          </c:xVal>
          <c:yVal>
            <c:numRef>
              <c:f>L_Section_Capacity!$O$33:$O$34</c:f>
              <c:numCache>
                <c:formatCode>General</c:formatCode>
                <c:ptCount val="2"/>
                <c:pt idx="0">
                  <c:v>23.999792989651269</c:v>
                </c:pt>
                <c:pt idx="1">
                  <c:v>22.788112237500108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E569-450D-85AB-B7EA4F2AD83E}"/>
            </c:ext>
          </c:extLst>
        </c:ser>
        <c:ser>
          <c:idx val="2"/>
          <c:order val="5"/>
          <c:tx>
            <c:v>Load_Point</c:v>
          </c:tx>
          <c:spPr>
            <a:ln>
              <a:noFill/>
            </a:ln>
          </c:spPr>
          <c:marker>
            <c:symbol val="x"/>
            <c:size val="7"/>
            <c:spPr>
              <a:ln>
                <a:solidFill>
                  <a:srgbClr val="C00000"/>
                </a:solidFill>
              </a:ln>
            </c:spPr>
          </c:marker>
          <c:xVal>
            <c:numRef>
              <c:f>L_Section_Capacity!$I$2</c:f>
              <c:numCache>
                <c:formatCode>0.000</c:formatCode>
                <c:ptCount val="1"/>
                <c:pt idx="0">
                  <c:v>6</c:v>
                </c:pt>
              </c:numCache>
            </c:numRef>
          </c:xVal>
          <c:yVal>
            <c:numRef>
              <c:f>L_Section_Capacity!$I$3</c:f>
              <c:numCache>
                <c:formatCode>General</c:formatCode>
                <c:ptCount val="1"/>
                <c:pt idx="0">
                  <c:v>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34F-4F13-8E2E-6844DC9CF45D}"/>
            </c:ext>
          </c:extLst>
        </c:ser>
        <c:ser>
          <c:idx val="3"/>
          <c:order val="6"/>
          <c:tx>
            <c:v>Cc_center</c:v>
          </c:tx>
          <c:spPr>
            <a:ln>
              <a:noFill/>
            </a:ln>
          </c:spPr>
          <c:marker>
            <c:symbol val="plus"/>
            <c:size val="6"/>
            <c:spPr>
              <a:ln w="12700">
                <a:solidFill>
                  <a:srgbClr val="00B050"/>
                </a:solidFill>
              </a:ln>
            </c:spPr>
          </c:marker>
          <c:xVal>
            <c:numRef>
              <c:f>L_Section_Capacity!$S$58</c:f>
              <c:numCache>
                <c:formatCode>General</c:formatCode>
                <c:ptCount val="1"/>
                <c:pt idx="0">
                  <c:v>15.674041860116548</c:v>
                </c:pt>
              </c:numCache>
            </c:numRef>
          </c:xVal>
          <c:yVal>
            <c:numRef>
              <c:f>L_Section_Capacity!$T$58</c:f>
              <c:numCache>
                <c:formatCode>General</c:formatCode>
                <c:ptCount val="1"/>
                <c:pt idx="0">
                  <c:v>23.603824340348055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847-406D-B5D5-9DB062E223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71655087"/>
        <c:axId val="1467646175"/>
      </c:scatterChart>
      <c:valAx>
        <c:axId val="147165508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7646175"/>
        <c:crosses val="autoZero"/>
        <c:crossBetween val="midCat"/>
      </c:valAx>
      <c:valAx>
        <c:axId val="14676461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1655087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Section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L_Section_Capacity!$C$37:$C$45</c:f>
              <c:numCache>
                <c:formatCode>0.000</c:formatCode>
                <c:ptCount val="9"/>
                <c:pt idx="0">
                  <c:v>-5.7652027615690962</c:v>
                </c:pt>
                <c:pt idx="1">
                  <c:v>6.2325221538636768</c:v>
                </c:pt>
                <c:pt idx="2">
                  <c:v>5.9209758923339564</c:v>
                </c:pt>
                <c:pt idx="3">
                  <c:v>29.916425723199506</c:v>
                </c:pt>
                <c:pt idx="4">
                  <c:v>29.760652592434646</c:v>
                </c:pt>
                <c:pt idx="5">
                  <c:v>-30.227971984729223</c:v>
                </c:pt>
                <c:pt idx="6">
                  <c:v>-30.072198853964363</c:v>
                </c:pt>
                <c:pt idx="7">
                  <c:v>-6.0767490230988166</c:v>
                </c:pt>
                <c:pt idx="8">
                  <c:v>-5.7652027615690962</c:v>
                </c:pt>
              </c:numCache>
            </c:numRef>
          </c:xVal>
          <c:yVal>
            <c:numRef>
              <c:f>L_Section_Capacity!$D$37:$D$45</c:f>
              <c:numCache>
                <c:formatCode>0.000</c:formatCode>
                <c:ptCount val="9"/>
                <c:pt idx="0">
                  <c:v>-12.114554763506417</c:v>
                </c:pt>
                <c:pt idx="1">
                  <c:v>-11.880895067359129</c:v>
                </c:pt>
                <c:pt idx="2">
                  <c:v>4.1160714865512364</c:v>
                </c:pt>
                <c:pt idx="3">
                  <c:v>4.5833908788458162</c:v>
                </c:pt>
                <c:pt idx="4">
                  <c:v>12.581874155800998</c:v>
                </c:pt>
                <c:pt idx="5">
                  <c:v>11.413575675064548</c:v>
                </c:pt>
                <c:pt idx="6">
                  <c:v>3.4150923981093664</c:v>
                </c:pt>
                <c:pt idx="7">
                  <c:v>3.8824117904039461</c:v>
                </c:pt>
                <c:pt idx="8">
                  <c:v>-12.114554763506417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EBD-4B30-9120-E7E227F0CFB1}"/>
            </c:ext>
          </c:extLst>
        </c:ser>
        <c:ser>
          <c:idx val="1"/>
          <c:order val="1"/>
          <c:tx>
            <c:v>Reinforcement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L_Section_Capacity!$Q$62:$Q$71</c:f>
              <c:numCache>
                <c:formatCode>General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-3.1941476423142681</c:v>
                </c:pt>
                <c:pt idx="5">
                  <c:v>6.8039564538797093</c:v>
                </c:pt>
                <c:pt idx="6">
                  <c:v>16.802060550073687</c:v>
                </c:pt>
                <c:pt idx="7">
                  <c:v>26.800164646267667</c:v>
                </c:pt>
                <c:pt idx="8">
                  <c:v>#N/A</c:v>
                </c:pt>
                <c:pt idx="9">
                  <c:v>#N/A</c:v>
                </c:pt>
              </c:numCache>
            </c:numRef>
          </c:xVal>
          <c:yVal>
            <c:numRef>
              <c:f>L_Section_Capacity!$R$62:$R$71</c:f>
              <c:numCache>
                <c:formatCode>General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9.9396891721571556</c:v>
                </c:pt>
                <c:pt idx="5">
                  <c:v>10.134405585613232</c:v>
                </c:pt>
                <c:pt idx="6">
                  <c:v>10.329121999069306</c:v>
                </c:pt>
                <c:pt idx="7">
                  <c:v>10.523838412525381</c:v>
                </c:pt>
                <c:pt idx="8">
                  <c:v>#N/A</c:v>
                </c:pt>
                <c:pt idx="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EBD-4B30-9120-E7E227F0CFB1}"/>
            </c:ext>
          </c:extLst>
        </c:ser>
        <c:ser>
          <c:idx val="2"/>
          <c:order val="2"/>
          <c:tx>
            <c:v>NA</c:v>
          </c:tx>
          <c:spPr>
            <a:ln w="19050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circle"/>
            <c:size val="6"/>
            <c:spPr>
              <a:noFill/>
              <a:ln w="12700">
                <a:solidFill>
                  <a:srgbClr val="FF0000"/>
                </a:solidFill>
              </a:ln>
              <a:effectLst/>
            </c:spPr>
          </c:marker>
          <c:xVal>
            <c:numRef>
              <c:f>L_Section_Capacity!$J$38:$J$39</c:f>
              <c:numCache>
                <c:formatCode>0.000</c:formatCode>
                <c:ptCount val="2"/>
                <c:pt idx="0">
                  <c:v>-31.227971984729223</c:v>
                </c:pt>
                <c:pt idx="1">
                  <c:v>31</c:v>
                </c:pt>
              </c:numCache>
            </c:numRef>
          </c:xVal>
          <c:yVal>
            <c:numRef>
              <c:f>L_Section_Capacity!$K$38:$K$39</c:f>
              <c:numCache>
                <c:formatCode>0.000</c:formatCode>
                <c:ptCount val="2"/>
                <c:pt idx="0">
                  <c:v>11.096898075774339</c:v>
                </c:pt>
                <c:pt idx="1">
                  <c:v>11.096898075774339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EBD-4B30-9120-E7E227F0CFB1}"/>
            </c:ext>
          </c:extLst>
        </c:ser>
        <c:ser>
          <c:idx val="3"/>
          <c:order val="3"/>
          <c:tx>
            <c:v>Whitney_Block</c:v>
          </c:tx>
          <c:spPr>
            <a:ln w="1270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triangle"/>
            <c:size val="6"/>
            <c:spPr>
              <a:noFill/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L_Section_Capacity!$N$38:$N$39</c:f>
              <c:numCache>
                <c:formatCode>0.000</c:formatCode>
                <c:ptCount val="2"/>
                <c:pt idx="0">
                  <c:v>-31.227971984729223</c:v>
                </c:pt>
                <c:pt idx="1">
                  <c:v>31</c:v>
                </c:pt>
              </c:numCache>
            </c:numRef>
          </c:xVal>
          <c:yVal>
            <c:numRef>
              <c:f>L_Section_Capacity!$O$38:$O$39</c:f>
              <c:numCache>
                <c:formatCode>0.000</c:formatCode>
                <c:ptCount val="2"/>
                <c:pt idx="0">
                  <c:v>11.393893291779671</c:v>
                </c:pt>
                <c:pt idx="1">
                  <c:v>11.393893291779671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EBD-4B30-9120-E7E227F0CFB1}"/>
            </c:ext>
          </c:extLst>
        </c:ser>
        <c:ser>
          <c:idx val="4"/>
          <c:order val="4"/>
          <c:tx>
            <c:v>stress_nodes_i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6"/>
            <c:spPr>
              <a:solidFill>
                <a:srgbClr val="FF0000"/>
              </a:solidFill>
              <a:ln w="9525">
                <a:solidFill>
                  <a:srgbClr val="92D050"/>
                </a:solidFill>
              </a:ln>
              <a:effectLst/>
            </c:spPr>
          </c:marker>
          <c:xVal>
            <c:numRef>
              <c:f>L_Section_Capacity!$S$49:$S$56</c:f>
              <c:numCache>
                <c:formatCode>General</c:formatCode>
                <c:ptCount val="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29.783788916168739</c:v>
                </c:pt>
                <c:pt idx="4">
                  <c:v>29.760652592434646</c:v>
                </c:pt>
                <c:pt idx="5">
                  <c:v>-30.227971984729223</c:v>
                </c:pt>
                <c:pt idx="6">
                  <c:v>#N/A</c:v>
                </c:pt>
                <c:pt idx="7">
                  <c:v>#N/A</c:v>
                </c:pt>
              </c:numCache>
            </c:numRef>
          </c:xVal>
          <c:yVal>
            <c:numRef>
              <c:f>L_Section_Capacity!$T$49:$T$56</c:f>
              <c:numCache>
                <c:formatCode>General</c:formatCode>
                <c:ptCount val="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11.393893291779671</c:v>
                </c:pt>
                <c:pt idx="4">
                  <c:v>12.581874155800998</c:v>
                </c:pt>
                <c:pt idx="5">
                  <c:v>11.413575675064548</c:v>
                </c:pt>
                <c:pt idx="6">
                  <c:v>#N/A</c:v>
                </c:pt>
                <c:pt idx="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EBD-4B30-9120-E7E227F0CFB1}"/>
            </c:ext>
          </c:extLst>
        </c:ser>
        <c:ser>
          <c:idx val="5"/>
          <c:order val="5"/>
          <c:tx>
            <c:v>stress_nodes_j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6"/>
            <c:spPr>
              <a:solidFill>
                <a:srgbClr val="92D05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L_Section_Capacity!$V$49:$V$56</c:f>
              <c:numCache>
                <c:formatCode>General</c:formatCode>
                <c:ptCount val="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29.760652592434646</c:v>
                </c:pt>
                <c:pt idx="4">
                  <c:v>-30.227971984729223</c:v>
                </c:pt>
                <c:pt idx="5">
                  <c:v>-30.227588663747106</c:v>
                </c:pt>
                <c:pt idx="6">
                  <c:v>#N/A</c:v>
                </c:pt>
                <c:pt idx="7">
                  <c:v>#N/A</c:v>
                </c:pt>
              </c:numCache>
            </c:numRef>
          </c:xVal>
          <c:yVal>
            <c:numRef>
              <c:f>L_Section_Capacity!$W$49:$W$56</c:f>
              <c:numCache>
                <c:formatCode>General</c:formatCode>
                <c:ptCount val="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12.581874155800998</c:v>
                </c:pt>
                <c:pt idx="4">
                  <c:v>11.413575675064548</c:v>
                </c:pt>
                <c:pt idx="5">
                  <c:v>11.393893291779671</c:v>
                </c:pt>
                <c:pt idx="6">
                  <c:v>#N/A</c:v>
                </c:pt>
                <c:pt idx="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AEBD-4B30-9120-E7E227F0CF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71655087"/>
        <c:axId val="1467646175"/>
      </c:scatterChart>
      <c:valAx>
        <c:axId val="147165508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7646175"/>
        <c:crosses val="autoZero"/>
        <c:crossBetween val="midCat"/>
      </c:valAx>
      <c:valAx>
        <c:axId val="14676461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165508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7999249114108941E-2"/>
          <c:y val="9.5394347156804546E-2"/>
          <c:w val="0.84232733481796163"/>
          <c:h val="0.75111090356007637"/>
        </c:manualLayout>
      </c:layout>
      <c:scatterChart>
        <c:scatterStyle val="lineMarker"/>
        <c:varyColors val="0"/>
        <c:ser>
          <c:idx val="0"/>
          <c:order val="0"/>
          <c:tx>
            <c:v>Result_Vector</c:v>
          </c:tx>
          <c:spPr>
            <a:ln w="1270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x"/>
            <c:size val="6"/>
            <c:spPr>
              <a:noFill/>
              <a:ln w="12700">
                <a:solidFill>
                  <a:srgbClr val="00B0F0"/>
                </a:solidFill>
              </a:ln>
              <a:effectLst/>
            </c:spPr>
          </c:marker>
          <c:xVal>
            <c:numRef>
              <c:f>L_Section_Capacity!$AA$5:$AA$6</c:f>
              <c:numCache>
                <c:formatCode>General</c:formatCode>
                <c:ptCount val="2"/>
                <c:pt idx="0">
                  <c:v>0</c:v>
                </c:pt>
                <c:pt idx="1">
                  <c:v>100</c:v>
                </c:pt>
              </c:numCache>
            </c:numRef>
          </c:xVal>
          <c:yVal>
            <c:numRef>
              <c:f>L_Section_Capacity!$AB$5:$AB$6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12-6244-8B8B-DB5AF284A8E0}"/>
            </c:ext>
          </c:extLst>
        </c:ser>
        <c:ser>
          <c:idx val="1"/>
          <c:order val="1"/>
          <c:tx>
            <c:v>Capacity_Vector</c:v>
          </c:tx>
          <c:spPr>
            <a:ln w="12700" cap="rnd">
              <a:solidFill>
                <a:srgbClr val="C00000"/>
              </a:solidFill>
              <a:prstDash val="sysDot"/>
              <a:round/>
            </a:ln>
            <a:effectLst/>
          </c:spPr>
          <c:marker>
            <c:symbol val="star"/>
            <c:size val="5"/>
            <c:spPr>
              <a:noFill/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(L_Section_Capacity!$AA$5,L_Section_Capacity!$AA$7)</c:f>
              <c:numCache>
                <c:formatCode>General</c:formatCode>
                <c:ptCount val="2"/>
                <c:pt idx="0">
                  <c:v>0</c:v>
                </c:pt>
                <c:pt idx="1">
                  <c:v>13.958587850691302</c:v>
                </c:pt>
              </c:numCache>
            </c:numRef>
          </c:xVal>
          <c:yVal>
            <c:numRef>
              <c:f>(L_Section_Capacity!$AB$5,L_Section_Capacity!$AB$7)</c:f>
              <c:numCache>
                <c:formatCode>0.000</c:formatCode>
                <c:ptCount val="2"/>
                <c:pt idx="0" formatCode="General">
                  <c:v>0</c:v>
                </c:pt>
                <c:pt idx="1">
                  <c:v>-3.3230754096252051E-10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5A6-D941-A211-2EA21BA7F3D2}"/>
            </c:ext>
          </c:extLst>
        </c:ser>
        <c:ser>
          <c:idx val="2"/>
          <c:order val="2"/>
          <c:tx>
            <c:v>Res_Cap_Vector</c:v>
          </c:tx>
          <c:spPr>
            <a:ln w="12700" cap="rnd">
              <a:solidFill>
                <a:schemeClr val="accent4">
                  <a:lumMod val="75000"/>
                </a:schemeClr>
              </a:solidFill>
              <a:prstDash val="lgDashDot"/>
              <a:round/>
            </a:ln>
            <a:effectLst/>
          </c:spPr>
          <c:marker>
            <c:symbol val="none"/>
          </c:marker>
          <c:xVal>
            <c:numRef>
              <c:f>L_Section_Capacity!$AA$6:$AA$7</c:f>
              <c:numCache>
                <c:formatCode>General</c:formatCode>
                <c:ptCount val="2"/>
                <c:pt idx="0">
                  <c:v>100</c:v>
                </c:pt>
                <c:pt idx="1">
                  <c:v>13.958587850691302</c:v>
                </c:pt>
              </c:numCache>
            </c:numRef>
          </c:xVal>
          <c:yVal>
            <c:numRef>
              <c:f>L_Section_Capacity!$AB$6:$AB$7</c:f>
              <c:numCache>
                <c:formatCode>0.000</c:formatCode>
                <c:ptCount val="2"/>
                <c:pt idx="0" formatCode="General">
                  <c:v>0</c:v>
                </c:pt>
                <c:pt idx="1">
                  <c:v>-3.3230754096252051E-10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5A6-D941-A211-2EA21BA7F3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842352"/>
        <c:axId val="233843984"/>
      </c:scatterChart>
      <c:valAx>
        <c:axId val="2338423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3843984"/>
        <c:crosses val="autoZero"/>
        <c:crossBetween val="midCat"/>
      </c:valAx>
      <c:valAx>
        <c:axId val="233843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38423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mx_my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L_Section_Capacity!$AT$2:$AT$362</c:f>
              <c:numCache>
                <c:formatCode>General</c:formatCode>
                <c:ptCount val="361"/>
                <c:pt idx="0">
                  <c:v>19.842760784320248</c:v>
                </c:pt>
                <c:pt idx="1">
                  <c:v>17.219957953087398</c:v>
                </c:pt>
                <c:pt idx="2">
                  <c:v>14.33968701221708</c:v>
                </c:pt>
                <c:pt idx="3">
                  <c:v>13.137586101733129</c:v>
                </c:pt>
                <c:pt idx="4">
                  <c:v>12.441976921916243</c:v>
                </c:pt>
                <c:pt idx="5">
                  <c:v>11.905607872842484</c:v>
                </c:pt>
                <c:pt idx="6">
                  <c:v>11.411238038736059</c:v>
                </c:pt>
                <c:pt idx="7">
                  <c:v>10.91025396165735</c:v>
                </c:pt>
                <c:pt idx="8">
                  <c:v>10.37923660370851</c:v>
                </c:pt>
                <c:pt idx="9">
                  <c:v>9.8277130141244662</c:v>
                </c:pt>
                <c:pt idx="10">
                  <c:v>9.2517064596720004</c:v>
                </c:pt>
                <c:pt idx="11">
                  <c:v>8.6477915534489398</c:v>
                </c:pt>
                <c:pt idx="12">
                  <c:v>7.9446826867136675</c:v>
                </c:pt>
                <c:pt idx="13">
                  <c:v>7.1487807072775702</c:v>
                </c:pt>
                <c:pt idx="14">
                  <c:v>6.3547578997154694</c:v>
                </c:pt>
                <c:pt idx="15">
                  <c:v>5.5603545524015772</c:v>
                </c:pt>
                <c:pt idx="16">
                  <c:v>4.7637188151133039</c:v>
                </c:pt>
                <c:pt idx="17">
                  <c:v>3.9632834394242367</c:v>
                </c:pt>
                <c:pt idx="18">
                  <c:v>3.1576814253411669</c:v>
                </c:pt>
                <c:pt idx="19">
                  <c:v>2.3456867344035119</c:v>
                </c:pt>
                <c:pt idx="20">
                  <c:v>1.5261715378126495</c:v>
                </c:pt>
                <c:pt idx="21">
                  <c:v>0.69998107389163799</c:v>
                </c:pt>
                <c:pt idx="22">
                  <c:v>-1.920862092658808E-2</c:v>
                </c:pt>
                <c:pt idx="23">
                  <c:v>-0.73050887950696508</c:v>
                </c:pt>
                <c:pt idx="24">
                  <c:v>-1.4351166483978206</c:v>
                </c:pt>
                <c:pt idx="25">
                  <c:v>-2.1341445786633013</c:v>
                </c:pt>
                <c:pt idx="26">
                  <c:v>-2.8286353813349021</c:v>
                </c:pt>
                <c:pt idx="27">
                  <c:v>-3.5195739663614294</c:v>
                </c:pt>
                <c:pt idx="28">
                  <c:v>-4.2078978566527887</c:v>
                </c:pt>
                <c:pt idx="29">
                  <c:v>-4.8945062043270013</c:v>
                </c:pt>
                <c:pt idx="30">
                  <c:v>-5.5802677483537986</c:v>
                </c:pt>
                <c:pt idx="31">
                  <c:v>-6.2660278877298312</c:v>
                </c:pt>
                <c:pt idx="32">
                  <c:v>-6.9526151014244419</c:v>
                </c:pt>
                <c:pt idx="33">
                  <c:v>-7.6408468388562598</c:v>
                </c:pt>
                <c:pt idx="34">
                  <c:v>-8.3315350278273748</c:v>
                </c:pt>
                <c:pt idx="35">
                  <c:v>-9.025491291552374</c:v>
                </c:pt>
                <c:pt idx="36">
                  <c:v>-9.7212058820818932</c:v>
                </c:pt>
                <c:pt idx="37">
                  <c:v>-10.3921904254148</c:v>
                </c:pt>
                <c:pt idx="38">
                  <c:v>-11.032793802011918</c:v>
                </c:pt>
                <c:pt idx="39">
                  <c:v>-11.645398671156308</c:v>
                </c:pt>
                <c:pt idx="40">
                  <c:v>-12.232151140413544</c:v>
                </c:pt>
                <c:pt idx="41">
                  <c:v>-12.794989662445333</c:v>
                </c:pt>
                <c:pt idx="42">
                  <c:v>-13.335669798876063</c:v>
                </c:pt>
                <c:pt idx="43">
                  <c:v>-13.855785544232457</c:v>
                </c:pt>
                <c:pt idx="44">
                  <c:v>-14.356787732626628</c:v>
                </c:pt>
                <c:pt idx="45">
                  <c:v>-14.840000000224871</c:v>
                </c:pt>
                <c:pt idx="46">
                  <c:v>-15.306632662620382</c:v>
                </c:pt>
                <c:pt idx="47">
                  <c:v>-15.757794828528313</c:v>
                </c:pt>
                <c:pt idx="48">
                  <c:v>-16.194504996896171</c:v>
                </c:pt>
                <c:pt idx="49">
                  <c:v>-16.617700365789176</c:v>
                </c:pt>
                <c:pt idx="50">
                  <c:v>-17.028245016175092</c:v>
                </c:pt>
                <c:pt idx="51">
                  <c:v>-17.426937148233456</c:v>
                </c:pt>
                <c:pt idx="52">
                  <c:v>-17.814515479195336</c:v>
                </c:pt>
                <c:pt idx="53">
                  <c:v>-18.191664918686726</c:v>
                </c:pt>
                <c:pt idx="54">
                  <c:v>-18.559021619398926</c:v>
                </c:pt>
                <c:pt idx="55">
                  <c:v>-18.917177479800159</c:v>
                </c:pt>
                <c:pt idx="56">
                  <c:v>-19.266684171082726</c:v>
                </c:pt>
                <c:pt idx="57">
                  <c:v>-19.608056732412685</c:v>
                </c:pt>
                <c:pt idx="58">
                  <c:v>-19.941776814316007</c:v>
                </c:pt>
                <c:pt idx="59">
                  <c:v>-20.268295581459324</c:v>
                </c:pt>
                <c:pt idx="60">
                  <c:v>-20.588036338585177</c:v>
                </c:pt>
                <c:pt idx="61">
                  <c:v>-20.901396899635994</c:v>
                </c:pt>
                <c:pt idx="62">
                  <c:v>-21.208751729955917</c:v>
                </c:pt>
                <c:pt idx="63">
                  <c:v>-21.510453886800029</c:v>
                </c:pt>
                <c:pt idx="64">
                  <c:v>-21.80683679512514</c:v>
                </c:pt>
                <c:pt idx="65">
                  <c:v>-22.098215849106808</c:v>
                </c:pt>
                <c:pt idx="66">
                  <c:v>-22.384889879302168</c:v>
                </c:pt>
                <c:pt idx="67">
                  <c:v>-22.667142500182777</c:v>
                </c:pt>
                <c:pt idx="68">
                  <c:v>-22.945243328231768</c:v>
                </c:pt>
                <c:pt idx="69">
                  <c:v>-23.219449124081311</c:v>
                </c:pt>
                <c:pt idx="70">
                  <c:v>-23.490004814249311</c:v>
                </c:pt>
                <c:pt idx="71">
                  <c:v>-23.757144459861195</c:v>
                </c:pt>
                <c:pt idx="72">
                  <c:v>-24.021092131182911</c:v>
                </c:pt>
                <c:pt idx="73">
                  <c:v>-24.282062732723691</c:v>
                </c:pt>
                <c:pt idx="74">
                  <c:v>-24.540262753130055</c:v>
                </c:pt>
                <c:pt idx="75">
                  <c:v>-24.795890982622499</c:v>
                </c:pt>
                <c:pt idx="76">
                  <c:v>-25.049139161427664</c:v>
                </c:pt>
                <c:pt idx="77">
                  <c:v>-25.300192600238368</c:v>
                </c:pt>
                <c:pt idx="78">
                  <c:v>-25.54923076154526</c:v>
                </c:pt>
                <c:pt idx="79">
                  <c:v>-25.796427796244089</c:v>
                </c:pt>
                <c:pt idx="80">
                  <c:v>-26.041953062708103</c:v>
                </c:pt>
                <c:pt idx="81">
                  <c:v>-26.285971611197908</c:v>
                </c:pt>
                <c:pt idx="82">
                  <c:v>-26.52864464761355</c:v>
                </c:pt>
                <c:pt idx="83">
                  <c:v>-26.770129972151242</c:v>
                </c:pt>
                <c:pt idx="84">
                  <c:v>-27.010582400052982</c:v>
                </c:pt>
                <c:pt idx="85">
                  <c:v>-27.250154176278375</c:v>
                </c:pt>
                <c:pt idx="86">
                  <c:v>-27.488995358068912</c:v>
                </c:pt>
                <c:pt idx="87">
                  <c:v>-27.727254201331768</c:v>
                </c:pt>
                <c:pt idx="88">
                  <c:v>-27.965077535025074</c:v>
                </c:pt>
                <c:pt idx="89">
                  <c:v>-28.202611117554852</c:v>
                </c:pt>
                <c:pt idx="90">
                  <c:v>-28.439999999342437</c:v>
                </c:pt>
                <c:pt idx="91">
                  <c:v>-28.677388882368405</c:v>
                </c:pt>
                <c:pt idx="92">
                  <c:v>-28.914922464705715</c:v>
                </c:pt>
                <c:pt idx="93">
                  <c:v>-29.152745798278787</c:v>
                </c:pt>
                <c:pt idx="94">
                  <c:v>-29.391004642757142</c:v>
                </c:pt>
                <c:pt idx="95">
                  <c:v>-29.629845823661331</c:v>
                </c:pt>
                <c:pt idx="96">
                  <c:v>-29.869417599168234</c:v>
                </c:pt>
                <c:pt idx="97">
                  <c:v>-30.109870027904577</c:v>
                </c:pt>
                <c:pt idx="98">
                  <c:v>-30.351355351907877</c:v>
                </c:pt>
                <c:pt idx="99">
                  <c:v>-30.59402838832526</c:v>
                </c:pt>
                <c:pt idx="100">
                  <c:v>-30.838046937287871</c:v>
                </c:pt>
                <c:pt idx="101">
                  <c:v>-31.083572203945483</c:v>
                </c:pt>
                <c:pt idx="102">
                  <c:v>-31.330769238481228</c:v>
                </c:pt>
                <c:pt idx="103">
                  <c:v>-31.5798073997709</c:v>
                </c:pt>
                <c:pt idx="104">
                  <c:v>-31.830860839162582</c:v>
                </c:pt>
                <c:pt idx="105">
                  <c:v>-32.084109016854335</c:v>
                </c:pt>
                <c:pt idx="106">
                  <c:v>-32.339737246055051</c:v>
                </c:pt>
                <c:pt idx="107">
                  <c:v>-32.597937267999171</c:v>
                </c:pt>
                <c:pt idx="108">
                  <c:v>-32.858907869060403</c:v>
                </c:pt>
                <c:pt idx="109">
                  <c:v>-33.122855541342311</c:v>
                </c:pt>
                <c:pt idx="110">
                  <c:v>-33.389995185360895</c:v>
                </c:pt>
                <c:pt idx="111">
                  <c:v>-33.660550876357703</c:v>
                </c:pt>
                <c:pt idx="112">
                  <c:v>-33.934756671156109</c:v>
                </c:pt>
                <c:pt idx="113">
                  <c:v>-34.2128574998099</c:v>
                </c:pt>
                <c:pt idx="114">
                  <c:v>-34.495110119615006</c:v>
                </c:pt>
                <c:pt idx="115">
                  <c:v>-34.78178415088658</c:v>
                </c:pt>
                <c:pt idx="116">
                  <c:v>-35.073163204631797</c:v>
                </c:pt>
                <c:pt idx="117">
                  <c:v>-35.369546113300757</c:v>
                </c:pt>
                <c:pt idx="118">
                  <c:v>-35.671248270223415</c:v>
                </c:pt>
                <c:pt idx="119">
                  <c:v>-35.978603099906749</c:v>
                </c:pt>
                <c:pt idx="120">
                  <c:v>-36.291963661371142</c:v>
                </c:pt>
                <c:pt idx="121">
                  <c:v>-36.611704419305781</c:v>
                </c:pt>
                <c:pt idx="122">
                  <c:v>-36.938223185963196</c:v>
                </c:pt>
                <c:pt idx="123">
                  <c:v>-37.271943267886599</c:v>
                </c:pt>
                <c:pt idx="124">
                  <c:v>-37.613315828524065</c:v>
                </c:pt>
                <c:pt idx="125">
                  <c:v>-37.962822520138218</c:v>
                </c:pt>
                <c:pt idx="126">
                  <c:v>-38.320978380783927</c:v>
                </c:pt>
                <c:pt idx="127">
                  <c:v>-38.688335080935147</c:v>
                </c:pt>
                <c:pt idx="128">
                  <c:v>-39.065484520649491</c:v>
                </c:pt>
                <c:pt idx="129">
                  <c:v>-39.453062851477021</c:v>
                </c:pt>
                <c:pt idx="130">
                  <c:v>-39.851754983902438</c:v>
                </c:pt>
                <c:pt idx="131">
                  <c:v>-40.262299633740128</c:v>
                </c:pt>
                <c:pt idx="132">
                  <c:v>-40.685495003026546</c:v>
                </c:pt>
                <c:pt idx="133">
                  <c:v>-41.292157139600675</c:v>
                </c:pt>
                <c:pt idx="134">
                  <c:v>-43.891066927354132</c:v>
                </c:pt>
                <c:pt idx="135">
                  <c:v>-48.542580545617575</c:v>
                </c:pt>
                <c:pt idx="136">
                  <c:v>-54.873329236538474</c:v>
                </c:pt>
                <c:pt idx="137">
                  <c:v>-62.639345009882504</c:v>
                </c:pt>
                <c:pt idx="138">
                  <c:v>-71.678524495508043</c:v>
                </c:pt>
                <c:pt idx="139">
                  <c:v>-81.883832574635051</c:v>
                </c:pt>
                <c:pt idx="140">
                  <c:v>-93.132341039967656</c:v>
                </c:pt>
                <c:pt idx="141">
                  <c:v>-105.0198093726016</c:v>
                </c:pt>
                <c:pt idx="142">
                  <c:v>-117.36423891290418</c:v>
                </c:pt>
                <c:pt idx="143">
                  <c:v>-130.04940191937834</c:v>
                </c:pt>
                <c:pt idx="144">
                  <c:v>-142.97266199492941</c:v>
                </c:pt>
                <c:pt idx="145">
                  <c:v>-156.04051087724309</c:v>
                </c:pt>
                <c:pt idx="146">
                  <c:v>-169.16467599041505</c:v>
                </c:pt>
                <c:pt idx="147">
                  <c:v>-182.2584792652753</c:v>
                </c:pt>
                <c:pt idx="148">
                  <c:v>-195.23315844878769</c:v>
                </c:pt>
                <c:pt idx="149">
                  <c:v>-207.99384704673616</c:v>
                </c:pt>
                <c:pt idx="150">
                  <c:v>-220.43484312217589</c:v>
                </c:pt>
                <c:pt idx="151">
                  <c:v>-232.43365984070272</c:v>
                </c:pt>
                <c:pt idx="152">
                  <c:v>-243.84309549912044</c:v>
                </c:pt>
                <c:pt idx="153">
                  <c:v>-254.42902655506452</c:v>
                </c:pt>
                <c:pt idx="154">
                  <c:v>-263.69444722611109</c:v>
                </c:pt>
                <c:pt idx="155">
                  <c:v>-271.44773770635868</c:v>
                </c:pt>
                <c:pt idx="156">
                  <c:v>-277.472559811819</c:v>
                </c:pt>
                <c:pt idx="157">
                  <c:v>-281.39516578842097</c:v>
                </c:pt>
                <c:pt idx="158">
                  <c:v>-282.6612358746728</c:v>
                </c:pt>
                <c:pt idx="159">
                  <c:v>-283.02581025097732</c:v>
                </c:pt>
                <c:pt idx="160">
                  <c:v>-283.36724350551577</c:v>
                </c:pt>
                <c:pt idx="161">
                  <c:v>-283.68654286534996</c:v>
                </c:pt>
                <c:pt idx="162">
                  <c:v>-283.98463344503494</c:v>
                </c:pt>
                <c:pt idx="163">
                  <c:v>-284.26236423405174</c:v>
                </c:pt>
                <c:pt idx="164">
                  <c:v>-284.52051348329991</c:v>
                </c:pt>
                <c:pt idx="165">
                  <c:v>-284.75979354690548</c:v>
                </c:pt>
                <c:pt idx="166">
                  <c:v>-284.98085521470114</c:v>
                </c:pt>
                <c:pt idx="167">
                  <c:v>-285.1842916191423</c:v>
                </c:pt>
                <c:pt idx="168">
                  <c:v>-285.37064171287108</c:v>
                </c:pt>
                <c:pt idx="169">
                  <c:v>-285.54039339183635</c:v>
                </c:pt>
                <c:pt idx="170">
                  <c:v>-285.69398627698848</c:v>
                </c:pt>
                <c:pt idx="171">
                  <c:v>-285.83181418189338</c:v>
                </c:pt>
                <c:pt idx="172">
                  <c:v>-285.95422729481521</c:v>
                </c:pt>
                <c:pt idx="173">
                  <c:v>-286.06153410064701</c:v>
                </c:pt>
                <c:pt idx="174">
                  <c:v>-286.15400305069039</c:v>
                </c:pt>
                <c:pt idx="175">
                  <c:v>-286.23186400153219</c:v>
                </c:pt>
                <c:pt idx="176">
                  <c:v>-286.29530944213838</c:v>
                </c:pt>
                <c:pt idx="177">
                  <c:v>-286.34449550732677</c:v>
                </c:pt>
                <c:pt idx="178">
                  <c:v>-286.37954280082977</c:v>
                </c:pt>
                <c:pt idx="179">
                  <c:v>-286.40053702186333</c:v>
                </c:pt>
                <c:pt idx="180">
                  <c:v>-286.40752941170325</c:v>
                </c:pt>
                <c:pt idx="181">
                  <c:v>-286.40053702186367</c:v>
                </c:pt>
                <c:pt idx="182">
                  <c:v>-286.37954280083017</c:v>
                </c:pt>
                <c:pt idx="183">
                  <c:v>-286.344495507327</c:v>
                </c:pt>
                <c:pt idx="184">
                  <c:v>-286.29530944213877</c:v>
                </c:pt>
                <c:pt idx="185">
                  <c:v>-286.23186400153259</c:v>
                </c:pt>
                <c:pt idx="186">
                  <c:v>-286.15400305069079</c:v>
                </c:pt>
                <c:pt idx="187">
                  <c:v>-286.06153410064746</c:v>
                </c:pt>
                <c:pt idx="188">
                  <c:v>-285.95422729481567</c:v>
                </c:pt>
                <c:pt idx="189">
                  <c:v>-285.83181418189383</c:v>
                </c:pt>
                <c:pt idx="190">
                  <c:v>-285.69398627698888</c:v>
                </c:pt>
                <c:pt idx="191">
                  <c:v>-285.54039339183669</c:v>
                </c:pt>
                <c:pt idx="192">
                  <c:v>-285.37064171287147</c:v>
                </c:pt>
                <c:pt idx="193">
                  <c:v>-285.18429161914281</c:v>
                </c:pt>
                <c:pt idx="194">
                  <c:v>-284.98085521470165</c:v>
                </c:pt>
                <c:pt idx="195">
                  <c:v>-284.759793546906</c:v>
                </c:pt>
                <c:pt idx="196">
                  <c:v>-284.52051348330048</c:v>
                </c:pt>
                <c:pt idx="197">
                  <c:v>-284.26236423405237</c:v>
                </c:pt>
                <c:pt idx="198">
                  <c:v>-283.98463344503557</c:v>
                </c:pt>
                <c:pt idx="199">
                  <c:v>-283.68654286535059</c:v>
                </c:pt>
                <c:pt idx="200">
                  <c:v>-283.3672435055164</c:v>
                </c:pt>
                <c:pt idx="201">
                  <c:v>-283.025810250978</c:v>
                </c:pt>
                <c:pt idx="202">
                  <c:v>-282.66123587467342</c:v>
                </c:pt>
                <c:pt idx="203">
                  <c:v>-280.48520780421768</c:v>
                </c:pt>
                <c:pt idx="204">
                  <c:v>-272.04129055445208</c:v>
                </c:pt>
                <c:pt idx="205">
                  <c:v>-262.26326160404517</c:v>
                </c:pt>
                <c:pt idx="206">
                  <c:v>-251.2318885022334</c:v>
                </c:pt>
                <c:pt idx="207">
                  <c:v>-238.99416657381556</c:v>
                </c:pt>
                <c:pt idx="208">
                  <c:v>-226.02649660723051</c:v>
                </c:pt>
                <c:pt idx="209">
                  <c:v>-212.71720157316611</c:v>
                </c:pt>
                <c:pt idx="210">
                  <c:v>-199.18151744215623</c:v>
                </c:pt>
                <c:pt idx="211">
                  <c:v>-185.51937764982142</c:v>
                </c:pt>
                <c:pt idx="212">
                  <c:v>-171.8208249039921</c:v>
                </c:pt>
                <c:pt idx="213">
                  <c:v>-158.17044242505588</c:v>
                </c:pt>
                <c:pt idx="214">
                  <c:v>-143.86279426561995</c:v>
                </c:pt>
                <c:pt idx="215">
                  <c:v>-128.44212244318206</c:v>
                </c:pt>
                <c:pt idx="216">
                  <c:v>-113.88258640121404</c:v>
                </c:pt>
                <c:pt idx="217">
                  <c:v>-100.18031542825327</c:v>
                </c:pt>
                <c:pt idx="218">
                  <c:v>-87.36561106162344</c:v>
                </c:pt>
                <c:pt idx="219">
                  <c:v>-75.503320088412522</c:v>
                </c:pt>
                <c:pt idx="220">
                  <c:v>-64.695825221775422</c:v>
                </c:pt>
                <c:pt idx="221">
                  <c:v>-55.089194964257992</c:v>
                </c:pt>
                <c:pt idx="222">
                  <c:v>-46.883599129210332</c:v>
                </c:pt>
                <c:pt idx="223">
                  <c:v>-40.350080014669402</c:v>
                </c:pt>
                <c:pt idx="224">
                  <c:v>-35.857639202875291</c:v>
                </c:pt>
                <c:pt idx="225">
                  <c:v>-33.917634470423408</c:v>
                </c:pt>
                <c:pt idx="226">
                  <c:v>-33.407481298643759</c:v>
                </c:pt>
                <c:pt idx="227">
                  <c:v>-32.912821962839324</c:v>
                </c:pt>
                <c:pt idx="228">
                  <c:v>-32.432757457912999</c:v>
                </c:pt>
                <c:pt idx="229">
                  <c:v>-31.966320196969551</c:v>
                </c:pt>
                <c:pt idx="230">
                  <c:v>-31.512616023015259</c:v>
                </c:pt>
                <c:pt idx="231">
                  <c:v>-31.070816886948808</c:v>
                </c:pt>
                <c:pt idx="232">
                  <c:v>-30.640154368531675</c:v>
                </c:pt>
                <c:pt idx="233">
                  <c:v>-30.219913904230822</c:v>
                </c:pt>
                <c:pt idx="234">
                  <c:v>-29.809429656870282</c:v>
                </c:pt>
                <c:pt idx="235">
                  <c:v>-29.408079919426257</c:v>
                </c:pt>
                <c:pt idx="236">
                  <c:v>-29.015283012295654</c:v>
                </c:pt>
                <c:pt idx="237">
                  <c:v>-28.630493582635399</c:v>
                </c:pt>
                <c:pt idx="238">
                  <c:v>-28.253199284226767</c:v>
                </c:pt>
                <c:pt idx="239">
                  <c:v>-27.88291777025572</c:v>
                </c:pt>
                <c:pt idx="240">
                  <c:v>-27.519193974549886</c:v>
                </c:pt>
                <c:pt idx="241">
                  <c:v>-27.161597644381349</c:v>
                </c:pt>
                <c:pt idx="242">
                  <c:v>-26.809721085298424</c:v>
                </c:pt>
                <c:pt idx="243">
                  <c:v>-26.463177108409894</c:v>
                </c:pt>
                <c:pt idx="244">
                  <c:v>-26.121597144054565</c:v>
                </c:pt>
                <c:pt idx="245">
                  <c:v>-25.784629505078701</c:v>
                </c:pt>
                <c:pt idx="246">
                  <c:v>-25.451937791035782</c:v>
                </c:pt>
                <c:pt idx="247">
                  <c:v>-25.123199393266621</c:v>
                </c:pt>
                <c:pt idx="248">
                  <c:v>-25.186549093497295</c:v>
                </c:pt>
                <c:pt idx="249">
                  <c:v>-24.863831916919743</c:v>
                </c:pt>
                <c:pt idx="250">
                  <c:v>-24.544164506733296</c:v>
                </c:pt>
                <c:pt idx="251">
                  <c:v>-24.227265717465606</c:v>
                </c:pt>
                <c:pt idx="252">
                  <c:v>-23.912862020360777</c:v>
                </c:pt>
                <c:pt idx="253">
                  <c:v>-23.600686447563845</c:v>
                </c:pt>
                <c:pt idx="254">
                  <c:v>-23.290477567160565</c:v>
                </c:pt>
                <c:pt idx="255">
                  <c:v>-22.981978480378523</c:v>
                </c:pt>
                <c:pt idx="256">
                  <c:v>-22.674935838822751</c:v>
                </c:pt>
                <c:pt idx="257">
                  <c:v>-22.369098868554751</c:v>
                </c:pt>
                <c:pt idx="258">
                  <c:v>-22.064218382340258</c:v>
                </c:pt>
                <c:pt idx="259">
                  <c:v>-21.760045790804256</c:v>
                </c:pt>
                <c:pt idx="260">
                  <c:v>-21.456332081656839</c:v>
                </c:pt>
                <c:pt idx="261">
                  <c:v>-21.1528267591553</c:v>
                </c:pt>
                <c:pt idx="262">
                  <c:v>-20.849276743235777</c:v>
                </c:pt>
                <c:pt idx="263">
                  <c:v>-20.545425197846761</c:v>
                </c:pt>
                <c:pt idx="264">
                  <c:v>-20.241010273820933</c:v>
                </c:pt>
                <c:pt idx="265">
                  <c:v>-19.93576375851038</c:v>
                </c:pt>
                <c:pt idx="266">
                  <c:v>-19.629409594406766</c:v>
                </c:pt>
                <c:pt idx="267">
                  <c:v>-19.321662244512162</c:v>
                </c:pt>
                <c:pt idx="268">
                  <c:v>-19.012224872481596</c:v>
                </c:pt>
                <c:pt idx="269">
                  <c:v>-18.700787294523465</c:v>
                </c:pt>
                <c:pt idx="270">
                  <c:v>-18.387023658242974</c:v>
                </c:pt>
                <c:pt idx="271">
                  <c:v>-18.111487373827412</c:v>
                </c:pt>
                <c:pt idx="272">
                  <c:v>-17.836723798828451</c:v>
                </c:pt>
                <c:pt idx="273">
                  <c:v>-17.562537179133155</c:v>
                </c:pt>
                <c:pt idx="274">
                  <c:v>-17.28873408131194</c:v>
                </c:pt>
                <c:pt idx="275">
                  <c:v>-17.015122797335867</c:v>
                </c:pt>
                <c:pt idx="276">
                  <c:v>-16.741512771625914</c:v>
                </c:pt>
                <c:pt idx="277">
                  <c:v>-16.467714024726774</c:v>
                </c:pt>
                <c:pt idx="278">
                  <c:v>-16.193536599108263</c:v>
                </c:pt>
                <c:pt idx="279">
                  <c:v>-15.91878999697208</c:v>
                </c:pt>
                <c:pt idx="280">
                  <c:v>-15.643282623187064</c:v>
                </c:pt>
                <c:pt idx="281">
                  <c:v>-15.366821221048607</c:v>
                </c:pt>
                <c:pt idx="282">
                  <c:v>-15.089210307305912</c:v>
                </c:pt>
                <c:pt idx="283">
                  <c:v>-14.810251584353113</c:v>
                </c:pt>
                <c:pt idx="284">
                  <c:v>-14.529743348752248</c:v>
                </c:pt>
                <c:pt idx="285">
                  <c:v>-14.247479876518661</c:v>
                </c:pt>
                <c:pt idx="286">
                  <c:v>-13.963250779979989</c:v>
                </c:pt>
                <c:pt idx="287">
                  <c:v>-13.676840347685806</c:v>
                </c:pt>
                <c:pt idx="288">
                  <c:v>-13.388026847698651</c:v>
                </c:pt>
                <c:pt idx="289">
                  <c:v>-13.096581788359979</c:v>
                </c:pt>
                <c:pt idx="290">
                  <c:v>-12.802269144077627</c:v>
                </c:pt>
                <c:pt idx="291">
                  <c:v>-12.504844533643379</c:v>
                </c:pt>
                <c:pt idx="292">
                  <c:v>-12.204054334796377</c:v>
                </c:pt>
                <c:pt idx="293">
                  <c:v>-11.899634751172709</c:v>
                </c:pt>
                <c:pt idx="294">
                  <c:v>-11.591310796734497</c:v>
                </c:pt>
                <c:pt idx="295">
                  <c:v>-11.278795206143947</c:v>
                </c:pt>
                <c:pt idx="296">
                  <c:v>-10.961787264585109</c:v>
                </c:pt>
                <c:pt idx="297">
                  <c:v>-10.639971531412488</c:v>
                </c:pt>
                <c:pt idx="298">
                  <c:v>-10.313016452827076</c:v>
                </c:pt>
                <c:pt idx="299">
                  <c:v>-9.980572857049907</c:v>
                </c:pt>
                <c:pt idx="300">
                  <c:v>-9.6422723073188248</c:v>
                </c:pt>
                <c:pt idx="301">
                  <c:v>-9.2977252950444544</c:v>
                </c:pt>
                <c:pt idx="302">
                  <c:v>-8.9465192601002848</c:v>
                </c:pt>
                <c:pt idx="303">
                  <c:v>-8.5882164174593285</c:v>
                </c:pt>
                <c:pt idx="304">
                  <c:v>-8.2223513481176091</c:v>
                </c:pt>
                <c:pt idx="305">
                  <c:v>-7.8484283512389874</c:v>
                </c:pt>
                <c:pt idx="306">
                  <c:v>-7.465918499759721</c:v>
                </c:pt>
                <c:pt idx="307">
                  <c:v>-7.0742563751033796</c:v>
                </c:pt>
                <c:pt idx="308">
                  <c:v>-6.6728364372380327</c:v>
                </c:pt>
                <c:pt idx="309">
                  <c:v>-6.2610089672283955</c:v>
                </c:pt>
                <c:pt idx="310">
                  <c:v>-5.8380755421088901</c:v>
                </c:pt>
                <c:pt idx="311">
                  <c:v>-5.4110927862833416</c:v>
                </c:pt>
                <c:pt idx="312">
                  <c:v>-4.9957467765524992</c:v>
                </c:pt>
                <c:pt idx="313">
                  <c:v>-4.5228162936265672</c:v>
                </c:pt>
                <c:pt idx="314">
                  <c:v>-4.0211076591727988</c:v>
                </c:pt>
                <c:pt idx="315">
                  <c:v>-3.540152542522105</c:v>
                </c:pt>
                <c:pt idx="316">
                  <c:v>-3.0784766501511971</c:v>
                </c:pt>
                <c:pt idx="317">
                  <c:v>-2.6347300959900735</c:v>
                </c:pt>
                <c:pt idx="318">
                  <c:v>-2.2076735245109376</c:v>
                </c:pt>
                <c:pt idx="319">
                  <c:v>-1.7961658567161918</c:v>
                </c:pt>
                <c:pt idx="320">
                  <c:v>-1.3991534494100961</c:v>
                </c:pt>
                <c:pt idx="321">
                  <c:v>-1.0156604121326325</c:v>
                </c:pt>
                <c:pt idx="322">
                  <c:v>-0.64477992732751088</c:v>
                </c:pt>
                <c:pt idx="323">
                  <c:v>-0.28566641611108706</c:v>
                </c:pt>
                <c:pt idx="324">
                  <c:v>6.2471626160652251E-2</c:v>
                </c:pt>
                <c:pt idx="325">
                  <c:v>0.40037819780378642</c:v>
                </c:pt>
                <c:pt idx="326">
                  <c:v>0.728755934503306</c:v>
                </c:pt>
                <c:pt idx="327">
                  <c:v>1.0482718936574313</c:v>
                </c:pt>
                <c:pt idx="328">
                  <c:v>1.3595631232176801</c:v>
                </c:pt>
                <c:pt idx="329">
                  <c:v>1.6632421036686422</c:v>
                </c:pt>
                <c:pt idx="330">
                  <c:v>1.9599021835135604</c:v>
                </c:pt>
                <c:pt idx="331">
                  <c:v>2.2501231444723944</c:v>
                </c:pt>
                <c:pt idx="332">
                  <c:v>2.5344770224528701</c:v>
                </c:pt>
                <c:pt idx="333">
                  <c:v>2.8135343792905303</c:v>
                </c:pt>
                <c:pt idx="334">
                  <c:v>3.0878711995885681</c:v>
                </c:pt>
                <c:pt idx="335">
                  <c:v>3.3580767016212403</c:v>
                </c:pt>
                <c:pt idx="336">
                  <c:v>3.624762355012189</c:v>
                </c:pt>
                <c:pt idx="337">
                  <c:v>3.8885725616209355</c:v>
                </c:pt>
                <c:pt idx="338">
                  <c:v>4.1501975164851244</c:v>
                </c:pt>
                <c:pt idx="339">
                  <c:v>4.4103890440046118</c:v>
                </c:pt>
                <c:pt idx="340">
                  <c:v>4.669980394602109</c:v>
                </c:pt>
                <c:pt idx="341">
                  <c:v>4.9299114351780329</c:v>
                </c:pt>
                <c:pt idx="342">
                  <c:v>5.1912612330088761</c:v>
                </c:pt>
                <c:pt idx="343">
                  <c:v>5.4039590291943655</c:v>
                </c:pt>
                <c:pt idx="344">
                  <c:v>5.5866053183865789</c:v>
                </c:pt>
                <c:pt idx="345">
                  <c:v>5.7648791873592931</c:v>
                </c:pt>
                <c:pt idx="346">
                  <c:v>5.9400880789785386</c:v>
                </c:pt>
                <c:pt idx="347">
                  <c:v>6.1138682437831591</c:v>
                </c:pt>
                <c:pt idx="348">
                  <c:v>6.2883287269504473</c:v>
                </c:pt>
                <c:pt idx="349">
                  <c:v>6.4662701183811686</c:v>
                </c:pt>
                <c:pt idx="350">
                  <c:v>6.6515280649347037</c:v>
                </c:pt>
                <c:pt idx="351">
                  <c:v>6.849533904440781</c:v>
                </c:pt>
                <c:pt idx="352">
                  <c:v>7.0467663858619645</c:v>
                </c:pt>
                <c:pt idx="353">
                  <c:v>7.230935100090381</c:v>
                </c:pt>
                <c:pt idx="354">
                  <c:v>7.4920722703117537</c:v>
                </c:pt>
                <c:pt idx="355">
                  <c:v>7.8343125500966018</c:v>
                </c:pt>
                <c:pt idx="356">
                  <c:v>8.3265655661718192</c:v>
                </c:pt>
                <c:pt idx="357">
                  <c:v>9.1220117863600798</c:v>
                </c:pt>
                <c:pt idx="358">
                  <c:v>10.647143291798729</c:v>
                </c:pt>
                <c:pt idx="359">
                  <c:v>14.655027113289927</c:v>
                </c:pt>
                <c:pt idx="360">
                  <c:v>19.842760784081861</c:v>
                </c:pt>
              </c:numCache>
            </c:numRef>
          </c:xVal>
          <c:yVal>
            <c:numRef>
              <c:f>L_Section_Capacity!$AU$2:$AU$362</c:f>
              <c:numCache>
                <c:formatCode>General</c:formatCode>
                <c:ptCount val="361"/>
                <c:pt idx="0">
                  <c:v>146.2399999999945</c:v>
                </c:pt>
                <c:pt idx="1">
                  <c:v>216.60307032526669</c:v>
                </c:pt>
                <c:pt idx="2">
                  <c:v>277.65478928508401</c:v>
                </c:pt>
                <c:pt idx="3">
                  <c:v>310.61473768758282</c:v>
                </c:pt>
                <c:pt idx="4">
                  <c:v>336.6796486902083</c:v>
                </c:pt>
                <c:pt idx="5">
                  <c:v>359.98614595015374</c:v>
                </c:pt>
                <c:pt idx="6">
                  <c:v>381.72105005426494</c:v>
                </c:pt>
                <c:pt idx="7">
                  <c:v>402.3766014352708</c:v>
                </c:pt>
                <c:pt idx="8">
                  <c:v>420.71757255180512</c:v>
                </c:pt>
                <c:pt idx="9">
                  <c:v>437.93920090936155</c:v>
                </c:pt>
                <c:pt idx="10">
                  <c:v>454.47714550836702</c:v>
                </c:pt>
                <c:pt idx="11">
                  <c:v>470.44563705394091</c:v>
                </c:pt>
                <c:pt idx="12">
                  <c:v>481.7350282712481</c:v>
                </c:pt>
                <c:pt idx="13">
                  <c:v>487.3754387614045</c:v>
                </c:pt>
                <c:pt idx="14">
                  <c:v>492.72960526761381</c:v>
                </c:pt>
                <c:pt idx="15">
                  <c:v>497.84185373986048</c:v>
                </c:pt>
                <c:pt idx="16">
                  <c:v>502.7473085860488</c:v>
                </c:pt>
                <c:pt idx="17">
                  <c:v>507.47438421942331</c:v>
                </c:pt>
                <c:pt idx="18">
                  <c:v>512.04648550919592</c:v>
                </c:pt>
                <c:pt idx="19">
                  <c:v>516.48320078756672</c:v>
                </c:pt>
                <c:pt idx="20">
                  <c:v>520.80115940025598</c:v>
                </c:pt>
                <c:pt idx="21">
                  <c:v>524.97478004114339</c:v>
                </c:pt>
                <c:pt idx="22">
                  <c:v>526.80098688373255</c:v>
                </c:pt>
                <c:pt idx="23">
                  <c:v>528.51858764402505</c:v>
                </c:pt>
                <c:pt idx="24">
                  <c:v>530.1393893831505</c:v>
                </c:pt>
                <c:pt idx="25">
                  <c:v>531.67353536265591</c:v>
                </c:pt>
                <c:pt idx="26">
                  <c:v>533.1297967565805</c:v>
                </c:pt>
                <c:pt idx="27">
                  <c:v>534.51580438264159</c:v>
                </c:pt>
                <c:pt idx="28">
                  <c:v>535.83823446267297</c:v>
                </c:pt>
                <c:pt idx="29">
                  <c:v>537.10295890944462</c:v>
                </c:pt>
                <c:pt idx="30">
                  <c:v>538.31516777288493</c:v>
                </c:pt>
                <c:pt idx="31">
                  <c:v>539.47946987255659</c:v>
                </c:pt>
                <c:pt idx="32">
                  <c:v>540.59997597945164</c:v>
                </c:pt>
                <c:pt idx="33">
                  <c:v>541.68036808776583</c:v>
                </c:pt>
                <c:pt idx="34">
                  <c:v>542.72395741455148</c:v>
                </c:pt>
                <c:pt idx="35">
                  <c:v>543.73373328972946</c:v>
                </c:pt>
                <c:pt idx="36">
                  <c:v>544.70918921735233</c:v>
                </c:pt>
                <c:pt idx="37">
                  <c:v>545.61616800090974</c:v>
                </c:pt>
                <c:pt idx="38">
                  <c:v>546.45119016175886</c:v>
                </c:pt>
                <c:pt idx="39">
                  <c:v>547.22149140446129</c:v>
                </c:pt>
                <c:pt idx="40">
                  <c:v>547.93341306544312</c:v>
                </c:pt>
                <c:pt idx="41">
                  <c:v>548.59253130380023</c:v>
                </c:pt>
                <c:pt idx="42">
                  <c:v>549.20376504091121</c:v>
                </c:pt>
                <c:pt idx="43">
                  <c:v>549.77146649428096</c:v>
                </c:pt>
                <c:pt idx="44">
                  <c:v>550.29949750780384</c:v>
                </c:pt>
                <c:pt idx="45">
                  <c:v>550.79129411696056</c:v>
                </c:pt>
                <c:pt idx="46">
                  <c:v>551.24992141109624</c:v>
                </c:pt>
                <c:pt idx="47">
                  <c:v>551.6781202937002</c:v>
                </c:pt>
                <c:pt idx="48">
                  <c:v>552.07834750732366</c:v>
                </c:pt>
                <c:pt idx="49">
                  <c:v>552.45280997607949</c:v>
                </c:pt>
                <c:pt idx="50">
                  <c:v>552.80349441799444</c:v>
                </c:pt>
                <c:pt idx="51">
                  <c:v>553.13219289176766</c:v>
                </c:pt>
                <c:pt idx="52">
                  <c:v>553.44052495333881</c:v>
                </c:pt>
                <c:pt idx="53">
                  <c:v>553.72995691368965</c:v>
                </c:pt>
                <c:pt idx="54">
                  <c:v>554.00181861081433</c:v>
                </c:pt>
                <c:pt idx="55">
                  <c:v>554.25731806267254</c:v>
                </c:pt>
                <c:pt idx="56">
                  <c:v>554.49755429002846</c:v>
                </c:pt>
                <c:pt idx="57">
                  <c:v>554.7235286076583</c:v>
                </c:pt>
                <c:pt idx="58">
                  <c:v>554.93615450948573</c:v>
                </c:pt>
                <c:pt idx="59">
                  <c:v>555.13626642914471</c:v>
                </c:pt>
                <c:pt idx="60">
                  <c:v>555.32462745231135</c:v>
                </c:pt>
                <c:pt idx="61">
                  <c:v>555.50193615274554</c:v>
                </c:pt>
                <c:pt idx="62">
                  <c:v>555.6688326618812</c:v>
                </c:pt>
                <c:pt idx="63">
                  <c:v>555.82590406883742</c:v>
                </c:pt>
                <c:pt idx="64">
                  <c:v>555.97368918875054</c:v>
                </c:pt>
                <c:pt idx="65">
                  <c:v>556.11268285963479</c:v>
                </c:pt>
                <c:pt idx="66">
                  <c:v>556.24333976007233</c:v>
                </c:pt>
                <c:pt idx="67">
                  <c:v>556.36607780245959</c:v>
                </c:pt>
                <c:pt idx="68">
                  <c:v>556.48128121899367</c:v>
                </c:pt>
                <c:pt idx="69">
                  <c:v>556.58930325365156</c:v>
                </c:pt>
                <c:pt idx="70">
                  <c:v>556.6904686630877</c:v>
                </c:pt>
                <c:pt idx="71">
                  <c:v>556.78507587995182</c:v>
                </c:pt>
                <c:pt idx="72">
                  <c:v>556.873399016598</c:v>
                </c:pt>
                <c:pt idx="73">
                  <c:v>556.95568961875381</c:v>
                </c:pt>
                <c:pt idx="74">
                  <c:v>557.03217828879974</c:v>
                </c:pt>
                <c:pt idx="75">
                  <c:v>557.10307608447999</c:v>
                </c:pt>
                <c:pt idx="76">
                  <c:v>557.16857583694537</c:v>
                </c:pt>
                <c:pt idx="77">
                  <c:v>557.22885329165274</c:v>
                </c:pt>
                <c:pt idx="78">
                  <c:v>557.28406813187974</c:v>
                </c:pt>
                <c:pt idx="79">
                  <c:v>557.33436492492137</c:v>
                </c:pt>
                <c:pt idx="80">
                  <c:v>557.37987392854416</c:v>
                </c:pt>
                <c:pt idx="81">
                  <c:v>557.42071182846189</c:v>
                </c:pt>
                <c:pt idx="82">
                  <c:v>557.45698238068371</c:v>
                </c:pt>
                <c:pt idx="83">
                  <c:v>557.48877698723845</c:v>
                </c:pt>
                <c:pt idx="84">
                  <c:v>557.51617519682486</c:v>
                </c:pt>
                <c:pt idx="85">
                  <c:v>557.53924510647244</c:v>
                </c:pt>
                <c:pt idx="86">
                  <c:v>557.55804375472428</c:v>
                </c:pt>
                <c:pt idx="87">
                  <c:v>557.57261740668628</c:v>
                </c:pt>
                <c:pt idx="88">
                  <c:v>557.58300178833758</c:v>
                </c:pt>
                <c:pt idx="89">
                  <c:v>557.58922229669736</c:v>
                </c:pt>
                <c:pt idx="90">
                  <c:v>557.59129411965455</c:v>
                </c:pt>
                <c:pt idx="91">
                  <c:v>557.58922230046471</c:v>
                </c:pt>
                <c:pt idx="92">
                  <c:v>557.58300178984859</c:v>
                </c:pt>
                <c:pt idx="93">
                  <c:v>557.5726174053176</c:v>
                </c:pt>
                <c:pt idx="94">
                  <c:v>557.55804375525929</c:v>
                </c:pt>
                <c:pt idx="95">
                  <c:v>557.53924510806644</c:v>
                </c:pt>
                <c:pt idx="96">
                  <c:v>557.51617519716456</c:v>
                </c:pt>
                <c:pt idx="97">
                  <c:v>557.48877698969818</c:v>
                </c:pt>
                <c:pt idx="98">
                  <c:v>557.45698237949512</c:v>
                </c:pt>
                <c:pt idx="99">
                  <c:v>557.42071182754614</c:v>
                </c:pt>
                <c:pt idx="100">
                  <c:v>557.37987393065214</c:v>
                </c:pt>
                <c:pt idx="101">
                  <c:v>557.33436492749979</c:v>
                </c:pt>
                <c:pt idx="102">
                  <c:v>557.28406813337142</c:v>
                </c:pt>
                <c:pt idx="103">
                  <c:v>557.22885328885241</c:v>
                </c:pt>
                <c:pt idx="104">
                  <c:v>557.16857583572278</c:v>
                </c:pt>
                <c:pt idx="105">
                  <c:v>557.10307608415849</c:v>
                </c:pt>
                <c:pt idx="106">
                  <c:v>557.03217828792845</c:v>
                </c:pt>
                <c:pt idx="107">
                  <c:v>556.95568961997515</c:v>
                </c:pt>
                <c:pt idx="108">
                  <c:v>556.87339901555242</c:v>
                </c:pt>
                <c:pt idx="109">
                  <c:v>556.785075879945</c:v>
                </c:pt>
                <c:pt idx="110">
                  <c:v>556.69046866592407</c:v>
                </c:pt>
                <c:pt idx="111">
                  <c:v>556.58930325574886</c:v>
                </c:pt>
                <c:pt idx="112">
                  <c:v>556.48128121835862</c:v>
                </c:pt>
                <c:pt idx="113">
                  <c:v>556.36607780634961</c:v>
                </c:pt>
                <c:pt idx="114">
                  <c:v>556.24333976031471</c:v>
                </c:pt>
                <c:pt idx="115">
                  <c:v>556.11268285974518</c:v>
                </c:pt>
                <c:pt idx="116">
                  <c:v>555.9736891871778</c:v>
                </c:pt>
                <c:pt idx="117">
                  <c:v>555.82590406806776</c:v>
                </c:pt>
                <c:pt idx="118">
                  <c:v>555.6688326647045</c:v>
                </c:pt>
                <c:pt idx="119">
                  <c:v>555.50193615043861</c:v>
                </c:pt>
                <c:pt idx="120">
                  <c:v>555.32462744978318</c:v>
                </c:pt>
                <c:pt idx="121">
                  <c:v>555.13626642823851</c:v>
                </c:pt>
                <c:pt idx="122">
                  <c:v>554.93615451036021</c:v>
                </c:pt>
                <c:pt idx="123">
                  <c:v>554.72352860612682</c:v>
                </c:pt>
                <c:pt idx="124">
                  <c:v>554.49755429208176</c:v>
                </c:pt>
                <c:pt idx="125">
                  <c:v>554.25731805951614</c:v>
                </c:pt>
                <c:pt idx="126">
                  <c:v>554.00181861191606</c:v>
                </c:pt>
                <c:pt idx="127">
                  <c:v>553.72995691536062</c:v>
                </c:pt>
                <c:pt idx="128">
                  <c:v>553.44052495189965</c:v>
                </c:pt>
                <c:pt idx="129">
                  <c:v>553.13219289073186</c:v>
                </c:pt>
                <c:pt idx="130">
                  <c:v>552.80349441889348</c:v>
                </c:pt>
                <c:pt idx="131">
                  <c:v>552.45280997806537</c:v>
                </c:pt>
                <c:pt idx="132">
                  <c:v>552.07834750357028</c:v>
                </c:pt>
                <c:pt idx="133">
                  <c:v>551.52028719190116</c:v>
                </c:pt>
                <c:pt idx="134">
                  <c:v>549.04754593398957</c:v>
                </c:pt>
                <c:pt idx="135">
                  <c:v>544.47103885937588</c:v>
                </c:pt>
                <c:pt idx="136">
                  <c:v>538.02393329136589</c:v>
                </c:pt>
                <c:pt idx="137">
                  <c:v>529.83570185777637</c:v>
                </c:pt>
                <c:pt idx="138">
                  <c:v>519.96675973603874</c:v>
                </c:pt>
                <c:pt idx="139">
                  <c:v>508.42736000607835</c:v>
                </c:pt>
                <c:pt idx="140">
                  <c:v>495.25331106367827</c:v>
                </c:pt>
                <c:pt idx="141">
                  <c:v>480.82988296069135</c:v>
                </c:pt>
                <c:pt idx="142">
                  <c:v>465.30830571498268</c:v>
                </c:pt>
                <c:pt idx="143">
                  <c:v>448.77441932462727</c:v>
                </c:pt>
                <c:pt idx="144">
                  <c:v>431.30760152635185</c:v>
                </c:pt>
                <c:pt idx="145">
                  <c:v>412.98534347444524</c:v>
                </c:pt>
                <c:pt idx="146">
                  <c:v>393.88799490135381</c:v>
                </c:pt>
                <c:pt idx="147">
                  <c:v>374.10412118964905</c:v>
                </c:pt>
                <c:pt idx="148">
                  <c:v>353.73699536010173</c:v>
                </c:pt>
                <c:pt idx="149">
                  <c:v>332.9129167640524</c:v>
                </c:pt>
                <c:pt idx="150">
                  <c:v>311.79234577397222</c:v>
                </c:pt>
                <c:pt idx="151">
                  <c:v>290.58535116502844</c:v>
                </c:pt>
                <c:pt idx="152">
                  <c:v>269.57374312032209</c:v>
                </c:pt>
                <c:pt idx="153">
                  <c:v>249.24334368626444</c:v>
                </c:pt>
                <c:pt idx="154">
                  <c:v>230.66791005988162</c:v>
                </c:pt>
                <c:pt idx="155">
                  <c:v>214.4231283549872</c:v>
                </c:pt>
                <c:pt idx="156">
                  <c:v>201.21679557190242</c:v>
                </c:pt>
                <c:pt idx="157">
                  <c:v>192.2156291361014</c:v>
                </c:pt>
                <c:pt idx="158">
                  <c:v>189.18480376583409</c:v>
                </c:pt>
                <c:pt idx="159">
                  <c:v>188.25935920812594</c:v>
                </c:pt>
                <c:pt idx="160">
                  <c:v>187.3462337528191</c:v>
                </c:pt>
                <c:pt idx="161">
                  <c:v>186.44463744999601</c:v>
                </c:pt>
                <c:pt idx="162">
                  <c:v>185.55381405709079</c:v>
                </c:pt>
                <c:pt idx="163">
                  <c:v>184.67303827895287</c:v>
                </c:pt>
                <c:pt idx="164">
                  <c:v>183.80161320632971</c:v>
                </c:pt>
                <c:pt idx="165">
                  <c:v>182.93886793258892</c:v>
                </c:pt>
                <c:pt idx="166">
                  <c:v>182.08415533050243</c:v>
                </c:pt>
                <c:pt idx="167">
                  <c:v>181.23684997266372</c:v>
                </c:pt>
                <c:pt idx="168">
                  <c:v>180.39634618065443</c:v>
                </c:pt>
                <c:pt idx="169">
                  <c:v>179.56205618942172</c:v>
                </c:pt>
                <c:pt idx="170">
                  <c:v>178.73340841451898</c:v>
                </c:pt>
                <c:pt idx="171">
                  <c:v>177.90984581089666</c:v>
                </c:pt>
                <c:pt idx="172">
                  <c:v>177.09082431284017</c:v>
                </c:pt>
                <c:pt idx="173">
                  <c:v>176.2758113454438</c:v>
                </c:pt>
                <c:pt idx="174">
                  <c:v>175.46428439869499</c:v>
                </c:pt>
                <c:pt idx="175">
                  <c:v>174.65572965584036</c:v>
                </c:pt>
                <c:pt idx="176">
                  <c:v>173.84964066820763</c:v>
                </c:pt>
                <c:pt idx="177">
                  <c:v>173.04551706909209</c:v>
                </c:pt>
                <c:pt idx="178">
                  <c:v>172.2428633196717</c:v>
                </c:pt>
                <c:pt idx="179">
                  <c:v>171.44118748020566</c:v>
                </c:pt>
                <c:pt idx="180">
                  <c:v>170.64000000000053</c:v>
                </c:pt>
                <c:pt idx="181">
                  <c:v>169.83881251979534</c:v>
                </c:pt>
                <c:pt idx="182">
                  <c:v>169.03713668032927</c:v>
                </c:pt>
                <c:pt idx="183">
                  <c:v>168.234482930909</c:v>
                </c:pt>
                <c:pt idx="184">
                  <c:v>167.43035933179345</c:v>
                </c:pt>
                <c:pt idx="185">
                  <c:v>166.62427034416066</c:v>
                </c:pt>
                <c:pt idx="186">
                  <c:v>165.81571560130601</c:v>
                </c:pt>
                <c:pt idx="187">
                  <c:v>165.00418865455725</c:v>
                </c:pt>
                <c:pt idx="188">
                  <c:v>164.18917568716083</c:v>
                </c:pt>
                <c:pt idx="189">
                  <c:v>163.37015418910437</c:v>
                </c:pt>
                <c:pt idx="190">
                  <c:v>162.54659158548208</c:v>
                </c:pt>
                <c:pt idx="191">
                  <c:v>161.71794381057936</c:v>
                </c:pt>
                <c:pt idx="192">
                  <c:v>160.88365381934659</c:v>
                </c:pt>
                <c:pt idx="193">
                  <c:v>160.04315002733733</c:v>
                </c:pt>
                <c:pt idx="194">
                  <c:v>159.19584466949874</c:v>
                </c:pt>
                <c:pt idx="195">
                  <c:v>158.34113206741216</c:v>
                </c:pt>
                <c:pt idx="196">
                  <c:v>157.47838679367146</c:v>
                </c:pt>
                <c:pt idx="197">
                  <c:v>156.60696172104821</c:v>
                </c:pt>
                <c:pt idx="198">
                  <c:v>155.72618594291032</c:v>
                </c:pt>
                <c:pt idx="199">
                  <c:v>154.83536255000513</c:v>
                </c:pt>
                <c:pt idx="200">
                  <c:v>153.93376624718206</c:v>
                </c:pt>
                <c:pt idx="201">
                  <c:v>153.02064079187517</c:v>
                </c:pt>
                <c:pt idx="202">
                  <c:v>152.09519623416713</c:v>
                </c:pt>
                <c:pt idx="203">
                  <c:v>147.76712094931256</c:v>
                </c:pt>
                <c:pt idx="204">
                  <c:v>132.59621395365428</c:v>
                </c:pt>
                <c:pt idx="205">
                  <c:v>114.57268143743489</c:v>
                </c:pt>
                <c:pt idx="206">
                  <c:v>94.294184237602678</c:v>
                </c:pt>
                <c:pt idx="207">
                  <c:v>72.163697147577693</c:v>
                </c:pt>
                <c:pt idx="208">
                  <c:v>49.248166641279298</c:v>
                </c:pt>
                <c:pt idx="209">
                  <c:v>26.35876262650433</c:v>
                </c:pt>
                <c:pt idx="210">
                  <c:v>3.7617562731761951</c:v>
                </c:pt>
                <c:pt idx="211">
                  <c:v>-18.343859653176388</c:v>
                </c:pt>
                <c:pt idx="212">
                  <c:v>-39.805473597694288</c:v>
                </c:pt>
                <c:pt idx="213">
                  <c:v>-60.501939915142628</c:v>
                </c:pt>
                <c:pt idx="214">
                  <c:v>-81.203229516186099</c:v>
                </c:pt>
                <c:pt idx="215">
                  <c:v>-102.35075706647825</c:v>
                </c:pt>
                <c:pt idx="216">
                  <c:v>-121.77815330334758</c:v>
                </c:pt>
                <c:pt idx="217">
                  <c:v>-139.54743431189445</c:v>
                </c:pt>
                <c:pt idx="218">
                  <c:v>-155.68255216870853</c:v>
                </c:pt>
                <c:pt idx="219">
                  <c:v>-170.17220895238307</c:v>
                </c:pt>
                <c:pt idx="220">
                  <c:v>-182.96985179729717</c:v>
                </c:pt>
                <c:pt idx="221">
                  <c:v>-193.99071688550202</c:v>
                </c:pt>
                <c:pt idx="222">
                  <c:v>-203.10528150319217</c:v>
                </c:pt>
                <c:pt idx="223">
                  <c:v>-210.12768439047517</c:v>
                </c:pt>
                <c:pt idx="224">
                  <c:v>-214.79622455974371</c:v>
                </c:pt>
                <c:pt idx="225">
                  <c:v>-216.7409341841757</c:v>
                </c:pt>
                <c:pt idx="226">
                  <c:v>-217.22079348381214</c:v>
                </c:pt>
                <c:pt idx="227">
                  <c:v>-217.67011137358332</c:v>
                </c:pt>
                <c:pt idx="228">
                  <c:v>-218.09120366662825</c:v>
                </c:pt>
                <c:pt idx="229">
                  <c:v>-218.48629354486596</c:v>
                </c:pt>
                <c:pt idx="230">
                  <c:v>-218.85738330329664</c:v>
                </c:pt>
                <c:pt idx="231">
                  <c:v>-219.20627997565174</c:v>
                </c:pt>
                <c:pt idx="232">
                  <c:v>-219.53461751160887</c:v>
                </c:pt>
                <c:pt idx="233">
                  <c:v>-219.84387609571309</c:v>
                </c:pt>
                <c:pt idx="234">
                  <c:v>-220.13539894275021</c:v>
                </c:pt>
                <c:pt idx="235">
                  <c:v>-220.41040701099661</c:v>
                </c:pt>
                <c:pt idx="236">
                  <c:v>-220.67001184420445</c:v>
                </c:pt>
                <c:pt idx="237">
                  <c:v>-220.91522689482667</c:v>
                </c:pt>
                <c:pt idx="238">
                  <c:v>-221.14697744904868</c:v>
                </c:pt>
                <c:pt idx="239">
                  <c:v>-221.36610940715775</c:v>
                </c:pt>
                <c:pt idx="240">
                  <c:v>-221.57339702911497</c:v>
                </c:pt>
                <c:pt idx="241">
                  <c:v>-221.76954978678486</c:v>
                </c:pt>
                <c:pt idx="242">
                  <c:v>-221.95521846665679</c:v>
                </c:pt>
                <c:pt idx="243">
                  <c:v>-222.13100056847452</c:v>
                </c:pt>
                <c:pt idx="244">
                  <c:v>-222.29744512392631</c:v>
                </c:pt>
                <c:pt idx="245">
                  <c:v>-222.45505699592911</c:v>
                </c:pt>
                <c:pt idx="246">
                  <c:v>-222.60430069099141</c:v>
                </c:pt>
                <c:pt idx="247">
                  <c:v>-222.74560381254179</c:v>
                </c:pt>
                <c:pt idx="248">
                  <c:v>-222.71950471314716</c:v>
                </c:pt>
                <c:pt idx="249">
                  <c:v>-222.84829883260215</c:v>
                </c:pt>
                <c:pt idx="250">
                  <c:v>-222.97025836319986</c:v>
                </c:pt>
                <c:pt idx="251">
                  <c:v>-223.08569265957914</c:v>
                </c:pt>
                <c:pt idx="252">
                  <c:v>-223.19488669231464</c:v>
                </c:pt>
                <c:pt idx="253">
                  <c:v>-223.29810281963779</c:v>
                </c:pt>
                <c:pt idx="254">
                  <c:v>-223.39558238729114</c:v>
                </c:pt>
                <c:pt idx="255">
                  <c:v>-223.48754717208442</c:v>
                </c:pt>
                <c:pt idx="256">
                  <c:v>-223.57420066216304</c:v>
                </c:pt>
                <c:pt idx="257">
                  <c:v>-223.65572919904213</c:v>
                </c:pt>
                <c:pt idx="258">
                  <c:v>-223.73230302075174</c:v>
                </c:pt>
                <c:pt idx="259">
                  <c:v>-223.80407715063848</c:v>
                </c:pt>
                <c:pt idx="260">
                  <c:v>-223.87119220197121</c:v>
                </c:pt>
                <c:pt idx="261">
                  <c:v>-223.933775092297</c:v>
                </c:pt>
                <c:pt idx="262">
                  <c:v>-223.99193963340514</c:v>
                </c:pt>
                <c:pt idx="263">
                  <c:v>-224.04578704912345</c:v>
                </c:pt>
                <c:pt idx="264">
                  <c:v>-224.09540641582376</c:v>
                </c:pt>
                <c:pt idx="265">
                  <c:v>-224.14087498907068</c:v>
                </c:pt>
                <c:pt idx="266">
                  <c:v>-224.182258460762</c:v>
                </c:pt>
                <c:pt idx="267">
                  <c:v>-224.21961112725876</c:v>
                </c:pt>
                <c:pt idx="268">
                  <c:v>-224.25297595986279</c:v>
                </c:pt>
                <c:pt idx="269">
                  <c:v>-224.28238457870611</c:v>
                </c:pt>
                <c:pt idx="270">
                  <c:v>-224.30785710533388</c:v>
                </c:pt>
                <c:pt idx="271">
                  <c:v>-224.31725923833449</c:v>
                </c:pt>
                <c:pt idx="272">
                  <c:v>-224.32209918022875</c:v>
                </c:pt>
                <c:pt idx="273">
                  <c:v>-224.32238658210053</c:v>
                </c:pt>
                <c:pt idx="274">
                  <c:v>-224.31811906021997</c:v>
                </c:pt>
                <c:pt idx="275">
                  <c:v>-224.30928223008152</c:v>
                </c:pt>
                <c:pt idx="276">
                  <c:v>-224.29584964544702</c:v>
                </c:pt>
                <c:pt idx="277">
                  <c:v>-224.27778271069593</c:v>
                </c:pt>
                <c:pt idx="278">
                  <c:v>-224.25503047446568</c:v>
                </c:pt>
                <c:pt idx="279">
                  <c:v>-224.22752938596153</c:v>
                </c:pt>
                <c:pt idx="280">
                  <c:v>-224.19520295953885</c:v>
                </c:pt>
                <c:pt idx="281">
                  <c:v>-224.15796137197628</c:v>
                </c:pt>
                <c:pt idx="282">
                  <c:v>-224.11570095716741</c:v>
                </c:pt>
                <c:pt idx="283">
                  <c:v>-224.0683036515932</c:v>
                </c:pt>
                <c:pt idx="284">
                  <c:v>-224.01563631296654</c:v>
                </c:pt>
                <c:pt idx="285">
                  <c:v>-223.95754995469071</c:v>
                </c:pt>
                <c:pt idx="286">
                  <c:v>-223.8938788919958</c:v>
                </c:pt>
                <c:pt idx="287">
                  <c:v>-223.82443974095978</c:v>
                </c:pt>
                <c:pt idx="288">
                  <c:v>-223.74903030754291</c:v>
                </c:pt>
                <c:pt idx="289">
                  <c:v>-223.66742835787022</c:v>
                </c:pt>
                <c:pt idx="290">
                  <c:v>-223.57939021534753</c:v>
                </c:pt>
                <c:pt idx="291">
                  <c:v>-223.48464918999926</c:v>
                </c:pt>
                <c:pt idx="292">
                  <c:v>-223.38291385360642</c:v>
                </c:pt>
                <c:pt idx="293">
                  <c:v>-223.27386606679619</c:v>
                </c:pt>
                <c:pt idx="294">
                  <c:v>-223.15715882079317</c:v>
                </c:pt>
                <c:pt idx="295">
                  <c:v>-223.03241381297599</c:v>
                </c:pt>
                <c:pt idx="296">
                  <c:v>-222.89921871564982</c:v>
                </c:pt>
                <c:pt idx="297">
                  <c:v>-222.7571241502306</c:v>
                </c:pt>
                <c:pt idx="298">
                  <c:v>-222.60564030351168</c:v>
                </c:pt>
                <c:pt idx="299">
                  <c:v>-222.4442331171719</c:v>
                </c:pt>
                <c:pt idx="300">
                  <c:v>-222.2723200268554</c:v>
                </c:pt>
                <c:pt idx="301">
                  <c:v>-222.08926519020409</c:v>
                </c:pt>
                <c:pt idx="302">
                  <c:v>-221.89437411118084</c:v>
                </c:pt>
                <c:pt idx="303">
                  <c:v>-221.68688757265306</c:v>
                </c:pt>
                <c:pt idx="304">
                  <c:v>-221.4659748337705</c:v>
                </c:pt>
                <c:pt idx="305">
                  <c:v>-221.23072589620315</c:v>
                </c:pt>
                <c:pt idx="306">
                  <c:v>-220.98014278567325</c:v>
                </c:pt>
                <c:pt idx="307">
                  <c:v>-220.71312964972677</c:v>
                </c:pt>
                <c:pt idx="308">
                  <c:v>-220.42848148899617</c:v>
                </c:pt>
                <c:pt idx="309">
                  <c:v>-220.12487134606221</c:v>
                </c:pt>
                <c:pt idx="310">
                  <c:v>-219.80083563818317</c:v>
                </c:pt>
                <c:pt idx="311">
                  <c:v>-219.46093844402043</c:v>
                </c:pt>
                <c:pt idx="312">
                  <c:v>-219.11722334724811</c:v>
                </c:pt>
                <c:pt idx="313">
                  <c:v>-218.34428000787517</c:v>
                </c:pt>
                <c:pt idx="314">
                  <c:v>-217.28260200460875</c:v>
                </c:pt>
                <c:pt idx="315">
                  <c:v>-216.23507248547813</c:v>
                </c:pt>
                <c:pt idx="316">
                  <c:v>-215.20013799665884</c:v>
                </c:pt>
                <c:pt idx="317">
                  <c:v>-214.17630346446768</c:v>
                </c:pt>
                <c:pt idx="318">
                  <c:v>-213.1621213884016</c:v>
                </c:pt>
                <c:pt idx="319">
                  <c:v>-212.15618155199917</c:v>
                </c:pt>
                <c:pt idx="320">
                  <c:v>-211.15710097238949</c:v>
                </c:pt>
                <c:pt idx="321">
                  <c:v>-210.16351402411058</c:v>
                </c:pt>
                <c:pt idx="322">
                  <c:v>-209.17406248383895</c:v>
                </c:pt>
                <c:pt idx="323">
                  <c:v>-208.18738530257647</c:v>
                </c:pt>
                <c:pt idx="324">
                  <c:v>-207.20210798577776</c:v>
                </c:pt>
                <c:pt idx="325">
                  <c:v>-206.21683121445074</c:v>
                </c:pt>
                <c:pt idx="326">
                  <c:v>-205.23011857833677</c:v>
                </c:pt>
                <c:pt idx="327">
                  <c:v>-204.24048299127054</c:v>
                </c:pt>
                <c:pt idx="328">
                  <c:v>-203.24637149725072</c:v>
                </c:pt>
                <c:pt idx="329">
                  <c:v>-202.24614794969673</c:v>
                </c:pt>
                <c:pt idx="330">
                  <c:v>-201.23807299726494</c:v>
                </c:pt>
                <c:pt idx="331">
                  <c:v>-200.22028066949693</c:v>
                </c:pt>
                <c:pt idx="332">
                  <c:v>-199.19075058711306</c:v>
                </c:pt>
                <c:pt idx="333">
                  <c:v>-198.14727465405917</c:v>
                </c:pt>
                <c:pt idx="334">
                  <c:v>-197.08741658251031</c:v>
                </c:pt>
                <c:pt idx="335">
                  <c:v>-196.00846224813964</c:v>
                </c:pt>
                <c:pt idx="336">
                  <c:v>-194.90735801221285</c:v>
                </c:pt>
                <c:pt idx="337">
                  <c:v>-193.78063331713716</c:v>
                </c:pt>
                <c:pt idx="338">
                  <c:v>-192.62430228203363</c:v>
                </c:pt>
                <c:pt idx="339">
                  <c:v>-191.43373720468151</c:v>
                </c:pt>
                <c:pt idx="340">
                  <c:v>-190.20350372144097</c:v>
                </c:pt>
                <c:pt idx="341">
                  <c:v>-188.92714309362285</c:v>
                </c:pt>
                <c:pt idx="342">
                  <c:v>-187.59688037710069</c:v>
                </c:pt>
                <c:pt idx="343">
                  <c:v>-184.45113739518729</c:v>
                </c:pt>
                <c:pt idx="344">
                  <c:v>-180.3159249647826</c:v>
                </c:pt>
                <c:pt idx="345">
                  <c:v>-176.06485600463225</c:v>
                </c:pt>
                <c:pt idx="346">
                  <c:v>-171.67940754750788</c:v>
                </c:pt>
                <c:pt idx="347">
                  <c:v>-167.13693281363345</c:v>
                </c:pt>
                <c:pt idx="348">
                  <c:v>-162.4090786117348</c:v>
                </c:pt>
                <c:pt idx="349">
                  <c:v>-157.45934547858343</c:v>
                </c:pt>
                <c:pt idx="350">
                  <c:v>-152.2391691390018</c:v>
                </c:pt>
                <c:pt idx="351">
                  <c:v>-146.68132074822</c:v>
                </c:pt>
                <c:pt idx="352">
                  <c:v>-139.67618490897144</c:v>
                </c:pt>
                <c:pt idx="353">
                  <c:v>-134.80104213355693</c:v>
                </c:pt>
                <c:pt idx="354">
                  <c:v>-126.39223752447731</c:v>
                </c:pt>
                <c:pt idx="355">
                  <c:v>-116.87933449714205</c:v>
                </c:pt>
                <c:pt idx="356">
                  <c:v>-105.47463510644845</c:v>
                </c:pt>
                <c:pt idx="357">
                  <c:v>-90.154221443562932</c:v>
                </c:pt>
                <c:pt idx="358">
                  <c:v>-63.856012490316459</c:v>
                </c:pt>
                <c:pt idx="359">
                  <c:v>15.46656974323701</c:v>
                </c:pt>
                <c:pt idx="360">
                  <c:v>146.23999999983778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4ED-4941-BD89-5FFD428C5440}"/>
            </c:ext>
          </c:extLst>
        </c:ser>
        <c:ser>
          <c:idx val="1"/>
          <c:order val="1"/>
          <c:tx>
            <c:v>result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7"/>
            <c:spPr>
              <a:noFill/>
              <a:ln w="15875">
                <a:solidFill>
                  <a:srgbClr val="FF0000"/>
                </a:solidFill>
              </a:ln>
              <a:effectLst/>
            </c:spPr>
          </c:marker>
          <c:xVal>
            <c:numRef>
              <c:f>L_Section_Capacity!$U$5</c:f>
              <c:numCache>
                <c:formatCode>0.000</c:formatCode>
                <c:ptCount val="1"/>
                <c:pt idx="0">
                  <c:v>13.958587850691302</c:v>
                </c:pt>
              </c:numCache>
            </c:numRef>
          </c:xVal>
          <c:yVal>
            <c:numRef>
              <c:f>L_Section_Capacity!$U$6</c:f>
              <c:numCache>
                <c:formatCode>0.000</c:formatCode>
                <c:ptCount val="1"/>
                <c:pt idx="0">
                  <c:v>-9.1392816021115179E-9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4ED-4941-BD89-5FFD428C5440}"/>
            </c:ext>
          </c:extLst>
        </c:ser>
        <c:ser>
          <c:idx val="2"/>
          <c:order val="2"/>
          <c:tx>
            <c:v>user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8"/>
            <c:spPr>
              <a:noFill/>
              <a:ln w="15875">
                <a:solidFill>
                  <a:srgbClr val="7030A0"/>
                </a:solidFill>
              </a:ln>
              <a:effectLst/>
            </c:spPr>
          </c:marker>
          <c:xVal>
            <c:numRef>
              <c:f>L_Section_Capacity!$U$11</c:f>
              <c:numCache>
                <c:formatCode>0.000</c:formatCode>
                <c:ptCount val="1"/>
                <c:pt idx="0">
                  <c:v>100</c:v>
                </c:pt>
              </c:numCache>
            </c:numRef>
          </c:xVal>
          <c:yVal>
            <c:numRef>
              <c:f>L_Section_Capacity!$U$12</c:f>
              <c:numCache>
                <c:formatCode>0.000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4ED-4941-BD89-5FFD428C5440}"/>
            </c:ext>
          </c:extLst>
        </c:ser>
        <c:ser>
          <c:idx val="3"/>
          <c:order val="3"/>
          <c:tx>
            <c:v>guess_center</c:v>
          </c:tx>
          <c:spPr>
            <a:ln w="19050" cap="rnd">
              <a:noFill/>
              <a:round/>
            </a:ln>
            <a:effectLst/>
          </c:spPr>
          <c:marker>
            <c:symbol val="x"/>
            <c:size val="7"/>
            <c:spPr>
              <a:noFill/>
              <a:ln w="9525">
                <a:solidFill>
                  <a:schemeClr val="accent2">
                    <a:lumMod val="75000"/>
                  </a:schemeClr>
                </a:solidFill>
              </a:ln>
              <a:effectLst/>
            </c:spPr>
          </c:marker>
          <c:xVal>
            <c:numRef>
              <c:f>L_Section_Capacity!$B$132</c:f>
              <c:numCache>
                <c:formatCode>General</c:formatCode>
                <c:ptCount val="1"/>
                <c:pt idx="0">
                  <c:v>-66.915756597848031</c:v>
                </c:pt>
              </c:numCache>
            </c:numRef>
          </c:xVal>
          <c:yVal>
            <c:numRef>
              <c:f>L_Section_Capacity!$B$133</c:f>
              <c:numCache>
                <c:formatCode>General</c:formatCode>
                <c:ptCount val="1"/>
                <c:pt idx="0">
                  <c:v>147.91904090050642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8E9-4F4C-9CBB-68A73CE288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2780847"/>
        <c:axId val="186769247"/>
      </c:scatterChart>
      <c:valAx>
        <c:axId val="3127808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769247"/>
        <c:crosses val="autoZero"/>
        <c:crossBetween val="midCat"/>
      </c:valAx>
      <c:valAx>
        <c:axId val="1867692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278084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alphavstan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L_Section_Capacity!$AS$2:$AS$362</c:f>
              <c:numCache>
                <c:formatCode>General</c:formatCode>
                <c:ptCount val="361"/>
                <c:pt idx="0">
                  <c:v>0</c:v>
                </c:pt>
                <c:pt idx="1">
                  <c:v>1.7453292519943295E-2</c:v>
                </c:pt>
                <c:pt idx="2">
                  <c:v>3.4906585039886591E-2</c:v>
                </c:pt>
                <c:pt idx="3">
                  <c:v>5.235987755982989E-2</c:v>
                </c:pt>
                <c:pt idx="4">
                  <c:v>6.9813170079773182E-2</c:v>
                </c:pt>
                <c:pt idx="5">
                  <c:v>8.7266462599716474E-2</c:v>
                </c:pt>
                <c:pt idx="6">
                  <c:v>0.10471975511965977</c:v>
                </c:pt>
                <c:pt idx="7">
                  <c:v>0.12217304763960306</c:v>
                </c:pt>
                <c:pt idx="8">
                  <c:v>0.13962634015954636</c:v>
                </c:pt>
                <c:pt idx="9">
                  <c:v>0.15707963267948966</c:v>
                </c:pt>
                <c:pt idx="10">
                  <c:v>0.17453292519943295</c:v>
                </c:pt>
                <c:pt idx="11">
                  <c:v>0.19198621771937624</c:v>
                </c:pt>
                <c:pt idx="12">
                  <c:v>0.20943951023931953</c:v>
                </c:pt>
                <c:pt idx="13">
                  <c:v>0.22689280275926282</c:v>
                </c:pt>
                <c:pt idx="14">
                  <c:v>0.24434609527920612</c:v>
                </c:pt>
                <c:pt idx="15">
                  <c:v>0.26179938779914941</c:v>
                </c:pt>
                <c:pt idx="16">
                  <c:v>0.27925268031909273</c:v>
                </c:pt>
                <c:pt idx="17">
                  <c:v>0.29670597283903605</c:v>
                </c:pt>
                <c:pt idx="18">
                  <c:v>0.31415926535897937</c:v>
                </c:pt>
                <c:pt idx="19">
                  <c:v>0.33161255787892269</c:v>
                </c:pt>
                <c:pt idx="20">
                  <c:v>0.34906585039886601</c:v>
                </c:pt>
                <c:pt idx="21">
                  <c:v>0.36651914291880933</c:v>
                </c:pt>
                <c:pt idx="22">
                  <c:v>0.38397243543875265</c:v>
                </c:pt>
                <c:pt idx="23">
                  <c:v>0.40142572795869597</c:v>
                </c:pt>
                <c:pt idx="24">
                  <c:v>0.41887902047863929</c:v>
                </c:pt>
                <c:pt idx="25">
                  <c:v>0.43633231299858261</c:v>
                </c:pt>
                <c:pt idx="26">
                  <c:v>0.45378560551852593</c:v>
                </c:pt>
                <c:pt idx="27">
                  <c:v>0.47123889803846924</c:v>
                </c:pt>
                <c:pt idx="28">
                  <c:v>0.48869219055841256</c:v>
                </c:pt>
                <c:pt idx="29">
                  <c:v>0.50614548307835583</c:v>
                </c:pt>
                <c:pt idx="30">
                  <c:v>0.52359877559829915</c:v>
                </c:pt>
                <c:pt idx="31">
                  <c:v>0.54105206811824247</c:v>
                </c:pt>
                <c:pt idx="32">
                  <c:v>0.55850536063818579</c:v>
                </c:pt>
                <c:pt idx="33">
                  <c:v>0.57595865315812911</c:v>
                </c:pt>
                <c:pt idx="34">
                  <c:v>0.59341194567807243</c:v>
                </c:pt>
                <c:pt idx="35">
                  <c:v>0.61086523819801575</c:v>
                </c:pt>
                <c:pt idx="36">
                  <c:v>0.62831853071795907</c:v>
                </c:pt>
                <c:pt idx="37">
                  <c:v>0.64577182323790239</c:v>
                </c:pt>
                <c:pt idx="38">
                  <c:v>0.66322511575784571</c:v>
                </c:pt>
                <c:pt idx="39">
                  <c:v>0.68067840827778903</c:v>
                </c:pt>
                <c:pt idx="40">
                  <c:v>0.69813170079773235</c:v>
                </c:pt>
                <c:pt idx="41">
                  <c:v>0.71558499331767567</c:v>
                </c:pt>
                <c:pt idx="42">
                  <c:v>0.73303828583761899</c:v>
                </c:pt>
                <c:pt idx="43">
                  <c:v>0.75049157835756231</c:v>
                </c:pt>
                <c:pt idx="44">
                  <c:v>0.76794487087750563</c:v>
                </c:pt>
                <c:pt idx="45">
                  <c:v>0.78539816339744895</c:v>
                </c:pt>
                <c:pt idx="46">
                  <c:v>0.80285145591739226</c:v>
                </c:pt>
                <c:pt idx="47">
                  <c:v>0.82030474843733558</c:v>
                </c:pt>
                <c:pt idx="48">
                  <c:v>0.8377580409572789</c:v>
                </c:pt>
                <c:pt idx="49">
                  <c:v>0.85521133347722222</c:v>
                </c:pt>
                <c:pt idx="50">
                  <c:v>0.87266462599716554</c:v>
                </c:pt>
                <c:pt idx="51">
                  <c:v>0.89011791851710886</c:v>
                </c:pt>
                <c:pt idx="52">
                  <c:v>0.90757121103705218</c:v>
                </c:pt>
                <c:pt idx="53">
                  <c:v>0.9250245035569955</c:v>
                </c:pt>
                <c:pt idx="54">
                  <c:v>0.94247779607693882</c:v>
                </c:pt>
                <c:pt idx="55">
                  <c:v>0.95993108859688214</c:v>
                </c:pt>
                <c:pt idx="56">
                  <c:v>0.97738438111682546</c:v>
                </c:pt>
                <c:pt idx="57">
                  <c:v>0.99483767363676878</c:v>
                </c:pt>
                <c:pt idx="58">
                  <c:v>1.0122909661567121</c:v>
                </c:pt>
                <c:pt idx="59">
                  <c:v>1.0297442586766554</c:v>
                </c:pt>
                <c:pt idx="60">
                  <c:v>1.0471975511965987</c:v>
                </c:pt>
                <c:pt idx="61">
                  <c:v>1.0646508437165421</c:v>
                </c:pt>
                <c:pt idx="62">
                  <c:v>1.0821041362364854</c:v>
                </c:pt>
                <c:pt idx="63">
                  <c:v>1.0995574287564287</c:v>
                </c:pt>
                <c:pt idx="64">
                  <c:v>1.117010721276372</c:v>
                </c:pt>
                <c:pt idx="65">
                  <c:v>1.1344640137963153</c:v>
                </c:pt>
                <c:pt idx="66">
                  <c:v>1.1519173063162587</c:v>
                </c:pt>
                <c:pt idx="67">
                  <c:v>1.169370598836202</c:v>
                </c:pt>
                <c:pt idx="68">
                  <c:v>1.1868238913561453</c:v>
                </c:pt>
                <c:pt idx="69">
                  <c:v>1.2042771838760886</c:v>
                </c:pt>
                <c:pt idx="70">
                  <c:v>1.2217304763960319</c:v>
                </c:pt>
                <c:pt idx="71">
                  <c:v>1.2391837689159753</c:v>
                </c:pt>
                <c:pt idx="72">
                  <c:v>1.2566370614359186</c:v>
                </c:pt>
                <c:pt idx="73">
                  <c:v>1.2740903539558619</c:v>
                </c:pt>
                <c:pt idx="74">
                  <c:v>1.2915436464758052</c:v>
                </c:pt>
                <c:pt idx="75">
                  <c:v>1.3089969389957485</c:v>
                </c:pt>
                <c:pt idx="76">
                  <c:v>1.3264502315156919</c:v>
                </c:pt>
                <c:pt idx="77">
                  <c:v>1.3439035240356352</c:v>
                </c:pt>
                <c:pt idx="78">
                  <c:v>1.3613568165555785</c:v>
                </c:pt>
                <c:pt idx="79">
                  <c:v>1.3788101090755218</c:v>
                </c:pt>
                <c:pt idx="80">
                  <c:v>1.3962634015954651</c:v>
                </c:pt>
                <c:pt idx="81">
                  <c:v>1.4137166941154085</c:v>
                </c:pt>
                <c:pt idx="82">
                  <c:v>1.4311699866353518</c:v>
                </c:pt>
                <c:pt idx="83">
                  <c:v>1.4486232791552951</c:v>
                </c:pt>
                <c:pt idx="84">
                  <c:v>1.4660765716752384</c:v>
                </c:pt>
                <c:pt idx="85">
                  <c:v>1.4835298641951817</c:v>
                </c:pt>
                <c:pt idx="86">
                  <c:v>1.5009831567151251</c:v>
                </c:pt>
                <c:pt idx="87">
                  <c:v>1.5184364492350684</c:v>
                </c:pt>
                <c:pt idx="88">
                  <c:v>1.5358897417550117</c:v>
                </c:pt>
                <c:pt idx="89">
                  <c:v>1.553343034274955</c:v>
                </c:pt>
                <c:pt idx="90">
                  <c:v>1.5707963267948983</c:v>
                </c:pt>
                <c:pt idx="91">
                  <c:v>1.5882496193148417</c:v>
                </c:pt>
                <c:pt idx="92">
                  <c:v>1.605702911834785</c:v>
                </c:pt>
                <c:pt idx="93">
                  <c:v>1.6231562043547283</c:v>
                </c:pt>
                <c:pt idx="94">
                  <c:v>1.6406094968746716</c:v>
                </c:pt>
                <c:pt idx="95">
                  <c:v>1.6580627893946149</c:v>
                </c:pt>
                <c:pt idx="96">
                  <c:v>1.6755160819145583</c:v>
                </c:pt>
                <c:pt idx="97">
                  <c:v>1.6929693744345016</c:v>
                </c:pt>
                <c:pt idx="98">
                  <c:v>1.7104226669544449</c:v>
                </c:pt>
                <c:pt idx="99">
                  <c:v>1.7278759594743882</c:v>
                </c:pt>
                <c:pt idx="100">
                  <c:v>1.7453292519943315</c:v>
                </c:pt>
                <c:pt idx="101">
                  <c:v>1.7627825445142749</c:v>
                </c:pt>
                <c:pt idx="102">
                  <c:v>1.7802358370342182</c:v>
                </c:pt>
                <c:pt idx="103">
                  <c:v>1.7976891295541615</c:v>
                </c:pt>
                <c:pt idx="104">
                  <c:v>1.8151424220741048</c:v>
                </c:pt>
                <c:pt idx="105">
                  <c:v>1.8325957145940481</c:v>
                </c:pt>
                <c:pt idx="106">
                  <c:v>1.8500490071139915</c:v>
                </c:pt>
                <c:pt idx="107">
                  <c:v>1.8675022996339348</c:v>
                </c:pt>
                <c:pt idx="108">
                  <c:v>1.8849555921538781</c:v>
                </c:pt>
                <c:pt idx="109">
                  <c:v>1.9024088846738214</c:v>
                </c:pt>
                <c:pt idx="110">
                  <c:v>1.9198621771937647</c:v>
                </c:pt>
                <c:pt idx="111">
                  <c:v>1.937315469713708</c:v>
                </c:pt>
                <c:pt idx="112">
                  <c:v>1.9547687622336514</c:v>
                </c:pt>
                <c:pt idx="113">
                  <c:v>1.9722220547535947</c:v>
                </c:pt>
                <c:pt idx="114">
                  <c:v>1.989675347273538</c:v>
                </c:pt>
                <c:pt idx="115">
                  <c:v>2.0071286397934811</c:v>
                </c:pt>
                <c:pt idx="116">
                  <c:v>2.0245819323134242</c:v>
                </c:pt>
                <c:pt idx="117">
                  <c:v>2.0420352248333673</c:v>
                </c:pt>
                <c:pt idx="118">
                  <c:v>2.0594885173533104</c:v>
                </c:pt>
                <c:pt idx="119">
                  <c:v>2.0769418098732535</c:v>
                </c:pt>
                <c:pt idx="120">
                  <c:v>2.0943951023931966</c:v>
                </c:pt>
                <c:pt idx="121">
                  <c:v>2.1118483949131397</c:v>
                </c:pt>
                <c:pt idx="122">
                  <c:v>2.1293016874330828</c:v>
                </c:pt>
                <c:pt idx="123">
                  <c:v>2.1467549799530259</c:v>
                </c:pt>
                <c:pt idx="124">
                  <c:v>2.164208272472969</c:v>
                </c:pt>
                <c:pt idx="125">
                  <c:v>2.1816615649929121</c:v>
                </c:pt>
                <c:pt idx="126">
                  <c:v>2.1991148575128552</c:v>
                </c:pt>
                <c:pt idx="127">
                  <c:v>2.2165681500327983</c:v>
                </c:pt>
                <c:pt idx="128">
                  <c:v>2.2340214425527414</c:v>
                </c:pt>
                <c:pt idx="129">
                  <c:v>2.2514747350726845</c:v>
                </c:pt>
                <c:pt idx="130">
                  <c:v>2.2689280275926276</c:v>
                </c:pt>
                <c:pt idx="131">
                  <c:v>2.2863813201125707</c:v>
                </c:pt>
                <c:pt idx="132">
                  <c:v>2.3038346126325138</c:v>
                </c:pt>
                <c:pt idx="133">
                  <c:v>2.3212879051524569</c:v>
                </c:pt>
                <c:pt idx="134">
                  <c:v>2.3387411976724</c:v>
                </c:pt>
                <c:pt idx="135">
                  <c:v>2.3561944901923431</c:v>
                </c:pt>
                <c:pt idx="136">
                  <c:v>2.3736477827122862</c:v>
                </c:pt>
                <c:pt idx="137">
                  <c:v>2.3911010752322293</c:v>
                </c:pt>
                <c:pt idx="138">
                  <c:v>2.4085543677521724</c:v>
                </c:pt>
                <c:pt idx="139">
                  <c:v>2.4260076602721155</c:v>
                </c:pt>
                <c:pt idx="140">
                  <c:v>2.4434609527920585</c:v>
                </c:pt>
                <c:pt idx="141">
                  <c:v>2.4609142453120016</c:v>
                </c:pt>
                <c:pt idx="142">
                  <c:v>2.4783675378319447</c:v>
                </c:pt>
                <c:pt idx="143">
                  <c:v>2.4958208303518878</c:v>
                </c:pt>
                <c:pt idx="144">
                  <c:v>2.5132741228718309</c:v>
                </c:pt>
                <c:pt idx="145">
                  <c:v>2.530727415391774</c:v>
                </c:pt>
                <c:pt idx="146">
                  <c:v>2.5481807079117171</c:v>
                </c:pt>
                <c:pt idx="147">
                  <c:v>2.5656340004316602</c:v>
                </c:pt>
                <c:pt idx="148">
                  <c:v>2.5830872929516033</c:v>
                </c:pt>
                <c:pt idx="149">
                  <c:v>2.6005405854715464</c:v>
                </c:pt>
                <c:pt idx="150">
                  <c:v>2.6179938779914895</c:v>
                </c:pt>
                <c:pt idx="151">
                  <c:v>2.6354471705114326</c:v>
                </c:pt>
                <c:pt idx="152">
                  <c:v>2.6529004630313757</c:v>
                </c:pt>
                <c:pt idx="153">
                  <c:v>2.6703537555513188</c:v>
                </c:pt>
                <c:pt idx="154">
                  <c:v>2.6878070480712619</c:v>
                </c:pt>
                <c:pt idx="155">
                  <c:v>2.705260340591205</c:v>
                </c:pt>
                <c:pt idx="156">
                  <c:v>2.7227136331111481</c:v>
                </c:pt>
                <c:pt idx="157">
                  <c:v>2.7401669256310912</c:v>
                </c:pt>
                <c:pt idx="158">
                  <c:v>2.7576202181510343</c:v>
                </c:pt>
                <c:pt idx="159">
                  <c:v>2.7750735106709774</c:v>
                </c:pt>
                <c:pt idx="160">
                  <c:v>2.7925268031909205</c:v>
                </c:pt>
                <c:pt idx="161">
                  <c:v>2.8099800957108636</c:v>
                </c:pt>
                <c:pt idx="162">
                  <c:v>2.8274333882308067</c:v>
                </c:pt>
                <c:pt idx="163">
                  <c:v>2.8448866807507498</c:v>
                </c:pt>
                <c:pt idx="164">
                  <c:v>2.8623399732706929</c:v>
                </c:pt>
                <c:pt idx="165">
                  <c:v>2.879793265790636</c:v>
                </c:pt>
                <c:pt idx="166">
                  <c:v>2.8972465583105791</c:v>
                </c:pt>
                <c:pt idx="167">
                  <c:v>2.9146998508305222</c:v>
                </c:pt>
                <c:pt idx="168">
                  <c:v>2.9321531433504653</c:v>
                </c:pt>
                <c:pt idx="169">
                  <c:v>2.9496064358704084</c:v>
                </c:pt>
                <c:pt idx="170">
                  <c:v>2.9670597283903515</c:v>
                </c:pt>
                <c:pt idx="171">
                  <c:v>2.9845130209102946</c:v>
                </c:pt>
                <c:pt idx="172">
                  <c:v>3.0019663134302377</c:v>
                </c:pt>
                <c:pt idx="173">
                  <c:v>3.0194196059501808</c:v>
                </c:pt>
                <c:pt idx="174">
                  <c:v>3.0368728984701239</c:v>
                </c:pt>
                <c:pt idx="175">
                  <c:v>3.054326190990067</c:v>
                </c:pt>
                <c:pt idx="176">
                  <c:v>3.0717794835100101</c:v>
                </c:pt>
                <c:pt idx="177">
                  <c:v>3.0892327760299532</c:v>
                </c:pt>
                <c:pt idx="178">
                  <c:v>3.1066860685498963</c:v>
                </c:pt>
                <c:pt idx="179">
                  <c:v>3.1241393610698394</c:v>
                </c:pt>
                <c:pt idx="180">
                  <c:v>3.1415926535897825</c:v>
                </c:pt>
                <c:pt idx="181">
                  <c:v>3.1590459461097256</c:v>
                </c:pt>
                <c:pt idx="182">
                  <c:v>3.1764992386296687</c:v>
                </c:pt>
                <c:pt idx="183">
                  <c:v>3.1939525311496118</c:v>
                </c:pt>
                <c:pt idx="184">
                  <c:v>3.2114058236695548</c:v>
                </c:pt>
                <c:pt idx="185">
                  <c:v>3.2288591161894979</c:v>
                </c:pt>
                <c:pt idx="186">
                  <c:v>3.246312408709441</c:v>
                </c:pt>
                <c:pt idx="187">
                  <c:v>3.2637657012293841</c:v>
                </c:pt>
                <c:pt idx="188">
                  <c:v>3.2812189937493272</c:v>
                </c:pt>
                <c:pt idx="189">
                  <c:v>3.2986722862692703</c:v>
                </c:pt>
                <c:pt idx="190">
                  <c:v>3.3161255787892134</c:v>
                </c:pt>
                <c:pt idx="191">
                  <c:v>3.3335788713091565</c:v>
                </c:pt>
                <c:pt idx="192">
                  <c:v>3.3510321638290996</c:v>
                </c:pt>
                <c:pt idx="193">
                  <c:v>3.3684854563490427</c:v>
                </c:pt>
                <c:pt idx="194">
                  <c:v>3.3859387488689858</c:v>
                </c:pt>
                <c:pt idx="195">
                  <c:v>3.4033920413889289</c:v>
                </c:pt>
                <c:pt idx="196">
                  <c:v>3.420845333908872</c:v>
                </c:pt>
                <c:pt idx="197">
                  <c:v>3.4382986264288151</c:v>
                </c:pt>
                <c:pt idx="198">
                  <c:v>3.4557519189487582</c:v>
                </c:pt>
                <c:pt idx="199">
                  <c:v>3.4732052114687013</c:v>
                </c:pt>
                <c:pt idx="200">
                  <c:v>3.4906585039886444</c:v>
                </c:pt>
                <c:pt idx="201">
                  <c:v>3.5081117965085875</c:v>
                </c:pt>
                <c:pt idx="202">
                  <c:v>3.5255650890285306</c:v>
                </c:pt>
                <c:pt idx="203">
                  <c:v>3.5430183815484737</c:v>
                </c:pt>
                <c:pt idx="204">
                  <c:v>3.5604716740684168</c:v>
                </c:pt>
                <c:pt idx="205">
                  <c:v>3.5779249665883599</c:v>
                </c:pt>
                <c:pt idx="206">
                  <c:v>3.595378259108303</c:v>
                </c:pt>
                <c:pt idx="207">
                  <c:v>3.6128315516282461</c:v>
                </c:pt>
                <c:pt idx="208">
                  <c:v>3.6302848441481892</c:v>
                </c:pt>
                <c:pt idx="209">
                  <c:v>3.6477381366681323</c:v>
                </c:pt>
                <c:pt idx="210">
                  <c:v>3.6651914291880754</c:v>
                </c:pt>
                <c:pt idx="211">
                  <c:v>3.6826447217080185</c:v>
                </c:pt>
                <c:pt idx="212">
                  <c:v>3.7000980142279616</c:v>
                </c:pt>
                <c:pt idx="213">
                  <c:v>3.7175513067479047</c:v>
                </c:pt>
                <c:pt idx="214">
                  <c:v>3.7350045992678478</c:v>
                </c:pt>
                <c:pt idx="215">
                  <c:v>3.7524578917877909</c:v>
                </c:pt>
                <c:pt idx="216">
                  <c:v>3.769911184307734</c:v>
                </c:pt>
                <c:pt idx="217">
                  <c:v>3.7873644768276771</c:v>
                </c:pt>
                <c:pt idx="218">
                  <c:v>3.8048177693476202</c:v>
                </c:pt>
                <c:pt idx="219">
                  <c:v>3.8222710618675633</c:v>
                </c:pt>
                <c:pt idx="220">
                  <c:v>3.8397243543875064</c:v>
                </c:pt>
                <c:pt idx="221">
                  <c:v>3.8571776469074495</c:v>
                </c:pt>
                <c:pt idx="222">
                  <c:v>3.8746309394273926</c:v>
                </c:pt>
                <c:pt idx="223">
                  <c:v>3.8920842319473357</c:v>
                </c:pt>
                <c:pt idx="224">
                  <c:v>3.9095375244672788</c:v>
                </c:pt>
                <c:pt idx="225">
                  <c:v>3.9269908169872219</c:v>
                </c:pt>
                <c:pt idx="226">
                  <c:v>3.944444109507165</c:v>
                </c:pt>
                <c:pt idx="227">
                  <c:v>3.9618974020271081</c:v>
                </c:pt>
                <c:pt idx="228">
                  <c:v>3.9793506945470511</c:v>
                </c:pt>
                <c:pt idx="229">
                  <c:v>3.9968039870669942</c:v>
                </c:pt>
                <c:pt idx="230">
                  <c:v>4.0142572795869373</c:v>
                </c:pt>
                <c:pt idx="231">
                  <c:v>4.0317105721068804</c:v>
                </c:pt>
                <c:pt idx="232">
                  <c:v>4.0491638646268235</c:v>
                </c:pt>
                <c:pt idx="233">
                  <c:v>4.0666171571467666</c:v>
                </c:pt>
                <c:pt idx="234">
                  <c:v>4.0840704496667097</c:v>
                </c:pt>
                <c:pt idx="235">
                  <c:v>4.1015237421866528</c:v>
                </c:pt>
                <c:pt idx="236">
                  <c:v>4.1189770347065959</c:v>
                </c:pt>
                <c:pt idx="237">
                  <c:v>4.136430327226539</c:v>
                </c:pt>
                <c:pt idx="238">
                  <c:v>4.1538836197464821</c:v>
                </c:pt>
                <c:pt idx="239">
                  <c:v>4.1713369122664252</c:v>
                </c:pt>
                <c:pt idx="240">
                  <c:v>4.1887902047863683</c:v>
                </c:pt>
                <c:pt idx="241">
                  <c:v>4.2062434973063114</c:v>
                </c:pt>
                <c:pt idx="242">
                  <c:v>4.2236967898262545</c:v>
                </c:pt>
                <c:pt idx="243">
                  <c:v>4.2411500823461976</c:v>
                </c:pt>
                <c:pt idx="244">
                  <c:v>4.2586033748661407</c:v>
                </c:pt>
                <c:pt idx="245">
                  <c:v>4.2760566673860838</c:v>
                </c:pt>
                <c:pt idx="246">
                  <c:v>4.2935099599060269</c:v>
                </c:pt>
                <c:pt idx="247">
                  <c:v>4.31096325242597</c:v>
                </c:pt>
                <c:pt idx="248">
                  <c:v>4.3284165449459131</c:v>
                </c:pt>
                <c:pt idx="249">
                  <c:v>4.3458698374658562</c:v>
                </c:pt>
                <c:pt idx="250">
                  <c:v>4.3633231299857993</c:v>
                </c:pt>
                <c:pt idx="251">
                  <c:v>4.3807764225057424</c:v>
                </c:pt>
                <c:pt idx="252">
                  <c:v>4.3982297150256855</c:v>
                </c:pt>
                <c:pt idx="253">
                  <c:v>4.4156830075456286</c:v>
                </c:pt>
                <c:pt idx="254">
                  <c:v>4.4331363000655717</c:v>
                </c:pt>
                <c:pt idx="255">
                  <c:v>4.4505895925855148</c:v>
                </c:pt>
                <c:pt idx="256">
                  <c:v>4.4680428851054579</c:v>
                </c:pt>
                <c:pt idx="257">
                  <c:v>4.485496177625401</c:v>
                </c:pt>
                <c:pt idx="258">
                  <c:v>4.5029494701453441</c:v>
                </c:pt>
                <c:pt idx="259">
                  <c:v>4.5204027626652872</c:v>
                </c:pt>
                <c:pt idx="260">
                  <c:v>4.5378560551852303</c:v>
                </c:pt>
                <c:pt idx="261">
                  <c:v>4.5553093477051734</c:v>
                </c:pt>
                <c:pt idx="262">
                  <c:v>4.5727626402251165</c:v>
                </c:pt>
                <c:pt idx="263">
                  <c:v>4.5902159327450596</c:v>
                </c:pt>
                <c:pt idx="264">
                  <c:v>4.6076692252650027</c:v>
                </c:pt>
                <c:pt idx="265">
                  <c:v>4.6251225177849458</c:v>
                </c:pt>
                <c:pt idx="266">
                  <c:v>4.6425758103048889</c:v>
                </c:pt>
                <c:pt idx="267">
                  <c:v>4.660029102824832</c:v>
                </c:pt>
                <c:pt idx="268">
                  <c:v>4.6774823953447751</c:v>
                </c:pt>
                <c:pt idx="269">
                  <c:v>4.6949356878647182</c:v>
                </c:pt>
                <c:pt idx="270">
                  <c:v>4.7123889803846613</c:v>
                </c:pt>
                <c:pt idx="271">
                  <c:v>4.7298422729046044</c:v>
                </c:pt>
                <c:pt idx="272">
                  <c:v>4.7472955654245474</c:v>
                </c:pt>
                <c:pt idx="273">
                  <c:v>4.7647488579444905</c:v>
                </c:pt>
                <c:pt idx="274">
                  <c:v>4.7822021504644336</c:v>
                </c:pt>
                <c:pt idx="275">
                  <c:v>4.7996554429843767</c:v>
                </c:pt>
                <c:pt idx="276">
                  <c:v>4.8171087355043198</c:v>
                </c:pt>
                <c:pt idx="277">
                  <c:v>4.8345620280242629</c:v>
                </c:pt>
                <c:pt idx="278">
                  <c:v>4.852015320544206</c:v>
                </c:pt>
                <c:pt idx="279">
                  <c:v>4.8694686130641491</c:v>
                </c:pt>
                <c:pt idx="280">
                  <c:v>4.8869219055840922</c:v>
                </c:pt>
                <c:pt idx="281">
                  <c:v>4.9043751981040353</c:v>
                </c:pt>
                <c:pt idx="282">
                  <c:v>4.9218284906239784</c:v>
                </c:pt>
                <c:pt idx="283">
                  <c:v>4.9392817831439215</c:v>
                </c:pt>
                <c:pt idx="284">
                  <c:v>4.9567350756638646</c:v>
                </c:pt>
                <c:pt idx="285">
                  <c:v>4.9741883681838077</c:v>
                </c:pt>
                <c:pt idx="286">
                  <c:v>4.9916416607037508</c:v>
                </c:pt>
                <c:pt idx="287">
                  <c:v>5.0090949532236939</c:v>
                </c:pt>
                <c:pt idx="288">
                  <c:v>5.026548245743637</c:v>
                </c:pt>
                <c:pt idx="289">
                  <c:v>5.0440015382635801</c:v>
                </c:pt>
                <c:pt idx="290">
                  <c:v>5.0614548307835232</c:v>
                </c:pt>
                <c:pt idx="291">
                  <c:v>5.0789081233034663</c:v>
                </c:pt>
                <c:pt idx="292">
                  <c:v>5.0963614158234094</c:v>
                </c:pt>
                <c:pt idx="293">
                  <c:v>5.1138147083433525</c:v>
                </c:pt>
                <c:pt idx="294">
                  <c:v>5.1312680008632956</c:v>
                </c:pt>
                <c:pt idx="295">
                  <c:v>5.1487212933832387</c:v>
                </c:pt>
                <c:pt idx="296">
                  <c:v>5.1661745859031818</c:v>
                </c:pt>
                <c:pt idx="297">
                  <c:v>5.1836278784231249</c:v>
                </c:pt>
                <c:pt idx="298">
                  <c:v>5.201081170943068</c:v>
                </c:pt>
                <c:pt idx="299">
                  <c:v>5.2185344634630111</c:v>
                </c:pt>
                <c:pt idx="300">
                  <c:v>5.2359877559829542</c:v>
                </c:pt>
                <c:pt idx="301">
                  <c:v>5.2534410485028973</c:v>
                </c:pt>
                <c:pt idx="302">
                  <c:v>5.2708943410228404</c:v>
                </c:pt>
                <c:pt idx="303">
                  <c:v>5.2883476335427835</c:v>
                </c:pt>
                <c:pt idx="304">
                  <c:v>5.3058009260627266</c:v>
                </c:pt>
                <c:pt idx="305">
                  <c:v>5.3232542185826697</c:v>
                </c:pt>
                <c:pt idx="306">
                  <c:v>5.3407075111026128</c:v>
                </c:pt>
                <c:pt idx="307">
                  <c:v>5.3581608036225559</c:v>
                </c:pt>
                <c:pt idx="308">
                  <c:v>5.375614096142499</c:v>
                </c:pt>
                <c:pt idx="309">
                  <c:v>5.3930673886624421</c:v>
                </c:pt>
                <c:pt idx="310">
                  <c:v>5.4105206811823852</c:v>
                </c:pt>
                <c:pt idx="311">
                  <c:v>5.4279739737023283</c:v>
                </c:pt>
                <c:pt idx="312">
                  <c:v>5.4454272662222714</c:v>
                </c:pt>
                <c:pt idx="313">
                  <c:v>5.4628805587422145</c:v>
                </c:pt>
                <c:pt idx="314">
                  <c:v>5.4803338512621576</c:v>
                </c:pt>
                <c:pt idx="315">
                  <c:v>5.4977871437821006</c:v>
                </c:pt>
                <c:pt idx="316">
                  <c:v>5.5152404363020437</c:v>
                </c:pt>
                <c:pt idx="317">
                  <c:v>5.5326937288219868</c:v>
                </c:pt>
                <c:pt idx="318">
                  <c:v>5.5501470213419299</c:v>
                </c:pt>
                <c:pt idx="319">
                  <c:v>5.567600313861873</c:v>
                </c:pt>
                <c:pt idx="320">
                  <c:v>5.5850536063818161</c:v>
                </c:pt>
                <c:pt idx="321">
                  <c:v>5.6025068989017592</c:v>
                </c:pt>
                <c:pt idx="322">
                  <c:v>5.6199601914217023</c:v>
                </c:pt>
                <c:pt idx="323">
                  <c:v>5.6374134839416454</c:v>
                </c:pt>
                <c:pt idx="324">
                  <c:v>5.6548667764615885</c:v>
                </c:pt>
                <c:pt idx="325">
                  <c:v>5.6723200689815316</c:v>
                </c:pt>
                <c:pt idx="326">
                  <c:v>5.6897733615014747</c:v>
                </c:pt>
                <c:pt idx="327">
                  <c:v>5.7072266540214178</c:v>
                </c:pt>
                <c:pt idx="328">
                  <c:v>5.7246799465413609</c:v>
                </c:pt>
                <c:pt idx="329">
                  <c:v>5.742133239061304</c:v>
                </c:pt>
                <c:pt idx="330">
                  <c:v>5.7595865315812471</c:v>
                </c:pt>
                <c:pt idx="331">
                  <c:v>5.7770398241011902</c:v>
                </c:pt>
                <c:pt idx="332">
                  <c:v>5.7944931166211333</c:v>
                </c:pt>
                <c:pt idx="333">
                  <c:v>5.8119464091410764</c:v>
                </c:pt>
                <c:pt idx="334">
                  <c:v>5.8293997016610195</c:v>
                </c:pt>
                <c:pt idx="335">
                  <c:v>5.8468529941809626</c:v>
                </c:pt>
                <c:pt idx="336">
                  <c:v>5.8643062867009057</c:v>
                </c:pt>
                <c:pt idx="337">
                  <c:v>5.8817595792208488</c:v>
                </c:pt>
                <c:pt idx="338">
                  <c:v>5.8992128717407919</c:v>
                </c:pt>
                <c:pt idx="339">
                  <c:v>5.916666164260735</c:v>
                </c:pt>
                <c:pt idx="340">
                  <c:v>5.9341194567806781</c:v>
                </c:pt>
                <c:pt idx="341">
                  <c:v>5.9515727493006212</c:v>
                </c:pt>
                <c:pt idx="342">
                  <c:v>5.9690260418205643</c:v>
                </c:pt>
                <c:pt idx="343">
                  <c:v>5.9864793343405074</c:v>
                </c:pt>
                <c:pt idx="344">
                  <c:v>6.0039326268604505</c:v>
                </c:pt>
                <c:pt idx="345">
                  <c:v>6.0213859193803936</c:v>
                </c:pt>
                <c:pt idx="346">
                  <c:v>6.0388392119003367</c:v>
                </c:pt>
                <c:pt idx="347">
                  <c:v>6.0562925044202798</c:v>
                </c:pt>
                <c:pt idx="348">
                  <c:v>6.0737457969402229</c:v>
                </c:pt>
                <c:pt idx="349">
                  <c:v>6.091199089460166</c:v>
                </c:pt>
                <c:pt idx="350">
                  <c:v>6.1086523819801091</c:v>
                </c:pt>
                <c:pt idx="351">
                  <c:v>6.1261056745000522</c:v>
                </c:pt>
                <c:pt idx="352">
                  <c:v>6.1435589670199953</c:v>
                </c:pt>
                <c:pt idx="353">
                  <c:v>6.1610122595399384</c:v>
                </c:pt>
                <c:pt idx="354">
                  <c:v>6.1784655520598815</c:v>
                </c:pt>
                <c:pt idx="355">
                  <c:v>6.1959188445798246</c:v>
                </c:pt>
                <c:pt idx="356">
                  <c:v>6.2133721370997677</c:v>
                </c:pt>
                <c:pt idx="357">
                  <c:v>6.2308254296197108</c:v>
                </c:pt>
                <c:pt idx="358">
                  <c:v>6.2482787221396539</c:v>
                </c:pt>
                <c:pt idx="359">
                  <c:v>6.2657320146595969</c:v>
                </c:pt>
                <c:pt idx="360">
                  <c:v>6.28318530717954</c:v>
                </c:pt>
              </c:numCache>
            </c:numRef>
          </c:xVal>
          <c:yVal>
            <c:numRef>
              <c:f>L_Section_Capacity!$AV$2:$AV$362</c:f>
              <c:numCache>
                <c:formatCode>0.000</c:formatCode>
                <c:ptCount val="361"/>
                <c:pt idx="0">
                  <c:v>1.4359336692411007</c:v>
                </c:pt>
                <c:pt idx="1">
                  <c:v>1.491463117542404</c:v>
                </c:pt>
                <c:pt idx="2">
                  <c:v>1.5191964315359261</c:v>
                </c:pt>
                <c:pt idx="3">
                  <c:v>1.5285260834794541</c:v>
                </c:pt>
                <c:pt idx="4">
                  <c:v>1.5338581936529128</c:v>
                </c:pt>
                <c:pt idx="5">
                  <c:v>1.5377359711896017</c:v>
                </c:pt>
                <c:pt idx="6">
                  <c:v>1.540911046443677</c:v>
                </c:pt>
                <c:pt idx="7">
                  <c:v>1.5436884349108433</c:v>
                </c:pt>
                <c:pt idx="8">
                  <c:v>1.546131011241171</c:v>
                </c:pt>
                <c:pt idx="9">
                  <c:v>1.5483592766778518</c:v>
                </c:pt>
                <c:pt idx="10">
                  <c:v>1.5504423246186474</c:v>
                </c:pt>
                <c:pt idx="11">
                  <c:v>1.5524162696049937</c:v>
                </c:pt>
                <c:pt idx="12">
                  <c:v>1.5543060114273006</c:v>
                </c:pt>
                <c:pt idx="13">
                  <c:v>1.5561294652262974</c:v>
                </c:pt>
                <c:pt idx="14">
                  <c:v>1.5578999927208459</c:v>
                </c:pt>
                <c:pt idx="15">
                  <c:v>1.5596278737617637</c:v>
                </c:pt>
                <c:pt idx="16">
                  <c:v>1.5613212362774442</c:v>
                </c:pt>
                <c:pt idx="17">
                  <c:v>1.5629866658785556</c:v>
                </c:pt>
                <c:pt idx="18">
                  <c:v>1.5646296183269708</c:v>
                </c:pt>
                <c:pt idx="19">
                  <c:v>1.5662547064611088</c:v>
                </c:pt>
                <c:pt idx="20">
                  <c:v>1.56786590480627</c:v>
                </c:pt>
                <c:pt idx="21">
                  <c:v>1.5694629662494315</c:v>
                </c:pt>
                <c:pt idx="22">
                  <c:v>1.5708327895605259</c:v>
                </c:pt>
                <c:pt idx="23">
                  <c:v>1.5721785079166035</c:v>
                </c:pt>
                <c:pt idx="24">
                  <c:v>1.5735033754910903</c:v>
                </c:pt>
                <c:pt idx="25">
                  <c:v>1.5748103184172642</c:v>
                </c:pt>
                <c:pt idx="26">
                  <c:v>1.5761019931755316</c:v>
                </c:pt>
                <c:pt idx="27">
                  <c:v>1.5773808338810977</c:v>
                </c:pt>
                <c:pt idx="28">
                  <c:v>1.578649091101467</c:v>
                </c:pt>
                <c:pt idx="29">
                  <c:v>1.5799088640564654</c:v>
                </c:pt>
                <c:pt idx="30">
                  <c:v>1.5811621277507479</c:v>
                </c:pt>
                <c:pt idx="31">
                  <c:v>1.582410756042411</c:v>
                </c:pt>
                <c:pt idx="32">
                  <c:v>1.5836565415927804</c:v>
                </c:pt>
                <c:pt idx="33">
                  <c:v>1.5849012133152578</c:v>
                </c:pt>
                <c:pt idx="34">
                  <c:v>1.5861464518950761</c:v>
                </c:pt>
                <c:pt idx="35">
                  <c:v>1.5873939037785203</c:v>
                </c:pt>
                <c:pt idx="36">
                  <c:v>1.5886410303545744</c:v>
                </c:pt>
                <c:pt idx="37">
                  <c:v>1.5898407294826704</c:v>
                </c:pt>
                <c:pt idx="38">
                  <c:v>1.5909834821358062</c:v>
                </c:pt>
                <c:pt idx="39">
                  <c:v>1.5920740751017217</c:v>
                </c:pt>
                <c:pt idx="40">
                  <c:v>1.593116775628306</c:v>
                </c:pt>
                <c:pt idx="41">
                  <c:v>1.5941154017580637</c:v>
                </c:pt>
                <c:pt idx="42">
                  <c:v>1.5950733813955409</c:v>
                </c:pt>
                <c:pt idx="43">
                  <c:v>1.5959938022175288</c:v>
                </c:pt>
                <c:pt idx="44">
                  <c:v>1.5968794540151805</c:v>
                </c:pt>
                <c:pt idx="45">
                  <c:v>1.5977328648213796</c:v>
                </c:pt>
                <c:pt idx="46">
                  <c:v>1.598556331851215</c:v>
                </c:pt>
                <c:pt idx="47">
                  <c:v>1.5993519481328695</c:v>
                </c:pt>
                <c:pt idx="48">
                  <c:v>1.6001216255030046</c:v>
                </c:pt>
                <c:pt idx="49">
                  <c:v>1.6008671145605824</c:v>
                </c:pt>
                <c:pt idx="50">
                  <c:v>1.6015900220118824</c:v>
                </c:pt>
                <c:pt idx="51">
                  <c:v>1.6022918258430827</c:v>
                </c:pt>
                <c:pt idx="52">
                  <c:v>1.6029738886024001</c:v>
                </c:pt>
                <c:pt idx="53">
                  <c:v>1.6036374690727162</c:v>
                </c:pt>
                <c:pt idx="54">
                  <c:v>1.6042837325685531</c:v>
                </c:pt>
                <c:pt idx="55">
                  <c:v>1.6049137600407397</c:v>
                </c:pt>
                <c:pt idx="56">
                  <c:v>1.6055285561564012</c:v>
                </c:pt>
                <c:pt idx="57">
                  <c:v>1.6061290564607043</c:v>
                </c:pt>
                <c:pt idx="58">
                  <c:v>1.6067161337939238</c:v>
                </c:pt>
                <c:pt idx="59">
                  <c:v>1.6072906039977262</c:v>
                </c:pt>
                <c:pt idx="60">
                  <c:v>1.6078532310465918</c:v>
                </c:pt>
                <c:pt idx="61">
                  <c:v>1.6084047316512673</c:v>
                </c:pt>
                <c:pt idx="62">
                  <c:v>1.6089457793991755</c:v>
                </c:pt>
                <c:pt idx="63">
                  <c:v>1.6094770084862231</c:v>
                </c:pt>
                <c:pt idx="64">
                  <c:v>1.6099990171171583</c:v>
                </c:pt>
                <c:pt idx="65">
                  <c:v>1.6105123705575339</c:v>
                </c:pt>
                <c:pt idx="66">
                  <c:v>1.611017603918973</c:v>
                </c:pt>
                <c:pt idx="67">
                  <c:v>1.6115152247085973</c:v>
                </c:pt>
                <c:pt idx="68">
                  <c:v>1.6120057151236009</c:v>
                </c:pt>
                <c:pt idx="69">
                  <c:v>1.6124895341992511</c:v>
                </c:pt>
                <c:pt idx="70">
                  <c:v>1.6129671197209547</c:v>
                </c:pt>
                <c:pt idx="71">
                  <c:v>1.6134388900365184</c:v>
                </c:pt>
                <c:pt idx="72">
                  <c:v>1.6139052456854361</c:v>
                </c:pt>
                <c:pt idx="73">
                  <c:v>1.614366570935607</c:v>
                </c:pt>
                <c:pt idx="74">
                  <c:v>1.6148232351750917</c:v>
                </c:pt>
                <c:pt idx="75">
                  <c:v>1.6152755942453849</c:v>
                </c:pt>
                <c:pt idx="76">
                  <c:v>1.6157239916417605</c:v>
                </c:pt>
                <c:pt idx="77">
                  <c:v>1.6161687596637175</c:v>
                </c:pt>
                <c:pt idx="78">
                  <c:v>1.6166102204926502</c:v>
                </c:pt>
                <c:pt idx="79">
                  <c:v>1.6170486871849648</c:v>
                </c:pt>
                <c:pt idx="80">
                  <c:v>1.6174844646357878</c:v>
                </c:pt>
                <c:pt idx="81">
                  <c:v>1.6179178504780758</c:v>
                </c:pt>
                <c:pt idx="82">
                  <c:v>1.6183491359454327</c:v>
                </c:pt>
                <c:pt idx="83">
                  <c:v>1.6187786066893024</c:v>
                </c:pt>
                <c:pt idx="84">
                  <c:v>1.6192065435649889</c:v>
                </c:pt>
                <c:pt idx="85">
                  <c:v>1.6196332234106074</c:v>
                </c:pt>
                <c:pt idx="86">
                  <c:v>1.6200589197653221</c:v>
                </c:pt>
                <c:pt idx="87">
                  <c:v>1.620483903600449</c:v>
                </c:pt>
                <c:pt idx="88">
                  <c:v>1.6209084440308623</c:v>
                </c:pt>
                <c:pt idx="89">
                  <c:v>1.6213328089941736</c:v>
                </c:pt>
                <c:pt idx="90">
                  <c:v>1.6217572659473654</c:v>
                </c:pt>
                <c:pt idx="91">
                  <c:v>1.6221820825619622</c:v>
                </c:pt>
                <c:pt idx="92">
                  <c:v>1.6226075273928857</c:v>
                </c:pt>
                <c:pt idx="93">
                  <c:v>1.6230338705793534</c:v>
                </c:pt>
                <c:pt idx="94">
                  <c:v>1.6234613845425792</c:v>
                </c:pt>
                <c:pt idx="95">
                  <c:v>1.6238903446970674</c:v>
                </c:pt>
                <c:pt idx="96">
                  <c:v>1.6243210301849713</c:v>
                </c:pt>
                <c:pt idx="97">
                  <c:v>1.6247537246176862</c:v>
                </c:pt>
                <c:pt idx="98">
                  <c:v>1.6251887168543802</c:v>
                </c:pt>
                <c:pt idx="99">
                  <c:v>1.6256263018044352</c:v>
                </c:pt>
                <c:pt idx="100">
                  <c:v>1.6260667812696641</c:v>
                </c:pt>
                <c:pt idx="101">
                  <c:v>1.626510464822583</c:v>
                </c:pt>
                <c:pt idx="102">
                  <c:v>1.6269576707292441</c:v>
                </c:pt>
                <c:pt idx="103">
                  <c:v>1.6274087269291502</c:v>
                </c:pt>
                <c:pt idx="104">
                  <c:v>1.6278639720656418</c:v>
                </c:pt>
                <c:pt idx="105">
                  <c:v>1.6283237565938271</c:v>
                </c:pt>
                <c:pt idx="106">
                  <c:v>1.6287884439570528</c:v>
                </c:pt>
                <c:pt idx="107">
                  <c:v>1.6292584118395637</c:v>
                </c:pt>
                <c:pt idx="108">
                  <c:v>1.6297340535204585</c:v>
                </c:pt>
                <c:pt idx="109">
                  <c:v>1.6302157793335894</c:v>
                </c:pt>
                <c:pt idx="110">
                  <c:v>1.6307040182324306</c:v>
                </c:pt>
                <c:pt idx="111">
                  <c:v>1.6311992195077416</c:v>
                </c:pt>
                <c:pt idx="112">
                  <c:v>1.6317018546118558</c:v>
                </c:pt>
                <c:pt idx="113">
                  <c:v>1.6322124191863958</c:v>
                </c:pt>
                <c:pt idx="114">
                  <c:v>1.6327314352496627</c:v>
                </c:pt>
                <c:pt idx="115">
                  <c:v>1.6332594535890748</c:v>
                </c:pt>
                <c:pt idx="116">
                  <c:v>1.6337970563852617</c:v>
                </c:pt>
                <c:pt idx="117">
                  <c:v>1.6343448600975841</c:v>
                </c:pt>
                <c:pt idx="118">
                  <c:v>1.6349035186299927</c:v>
                </c:pt>
                <c:pt idx="119">
                  <c:v>1.6354737268328072</c:v>
                </c:pt>
                <c:pt idx="120">
                  <c:v>1.6360562243547534</c:v>
                </c:pt>
                <c:pt idx="121">
                  <c:v>1.6366517999312851</c:v>
                </c:pt>
                <c:pt idx="122">
                  <c:v>1.6372612961291551</c:v>
                </c:pt>
                <c:pt idx="123">
                  <c:v>1.6378856146367522</c:v>
                </c:pt>
                <c:pt idx="124">
                  <c:v>1.6385257221433549</c:v>
                </c:pt>
                <c:pt idx="125">
                  <c:v>1.639182656945807</c:v>
                </c:pt>
                <c:pt idx="126">
                  <c:v>1.639857536301264</c:v>
                </c:pt>
                <c:pt idx="127">
                  <c:v>1.6405515647427134</c:v>
                </c:pt>
                <c:pt idx="128">
                  <c:v>1.6412660433998214</c:v>
                </c:pt>
                <c:pt idx="129">
                  <c:v>1.6420023805352952</c:v>
                </c:pt>
                <c:pt idx="130">
                  <c:v>1.6427621034890685</c:v>
                </c:pt>
                <c:pt idx="131">
                  <c:v>1.6435468722197772</c:v>
                </c:pt>
                <c:pt idx="132">
                  <c:v>1.6443584947418266</c:v>
                </c:pt>
                <c:pt idx="133">
                  <c:v>1.6455265997295434</c:v>
                </c:pt>
                <c:pt idx="134">
                  <c:v>1.6505670667843744</c:v>
                </c:pt>
                <c:pt idx="135">
                  <c:v>1.6597167104591373</c:v>
                </c:pt>
                <c:pt idx="136">
                  <c:v>1.6724353791434499</c:v>
                </c:pt>
                <c:pt idx="137">
                  <c:v>1.6884741892456161</c:v>
                </c:pt>
                <c:pt idx="138">
                  <c:v>1.7077850672953481</c:v>
                </c:pt>
                <c:pt idx="139">
                  <c:v>1.7304782912708272</c:v>
                </c:pt>
                <c:pt idx="140">
                  <c:v>1.7566754585541837</c:v>
                </c:pt>
                <c:pt idx="141">
                  <c:v>1.7858330130601521</c:v>
                </c:pt>
                <c:pt idx="142">
                  <c:v>1.8178717498423984</c:v>
                </c:pt>
                <c:pt idx="143">
                  <c:v>1.8528581025577342</c:v>
                </c:pt>
                <c:pt idx="144">
                  <c:v>1.8908838420949821</c:v>
                </c:pt>
                <c:pt idx="145">
                  <c:v>1.9320505672411734</c:v>
                </c:pt>
                <c:pt idx="146">
                  <c:v>1.9764504309436293</c:v>
                </c:pt>
                <c:pt idx="147">
                  <c:v>2.0241406942221705</c:v>
                </c:pt>
                <c:pt idx="148">
                  <c:v>2.0751094750936416</c:v>
                </c:pt>
                <c:pt idx="149">
                  <c:v>2.1292298948354293</c:v>
                </c:pt>
                <c:pt idx="150">
                  <c:v>2.1861998291535887</c:v>
                </c:pt>
                <c:pt idx="151">
                  <c:v>2.2454646168754948</c:v>
                </c:pt>
                <c:pt idx="152">
                  <c:v>2.3061198999915429</c:v>
                </c:pt>
                <c:pt idx="153">
                  <c:v>2.366489872578275</c:v>
                </c:pt>
                <c:pt idx="154">
                  <c:v>2.422901702836938</c:v>
                </c:pt>
                <c:pt idx="155">
                  <c:v>2.4730257791090482</c:v>
                </c:pt>
                <c:pt idx="156">
                  <c:v>2.5141682710275886</c:v>
                </c:pt>
                <c:pt idx="157">
                  <c:v>2.542312352332627</c:v>
                </c:pt>
                <c:pt idx="158">
                  <c:v>2.5517700712023013</c:v>
                </c:pt>
                <c:pt idx="159">
                  <c:v>2.5546291708162761</c:v>
                </c:pt>
                <c:pt idx="160">
                  <c:v>2.5574239698570334</c:v>
                </c:pt>
                <c:pt idx="161">
                  <c:v>2.5601581818924601</c:v>
                </c:pt>
                <c:pt idx="162">
                  <c:v>2.5628352942731158</c:v>
                </c:pt>
                <c:pt idx="163">
                  <c:v>2.5654585868697168</c:v>
                </c:pt>
                <c:pt idx="164">
                  <c:v>2.568031149087608</c:v>
                </c:pt>
                <c:pt idx="165">
                  <c:v>2.5705558953389471</c:v>
                </c:pt>
                <c:pt idx="166">
                  <c:v>2.5730355791094977</c:v>
                </c:pt>
                <c:pt idx="167">
                  <c:v>2.5754728058252105</c:v>
                </c:pt>
                <c:pt idx="168">
                  <c:v>2.5778700445757985</c:v>
                </c:pt>
                <c:pt idx="169">
                  <c:v>2.580229638871554</c:v>
                </c:pt>
                <c:pt idx="170">
                  <c:v>2.5825538165048876</c:v>
                </c:pt>
                <c:pt idx="171">
                  <c:v>2.5848446986061706</c:v>
                </c:pt>
                <c:pt idx="172">
                  <c:v>2.587104307980975</c:v>
                </c:pt>
                <c:pt idx="173">
                  <c:v>2.5893345768069649</c:v>
                </c:pt>
                <c:pt idx="174">
                  <c:v>2.5915373537383117</c:v>
                </c:pt>
                <c:pt idx="175">
                  <c:v>2.5937144104837162</c:v>
                </c:pt>
                <c:pt idx="176">
                  <c:v>2.5958674479183665</c:v>
                </c:pt>
                <c:pt idx="177">
                  <c:v>2.5979981017557368</c:v>
                </c:pt>
                <c:pt idx="178">
                  <c:v>2.6001079478426234</c:v>
                </c:pt>
                <c:pt idx="179">
                  <c:v>2.6021985070941427</c:v>
                </c:pt>
                <c:pt idx="180">
                  <c:v>2.6042712501195848</c:v>
                </c:pt>
                <c:pt idx="181">
                  <c:v>2.6063276015662749</c:v>
                </c:pt>
                <c:pt idx="182">
                  <c:v>2.6083689442012212</c:v>
                </c:pt>
                <c:pt idx="183">
                  <c:v>2.6103966227672437</c:v>
                </c:pt>
                <c:pt idx="184">
                  <c:v>2.6124119476259615</c:v>
                </c:pt>
                <c:pt idx="185">
                  <c:v>2.6144161982174166</c:v>
                </c:pt>
                <c:pt idx="186">
                  <c:v>2.6164106263596341</c:v>
                </c:pt>
                <c:pt idx="187">
                  <c:v>2.6183964593898055</c:v>
                </c:pt>
                <c:pt idx="188">
                  <c:v>2.6203749031843997</c:v>
                </c:pt>
                <c:pt idx="189">
                  <c:v>2.622347145052613</c:v>
                </c:pt>
                <c:pt idx="190">
                  <c:v>2.6243143565374565</c:v>
                </c:pt>
                <c:pt idx="191">
                  <c:v>2.6262776961292724</c:v>
                </c:pt>
                <c:pt idx="192">
                  <c:v>2.6282383118960135</c:v>
                </c:pt>
                <c:pt idx="193">
                  <c:v>2.6301973440576352</c:v>
                </c:pt>
                <c:pt idx="194">
                  <c:v>2.6321559275092858</c:v>
                </c:pt>
                <c:pt idx="195">
                  <c:v>2.6341151942973973</c:v>
                </c:pt>
                <c:pt idx="196">
                  <c:v>2.6360762760593071</c:v>
                </c:pt>
                <c:pt idx="197">
                  <c:v>2.6380403064636484</c:v>
                </c:pt>
                <c:pt idx="198">
                  <c:v>2.6400084236026053</c:v>
                </c:pt>
                <c:pt idx="199">
                  <c:v>2.6419817724114338</c:v>
                </c:pt>
                <c:pt idx="200">
                  <c:v>2.6439615070681994</c:v>
                </c:pt>
                <c:pt idx="201">
                  <c:v>2.6459487934079498</c:v>
                </c:pt>
                <c:pt idx="202">
                  <c:v>2.6479448113647552</c:v>
                </c:pt>
                <c:pt idx="203">
                  <c:v>2.6567146564179311</c:v>
                </c:pt>
                <c:pt idx="204">
                  <c:v>2.6880659894811121</c:v>
                </c:pt>
                <c:pt idx="205">
                  <c:v>2.729718388363215</c:v>
                </c:pt>
                <c:pt idx="206">
                  <c:v>2.7825350737493482</c:v>
                </c:pt>
                <c:pt idx="207">
                  <c:v>2.8483500977897167</c:v>
                </c:pt>
                <c:pt idx="208">
                  <c:v>2.9270589818994801</c:v>
                </c:pt>
                <c:pt idx="209">
                  <c:v>3.0183065229583823</c:v>
                </c:pt>
                <c:pt idx="210">
                  <c:v>3.1227088275962083</c:v>
                </c:pt>
                <c:pt idx="211">
                  <c:v>3.2401506904080262</c:v>
                </c:pt>
                <c:pt idx="212">
                  <c:v>3.3692451383544144</c:v>
                </c:pt>
                <c:pt idx="213">
                  <c:v>3.5069320270334035</c:v>
                </c:pt>
                <c:pt idx="214">
                  <c:v>3.6554615278125731</c:v>
                </c:pt>
                <c:pt idx="215">
                  <c:v>3.8144177762595852</c:v>
                </c:pt>
                <c:pt idx="216">
                  <c:v>3.9604822445482712</c:v>
                </c:pt>
                <c:pt idx="217">
                  <c:v>4.0897540646391359</c:v>
                </c:pt>
                <c:pt idx="218">
                  <c:v>4.2010043961982095</c:v>
                </c:pt>
                <c:pt idx="219">
                  <c:v>4.2947967287639273</c:v>
                </c:pt>
                <c:pt idx="220">
                  <c:v>4.3725218841667086</c:v>
                </c:pt>
                <c:pt idx="221">
                  <c:v>4.4356948288171605</c:v>
                </c:pt>
                <c:pt idx="222">
                  <c:v>4.4855286641632528</c:v>
                </c:pt>
                <c:pt idx="223">
                  <c:v>4.5226718879641119</c:v>
                </c:pt>
                <c:pt idx="224">
                  <c:v>4.5469763731683157</c:v>
                </c:pt>
                <c:pt idx="225">
                  <c:v>4.5571586617568558</c:v>
                </c:pt>
                <c:pt idx="226">
                  <c:v>4.5597895813560836</c:v>
                </c:pt>
                <c:pt idx="227">
                  <c:v>4.5623207001326858</c:v>
                </c:pt>
                <c:pt idx="228">
                  <c:v>4.5647590248617025</c:v>
                </c:pt>
                <c:pt idx="229">
                  <c:v>4.567111608198311</c:v>
                </c:pt>
                <c:pt idx="230">
                  <c:v>4.5693848504236811</c:v>
                </c:pt>
                <c:pt idx="231">
                  <c:v>4.5715845766527581</c:v>
                </c:pt>
                <c:pt idx="232">
                  <c:v>4.5737161033473592</c:v>
                </c:pt>
                <c:pt idx="233">
                  <c:v>4.5757842959873845</c:v>
                </c:pt>
                <c:pt idx="234">
                  <c:v>4.577793619099058</c:v>
                </c:pt>
                <c:pt idx="235">
                  <c:v>4.5797481799618778</c:v>
                </c:pt>
                <c:pt idx="236">
                  <c:v>4.5816517667650158</c:v>
                </c:pt>
                <c:pt idx="237">
                  <c:v>4.5835078822107151</c:v>
                </c:pt>
                <c:pt idx="238">
                  <c:v>4.5853197730410127</c:v>
                </c:pt>
                <c:pt idx="239">
                  <c:v>4.5870904561936303</c:v>
                </c:pt>
                <c:pt idx="240">
                  <c:v>4.5888227419702154</c:v>
                </c:pt>
                <c:pt idx="241">
                  <c:v>4.5905192546382247</c:v>
                </c:pt>
                <c:pt idx="242">
                  <c:v>4.5921824508693208</c:v>
                </c:pt>
                <c:pt idx="243">
                  <c:v>4.5938146362049217</c:v>
                </c:pt>
                <c:pt idx="244">
                  <c:v>4.5954179798807946</c:v>
                </c:pt>
                <c:pt idx="245">
                  <c:v>4.5969945282045277</c:v>
                </c:pt>
                <c:pt idx="246">
                  <c:v>4.5985462166161568</c:v>
                </c:pt>
                <c:pt idx="247">
                  <c:v>4.6000748807388767</c:v>
                </c:pt>
                <c:pt idx="248">
                  <c:v>4.599780975323041</c:v>
                </c:pt>
                <c:pt idx="249">
                  <c:v>4.6012756208065184</c:v>
                </c:pt>
                <c:pt idx="250">
                  <c:v>4.6027521900057087</c:v>
                </c:pt>
                <c:pt idx="251">
                  <c:v>4.6042122191452481</c:v>
                </c:pt>
                <c:pt idx="252">
                  <c:v>4.605657187303458</c:v>
                </c:pt>
                <c:pt idx="253">
                  <c:v>4.6070885232879002</c:v>
                </c:pt>
                <c:pt idx="254">
                  <c:v>4.6085076121499924</c:v>
                </c:pt>
                <c:pt idx="255">
                  <c:v>4.6099158014034547</c:v>
                </c:pt>
                <c:pt idx="256">
                  <c:v>4.6113144069697389</c:v>
                </c:pt>
                <c:pt idx="257">
                  <c:v>4.6127047189358183</c:v>
                </c:pt>
                <c:pt idx="258">
                  <c:v>4.6140880072378012</c:v>
                </c:pt>
                <c:pt idx="259">
                  <c:v>4.6154655272099303</c:v>
                </c:pt>
                <c:pt idx="260">
                  <c:v>4.6168385251778901</c:v>
                </c:pt>
                <c:pt idx="261">
                  <c:v>4.6182082441375298</c:v>
                </c:pt>
                <c:pt idx="262">
                  <c:v>4.619575929516218</c:v>
                </c:pt>
                <c:pt idx="263">
                  <c:v>4.6209428351827926</c:v>
                </c:pt>
                <c:pt idx="264">
                  <c:v>4.6223102297763612</c:v>
                </c:pt>
                <c:pt idx="265">
                  <c:v>4.6236794033814963</c:v>
                </c:pt>
                <c:pt idx="266">
                  <c:v>4.6250516747433394</c:v>
                </c:pt>
                <c:pt idx="267">
                  <c:v>4.6264283991209112</c:v>
                </c:pt>
                <c:pt idx="268">
                  <c:v>4.6278109769254048</c:v>
                </c:pt>
                <c:pt idx="269">
                  <c:v>4.629200863343538</c:v>
                </c:pt>
                <c:pt idx="270">
                  <c:v>4.6305995791452759</c:v>
                </c:pt>
                <c:pt idx="271">
                  <c:v>4.6318232484854382</c:v>
                </c:pt>
                <c:pt idx="272">
                  <c:v>4.6330420271961685</c:v>
                </c:pt>
                <c:pt idx="273">
                  <c:v>4.6342568541121771</c:v>
                </c:pt>
                <c:pt idx="274">
                  <c:v>4.6354686537193466</c:v>
                </c:pt>
                <c:pt idx="275">
                  <c:v>4.6366783392724695</c:v>
                </c:pt>
                <c:pt idx="276">
                  <c:v>4.6378868157819468</c:v>
                </c:pt>
                <c:pt idx="277">
                  <c:v>4.6390949830116606</c:v>
                </c:pt>
                <c:pt idx="278">
                  <c:v>4.64030373834904</c:v>
                </c:pt>
                <c:pt idx="279">
                  <c:v>4.6415139797134799</c:v>
                </c:pt>
                <c:pt idx="280">
                  <c:v>4.6427266084322012</c:v>
                </c:pt>
                <c:pt idx="281">
                  <c:v>4.6439425321518453</c:v>
                </c:pt>
                <c:pt idx="282">
                  <c:v>4.6451626677522508</c:v>
                </c:pt>
                <c:pt idx="283">
                  <c:v>4.6463879443834335</c:v>
                </c:pt>
                <c:pt idx="284">
                  <c:v>4.6476193065238904</c:v>
                </c:pt>
                <c:pt idx="285">
                  <c:v>4.6488577171680792</c:v>
                </c:pt>
                <c:pt idx="286">
                  <c:v>4.6501041611729175</c:v>
                </c:pt>
                <c:pt idx="287">
                  <c:v>4.6513596487048963</c:v>
                </c:pt>
                <c:pt idx="288">
                  <c:v>4.6526252188967785</c:v>
                </c:pt>
                <c:pt idx="289">
                  <c:v>4.6539019437490214</c:v>
                </c:pt>
                <c:pt idx="290">
                  <c:v>4.6551909322409486</c:v>
                </c:pt>
                <c:pt idx="291">
                  <c:v>4.656493334724388</c:v>
                </c:pt>
                <c:pt idx="292">
                  <c:v>4.6578103476928439</c:v>
                </c:pt>
                <c:pt idx="293">
                  <c:v>4.6591432188501383</c:v>
                </c:pt>
                <c:pt idx="294">
                  <c:v>4.6604932526728966</c:v>
                </c:pt>
                <c:pt idx="295">
                  <c:v>4.66186181643487</c:v>
                </c:pt>
                <c:pt idx="296">
                  <c:v>4.6632503467433057</c:v>
                </c:pt>
                <c:pt idx="297">
                  <c:v>4.6646603567397609</c:v>
                </c:pt>
                <c:pt idx="298">
                  <c:v>4.6660934440127537</c:v>
                </c:pt>
                <c:pt idx="299">
                  <c:v>4.6675512992840442</c:v>
                </c:pt>
                <c:pt idx="300">
                  <c:v>4.6690357160298808</c:v>
                </c:pt>
                <c:pt idx="301">
                  <c:v>4.6705486011686146</c:v>
                </c:pt>
                <c:pt idx="302">
                  <c:v>4.6720919869311999</c:v>
                </c:pt>
                <c:pt idx="303">
                  <c:v>4.6736680440819072</c:v>
                </c:pt>
                <c:pt idx="304">
                  <c:v>4.6752790967773104</c:v>
                </c:pt>
                <c:pt idx="305">
                  <c:v>4.6769276391695644</c:v>
                </c:pt>
                <c:pt idx="306">
                  <c:v>4.6786163541577892</c:v>
                </c:pt>
                <c:pt idx="307">
                  <c:v>4.6803481345463354</c:v>
                </c:pt>
                <c:pt idx="308">
                  <c:v>4.6821261069985791</c:v>
                </c:pt>
                <c:pt idx="309">
                  <c:v>4.6839536593088598</c:v>
                </c:pt>
                <c:pt idx="310">
                  <c:v>4.6858344714508631</c:v>
                </c:pt>
                <c:pt idx="311">
                  <c:v>4.6877376839047713</c:v>
                </c:pt>
                <c:pt idx="312">
                  <c:v>4.689593504288557</c:v>
                </c:pt>
                <c:pt idx="313">
                  <c:v>4.6916777916941097</c:v>
                </c:pt>
                <c:pt idx="314">
                  <c:v>4.6938847436897149</c:v>
                </c:pt>
                <c:pt idx="315">
                  <c:v>4.6960186651641411</c:v>
                </c:pt>
                <c:pt idx="316">
                  <c:v>4.6980847763385674</c:v>
                </c:pt>
                <c:pt idx="317">
                  <c:v>4.7000879127150821</c:v>
                </c:pt>
                <c:pt idx="318">
                  <c:v>4.702032569117188</c:v>
                </c:pt>
                <c:pt idx="319">
                  <c:v>4.7039229393263344</c:v>
                </c:pt>
                <c:pt idx="320">
                  <c:v>4.7057629518654291</c:v>
                </c:pt>
                <c:pt idx="321">
                  <c:v>4.707556302790783</c:v>
                </c:pt>
                <c:pt idx="322">
                  <c:v>4.7093064859420908</c:v>
                </c:pt>
                <c:pt idx="323">
                  <c:v>4.7110168211810493</c:v>
                </c:pt>
                <c:pt idx="324">
                  <c:v>4.7126904812954429</c:v>
                </c:pt>
                <c:pt idx="325">
                  <c:v>4.7143305178060606</c:v>
                </c:pt>
                <c:pt idx="326">
                  <c:v>4.7159398864437216</c:v>
                </c:pt>
                <c:pt idx="327">
                  <c:v>4.7175214725997296</c:v>
                </c:pt>
                <c:pt idx="328">
                  <c:v>4.7190781174918346</c:v>
                </c:pt>
                <c:pt idx="329">
                  <c:v>4.7206126455871029</c:v>
                </c:pt>
                <c:pt idx="330">
                  <c:v>4.7221278940538767</c:v>
                </c:pt>
                <c:pt idx="331">
                  <c:v>4.7236267451877811</c:v>
                </c:pt>
                <c:pt idx="332">
                  <c:v>4.7251121628299479</c:v>
                </c:pt>
                <c:pt idx="333">
                  <c:v>4.726587234290232</c:v>
                </c:pt>
                <c:pt idx="334">
                  <c:v>4.7280552194027656</c:v>
                </c:pt>
                <c:pt idx="335">
                  <c:v>4.7295196091920486</c:v>
                </c:pt>
                <c:pt idx="336">
                  <c:v>4.7309841970543856</c:v>
                </c:pt>
                <c:pt idx="337">
                  <c:v>4.7324531667353495</c:v>
                </c:pt>
                <c:pt idx="338">
                  <c:v>4.7339312025087761</c:v>
                </c:pt>
                <c:pt idx="339">
                  <c:v>4.7354236295392793</c:v>
                </c:pt>
                <c:pt idx="340">
                  <c:v>4.7369365951494622</c:v>
                </c:pt>
                <c:pt idx="341">
                  <c:v>4.7384773066563115</c:v>
                </c:pt>
                <c:pt idx="342">
                  <c:v>4.7400543484795019</c:v>
                </c:pt>
                <c:pt idx="343">
                  <c:v>4.7416781121796063</c:v>
                </c:pt>
                <c:pt idx="344">
                  <c:v>4.7433613906879462</c:v>
                </c:pt>
                <c:pt idx="345">
                  <c:v>4.7451202162926602</c:v>
                </c:pt>
                <c:pt idx="346">
                  <c:v>4.7469750700534155</c:v>
                </c:pt>
                <c:pt idx="347">
                  <c:v>4.7489526730836911</c:v>
                </c:pt>
                <c:pt idx="348">
                  <c:v>4.7510887204916168</c:v>
                </c:pt>
                <c:pt idx="349">
                  <c:v>4.7534322019287334</c:v>
                </c:pt>
                <c:pt idx="350">
                  <c:v>4.7560525165780767</c:v>
                </c:pt>
                <c:pt idx="351">
                  <c:v>4.759051784595334</c:v>
                </c:pt>
                <c:pt idx="352">
                  <c:v>4.762796978335663</c:v>
                </c:pt>
                <c:pt idx="353">
                  <c:v>4.7659791564626195</c:v>
                </c:pt>
                <c:pt idx="354">
                  <c:v>4.7715960641177091</c:v>
                </c:pt>
                <c:pt idx="355">
                  <c:v>4.7793179306163918</c:v>
                </c:pt>
                <c:pt idx="356">
                  <c:v>4.7911693674218778</c:v>
                </c:pt>
                <c:pt idx="357">
                  <c:v>4.8132280927474431</c:v>
                </c:pt>
                <c:pt idx="358">
                  <c:v>4.8776058355661469</c:v>
                </c:pt>
                <c:pt idx="359">
                  <c:v>0.81233386529904406</c:v>
                </c:pt>
                <c:pt idx="360">
                  <c:v>1.4359336692425584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5A6-4C1C-8104-DDB130C453A2}"/>
            </c:ext>
          </c:extLst>
        </c:ser>
        <c:ser>
          <c:idx val="1"/>
          <c:order val="1"/>
          <c:tx>
            <c:v>result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8"/>
            <c:spPr>
              <a:noFill/>
              <a:ln w="19050">
                <a:solidFill>
                  <a:srgbClr val="FF0000"/>
                </a:solidFill>
              </a:ln>
              <a:effectLst/>
            </c:spPr>
          </c:marker>
          <c:xVal>
            <c:numRef>
              <c:f>L_Section_Capacity!$B$27</c:f>
              <c:numCache>
                <c:formatCode>0.0000</c:formatCode>
                <c:ptCount val="1"/>
                <c:pt idx="0">
                  <c:v>-1.9472871984232795E-2</c:v>
                </c:pt>
              </c:numCache>
            </c:numRef>
          </c:xVal>
          <c:yVal>
            <c:numRef>
              <c:f>L_Section_Capacity!$U$7</c:f>
              <c:numCache>
                <c:formatCode>0.000E+00</c:formatCode>
                <c:ptCount val="1"/>
                <c:pt idx="0">
                  <c:v>6.2831853065248433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5A6-4C1C-8104-DDB130C453A2}"/>
            </c:ext>
          </c:extLst>
        </c:ser>
        <c:ser>
          <c:idx val="2"/>
          <c:order val="2"/>
          <c:tx>
            <c:v>+/- pi</c:v>
          </c:tx>
          <c:spPr>
            <a:ln w="1270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L_Section_Capacity!$AD$37:$AD$41</c:f>
              <c:numCache>
                <c:formatCode>General</c:formatCode>
                <c:ptCount val="5"/>
                <c:pt idx="0">
                  <c:v>0</c:v>
                </c:pt>
                <c:pt idx="1">
                  <c:v>6.2831853071795862</c:v>
                </c:pt>
                <c:pt idx="2">
                  <c:v>6.2831853071795862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L_Section_Capacity!$AE$37:$AE$41</c:f>
              <c:numCache>
                <c:formatCode>General</c:formatCode>
                <c:ptCount val="5"/>
                <c:pt idx="0">
                  <c:v>6.2831853071795862</c:v>
                </c:pt>
                <c:pt idx="1">
                  <c:v>6.2831853071795862</c:v>
                </c:pt>
                <c:pt idx="2">
                  <c:v>0</c:v>
                </c:pt>
                <c:pt idx="3">
                  <c:v>0</c:v>
                </c:pt>
                <c:pt idx="4">
                  <c:v>6.2831853071795862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35A6-4C1C-8104-DDB130C453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2780847"/>
        <c:axId val="186769247"/>
      </c:scatterChart>
      <c:valAx>
        <c:axId val="3127808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769247"/>
        <c:crosses val="autoZero"/>
        <c:crossBetween val="midCat"/>
      </c:valAx>
      <c:valAx>
        <c:axId val="1867692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278084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8356345413320352E-2"/>
          <c:y val="3.6745399230082618E-2"/>
          <c:w val="0.93690399965013715"/>
          <c:h val="0.77188800934066304"/>
        </c:manualLayout>
      </c:layout>
      <c:scatterChart>
        <c:scatterStyle val="lineMarker"/>
        <c:varyColors val="0"/>
        <c:ser>
          <c:idx val="0"/>
          <c:order val="0"/>
          <c:tx>
            <c:v>Tan-1 @ alphs vs req res Tan-1 - absolute</c:v>
          </c:tx>
          <c:spPr>
            <a:ln w="15875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L_Section_Capacity!$AS$2:$AS$362</c:f>
              <c:numCache>
                <c:formatCode>General</c:formatCode>
                <c:ptCount val="361"/>
                <c:pt idx="0">
                  <c:v>0</c:v>
                </c:pt>
                <c:pt idx="1">
                  <c:v>1.7453292519943295E-2</c:v>
                </c:pt>
                <c:pt idx="2">
                  <c:v>3.4906585039886591E-2</c:v>
                </c:pt>
                <c:pt idx="3">
                  <c:v>5.235987755982989E-2</c:v>
                </c:pt>
                <c:pt idx="4">
                  <c:v>6.9813170079773182E-2</c:v>
                </c:pt>
                <c:pt idx="5">
                  <c:v>8.7266462599716474E-2</c:v>
                </c:pt>
                <c:pt idx="6">
                  <c:v>0.10471975511965977</c:v>
                </c:pt>
                <c:pt idx="7">
                  <c:v>0.12217304763960306</c:v>
                </c:pt>
                <c:pt idx="8">
                  <c:v>0.13962634015954636</c:v>
                </c:pt>
                <c:pt idx="9">
                  <c:v>0.15707963267948966</c:v>
                </c:pt>
                <c:pt idx="10">
                  <c:v>0.17453292519943295</c:v>
                </c:pt>
                <c:pt idx="11">
                  <c:v>0.19198621771937624</c:v>
                </c:pt>
                <c:pt idx="12">
                  <c:v>0.20943951023931953</c:v>
                </c:pt>
                <c:pt idx="13">
                  <c:v>0.22689280275926282</c:v>
                </c:pt>
                <c:pt idx="14">
                  <c:v>0.24434609527920612</c:v>
                </c:pt>
                <c:pt idx="15">
                  <c:v>0.26179938779914941</c:v>
                </c:pt>
                <c:pt idx="16">
                  <c:v>0.27925268031909273</c:v>
                </c:pt>
                <c:pt idx="17">
                  <c:v>0.29670597283903605</c:v>
                </c:pt>
                <c:pt idx="18">
                  <c:v>0.31415926535897937</c:v>
                </c:pt>
                <c:pt idx="19">
                  <c:v>0.33161255787892269</c:v>
                </c:pt>
                <c:pt idx="20">
                  <c:v>0.34906585039886601</c:v>
                </c:pt>
                <c:pt idx="21">
                  <c:v>0.36651914291880933</c:v>
                </c:pt>
                <c:pt idx="22">
                  <c:v>0.38397243543875265</c:v>
                </c:pt>
                <c:pt idx="23">
                  <c:v>0.40142572795869597</c:v>
                </c:pt>
                <c:pt idx="24">
                  <c:v>0.41887902047863929</c:v>
                </c:pt>
                <c:pt idx="25">
                  <c:v>0.43633231299858261</c:v>
                </c:pt>
                <c:pt idx="26">
                  <c:v>0.45378560551852593</c:v>
                </c:pt>
                <c:pt idx="27">
                  <c:v>0.47123889803846924</c:v>
                </c:pt>
                <c:pt idx="28">
                  <c:v>0.48869219055841256</c:v>
                </c:pt>
                <c:pt idx="29">
                  <c:v>0.50614548307835583</c:v>
                </c:pt>
                <c:pt idx="30">
                  <c:v>0.52359877559829915</c:v>
                </c:pt>
                <c:pt idx="31">
                  <c:v>0.54105206811824247</c:v>
                </c:pt>
                <c:pt idx="32">
                  <c:v>0.55850536063818579</c:v>
                </c:pt>
                <c:pt idx="33">
                  <c:v>0.57595865315812911</c:v>
                </c:pt>
                <c:pt idx="34">
                  <c:v>0.59341194567807243</c:v>
                </c:pt>
                <c:pt idx="35">
                  <c:v>0.61086523819801575</c:v>
                </c:pt>
                <c:pt idx="36">
                  <c:v>0.62831853071795907</c:v>
                </c:pt>
                <c:pt idx="37">
                  <c:v>0.64577182323790239</c:v>
                </c:pt>
                <c:pt idx="38">
                  <c:v>0.66322511575784571</c:v>
                </c:pt>
                <c:pt idx="39">
                  <c:v>0.68067840827778903</c:v>
                </c:pt>
                <c:pt idx="40">
                  <c:v>0.69813170079773235</c:v>
                </c:pt>
                <c:pt idx="41">
                  <c:v>0.71558499331767567</c:v>
                </c:pt>
                <c:pt idx="42">
                  <c:v>0.73303828583761899</c:v>
                </c:pt>
                <c:pt idx="43">
                  <c:v>0.75049157835756231</c:v>
                </c:pt>
                <c:pt idx="44">
                  <c:v>0.76794487087750563</c:v>
                </c:pt>
                <c:pt idx="45">
                  <c:v>0.78539816339744895</c:v>
                </c:pt>
                <c:pt idx="46">
                  <c:v>0.80285145591739226</c:v>
                </c:pt>
                <c:pt idx="47">
                  <c:v>0.82030474843733558</c:v>
                </c:pt>
                <c:pt idx="48">
                  <c:v>0.8377580409572789</c:v>
                </c:pt>
                <c:pt idx="49">
                  <c:v>0.85521133347722222</c:v>
                </c:pt>
                <c:pt idx="50">
                  <c:v>0.87266462599716554</c:v>
                </c:pt>
                <c:pt idx="51">
                  <c:v>0.89011791851710886</c:v>
                </c:pt>
                <c:pt idx="52">
                  <c:v>0.90757121103705218</c:v>
                </c:pt>
                <c:pt idx="53">
                  <c:v>0.9250245035569955</c:v>
                </c:pt>
                <c:pt idx="54">
                  <c:v>0.94247779607693882</c:v>
                </c:pt>
                <c:pt idx="55">
                  <c:v>0.95993108859688214</c:v>
                </c:pt>
                <c:pt idx="56">
                  <c:v>0.97738438111682546</c:v>
                </c:pt>
                <c:pt idx="57">
                  <c:v>0.99483767363676878</c:v>
                </c:pt>
                <c:pt idx="58">
                  <c:v>1.0122909661567121</c:v>
                </c:pt>
                <c:pt idx="59">
                  <c:v>1.0297442586766554</c:v>
                </c:pt>
                <c:pt idx="60">
                  <c:v>1.0471975511965987</c:v>
                </c:pt>
                <c:pt idx="61">
                  <c:v>1.0646508437165421</c:v>
                </c:pt>
                <c:pt idx="62">
                  <c:v>1.0821041362364854</c:v>
                </c:pt>
                <c:pt idx="63">
                  <c:v>1.0995574287564287</c:v>
                </c:pt>
                <c:pt idx="64">
                  <c:v>1.117010721276372</c:v>
                </c:pt>
                <c:pt idx="65">
                  <c:v>1.1344640137963153</c:v>
                </c:pt>
                <c:pt idx="66">
                  <c:v>1.1519173063162587</c:v>
                </c:pt>
                <c:pt idx="67">
                  <c:v>1.169370598836202</c:v>
                </c:pt>
                <c:pt idx="68">
                  <c:v>1.1868238913561453</c:v>
                </c:pt>
                <c:pt idx="69">
                  <c:v>1.2042771838760886</c:v>
                </c:pt>
                <c:pt idx="70">
                  <c:v>1.2217304763960319</c:v>
                </c:pt>
                <c:pt idx="71">
                  <c:v>1.2391837689159753</c:v>
                </c:pt>
                <c:pt idx="72">
                  <c:v>1.2566370614359186</c:v>
                </c:pt>
                <c:pt idx="73">
                  <c:v>1.2740903539558619</c:v>
                </c:pt>
                <c:pt idx="74">
                  <c:v>1.2915436464758052</c:v>
                </c:pt>
                <c:pt idx="75">
                  <c:v>1.3089969389957485</c:v>
                </c:pt>
                <c:pt idx="76">
                  <c:v>1.3264502315156919</c:v>
                </c:pt>
                <c:pt idx="77">
                  <c:v>1.3439035240356352</c:v>
                </c:pt>
                <c:pt idx="78">
                  <c:v>1.3613568165555785</c:v>
                </c:pt>
                <c:pt idx="79">
                  <c:v>1.3788101090755218</c:v>
                </c:pt>
                <c:pt idx="80">
                  <c:v>1.3962634015954651</c:v>
                </c:pt>
                <c:pt idx="81">
                  <c:v>1.4137166941154085</c:v>
                </c:pt>
                <c:pt idx="82">
                  <c:v>1.4311699866353518</c:v>
                </c:pt>
                <c:pt idx="83">
                  <c:v>1.4486232791552951</c:v>
                </c:pt>
                <c:pt idx="84">
                  <c:v>1.4660765716752384</c:v>
                </c:pt>
                <c:pt idx="85">
                  <c:v>1.4835298641951817</c:v>
                </c:pt>
                <c:pt idx="86">
                  <c:v>1.5009831567151251</c:v>
                </c:pt>
                <c:pt idx="87">
                  <c:v>1.5184364492350684</c:v>
                </c:pt>
                <c:pt idx="88">
                  <c:v>1.5358897417550117</c:v>
                </c:pt>
                <c:pt idx="89">
                  <c:v>1.553343034274955</c:v>
                </c:pt>
                <c:pt idx="90">
                  <c:v>1.5707963267948983</c:v>
                </c:pt>
                <c:pt idx="91">
                  <c:v>1.5882496193148417</c:v>
                </c:pt>
                <c:pt idx="92">
                  <c:v>1.605702911834785</c:v>
                </c:pt>
                <c:pt idx="93">
                  <c:v>1.6231562043547283</c:v>
                </c:pt>
                <c:pt idx="94">
                  <c:v>1.6406094968746716</c:v>
                </c:pt>
                <c:pt idx="95">
                  <c:v>1.6580627893946149</c:v>
                </c:pt>
                <c:pt idx="96">
                  <c:v>1.6755160819145583</c:v>
                </c:pt>
                <c:pt idx="97">
                  <c:v>1.6929693744345016</c:v>
                </c:pt>
                <c:pt idx="98">
                  <c:v>1.7104226669544449</c:v>
                </c:pt>
                <c:pt idx="99">
                  <c:v>1.7278759594743882</c:v>
                </c:pt>
                <c:pt idx="100">
                  <c:v>1.7453292519943315</c:v>
                </c:pt>
                <c:pt idx="101">
                  <c:v>1.7627825445142749</c:v>
                </c:pt>
                <c:pt idx="102">
                  <c:v>1.7802358370342182</c:v>
                </c:pt>
                <c:pt idx="103">
                  <c:v>1.7976891295541615</c:v>
                </c:pt>
                <c:pt idx="104">
                  <c:v>1.8151424220741048</c:v>
                </c:pt>
                <c:pt idx="105">
                  <c:v>1.8325957145940481</c:v>
                </c:pt>
                <c:pt idx="106">
                  <c:v>1.8500490071139915</c:v>
                </c:pt>
                <c:pt idx="107">
                  <c:v>1.8675022996339348</c:v>
                </c:pt>
                <c:pt idx="108">
                  <c:v>1.8849555921538781</c:v>
                </c:pt>
                <c:pt idx="109">
                  <c:v>1.9024088846738214</c:v>
                </c:pt>
                <c:pt idx="110">
                  <c:v>1.9198621771937647</c:v>
                </c:pt>
                <c:pt idx="111">
                  <c:v>1.937315469713708</c:v>
                </c:pt>
                <c:pt idx="112">
                  <c:v>1.9547687622336514</c:v>
                </c:pt>
                <c:pt idx="113">
                  <c:v>1.9722220547535947</c:v>
                </c:pt>
                <c:pt idx="114">
                  <c:v>1.989675347273538</c:v>
                </c:pt>
                <c:pt idx="115">
                  <c:v>2.0071286397934811</c:v>
                </c:pt>
                <c:pt idx="116">
                  <c:v>2.0245819323134242</c:v>
                </c:pt>
                <c:pt idx="117">
                  <c:v>2.0420352248333673</c:v>
                </c:pt>
                <c:pt idx="118">
                  <c:v>2.0594885173533104</c:v>
                </c:pt>
                <c:pt idx="119">
                  <c:v>2.0769418098732535</c:v>
                </c:pt>
                <c:pt idx="120">
                  <c:v>2.0943951023931966</c:v>
                </c:pt>
                <c:pt idx="121">
                  <c:v>2.1118483949131397</c:v>
                </c:pt>
                <c:pt idx="122">
                  <c:v>2.1293016874330828</c:v>
                </c:pt>
                <c:pt idx="123">
                  <c:v>2.1467549799530259</c:v>
                </c:pt>
                <c:pt idx="124">
                  <c:v>2.164208272472969</c:v>
                </c:pt>
                <c:pt idx="125">
                  <c:v>2.1816615649929121</c:v>
                </c:pt>
                <c:pt idx="126">
                  <c:v>2.1991148575128552</c:v>
                </c:pt>
                <c:pt idx="127">
                  <c:v>2.2165681500327983</c:v>
                </c:pt>
                <c:pt idx="128">
                  <c:v>2.2340214425527414</c:v>
                </c:pt>
                <c:pt idx="129">
                  <c:v>2.2514747350726845</c:v>
                </c:pt>
                <c:pt idx="130">
                  <c:v>2.2689280275926276</c:v>
                </c:pt>
                <c:pt idx="131">
                  <c:v>2.2863813201125707</c:v>
                </c:pt>
                <c:pt idx="132">
                  <c:v>2.3038346126325138</c:v>
                </c:pt>
                <c:pt idx="133">
                  <c:v>2.3212879051524569</c:v>
                </c:pt>
                <c:pt idx="134">
                  <c:v>2.3387411976724</c:v>
                </c:pt>
                <c:pt idx="135">
                  <c:v>2.3561944901923431</c:v>
                </c:pt>
                <c:pt idx="136">
                  <c:v>2.3736477827122862</c:v>
                </c:pt>
                <c:pt idx="137">
                  <c:v>2.3911010752322293</c:v>
                </c:pt>
                <c:pt idx="138">
                  <c:v>2.4085543677521724</c:v>
                </c:pt>
                <c:pt idx="139">
                  <c:v>2.4260076602721155</c:v>
                </c:pt>
                <c:pt idx="140">
                  <c:v>2.4434609527920585</c:v>
                </c:pt>
                <c:pt idx="141">
                  <c:v>2.4609142453120016</c:v>
                </c:pt>
                <c:pt idx="142">
                  <c:v>2.4783675378319447</c:v>
                </c:pt>
                <c:pt idx="143">
                  <c:v>2.4958208303518878</c:v>
                </c:pt>
                <c:pt idx="144">
                  <c:v>2.5132741228718309</c:v>
                </c:pt>
                <c:pt idx="145">
                  <c:v>2.530727415391774</c:v>
                </c:pt>
                <c:pt idx="146">
                  <c:v>2.5481807079117171</c:v>
                </c:pt>
                <c:pt idx="147">
                  <c:v>2.5656340004316602</c:v>
                </c:pt>
                <c:pt idx="148">
                  <c:v>2.5830872929516033</c:v>
                </c:pt>
                <c:pt idx="149">
                  <c:v>2.6005405854715464</c:v>
                </c:pt>
                <c:pt idx="150">
                  <c:v>2.6179938779914895</c:v>
                </c:pt>
                <c:pt idx="151">
                  <c:v>2.6354471705114326</c:v>
                </c:pt>
                <c:pt idx="152">
                  <c:v>2.6529004630313757</c:v>
                </c:pt>
                <c:pt idx="153">
                  <c:v>2.6703537555513188</c:v>
                </c:pt>
                <c:pt idx="154">
                  <c:v>2.6878070480712619</c:v>
                </c:pt>
                <c:pt idx="155">
                  <c:v>2.705260340591205</c:v>
                </c:pt>
                <c:pt idx="156">
                  <c:v>2.7227136331111481</c:v>
                </c:pt>
                <c:pt idx="157">
                  <c:v>2.7401669256310912</c:v>
                </c:pt>
                <c:pt idx="158">
                  <c:v>2.7576202181510343</c:v>
                </c:pt>
                <c:pt idx="159">
                  <c:v>2.7750735106709774</c:v>
                </c:pt>
                <c:pt idx="160">
                  <c:v>2.7925268031909205</c:v>
                </c:pt>
                <c:pt idx="161">
                  <c:v>2.8099800957108636</c:v>
                </c:pt>
                <c:pt idx="162">
                  <c:v>2.8274333882308067</c:v>
                </c:pt>
                <c:pt idx="163">
                  <c:v>2.8448866807507498</c:v>
                </c:pt>
                <c:pt idx="164">
                  <c:v>2.8623399732706929</c:v>
                </c:pt>
                <c:pt idx="165">
                  <c:v>2.879793265790636</c:v>
                </c:pt>
                <c:pt idx="166">
                  <c:v>2.8972465583105791</c:v>
                </c:pt>
                <c:pt idx="167">
                  <c:v>2.9146998508305222</c:v>
                </c:pt>
                <c:pt idx="168">
                  <c:v>2.9321531433504653</c:v>
                </c:pt>
                <c:pt idx="169">
                  <c:v>2.9496064358704084</c:v>
                </c:pt>
                <c:pt idx="170">
                  <c:v>2.9670597283903515</c:v>
                </c:pt>
                <c:pt idx="171">
                  <c:v>2.9845130209102946</c:v>
                </c:pt>
                <c:pt idx="172">
                  <c:v>3.0019663134302377</c:v>
                </c:pt>
                <c:pt idx="173">
                  <c:v>3.0194196059501808</c:v>
                </c:pt>
                <c:pt idx="174">
                  <c:v>3.0368728984701239</c:v>
                </c:pt>
                <c:pt idx="175">
                  <c:v>3.054326190990067</c:v>
                </c:pt>
                <c:pt idx="176">
                  <c:v>3.0717794835100101</c:v>
                </c:pt>
                <c:pt idx="177">
                  <c:v>3.0892327760299532</c:v>
                </c:pt>
                <c:pt idx="178">
                  <c:v>3.1066860685498963</c:v>
                </c:pt>
                <c:pt idx="179">
                  <c:v>3.1241393610698394</c:v>
                </c:pt>
                <c:pt idx="180">
                  <c:v>3.1415926535897825</c:v>
                </c:pt>
                <c:pt idx="181">
                  <c:v>3.1590459461097256</c:v>
                </c:pt>
                <c:pt idx="182">
                  <c:v>3.1764992386296687</c:v>
                </c:pt>
                <c:pt idx="183">
                  <c:v>3.1939525311496118</c:v>
                </c:pt>
                <c:pt idx="184">
                  <c:v>3.2114058236695548</c:v>
                </c:pt>
                <c:pt idx="185">
                  <c:v>3.2288591161894979</c:v>
                </c:pt>
                <c:pt idx="186">
                  <c:v>3.246312408709441</c:v>
                </c:pt>
                <c:pt idx="187">
                  <c:v>3.2637657012293841</c:v>
                </c:pt>
                <c:pt idx="188">
                  <c:v>3.2812189937493272</c:v>
                </c:pt>
                <c:pt idx="189">
                  <c:v>3.2986722862692703</c:v>
                </c:pt>
                <c:pt idx="190">
                  <c:v>3.3161255787892134</c:v>
                </c:pt>
                <c:pt idx="191">
                  <c:v>3.3335788713091565</c:v>
                </c:pt>
                <c:pt idx="192">
                  <c:v>3.3510321638290996</c:v>
                </c:pt>
                <c:pt idx="193">
                  <c:v>3.3684854563490427</c:v>
                </c:pt>
                <c:pt idx="194">
                  <c:v>3.3859387488689858</c:v>
                </c:pt>
                <c:pt idx="195">
                  <c:v>3.4033920413889289</c:v>
                </c:pt>
                <c:pt idx="196">
                  <c:v>3.420845333908872</c:v>
                </c:pt>
                <c:pt idx="197">
                  <c:v>3.4382986264288151</c:v>
                </c:pt>
                <c:pt idx="198">
                  <c:v>3.4557519189487582</c:v>
                </c:pt>
                <c:pt idx="199">
                  <c:v>3.4732052114687013</c:v>
                </c:pt>
                <c:pt idx="200">
                  <c:v>3.4906585039886444</c:v>
                </c:pt>
                <c:pt idx="201">
                  <c:v>3.5081117965085875</c:v>
                </c:pt>
                <c:pt idx="202">
                  <c:v>3.5255650890285306</c:v>
                </c:pt>
                <c:pt idx="203">
                  <c:v>3.5430183815484737</c:v>
                </c:pt>
                <c:pt idx="204">
                  <c:v>3.5604716740684168</c:v>
                </c:pt>
                <c:pt idx="205">
                  <c:v>3.5779249665883599</c:v>
                </c:pt>
                <c:pt idx="206">
                  <c:v>3.595378259108303</c:v>
                </c:pt>
                <c:pt idx="207">
                  <c:v>3.6128315516282461</c:v>
                </c:pt>
                <c:pt idx="208">
                  <c:v>3.6302848441481892</c:v>
                </c:pt>
                <c:pt idx="209">
                  <c:v>3.6477381366681323</c:v>
                </c:pt>
                <c:pt idx="210">
                  <c:v>3.6651914291880754</c:v>
                </c:pt>
                <c:pt idx="211">
                  <c:v>3.6826447217080185</c:v>
                </c:pt>
                <c:pt idx="212">
                  <c:v>3.7000980142279616</c:v>
                </c:pt>
                <c:pt idx="213">
                  <c:v>3.7175513067479047</c:v>
                </c:pt>
                <c:pt idx="214">
                  <c:v>3.7350045992678478</c:v>
                </c:pt>
                <c:pt idx="215">
                  <c:v>3.7524578917877909</c:v>
                </c:pt>
                <c:pt idx="216">
                  <c:v>3.769911184307734</c:v>
                </c:pt>
                <c:pt idx="217">
                  <c:v>3.7873644768276771</c:v>
                </c:pt>
                <c:pt idx="218">
                  <c:v>3.8048177693476202</c:v>
                </c:pt>
                <c:pt idx="219">
                  <c:v>3.8222710618675633</c:v>
                </c:pt>
                <c:pt idx="220">
                  <c:v>3.8397243543875064</c:v>
                </c:pt>
                <c:pt idx="221">
                  <c:v>3.8571776469074495</c:v>
                </c:pt>
                <c:pt idx="222">
                  <c:v>3.8746309394273926</c:v>
                </c:pt>
                <c:pt idx="223">
                  <c:v>3.8920842319473357</c:v>
                </c:pt>
                <c:pt idx="224">
                  <c:v>3.9095375244672788</c:v>
                </c:pt>
                <c:pt idx="225">
                  <c:v>3.9269908169872219</c:v>
                </c:pt>
                <c:pt idx="226">
                  <c:v>3.944444109507165</c:v>
                </c:pt>
                <c:pt idx="227">
                  <c:v>3.9618974020271081</c:v>
                </c:pt>
                <c:pt idx="228">
                  <c:v>3.9793506945470511</c:v>
                </c:pt>
                <c:pt idx="229">
                  <c:v>3.9968039870669942</c:v>
                </c:pt>
                <c:pt idx="230">
                  <c:v>4.0142572795869373</c:v>
                </c:pt>
                <c:pt idx="231">
                  <c:v>4.0317105721068804</c:v>
                </c:pt>
                <c:pt idx="232">
                  <c:v>4.0491638646268235</c:v>
                </c:pt>
                <c:pt idx="233">
                  <c:v>4.0666171571467666</c:v>
                </c:pt>
                <c:pt idx="234">
                  <c:v>4.0840704496667097</c:v>
                </c:pt>
                <c:pt idx="235">
                  <c:v>4.1015237421866528</c:v>
                </c:pt>
                <c:pt idx="236">
                  <c:v>4.1189770347065959</c:v>
                </c:pt>
                <c:pt idx="237">
                  <c:v>4.136430327226539</c:v>
                </c:pt>
                <c:pt idx="238">
                  <c:v>4.1538836197464821</c:v>
                </c:pt>
                <c:pt idx="239">
                  <c:v>4.1713369122664252</c:v>
                </c:pt>
                <c:pt idx="240">
                  <c:v>4.1887902047863683</c:v>
                </c:pt>
                <c:pt idx="241">
                  <c:v>4.2062434973063114</c:v>
                </c:pt>
                <c:pt idx="242">
                  <c:v>4.2236967898262545</c:v>
                </c:pt>
                <c:pt idx="243">
                  <c:v>4.2411500823461976</c:v>
                </c:pt>
                <c:pt idx="244">
                  <c:v>4.2586033748661407</c:v>
                </c:pt>
                <c:pt idx="245">
                  <c:v>4.2760566673860838</c:v>
                </c:pt>
                <c:pt idx="246">
                  <c:v>4.2935099599060269</c:v>
                </c:pt>
                <c:pt idx="247">
                  <c:v>4.31096325242597</c:v>
                </c:pt>
                <c:pt idx="248">
                  <c:v>4.3284165449459131</c:v>
                </c:pt>
                <c:pt idx="249">
                  <c:v>4.3458698374658562</c:v>
                </c:pt>
                <c:pt idx="250">
                  <c:v>4.3633231299857993</c:v>
                </c:pt>
                <c:pt idx="251">
                  <c:v>4.3807764225057424</c:v>
                </c:pt>
                <c:pt idx="252">
                  <c:v>4.3982297150256855</c:v>
                </c:pt>
                <c:pt idx="253">
                  <c:v>4.4156830075456286</c:v>
                </c:pt>
                <c:pt idx="254">
                  <c:v>4.4331363000655717</c:v>
                </c:pt>
                <c:pt idx="255">
                  <c:v>4.4505895925855148</c:v>
                </c:pt>
                <c:pt idx="256">
                  <c:v>4.4680428851054579</c:v>
                </c:pt>
                <c:pt idx="257">
                  <c:v>4.485496177625401</c:v>
                </c:pt>
                <c:pt idx="258">
                  <c:v>4.5029494701453441</c:v>
                </c:pt>
                <c:pt idx="259">
                  <c:v>4.5204027626652872</c:v>
                </c:pt>
                <c:pt idx="260">
                  <c:v>4.5378560551852303</c:v>
                </c:pt>
                <c:pt idx="261">
                  <c:v>4.5553093477051734</c:v>
                </c:pt>
                <c:pt idx="262">
                  <c:v>4.5727626402251165</c:v>
                </c:pt>
                <c:pt idx="263">
                  <c:v>4.5902159327450596</c:v>
                </c:pt>
                <c:pt idx="264">
                  <c:v>4.6076692252650027</c:v>
                </c:pt>
                <c:pt idx="265">
                  <c:v>4.6251225177849458</c:v>
                </c:pt>
                <c:pt idx="266">
                  <c:v>4.6425758103048889</c:v>
                </c:pt>
                <c:pt idx="267">
                  <c:v>4.660029102824832</c:v>
                </c:pt>
                <c:pt idx="268">
                  <c:v>4.6774823953447751</c:v>
                </c:pt>
                <c:pt idx="269">
                  <c:v>4.6949356878647182</c:v>
                </c:pt>
                <c:pt idx="270">
                  <c:v>4.7123889803846613</c:v>
                </c:pt>
                <c:pt idx="271">
                  <c:v>4.7298422729046044</c:v>
                </c:pt>
                <c:pt idx="272">
                  <c:v>4.7472955654245474</c:v>
                </c:pt>
                <c:pt idx="273">
                  <c:v>4.7647488579444905</c:v>
                </c:pt>
                <c:pt idx="274">
                  <c:v>4.7822021504644336</c:v>
                </c:pt>
                <c:pt idx="275">
                  <c:v>4.7996554429843767</c:v>
                </c:pt>
                <c:pt idx="276">
                  <c:v>4.8171087355043198</c:v>
                </c:pt>
                <c:pt idx="277">
                  <c:v>4.8345620280242629</c:v>
                </c:pt>
                <c:pt idx="278">
                  <c:v>4.852015320544206</c:v>
                </c:pt>
                <c:pt idx="279">
                  <c:v>4.8694686130641491</c:v>
                </c:pt>
                <c:pt idx="280">
                  <c:v>4.8869219055840922</c:v>
                </c:pt>
                <c:pt idx="281">
                  <c:v>4.9043751981040353</c:v>
                </c:pt>
                <c:pt idx="282">
                  <c:v>4.9218284906239784</c:v>
                </c:pt>
                <c:pt idx="283">
                  <c:v>4.9392817831439215</c:v>
                </c:pt>
                <c:pt idx="284">
                  <c:v>4.9567350756638646</c:v>
                </c:pt>
                <c:pt idx="285">
                  <c:v>4.9741883681838077</c:v>
                </c:pt>
                <c:pt idx="286">
                  <c:v>4.9916416607037508</c:v>
                </c:pt>
                <c:pt idx="287">
                  <c:v>5.0090949532236939</c:v>
                </c:pt>
                <c:pt idx="288">
                  <c:v>5.026548245743637</c:v>
                </c:pt>
                <c:pt idx="289">
                  <c:v>5.0440015382635801</c:v>
                </c:pt>
                <c:pt idx="290">
                  <c:v>5.0614548307835232</c:v>
                </c:pt>
                <c:pt idx="291">
                  <c:v>5.0789081233034663</c:v>
                </c:pt>
                <c:pt idx="292">
                  <c:v>5.0963614158234094</c:v>
                </c:pt>
                <c:pt idx="293">
                  <c:v>5.1138147083433525</c:v>
                </c:pt>
                <c:pt idx="294">
                  <c:v>5.1312680008632956</c:v>
                </c:pt>
                <c:pt idx="295">
                  <c:v>5.1487212933832387</c:v>
                </c:pt>
                <c:pt idx="296">
                  <c:v>5.1661745859031818</c:v>
                </c:pt>
                <c:pt idx="297">
                  <c:v>5.1836278784231249</c:v>
                </c:pt>
                <c:pt idx="298">
                  <c:v>5.201081170943068</c:v>
                </c:pt>
                <c:pt idx="299">
                  <c:v>5.2185344634630111</c:v>
                </c:pt>
                <c:pt idx="300">
                  <c:v>5.2359877559829542</c:v>
                </c:pt>
                <c:pt idx="301">
                  <c:v>5.2534410485028973</c:v>
                </c:pt>
                <c:pt idx="302">
                  <c:v>5.2708943410228404</c:v>
                </c:pt>
                <c:pt idx="303">
                  <c:v>5.2883476335427835</c:v>
                </c:pt>
                <c:pt idx="304">
                  <c:v>5.3058009260627266</c:v>
                </c:pt>
                <c:pt idx="305">
                  <c:v>5.3232542185826697</c:v>
                </c:pt>
                <c:pt idx="306">
                  <c:v>5.3407075111026128</c:v>
                </c:pt>
                <c:pt idx="307">
                  <c:v>5.3581608036225559</c:v>
                </c:pt>
                <c:pt idx="308">
                  <c:v>5.375614096142499</c:v>
                </c:pt>
                <c:pt idx="309">
                  <c:v>5.3930673886624421</c:v>
                </c:pt>
                <c:pt idx="310">
                  <c:v>5.4105206811823852</c:v>
                </c:pt>
                <c:pt idx="311">
                  <c:v>5.4279739737023283</c:v>
                </c:pt>
                <c:pt idx="312">
                  <c:v>5.4454272662222714</c:v>
                </c:pt>
                <c:pt idx="313">
                  <c:v>5.4628805587422145</c:v>
                </c:pt>
                <c:pt idx="314">
                  <c:v>5.4803338512621576</c:v>
                </c:pt>
                <c:pt idx="315">
                  <c:v>5.4977871437821006</c:v>
                </c:pt>
                <c:pt idx="316">
                  <c:v>5.5152404363020437</c:v>
                </c:pt>
                <c:pt idx="317">
                  <c:v>5.5326937288219868</c:v>
                </c:pt>
                <c:pt idx="318">
                  <c:v>5.5501470213419299</c:v>
                </c:pt>
                <c:pt idx="319">
                  <c:v>5.567600313861873</c:v>
                </c:pt>
                <c:pt idx="320">
                  <c:v>5.5850536063818161</c:v>
                </c:pt>
                <c:pt idx="321">
                  <c:v>5.6025068989017592</c:v>
                </c:pt>
                <c:pt idx="322">
                  <c:v>5.6199601914217023</c:v>
                </c:pt>
                <c:pt idx="323">
                  <c:v>5.6374134839416454</c:v>
                </c:pt>
                <c:pt idx="324">
                  <c:v>5.6548667764615885</c:v>
                </c:pt>
                <c:pt idx="325">
                  <c:v>5.6723200689815316</c:v>
                </c:pt>
                <c:pt idx="326">
                  <c:v>5.6897733615014747</c:v>
                </c:pt>
                <c:pt idx="327">
                  <c:v>5.7072266540214178</c:v>
                </c:pt>
                <c:pt idx="328">
                  <c:v>5.7246799465413609</c:v>
                </c:pt>
                <c:pt idx="329">
                  <c:v>5.742133239061304</c:v>
                </c:pt>
                <c:pt idx="330">
                  <c:v>5.7595865315812471</c:v>
                </c:pt>
                <c:pt idx="331">
                  <c:v>5.7770398241011902</c:v>
                </c:pt>
                <c:pt idx="332">
                  <c:v>5.7944931166211333</c:v>
                </c:pt>
                <c:pt idx="333">
                  <c:v>5.8119464091410764</c:v>
                </c:pt>
                <c:pt idx="334">
                  <c:v>5.8293997016610195</c:v>
                </c:pt>
                <c:pt idx="335">
                  <c:v>5.8468529941809626</c:v>
                </c:pt>
                <c:pt idx="336">
                  <c:v>5.8643062867009057</c:v>
                </c:pt>
                <c:pt idx="337">
                  <c:v>5.8817595792208488</c:v>
                </c:pt>
                <c:pt idx="338">
                  <c:v>5.8992128717407919</c:v>
                </c:pt>
                <c:pt idx="339">
                  <c:v>5.916666164260735</c:v>
                </c:pt>
                <c:pt idx="340">
                  <c:v>5.9341194567806781</c:v>
                </c:pt>
                <c:pt idx="341">
                  <c:v>5.9515727493006212</c:v>
                </c:pt>
                <c:pt idx="342">
                  <c:v>5.9690260418205643</c:v>
                </c:pt>
                <c:pt idx="343">
                  <c:v>5.9864793343405074</c:v>
                </c:pt>
                <c:pt idx="344">
                  <c:v>6.0039326268604505</c:v>
                </c:pt>
                <c:pt idx="345">
                  <c:v>6.0213859193803936</c:v>
                </c:pt>
                <c:pt idx="346">
                  <c:v>6.0388392119003367</c:v>
                </c:pt>
                <c:pt idx="347">
                  <c:v>6.0562925044202798</c:v>
                </c:pt>
                <c:pt idx="348">
                  <c:v>6.0737457969402229</c:v>
                </c:pt>
                <c:pt idx="349">
                  <c:v>6.091199089460166</c:v>
                </c:pt>
                <c:pt idx="350">
                  <c:v>6.1086523819801091</c:v>
                </c:pt>
                <c:pt idx="351">
                  <c:v>6.1261056745000522</c:v>
                </c:pt>
                <c:pt idx="352">
                  <c:v>6.1435589670199953</c:v>
                </c:pt>
                <c:pt idx="353">
                  <c:v>6.1610122595399384</c:v>
                </c:pt>
                <c:pt idx="354">
                  <c:v>6.1784655520598815</c:v>
                </c:pt>
                <c:pt idx="355">
                  <c:v>6.1959188445798246</c:v>
                </c:pt>
                <c:pt idx="356">
                  <c:v>6.2133721370997677</c:v>
                </c:pt>
                <c:pt idx="357">
                  <c:v>6.2308254296197108</c:v>
                </c:pt>
                <c:pt idx="358">
                  <c:v>6.2482787221396539</c:v>
                </c:pt>
                <c:pt idx="359">
                  <c:v>6.2657320146595969</c:v>
                </c:pt>
                <c:pt idx="360">
                  <c:v>6.28318530717954</c:v>
                </c:pt>
              </c:numCache>
            </c:numRef>
          </c:xVal>
          <c:yVal>
            <c:numRef>
              <c:f>L_Section_Capacity!$AY$3:$AY$363</c:f>
              <c:numCache>
                <c:formatCode>0.000</c:formatCode>
                <c:ptCount val="361"/>
                <c:pt idx="0">
                  <c:v>1.491463117542404</c:v>
                </c:pt>
                <c:pt idx="1">
                  <c:v>1.5191964315359261</c:v>
                </c:pt>
                <c:pt idx="2">
                  <c:v>1.5285260834794541</c:v>
                </c:pt>
                <c:pt idx="3">
                  <c:v>1.5338581936529128</c:v>
                </c:pt>
                <c:pt idx="4">
                  <c:v>1.5377359711896017</c:v>
                </c:pt>
                <c:pt idx="5">
                  <c:v>1.540911046443677</c:v>
                </c:pt>
                <c:pt idx="6">
                  <c:v>1.5436884349108433</c:v>
                </c:pt>
                <c:pt idx="7">
                  <c:v>1.546131011241171</c:v>
                </c:pt>
                <c:pt idx="8">
                  <c:v>1.5483592766778518</c:v>
                </c:pt>
                <c:pt idx="9">
                  <c:v>1.5504423246186474</c:v>
                </c:pt>
                <c:pt idx="10">
                  <c:v>1.5524162696049937</c:v>
                </c:pt>
                <c:pt idx="11">
                  <c:v>1.5543060114273006</c:v>
                </c:pt>
                <c:pt idx="12">
                  <c:v>1.5561294652262974</c:v>
                </c:pt>
                <c:pt idx="13">
                  <c:v>1.5578999927208459</c:v>
                </c:pt>
                <c:pt idx="14">
                  <c:v>1.5596278737617637</c:v>
                </c:pt>
                <c:pt idx="15">
                  <c:v>1.5613212362774442</c:v>
                </c:pt>
                <c:pt idx="16">
                  <c:v>1.5629866658785556</c:v>
                </c:pt>
                <c:pt idx="17">
                  <c:v>1.5646296183269708</c:v>
                </c:pt>
                <c:pt idx="18">
                  <c:v>1.5662547064611088</c:v>
                </c:pt>
                <c:pt idx="19">
                  <c:v>1.56786590480627</c:v>
                </c:pt>
                <c:pt idx="20">
                  <c:v>1.5694629662494315</c:v>
                </c:pt>
                <c:pt idx="21">
                  <c:v>1.5708327895605256</c:v>
                </c:pt>
                <c:pt idx="22">
                  <c:v>1.5721785079166033</c:v>
                </c:pt>
                <c:pt idx="23">
                  <c:v>1.5735033754910901</c:v>
                </c:pt>
                <c:pt idx="24">
                  <c:v>1.5748103184172639</c:v>
                </c:pt>
                <c:pt idx="25">
                  <c:v>1.5761019931755313</c:v>
                </c:pt>
                <c:pt idx="26">
                  <c:v>1.5773808338810975</c:v>
                </c:pt>
                <c:pt idx="27">
                  <c:v>1.5786490911014668</c:v>
                </c:pt>
                <c:pt idx="28">
                  <c:v>1.5799088640564651</c:v>
                </c:pt>
                <c:pt idx="29">
                  <c:v>1.5811621277507477</c:v>
                </c:pt>
                <c:pt idx="30">
                  <c:v>1.5824107560424108</c:v>
                </c:pt>
                <c:pt idx="31">
                  <c:v>1.5836565415927801</c:v>
                </c:pt>
                <c:pt idx="32">
                  <c:v>1.5849012133152576</c:v>
                </c:pt>
                <c:pt idx="33">
                  <c:v>1.5861464518950759</c:v>
                </c:pt>
                <c:pt idx="34">
                  <c:v>1.5873939037785201</c:v>
                </c:pt>
                <c:pt idx="35">
                  <c:v>1.5886410303545742</c:v>
                </c:pt>
                <c:pt idx="36">
                  <c:v>1.5898407294826702</c:v>
                </c:pt>
                <c:pt idx="37">
                  <c:v>1.590983482135806</c:v>
                </c:pt>
                <c:pt idx="38">
                  <c:v>1.5920740751017215</c:v>
                </c:pt>
                <c:pt idx="39">
                  <c:v>1.5931167756283058</c:v>
                </c:pt>
                <c:pt idx="40">
                  <c:v>1.5941154017580634</c:v>
                </c:pt>
                <c:pt idx="41">
                  <c:v>1.5950733813955407</c:v>
                </c:pt>
                <c:pt idx="42">
                  <c:v>1.5959938022175286</c:v>
                </c:pt>
                <c:pt idx="43">
                  <c:v>1.5968794540151803</c:v>
                </c:pt>
                <c:pt idx="44">
                  <c:v>1.5977328648213793</c:v>
                </c:pt>
                <c:pt idx="45">
                  <c:v>1.5985563318512148</c:v>
                </c:pt>
                <c:pt idx="46">
                  <c:v>1.5993519481328693</c:v>
                </c:pt>
                <c:pt idx="47">
                  <c:v>1.6001216255030044</c:v>
                </c:pt>
                <c:pt idx="48">
                  <c:v>1.6008671145605822</c:v>
                </c:pt>
                <c:pt idx="49">
                  <c:v>1.6015900220118822</c:v>
                </c:pt>
                <c:pt idx="50">
                  <c:v>1.6022918258430825</c:v>
                </c:pt>
                <c:pt idx="51">
                  <c:v>1.6029738886023999</c:v>
                </c:pt>
                <c:pt idx="52">
                  <c:v>1.603637469072716</c:v>
                </c:pt>
                <c:pt idx="53">
                  <c:v>1.6042837325685528</c:v>
                </c:pt>
                <c:pt idx="54">
                  <c:v>1.6049137600407395</c:v>
                </c:pt>
                <c:pt idx="55">
                  <c:v>1.605528556156401</c:v>
                </c:pt>
                <c:pt idx="56">
                  <c:v>1.606129056460704</c:v>
                </c:pt>
                <c:pt idx="57">
                  <c:v>1.6067161337939235</c:v>
                </c:pt>
                <c:pt idx="58">
                  <c:v>1.6072906039977259</c:v>
                </c:pt>
                <c:pt idx="59">
                  <c:v>1.6078532310465916</c:v>
                </c:pt>
                <c:pt idx="60">
                  <c:v>1.6084047316512671</c:v>
                </c:pt>
                <c:pt idx="61">
                  <c:v>1.6089457793991753</c:v>
                </c:pt>
                <c:pt idx="62">
                  <c:v>1.6094770084862229</c:v>
                </c:pt>
                <c:pt idx="63">
                  <c:v>1.6099990171171581</c:v>
                </c:pt>
                <c:pt idx="64">
                  <c:v>1.6105123705575337</c:v>
                </c:pt>
                <c:pt idx="65">
                  <c:v>1.6110176039189728</c:v>
                </c:pt>
                <c:pt idx="66">
                  <c:v>1.6115152247085971</c:v>
                </c:pt>
                <c:pt idx="67">
                  <c:v>1.6120057151236007</c:v>
                </c:pt>
                <c:pt idx="68">
                  <c:v>1.6124895341992509</c:v>
                </c:pt>
                <c:pt idx="69">
                  <c:v>1.6129671197209545</c:v>
                </c:pt>
                <c:pt idx="70">
                  <c:v>1.6134388900365182</c:v>
                </c:pt>
                <c:pt idx="71">
                  <c:v>1.6139052456854359</c:v>
                </c:pt>
                <c:pt idx="72">
                  <c:v>1.6143665709356068</c:v>
                </c:pt>
                <c:pt idx="73">
                  <c:v>1.6148232351750915</c:v>
                </c:pt>
                <c:pt idx="74">
                  <c:v>1.6152755942453847</c:v>
                </c:pt>
                <c:pt idx="75">
                  <c:v>1.6157239916417603</c:v>
                </c:pt>
                <c:pt idx="76">
                  <c:v>1.6161687596637173</c:v>
                </c:pt>
                <c:pt idx="77">
                  <c:v>1.61661022049265</c:v>
                </c:pt>
                <c:pt idx="78">
                  <c:v>1.6170486871849645</c:v>
                </c:pt>
                <c:pt idx="79">
                  <c:v>1.6174844646357875</c:v>
                </c:pt>
                <c:pt idx="80">
                  <c:v>1.6179178504780756</c:v>
                </c:pt>
                <c:pt idx="81">
                  <c:v>1.6183491359454325</c:v>
                </c:pt>
                <c:pt idx="82">
                  <c:v>1.6187786066893022</c:v>
                </c:pt>
                <c:pt idx="83">
                  <c:v>1.6192065435649887</c:v>
                </c:pt>
                <c:pt idx="84">
                  <c:v>1.6196332234106072</c:v>
                </c:pt>
                <c:pt idx="85">
                  <c:v>1.6200589197653219</c:v>
                </c:pt>
                <c:pt idx="86">
                  <c:v>1.6204839036004488</c:v>
                </c:pt>
                <c:pt idx="87">
                  <c:v>1.6209084440308621</c:v>
                </c:pt>
                <c:pt idx="88">
                  <c:v>1.6213328089941734</c:v>
                </c:pt>
                <c:pt idx="89">
                  <c:v>1.6217572659473651</c:v>
                </c:pt>
                <c:pt idx="90">
                  <c:v>1.6221820825619619</c:v>
                </c:pt>
                <c:pt idx="91">
                  <c:v>1.6226075273928855</c:v>
                </c:pt>
                <c:pt idx="92">
                  <c:v>1.6230338705793532</c:v>
                </c:pt>
                <c:pt idx="93">
                  <c:v>1.6234613845425789</c:v>
                </c:pt>
                <c:pt idx="94">
                  <c:v>1.6238903446970672</c:v>
                </c:pt>
                <c:pt idx="95">
                  <c:v>1.6243210301849711</c:v>
                </c:pt>
                <c:pt idx="96">
                  <c:v>1.624753724617686</c:v>
                </c:pt>
                <c:pt idx="97">
                  <c:v>1.6251887168543799</c:v>
                </c:pt>
                <c:pt idx="98">
                  <c:v>1.625626301804435</c:v>
                </c:pt>
                <c:pt idx="99">
                  <c:v>1.6260667812696639</c:v>
                </c:pt>
                <c:pt idx="100">
                  <c:v>1.6265104648225828</c:v>
                </c:pt>
                <c:pt idx="101">
                  <c:v>1.6269576707292439</c:v>
                </c:pt>
                <c:pt idx="102">
                  <c:v>1.62740872692915</c:v>
                </c:pt>
                <c:pt idx="103">
                  <c:v>1.6278639720656416</c:v>
                </c:pt>
                <c:pt idx="104">
                  <c:v>1.6283237565938269</c:v>
                </c:pt>
                <c:pt idx="105">
                  <c:v>1.6287884439570526</c:v>
                </c:pt>
                <c:pt idx="106">
                  <c:v>1.6292584118395634</c:v>
                </c:pt>
                <c:pt idx="107">
                  <c:v>1.6297340535204583</c:v>
                </c:pt>
                <c:pt idx="108">
                  <c:v>1.6302157793335892</c:v>
                </c:pt>
                <c:pt idx="109">
                  <c:v>1.6307040182324304</c:v>
                </c:pt>
                <c:pt idx="110">
                  <c:v>1.6311992195077414</c:v>
                </c:pt>
                <c:pt idx="111">
                  <c:v>1.6317018546118556</c:v>
                </c:pt>
                <c:pt idx="112">
                  <c:v>1.6322124191863956</c:v>
                </c:pt>
                <c:pt idx="113">
                  <c:v>1.6327314352496625</c:v>
                </c:pt>
                <c:pt idx="114">
                  <c:v>1.6332594535890745</c:v>
                </c:pt>
                <c:pt idx="115">
                  <c:v>1.6337970563852615</c:v>
                </c:pt>
                <c:pt idx="116">
                  <c:v>1.6343448600975838</c:v>
                </c:pt>
                <c:pt idx="117">
                  <c:v>1.6349035186299925</c:v>
                </c:pt>
                <c:pt idx="118">
                  <c:v>1.635473726832807</c:v>
                </c:pt>
                <c:pt idx="119">
                  <c:v>1.6360562243547532</c:v>
                </c:pt>
                <c:pt idx="120">
                  <c:v>1.6366517999312848</c:v>
                </c:pt>
                <c:pt idx="121">
                  <c:v>1.6372612961291548</c:v>
                </c:pt>
                <c:pt idx="122">
                  <c:v>1.637885614636752</c:v>
                </c:pt>
                <c:pt idx="123">
                  <c:v>1.6385257221433547</c:v>
                </c:pt>
                <c:pt idx="124">
                  <c:v>1.6391826569458068</c:v>
                </c:pt>
                <c:pt idx="125">
                  <c:v>1.6398575363012637</c:v>
                </c:pt>
                <c:pt idx="126">
                  <c:v>1.6405515647427131</c:v>
                </c:pt>
                <c:pt idx="127">
                  <c:v>1.6412660433998212</c:v>
                </c:pt>
                <c:pt idx="128">
                  <c:v>1.642002380535295</c:v>
                </c:pt>
                <c:pt idx="129">
                  <c:v>1.6427621034890683</c:v>
                </c:pt>
                <c:pt idx="130">
                  <c:v>1.643546872219777</c:v>
                </c:pt>
                <c:pt idx="131">
                  <c:v>1.6443584947418264</c:v>
                </c:pt>
                <c:pt idx="132">
                  <c:v>1.6455265997295432</c:v>
                </c:pt>
                <c:pt idx="133">
                  <c:v>1.6505670667843741</c:v>
                </c:pt>
                <c:pt idx="134">
                  <c:v>1.659716710459137</c:v>
                </c:pt>
                <c:pt idx="135">
                  <c:v>1.6724353791434496</c:v>
                </c:pt>
                <c:pt idx="136">
                  <c:v>1.6884741892456159</c:v>
                </c:pt>
                <c:pt idx="137">
                  <c:v>1.7077850672953478</c:v>
                </c:pt>
                <c:pt idx="138">
                  <c:v>1.730478291270827</c:v>
                </c:pt>
                <c:pt idx="139">
                  <c:v>1.7566754585541837</c:v>
                </c:pt>
                <c:pt idx="140">
                  <c:v>1.7858330130601521</c:v>
                </c:pt>
                <c:pt idx="141">
                  <c:v>1.8178717498423982</c:v>
                </c:pt>
                <c:pt idx="142">
                  <c:v>1.8528581025577342</c:v>
                </c:pt>
                <c:pt idx="143">
                  <c:v>1.8908838420949821</c:v>
                </c:pt>
                <c:pt idx="144">
                  <c:v>1.9320505672411732</c:v>
                </c:pt>
                <c:pt idx="145">
                  <c:v>1.9764504309436293</c:v>
                </c:pt>
                <c:pt idx="146">
                  <c:v>2.0241406942221705</c:v>
                </c:pt>
                <c:pt idx="147">
                  <c:v>2.0751094750936416</c:v>
                </c:pt>
                <c:pt idx="148">
                  <c:v>2.1292298948354293</c:v>
                </c:pt>
                <c:pt idx="149">
                  <c:v>2.1861998291535887</c:v>
                </c:pt>
                <c:pt idx="150">
                  <c:v>2.2454646168754948</c:v>
                </c:pt>
                <c:pt idx="151">
                  <c:v>2.3061198999915429</c:v>
                </c:pt>
                <c:pt idx="152">
                  <c:v>2.366489872578275</c:v>
                </c:pt>
                <c:pt idx="153">
                  <c:v>2.422901702836938</c:v>
                </c:pt>
                <c:pt idx="154">
                  <c:v>2.4730257791090482</c:v>
                </c:pt>
                <c:pt idx="155">
                  <c:v>2.5141682710275886</c:v>
                </c:pt>
                <c:pt idx="156">
                  <c:v>2.542312352332627</c:v>
                </c:pt>
                <c:pt idx="157">
                  <c:v>2.5517700712023013</c:v>
                </c:pt>
                <c:pt idx="158">
                  <c:v>2.5546291708162761</c:v>
                </c:pt>
                <c:pt idx="159">
                  <c:v>2.5574239698570334</c:v>
                </c:pt>
                <c:pt idx="160">
                  <c:v>2.5601581818924601</c:v>
                </c:pt>
                <c:pt idx="161">
                  <c:v>2.5628352942731158</c:v>
                </c:pt>
                <c:pt idx="162">
                  <c:v>2.5654585868697168</c:v>
                </c:pt>
                <c:pt idx="163">
                  <c:v>2.568031149087608</c:v>
                </c:pt>
                <c:pt idx="164">
                  <c:v>2.5705558953389471</c:v>
                </c:pt>
                <c:pt idx="165">
                  <c:v>2.5730355791094977</c:v>
                </c:pt>
                <c:pt idx="166">
                  <c:v>2.5754728058252105</c:v>
                </c:pt>
                <c:pt idx="167">
                  <c:v>2.577870044575798</c:v>
                </c:pt>
                <c:pt idx="168">
                  <c:v>2.580229638871554</c:v>
                </c:pt>
                <c:pt idx="169">
                  <c:v>2.5825538165048876</c:v>
                </c:pt>
                <c:pt idx="170">
                  <c:v>2.5848446986061706</c:v>
                </c:pt>
                <c:pt idx="171">
                  <c:v>2.587104307980975</c:v>
                </c:pt>
                <c:pt idx="172">
                  <c:v>2.5893345768069649</c:v>
                </c:pt>
                <c:pt idx="173">
                  <c:v>2.5915373537383113</c:v>
                </c:pt>
                <c:pt idx="174">
                  <c:v>2.5937144104837162</c:v>
                </c:pt>
                <c:pt idx="175">
                  <c:v>2.5958674479183665</c:v>
                </c:pt>
                <c:pt idx="176">
                  <c:v>2.5979981017557368</c:v>
                </c:pt>
                <c:pt idx="177">
                  <c:v>2.6001079478426234</c:v>
                </c:pt>
                <c:pt idx="178">
                  <c:v>2.6021985070941427</c:v>
                </c:pt>
                <c:pt idx="179">
                  <c:v>2.6042712501195848</c:v>
                </c:pt>
                <c:pt idx="180">
                  <c:v>2.6063276015662749</c:v>
                </c:pt>
                <c:pt idx="181">
                  <c:v>2.6083689442012212</c:v>
                </c:pt>
                <c:pt idx="182">
                  <c:v>2.6103966227672437</c:v>
                </c:pt>
                <c:pt idx="183">
                  <c:v>2.6124119476259615</c:v>
                </c:pt>
                <c:pt idx="184">
                  <c:v>2.6144161982174166</c:v>
                </c:pt>
                <c:pt idx="185">
                  <c:v>2.6164106263596341</c:v>
                </c:pt>
                <c:pt idx="186">
                  <c:v>2.6183964593898055</c:v>
                </c:pt>
                <c:pt idx="187">
                  <c:v>2.6203749031843997</c:v>
                </c:pt>
                <c:pt idx="188">
                  <c:v>2.622347145052613</c:v>
                </c:pt>
                <c:pt idx="189">
                  <c:v>2.6243143565374565</c:v>
                </c:pt>
                <c:pt idx="190">
                  <c:v>2.6262776961292724</c:v>
                </c:pt>
                <c:pt idx="191">
                  <c:v>2.6282383118960135</c:v>
                </c:pt>
                <c:pt idx="192">
                  <c:v>2.6301973440576352</c:v>
                </c:pt>
                <c:pt idx="193">
                  <c:v>2.6321559275092858</c:v>
                </c:pt>
                <c:pt idx="194">
                  <c:v>2.6341151942973973</c:v>
                </c:pt>
                <c:pt idx="195">
                  <c:v>2.6360762760593071</c:v>
                </c:pt>
                <c:pt idx="196">
                  <c:v>2.6380403064636484</c:v>
                </c:pt>
                <c:pt idx="197">
                  <c:v>2.6400084236026053</c:v>
                </c:pt>
                <c:pt idx="198">
                  <c:v>2.6419817724114338</c:v>
                </c:pt>
                <c:pt idx="199">
                  <c:v>2.6439615070681994</c:v>
                </c:pt>
                <c:pt idx="200">
                  <c:v>2.6459487934079498</c:v>
                </c:pt>
                <c:pt idx="201">
                  <c:v>2.6479448113647552</c:v>
                </c:pt>
                <c:pt idx="202">
                  <c:v>2.6567146564179311</c:v>
                </c:pt>
                <c:pt idx="203">
                  <c:v>2.6880659894811121</c:v>
                </c:pt>
                <c:pt idx="204">
                  <c:v>2.729718388363215</c:v>
                </c:pt>
                <c:pt idx="205">
                  <c:v>2.7825350737493482</c:v>
                </c:pt>
                <c:pt idx="206">
                  <c:v>2.8483500977897167</c:v>
                </c:pt>
                <c:pt idx="207">
                  <c:v>2.9270589818994801</c:v>
                </c:pt>
                <c:pt idx="208">
                  <c:v>3.0183065229583823</c:v>
                </c:pt>
                <c:pt idx="209">
                  <c:v>3.1227088275962083</c:v>
                </c:pt>
                <c:pt idx="210">
                  <c:v>3.0430346167715601</c:v>
                </c:pt>
                <c:pt idx="211">
                  <c:v>2.9139401688251718</c:v>
                </c:pt>
                <c:pt idx="212">
                  <c:v>2.7762532801461828</c:v>
                </c:pt>
                <c:pt idx="213">
                  <c:v>2.6277237793670132</c:v>
                </c:pt>
                <c:pt idx="214">
                  <c:v>2.468767530920001</c:v>
                </c:pt>
                <c:pt idx="215">
                  <c:v>2.322703062631315</c:v>
                </c:pt>
                <c:pt idx="216">
                  <c:v>2.1934312425404503</c:v>
                </c:pt>
                <c:pt idx="217">
                  <c:v>2.0821809109813767</c:v>
                </c:pt>
                <c:pt idx="218">
                  <c:v>1.9883885784156592</c:v>
                </c:pt>
                <c:pt idx="219">
                  <c:v>1.9106634230128778</c:v>
                </c:pt>
                <c:pt idx="220">
                  <c:v>1.847490478362426</c:v>
                </c:pt>
                <c:pt idx="221">
                  <c:v>1.7976566430163334</c:v>
                </c:pt>
                <c:pt idx="222">
                  <c:v>1.7605134192154743</c:v>
                </c:pt>
                <c:pt idx="223">
                  <c:v>1.7362089340112707</c:v>
                </c:pt>
                <c:pt idx="224">
                  <c:v>1.7260266454227304</c:v>
                </c:pt>
                <c:pt idx="225">
                  <c:v>1.7233957258235026</c:v>
                </c:pt>
                <c:pt idx="226">
                  <c:v>1.7208646070469007</c:v>
                </c:pt>
                <c:pt idx="227">
                  <c:v>1.718426282317884</c:v>
                </c:pt>
                <c:pt idx="228">
                  <c:v>1.7160736989812755</c:v>
                </c:pt>
                <c:pt idx="229">
                  <c:v>1.7138004567559053</c:v>
                </c:pt>
                <c:pt idx="230">
                  <c:v>1.7116007305268282</c:v>
                </c:pt>
                <c:pt idx="231">
                  <c:v>1.709469203832227</c:v>
                </c:pt>
                <c:pt idx="232">
                  <c:v>1.707401011192202</c:v>
                </c:pt>
                <c:pt idx="233">
                  <c:v>1.7053916880805284</c:v>
                </c:pt>
                <c:pt idx="234">
                  <c:v>1.7034371272177087</c:v>
                </c:pt>
                <c:pt idx="235">
                  <c:v>1.7015335404145706</c:v>
                </c:pt>
                <c:pt idx="236">
                  <c:v>1.6996774249688713</c:v>
                </c:pt>
                <c:pt idx="237">
                  <c:v>1.6978655341385736</c:v>
                </c:pt>
                <c:pt idx="238">
                  <c:v>1.6960948509859561</c:v>
                </c:pt>
                <c:pt idx="239">
                  <c:v>1.6943625652093708</c:v>
                </c:pt>
                <c:pt idx="240">
                  <c:v>1.6926660525413617</c:v>
                </c:pt>
                <c:pt idx="241">
                  <c:v>1.6910028563102657</c:v>
                </c:pt>
                <c:pt idx="242">
                  <c:v>1.6893706709746648</c:v>
                </c:pt>
                <c:pt idx="243">
                  <c:v>1.6877673272987919</c:v>
                </c:pt>
                <c:pt idx="244">
                  <c:v>1.6861907789750588</c:v>
                </c:pt>
                <c:pt idx="245">
                  <c:v>1.6846390905634296</c:v>
                </c:pt>
                <c:pt idx="246">
                  <c:v>1.6831104264407097</c:v>
                </c:pt>
                <c:pt idx="247">
                  <c:v>1.6834043318565455</c:v>
                </c:pt>
                <c:pt idx="248">
                  <c:v>1.6819096863730678</c:v>
                </c:pt>
                <c:pt idx="249">
                  <c:v>1.6804331171738778</c:v>
                </c:pt>
                <c:pt idx="250">
                  <c:v>1.6789730880343383</c:v>
                </c:pt>
                <c:pt idx="251">
                  <c:v>1.6775281198761285</c:v>
                </c:pt>
                <c:pt idx="252">
                  <c:v>1.6760967838916863</c:v>
                </c:pt>
                <c:pt idx="253">
                  <c:v>1.6746776950295941</c:v>
                </c:pt>
                <c:pt idx="254">
                  <c:v>1.6732695057761318</c:v>
                </c:pt>
                <c:pt idx="255">
                  <c:v>1.6718709002098475</c:v>
                </c:pt>
                <c:pt idx="256">
                  <c:v>1.6704805882437681</c:v>
                </c:pt>
                <c:pt idx="257">
                  <c:v>1.6690972999417852</c:v>
                </c:pt>
                <c:pt idx="258">
                  <c:v>1.6677197799696561</c:v>
                </c:pt>
                <c:pt idx="259">
                  <c:v>1.6663467820016964</c:v>
                </c:pt>
                <c:pt idx="260">
                  <c:v>1.6649770630420566</c:v>
                </c:pt>
                <c:pt idx="261">
                  <c:v>1.6636093776633685</c:v>
                </c:pt>
                <c:pt idx="262">
                  <c:v>1.6622424719967939</c:v>
                </c:pt>
                <c:pt idx="263">
                  <c:v>1.6608750774032253</c:v>
                </c:pt>
                <c:pt idx="264">
                  <c:v>1.6595059037980902</c:v>
                </c:pt>
                <c:pt idx="265">
                  <c:v>1.658133632436247</c:v>
                </c:pt>
                <c:pt idx="266">
                  <c:v>1.6567569080586753</c:v>
                </c:pt>
                <c:pt idx="267">
                  <c:v>1.6553743302541817</c:v>
                </c:pt>
                <c:pt idx="268">
                  <c:v>1.6539844438360485</c:v>
                </c:pt>
                <c:pt idx="269">
                  <c:v>1.6525857280343106</c:v>
                </c:pt>
                <c:pt idx="270">
                  <c:v>1.6513620586941482</c:v>
                </c:pt>
                <c:pt idx="271">
                  <c:v>1.6501432799834179</c:v>
                </c:pt>
                <c:pt idx="272">
                  <c:v>1.6489284530674093</c:v>
                </c:pt>
                <c:pt idx="273">
                  <c:v>1.6477166534602399</c:v>
                </c:pt>
                <c:pt idx="274">
                  <c:v>1.6465069679071169</c:v>
                </c:pt>
                <c:pt idx="275">
                  <c:v>1.6452984913976396</c:v>
                </c:pt>
                <c:pt idx="276">
                  <c:v>1.6440903241679259</c:v>
                </c:pt>
                <c:pt idx="277">
                  <c:v>1.6428815688305465</c:v>
                </c:pt>
                <c:pt idx="278">
                  <c:v>1.6416713274661066</c:v>
                </c:pt>
                <c:pt idx="279">
                  <c:v>1.6404586987473853</c:v>
                </c:pt>
                <c:pt idx="280">
                  <c:v>1.6392427750277412</c:v>
                </c:pt>
                <c:pt idx="281">
                  <c:v>1.6380226394273356</c:v>
                </c:pt>
                <c:pt idx="282">
                  <c:v>1.636797362796153</c:v>
                </c:pt>
                <c:pt idx="283">
                  <c:v>1.635566000655696</c:v>
                </c:pt>
                <c:pt idx="284">
                  <c:v>1.6343275900115073</c:v>
                </c:pt>
                <c:pt idx="285">
                  <c:v>1.633081146006669</c:v>
                </c:pt>
                <c:pt idx="286">
                  <c:v>1.6318256584746902</c:v>
                </c:pt>
                <c:pt idx="287">
                  <c:v>1.630560088282808</c:v>
                </c:pt>
                <c:pt idx="288">
                  <c:v>1.629283363430565</c:v>
                </c:pt>
                <c:pt idx="289">
                  <c:v>1.6279943749386379</c:v>
                </c:pt>
                <c:pt idx="290">
                  <c:v>1.6266919724551985</c:v>
                </c:pt>
                <c:pt idx="291">
                  <c:v>1.6253749594867426</c:v>
                </c:pt>
                <c:pt idx="292">
                  <c:v>1.6240420883294482</c:v>
                </c:pt>
                <c:pt idx="293">
                  <c:v>1.6226920545066899</c:v>
                </c:pt>
                <c:pt idx="294">
                  <c:v>1.6213234907447165</c:v>
                </c:pt>
                <c:pt idx="295">
                  <c:v>1.6199349604362807</c:v>
                </c:pt>
                <c:pt idx="296">
                  <c:v>1.6185249504398256</c:v>
                </c:pt>
                <c:pt idx="297">
                  <c:v>1.6170918631668327</c:v>
                </c:pt>
                <c:pt idx="298">
                  <c:v>1.6156340078955422</c:v>
                </c:pt>
                <c:pt idx="299">
                  <c:v>1.6141495911497057</c:v>
                </c:pt>
                <c:pt idx="300">
                  <c:v>1.6126367060109719</c:v>
                </c:pt>
                <c:pt idx="301">
                  <c:v>1.6110933202483866</c:v>
                </c:pt>
                <c:pt idx="302">
                  <c:v>1.6095172630976793</c:v>
                </c:pt>
                <c:pt idx="303">
                  <c:v>1.6079062104022761</c:v>
                </c:pt>
                <c:pt idx="304">
                  <c:v>1.606257668010022</c:v>
                </c:pt>
                <c:pt idx="305">
                  <c:v>1.6045689530217973</c:v>
                </c:pt>
                <c:pt idx="306">
                  <c:v>1.6028371726332511</c:v>
                </c:pt>
                <c:pt idx="307">
                  <c:v>1.6010592001810073</c:v>
                </c:pt>
                <c:pt idx="308">
                  <c:v>1.5992316478707267</c:v>
                </c:pt>
                <c:pt idx="309">
                  <c:v>1.5973508357287234</c:v>
                </c:pt>
                <c:pt idx="310">
                  <c:v>1.5954476232748152</c:v>
                </c:pt>
                <c:pt idx="311">
                  <c:v>1.5935918028910294</c:v>
                </c:pt>
                <c:pt idx="312">
                  <c:v>1.5915075154854768</c:v>
                </c:pt>
                <c:pt idx="313">
                  <c:v>1.5893005634898716</c:v>
                </c:pt>
                <c:pt idx="314">
                  <c:v>1.5871666420154453</c:v>
                </c:pt>
                <c:pt idx="315">
                  <c:v>1.5851005308410191</c:v>
                </c:pt>
                <c:pt idx="316">
                  <c:v>1.5830973944645044</c:v>
                </c:pt>
                <c:pt idx="317">
                  <c:v>1.5811527380623984</c:v>
                </c:pt>
                <c:pt idx="318">
                  <c:v>1.579262367853252</c:v>
                </c:pt>
                <c:pt idx="319">
                  <c:v>1.5774223553141573</c:v>
                </c:pt>
                <c:pt idx="320">
                  <c:v>1.5756290043888035</c:v>
                </c:pt>
                <c:pt idx="321">
                  <c:v>1.5738788212374957</c:v>
                </c:pt>
                <c:pt idx="322">
                  <c:v>1.5721684859985372</c:v>
                </c:pt>
                <c:pt idx="323">
                  <c:v>1.5704948258841436</c:v>
                </c:pt>
                <c:pt idx="324">
                  <c:v>1.5688547893735258</c:v>
                </c:pt>
                <c:pt idx="325">
                  <c:v>1.5672454207358648</c:v>
                </c:pt>
                <c:pt idx="326">
                  <c:v>1.5656638345798568</c:v>
                </c:pt>
                <c:pt idx="327">
                  <c:v>1.5641071896877519</c:v>
                </c:pt>
                <c:pt idx="328">
                  <c:v>1.5625726615924835</c:v>
                </c:pt>
                <c:pt idx="329">
                  <c:v>1.5610574131257098</c:v>
                </c:pt>
                <c:pt idx="330">
                  <c:v>1.5595585619918053</c:v>
                </c:pt>
                <c:pt idx="331">
                  <c:v>1.5580731443496385</c:v>
                </c:pt>
                <c:pt idx="332">
                  <c:v>1.5565980728893545</c:v>
                </c:pt>
                <c:pt idx="333">
                  <c:v>1.5551300877768208</c:v>
                </c:pt>
                <c:pt idx="334">
                  <c:v>1.5536656979875378</c:v>
                </c:pt>
                <c:pt idx="335">
                  <c:v>1.5522011101252009</c:v>
                </c:pt>
                <c:pt idx="336">
                  <c:v>1.5507321404442369</c:v>
                </c:pt>
                <c:pt idx="337">
                  <c:v>1.5492541046708104</c:v>
                </c:pt>
                <c:pt idx="338">
                  <c:v>1.5477616776403071</c:v>
                </c:pt>
                <c:pt idx="339">
                  <c:v>1.5462487120301243</c:v>
                </c:pt>
                <c:pt idx="340">
                  <c:v>1.5447080005232749</c:v>
                </c:pt>
                <c:pt idx="341">
                  <c:v>1.5431309587000845</c:v>
                </c:pt>
                <c:pt idx="342">
                  <c:v>1.5415071949999801</c:v>
                </c:pt>
                <c:pt idx="343">
                  <c:v>1.5398239164916403</c:v>
                </c:pt>
                <c:pt idx="344">
                  <c:v>1.5380650908869262</c:v>
                </c:pt>
                <c:pt idx="345">
                  <c:v>1.536210237126171</c:v>
                </c:pt>
                <c:pt idx="346">
                  <c:v>1.5342326340958954</c:v>
                </c:pt>
                <c:pt idx="347">
                  <c:v>1.5320965866879697</c:v>
                </c:pt>
                <c:pt idx="348">
                  <c:v>1.5297531052508531</c:v>
                </c:pt>
                <c:pt idx="349">
                  <c:v>1.5271327906015097</c:v>
                </c:pt>
                <c:pt idx="350">
                  <c:v>1.5241335225842525</c:v>
                </c:pt>
                <c:pt idx="351">
                  <c:v>1.5203883288439235</c:v>
                </c:pt>
                <c:pt idx="352">
                  <c:v>1.517206150716967</c:v>
                </c:pt>
                <c:pt idx="353">
                  <c:v>1.5115892430618774</c:v>
                </c:pt>
                <c:pt idx="354">
                  <c:v>1.5038673765631947</c:v>
                </c:pt>
                <c:pt idx="355">
                  <c:v>1.4920159397577086</c:v>
                </c:pt>
                <c:pt idx="356">
                  <c:v>1.4699572144321433</c:v>
                </c:pt>
                <c:pt idx="357">
                  <c:v>1.4055794716134395</c:v>
                </c:pt>
                <c:pt idx="358">
                  <c:v>0.81233386529904406</c:v>
                </c:pt>
                <c:pt idx="359">
                  <c:v>1.4359336692425584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C15-452B-86B0-21DF09300368}"/>
            </c:ext>
          </c:extLst>
        </c:ser>
        <c:ser>
          <c:idx val="1"/>
          <c:order val="1"/>
          <c:tx>
            <c:v>Tan-1 @ alphs vs req res Tan-1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L_Section_Capacity!$AS$2:$AS$362</c:f>
              <c:numCache>
                <c:formatCode>General</c:formatCode>
                <c:ptCount val="361"/>
                <c:pt idx="0">
                  <c:v>0</c:v>
                </c:pt>
                <c:pt idx="1">
                  <c:v>1.7453292519943295E-2</c:v>
                </c:pt>
                <c:pt idx="2">
                  <c:v>3.4906585039886591E-2</c:v>
                </c:pt>
                <c:pt idx="3">
                  <c:v>5.235987755982989E-2</c:v>
                </c:pt>
                <c:pt idx="4">
                  <c:v>6.9813170079773182E-2</c:v>
                </c:pt>
                <c:pt idx="5">
                  <c:v>8.7266462599716474E-2</c:v>
                </c:pt>
                <c:pt idx="6">
                  <c:v>0.10471975511965977</c:v>
                </c:pt>
                <c:pt idx="7">
                  <c:v>0.12217304763960306</c:v>
                </c:pt>
                <c:pt idx="8">
                  <c:v>0.13962634015954636</c:v>
                </c:pt>
                <c:pt idx="9">
                  <c:v>0.15707963267948966</c:v>
                </c:pt>
                <c:pt idx="10">
                  <c:v>0.17453292519943295</c:v>
                </c:pt>
                <c:pt idx="11">
                  <c:v>0.19198621771937624</c:v>
                </c:pt>
                <c:pt idx="12">
                  <c:v>0.20943951023931953</c:v>
                </c:pt>
                <c:pt idx="13">
                  <c:v>0.22689280275926282</c:v>
                </c:pt>
                <c:pt idx="14">
                  <c:v>0.24434609527920612</c:v>
                </c:pt>
                <c:pt idx="15">
                  <c:v>0.26179938779914941</c:v>
                </c:pt>
                <c:pt idx="16">
                  <c:v>0.27925268031909273</c:v>
                </c:pt>
                <c:pt idx="17">
                  <c:v>0.29670597283903605</c:v>
                </c:pt>
                <c:pt idx="18">
                  <c:v>0.31415926535897937</c:v>
                </c:pt>
                <c:pt idx="19">
                  <c:v>0.33161255787892269</c:v>
                </c:pt>
                <c:pt idx="20">
                  <c:v>0.34906585039886601</c:v>
                </c:pt>
                <c:pt idx="21">
                  <c:v>0.36651914291880933</c:v>
                </c:pt>
                <c:pt idx="22">
                  <c:v>0.38397243543875265</c:v>
                </c:pt>
                <c:pt idx="23">
                  <c:v>0.40142572795869597</c:v>
                </c:pt>
                <c:pt idx="24">
                  <c:v>0.41887902047863929</c:v>
                </c:pt>
                <c:pt idx="25">
                  <c:v>0.43633231299858261</c:v>
                </c:pt>
                <c:pt idx="26">
                  <c:v>0.45378560551852593</c:v>
                </c:pt>
                <c:pt idx="27">
                  <c:v>0.47123889803846924</c:v>
                </c:pt>
                <c:pt idx="28">
                  <c:v>0.48869219055841256</c:v>
                </c:pt>
                <c:pt idx="29">
                  <c:v>0.50614548307835583</c:v>
                </c:pt>
                <c:pt idx="30">
                  <c:v>0.52359877559829915</c:v>
                </c:pt>
                <c:pt idx="31">
                  <c:v>0.54105206811824247</c:v>
                </c:pt>
                <c:pt idx="32">
                  <c:v>0.55850536063818579</c:v>
                </c:pt>
                <c:pt idx="33">
                  <c:v>0.57595865315812911</c:v>
                </c:pt>
                <c:pt idx="34">
                  <c:v>0.59341194567807243</c:v>
                </c:pt>
                <c:pt idx="35">
                  <c:v>0.61086523819801575</c:v>
                </c:pt>
                <c:pt idx="36">
                  <c:v>0.62831853071795907</c:v>
                </c:pt>
                <c:pt idx="37">
                  <c:v>0.64577182323790239</c:v>
                </c:pt>
                <c:pt idx="38">
                  <c:v>0.66322511575784571</c:v>
                </c:pt>
                <c:pt idx="39">
                  <c:v>0.68067840827778903</c:v>
                </c:pt>
                <c:pt idx="40">
                  <c:v>0.69813170079773235</c:v>
                </c:pt>
                <c:pt idx="41">
                  <c:v>0.71558499331767567</c:v>
                </c:pt>
                <c:pt idx="42">
                  <c:v>0.73303828583761899</c:v>
                </c:pt>
                <c:pt idx="43">
                  <c:v>0.75049157835756231</c:v>
                </c:pt>
                <c:pt idx="44">
                  <c:v>0.76794487087750563</c:v>
                </c:pt>
                <c:pt idx="45">
                  <c:v>0.78539816339744895</c:v>
                </c:pt>
                <c:pt idx="46">
                  <c:v>0.80285145591739226</c:v>
                </c:pt>
                <c:pt idx="47">
                  <c:v>0.82030474843733558</c:v>
                </c:pt>
                <c:pt idx="48">
                  <c:v>0.8377580409572789</c:v>
                </c:pt>
                <c:pt idx="49">
                  <c:v>0.85521133347722222</c:v>
                </c:pt>
                <c:pt idx="50">
                  <c:v>0.87266462599716554</c:v>
                </c:pt>
                <c:pt idx="51">
                  <c:v>0.89011791851710886</c:v>
                </c:pt>
                <c:pt idx="52">
                  <c:v>0.90757121103705218</c:v>
                </c:pt>
                <c:pt idx="53">
                  <c:v>0.9250245035569955</c:v>
                </c:pt>
                <c:pt idx="54">
                  <c:v>0.94247779607693882</c:v>
                </c:pt>
                <c:pt idx="55">
                  <c:v>0.95993108859688214</c:v>
                </c:pt>
                <c:pt idx="56">
                  <c:v>0.97738438111682546</c:v>
                </c:pt>
                <c:pt idx="57">
                  <c:v>0.99483767363676878</c:v>
                </c:pt>
                <c:pt idx="58">
                  <c:v>1.0122909661567121</c:v>
                </c:pt>
                <c:pt idx="59">
                  <c:v>1.0297442586766554</c:v>
                </c:pt>
                <c:pt idx="60">
                  <c:v>1.0471975511965987</c:v>
                </c:pt>
                <c:pt idx="61">
                  <c:v>1.0646508437165421</c:v>
                </c:pt>
                <c:pt idx="62">
                  <c:v>1.0821041362364854</c:v>
                </c:pt>
                <c:pt idx="63">
                  <c:v>1.0995574287564287</c:v>
                </c:pt>
                <c:pt idx="64">
                  <c:v>1.117010721276372</c:v>
                </c:pt>
                <c:pt idx="65">
                  <c:v>1.1344640137963153</c:v>
                </c:pt>
                <c:pt idx="66">
                  <c:v>1.1519173063162587</c:v>
                </c:pt>
                <c:pt idx="67">
                  <c:v>1.169370598836202</c:v>
                </c:pt>
                <c:pt idx="68">
                  <c:v>1.1868238913561453</c:v>
                </c:pt>
                <c:pt idx="69">
                  <c:v>1.2042771838760886</c:v>
                </c:pt>
                <c:pt idx="70">
                  <c:v>1.2217304763960319</c:v>
                </c:pt>
                <c:pt idx="71">
                  <c:v>1.2391837689159753</c:v>
                </c:pt>
                <c:pt idx="72">
                  <c:v>1.2566370614359186</c:v>
                </c:pt>
                <c:pt idx="73">
                  <c:v>1.2740903539558619</c:v>
                </c:pt>
                <c:pt idx="74">
                  <c:v>1.2915436464758052</c:v>
                </c:pt>
                <c:pt idx="75">
                  <c:v>1.3089969389957485</c:v>
                </c:pt>
                <c:pt idx="76">
                  <c:v>1.3264502315156919</c:v>
                </c:pt>
                <c:pt idx="77">
                  <c:v>1.3439035240356352</c:v>
                </c:pt>
                <c:pt idx="78">
                  <c:v>1.3613568165555785</c:v>
                </c:pt>
                <c:pt idx="79">
                  <c:v>1.3788101090755218</c:v>
                </c:pt>
                <c:pt idx="80">
                  <c:v>1.3962634015954651</c:v>
                </c:pt>
                <c:pt idx="81">
                  <c:v>1.4137166941154085</c:v>
                </c:pt>
                <c:pt idx="82">
                  <c:v>1.4311699866353518</c:v>
                </c:pt>
                <c:pt idx="83">
                  <c:v>1.4486232791552951</c:v>
                </c:pt>
                <c:pt idx="84">
                  <c:v>1.4660765716752384</c:v>
                </c:pt>
                <c:pt idx="85">
                  <c:v>1.4835298641951817</c:v>
                </c:pt>
                <c:pt idx="86">
                  <c:v>1.5009831567151251</c:v>
                </c:pt>
                <c:pt idx="87">
                  <c:v>1.5184364492350684</c:v>
                </c:pt>
                <c:pt idx="88">
                  <c:v>1.5358897417550117</c:v>
                </c:pt>
                <c:pt idx="89">
                  <c:v>1.553343034274955</c:v>
                </c:pt>
                <c:pt idx="90">
                  <c:v>1.5707963267948983</c:v>
                </c:pt>
                <c:pt idx="91">
                  <c:v>1.5882496193148417</c:v>
                </c:pt>
                <c:pt idx="92">
                  <c:v>1.605702911834785</c:v>
                </c:pt>
                <c:pt idx="93">
                  <c:v>1.6231562043547283</c:v>
                </c:pt>
                <c:pt idx="94">
                  <c:v>1.6406094968746716</c:v>
                </c:pt>
                <c:pt idx="95">
                  <c:v>1.6580627893946149</c:v>
                </c:pt>
                <c:pt idx="96">
                  <c:v>1.6755160819145583</c:v>
                </c:pt>
                <c:pt idx="97">
                  <c:v>1.6929693744345016</c:v>
                </c:pt>
                <c:pt idx="98">
                  <c:v>1.7104226669544449</c:v>
                </c:pt>
                <c:pt idx="99">
                  <c:v>1.7278759594743882</c:v>
                </c:pt>
                <c:pt idx="100">
                  <c:v>1.7453292519943315</c:v>
                </c:pt>
                <c:pt idx="101">
                  <c:v>1.7627825445142749</c:v>
                </c:pt>
                <c:pt idx="102">
                  <c:v>1.7802358370342182</c:v>
                </c:pt>
                <c:pt idx="103">
                  <c:v>1.7976891295541615</c:v>
                </c:pt>
                <c:pt idx="104">
                  <c:v>1.8151424220741048</c:v>
                </c:pt>
                <c:pt idx="105">
                  <c:v>1.8325957145940481</c:v>
                </c:pt>
                <c:pt idx="106">
                  <c:v>1.8500490071139915</c:v>
                </c:pt>
                <c:pt idx="107">
                  <c:v>1.8675022996339348</c:v>
                </c:pt>
                <c:pt idx="108">
                  <c:v>1.8849555921538781</c:v>
                </c:pt>
                <c:pt idx="109">
                  <c:v>1.9024088846738214</c:v>
                </c:pt>
                <c:pt idx="110">
                  <c:v>1.9198621771937647</c:v>
                </c:pt>
                <c:pt idx="111">
                  <c:v>1.937315469713708</c:v>
                </c:pt>
                <c:pt idx="112">
                  <c:v>1.9547687622336514</c:v>
                </c:pt>
                <c:pt idx="113">
                  <c:v>1.9722220547535947</c:v>
                </c:pt>
                <c:pt idx="114">
                  <c:v>1.989675347273538</c:v>
                </c:pt>
                <c:pt idx="115">
                  <c:v>2.0071286397934811</c:v>
                </c:pt>
                <c:pt idx="116">
                  <c:v>2.0245819323134242</c:v>
                </c:pt>
                <c:pt idx="117">
                  <c:v>2.0420352248333673</c:v>
                </c:pt>
                <c:pt idx="118">
                  <c:v>2.0594885173533104</c:v>
                </c:pt>
                <c:pt idx="119">
                  <c:v>2.0769418098732535</c:v>
                </c:pt>
                <c:pt idx="120">
                  <c:v>2.0943951023931966</c:v>
                </c:pt>
                <c:pt idx="121">
                  <c:v>2.1118483949131397</c:v>
                </c:pt>
                <c:pt idx="122">
                  <c:v>2.1293016874330828</c:v>
                </c:pt>
                <c:pt idx="123">
                  <c:v>2.1467549799530259</c:v>
                </c:pt>
                <c:pt idx="124">
                  <c:v>2.164208272472969</c:v>
                </c:pt>
                <c:pt idx="125">
                  <c:v>2.1816615649929121</c:v>
                </c:pt>
                <c:pt idx="126">
                  <c:v>2.1991148575128552</c:v>
                </c:pt>
                <c:pt idx="127">
                  <c:v>2.2165681500327983</c:v>
                </c:pt>
                <c:pt idx="128">
                  <c:v>2.2340214425527414</c:v>
                </c:pt>
                <c:pt idx="129">
                  <c:v>2.2514747350726845</c:v>
                </c:pt>
                <c:pt idx="130">
                  <c:v>2.2689280275926276</c:v>
                </c:pt>
                <c:pt idx="131">
                  <c:v>2.2863813201125707</c:v>
                </c:pt>
                <c:pt idx="132">
                  <c:v>2.3038346126325138</c:v>
                </c:pt>
                <c:pt idx="133">
                  <c:v>2.3212879051524569</c:v>
                </c:pt>
                <c:pt idx="134">
                  <c:v>2.3387411976724</c:v>
                </c:pt>
                <c:pt idx="135">
                  <c:v>2.3561944901923431</c:v>
                </c:pt>
                <c:pt idx="136">
                  <c:v>2.3736477827122862</c:v>
                </c:pt>
                <c:pt idx="137">
                  <c:v>2.3911010752322293</c:v>
                </c:pt>
                <c:pt idx="138">
                  <c:v>2.4085543677521724</c:v>
                </c:pt>
                <c:pt idx="139">
                  <c:v>2.4260076602721155</c:v>
                </c:pt>
                <c:pt idx="140">
                  <c:v>2.4434609527920585</c:v>
                </c:pt>
                <c:pt idx="141">
                  <c:v>2.4609142453120016</c:v>
                </c:pt>
                <c:pt idx="142">
                  <c:v>2.4783675378319447</c:v>
                </c:pt>
                <c:pt idx="143">
                  <c:v>2.4958208303518878</c:v>
                </c:pt>
                <c:pt idx="144">
                  <c:v>2.5132741228718309</c:v>
                </c:pt>
                <c:pt idx="145">
                  <c:v>2.530727415391774</c:v>
                </c:pt>
                <c:pt idx="146">
                  <c:v>2.5481807079117171</c:v>
                </c:pt>
                <c:pt idx="147">
                  <c:v>2.5656340004316602</c:v>
                </c:pt>
                <c:pt idx="148">
                  <c:v>2.5830872929516033</c:v>
                </c:pt>
                <c:pt idx="149">
                  <c:v>2.6005405854715464</c:v>
                </c:pt>
                <c:pt idx="150">
                  <c:v>2.6179938779914895</c:v>
                </c:pt>
                <c:pt idx="151">
                  <c:v>2.6354471705114326</c:v>
                </c:pt>
                <c:pt idx="152">
                  <c:v>2.6529004630313757</c:v>
                </c:pt>
                <c:pt idx="153">
                  <c:v>2.6703537555513188</c:v>
                </c:pt>
                <c:pt idx="154">
                  <c:v>2.6878070480712619</c:v>
                </c:pt>
                <c:pt idx="155">
                  <c:v>2.705260340591205</c:v>
                </c:pt>
                <c:pt idx="156">
                  <c:v>2.7227136331111481</c:v>
                </c:pt>
                <c:pt idx="157">
                  <c:v>2.7401669256310912</c:v>
                </c:pt>
                <c:pt idx="158">
                  <c:v>2.7576202181510343</c:v>
                </c:pt>
                <c:pt idx="159">
                  <c:v>2.7750735106709774</c:v>
                </c:pt>
                <c:pt idx="160">
                  <c:v>2.7925268031909205</c:v>
                </c:pt>
                <c:pt idx="161">
                  <c:v>2.8099800957108636</c:v>
                </c:pt>
                <c:pt idx="162">
                  <c:v>2.8274333882308067</c:v>
                </c:pt>
                <c:pt idx="163">
                  <c:v>2.8448866807507498</c:v>
                </c:pt>
                <c:pt idx="164">
                  <c:v>2.8623399732706929</c:v>
                </c:pt>
                <c:pt idx="165">
                  <c:v>2.879793265790636</c:v>
                </c:pt>
                <c:pt idx="166">
                  <c:v>2.8972465583105791</c:v>
                </c:pt>
                <c:pt idx="167">
                  <c:v>2.9146998508305222</c:v>
                </c:pt>
                <c:pt idx="168">
                  <c:v>2.9321531433504653</c:v>
                </c:pt>
                <c:pt idx="169">
                  <c:v>2.9496064358704084</c:v>
                </c:pt>
                <c:pt idx="170">
                  <c:v>2.9670597283903515</c:v>
                </c:pt>
                <c:pt idx="171">
                  <c:v>2.9845130209102946</c:v>
                </c:pt>
                <c:pt idx="172">
                  <c:v>3.0019663134302377</c:v>
                </c:pt>
                <c:pt idx="173">
                  <c:v>3.0194196059501808</c:v>
                </c:pt>
                <c:pt idx="174">
                  <c:v>3.0368728984701239</c:v>
                </c:pt>
                <c:pt idx="175">
                  <c:v>3.054326190990067</c:v>
                </c:pt>
                <c:pt idx="176">
                  <c:v>3.0717794835100101</c:v>
                </c:pt>
                <c:pt idx="177">
                  <c:v>3.0892327760299532</c:v>
                </c:pt>
                <c:pt idx="178">
                  <c:v>3.1066860685498963</c:v>
                </c:pt>
                <c:pt idx="179">
                  <c:v>3.1241393610698394</c:v>
                </c:pt>
                <c:pt idx="180">
                  <c:v>3.1415926535897825</c:v>
                </c:pt>
                <c:pt idx="181">
                  <c:v>3.1590459461097256</c:v>
                </c:pt>
                <c:pt idx="182">
                  <c:v>3.1764992386296687</c:v>
                </c:pt>
                <c:pt idx="183">
                  <c:v>3.1939525311496118</c:v>
                </c:pt>
                <c:pt idx="184">
                  <c:v>3.2114058236695548</c:v>
                </c:pt>
                <c:pt idx="185">
                  <c:v>3.2288591161894979</c:v>
                </c:pt>
                <c:pt idx="186">
                  <c:v>3.246312408709441</c:v>
                </c:pt>
                <c:pt idx="187">
                  <c:v>3.2637657012293841</c:v>
                </c:pt>
                <c:pt idx="188">
                  <c:v>3.2812189937493272</c:v>
                </c:pt>
                <c:pt idx="189">
                  <c:v>3.2986722862692703</c:v>
                </c:pt>
                <c:pt idx="190">
                  <c:v>3.3161255787892134</c:v>
                </c:pt>
                <c:pt idx="191">
                  <c:v>3.3335788713091565</c:v>
                </c:pt>
                <c:pt idx="192">
                  <c:v>3.3510321638290996</c:v>
                </c:pt>
                <c:pt idx="193">
                  <c:v>3.3684854563490427</c:v>
                </c:pt>
                <c:pt idx="194">
                  <c:v>3.3859387488689858</c:v>
                </c:pt>
                <c:pt idx="195">
                  <c:v>3.4033920413889289</c:v>
                </c:pt>
                <c:pt idx="196">
                  <c:v>3.420845333908872</c:v>
                </c:pt>
                <c:pt idx="197">
                  <c:v>3.4382986264288151</c:v>
                </c:pt>
                <c:pt idx="198">
                  <c:v>3.4557519189487582</c:v>
                </c:pt>
                <c:pt idx="199">
                  <c:v>3.4732052114687013</c:v>
                </c:pt>
                <c:pt idx="200">
                  <c:v>3.4906585039886444</c:v>
                </c:pt>
                <c:pt idx="201">
                  <c:v>3.5081117965085875</c:v>
                </c:pt>
                <c:pt idx="202">
                  <c:v>3.5255650890285306</c:v>
                </c:pt>
                <c:pt idx="203">
                  <c:v>3.5430183815484737</c:v>
                </c:pt>
                <c:pt idx="204">
                  <c:v>3.5604716740684168</c:v>
                </c:pt>
                <c:pt idx="205">
                  <c:v>3.5779249665883599</c:v>
                </c:pt>
                <c:pt idx="206">
                  <c:v>3.595378259108303</c:v>
                </c:pt>
                <c:pt idx="207">
                  <c:v>3.6128315516282461</c:v>
                </c:pt>
                <c:pt idx="208">
                  <c:v>3.6302848441481892</c:v>
                </c:pt>
                <c:pt idx="209">
                  <c:v>3.6477381366681323</c:v>
                </c:pt>
                <c:pt idx="210">
                  <c:v>3.6651914291880754</c:v>
                </c:pt>
                <c:pt idx="211">
                  <c:v>3.6826447217080185</c:v>
                </c:pt>
                <c:pt idx="212">
                  <c:v>3.7000980142279616</c:v>
                </c:pt>
                <c:pt idx="213">
                  <c:v>3.7175513067479047</c:v>
                </c:pt>
                <c:pt idx="214">
                  <c:v>3.7350045992678478</c:v>
                </c:pt>
                <c:pt idx="215">
                  <c:v>3.7524578917877909</c:v>
                </c:pt>
                <c:pt idx="216">
                  <c:v>3.769911184307734</c:v>
                </c:pt>
                <c:pt idx="217">
                  <c:v>3.7873644768276771</c:v>
                </c:pt>
                <c:pt idx="218">
                  <c:v>3.8048177693476202</c:v>
                </c:pt>
                <c:pt idx="219">
                  <c:v>3.8222710618675633</c:v>
                </c:pt>
                <c:pt idx="220">
                  <c:v>3.8397243543875064</c:v>
                </c:pt>
                <c:pt idx="221">
                  <c:v>3.8571776469074495</c:v>
                </c:pt>
                <c:pt idx="222">
                  <c:v>3.8746309394273926</c:v>
                </c:pt>
                <c:pt idx="223">
                  <c:v>3.8920842319473357</c:v>
                </c:pt>
                <c:pt idx="224">
                  <c:v>3.9095375244672788</c:v>
                </c:pt>
                <c:pt idx="225">
                  <c:v>3.9269908169872219</c:v>
                </c:pt>
                <c:pt idx="226">
                  <c:v>3.944444109507165</c:v>
                </c:pt>
                <c:pt idx="227">
                  <c:v>3.9618974020271081</c:v>
                </c:pt>
                <c:pt idx="228">
                  <c:v>3.9793506945470511</c:v>
                </c:pt>
                <c:pt idx="229">
                  <c:v>3.9968039870669942</c:v>
                </c:pt>
                <c:pt idx="230">
                  <c:v>4.0142572795869373</c:v>
                </c:pt>
                <c:pt idx="231">
                  <c:v>4.0317105721068804</c:v>
                </c:pt>
                <c:pt idx="232">
                  <c:v>4.0491638646268235</c:v>
                </c:pt>
                <c:pt idx="233">
                  <c:v>4.0666171571467666</c:v>
                </c:pt>
                <c:pt idx="234">
                  <c:v>4.0840704496667097</c:v>
                </c:pt>
                <c:pt idx="235">
                  <c:v>4.1015237421866528</c:v>
                </c:pt>
                <c:pt idx="236">
                  <c:v>4.1189770347065959</c:v>
                </c:pt>
                <c:pt idx="237">
                  <c:v>4.136430327226539</c:v>
                </c:pt>
                <c:pt idx="238">
                  <c:v>4.1538836197464821</c:v>
                </c:pt>
                <c:pt idx="239">
                  <c:v>4.1713369122664252</c:v>
                </c:pt>
                <c:pt idx="240">
                  <c:v>4.1887902047863683</c:v>
                </c:pt>
                <c:pt idx="241">
                  <c:v>4.2062434973063114</c:v>
                </c:pt>
                <c:pt idx="242">
                  <c:v>4.2236967898262545</c:v>
                </c:pt>
                <c:pt idx="243">
                  <c:v>4.2411500823461976</c:v>
                </c:pt>
                <c:pt idx="244">
                  <c:v>4.2586033748661407</c:v>
                </c:pt>
                <c:pt idx="245">
                  <c:v>4.2760566673860838</c:v>
                </c:pt>
                <c:pt idx="246">
                  <c:v>4.2935099599060269</c:v>
                </c:pt>
                <c:pt idx="247">
                  <c:v>4.31096325242597</c:v>
                </c:pt>
                <c:pt idx="248">
                  <c:v>4.3284165449459131</c:v>
                </c:pt>
                <c:pt idx="249">
                  <c:v>4.3458698374658562</c:v>
                </c:pt>
                <c:pt idx="250">
                  <c:v>4.3633231299857993</c:v>
                </c:pt>
                <c:pt idx="251">
                  <c:v>4.3807764225057424</c:v>
                </c:pt>
                <c:pt idx="252">
                  <c:v>4.3982297150256855</c:v>
                </c:pt>
                <c:pt idx="253">
                  <c:v>4.4156830075456286</c:v>
                </c:pt>
                <c:pt idx="254">
                  <c:v>4.4331363000655717</c:v>
                </c:pt>
                <c:pt idx="255">
                  <c:v>4.4505895925855148</c:v>
                </c:pt>
                <c:pt idx="256">
                  <c:v>4.4680428851054579</c:v>
                </c:pt>
                <c:pt idx="257">
                  <c:v>4.485496177625401</c:v>
                </c:pt>
                <c:pt idx="258">
                  <c:v>4.5029494701453441</c:v>
                </c:pt>
                <c:pt idx="259">
                  <c:v>4.5204027626652872</c:v>
                </c:pt>
                <c:pt idx="260">
                  <c:v>4.5378560551852303</c:v>
                </c:pt>
                <c:pt idx="261">
                  <c:v>4.5553093477051734</c:v>
                </c:pt>
                <c:pt idx="262">
                  <c:v>4.5727626402251165</c:v>
                </c:pt>
                <c:pt idx="263">
                  <c:v>4.5902159327450596</c:v>
                </c:pt>
                <c:pt idx="264">
                  <c:v>4.6076692252650027</c:v>
                </c:pt>
                <c:pt idx="265">
                  <c:v>4.6251225177849458</c:v>
                </c:pt>
                <c:pt idx="266">
                  <c:v>4.6425758103048889</c:v>
                </c:pt>
                <c:pt idx="267">
                  <c:v>4.660029102824832</c:v>
                </c:pt>
                <c:pt idx="268">
                  <c:v>4.6774823953447751</c:v>
                </c:pt>
                <c:pt idx="269">
                  <c:v>4.6949356878647182</c:v>
                </c:pt>
                <c:pt idx="270">
                  <c:v>4.7123889803846613</c:v>
                </c:pt>
                <c:pt idx="271">
                  <c:v>4.7298422729046044</c:v>
                </c:pt>
                <c:pt idx="272">
                  <c:v>4.7472955654245474</c:v>
                </c:pt>
                <c:pt idx="273">
                  <c:v>4.7647488579444905</c:v>
                </c:pt>
                <c:pt idx="274">
                  <c:v>4.7822021504644336</c:v>
                </c:pt>
                <c:pt idx="275">
                  <c:v>4.7996554429843767</c:v>
                </c:pt>
                <c:pt idx="276">
                  <c:v>4.8171087355043198</c:v>
                </c:pt>
                <c:pt idx="277">
                  <c:v>4.8345620280242629</c:v>
                </c:pt>
                <c:pt idx="278">
                  <c:v>4.852015320544206</c:v>
                </c:pt>
                <c:pt idx="279">
                  <c:v>4.8694686130641491</c:v>
                </c:pt>
                <c:pt idx="280">
                  <c:v>4.8869219055840922</c:v>
                </c:pt>
                <c:pt idx="281">
                  <c:v>4.9043751981040353</c:v>
                </c:pt>
                <c:pt idx="282">
                  <c:v>4.9218284906239784</c:v>
                </c:pt>
                <c:pt idx="283">
                  <c:v>4.9392817831439215</c:v>
                </c:pt>
                <c:pt idx="284">
                  <c:v>4.9567350756638646</c:v>
                </c:pt>
                <c:pt idx="285">
                  <c:v>4.9741883681838077</c:v>
                </c:pt>
                <c:pt idx="286">
                  <c:v>4.9916416607037508</c:v>
                </c:pt>
                <c:pt idx="287">
                  <c:v>5.0090949532236939</c:v>
                </c:pt>
                <c:pt idx="288">
                  <c:v>5.026548245743637</c:v>
                </c:pt>
                <c:pt idx="289">
                  <c:v>5.0440015382635801</c:v>
                </c:pt>
                <c:pt idx="290">
                  <c:v>5.0614548307835232</c:v>
                </c:pt>
                <c:pt idx="291">
                  <c:v>5.0789081233034663</c:v>
                </c:pt>
                <c:pt idx="292">
                  <c:v>5.0963614158234094</c:v>
                </c:pt>
                <c:pt idx="293">
                  <c:v>5.1138147083433525</c:v>
                </c:pt>
                <c:pt idx="294">
                  <c:v>5.1312680008632956</c:v>
                </c:pt>
                <c:pt idx="295">
                  <c:v>5.1487212933832387</c:v>
                </c:pt>
                <c:pt idx="296">
                  <c:v>5.1661745859031818</c:v>
                </c:pt>
                <c:pt idx="297">
                  <c:v>5.1836278784231249</c:v>
                </c:pt>
                <c:pt idx="298">
                  <c:v>5.201081170943068</c:v>
                </c:pt>
                <c:pt idx="299">
                  <c:v>5.2185344634630111</c:v>
                </c:pt>
                <c:pt idx="300">
                  <c:v>5.2359877559829542</c:v>
                </c:pt>
                <c:pt idx="301">
                  <c:v>5.2534410485028973</c:v>
                </c:pt>
                <c:pt idx="302">
                  <c:v>5.2708943410228404</c:v>
                </c:pt>
                <c:pt idx="303">
                  <c:v>5.2883476335427835</c:v>
                </c:pt>
                <c:pt idx="304">
                  <c:v>5.3058009260627266</c:v>
                </c:pt>
                <c:pt idx="305">
                  <c:v>5.3232542185826697</c:v>
                </c:pt>
                <c:pt idx="306">
                  <c:v>5.3407075111026128</c:v>
                </c:pt>
                <c:pt idx="307">
                  <c:v>5.3581608036225559</c:v>
                </c:pt>
                <c:pt idx="308">
                  <c:v>5.375614096142499</c:v>
                </c:pt>
                <c:pt idx="309">
                  <c:v>5.3930673886624421</c:v>
                </c:pt>
                <c:pt idx="310">
                  <c:v>5.4105206811823852</c:v>
                </c:pt>
                <c:pt idx="311">
                  <c:v>5.4279739737023283</c:v>
                </c:pt>
                <c:pt idx="312">
                  <c:v>5.4454272662222714</c:v>
                </c:pt>
                <c:pt idx="313">
                  <c:v>5.4628805587422145</c:v>
                </c:pt>
                <c:pt idx="314">
                  <c:v>5.4803338512621576</c:v>
                </c:pt>
                <c:pt idx="315">
                  <c:v>5.4977871437821006</c:v>
                </c:pt>
                <c:pt idx="316">
                  <c:v>5.5152404363020437</c:v>
                </c:pt>
                <c:pt idx="317">
                  <c:v>5.5326937288219868</c:v>
                </c:pt>
                <c:pt idx="318">
                  <c:v>5.5501470213419299</c:v>
                </c:pt>
                <c:pt idx="319">
                  <c:v>5.567600313861873</c:v>
                </c:pt>
                <c:pt idx="320">
                  <c:v>5.5850536063818161</c:v>
                </c:pt>
                <c:pt idx="321">
                  <c:v>5.6025068989017592</c:v>
                </c:pt>
                <c:pt idx="322">
                  <c:v>5.6199601914217023</c:v>
                </c:pt>
                <c:pt idx="323">
                  <c:v>5.6374134839416454</c:v>
                </c:pt>
                <c:pt idx="324">
                  <c:v>5.6548667764615885</c:v>
                </c:pt>
                <c:pt idx="325">
                  <c:v>5.6723200689815316</c:v>
                </c:pt>
                <c:pt idx="326">
                  <c:v>5.6897733615014747</c:v>
                </c:pt>
                <c:pt idx="327">
                  <c:v>5.7072266540214178</c:v>
                </c:pt>
                <c:pt idx="328">
                  <c:v>5.7246799465413609</c:v>
                </c:pt>
                <c:pt idx="329">
                  <c:v>5.742133239061304</c:v>
                </c:pt>
                <c:pt idx="330">
                  <c:v>5.7595865315812471</c:v>
                </c:pt>
                <c:pt idx="331">
                  <c:v>5.7770398241011902</c:v>
                </c:pt>
                <c:pt idx="332">
                  <c:v>5.7944931166211333</c:v>
                </c:pt>
                <c:pt idx="333">
                  <c:v>5.8119464091410764</c:v>
                </c:pt>
                <c:pt idx="334">
                  <c:v>5.8293997016610195</c:v>
                </c:pt>
                <c:pt idx="335">
                  <c:v>5.8468529941809626</c:v>
                </c:pt>
                <c:pt idx="336">
                  <c:v>5.8643062867009057</c:v>
                </c:pt>
                <c:pt idx="337">
                  <c:v>5.8817595792208488</c:v>
                </c:pt>
                <c:pt idx="338">
                  <c:v>5.8992128717407919</c:v>
                </c:pt>
                <c:pt idx="339">
                  <c:v>5.916666164260735</c:v>
                </c:pt>
                <c:pt idx="340">
                  <c:v>5.9341194567806781</c:v>
                </c:pt>
                <c:pt idx="341">
                  <c:v>5.9515727493006212</c:v>
                </c:pt>
                <c:pt idx="342">
                  <c:v>5.9690260418205643</c:v>
                </c:pt>
                <c:pt idx="343">
                  <c:v>5.9864793343405074</c:v>
                </c:pt>
                <c:pt idx="344">
                  <c:v>6.0039326268604505</c:v>
                </c:pt>
                <c:pt idx="345">
                  <c:v>6.0213859193803936</c:v>
                </c:pt>
                <c:pt idx="346">
                  <c:v>6.0388392119003367</c:v>
                </c:pt>
                <c:pt idx="347">
                  <c:v>6.0562925044202798</c:v>
                </c:pt>
                <c:pt idx="348">
                  <c:v>6.0737457969402229</c:v>
                </c:pt>
                <c:pt idx="349">
                  <c:v>6.091199089460166</c:v>
                </c:pt>
                <c:pt idx="350">
                  <c:v>6.1086523819801091</c:v>
                </c:pt>
                <c:pt idx="351">
                  <c:v>6.1261056745000522</c:v>
                </c:pt>
                <c:pt idx="352">
                  <c:v>6.1435589670199953</c:v>
                </c:pt>
                <c:pt idx="353">
                  <c:v>6.1610122595399384</c:v>
                </c:pt>
                <c:pt idx="354">
                  <c:v>6.1784655520598815</c:v>
                </c:pt>
                <c:pt idx="355">
                  <c:v>6.1959188445798246</c:v>
                </c:pt>
                <c:pt idx="356">
                  <c:v>6.2133721370997677</c:v>
                </c:pt>
                <c:pt idx="357">
                  <c:v>6.2308254296197108</c:v>
                </c:pt>
                <c:pt idx="358">
                  <c:v>6.2482787221396539</c:v>
                </c:pt>
                <c:pt idx="359">
                  <c:v>6.2657320146595969</c:v>
                </c:pt>
                <c:pt idx="360">
                  <c:v>6.28318530717954</c:v>
                </c:pt>
              </c:numCache>
            </c:numRef>
          </c:xVal>
          <c:yVal>
            <c:numRef>
              <c:f>L_Section_Capacity!$AX$2:$AX$362</c:f>
              <c:numCache>
                <c:formatCode>0.000</c:formatCode>
                <c:ptCount val="361"/>
                <c:pt idx="0">
                  <c:v>-1.4359336692411007</c:v>
                </c:pt>
                <c:pt idx="1">
                  <c:v>-1.491463117542404</c:v>
                </c:pt>
                <c:pt idx="2">
                  <c:v>-1.5191964315359261</c:v>
                </c:pt>
                <c:pt idx="3">
                  <c:v>-1.5285260834794541</c:v>
                </c:pt>
                <c:pt idx="4">
                  <c:v>-1.5338581936529128</c:v>
                </c:pt>
                <c:pt idx="5">
                  <c:v>-1.5377359711896017</c:v>
                </c:pt>
                <c:pt idx="6">
                  <c:v>-1.540911046443677</c:v>
                </c:pt>
                <c:pt idx="7">
                  <c:v>-1.5436884349108433</c:v>
                </c:pt>
                <c:pt idx="8">
                  <c:v>-1.546131011241171</c:v>
                </c:pt>
                <c:pt idx="9">
                  <c:v>-1.5483592766778518</c:v>
                </c:pt>
                <c:pt idx="10">
                  <c:v>-1.5504423246186474</c:v>
                </c:pt>
                <c:pt idx="11">
                  <c:v>-1.5524162696049937</c:v>
                </c:pt>
                <c:pt idx="12">
                  <c:v>-1.5543060114273006</c:v>
                </c:pt>
                <c:pt idx="13">
                  <c:v>-1.5561294652262974</c:v>
                </c:pt>
                <c:pt idx="14">
                  <c:v>-1.5578999927208459</c:v>
                </c:pt>
                <c:pt idx="15">
                  <c:v>-1.5596278737617637</c:v>
                </c:pt>
                <c:pt idx="16">
                  <c:v>-1.5613212362774442</c:v>
                </c:pt>
                <c:pt idx="17">
                  <c:v>-1.5629866658785556</c:v>
                </c:pt>
                <c:pt idx="18">
                  <c:v>-1.5646296183269708</c:v>
                </c:pt>
                <c:pt idx="19">
                  <c:v>-1.5662547064611088</c:v>
                </c:pt>
                <c:pt idx="20">
                  <c:v>-1.56786590480627</c:v>
                </c:pt>
                <c:pt idx="21">
                  <c:v>-1.5694629662494315</c:v>
                </c:pt>
                <c:pt idx="22">
                  <c:v>-1.5708327895605256</c:v>
                </c:pt>
                <c:pt idx="23">
                  <c:v>-1.5721785079166033</c:v>
                </c:pt>
                <c:pt idx="24">
                  <c:v>-1.5735033754910901</c:v>
                </c:pt>
                <c:pt idx="25">
                  <c:v>-1.5748103184172639</c:v>
                </c:pt>
                <c:pt idx="26">
                  <c:v>-1.5761019931755313</c:v>
                </c:pt>
                <c:pt idx="27">
                  <c:v>-1.5773808338810975</c:v>
                </c:pt>
                <c:pt idx="28">
                  <c:v>-1.5786490911014668</c:v>
                </c:pt>
                <c:pt idx="29">
                  <c:v>-1.5799088640564651</c:v>
                </c:pt>
                <c:pt idx="30">
                  <c:v>-1.5811621277507477</c:v>
                </c:pt>
                <c:pt idx="31">
                  <c:v>-1.5824107560424108</c:v>
                </c:pt>
                <c:pt idx="32">
                  <c:v>-1.5836565415927801</c:v>
                </c:pt>
                <c:pt idx="33">
                  <c:v>-1.5849012133152576</c:v>
                </c:pt>
                <c:pt idx="34">
                  <c:v>-1.5861464518950759</c:v>
                </c:pt>
                <c:pt idx="35">
                  <c:v>-1.5873939037785201</c:v>
                </c:pt>
                <c:pt idx="36">
                  <c:v>-1.5886410303545742</c:v>
                </c:pt>
                <c:pt idx="37">
                  <c:v>-1.5898407294826702</c:v>
                </c:pt>
                <c:pt idx="38">
                  <c:v>-1.590983482135806</c:v>
                </c:pt>
                <c:pt idx="39">
                  <c:v>-1.5920740751017215</c:v>
                </c:pt>
                <c:pt idx="40">
                  <c:v>-1.5931167756283058</c:v>
                </c:pt>
                <c:pt idx="41">
                  <c:v>-1.5941154017580634</c:v>
                </c:pt>
                <c:pt idx="42">
                  <c:v>-1.5950733813955407</c:v>
                </c:pt>
                <c:pt idx="43">
                  <c:v>-1.5959938022175286</c:v>
                </c:pt>
                <c:pt idx="44">
                  <c:v>-1.5968794540151803</c:v>
                </c:pt>
                <c:pt idx="45">
                  <c:v>-1.5977328648213793</c:v>
                </c:pt>
                <c:pt idx="46">
                  <c:v>-1.5985563318512148</c:v>
                </c:pt>
                <c:pt idx="47">
                  <c:v>-1.5993519481328693</c:v>
                </c:pt>
                <c:pt idx="48">
                  <c:v>-1.6001216255030044</c:v>
                </c:pt>
                <c:pt idx="49">
                  <c:v>-1.6008671145605822</c:v>
                </c:pt>
                <c:pt idx="50">
                  <c:v>-1.6015900220118822</c:v>
                </c:pt>
                <c:pt idx="51">
                  <c:v>-1.6022918258430825</c:v>
                </c:pt>
                <c:pt idx="52">
                  <c:v>-1.6029738886023999</c:v>
                </c:pt>
                <c:pt idx="53">
                  <c:v>-1.603637469072716</c:v>
                </c:pt>
                <c:pt idx="54">
                  <c:v>-1.6042837325685528</c:v>
                </c:pt>
                <c:pt idx="55">
                  <c:v>-1.6049137600407395</c:v>
                </c:pt>
                <c:pt idx="56">
                  <c:v>-1.605528556156401</c:v>
                </c:pt>
                <c:pt idx="57">
                  <c:v>-1.606129056460704</c:v>
                </c:pt>
                <c:pt idx="58">
                  <c:v>-1.6067161337939235</c:v>
                </c:pt>
                <c:pt idx="59">
                  <c:v>-1.6072906039977259</c:v>
                </c:pt>
                <c:pt idx="60">
                  <c:v>-1.6078532310465916</c:v>
                </c:pt>
                <c:pt idx="61">
                  <c:v>-1.6084047316512671</c:v>
                </c:pt>
                <c:pt idx="62">
                  <c:v>-1.6089457793991753</c:v>
                </c:pt>
                <c:pt idx="63">
                  <c:v>-1.6094770084862229</c:v>
                </c:pt>
                <c:pt idx="64">
                  <c:v>-1.6099990171171581</c:v>
                </c:pt>
                <c:pt idx="65">
                  <c:v>-1.6105123705575337</c:v>
                </c:pt>
                <c:pt idx="66">
                  <c:v>-1.6110176039189728</c:v>
                </c:pt>
                <c:pt idx="67">
                  <c:v>-1.6115152247085971</c:v>
                </c:pt>
                <c:pt idx="68">
                  <c:v>-1.6120057151236007</c:v>
                </c:pt>
                <c:pt idx="69">
                  <c:v>-1.6124895341992509</c:v>
                </c:pt>
                <c:pt idx="70">
                  <c:v>-1.6129671197209545</c:v>
                </c:pt>
                <c:pt idx="71">
                  <c:v>-1.6134388900365182</c:v>
                </c:pt>
                <c:pt idx="72">
                  <c:v>-1.6139052456854359</c:v>
                </c:pt>
                <c:pt idx="73">
                  <c:v>-1.6143665709356068</c:v>
                </c:pt>
                <c:pt idx="74">
                  <c:v>-1.6148232351750915</c:v>
                </c:pt>
                <c:pt idx="75">
                  <c:v>-1.6152755942453847</c:v>
                </c:pt>
                <c:pt idx="76">
                  <c:v>-1.6157239916417603</c:v>
                </c:pt>
                <c:pt idx="77">
                  <c:v>-1.6161687596637173</c:v>
                </c:pt>
                <c:pt idx="78">
                  <c:v>-1.61661022049265</c:v>
                </c:pt>
                <c:pt idx="79">
                  <c:v>-1.6170486871849645</c:v>
                </c:pt>
                <c:pt idx="80">
                  <c:v>-1.6174844646357875</c:v>
                </c:pt>
                <c:pt idx="81">
                  <c:v>-1.6179178504780756</c:v>
                </c:pt>
                <c:pt idx="82">
                  <c:v>-1.6183491359454325</c:v>
                </c:pt>
                <c:pt idx="83">
                  <c:v>-1.6187786066893022</c:v>
                </c:pt>
                <c:pt idx="84">
                  <c:v>-1.6192065435649887</c:v>
                </c:pt>
                <c:pt idx="85">
                  <c:v>-1.6196332234106072</c:v>
                </c:pt>
                <c:pt idx="86">
                  <c:v>-1.6200589197653219</c:v>
                </c:pt>
                <c:pt idx="87">
                  <c:v>-1.6204839036004488</c:v>
                </c:pt>
                <c:pt idx="88">
                  <c:v>-1.6209084440308621</c:v>
                </c:pt>
                <c:pt idx="89">
                  <c:v>-1.6213328089941734</c:v>
                </c:pt>
                <c:pt idx="90">
                  <c:v>-1.6217572659473651</c:v>
                </c:pt>
                <c:pt idx="91">
                  <c:v>-1.6221820825619619</c:v>
                </c:pt>
                <c:pt idx="92">
                  <c:v>-1.6226075273928855</c:v>
                </c:pt>
                <c:pt idx="93">
                  <c:v>-1.6230338705793532</c:v>
                </c:pt>
                <c:pt idx="94">
                  <c:v>-1.6234613845425789</c:v>
                </c:pt>
                <c:pt idx="95">
                  <c:v>-1.6238903446970672</c:v>
                </c:pt>
                <c:pt idx="96">
                  <c:v>-1.6243210301849711</c:v>
                </c:pt>
                <c:pt idx="97">
                  <c:v>-1.624753724617686</c:v>
                </c:pt>
                <c:pt idx="98">
                  <c:v>-1.6251887168543799</c:v>
                </c:pt>
                <c:pt idx="99">
                  <c:v>-1.625626301804435</c:v>
                </c:pt>
                <c:pt idx="100">
                  <c:v>-1.6260667812696639</c:v>
                </c:pt>
                <c:pt idx="101">
                  <c:v>-1.6265104648225828</c:v>
                </c:pt>
                <c:pt idx="102">
                  <c:v>-1.6269576707292439</c:v>
                </c:pt>
                <c:pt idx="103">
                  <c:v>-1.62740872692915</c:v>
                </c:pt>
                <c:pt idx="104">
                  <c:v>-1.6278639720656416</c:v>
                </c:pt>
                <c:pt idx="105">
                  <c:v>-1.6283237565938269</c:v>
                </c:pt>
                <c:pt idx="106">
                  <c:v>-1.6287884439570526</c:v>
                </c:pt>
                <c:pt idx="107">
                  <c:v>-1.6292584118395634</c:v>
                </c:pt>
                <c:pt idx="108">
                  <c:v>-1.6297340535204583</c:v>
                </c:pt>
                <c:pt idx="109">
                  <c:v>-1.6302157793335892</c:v>
                </c:pt>
                <c:pt idx="110">
                  <c:v>-1.6307040182324304</c:v>
                </c:pt>
                <c:pt idx="111">
                  <c:v>-1.6311992195077414</c:v>
                </c:pt>
                <c:pt idx="112">
                  <c:v>-1.6317018546118556</c:v>
                </c:pt>
                <c:pt idx="113">
                  <c:v>-1.6322124191863956</c:v>
                </c:pt>
                <c:pt idx="114">
                  <c:v>-1.6327314352496625</c:v>
                </c:pt>
                <c:pt idx="115">
                  <c:v>-1.6332594535890745</c:v>
                </c:pt>
                <c:pt idx="116">
                  <c:v>-1.6337970563852615</c:v>
                </c:pt>
                <c:pt idx="117">
                  <c:v>-1.6343448600975838</c:v>
                </c:pt>
                <c:pt idx="118">
                  <c:v>-1.6349035186299925</c:v>
                </c:pt>
                <c:pt idx="119">
                  <c:v>-1.635473726832807</c:v>
                </c:pt>
                <c:pt idx="120">
                  <c:v>-1.6360562243547532</c:v>
                </c:pt>
                <c:pt idx="121">
                  <c:v>-1.6366517999312848</c:v>
                </c:pt>
                <c:pt idx="122">
                  <c:v>-1.6372612961291548</c:v>
                </c:pt>
                <c:pt idx="123">
                  <c:v>-1.637885614636752</c:v>
                </c:pt>
                <c:pt idx="124">
                  <c:v>-1.6385257221433547</c:v>
                </c:pt>
                <c:pt idx="125">
                  <c:v>-1.6391826569458068</c:v>
                </c:pt>
                <c:pt idx="126">
                  <c:v>-1.6398575363012637</c:v>
                </c:pt>
                <c:pt idx="127">
                  <c:v>-1.6405515647427131</c:v>
                </c:pt>
                <c:pt idx="128">
                  <c:v>-1.6412660433998212</c:v>
                </c:pt>
                <c:pt idx="129">
                  <c:v>-1.642002380535295</c:v>
                </c:pt>
                <c:pt idx="130">
                  <c:v>-1.6427621034890683</c:v>
                </c:pt>
                <c:pt idx="131">
                  <c:v>-1.643546872219777</c:v>
                </c:pt>
                <c:pt idx="132">
                  <c:v>-1.6443584947418264</c:v>
                </c:pt>
                <c:pt idx="133">
                  <c:v>-1.6455265997295432</c:v>
                </c:pt>
                <c:pt idx="134">
                  <c:v>-1.6505670667843741</c:v>
                </c:pt>
                <c:pt idx="135">
                  <c:v>-1.659716710459137</c:v>
                </c:pt>
                <c:pt idx="136">
                  <c:v>-1.6724353791434496</c:v>
                </c:pt>
                <c:pt idx="137">
                  <c:v>-1.6884741892456159</c:v>
                </c:pt>
                <c:pt idx="138">
                  <c:v>-1.7077850672953478</c:v>
                </c:pt>
                <c:pt idx="139">
                  <c:v>-1.730478291270827</c:v>
                </c:pt>
                <c:pt idx="140">
                  <c:v>-1.7566754585541837</c:v>
                </c:pt>
                <c:pt idx="141">
                  <c:v>-1.7858330130601521</c:v>
                </c:pt>
                <c:pt idx="142">
                  <c:v>-1.8178717498423982</c:v>
                </c:pt>
                <c:pt idx="143">
                  <c:v>-1.8528581025577342</c:v>
                </c:pt>
                <c:pt idx="144">
                  <c:v>-1.8908838420949821</c:v>
                </c:pt>
                <c:pt idx="145">
                  <c:v>-1.9320505672411732</c:v>
                </c:pt>
                <c:pt idx="146">
                  <c:v>-1.9764504309436293</c:v>
                </c:pt>
                <c:pt idx="147">
                  <c:v>-2.0241406942221705</c:v>
                </c:pt>
                <c:pt idx="148">
                  <c:v>-2.0751094750936416</c:v>
                </c:pt>
                <c:pt idx="149">
                  <c:v>-2.1292298948354293</c:v>
                </c:pt>
                <c:pt idx="150">
                  <c:v>-2.1861998291535887</c:v>
                </c:pt>
                <c:pt idx="151">
                  <c:v>-2.2454646168754948</c:v>
                </c:pt>
                <c:pt idx="152">
                  <c:v>-2.3061198999915429</c:v>
                </c:pt>
                <c:pt idx="153">
                  <c:v>-2.366489872578275</c:v>
                </c:pt>
                <c:pt idx="154">
                  <c:v>-2.422901702836938</c:v>
                </c:pt>
                <c:pt idx="155">
                  <c:v>-2.4730257791090482</c:v>
                </c:pt>
                <c:pt idx="156">
                  <c:v>-2.5141682710275886</c:v>
                </c:pt>
                <c:pt idx="157">
                  <c:v>-2.542312352332627</c:v>
                </c:pt>
                <c:pt idx="158">
                  <c:v>-2.5517700712023013</c:v>
                </c:pt>
                <c:pt idx="159">
                  <c:v>-2.5546291708162761</c:v>
                </c:pt>
                <c:pt idx="160">
                  <c:v>-2.5574239698570334</c:v>
                </c:pt>
                <c:pt idx="161">
                  <c:v>-2.5601581818924601</c:v>
                </c:pt>
                <c:pt idx="162">
                  <c:v>-2.5628352942731158</c:v>
                </c:pt>
                <c:pt idx="163">
                  <c:v>-2.5654585868697168</c:v>
                </c:pt>
                <c:pt idx="164">
                  <c:v>-2.568031149087608</c:v>
                </c:pt>
                <c:pt idx="165">
                  <c:v>-2.5705558953389471</c:v>
                </c:pt>
                <c:pt idx="166">
                  <c:v>-2.5730355791094977</c:v>
                </c:pt>
                <c:pt idx="167">
                  <c:v>-2.5754728058252105</c:v>
                </c:pt>
                <c:pt idx="168">
                  <c:v>-2.577870044575798</c:v>
                </c:pt>
                <c:pt idx="169">
                  <c:v>-2.580229638871554</c:v>
                </c:pt>
                <c:pt idx="170">
                  <c:v>-2.5825538165048876</c:v>
                </c:pt>
                <c:pt idx="171">
                  <c:v>-2.5848446986061706</c:v>
                </c:pt>
                <c:pt idx="172">
                  <c:v>-2.587104307980975</c:v>
                </c:pt>
                <c:pt idx="173">
                  <c:v>-2.5893345768069649</c:v>
                </c:pt>
                <c:pt idx="174">
                  <c:v>-2.5915373537383113</c:v>
                </c:pt>
                <c:pt idx="175">
                  <c:v>-2.5937144104837162</c:v>
                </c:pt>
                <c:pt idx="176">
                  <c:v>-2.5958674479183665</c:v>
                </c:pt>
                <c:pt idx="177">
                  <c:v>-2.5979981017557368</c:v>
                </c:pt>
                <c:pt idx="178">
                  <c:v>-2.6001079478426234</c:v>
                </c:pt>
                <c:pt idx="179">
                  <c:v>-2.6021985070941427</c:v>
                </c:pt>
                <c:pt idx="180">
                  <c:v>-2.6042712501195848</c:v>
                </c:pt>
                <c:pt idx="181">
                  <c:v>-2.6063276015662749</c:v>
                </c:pt>
                <c:pt idx="182">
                  <c:v>-2.6083689442012212</c:v>
                </c:pt>
                <c:pt idx="183">
                  <c:v>-2.6103966227672437</c:v>
                </c:pt>
                <c:pt idx="184">
                  <c:v>-2.6124119476259615</c:v>
                </c:pt>
                <c:pt idx="185">
                  <c:v>-2.6144161982174166</c:v>
                </c:pt>
                <c:pt idx="186">
                  <c:v>-2.6164106263596341</c:v>
                </c:pt>
                <c:pt idx="187">
                  <c:v>-2.6183964593898055</c:v>
                </c:pt>
                <c:pt idx="188">
                  <c:v>-2.6203749031843997</c:v>
                </c:pt>
                <c:pt idx="189">
                  <c:v>-2.622347145052613</c:v>
                </c:pt>
                <c:pt idx="190">
                  <c:v>-2.6243143565374565</c:v>
                </c:pt>
                <c:pt idx="191">
                  <c:v>-2.6262776961292724</c:v>
                </c:pt>
                <c:pt idx="192">
                  <c:v>-2.6282383118960135</c:v>
                </c:pt>
                <c:pt idx="193">
                  <c:v>-2.6301973440576352</c:v>
                </c:pt>
                <c:pt idx="194">
                  <c:v>-2.6321559275092858</c:v>
                </c:pt>
                <c:pt idx="195">
                  <c:v>-2.6341151942973973</c:v>
                </c:pt>
                <c:pt idx="196">
                  <c:v>-2.6360762760593071</c:v>
                </c:pt>
                <c:pt idx="197">
                  <c:v>-2.6380403064636484</c:v>
                </c:pt>
                <c:pt idx="198">
                  <c:v>-2.6400084236026053</c:v>
                </c:pt>
                <c:pt idx="199">
                  <c:v>-2.6419817724114338</c:v>
                </c:pt>
                <c:pt idx="200">
                  <c:v>-2.6439615070681994</c:v>
                </c:pt>
                <c:pt idx="201">
                  <c:v>-2.6459487934079498</c:v>
                </c:pt>
                <c:pt idx="202">
                  <c:v>-2.6479448113647552</c:v>
                </c:pt>
                <c:pt idx="203">
                  <c:v>-2.6567146564179311</c:v>
                </c:pt>
                <c:pt idx="204">
                  <c:v>-2.6880659894811121</c:v>
                </c:pt>
                <c:pt idx="205">
                  <c:v>-2.729718388363215</c:v>
                </c:pt>
                <c:pt idx="206">
                  <c:v>-2.7825350737493482</c:v>
                </c:pt>
                <c:pt idx="207">
                  <c:v>-2.8483500977897167</c:v>
                </c:pt>
                <c:pt idx="208">
                  <c:v>-2.9270589818994801</c:v>
                </c:pt>
                <c:pt idx="209">
                  <c:v>-3.0183065229583823</c:v>
                </c:pt>
                <c:pt idx="210">
                  <c:v>-3.1227088275962083</c:v>
                </c:pt>
                <c:pt idx="211">
                  <c:v>3.0430346167715601</c:v>
                </c:pt>
                <c:pt idx="212">
                  <c:v>2.9139401688251718</c:v>
                </c:pt>
                <c:pt idx="213">
                  <c:v>2.7762532801461828</c:v>
                </c:pt>
                <c:pt idx="214">
                  <c:v>2.6277237793670132</c:v>
                </c:pt>
                <c:pt idx="215">
                  <c:v>2.468767530920001</c:v>
                </c:pt>
                <c:pt idx="216">
                  <c:v>2.322703062631315</c:v>
                </c:pt>
                <c:pt idx="217">
                  <c:v>2.1934312425404503</c:v>
                </c:pt>
                <c:pt idx="218">
                  <c:v>2.0821809109813767</c:v>
                </c:pt>
                <c:pt idx="219">
                  <c:v>1.9883885784156592</c:v>
                </c:pt>
                <c:pt idx="220">
                  <c:v>1.9106634230128778</c:v>
                </c:pt>
                <c:pt idx="221">
                  <c:v>1.847490478362426</c:v>
                </c:pt>
                <c:pt idx="222">
                  <c:v>1.7976566430163334</c:v>
                </c:pt>
                <c:pt idx="223">
                  <c:v>1.7605134192154743</c:v>
                </c:pt>
                <c:pt idx="224">
                  <c:v>1.7362089340112707</c:v>
                </c:pt>
                <c:pt idx="225">
                  <c:v>1.7260266454227304</c:v>
                </c:pt>
                <c:pt idx="226">
                  <c:v>1.7233957258235026</c:v>
                </c:pt>
                <c:pt idx="227">
                  <c:v>1.7208646070469007</c:v>
                </c:pt>
                <c:pt idx="228">
                  <c:v>1.718426282317884</c:v>
                </c:pt>
                <c:pt idx="229">
                  <c:v>1.7160736989812755</c:v>
                </c:pt>
                <c:pt idx="230">
                  <c:v>1.7138004567559053</c:v>
                </c:pt>
                <c:pt idx="231">
                  <c:v>1.7116007305268282</c:v>
                </c:pt>
                <c:pt idx="232">
                  <c:v>1.709469203832227</c:v>
                </c:pt>
                <c:pt idx="233">
                  <c:v>1.707401011192202</c:v>
                </c:pt>
                <c:pt idx="234">
                  <c:v>1.7053916880805284</c:v>
                </c:pt>
                <c:pt idx="235">
                  <c:v>1.7034371272177087</c:v>
                </c:pt>
                <c:pt idx="236">
                  <c:v>1.7015335404145706</c:v>
                </c:pt>
                <c:pt idx="237">
                  <c:v>1.6996774249688713</c:v>
                </c:pt>
                <c:pt idx="238">
                  <c:v>1.6978655341385736</c:v>
                </c:pt>
                <c:pt idx="239">
                  <c:v>1.6960948509859561</c:v>
                </c:pt>
                <c:pt idx="240">
                  <c:v>1.6943625652093708</c:v>
                </c:pt>
                <c:pt idx="241">
                  <c:v>1.6926660525413617</c:v>
                </c:pt>
                <c:pt idx="242">
                  <c:v>1.6910028563102657</c:v>
                </c:pt>
                <c:pt idx="243">
                  <c:v>1.6893706709746648</c:v>
                </c:pt>
                <c:pt idx="244">
                  <c:v>1.6877673272987919</c:v>
                </c:pt>
                <c:pt idx="245">
                  <c:v>1.6861907789750588</c:v>
                </c:pt>
                <c:pt idx="246">
                  <c:v>1.6846390905634296</c:v>
                </c:pt>
                <c:pt idx="247">
                  <c:v>1.6831104264407097</c:v>
                </c:pt>
                <c:pt idx="248">
                  <c:v>1.6834043318565455</c:v>
                </c:pt>
                <c:pt idx="249">
                  <c:v>1.6819096863730678</c:v>
                </c:pt>
                <c:pt idx="250">
                  <c:v>1.6804331171738778</c:v>
                </c:pt>
                <c:pt idx="251">
                  <c:v>1.6789730880343383</c:v>
                </c:pt>
                <c:pt idx="252">
                  <c:v>1.6775281198761285</c:v>
                </c:pt>
                <c:pt idx="253">
                  <c:v>1.6760967838916863</c:v>
                </c:pt>
                <c:pt idx="254">
                  <c:v>1.6746776950295941</c:v>
                </c:pt>
                <c:pt idx="255">
                  <c:v>1.6732695057761318</c:v>
                </c:pt>
                <c:pt idx="256">
                  <c:v>1.6718709002098475</c:v>
                </c:pt>
                <c:pt idx="257">
                  <c:v>1.6704805882437681</c:v>
                </c:pt>
                <c:pt idx="258">
                  <c:v>1.6690972999417852</c:v>
                </c:pt>
                <c:pt idx="259">
                  <c:v>1.6677197799696561</c:v>
                </c:pt>
                <c:pt idx="260">
                  <c:v>1.6663467820016964</c:v>
                </c:pt>
                <c:pt idx="261">
                  <c:v>1.6649770630420566</c:v>
                </c:pt>
                <c:pt idx="262">
                  <c:v>1.6636093776633685</c:v>
                </c:pt>
                <c:pt idx="263">
                  <c:v>1.6622424719967939</c:v>
                </c:pt>
                <c:pt idx="264">
                  <c:v>1.6608750774032253</c:v>
                </c:pt>
                <c:pt idx="265">
                  <c:v>1.6595059037980902</c:v>
                </c:pt>
                <c:pt idx="266">
                  <c:v>1.658133632436247</c:v>
                </c:pt>
                <c:pt idx="267">
                  <c:v>1.6567569080586753</c:v>
                </c:pt>
                <c:pt idx="268">
                  <c:v>1.6553743302541817</c:v>
                </c:pt>
                <c:pt idx="269">
                  <c:v>1.6539844438360485</c:v>
                </c:pt>
                <c:pt idx="270">
                  <c:v>1.6525857280343106</c:v>
                </c:pt>
                <c:pt idx="271">
                  <c:v>1.6513620586941482</c:v>
                </c:pt>
                <c:pt idx="272">
                  <c:v>1.6501432799834179</c:v>
                </c:pt>
                <c:pt idx="273">
                  <c:v>1.6489284530674093</c:v>
                </c:pt>
                <c:pt idx="274">
                  <c:v>1.6477166534602399</c:v>
                </c:pt>
                <c:pt idx="275">
                  <c:v>1.6465069679071169</c:v>
                </c:pt>
                <c:pt idx="276">
                  <c:v>1.6452984913976396</c:v>
                </c:pt>
                <c:pt idx="277">
                  <c:v>1.6440903241679259</c:v>
                </c:pt>
                <c:pt idx="278">
                  <c:v>1.6428815688305465</c:v>
                </c:pt>
                <c:pt idx="279">
                  <c:v>1.6416713274661066</c:v>
                </c:pt>
                <c:pt idx="280">
                  <c:v>1.6404586987473853</c:v>
                </c:pt>
                <c:pt idx="281">
                  <c:v>1.6392427750277412</c:v>
                </c:pt>
                <c:pt idx="282">
                  <c:v>1.6380226394273356</c:v>
                </c:pt>
                <c:pt idx="283">
                  <c:v>1.636797362796153</c:v>
                </c:pt>
                <c:pt idx="284">
                  <c:v>1.635566000655696</c:v>
                </c:pt>
                <c:pt idx="285">
                  <c:v>1.6343275900115073</c:v>
                </c:pt>
                <c:pt idx="286">
                  <c:v>1.633081146006669</c:v>
                </c:pt>
                <c:pt idx="287">
                  <c:v>1.6318256584746902</c:v>
                </c:pt>
                <c:pt idx="288">
                  <c:v>1.630560088282808</c:v>
                </c:pt>
                <c:pt idx="289">
                  <c:v>1.629283363430565</c:v>
                </c:pt>
                <c:pt idx="290">
                  <c:v>1.6279943749386379</c:v>
                </c:pt>
                <c:pt idx="291">
                  <c:v>1.6266919724551985</c:v>
                </c:pt>
                <c:pt idx="292">
                  <c:v>1.6253749594867426</c:v>
                </c:pt>
                <c:pt idx="293">
                  <c:v>1.6240420883294482</c:v>
                </c:pt>
                <c:pt idx="294">
                  <c:v>1.6226920545066899</c:v>
                </c:pt>
                <c:pt idx="295">
                  <c:v>1.6213234907447165</c:v>
                </c:pt>
                <c:pt idx="296">
                  <c:v>1.6199349604362807</c:v>
                </c:pt>
                <c:pt idx="297">
                  <c:v>1.6185249504398256</c:v>
                </c:pt>
                <c:pt idx="298">
                  <c:v>1.6170918631668327</c:v>
                </c:pt>
                <c:pt idx="299">
                  <c:v>1.6156340078955422</c:v>
                </c:pt>
                <c:pt idx="300">
                  <c:v>1.6141495911497057</c:v>
                </c:pt>
                <c:pt idx="301">
                  <c:v>1.6126367060109719</c:v>
                </c:pt>
                <c:pt idx="302">
                  <c:v>1.6110933202483866</c:v>
                </c:pt>
                <c:pt idx="303">
                  <c:v>1.6095172630976793</c:v>
                </c:pt>
                <c:pt idx="304">
                  <c:v>1.6079062104022761</c:v>
                </c:pt>
                <c:pt idx="305">
                  <c:v>1.606257668010022</c:v>
                </c:pt>
                <c:pt idx="306">
                  <c:v>1.6045689530217973</c:v>
                </c:pt>
                <c:pt idx="307">
                  <c:v>1.6028371726332511</c:v>
                </c:pt>
                <c:pt idx="308">
                  <c:v>1.6010592001810073</c:v>
                </c:pt>
                <c:pt idx="309">
                  <c:v>1.5992316478707267</c:v>
                </c:pt>
                <c:pt idx="310">
                  <c:v>1.5973508357287234</c:v>
                </c:pt>
                <c:pt idx="311">
                  <c:v>1.5954476232748152</c:v>
                </c:pt>
                <c:pt idx="312">
                  <c:v>1.5935918028910294</c:v>
                </c:pt>
                <c:pt idx="313">
                  <c:v>1.5915075154854768</c:v>
                </c:pt>
                <c:pt idx="314">
                  <c:v>1.5893005634898716</c:v>
                </c:pt>
                <c:pt idx="315">
                  <c:v>1.5871666420154453</c:v>
                </c:pt>
                <c:pt idx="316">
                  <c:v>1.5851005308410191</c:v>
                </c:pt>
                <c:pt idx="317">
                  <c:v>1.5830973944645044</c:v>
                </c:pt>
                <c:pt idx="318">
                  <c:v>1.5811527380623984</c:v>
                </c:pt>
                <c:pt idx="319">
                  <c:v>1.579262367853252</c:v>
                </c:pt>
                <c:pt idx="320">
                  <c:v>1.5774223553141573</c:v>
                </c:pt>
                <c:pt idx="321">
                  <c:v>1.5756290043888035</c:v>
                </c:pt>
                <c:pt idx="322">
                  <c:v>1.5738788212374957</c:v>
                </c:pt>
                <c:pt idx="323">
                  <c:v>1.5721684859985372</c:v>
                </c:pt>
                <c:pt idx="324">
                  <c:v>1.5704948258841436</c:v>
                </c:pt>
                <c:pt idx="325">
                  <c:v>1.5688547893735258</c:v>
                </c:pt>
                <c:pt idx="326">
                  <c:v>1.5672454207358648</c:v>
                </c:pt>
                <c:pt idx="327">
                  <c:v>1.5656638345798568</c:v>
                </c:pt>
                <c:pt idx="328">
                  <c:v>1.5641071896877519</c:v>
                </c:pt>
                <c:pt idx="329">
                  <c:v>1.5625726615924835</c:v>
                </c:pt>
                <c:pt idx="330">
                  <c:v>1.5610574131257098</c:v>
                </c:pt>
                <c:pt idx="331">
                  <c:v>1.5595585619918053</c:v>
                </c:pt>
                <c:pt idx="332">
                  <c:v>1.5580731443496385</c:v>
                </c:pt>
                <c:pt idx="333">
                  <c:v>1.5565980728893545</c:v>
                </c:pt>
                <c:pt idx="334">
                  <c:v>1.5551300877768208</c:v>
                </c:pt>
                <c:pt idx="335">
                  <c:v>1.5536656979875378</c:v>
                </c:pt>
                <c:pt idx="336">
                  <c:v>1.5522011101252009</c:v>
                </c:pt>
                <c:pt idx="337">
                  <c:v>1.5507321404442369</c:v>
                </c:pt>
                <c:pt idx="338">
                  <c:v>1.5492541046708104</c:v>
                </c:pt>
                <c:pt idx="339">
                  <c:v>1.5477616776403071</c:v>
                </c:pt>
                <c:pt idx="340">
                  <c:v>1.5462487120301243</c:v>
                </c:pt>
                <c:pt idx="341">
                  <c:v>1.5447080005232749</c:v>
                </c:pt>
                <c:pt idx="342">
                  <c:v>1.5431309587000845</c:v>
                </c:pt>
                <c:pt idx="343">
                  <c:v>1.5415071949999801</c:v>
                </c:pt>
                <c:pt idx="344">
                  <c:v>1.5398239164916403</c:v>
                </c:pt>
                <c:pt idx="345">
                  <c:v>1.5380650908869262</c:v>
                </c:pt>
                <c:pt idx="346">
                  <c:v>1.536210237126171</c:v>
                </c:pt>
                <c:pt idx="347">
                  <c:v>1.5342326340958954</c:v>
                </c:pt>
                <c:pt idx="348">
                  <c:v>1.5320965866879697</c:v>
                </c:pt>
                <c:pt idx="349">
                  <c:v>1.5297531052508531</c:v>
                </c:pt>
                <c:pt idx="350">
                  <c:v>1.5271327906015097</c:v>
                </c:pt>
                <c:pt idx="351">
                  <c:v>1.5241335225842525</c:v>
                </c:pt>
                <c:pt idx="352">
                  <c:v>1.5203883288439235</c:v>
                </c:pt>
                <c:pt idx="353">
                  <c:v>1.517206150716967</c:v>
                </c:pt>
                <c:pt idx="354">
                  <c:v>1.5115892430618774</c:v>
                </c:pt>
                <c:pt idx="355">
                  <c:v>1.5038673765631947</c:v>
                </c:pt>
                <c:pt idx="356">
                  <c:v>1.4920159397577086</c:v>
                </c:pt>
                <c:pt idx="357">
                  <c:v>1.4699572144321433</c:v>
                </c:pt>
                <c:pt idx="358">
                  <c:v>1.4055794716134395</c:v>
                </c:pt>
                <c:pt idx="359">
                  <c:v>-0.81233386529904406</c:v>
                </c:pt>
                <c:pt idx="360">
                  <c:v>-1.4359336692425584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C15-452B-86B0-21DF09300368}"/>
            </c:ext>
          </c:extLst>
        </c:ser>
        <c:ser>
          <c:idx val="2"/>
          <c:order val="2"/>
          <c:tx>
            <c:v>@ alpha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7"/>
            <c:spPr>
              <a:noFill/>
              <a:ln w="15875">
                <a:solidFill>
                  <a:srgbClr val="C00000"/>
                </a:solidFill>
              </a:ln>
              <a:effectLst/>
            </c:spPr>
          </c:marker>
          <c:xVal>
            <c:numRef>
              <c:f>L_Section_Capacity!$B$27</c:f>
              <c:numCache>
                <c:formatCode>0.0000</c:formatCode>
                <c:ptCount val="1"/>
                <c:pt idx="0">
                  <c:v>-1.9472871984232795E-2</c:v>
                </c:pt>
              </c:numCache>
            </c:numRef>
          </c:xVal>
          <c:yVal>
            <c:numRef>
              <c:f>L_Section_Capacity!$W$7</c:f>
              <c:numCache>
                <c:formatCode>0.000E+00</c:formatCode>
                <c:ptCount val="1"/>
                <c:pt idx="0">
                  <c:v>6.547431715721308E-10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1C15-452B-86B0-21DF09300368}"/>
            </c:ext>
          </c:extLst>
        </c:ser>
        <c:ser>
          <c:idx val="3"/>
          <c:order val="3"/>
          <c:tx>
            <c:v>Tan-1(My/Mx)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2">
                    <a:lumMod val="75000"/>
                  </a:schemeClr>
                </a:solidFill>
              </a:ln>
              <a:effectLst/>
            </c:spPr>
          </c:marker>
          <c:xVal>
            <c:numRef>
              <c:f>L_Section_Capacity!$U$13</c:f>
              <c:numCache>
                <c:formatCode>0.000E+00</c:formatCode>
                <c:ptCount val="1"/>
                <c:pt idx="0">
                  <c:v>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7-1C15-452B-86B0-21DF09300368}"/>
            </c:ext>
          </c:extLst>
        </c:ser>
        <c:ser>
          <c:idx val="4"/>
          <c:order val="4"/>
          <c:tx>
            <c:v>User+/-pi/2</c:v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6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L_Section_Capacity!$AD$45:$AD$46</c:f>
              <c:numCache>
                <c:formatCode>0.000E+00</c:formatCode>
                <c:ptCount val="2"/>
                <c:pt idx="0">
                  <c:v>1.0471975511965976</c:v>
                </c:pt>
                <c:pt idx="1">
                  <c:v>-1.0471975511965976</c:v>
                </c:pt>
              </c:numCache>
            </c:numRef>
          </c:xVal>
          <c:yVal>
            <c:numRef>
              <c:f>L_Section_Capacity!$AE$45:$AE$46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1C15-452B-86B0-21DF093003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2780847"/>
        <c:axId val="186769247"/>
      </c:scatterChart>
      <c:valAx>
        <c:axId val="3127808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769247"/>
        <c:crosses val="autoZero"/>
        <c:crossBetween val="midCat"/>
      </c:valAx>
      <c:valAx>
        <c:axId val="1867692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278084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352424</xdr:colOff>
      <xdr:row>2</xdr:row>
      <xdr:rowOff>85724</xdr:rowOff>
    </xdr:from>
    <xdr:to>
      <xdr:col>18</xdr:col>
      <xdr:colOff>381000</xdr:colOff>
      <xdr:row>28</xdr:row>
      <xdr:rowOff>123825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590550</xdr:colOff>
      <xdr:row>29</xdr:row>
      <xdr:rowOff>95251</xdr:rowOff>
    </xdr:from>
    <xdr:to>
      <xdr:col>23</xdr:col>
      <xdr:colOff>590550</xdr:colOff>
      <xdr:row>47</xdr:row>
      <xdr:rowOff>19050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3</xdr:row>
          <xdr:rowOff>9525</xdr:rowOff>
        </xdr:from>
        <xdr:to>
          <xdr:col>9</xdr:col>
          <xdr:colOff>190500</xdr:colOff>
          <xdr:row>7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Find NA Depth for Sum P=0 @ Constant NA Angle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66675</xdr:colOff>
          <xdr:row>8</xdr:row>
          <xdr:rowOff>28575</xdr:rowOff>
        </xdr:from>
        <xdr:to>
          <xdr:col>9</xdr:col>
          <xdr:colOff>200025</xdr:colOff>
          <xdr:row>13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Find Both NA Depth and Angle for User 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295275</xdr:colOff>
          <xdr:row>24</xdr:row>
          <xdr:rowOff>85725</xdr:rowOff>
        </xdr:from>
        <xdr:to>
          <xdr:col>20</xdr:col>
          <xdr:colOff>800100</xdr:colOff>
          <xdr:row>27</xdr:row>
          <xdr:rowOff>66675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Find a Solution with Matching Unit Vector</a:t>
              </a:r>
            </a:p>
          </xdr:txBody>
        </xdr:sp>
        <xdr:clientData fPrintsWithSheet="0"/>
      </xdr:twoCellAnchor>
    </mc:Choice>
    <mc:Fallback/>
  </mc:AlternateContent>
  <xdr:twoCellAnchor>
    <xdr:from>
      <xdr:col>23</xdr:col>
      <xdr:colOff>136525</xdr:colOff>
      <xdr:row>19</xdr:row>
      <xdr:rowOff>43656</xdr:rowOff>
    </xdr:from>
    <xdr:to>
      <xdr:col>30</xdr:col>
      <xdr:colOff>473075</xdr:colOff>
      <xdr:row>34</xdr:row>
      <xdr:rowOff>74612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31</xdr:col>
      <xdr:colOff>383382</xdr:colOff>
      <xdr:row>0</xdr:row>
      <xdr:rowOff>121443</xdr:rowOff>
    </xdr:from>
    <xdr:to>
      <xdr:col>43</xdr:col>
      <xdr:colOff>526256</xdr:colOff>
      <xdr:row>25</xdr:row>
      <xdr:rowOff>128588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31</xdr:col>
      <xdr:colOff>431006</xdr:colOff>
      <xdr:row>26</xdr:row>
      <xdr:rowOff>50005</xdr:rowOff>
    </xdr:from>
    <xdr:to>
      <xdr:col>43</xdr:col>
      <xdr:colOff>573880</xdr:colOff>
      <xdr:row>51</xdr:row>
      <xdr:rowOff>126206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31</xdr:col>
      <xdr:colOff>385761</xdr:colOff>
      <xdr:row>52</xdr:row>
      <xdr:rowOff>30957</xdr:rowOff>
    </xdr:from>
    <xdr:to>
      <xdr:col>43</xdr:col>
      <xdr:colOff>583406</xdr:colOff>
      <xdr:row>82</xdr:row>
      <xdr:rowOff>23812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295275</xdr:colOff>
          <xdr:row>2</xdr:row>
          <xdr:rowOff>85725</xdr:rowOff>
        </xdr:from>
        <xdr:to>
          <xdr:col>31</xdr:col>
          <xdr:colOff>180975</xdr:colOff>
          <xdr:row>5</xdr:row>
          <xdr:rowOff>76200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Build Mx vs My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6A54E9-EA59-4EEC-AB5F-C1E14D94F20F}">
  <sheetPr codeName="Sheet1"/>
  <dimension ref="A1:CK378"/>
  <sheetViews>
    <sheetView tabSelected="1" zoomScale="80" zoomScaleNormal="80" workbookViewId="0">
      <selection activeCell="U2" sqref="U2"/>
    </sheetView>
  </sheetViews>
  <sheetFormatPr defaultColWidth="8.85546875" defaultRowHeight="15" x14ac:dyDescent="0.25"/>
  <cols>
    <col min="1" max="1" width="15.28515625" customWidth="1"/>
    <col min="2" max="2" width="13.85546875" customWidth="1"/>
    <col min="3" max="3" width="12.42578125" customWidth="1"/>
    <col min="4" max="5" width="11.140625" customWidth="1"/>
    <col min="15" max="16" width="10.7109375" bestFit="1" customWidth="1"/>
    <col min="20" max="20" width="16.5703125" customWidth="1"/>
    <col min="21" max="21" width="12.85546875" bestFit="1" customWidth="1"/>
    <col min="22" max="22" width="12.7109375" bestFit="1" customWidth="1"/>
    <col min="23" max="23" width="12.140625" bestFit="1" customWidth="1"/>
    <col min="24" max="24" width="11" bestFit="1" customWidth="1"/>
    <col min="25" max="25" width="10.28515625" bestFit="1" customWidth="1"/>
    <col min="27" max="27" width="10.7109375" bestFit="1" customWidth="1"/>
    <col min="30" max="30" width="13.7109375" bestFit="1" customWidth="1"/>
    <col min="45" max="47" width="13.7109375" style="6" bestFit="1" customWidth="1"/>
    <col min="48" max="48" width="14.42578125" style="6" bestFit="1" customWidth="1"/>
    <col min="49" max="49" width="19.42578125" style="6" bestFit="1" customWidth="1"/>
    <col min="50" max="50" width="19.140625" style="6" bestFit="1" customWidth="1"/>
    <col min="51" max="51" width="24.28515625" style="6" bestFit="1" customWidth="1"/>
    <col min="52" max="52" width="11" style="50" bestFit="1" customWidth="1"/>
    <col min="53" max="53" width="19.42578125" style="50" bestFit="1" customWidth="1"/>
    <col min="54" max="54" width="19.140625" style="50" bestFit="1" customWidth="1"/>
    <col min="55" max="56" width="24.28515625" style="50" bestFit="1" customWidth="1"/>
    <col min="57" max="57" width="10.7109375" bestFit="1" customWidth="1"/>
    <col min="58" max="58" width="10.28515625" bestFit="1" customWidth="1"/>
    <col min="65" max="65" width="13.7109375" bestFit="1" customWidth="1"/>
    <col min="70" max="71" width="13.7109375" bestFit="1" customWidth="1"/>
    <col min="72" max="72" width="11" bestFit="1" customWidth="1"/>
    <col min="73" max="73" width="13" bestFit="1" customWidth="1"/>
    <col min="78" max="78" width="13" bestFit="1" customWidth="1"/>
    <col min="80" max="80" width="10.7109375" bestFit="1" customWidth="1"/>
  </cols>
  <sheetData>
    <row r="1" spans="1:89" x14ac:dyDescent="0.25">
      <c r="K1" s="8" t="s">
        <v>71</v>
      </c>
      <c r="L1" s="14">
        <v>1.0000000000000001E-9</v>
      </c>
      <c r="P1" s="8" t="s">
        <v>144</v>
      </c>
      <c r="Q1" s="4">
        <v>0.5</v>
      </c>
      <c r="T1" t="s">
        <v>162</v>
      </c>
      <c r="U1" s="4">
        <v>0</v>
      </c>
      <c r="AS1" s="6" t="s">
        <v>111</v>
      </c>
      <c r="AT1" s="6" t="s">
        <v>100</v>
      </c>
      <c r="AU1" s="6" t="s">
        <v>101</v>
      </c>
      <c r="AV1" s="6" t="s">
        <v>112</v>
      </c>
      <c r="AW1" s="6" t="s">
        <v>145</v>
      </c>
      <c r="AX1" s="6" t="s">
        <v>146</v>
      </c>
      <c r="AY1" s="6" t="s">
        <v>147</v>
      </c>
      <c r="BG1" s="46" t="s">
        <v>148</v>
      </c>
      <c r="BW1" t="s">
        <v>113</v>
      </c>
      <c r="CE1" t="s">
        <v>136</v>
      </c>
      <c r="CK1" t="s">
        <v>143</v>
      </c>
    </row>
    <row r="2" spans="1:89" ht="15.75" thickBot="1" x14ac:dyDescent="0.3">
      <c r="A2" s="8" t="s">
        <v>0</v>
      </c>
      <c r="B2" s="2">
        <v>5</v>
      </c>
      <c r="C2" t="s">
        <v>1</v>
      </c>
      <c r="E2" s="1" t="s">
        <v>8</v>
      </c>
      <c r="F2" s="1" t="s">
        <v>9</v>
      </c>
      <c r="H2" t="s">
        <v>25</v>
      </c>
      <c r="I2" s="6">
        <f>B5/2</f>
        <v>6</v>
      </c>
      <c r="K2" s="8" t="s">
        <v>72</v>
      </c>
      <c r="L2" s="4">
        <v>75</v>
      </c>
      <c r="M2">
        <v>1619</v>
      </c>
      <c r="N2">
        <v>37</v>
      </c>
      <c r="O2">
        <v>1</v>
      </c>
      <c r="AD2" s="8" t="s">
        <v>163</v>
      </c>
      <c r="AE2" s="21">
        <v>360</v>
      </c>
      <c r="AS2">
        <v>0</v>
      </c>
      <c r="AT2">
        <v>19.842760784320248</v>
      </c>
      <c r="AU2">
        <v>146.2399999999945</v>
      </c>
      <c r="AV2" s="6">
        <f>IF(AS2&lt;&gt;"",IF(AND(AT2=0,AU2=0),0,MOD(ATAN2(AT2,AU2),2*PI())),NA())</f>
        <v>1.4359336692411007</v>
      </c>
      <c r="AW2" s="6">
        <f>ABS(AS2-AV2)</f>
        <v>1.4359336692411007</v>
      </c>
      <c r="AX2" s="6">
        <f>ATAN2(COS($U$13-AV2),SIN($U$13-AV2))</f>
        <v>-1.4359336692411007</v>
      </c>
      <c r="AY2" s="6">
        <f>ABS(AX2)</f>
        <v>1.4359336692411007</v>
      </c>
      <c r="BE2" s="39"/>
      <c r="BF2" s="39"/>
      <c r="BT2">
        <v>0</v>
      </c>
      <c r="BW2" s="1" t="s">
        <v>114</v>
      </c>
      <c r="BX2" s="1" t="s">
        <v>33</v>
      </c>
      <c r="BY2" s="1" t="s">
        <v>115</v>
      </c>
      <c r="BZ2" s="1" t="s">
        <v>116</v>
      </c>
      <c r="CA2" s="1" t="s">
        <v>117</v>
      </c>
      <c r="CB2" s="1" t="s">
        <v>118</v>
      </c>
      <c r="CE2" s="1" t="s">
        <v>137</v>
      </c>
      <c r="CF2">
        <v>3.1415926535897931</v>
      </c>
    </row>
    <row r="3" spans="1:89" x14ac:dyDescent="0.25">
      <c r="A3" s="8" t="s">
        <v>2</v>
      </c>
      <c r="B3" s="3">
        <f>(POWER(145,1.5)*33*SQRT(1000*B2))/1000</f>
        <v>4074.2806880478911</v>
      </c>
      <c r="C3" t="s">
        <v>1</v>
      </c>
      <c r="E3">
        <v>0</v>
      </c>
      <c r="F3">
        <v>0</v>
      </c>
      <c r="H3" t="s">
        <v>26</v>
      </c>
      <c r="I3" s="1">
        <f>B8/2</f>
        <v>12</v>
      </c>
      <c r="T3" s="26" t="s">
        <v>78</v>
      </c>
      <c r="U3" s="19">
        <f ca="1">IF(ABS(K72)&lt;0.002,0.65,IF(ABS(K72)&gt;0.005,0.9,0.65+((ABS(K72)-0.002)*(250/3))))</f>
        <v>0.67815278517197974</v>
      </c>
      <c r="V3" s="16"/>
      <c r="W3" s="30" t="s">
        <v>95</v>
      </c>
      <c r="X3" t="s">
        <v>79</v>
      </c>
      <c r="AA3" t="s">
        <v>110</v>
      </c>
      <c r="AS3">
        <v>1.7453292519943295E-2</v>
      </c>
      <c r="AT3">
        <v>17.219957953087398</v>
      </c>
      <c r="AU3">
        <v>216.60307032526669</v>
      </c>
      <c r="AV3" s="6">
        <f t="shared" ref="AV3:AV66" si="0">IF(AS3&lt;&gt;"",IF(AND(AT3=0,AU3=0),0,MOD(ATAN2(AT3,AU3),2*PI())),NA())</f>
        <v>1.491463117542404</v>
      </c>
      <c r="AW3" s="6">
        <f t="shared" ref="AW3:AW66" si="1">ABS(AS3-AV3)</f>
        <v>1.4740098250224607</v>
      </c>
      <c r="AX3" s="6">
        <f t="shared" ref="AX3:AX66" si="2">ATAN2(COS($U$13-AV3),SIN($U$13-AV3))</f>
        <v>-1.491463117542404</v>
      </c>
      <c r="AY3" s="6">
        <f t="shared" ref="AY3:AY66" si="3">ABS(AX3)</f>
        <v>1.491463117542404</v>
      </c>
      <c r="BE3" s="39"/>
      <c r="BF3" s="39"/>
      <c r="BG3" t="s">
        <v>149</v>
      </c>
      <c r="CE3" t="s">
        <v>138</v>
      </c>
      <c r="CF3" t="s">
        <v>139</v>
      </c>
      <c r="CG3" t="s">
        <v>141</v>
      </c>
      <c r="CH3" t="s">
        <v>142</v>
      </c>
      <c r="CI3" t="s">
        <v>140</v>
      </c>
    </row>
    <row r="4" spans="1:89" x14ac:dyDescent="0.25">
      <c r="A4" s="8" t="s">
        <v>3</v>
      </c>
      <c r="B4" s="1">
        <f>IF(B2&lt;=4,0.85,IF(B2&lt;=8,0.85 - ((0.05*(B2-4))/1),0.65))</f>
        <v>0.79999999999999993</v>
      </c>
      <c r="E4" s="5">
        <f>B5</f>
        <v>12</v>
      </c>
      <c r="F4">
        <v>0</v>
      </c>
      <c r="G4">
        <f>((E3*F4)-(E4*F3))*0.5</f>
        <v>0</v>
      </c>
      <c r="T4" s="27" t="s">
        <v>75</v>
      </c>
      <c r="U4" s="10">
        <f ca="1">U3*B75</f>
        <v>-3.3230754096252051E-10</v>
      </c>
      <c r="V4" s="17" t="s">
        <v>68</v>
      </c>
      <c r="W4" s="31">
        <f ca="1">U4-U10</f>
        <v>-3.3230754096252051E-10</v>
      </c>
      <c r="X4" cm="1">
        <f t="array" ref="X4">MAX(ABS(E3:F11))+10</f>
        <v>46</v>
      </c>
      <c r="Y4">
        <f>X4</f>
        <v>46</v>
      </c>
      <c r="AA4" t="s">
        <v>8</v>
      </c>
      <c r="AB4" t="s">
        <v>9</v>
      </c>
      <c r="AS4">
        <v>3.4906585039886591E-2</v>
      </c>
      <c r="AT4">
        <v>14.33968701221708</v>
      </c>
      <c r="AU4">
        <v>277.65478928508401</v>
      </c>
      <c r="AV4" s="6">
        <f t="shared" si="0"/>
        <v>1.5191964315359261</v>
      </c>
      <c r="AW4" s="6">
        <f t="shared" si="1"/>
        <v>1.4842898464960395</v>
      </c>
      <c r="AX4" s="6">
        <f t="shared" si="2"/>
        <v>-1.5191964315359261</v>
      </c>
      <c r="AY4" s="6">
        <f t="shared" si="3"/>
        <v>1.5191964315359261</v>
      </c>
      <c r="BE4" s="39"/>
      <c r="BF4" s="39"/>
      <c r="BG4" s="1" t="s">
        <v>100</v>
      </c>
      <c r="BH4" s="1" t="s">
        <v>101</v>
      </c>
    </row>
    <row r="5" spans="1:89" x14ac:dyDescent="0.25">
      <c r="A5" s="8" t="s">
        <v>5</v>
      </c>
      <c r="B5" s="45">
        <v>12</v>
      </c>
      <c r="C5" t="s">
        <v>4</v>
      </c>
      <c r="E5" s="5">
        <f>E4</f>
        <v>12</v>
      </c>
      <c r="F5">
        <f>(B8-B9)</f>
        <v>16</v>
      </c>
      <c r="G5">
        <f t="shared" ref="G5:G11" si="4">((E4*F5)-(E5*F4))*0.5</f>
        <v>96</v>
      </c>
      <c r="T5" s="27" t="s">
        <v>77</v>
      </c>
      <c r="U5" s="10">
        <f ca="1">U3*B79*(1/12)</f>
        <v>13.958587850691302</v>
      </c>
      <c r="V5" s="17" t="s">
        <v>70</v>
      </c>
      <c r="W5" s="32"/>
      <c r="X5">
        <f>X4</f>
        <v>46</v>
      </c>
      <c r="Y5">
        <f>X5</f>
        <v>46</v>
      </c>
      <c r="AA5">
        <v>0</v>
      </c>
      <c r="AB5">
        <v>0</v>
      </c>
      <c r="AS5">
        <v>5.235987755982989E-2</v>
      </c>
      <c r="AT5">
        <v>13.137586101733129</v>
      </c>
      <c r="AU5">
        <v>310.61473768758282</v>
      </c>
      <c r="AV5" s="6">
        <f t="shared" si="0"/>
        <v>1.5285260834794541</v>
      </c>
      <c r="AW5" s="6">
        <f t="shared" si="1"/>
        <v>1.4761662059196241</v>
      </c>
      <c r="AX5" s="6">
        <f t="shared" si="2"/>
        <v>-1.5285260834794541</v>
      </c>
      <c r="AY5" s="6">
        <f t="shared" si="3"/>
        <v>1.5285260834794541</v>
      </c>
      <c r="BE5" s="39"/>
      <c r="BF5" s="39"/>
      <c r="BG5">
        <f ca="1">B132</f>
        <v>-66.915756597848031</v>
      </c>
      <c r="BH5">
        <f ca="1">B133</f>
        <v>147.91904090050642</v>
      </c>
    </row>
    <row r="6" spans="1:89" x14ac:dyDescent="0.25">
      <c r="A6" s="8" t="s">
        <v>92</v>
      </c>
      <c r="B6" s="45">
        <v>24</v>
      </c>
      <c r="C6" t="s">
        <v>4</v>
      </c>
      <c r="E6" s="5">
        <f>B7+B5</f>
        <v>36</v>
      </c>
      <c r="F6">
        <f>F5</f>
        <v>16</v>
      </c>
      <c r="G6">
        <f t="shared" si="4"/>
        <v>-192</v>
      </c>
      <c r="T6" s="27" t="s">
        <v>76</v>
      </c>
      <c r="U6" s="10">
        <f ca="1">U3*B80*(1/12)</f>
        <v>-9.1392816021115179E-9</v>
      </c>
      <c r="V6" s="17" t="s">
        <v>70</v>
      </c>
      <c r="W6" s="31">
        <f t="shared" ref="W6" ca="1" si="5">U6</f>
        <v>-9.1392816021115179E-9</v>
      </c>
      <c r="X6">
        <f>IF(B6=0,0,-1*X5)</f>
        <v>-46</v>
      </c>
      <c r="Y6">
        <f>IF(B6=0,0,Y5)</f>
        <v>46</v>
      </c>
      <c r="AA6">
        <f>U14</f>
        <v>100</v>
      </c>
      <c r="AB6">
        <f>U10</f>
        <v>0</v>
      </c>
      <c r="AS6">
        <v>6.9813170079773182E-2</v>
      </c>
      <c r="AT6">
        <v>12.441976921916243</v>
      </c>
      <c r="AU6">
        <v>336.6796486902083</v>
      </c>
      <c r="AV6" s="6">
        <f t="shared" si="0"/>
        <v>1.5338581936529128</v>
      </c>
      <c r="AW6" s="6">
        <f t="shared" si="1"/>
        <v>1.4640450235731395</v>
      </c>
      <c r="AX6" s="6">
        <f t="shared" si="2"/>
        <v>-1.5338581936529128</v>
      </c>
      <c r="AY6" s="6">
        <f t="shared" si="3"/>
        <v>1.5338581936529128</v>
      </c>
      <c r="BE6" s="39"/>
      <c r="BF6" s="39"/>
    </row>
    <row r="7" spans="1:89" ht="15.75" thickBot="1" x14ac:dyDescent="0.3">
      <c r="A7" s="8" t="s">
        <v>91</v>
      </c>
      <c r="B7" s="45">
        <v>24</v>
      </c>
      <c r="C7" t="s">
        <v>4</v>
      </c>
      <c r="E7" s="5">
        <f>E6</f>
        <v>36</v>
      </c>
      <c r="F7">
        <f>B8</f>
        <v>24</v>
      </c>
      <c r="G7">
        <f t="shared" si="4"/>
        <v>144</v>
      </c>
      <c r="T7" s="28" t="s">
        <v>96</v>
      </c>
      <c r="U7" s="29">
        <f ca="1">IF(AND(U5=0,U6=0),0,MOD(ATAN2(U5,U6),2*PI()))</f>
        <v>6.2831853065248433</v>
      </c>
      <c r="V7" s="18" t="s">
        <v>97</v>
      </c>
      <c r="W7" s="33">
        <f ca="1">ATAN2(COS(U13-U7),SIN(U13-U7))</f>
        <v>6.547431715721308E-10</v>
      </c>
      <c r="X7" s="39">
        <f ca="1">U7+2*PI()</f>
        <v>12.566370613704429</v>
      </c>
      <c r="AA7">
        <f ca="1">U8</f>
        <v>13.958587850691302</v>
      </c>
      <c r="AB7" s="9">
        <f ca="1">U4</f>
        <v>-3.3230754096252051E-10</v>
      </c>
      <c r="AS7">
        <v>8.7266462599716474E-2</v>
      </c>
      <c r="AT7">
        <v>11.905607872842484</v>
      </c>
      <c r="AU7">
        <v>359.98614595015374</v>
      </c>
      <c r="AV7" s="6">
        <f t="shared" si="0"/>
        <v>1.5377359711896017</v>
      </c>
      <c r="AW7" s="6">
        <f t="shared" si="1"/>
        <v>1.4504695085898853</v>
      </c>
      <c r="AX7" s="6">
        <f t="shared" si="2"/>
        <v>-1.5377359711896017</v>
      </c>
      <c r="AY7" s="6">
        <f t="shared" si="3"/>
        <v>1.5377359711896017</v>
      </c>
      <c r="BE7" s="39"/>
      <c r="BF7" s="39"/>
      <c r="BG7" t="s">
        <v>150</v>
      </c>
    </row>
    <row r="8" spans="1:89" ht="15.75" thickBot="1" x14ac:dyDescent="0.3">
      <c r="A8" s="8" t="s">
        <v>6</v>
      </c>
      <c r="B8" s="7">
        <v>24</v>
      </c>
      <c r="C8" t="s">
        <v>4</v>
      </c>
      <c r="E8" s="5">
        <f>E7-(B7+B6+B5)</f>
        <v>-24</v>
      </c>
      <c r="F8">
        <f>F7</f>
        <v>24</v>
      </c>
      <c r="G8">
        <f t="shared" si="4"/>
        <v>720</v>
      </c>
      <c r="T8" s="37" t="s">
        <v>109</v>
      </c>
      <c r="U8" s="6">
        <f ca="1">SQRT(POWER(U5,2)+POWER(U6,2))</f>
        <v>13.958587850691302</v>
      </c>
      <c r="V8" s="41" t="s">
        <v>70</v>
      </c>
      <c r="X8">
        <f ca="1">DEGREES(U7)</f>
        <v>359.99999996248602</v>
      </c>
      <c r="AS8">
        <v>0.10471975511965977</v>
      </c>
      <c r="AT8">
        <v>11.411238038736059</v>
      </c>
      <c r="AU8">
        <v>381.72105005426494</v>
      </c>
      <c r="AV8" s="6">
        <f t="shared" si="0"/>
        <v>1.540911046443677</v>
      </c>
      <c r="AW8" s="6">
        <f t="shared" si="1"/>
        <v>1.4361912913240173</v>
      </c>
      <c r="AX8" s="6">
        <f t="shared" si="2"/>
        <v>-1.540911046443677</v>
      </c>
      <c r="AY8" s="6">
        <f t="shared" si="3"/>
        <v>1.540911046443677</v>
      </c>
      <c r="BE8" s="39"/>
      <c r="BF8" s="39"/>
      <c r="BG8" s="1" t="s">
        <v>100</v>
      </c>
      <c r="BH8" s="1" t="s">
        <v>101</v>
      </c>
      <c r="BO8" t="s">
        <v>100</v>
      </c>
      <c r="BP8" t="s">
        <v>101</v>
      </c>
      <c r="BQ8" s="1" t="s">
        <v>155</v>
      </c>
      <c r="BR8" s="1" t="s">
        <v>156</v>
      </c>
      <c r="BS8" s="1" t="s">
        <v>157</v>
      </c>
      <c r="BT8" s="1" t="s">
        <v>158</v>
      </c>
      <c r="BU8" s="1" t="s">
        <v>159</v>
      </c>
      <c r="BV8" s="1"/>
      <c r="BX8" s="1" t="s">
        <v>155</v>
      </c>
      <c r="BY8" s="1" t="s">
        <v>156</v>
      </c>
      <c r="BZ8" s="1" t="s">
        <v>157</v>
      </c>
      <c r="CA8" s="1" t="s">
        <v>158</v>
      </c>
    </row>
    <row r="9" spans="1:89" x14ac:dyDescent="0.25">
      <c r="A9" s="8" t="s">
        <v>7</v>
      </c>
      <c r="B9" s="7">
        <v>8</v>
      </c>
      <c r="C9" t="s">
        <v>4</v>
      </c>
      <c r="E9" s="5">
        <f>E8</f>
        <v>-24</v>
      </c>
      <c r="F9">
        <f>F6</f>
        <v>16</v>
      </c>
      <c r="G9">
        <f t="shared" si="4"/>
        <v>96</v>
      </c>
      <c r="T9" s="35" t="s">
        <v>98</v>
      </c>
      <c r="U9" s="36"/>
      <c r="V9" s="16"/>
      <c r="AA9" s="9">
        <f ca="1">U5-U11</f>
        <v>-86.041412149308698</v>
      </c>
      <c r="AB9" s="9">
        <f ca="1">U6-U12</f>
        <v>-9.1392816021115179E-9</v>
      </c>
      <c r="AC9" s="9">
        <f ca="1">AA9+AB9</f>
        <v>-86.041412158447983</v>
      </c>
      <c r="AS9">
        <v>0.12217304763960306</v>
      </c>
      <c r="AT9">
        <v>10.91025396165735</v>
      </c>
      <c r="AU9">
        <v>402.3766014352708</v>
      </c>
      <c r="AV9" s="6">
        <f t="shared" si="0"/>
        <v>1.5436884349108433</v>
      </c>
      <c r="AW9" s="6">
        <f t="shared" si="1"/>
        <v>1.4215153872712403</v>
      </c>
      <c r="AX9" s="6">
        <f t="shared" si="2"/>
        <v>-1.5436884349108433</v>
      </c>
      <c r="AY9" s="6">
        <f t="shared" si="3"/>
        <v>1.5436884349108433</v>
      </c>
      <c r="BE9" s="39"/>
      <c r="BF9" s="39" t="s">
        <v>151</v>
      </c>
      <c r="BG9">
        <f ca="1">(U11-BG5)</f>
        <v>166.91575659784803</v>
      </c>
      <c r="BH9">
        <f ca="1">(U12 -BH5)</f>
        <v>-147.91904090050642</v>
      </c>
      <c r="BO9" s="9">
        <f ca="1">U5-BG5</f>
        <v>80.874344448539333</v>
      </c>
      <c r="BP9" s="9">
        <f ca="1">U6-BH5</f>
        <v>-147.9190409096457</v>
      </c>
      <c r="BQ9">
        <f ca="1">SQRT(POWER(BO9,2)+POWER(BP9,2))</f>
        <v>168.58440691122777</v>
      </c>
      <c r="BR9">
        <f ca="1">BO9/BQ9</f>
        <v>0.47972612610088955</v>
      </c>
      <c r="BS9">
        <f ca="1">BP9/BQ9</f>
        <v>-0.87741828333824534</v>
      </c>
      <c r="BT9">
        <f ca="1">ATAN2(BR9,BS9)</f>
        <v>-1.0704537771094482</v>
      </c>
      <c r="BU9" s="39">
        <f ca="1">BT9-BJ11</f>
        <v>-0.34532122584160119</v>
      </c>
      <c r="BV9" s="9">
        <f ca="1">BO9+$BG$5</f>
        <v>13.958587850691302</v>
      </c>
      <c r="BW9" s="9">
        <f ca="1">BP9+$BH$5</f>
        <v>-9.1392848844407126E-9</v>
      </c>
      <c r="BX9">
        <f ca="1">SQRT(POWER(BV9,2)+POWER(BW9,2))</f>
        <v>13.958587850691302</v>
      </c>
      <c r="BY9">
        <f ca="1">BV9/BX9</f>
        <v>1</v>
      </c>
      <c r="BZ9">
        <f ca="1">BW9/BX9</f>
        <v>-6.5474279935760752E-10</v>
      </c>
      <c r="CA9">
        <f ca="1">ATAN2(BY9,BZ9)</f>
        <v>-6.5474279935760752E-10</v>
      </c>
      <c r="CB9" s="39">
        <f ca="1">CA9-$U$13</f>
        <v>-6.5474279935760752E-10</v>
      </c>
    </row>
    <row r="10" spans="1:89" x14ac:dyDescent="0.25">
      <c r="E10">
        <v>0</v>
      </c>
      <c r="F10">
        <f>F9</f>
        <v>16</v>
      </c>
      <c r="G10">
        <f t="shared" si="4"/>
        <v>-192</v>
      </c>
      <c r="T10" s="37" t="s">
        <v>99</v>
      </c>
      <c r="U10" s="48">
        <v>0</v>
      </c>
      <c r="V10" s="17" t="s">
        <v>68</v>
      </c>
      <c r="W10" t="str">
        <f>"+ Compression"</f>
        <v>+ Compression</v>
      </c>
      <c r="AS10">
        <v>0.13962634015954636</v>
      </c>
      <c r="AT10">
        <v>10.37923660370851</v>
      </c>
      <c r="AU10">
        <v>420.71757255180512</v>
      </c>
      <c r="AV10" s="6">
        <f t="shared" si="0"/>
        <v>1.546131011241171</v>
      </c>
      <c r="AW10" s="6">
        <f t="shared" si="1"/>
        <v>1.4065046710816247</v>
      </c>
      <c r="AX10" s="6">
        <f t="shared" si="2"/>
        <v>-1.546131011241171</v>
      </c>
      <c r="AY10" s="6">
        <f t="shared" si="3"/>
        <v>1.546131011241171</v>
      </c>
      <c r="BE10" s="39"/>
      <c r="BF10" s="39" t="s">
        <v>152</v>
      </c>
      <c r="BG10">
        <f ca="1">SQRT(POWER(BG9,2)+POWER(BH9,2))</f>
        <v>223.02670795570143</v>
      </c>
      <c r="BJ10" s="1" t="s">
        <v>158</v>
      </c>
    </row>
    <row r="11" spans="1:89" x14ac:dyDescent="0.25">
      <c r="A11" t="s">
        <v>10</v>
      </c>
      <c r="E11">
        <v>0</v>
      </c>
      <c r="F11">
        <v>0</v>
      </c>
      <c r="G11">
        <f t="shared" si="4"/>
        <v>0</v>
      </c>
      <c r="T11" s="37" t="s">
        <v>100</v>
      </c>
      <c r="U11" s="48">
        <v>100</v>
      </c>
      <c r="V11" s="17" t="s">
        <v>70</v>
      </c>
      <c r="W11" t="str">
        <f>"+ Puts Top of Section in Compression"</f>
        <v>+ Puts Top of Section in Compression</v>
      </c>
      <c r="AS11">
        <v>0.15707963267948966</v>
      </c>
      <c r="AT11">
        <v>9.8277130141244662</v>
      </c>
      <c r="AU11">
        <v>437.93920090936155</v>
      </c>
      <c r="AV11" s="6">
        <f t="shared" si="0"/>
        <v>1.5483592766778518</v>
      </c>
      <c r="AW11" s="6">
        <f t="shared" si="1"/>
        <v>1.3912796439983621</v>
      </c>
      <c r="AX11" s="6">
        <f t="shared" si="2"/>
        <v>-1.5483592766778518</v>
      </c>
      <c r="AY11" s="6">
        <f t="shared" si="3"/>
        <v>1.5483592766778518</v>
      </c>
      <c r="BE11" s="39"/>
      <c r="BF11" s="39" t="s">
        <v>153</v>
      </c>
      <c r="BG11">
        <f ca="1">BG9/BG10</f>
        <v>0.74841151594723621</v>
      </c>
      <c r="BH11">
        <f ca="1">BH9/BG10</f>
        <v>-0.66323465138483217</v>
      </c>
      <c r="BJ11">
        <f ca="1">ATAN2(BG11,BH11)</f>
        <v>-0.72513255126784704</v>
      </c>
      <c r="BO11" s="9"/>
      <c r="BP11" s="9"/>
    </row>
    <row r="12" spans="1:89" x14ac:dyDescent="0.25">
      <c r="A12" s="8" t="s">
        <v>11</v>
      </c>
      <c r="B12" s="2">
        <v>60</v>
      </c>
      <c r="C12" t="s">
        <v>1</v>
      </c>
      <c r="G12">
        <f>SUM(G4:G11)</f>
        <v>672</v>
      </c>
      <c r="T12" s="37" t="s">
        <v>101</v>
      </c>
      <c r="U12" s="48">
        <v>0</v>
      </c>
      <c r="V12" s="17" t="s">
        <v>70</v>
      </c>
      <c r="W12" t="str">
        <f>"+ Puts Left of Section in Compression"</f>
        <v>+ Puts Left of Section in Compression</v>
      </c>
      <c r="AS12">
        <v>0.17453292519943295</v>
      </c>
      <c r="AT12">
        <v>9.2517064596720004</v>
      </c>
      <c r="AU12">
        <v>454.47714550836702</v>
      </c>
      <c r="AV12" s="6">
        <f t="shared" si="0"/>
        <v>1.5504423246186474</v>
      </c>
      <c r="AW12" s="6">
        <f t="shared" si="1"/>
        <v>1.3759093994192144</v>
      </c>
      <c r="AX12" s="6">
        <f t="shared" si="2"/>
        <v>-1.5504423246186474</v>
      </c>
      <c r="AY12" s="6">
        <f t="shared" si="3"/>
        <v>1.5504423246186474</v>
      </c>
      <c r="BE12" s="39"/>
      <c r="BF12" s="39"/>
      <c r="BV12" t="s">
        <v>160</v>
      </c>
      <c r="BX12" s="1" t="s">
        <v>155</v>
      </c>
      <c r="BY12" s="1" t="s">
        <v>156</v>
      </c>
      <c r="BZ12" s="1" t="s">
        <v>157</v>
      </c>
      <c r="CA12" s="1" t="s">
        <v>158</v>
      </c>
    </row>
    <row r="13" spans="1:89" ht="15.75" thickBot="1" x14ac:dyDescent="0.3">
      <c r="A13" s="8" t="s">
        <v>12</v>
      </c>
      <c r="B13" s="3">
        <v>29000</v>
      </c>
      <c r="C13" t="s">
        <v>1</v>
      </c>
      <c r="T13" s="28" t="s">
        <v>96</v>
      </c>
      <c r="U13" s="29">
        <f>IF(AND(U11=0,U12=0),0,MOD(ATAN2(U11,U12),2*PI()))</f>
        <v>0</v>
      </c>
      <c r="V13" s="18" t="s">
        <v>97</v>
      </c>
      <c r="X13" s="39"/>
      <c r="Y13" s="9"/>
      <c r="AA13" s="49"/>
      <c r="AS13">
        <v>0.19198621771937624</v>
      </c>
      <c r="AT13">
        <v>8.6477915534489398</v>
      </c>
      <c r="AU13">
        <v>470.44563705394091</v>
      </c>
      <c r="AV13" s="6">
        <f t="shared" si="0"/>
        <v>1.5524162696049937</v>
      </c>
      <c r="AW13" s="6">
        <f t="shared" si="1"/>
        <v>1.3604300518856174</v>
      </c>
      <c r="AX13" s="6">
        <f t="shared" si="2"/>
        <v>-1.5524162696049937</v>
      </c>
      <c r="AY13" s="6">
        <f t="shared" si="3"/>
        <v>1.5524162696049937</v>
      </c>
      <c r="BE13" s="39"/>
      <c r="BF13" s="39"/>
      <c r="BG13" t="s">
        <v>154</v>
      </c>
      <c r="BV13">
        <f ca="1">BG5</f>
        <v>-66.915756597848031</v>
      </c>
      <c r="BW13">
        <f ca="1">BH5</f>
        <v>147.91904090050642</v>
      </c>
      <c r="BX13">
        <f ca="1">SQRT(POWER(BV13,2)+POWER(BW13,2))</f>
        <v>162.35073495980279</v>
      </c>
      <c r="BY13">
        <f ca="1">BV13/BX13</f>
        <v>-0.41216786985544618</v>
      </c>
      <c r="BZ13">
        <f ca="1">BW13/BX13</f>
        <v>0.91110792283835618</v>
      </c>
      <c r="CA13">
        <f ca="1">ATAN2(BY13,BZ13)</f>
        <v>1.9956284897142382</v>
      </c>
    </row>
    <row r="14" spans="1:89" ht="15.75" thickBot="1" x14ac:dyDescent="0.3">
      <c r="B14" s="1" t="s">
        <v>13</v>
      </c>
      <c r="C14" s="1" t="s">
        <v>14</v>
      </c>
      <c r="D14" s="1" t="s">
        <v>8</v>
      </c>
      <c r="E14" s="1" t="s">
        <v>9</v>
      </c>
      <c r="G14" s="1">
        <v>0</v>
      </c>
      <c r="H14" s="6">
        <v>0</v>
      </c>
      <c r="I14" s="6">
        <v>0</v>
      </c>
      <c r="T14" s="42" t="s">
        <v>109</v>
      </c>
      <c r="U14" s="43">
        <f>SQRT(POWER(U11,2)+POWER(U12,2))</f>
        <v>100</v>
      </c>
      <c r="V14" s="44" t="s">
        <v>70</v>
      </c>
      <c r="Y14" s="9"/>
      <c r="AA14" s="49"/>
      <c r="AS14">
        <v>0.20943951023931953</v>
      </c>
      <c r="AT14">
        <v>7.9446826867136675</v>
      </c>
      <c r="AU14">
        <v>481.7350282712481</v>
      </c>
      <c r="AV14" s="6">
        <f t="shared" si="0"/>
        <v>1.5543060114273006</v>
      </c>
      <c r="AW14" s="6">
        <f t="shared" si="1"/>
        <v>1.344866501187981</v>
      </c>
      <c r="AX14" s="6">
        <f t="shared" si="2"/>
        <v>-1.5543060114273006</v>
      </c>
      <c r="AY14" s="6">
        <f t="shared" si="3"/>
        <v>1.5543060114273006</v>
      </c>
      <c r="BE14" s="39"/>
      <c r="BF14" s="39"/>
      <c r="BG14" t="s">
        <v>111</v>
      </c>
      <c r="BH14" s="1" t="s">
        <v>100</v>
      </c>
      <c r="BI14" s="1" t="s">
        <v>101</v>
      </c>
      <c r="BJ14" s="1" t="s">
        <v>155</v>
      </c>
      <c r="BK14" s="1" t="s">
        <v>156</v>
      </c>
      <c r="BL14" s="1" t="s">
        <v>157</v>
      </c>
      <c r="BM14" s="1" t="s">
        <v>158</v>
      </c>
      <c r="BN14" s="1" t="s">
        <v>159</v>
      </c>
      <c r="BO14" s="1"/>
      <c r="BQ14" s="1" t="s">
        <v>155</v>
      </c>
      <c r="BR14" s="1" t="s">
        <v>156</v>
      </c>
      <c r="BS14" s="1" t="s">
        <v>157</v>
      </c>
      <c r="BT14" s="1" t="s">
        <v>158</v>
      </c>
      <c r="BV14" s="1"/>
      <c r="BW14" s="1"/>
      <c r="BX14" s="1"/>
      <c r="BY14" s="1"/>
      <c r="BZ14" s="1"/>
    </row>
    <row r="15" spans="1:89" x14ac:dyDescent="0.25">
      <c r="A15">
        <v>1</v>
      </c>
      <c r="B15" s="20">
        <v>0</v>
      </c>
      <c r="C15" s="6">
        <f ca="1">OFFSET($G$14,MATCH(B15,$G$14:$G$29,0)-1,2)</f>
        <v>0</v>
      </c>
      <c r="D15" s="2">
        <v>-21</v>
      </c>
      <c r="E15" s="2">
        <v>22</v>
      </c>
      <c r="G15" s="1">
        <v>3</v>
      </c>
      <c r="H15" s="6">
        <v>0.375</v>
      </c>
      <c r="I15" s="6">
        <v>0.11</v>
      </c>
      <c r="K15" s="1" t="e">
        <f t="shared" ref="K15:K24" si="6">IF($B15=0,NA(),D15)</f>
        <v>#N/A</v>
      </c>
      <c r="L15" s="1" t="e">
        <f t="shared" ref="L15:L24" si="7">IF($B15=0,NA(),E15)</f>
        <v>#N/A</v>
      </c>
      <c r="T15" s="38" t="s">
        <v>103</v>
      </c>
      <c r="U15" s="6">
        <f>SQRT(POWER(U12,2)+POWER(U11,2)+POWER(U10,2))</f>
        <v>100</v>
      </c>
      <c r="Y15" s="9"/>
      <c r="AA15" s="9"/>
      <c r="AS15">
        <v>0.22689280275926282</v>
      </c>
      <c r="AT15">
        <v>7.1487807072775702</v>
      </c>
      <c r="AU15">
        <v>487.3754387614045</v>
      </c>
      <c r="AV15" s="6">
        <f t="shared" si="0"/>
        <v>1.5561294652262974</v>
      </c>
      <c r="AW15" s="6">
        <f t="shared" si="1"/>
        <v>1.3292366624670344</v>
      </c>
      <c r="AX15" s="6">
        <f t="shared" si="2"/>
        <v>-1.5561294652262974</v>
      </c>
      <c r="AY15" s="6">
        <f t="shared" si="3"/>
        <v>1.5561294652262974</v>
      </c>
      <c r="BE15" s="39"/>
      <c r="BF15" s="39"/>
      <c r="BG15" s="6">
        <f>AS2</f>
        <v>0</v>
      </c>
      <c r="BH15" s="9">
        <f ca="1">AT2-$BG$5</f>
        <v>86.758517382168279</v>
      </c>
      <c r="BI15" s="9">
        <f ca="1">AU2-$BH$5</f>
        <v>-1.6790409005119216</v>
      </c>
      <c r="BJ15">
        <f ca="1">SQRT(POWER(BH15,2)+POWER(BI15,2))</f>
        <v>86.77476313247756</v>
      </c>
      <c r="BK15" s="6">
        <f t="shared" ref="BK15" ca="1" si="8">BH15/BJ15</f>
        <v>0.99981278254503003</v>
      </c>
      <c r="BL15" s="6">
        <f t="shared" ref="BL15" ca="1" si="9">BI15/BJ15</f>
        <v>-1.9349414966982489E-2</v>
      </c>
      <c r="BM15" s="6">
        <f t="shared" ref="BM15" ca="1" si="10">ATAN2(BK15,BL15)</f>
        <v>-1.9350622573492075E-2</v>
      </c>
      <c r="BN15" s="6">
        <f ca="1">BM15-$BJ$11</f>
        <v>0.70578192869435497</v>
      </c>
      <c r="BO15" s="9">
        <f ca="1">BH15+$BG$5</f>
        <v>19.842760784320248</v>
      </c>
      <c r="BP15" s="9">
        <f ca="1">BI15+$BH$5</f>
        <v>146.2399999999945</v>
      </c>
      <c r="BQ15">
        <f ca="1">SQRT(POWER(BO15,2)+POWER(BP15,2))</f>
        <v>147.58005541245115</v>
      </c>
      <c r="BR15">
        <f ca="1">BO15/BQ15</f>
        <v>0.13445421692561677</v>
      </c>
      <c r="BS15">
        <f ca="1">BP15/BQ15</f>
        <v>0.99091980682137903</v>
      </c>
      <c r="BT15">
        <f ca="1">ATAN2(BR15,BS15)</f>
        <v>1.4359336692411007</v>
      </c>
      <c r="BU15" s="39">
        <f ca="1">BT15-$U$13</f>
        <v>1.4359336692411007</v>
      </c>
      <c r="BV15" s="9" t="s">
        <v>161</v>
      </c>
      <c r="BW15" s="9"/>
      <c r="BX15" s="1" t="s">
        <v>155</v>
      </c>
      <c r="BY15" s="1" t="s">
        <v>156</v>
      </c>
      <c r="BZ15" s="1" t="s">
        <v>157</v>
      </c>
      <c r="CA15" s="1" t="s">
        <v>158</v>
      </c>
    </row>
    <row r="16" spans="1:89" x14ac:dyDescent="0.25">
      <c r="A16">
        <v>2</v>
      </c>
      <c r="B16" s="20">
        <v>0</v>
      </c>
      <c r="C16" s="6">
        <f t="shared" ref="C16:C24" ca="1" si="11">OFFSET($G$14,MATCH(B16,$G$14:$G$29,0)-1,2)</f>
        <v>0</v>
      </c>
      <c r="D16" s="2">
        <v>-11</v>
      </c>
      <c r="E16" s="2">
        <v>22</v>
      </c>
      <c r="G16" s="1">
        <v>4</v>
      </c>
      <c r="H16" s="6">
        <v>0.5</v>
      </c>
      <c r="I16" s="6">
        <v>0.2</v>
      </c>
      <c r="K16" s="1" t="e">
        <f t="shared" si="6"/>
        <v>#N/A</v>
      </c>
      <c r="L16" s="1" t="e">
        <f t="shared" si="7"/>
        <v>#N/A</v>
      </c>
      <c r="T16" s="38" t="s">
        <v>104</v>
      </c>
      <c r="U16" s="40">
        <f>U10/U15</f>
        <v>0</v>
      </c>
      <c r="V16" s="40">
        <f>U11/U15</f>
        <v>1</v>
      </c>
      <c r="W16" s="40">
        <f>U12/U15</f>
        <v>0</v>
      </c>
      <c r="X16" s="39"/>
      <c r="Y16" s="9"/>
      <c r="AA16" s="9"/>
      <c r="AS16">
        <v>0.24434609527920612</v>
      </c>
      <c r="AT16">
        <v>6.3547578997154694</v>
      </c>
      <c r="AU16">
        <v>492.72960526761381</v>
      </c>
      <c r="AV16" s="6">
        <f t="shared" si="0"/>
        <v>1.5578999927208459</v>
      </c>
      <c r="AW16" s="6">
        <f t="shared" si="1"/>
        <v>1.3135538974416399</v>
      </c>
      <c r="AX16" s="6">
        <f t="shared" si="2"/>
        <v>-1.5578999927208459</v>
      </c>
      <c r="AY16" s="6">
        <f t="shared" si="3"/>
        <v>1.5578999927208459</v>
      </c>
      <c r="BE16" s="39"/>
      <c r="BF16" s="39"/>
      <c r="BG16" s="6">
        <f t="shared" ref="BG16:BG79" si="12">AS3</f>
        <v>1.7453292519943295E-2</v>
      </c>
      <c r="BH16" s="9">
        <f t="shared" ref="BH16:BH79" ca="1" si="13">AT3-$BG$5</f>
        <v>84.135714550935432</v>
      </c>
      <c r="BI16" s="9">
        <f t="shared" ref="BI16:BI79" ca="1" si="14">AU3-$BH$5</f>
        <v>68.684029424760269</v>
      </c>
      <c r="BJ16">
        <f t="shared" ref="BJ16:BJ79" ca="1" si="15">SQRT(POWER(BH16,2)+POWER(BI16,2))</f>
        <v>108.61083905862169</v>
      </c>
      <c r="BK16" s="6">
        <f t="shared" ref="BK16:BK79" ca="1" si="16">BH16/BJ16</f>
        <v>0.77465302063934849</v>
      </c>
      <c r="BL16" s="6">
        <f t="shared" ref="BL16:BL79" ca="1" si="17">BI16/BJ16</f>
        <v>0.63238650967136623</v>
      </c>
      <c r="BM16" s="6">
        <f t="shared" ref="BM16:BM79" ca="1" si="18">ATAN2(BK16,BL16)</f>
        <v>0.68463009875689917</v>
      </c>
      <c r="BN16" s="6">
        <f t="shared" ref="BN16:BN79" ca="1" si="19">BM16-$BJ$11</f>
        <v>1.4097626500247462</v>
      </c>
      <c r="BO16" s="9">
        <f t="shared" ref="BO16:BO79" ca="1" si="20">BH16+$BG$5</f>
        <v>17.219957953087402</v>
      </c>
      <c r="BP16" s="9">
        <f t="shared" ref="BP16:BP79" ca="1" si="21">BI16+$BH$5</f>
        <v>216.60307032526669</v>
      </c>
      <c r="BQ16">
        <f t="shared" ref="BQ16:BQ79" ca="1" si="22">SQRT(POWER(BO16,2)+POWER(BP16,2))</f>
        <v>217.28648606445483</v>
      </c>
      <c r="BR16">
        <f t="shared" ref="BR16:BR79" ca="1" si="23">BO16/BQ16</f>
        <v>7.9250018098131314E-2</v>
      </c>
      <c r="BS16">
        <f t="shared" ref="BS16:BS79" ca="1" si="24">BP16/BQ16</f>
        <v>0.9968547710832536</v>
      </c>
      <c r="BT16">
        <f t="shared" ref="BT16:BT79" ca="1" si="25">ATAN2(BR16,BS16)</f>
        <v>1.491463117542404</v>
      </c>
      <c r="BU16" s="39">
        <f t="shared" ref="BU16:BU79" ca="1" si="26">BT16-$U$13</f>
        <v>1.491463117542404</v>
      </c>
      <c r="BV16">
        <f ca="1">BG9+BV13</f>
        <v>100</v>
      </c>
      <c r="BW16">
        <f ca="1">BW13+BH9</f>
        <v>0</v>
      </c>
      <c r="BX16">
        <f ca="1">SQRT(POWER(BV16,2)+POWER(BW16,2))</f>
        <v>100</v>
      </c>
      <c r="BY16">
        <f ca="1">BV16/BX16</f>
        <v>1</v>
      </c>
      <c r="BZ16">
        <f ca="1">BW16/BX16</f>
        <v>0</v>
      </c>
      <c r="CA16">
        <f ca="1">ATAN2(BY16,BZ16)</f>
        <v>0</v>
      </c>
    </row>
    <row r="17" spans="1:73" x14ac:dyDescent="0.25">
      <c r="A17">
        <v>3</v>
      </c>
      <c r="B17" s="20">
        <v>0</v>
      </c>
      <c r="C17" s="6">
        <f t="shared" ca="1" si="11"/>
        <v>0</v>
      </c>
      <c r="D17" s="2">
        <v>-1</v>
      </c>
      <c r="E17" s="2">
        <v>22</v>
      </c>
      <c r="G17" s="1">
        <v>5</v>
      </c>
      <c r="H17" s="6">
        <v>0.625</v>
      </c>
      <c r="I17" s="6">
        <v>0.31</v>
      </c>
      <c r="K17" s="1" t="e">
        <f t="shared" si="6"/>
        <v>#N/A</v>
      </c>
      <c r="L17" s="1" t="e">
        <f t="shared" si="7"/>
        <v>#N/A</v>
      </c>
      <c r="AS17">
        <v>0.26179938779914941</v>
      </c>
      <c r="AT17">
        <v>5.5603545524015772</v>
      </c>
      <c r="AU17">
        <v>497.84185373986048</v>
      </c>
      <c r="AV17" s="6">
        <f t="shared" si="0"/>
        <v>1.5596278737617637</v>
      </c>
      <c r="AW17" s="6">
        <f t="shared" si="1"/>
        <v>1.2978284859626144</v>
      </c>
      <c r="AX17" s="6">
        <f t="shared" si="2"/>
        <v>-1.5596278737617637</v>
      </c>
      <c r="AY17" s="6">
        <f t="shared" si="3"/>
        <v>1.5596278737617637</v>
      </c>
      <c r="BE17" s="39"/>
      <c r="BF17" s="39"/>
      <c r="BG17" s="6">
        <f t="shared" si="12"/>
        <v>3.4906585039886591E-2</v>
      </c>
      <c r="BH17" s="9">
        <f t="shared" ca="1" si="13"/>
        <v>81.255443610065115</v>
      </c>
      <c r="BI17" s="9">
        <f t="shared" ca="1" si="14"/>
        <v>129.73574838457759</v>
      </c>
      <c r="BJ17">
        <f t="shared" ca="1" si="15"/>
        <v>153.08106194162261</v>
      </c>
      <c r="BK17" s="6">
        <f t="shared" ca="1" si="16"/>
        <v>0.53080010407199707</v>
      </c>
      <c r="BL17" s="6">
        <f t="shared" ca="1" si="17"/>
        <v>0.84749704985749486</v>
      </c>
      <c r="BM17" s="6">
        <f t="shared" ca="1" si="18"/>
        <v>1.0112519613721771</v>
      </c>
      <c r="BN17" s="6">
        <f t="shared" ca="1" si="19"/>
        <v>1.7363845126400241</v>
      </c>
      <c r="BO17" s="9">
        <f t="shared" ca="1" si="20"/>
        <v>14.339687012217084</v>
      </c>
      <c r="BP17" s="9">
        <f t="shared" ca="1" si="21"/>
        <v>277.65478928508401</v>
      </c>
      <c r="BQ17">
        <f t="shared" ca="1" si="22"/>
        <v>278.02483456798018</v>
      </c>
      <c r="BR17">
        <f t="shared" ca="1" si="23"/>
        <v>5.15770004305528E-2</v>
      </c>
      <c r="BS17">
        <f t="shared" ca="1" si="24"/>
        <v>0.9986690207604253</v>
      </c>
      <c r="BT17">
        <f t="shared" ca="1" si="25"/>
        <v>1.5191964315359261</v>
      </c>
      <c r="BU17" s="39">
        <f t="shared" ca="1" si="26"/>
        <v>1.5191964315359261</v>
      </c>
    </row>
    <row r="18" spans="1:73" x14ac:dyDescent="0.25">
      <c r="A18">
        <v>4</v>
      </c>
      <c r="B18" s="20">
        <v>0</v>
      </c>
      <c r="C18" s="6">
        <f t="shared" ca="1" si="11"/>
        <v>0</v>
      </c>
      <c r="D18" s="2">
        <v>9</v>
      </c>
      <c r="E18" s="2">
        <v>22</v>
      </c>
      <c r="G18" s="1">
        <v>6</v>
      </c>
      <c r="H18" s="6">
        <v>0.75</v>
      </c>
      <c r="I18" s="6">
        <v>0.44</v>
      </c>
      <c r="K18" s="1" t="e">
        <f t="shared" si="6"/>
        <v>#N/A</v>
      </c>
      <c r="L18" s="1" t="e">
        <f t="shared" si="7"/>
        <v>#N/A</v>
      </c>
      <c r="T18" s="8" t="s">
        <v>105</v>
      </c>
      <c r="U18" s="6">
        <f ca="1">SQRT(POWER(U6,2)+POWER(U5,2)+POWER(U4,2))</f>
        <v>13.958587850691302</v>
      </c>
      <c r="AS18">
        <v>0.27925268031909273</v>
      </c>
      <c r="AT18">
        <v>4.7637188151133039</v>
      </c>
      <c r="AU18">
        <v>502.7473085860488</v>
      </c>
      <c r="AV18" s="6">
        <f t="shared" si="0"/>
        <v>1.5613212362774442</v>
      </c>
      <c r="AW18" s="6">
        <f t="shared" si="1"/>
        <v>1.2820685559583516</v>
      </c>
      <c r="AX18" s="6">
        <f t="shared" si="2"/>
        <v>-1.5613212362774442</v>
      </c>
      <c r="AY18" s="6">
        <f t="shared" si="3"/>
        <v>1.5613212362774442</v>
      </c>
      <c r="BE18" s="39"/>
      <c r="BF18" s="39"/>
      <c r="BG18" s="6">
        <f t="shared" si="12"/>
        <v>5.235987755982989E-2</v>
      </c>
      <c r="BH18" s="9">
        <f t="shared" ca="1" si="13"/>
        <v>80.053342699581165</v>
      </c>
      <c r="BI18" s="9">
        <f t="shared" ca="1" si="14"/>
        <v>162.6956967870764</v>
      </c>
      <c r="BJ18">
        <f t="shared" ca="1" si="15"/>
        <v>181.32409500783089</v>
      </c>
      <c r="BK18" s="6">
        <f t="shared" ca="1" si="16"/>
        <v>0.44149313248260735</v>
      </c>
      <c r="BL18" s="6">
        <f t="shared" ca="1" si="17"/>
        <v>0.89726462873039581</v>
      </c>
      <c r="BM18" s="6">
        <f t="shared" ca="1" si="18"/>
        <v>1.1135342395861083</v>
      </c>
      <c r="BN18" s="6">
        <f t="shared" ca="1" si="19"/>
        <v>1.8386667908539553</v>
      </c>
      <c r="BO18" s="9">
        <f t="shared" ca="1" si="20"/>
        <v>13.137586101733135</v>
      </c>
      <c r="BP18" s="9">
        <f t="shared" ca="1" si="21"/>
        <v>310.61473768758282</v>
      </c>
      <c r="BQ18">
        <f t="shared" ca="1" si="22"/>
        <v>310.89244351914755</v>
      </c>
      <c r="BR18">
        <f t="shared" ca="1" si="23"/>
        <v>4.2257656548426219E-2</v>
      </c>
      <c r="BS18">
        <f t="shared" ca="1" si="24"/>
        <v>0.99910674628041374</v>
      </c>
      <c r="BT18">
        <f t="shared" ca="1" si="25"/>
        <v>1.5285260834794541</v>
      </c>
      <c r="BU18" s="39">
        <f t="shared" ca="1" si="26"/>
        <v>1.5285260834794541</v>
      </c>
    </row>
    <row r="19" spans="1:73" x14ac:dyDescent="0.25">
      <c r="A19">
        <v>5</v>
      </c>
      <c r="B19" s="20">
        <v>8</v>
      </c>
      <c r="C19" s="6">
        <f t="shared" ca="1" si="11"/>
        <v>0.79</v>
      </c>
      <c r="D19" s="2">
        <v>3</v>
      </c>
      <c r="E19" s="2">
        <v>22</v>
      </c>
      <c r="G19" s="1">
        <v>7</v>
      </c>
      <c r="H19" s="6">
        <v>0.875</v>
      </c>
      <c r="I19" s="6">
        <v>0.6</v>
      </c>
      <c r="K19" s="1">
        <f t="shared" si="6"/>
        <v>3</v>
      </c>
      <c r="L19" s="1">
        <f t="shared" si="7"/>
        <v>22</v>
      </c>
      <c r="T19" s="8" t="s">
        <v>106</v>
      </c>
      <c r="U19" s="40">
        <f ca="1">U4/U18</f>
        <v>-2.3806673319469268E-11</v>
      </c>
      <c r="V19" s="40">
        <f ca="1">U5/U18</f>
        <v>1</v>
      </c>
      <c r="W19" s="40">
        <f ca="1">U6/U18</f>
        <v>-6.5474256420995288E-10</v>
      </c>
      <c r="X19" s="39"/>
      <c r="AS19">
        <v>0.29670597283903605</v>
      </c>
      <c r="AT19">
        <v>3.9632834394242367</v>
      </c>
      <c r="AU19">
        <v>507.47438421942331</v>
      </c>
      <c r="AV19" s="6">
        <f t="shared" si="0"/>
        <v>1.5629866658785556</v>
      </c>
      <c r="AW19" s="6">
        <f t="shared" si="1"/>
        <v>1.2662806930395196</v>
      </c>
      <c r="AX19" s="6">
        <f t="shared" si="2"/>
        <v>-1.5629866658785556</v>
      </c>
      <c r="AY19" s="6">
        <f t="shared" si="3"/>
        <v>1.5629866658785556</v>
      </c>
      <c r="BE19" s="39"/>
      <c r="BF19" s="39"/>
      <c r="BG19" s="6">
        <f t="shared" si="12"/>
        <v>6.9813170079773182E-2</v>
      </c>
      <c r="BH19" s="9">
        <f t="shared" ca="1" si="13"/>
        <v>79.357733519764281</v>
      </c>
      <c r="BI19" s="9">
        <f t="shared" ca="1" si="14"/>
        <v>188.76060778970188</v>
      </c>
      <c r="BJ19">
        <f t="shared" ca="1" si="15"/>
        <v>204.76380764805967</v>
      </c>
      <c r="BK19" s="6">
        <f t="shared" ca="1" si="16"/>
        <v>0.38755742253123837</v>
      </c>
      <c r="BL19" s="6">
        <f t="shared" ca="1" si="17"/>
        <v>0.92184556420310626</v>
      </c>
      <c r="BM19" s="6">
        <f t="shared" ca="1" si="18"/>
        <v>1.1728158748144468</v>
      </c>
      <c r="BN19" s="6">
        <f t="shared" ca="1" si="19"/>
        <v>1.8979484260822939</v>
      </c>
      <c r="BO19" s="9">
        <f t="shared" ca="1" si="20"/>
        <v>12.44197692191625</v>
      </c>
      <c r="BP19" s="9">
        <f t="shared" ca="1" si="21"/>
        <v>336.6796486902083</v>
      </c>
      <c r="BQ19">
        <f t="shared" ca="1" si="22"/>
        <v>336.90946652162739</v>
      </c>
      <c r="BR19">
        <f t="shared" ca="1" si="23"/>
        <v>3.6929733825444636E-2</v>
      </c>
      <c r="BS19">
        <f t="shared" ca="1" si="24"/>
        <v>0.99931786472552453</v>
      </c>
      <c r="BT19">
        <f t="shared" ca="1" si="25"/>
        <v>1.5338581936529128</v>
      </c>
      <c r="BU19" s="39">
        <f t="shared" ca="1" si="26"/>
        <v>1.5338581936529128</v>
      </c>
    </row>
    <row r="20" spans="1:73" x14ac:dyDescent="0.25">
      <c r="A20">
        <v>6</v>
      </c>
      <c r="B20" s="20">
        <v>8</v>
      </c>
      <c r="C20" s="6">
        <f t="shared" ca="1" si="11"/>
        <v>0.79</v>
      </c>
      <c r="D20" s="2">
        <v>13</v>
      </c>
      <c r="E20" s="2">
        <v>22</v>
      </c>
      <c r="G20" s="1">
        <v>8</v>
      </c>
      <c r="H20" s="6">
        <v>1</v>
      </c>
      <c r="I20" s="6">
        <v>0.79</v>
      </c>
      <c r="K20" s="1">
        <f t="shared" si="6"/>
        <v>13</v>
      </c>
      <c r="L20" s="1">
        <f t="shared" si="7"/>
        <v>22</v>
      </c>
      <c r="AS20">
        <v>0.31415926535897937</v>
      </c>
      <c r="AT20">
        <v>3.1576814253411669</v>
      </c>
      <c r="AU20">
        <v>512.04648550919592</v>
      </c>
      <c r="AV20" s="6">
        <f t="shared" si="0"/>
        <v>1.5646296183269708</v>
      </c>
      <c r="AW20" s="6">
        <f t="shared" si="1"/>
        <v>1.2504703529679915</v>
      </c>
      <c r="AX20" s="6">
        <f t="shared" si="2"/>
        <v>-1.5646296183269708</v>
      </c>
      <c r="AY20" s="6">
        <f t="shared" si="3"/>
        <v>1.5646296183269708</v>
      </c>
      <c r="BE20" s="39"/>
      <c r="BF20" s="39"/>
      <c r="BG20" s="6">
        <f t="shared" si="12"/>
        <v>8.7266462599716474E-2</v>
      </c>
      <c r="BH20" s="9">
        <f t="shared" ca="1" si="13"/>
        <v>78.821364470690511</v>
      </c>
      <c r="BI20" s="9">
        <f t="shared" ca="1" si="14"/>
        <v>212.06710504964732</v>
      </c>
      <c r="BJ20">
        <f t="shared" ca="1" si="15"/>
        <v>226.2416065651046</v>
      </c>
      <c r="BK20" s="6">
        <f t="shared" ca="1" si="16"/>
        <v>0.3483946461810879</v>
      </c>
      <c r="BL20" s="6">
        <f t="shared" ca="1" si="17"/>
        <v>0.93734794527558152</v>
      </c>
      <c r="BM20" s="6">
        <f t="shared" ca="1" si="18"/>
        <v>1.2149384246258559</v>
      </c>
      <c r="BN20" s="6">
        <f t="shared" ca="1" si="19"/>
        <v>1.9400709758937029</v>
      </c>
      <c r="BO20" s="9">
        <f t="shared" ca="1" si="20"/>
        <v>11.905607872842481</v>
      </c>
      <c r="BP20" s="9">
        <f t="shared" ca="1" si="21"/>
        <v>359.98614595015374</v>
      </c>
      <c r="BQ20">
        <f t="shared" ca="1" si="22"/>
        <v>360.18296569225379</v>
      </c>
      <c r="BR20">
        <f t="shared" ca="1" si="23"/>
        <v>3.3054333510638106E-2</v>
      </c>
      <c r="BS20">
        <f t="shared" ca="1" si="24"/>
        <v>0.99945355621768017</v>
      </c>
      <c r="BT20">
        <f t="shared" ca="1" si="25"/>
        <v>1.5377359711896017</v>
      </c>
      <c r="BU20" s="39">
        <f t="shared" ca="1" si="26"/>
        <v>1.5377359711896017</v>
      </c>
    </row>
    <row r="21" spans="1:73" x14ac:dyDescent="0.25">
      <c r="A21">
        <v>7</v>
      </c>
      <c r="B21" s="20">
        <v>8</v>
      </c>
      <c r="C21" s="6">
        <f t="shared" ca="1" si="11"/>
        <v>0.79</v>
      </c>
      <c r="D21" s="2">
        <v>23</v>
      </c>
      <c r="E21" s="2">
        <v>22</v>
      </c>
      <c r="G21" s="1">
        <v>9</v>
      </c>
      <c r="H21" s="6">
        <v>1.1279999999999999</v>
      </c>
      <c r="I21" s="6">
        <v>1</v>
      </c>
      <c r="K21" s="1">
        <f t="shared" si="6"/>
        <v>23</v>
      </c>
      <c r="L21" s="1">
        <f t="shared" si="7"/>
        <v>22</v>
      </c>
      <c r="T21" s="8" t="s">
        <v>107</v>
      </c>
      <c r="U21" s="40">
        <f ca="1">U16-U19</f>
        <v>2.3806673319469268E-11</v>
      </c>
      <c r="V21" s="40">
        <f t="shared" ref="V21:W21" ca="1" si="27">V16-V19</f>
        <v>0</v>
      </c>
      <c r="W21" s="40">
        <f t="shared" ca="1" si="27"/>
        <v>6.5474256420995288E-10</v>
      </c>
      <c r="AS21">
        <v>0.33161255787892269</v>
      </c>
      <c r="AT21">
        <v>2.3456867344035119</v>
      </c>
      <c r="AU21">
        <v>516.48320078756672</v>
      </c>
      <c r="AV21" s="6">
        <f t="shared" si="0"/>
        <v>1.5662547064611088</v>
      </c>
      <c r="AW21" s="6">
        <f t="shared" si="1"/>
        <v>1.2346421485821861</v>
      </c>
      <c r="AX21" s="6">
        <f t="shared" si="2"/>
        <v>-1.5662547064611088</v>
      </c>
      <c r="AY21" s="6">
        <f t="shared" si="3"/>
        <v>1.5662547064611088</v>
      </c>
      <c r="BE21" s="39"/>
      <c r="BF21" s="39"/>
      <c r="BG21" s="6">
        <f t="shared" si="12"/>
        <v>0.10471975511965977</v>
      </c>
      <c r="BH21" s="9">
        <f t="shared" ca="1" si="13"/>
        <v>78.326994636584089</v>
      </c>
      <c r="BI21" s="9">
        <f t="shared" ca="1" si="14"/>
        <v>233.80200915375852</v>
      </c>
      <c r="BJ21">
        <f t="shared" ca="1" si="15"/>
        <v>246.57351352717035</v>
      </c>
      <c r="BK21" s="6">
        <f t="shared" ca="1" si="16"/>
        <v>0.31766183446119856</v>
      </c>
      <c r="BL21" s="6">
        <f t="shared" ca="1" si="17"/>
        <v>0.94820407029644527</v>
      </c>
      <c r="BM21" s="6">
        <f t="shared" ca="1" si="18"/>
        <v>1.2475337499186119</v>
      </c>
      <c r="BN21" s="6">
        <f t="shared" ca="1" si="19"/>
        <v>1.9726663011864589</v>
      </c>
      <c r="BO21" s="9">
        <f t="shared" ca="1" si="20"/>
        <v>11.411238038736059</v>
      </c>
      <c r="BP21" s="9">
        <f t="shared" ca="1" si="21"/>
        <v>381.72105005426494</v>
      </c>
      <c r="BQ21">
        <f t="shared" ca="1" si="22"/>
        <v>381.89157677030181</v>
      </c>
      <c r="BR21">
        <f t="shared" ca="1" si="23"/>
        <v>2.9880831976557661E-2</v>
      </c>
      <c r="BS21">
        <f t="shared" ca="1" si="24"/>
        <v>0.99955346824489022</v>
      </c>
      <c r="BT21">
        <f t="shared" ca="1" si="25"/>
        <v>1.540911046443677</v>
      </c>
      <c r="BU21" s="39">
        <f t="shared" ca="1" si="26"/>
        <v>1.540911046443677</v>
      </c>
    </row>
    <row r="22" spans="1:73" x14ac:dyDescent="0.25">
      <c r="A22">
        <v>8</v>
      </c>
      <c r="B22" s="20">
        <v>8</v>
      </c>
      <c r="C22" s="6">
        <f t="shared" ca="1" si="11"/>
        <v>0.79</v>
      </c>
      <c r="D22" s="2">
        <v>33</v>
      </c>
      <c r="E22" s="2">
        <v>22</v>
      </c>
      <c r="G22" s="1">
        <v>10</v>
      </c>
      <c r="H22" s="6">
        <v>1.27</v>
      </c>
      <c r="I22" s="6">
        <v>1.27</v>
      </c>
      <c r="K22" s="1">
        <f t="shared" si="6"/>
        <v>33</v>
      </c>
      <c r="L22" s="1">
        <f t="shared" si="7"/>
        <v>22</v>
      </c>
      <c r="U22" s="1" t="s">
        <v>99</v>
      </c>
      <c r="V22" s="1" t="s">
        <v>100</v>
      </c>
      <c r="W22" s="1" t="s">
        <v>101</v>
      </c>
      <c r="AS22">
        <v>0.34906585039886601</v>
      </c>
      <c r="AT22">
        <v>1.5261715378126495</v>
      </c>
      <c r="AU22">
        <v>520.80115940025598</v>
      </c>
      <c r="AV22" s="6">
        <f t="shared" si="0"/>
        <v>1.56786590480627</v>
      </c>
      <c r="AW22" s="6">
        <f t="shared" si="1"/>
        <v>1.218800054407404</v>
      </c>
      <c r="AX22" s="6">
        <f t="shared" si="2"/>
        <v>-1.56786590480627</v>
      </c>
      <c r="AY22" s="6">
        <f t="shared" si="3"/>
        <v>1.56786590480627</v>
      </c>
      <c r="BE22" s="39"/>
      <c r="BF22" s="39"/>
      <c r="BG22" s="6">
        <f t="shared" si="12"/>
        <v>0.12217304763960306</v>
      </c>
      <c r="BH22" s="9">
        <f t="shared" ca="1" si="13"/>
        <v>77.826010559505377</v>
      </c>
      <c r="BI22" s="9">
        <f t="shared" ca="1" si="14"/>
        <v>254.45756053476438</v>
      </c>
      <c r="BJ22">
        <f t="shared" ca="1" si="15"/>
        <v>266.09310031060846</v>
      </c>
      <c r="BK22" s="6">
        <f t="shared" ca="1" si="16"/>
        <v>0.29247661990731688</v>
      </c>
      <c r="BL22" s="6">
        <f t="shared" ca="1" si="17"/>
        <v>0.95627267387894688</v>
      </c>
      <c r="BM22" s="6">
        <f t="shared" ca="1" si="18"/>
        <v>1.2739806431720377</v>
      </c>
      <c r="BN22" s="6">
        <f t="shared" ca="1" si="19"/>
        <v>1.9991131944398848</v>
      </c>
      <c r="BO22" s="9">
        <f t="shared" ca="1" si="20"/>
        <v>10.910253961657347</v>
      </c>
      <c r="BP22" s="9">
        <f t="shared" ca="1" si="21"/>
        <v>402.3766014352708</v>
      </c>
      <c r="BQ22">
        <f t="shared" ca="1" si="22"/>
        <v>402.5244874838134</v>
      </c>
      <c r="BR22">
        <f t="shared" ca="1" si="23"/>
        <v>2.7104572022083693E-2</v>
      </c>
      <c r="BS22">
        <f t="shared" ca="1" si="24"/>
        <v>0.99963260359769157</v>
      </c>
      <c r="BT22">
        <f t="shared" ca="1" si="25"/>
        <v>1.5436884349108433</v>
      </c>
      <c r="BU22" s="39">
        <f t="shared" ca="1" si="26"/>
        <v>1.5436884349108433</v>
      </c>
    </row>
    <row r="23" spans="1:73" x14ac:dyDescent="0.25">
      <c r="A23">
        <v>9</v>
      </c>
      <c r="B23" s="20">
        <v>0</v>
      </c>
      <c r="C23" s="6">
        <f t="shared" ca="1" si="11"/>
        <v>0</v>
      </c>
      <c r="D23" s="2">
        <v>6</v>
      </c>
      <c r="E23" s="2">
        <v>2</v>
      </c>
      <c r="G23" s="1">
        <v>11</v>
      </c>
      <c r="H23" s="6">
        <v>1.41</v>
      </c>
      <c r="I23" s="6">
        <v>1.56</v>
      </c>
      <c r="K23" s="1" t="e">
        <f t="shared" si="6"/>
        <v>#N/A</v>
      </c>
      <c r="L23" s="1" t="e">
        <f t="shared" si="7"/>
        <v>#N/A</v>
      </c>
      <c r="T23" s="8" t="s">
        <v>108</v>
      </c>
      <c r="U23" s="40">
        <f ca="1">SQRT(POWER(U21,2)+POWER(V21,2)+POWER(W21,2))</f>
        <v>6.5517523082207872E-10</v>
      </c>
      <c r="V23" t="str">
        <f ca="1">IF(ABS(U23)&lt;=L1,"","NG")</f>
        <v/>
      </c>
      <c r="AS23">
        <v>0.36651914291880933</v>
      </c>
      <c r="AT23">
        <v>0.69998107389163799</v>
      </c>
      <c r="AU23">
        <v>524.97478004114339</v>
      </c>
      <c r="AV23" s="6">
        <f t="shared" si="0"/>
        <v>1.5694629662494315</v>
      </c>
      <c r="AW23" s="6">
        <f t="shared" si="1"/>
        <v>1.2029438233306222</v>
      </c>
      <c r="AX23" s="6">
        <f t="shared" si="2"/>
        <v>-1.5694629662494315</v>
      </c>
      <c r="AY23" s="6">
        <f t="shared" si="3"/>
        <v>1.5694629662494315</v>
      </c>
      <c r="BE23" s="39"/>
      <c r="BF23" s="39"/>
      <c r="BG23" s="6">
        <f t="shared" si="12"/>
        <v>0.13962634015954636</v>
      </c>
      <c r="BH23" s="9">
        <f t="shared" ca="1" si="13"/>
        <v>77.294993201556537</v>
      </c>
      <c r="BI23" s="9">
        <f t="shared" ca="1" si="14"/>
        <v>272.79853165129873</v>
      </c>
      <c r="BJ23">
        <f t="shared" ca="1" si="15"/>
        <v>283.53757219305754</v>
      </c>
      <c r="BK23" s="6">
        <f t="shared" ca="1" si="16"/>
        <v>0.27260934980753537</v>
      </c>
      <c r="BL23" s="6">
        <f t="shared" ca="1" si="17"/>
        <v>0.96212480604000261</v>
      </c>
      <c r="BM23" s="6">
        <f t="shared" ca="1" si="18"/>
        <v>1.2946922632564299</v>
      </c>
      <c r="BN23" s="6">
        <f t="shared" ca="1" si="19"/>
        <v>2.0198248145242772</v>
      </c>
      <c r="BO23" s="9">
        <f t="shared" ca="1" si="20"/>
        <v>10.379236603708506</v>
      </c>
      <c r="BP23" s="9">
        <f t="shared" ca="1" si="21"/>
        <v>420.71757255180512</v>
      </c>
      <c r="BQ23">
        <f t="shared" ca="1" si="22"/>
        <v>420.84558261476286</v>
      </c>
      <c r="BR23">
        <f t="shared" ca="1" si="23"/>
        <v>2.4662814658101183E-2</v>
      </c>
      <c r="BS23">
        <f t="shared" ca="1" si="24"/>
        <v>0.99969582652581879</v>
      </c>
      <c r="BT23">
        <f t="shared" ca="1" si="25"/>
        <v>1.546131011241171</v>
      </c>
      <c r="BU23" s="39">
        <f t="shared" ca="1" si="26"/>
        <v>1.546131011241171</v>
      </c>
    </row>
    <row r="24" spans="1:73" ht="15.75" thickBot="1" x14ac:dyDescent="0.3">
      <c r="A24">
        <v>10</v>
      </c>
      <c r="B24" s="20">
        <v>0</v>
      </c>
      <c r="C24" s="11">
        <f t="shared" ca="1" si="11"/>
        <v>0</v>
      </c>
      <c r="D24" s="2">
        <v>10</v>
      </c>
      <c r="E24" s="2">
        <v>2</v>
      </c>
      <c r="G24" s="1">
        <v>14</v>
      </c>
      <c r="H24" s="6">
        <v>1.6930000000000001</v>
      </c>
      <c r="I24" s="6">
        <v>2.25</v>
      </c>
      <c r="K24" s="1" t="e">
        <f t="shared" si="6"/>
        <v>#N/A</v>
      </c>
      <c r="L24" s="1" t="e">
        <f t="shared" si="7"/>
        <v>#N/A</v>
      </c>
      <c r="AS24">
        <v>0.38397243543875265</v>
      </c>
      <c r="AT24">
        <v>-1.920862092658808E-2</v>
      </c>
      <c r="AU24">
        <v>526.80098688373255</v>
      </c>
      <c r="AV24" s="6">
        <f t="shared" si="0"/>
        <v>1.5708327895605259</v>
      </c>
      <c r="AW24" s="6">
        <f t="shared" si="1"/>
        <v>1.1868603541217733</v>
      </c>
      <c r="AX24" s="6">
        <f t="shared" si="2"/>
        <v>-1.5708327895605256</v>
      </c>
      <c r="AY24" s="6">
        <f t="shared" si="3"/>
        <v>1.5708327895605256</v>
      </c>
      <c r="BE24" s="39"/>
      <c r="BF24" s="39"/>
      <c r="BG24" s="6">
        <f t="shared" si="12"/>
        <v>0.15707963267948966</v>
      </c>
      <c r="BH24" s="9">
        <f t="shared" ca="1" si="13"/>
        <v>76.7434696119725</v>
      </c>
      <c r="BI24" s="9">
        <f t="shared" ca="1" si="14"/>
        <v>290.0201600088551</v>
      </c>
      <c r="BJ24">
        <f t="shared" ca="1" si="15"/>
        <v>300.00208889213695</v>
      </c>
      <c r="BK24" s="6">
        <f t="shared" ca="1" si="16"/>
        <v>0.25580978417641925</v>
      </c>
      <c r="BL24" s="6">
        <f t="shared" ca="1" si="17"/>
        <v>0.96672713540047794</v>
      </c>
      <c r="BM24" s="6">
        <f t="shared" ca="1" si="18"/>
        <v>1.312111060934688</v>
      </c>
      <c r="BN24" s="6">
        <f t="shared" ca="1" si="19"/>
        <v>2.037243612202535</v>
      </c>
      <c r="BO24" s="9">
        <f t="shared" ca="1" si="20"/>
        <v>9.8277130141244697</v>
      </c>
      <c r="BP24" s="9">
        <f t="shared" ca="1" si="21"/>
        <v>437.93920090936149</v>
      </c>
      <c r="BQ24">
        <f t="shared" ca="1" si="22"/>
        <v>438.04945797959624</v>
      </c>
      <c r="BR24">
        <f t="shared" ca="1" si="23"/>
        <v>2.243516761658048E-2</v>
      </c>
      <c r="BS24">
        <f t="shared" ca="1" si="24"/>
        <v>0.99974829995055059</v>
      </c>
      <c r="BT24">
        <f t="shared" ca="1" si="25"/>
        <v>1.5483592766778518</v>
      </c>
      <c r="BU24" s="39">
        <f t="shared" ca="1" si="26"/>
        <v>1.5483592766778518</v>
      </c>
    </row>
    <row r="25" spans="1:73" ht="15.75" thickTop="1" x14ac:dyDescent="0.25">
      <c r="C25" s="6">
        <f ca="1">SUM(C15:C24)</f>
        <v>3.16</v>
      </c>
      <c r="D25" s="25">
        <f ca="1">C25/(B5*F27)</f>
        <v>1.196969696969697E-2</v>
      </c>
      <c r="G25" s="1">
        <v>18</v>
      </c>
      <c r="H25" s="6">
        <v>2.2570000000000001</v>
      </c>
      <c r="I25" s="6">
        <v>4</v>
      </c>
      <c r="AS25">
        <v>0.40142572795869597</v>
      </c>
      <c r="AT25">
        <v>-0.73050887950696508</v>
      </c>
      <c r="AU25">
        <v>528.51858764402505</v>
      </c>
      <c r="AV25" s="6">
        <f t="shared" si="0"/>
        <v>1.5721785079166035</v>
      </c>
      <c r="AW25" s="6">
        <f t="shared" si="1"/>
        <v>1.1707527799579076</v>
      </c>
      <c r="AX25" s="6">
        <f t="shared" si="2"/>
        <v>-1.5721785079166033</v>
      </c>
      <c r="AY25" s="6">
        <f t="shared" si="3"/>
        <v>1.5721785079166033</v>
      </c>
      <c r="BE25" s="39"/>
      <c r="BF25" s="39"/>
      <c r="BG25" s="6">
        <f t="shared" si="12"/>
        <v>0.17453292519943295</v>
      </c>
      <c r="BH25" s="9">
        <f t="shared" ca="1" si="13"/>
        <v>76.167463057520024</v>
      </c>
      <c r="BI25" s="9">
        <f t="shared" ca="1" si="14"/>
        <v>306.55810460786063</v>
      </c>
      <c r="BJ25">
        <f t="shared" ca="1" si="15"/>
        <v>315.87870129114862</v>
      </c>
      <c r="BK25" s="6">
        <f t="shared" ca="1" si="16"/>
        <v>0.2411288344107623</v>
      </c>
      <c r="BL25" s="6">
        <f t="shared" ca="1" si="17"/>
        <v>0.97049311446074016</v>
      </c>
      <c r="BM25" s="6">
        <f t="shared" ca="1" si="18"/>
        <v>1.3272674880127584</v>
      </c>
      <c r="BN25" s="6">
        <f t="shared" ca="1" si="19"/>
        <v>2.0524000392806054</v>
      </c>
      <c r="BO25" s="9">
        <f t="shared" ca="1" si="20"/>
        <v>9.2517064596719933</v>
      </c>
      <c r="BP25" s="9">
        <f t="shared" ca="1" si="21"/>
        <v>454.47714550836702</v>
      </c>
      <c r="BQ25">
        <f t="shared" ca="1" si="22"/>
        <v>454.57130338578276</v>
      </c>
      <c r="BR25">
        <f t="shared" ca="1" si="23"/>
        <v>2.0352596811022874E-2</v>
      </c>
      <c r="BS25">
        <f t="shared" ca="1" si="24"/>
        <v>0.99979286444895565</v>
      </c>
      <c r="BT25">
        <f t="shared" ca="1" si="25"/>
        <v>1.5504423246186474</v>
      </c>
      <c r="BU25" s="39">
        <f t="shared" ca="1" si="26"/>
        <v>1.5504423246186474</v>
      </c>
    </row>
    <row r="26" spans="1:73" x14ac:dyDescent="0.25">
      <c r="E26" s="8" t="s">
        <v>86</v>
      </c>
      <c r="F26" s="21" t="s">
        <v>80</v>
      </c>
      <c r="G26" s="1" t="s">
        <v>81</v>
      </c>
      <c r="H26" s="24">
        <v>9.3749999999999997E-3</v>
      </c>
      <c r="I26" s="6">
        <f>IF(F26="web",(B5*F27)*H26,G12*H26)</f>
        <v>2.4750000000000001</v>
      </c>
      <c r="AS26">
        <v>0.41887902047863929</v>
      </c>
      <c r="AT26">
        <v>-1.4351166483978206</v>
      </c>
      <c r="AU26">
        <v>530.1393893831505</v>
      </c>
      <c r="AV26" s="6">
        <f t="shared" si="0"/>
        <v>1.5735033754910903</v>
      </c>
      <c r="AW26" s="6">
        <f t="shared" si="1"/>
        <v>1.1546243550124511</v>
      </c>
      <c r="AX26" s="6">
        <f t="shared" si="2"/>
        <v>-1.5735033754910901</v>
      </c>
      <c r="AY26" s="6">
        <f t="shared" si="3"/>
        <v>1.5735033754910901</v>
      </c>
      <c r="BE26" s="39"/>
      <c r="BF26" s="39"/>
      <c r="BG26" s="6">
        <f t="shared" si="12"/>
        <v>0.19198621771937624</v>
      </c>
      <c r="BH26" s="9">
        <f t="shared" ca="1" si="13"/>
        <v>75.56354815129697</v>
      </c>
      <c r="BI26" s="9">
        <f t="shared" ca="1" si="14"/>
        <v>322.52659615343453</v>
      </c>
      <c r="BJ26">
        <f t="shared" ca="1" si="15"/>
        <v>331.26010178639689</v>
      </c>
      <c r="BK26" s="6">
        <f t="shared" ca="1" si="16"/>
        <v>0.22810941536213694</v>
      </c>
      <c r="BL26" s="6">
        <f t="shared" ca="1" si="17"/>
        <v>0.97363550398655041</v>
      </c>
      <c r="BM26" s="6">
        <f t="shared" ca="1" si="18"/>
        <v>1.3406608656968355</v>
      </c>
      <c r="BN26" s="6">
        <f t="shared" ca="1" si="19"/>
        <v>2.0657934169646825</v>
      </c>
      <c r="BO26" s="9">
        <f t="shared" ca="1" si="20"/>
        <v>8.6477915534489398</v>
      </c>
      <c r="BP26" s="9">
        <f t="shared" ca="1" si="21"/>
        <v>470.44563705394091</v>
      </c>
      <c r="BQ26">
        <f t="shared" ca="1" si="22"/>
        <v>470.52511274302907</v>
      </c>
      <c r="BR26">
        <f t="shared" ca="1" si="23"/>
        <v>1.8379022328977826E-2</v>
      </c>
      <c r="BS26">
        <f t="shared" ca="1" si="24"/>
        <v>0.99983109150407545</v>
      </c>
      <c r="BT26">
        <f t="shared" ca="1" si="25"/>
        <v>1.5524162696049937</v>
      </c>
      <c r="BU26" s="39">
        <f t="shared" ca="1" si="26"/>
        <v>1.5524162696049937</v>
      </c>
    </row>
    <row r="27" spans="1:73" x14ac:dyDescent="0.25">
      <c r="A27" s="8" t="s">
        <v>15</v>
      </c>
      <c r="B27" s="34">
        <v>-1.9472871984232795E-2</v>
      </c>
      <c r="C27" t="s">
        <v>16</v>
      </c>
      <c r="E27" s="8" t="s">
        <v>90</v>
      </c>
      <c r="F27" s="3" cm="1">
        <f t="array" ref="F27">B8-MIN(IF(E15:E24&gt;0,E15:E24))</f>
        <v>22</v>
      </c>
      <c r="G27" s="1" t="s">
        <v>82</v>
      </c>
      <c r="H27" s="24">
        <f>F28</f>
        <v>3.5355339059327377E-3</v>
      </c>
      <c r="I27" s="6">
        <f>IF(F26="web",(B5*F27)*H27,G12*H27)</f>
        <v>0.93338095116624276</v>
      </c>
      <c r="AS27">
        <v>0.43633231299858261</v>
      </c>
      <c r="AT27">
        <v>-2.1341445786633013</v>
      </c>
      <c r="AU27">
        <v>531.67353536265591</v>
      </c>
      <c r="AV27" s="6">
        <f t="shared" si="0"/>
        <v>1.5748103184172642</v>
      </c>
      <c r="AW27" s="6">
        <f t="shared" si="1"/>
        <v>1.1384780054186816</v>
      </c>
      <c r="AX27" s="6">
        <f t="shared" si="2"/>
        <v>-1.5748103184172639</v>
      </c>
      <c r="AY27" s="6">
        <f t="shared" si="3"/>
        <v>1.5748103184172639</v>
      </c>
      <c r="BE27" s="39"/>
      <c r="BF27" s="39"/>
      <c r="BG27" s="6">
        <f t="shared" si="12"/>
        <v>0.20943951023931953</v>
      </c>
      <c r="BH27" s="9">
        <f t="shared" ca="1" si="13"/>
        <v>74.860439284561693</v>
      </c>
      <c r="BI27" s="9">
        <f t="shared" ca="1" si="14"/>
        <v>333.81598737074171</v>
      </c>
      <c r="BJ27">
        <f t="shared" ca="1" si="15"/>
        <v>342.10699904296132</v>
      </c>
      <c r="BK27" s="6">
        <f t="shared" ca="1" si="16"/>
        <v>0.21882171219525626</v>
      </c>
      <c r="BL27" s="6">
        <f t="shared" ca="1" si="17"/>
        <v>0.97576485808412694</v>
      </c>
      <c r="BM27" s="6">
        <f t="shared" ca="1" si="18"/>
        <v>1.3501895731634177</v>
      </c>
      <c r="BN27" s="6">
        <f t="shared" ca="1" si="19"/>
        <v>2.0753221244312647</v>
      </c>
      <c r="BO27" s="9">
        <f t="shared" ca="1" si="20"/>
        <v>7.9446826867136622</v>
      </c>
      <c r="BP27" s="9">
        <f t="shared" ca="1" si="21"/>
        <v>481.7350282712481</v>
      </c>
      <c r="BQ27">
        <f t="shared" ca="1" si="22"/>
        <v>481.80053491719246</v>
      </c>
      <c r="BR27">
        <f t="shared" ca="1" si="23"/>
        <v>1.6489568007804562E-2</v>
      </c>
      <c r="BS27">
        <f t="shared" ca="1" si="24"/>
        <v>0.99986403783060218</v>
      </c>
      <c r="BT27">
        <f t="shared" ca="1" si="25"/>
        <v>1.5543060114273006</v>
      </c>
      <c r="BU27" s="39">
        <f t="shared" ca="1" si="26"/>
        <v>1.5543060114273006</v>
      </c>
    </row>
    <row r="28" spans="1:73" x14ac:dyDescent="0.25">
      <c r="A28" s="8" t="s">
        <v>17</v>
      </c>
      <c r="B28" s="34">
        <v>1.4849760800266594</v>
      </c>
      <c r="C28" t="s">
        <v>4</v>
      </c>
      <c r="E28" s="8" t="s">
        <v>87</v>
      </c>
      <c r="F28" s="23">
        <f>MAX(200/(B12*1000),(3*SQRT(B2*1000))/(B12*1000))</f>
        <v>3.5355339059327377E-3</v>
      </c>
      <c r="G28" s="1" t="s">
        <v>83</v>
      </c>
      <c r="H28" s="22" t="s">
        <v>85</v>
      </c>
      <c r="I28" s="7">
        <v>10</v>
      </c>
      <c r="AS28">
        <v>0.45378560551852593</v>
      </c>
      <c r="AT28">
        <v>-2.8286353813349021</v>
      </c>
      <c r="AU28">
        <v>533.1297967565805</v>
      </c>
      <c r="AV28" s="6">
        <f t="shared" si="0"/>
        <v>1.5761019931755316</v>
      </c>
      <c r="AW28" s="6">
        <f t="shared" si="1"/>
        <v>1.1223163876570057</v>
      </c>
      <c r="AX28" s="6">
        <f t="shared" si="2"/>
        <v>-1.5761019931755313</v>
      </c>
      <c r="AY28" s="6">
        <f t="shared" si="3"/>
        <v>1.5761019931755313</v>
      </c>
      <c r="BE28" s="39"/>
      <c r="BF28" s="39"/>
      <c r="BG28" s="6">
        <f t="shared" si="12"/>
        <v>0.22689280275926282</v>
      </c>
      <c r="BH28" s="9">
        <f t="shared" ca="1" si="13"/>
        <v>74.064537305125597</v>
      </c>
      <c r="BI28" s="9">
        <f t="shared" ca="1" si="14"/>
        <v>339.45639786089805</v>
      </c>
      <c r="BJ28">
        <f t="shared" ca="1" si="15"/>
        <v>347.4423718185775</v>
      </c>
      <c r="BK28" s="6">
        <f t="shared" ca="1" si="16"/>
        <v>0.21317071063456694</v>
      </c>
      <c r="BL28" s="6">
        <f t="shared" ca="1" si="17"/>
        <v>0.97701496822083223</v>
      </c>
      <c r="BM28" s="6">
        <f t="shared" ca="1" si="18"/>
        <v>1.3559772054508943</v>
      </c>
      <c r="BN28" s="6">
        <f t="shared" ca="1" si="19"/>
        <v>2.0811097567187415</v>
      </c>
      <c r="BO28" s="9">
        <f t="shared" ca="1" si="20"/>
        <v>7.1487807072775666</v>
      </c>
      <c r="BP28" s="9">
        <f t="shared" ca="1" si="21"/>
        <v>487.37543876140444</v>
      </c>
      <c r="BQ28">
        <f t="shared" ca="1" si="22"/>
        <v>487.42786478972687</v>
      </c>
      <c r="BR28">
        <f t="shared" ca="1" si="23"/>
        <v>1.4666335726131503E-2</v>
      </c>
      <c r="BS28">
        <f t="shared" ca="1" si="24"/>
        <v>0.99989244351398532</v>
      </c>
      <c r="BT28">
        <f t="shared" ca="1" si="25"/>
        <v>1.5561294652262974</v>
      </c>
      <c r="BU28" s="39">
        <f t="shared" ca="1" si="26"/>
        <v>1.5561294652262974</v>
      </c>
    </row>
    <row r="29" spans="1:73" x14ac:dyDescent="0.25">
      <c r="A29" s="8" t="s">
        <v>18</v>
      </c>
      <c r="B29" s="6">
        <f>B28*B4</f>
        <v>1.1879808640213274</v>
      </c>
      <c r="C29" t="s">
        <v>4</v>
      </c>
      <c r="G29" s="1" t="s">
        <v>84</v>
      </c>
      <c r="H29" s="22" t="s">
        <v>85</v>
      </c>
      <c r="I29" s="7">
        <v>5</v>
      </c>
      <c r="AS29">
        <v>0.47123889803846924</v>
      </c>
      <c r="AT29">
        <v>-3.5195739663614294</v>
      </c>
      <c r="AU29">
        <v>534.51580438264159</v>
      </c>
      <c r="AV29" s="6">
        <f t="shared" si="0"/>
        <v>1.5773808338810977</v>
      </c>
      <c r="AW29" s="6">
        <f t="shared" si="1"/>
        <v>1.1061419358426285</v>
      </c>
      <c r="AX29" s="6">
        <f t="shared" si="2"/>
        <v>-1.5773808338810975</v>
      </c>
      <c r="AY29" s="6">
        <f t="shared" si="3"/>
        <v>1.5773808338810975</v>
      </c>
      <c r="BE29" s="39"/>
      <c r="BF29" s="39"/>
      <c r="BG29" s="6">
        <f t="shared" si="12"/>
        <v>0.24434609527920612</v>
      </c>
      <c r="BH29" s="9">
        <f t="shared" ca="1" si="13"/>
        <v>73.270514497563497</v>
      </c>
      <c r="BI29" s="9">
        <f t="shared" ca="1" si="14"/>
        <v>344.81056436710742</v>
      </c>
      <c r="BJ29">
        <f t="shared" ca="1" si="15"/>
        <v>352.50942341148954</v>
      </c>
      <c r="BK29" s="6">
        <f t="shared" ca="1" si="16"/>
        <v>0.20785405901627124</v>
      </c>
      <c r="BL29" s="6">
        <f t="shared" ca="1" si="17"/>
        <v>0.97815984897687369</v>
      </c>
      <c r="BM29" s="6">
        <f t="shared" ca="1" si="18"/>
        <v>1.3614157355168885</v>
      </c>
      <c r="BN29" s="6">
        <f t="shared" ca="1" si="19"/>
        <v>2.0865482867847356</v>
      </c>
      <c r="BO29" s="9">
        <f t="shared" ca="1" si="20"/>
        <v>6.3547578997154659</v>
      </c>
      <c r="BP29" s="9">
        <f t="shared" ca="1" si="21"/>
        <v>492.72960526761381</v>
      </c>
      <c r="BQ29">
        <f t="shared" ca="1" si="22"/>
        <v>492.77058237595969</v>
      </c>
      <c r="BR29">
        <f t="shared" ca="1" si="23"/>
        <v>1.2895976600460086E-2</v>
      </c>
      <c r="BS29">
        <f t="shared" ca="1" si="24"/>
        <v>0.9999168434362532</v>
      </c>
      <c r="BT29">
        <f t="shared" ca="1" si="25"/>
        <v>1.5578999927208459</v>
      </c>
      <c r="BU29" s="39">
        <f t="shared" ca="1" si="26"/>
        <v>1.5578999927208459</v>
      </c>
    </row>
    <row r="30" spans="1:73" x14ac:dyDescent="0.25">
      <c r="A30" s="8" t="s">
        <v>102</v>
      </c>
      <c r="B30" s="1">
        <v>3.0000000000000001E-3</v>
      </c>
      <c r="AS30">
        <v>0.48869219055841256</v>
      </c>
      <c r="AT30">
        <v>-4.2078978566527887</v>
      </c>
      <c r="AU30">
        <v>535.83823446267297</v>
      </c>
      <c r="AV30" s="6">
        <f t="shared" si="0"/>
        <v>1.578649091101467</v>
      </c>
      <c r="AW30" s="6">
        <f t="shared" si="1"/>
        <v>1.0899569005430545</v>
      </c>
      <c r="AX30" s="6">
        <f t="shared" si="2"/>
        <v>-1.5786490911014668</v>
      </c>
      <c r="AY30" s="6">
        <f t="shared" si="3"/>
        <v>1.5786490911014668</v>
      </c>
      <c r="BE30" s="39"/>
      <c r="BF30" s="39"/>
      <c r="BG30" s="6">
        <f t="shared" si="12"/>
        <v>0.26179938779914941</v>
      </c>
      <c r="BH30" s="9">
        <f t="shared" ca="1" si="13"/>
        <v>72.476111150249608</v>
      </c>
      <c r="BI30" s="9">
        <f t="shared" ca="1" si="14"/>
        <v>349.92281283935404</v>
      </c>
      <c r="BJ30">
        <f t="shared" ca="1" si="15"/>
        <v>357.34963499753144</v>
      </c>
      <c r="BK30" s="6">
        <f t="shared" ca="1" si="16"/>
        <v>0.20281568540219796</v>
      </c>
      <c r="BL30" s="6">
        <f t="shared" ca="1" si="17"/>
        <v>0.97921693089674289</v>
      </c>
      <c r="BM30" s="6">
        <f t="shared" ca="1" si="18"/>
        <v>1.3665638117976913</v>
      </c>
      <c r="BN30" s="6">
        <f t="shared" ca="1" si="19"/>
        <v>2.0916963630655383</v>
      </c>
      <c r="BO30" s="9">
        <f t="shared" ca="1" si="20"/>
        <v>5.5603545524015772</v>
      </c>
      <c r="BP30" s="9">
        <f t="shared" ca="1" si="21"/>
        <v>497.84185373986043</v>
      </c>
      <c r="BQ30">
        <f t="shared" ca="1" si="22"/>
        <v>497.87290434195052</v>
      </c>
      <c r="BR30">
        <f t="shared" ca="1" si="23"/>
        <v>1.1168220852972144E-2</v>
      </c>
      <c r="BS30">
        <f t="shared" ca="1" si="24"/>
        <v>0.99993763347669795</v>
      </c>
      <c r="BT30">
        <f t="shared" ca="1" si="25"/>
        <v>1.5596278737617637</v>
      </c>
      <c r="BU30" s="39">
        <f t="shared" ca="1" si="26"/>
        <v>1.5596278737617637</v>
      </c>
    </row>
    <row r="31" spans="1:73" x14ac:dyDescent="0.25">
      <c r="A31" s="8" t="s">
        <v>49</v>
      </c>
      <c r="B31" s="1">
        <f>B2*0.85</f>
        <v>4.25</v>
      </c>
      <c r="C31" t="s">
        <v>1</v>
      </c>
      <c r="AS31">
        <v>0.50614548307835583</v>
      </c>
      <c r="AT31">
        <v>-4.8945062043270013</v>
      </c>
      <c r="AU31">
        <v>537.10295890944462</v>
      </c>
      <c r="AV31" s="6">
        <f t="shared" si="0"/>
        <v>1.5799088640564654</v>
      </c>
      <c r="AW31" s="6">
        <f t="shared" si="1"/>
        <v>1.0737633809781095</v>
      </c>
      <c r="AX31" s="6">
        <f t="shared" si="2"/>
        <v>-1.5799088640564651</v>
      </c>
      <c r="AY31" s="6">
        <f t="shared" si="3"/>
        <v>1.5799088640564651</v>
      </c>
      <c r="BE31" s="39"/>
      <c r="BF31" s="39"/>
      <c r="BG31" s="6">
        <f t="shared" si="12"/>
        <v>0.27925268031909273</v>
      </c>
      <c r="BH31" s="9">
        <f t="shared" ca="1" si="13"/>
        <v>71.679475412961338</v>
      </c>
      <c r="BI31" s="9">
        <f t="shared" ca="1" si="14"/>
        <v>354.82826768554241</v>
      </c>
      <c r="BJ31">
        <f t="shared" ca="1" si="15"/>
        <v>361.99592089442149</v>
      </c>
      <c r="BK31" s="6">
        <f t="shared" ca="1" si="16"/>
        <v>0.19801183183461102</v>
      </c>
      <c r="BL31" s="6">
        <f t="shared" ca="1" si="17"/>
        <v>0.98019962989867626</v>
      </c>
      <c r="BM31" s="6">
        <f t="shared" ca="1" si="18"/>
        <v>1.3714671529645235</v>
      </c>
      <c r="BN31" s="6">
        <f t="shared" ca="1" si="19"/>
        <v>2.0965997042323705</v>
      </c>
      <c r="BO31" s="9">
        <f t="shared" ca="1" si="20"/>
        <v>4.7637188151133074</v>
      </c>
      <c r="BP31" s="9">
        <f t="shared" ca="1" si="21"/>
        <v>502.7473085860488</v>
      </c>
      <c r="BQ31">
        <f t="shared" ca="1" si="22"/>
        <v>502.7698770883805</v>
      </c>
      <c r="BR31">
        <f t="shared" ca="1" si="23"/>
        <v>9.4749487433510391E-3</v>
      </c>
      <c r="BS31">
        <f t="shared" ca="1" si="24"/>
        <v>0.99995511166567419</v>
      </c>
      <c r="BT31">
        <f t="shared" ca="1" si="25"/>
        <v>1.5613212362774442</v>
      </c>
      <c r="BU31" s="39">
        <f t="shared" ca="1" si="26"/>
        <v>1.5613212362774442</v>
      </c>
    </row>
    <row r="32" spans="1:73" x14ac:dyDescent="0.25">
      <c r="J32" t="s">
        <v>88</v>
      </c>
      <c r="N32" t="s">
        <v>89</v>
      </c>
      <c r="AS32">
        <v>0.52359877559829915</v>
      </c>
      <c r="AT32">
        <v>-5.5802677483537986</v>
      </c>
      <c r="AU32">
        <v>538.31516777288493</v>
      </c>
      <c r="AV32" s="6">
        <f t="shared" si="0"/>
        <v>1.5811621277507479</v>
      </c>
      <c r="AW32" s="6">
        <f t="shared" si="1"/>
        <v>1.0575633521524488</v>
      </c>
      <c r="AX32" s="6">
        <f t="shared" si="2"/>
        <v>-1.5811621277507477</v>
      </c>
      <c r="AY32" s="6">
        <f t="shared" si="3"/>
        <v>1.5811621277507477</v>
      </c>
      <c r="BE32" s="39"/>
      <c r="BF32" s="39"/>
      <c r="BG32" s="6">
        <f t="shared" si="12"/>
        <v>0.29670597283903605</v>
      </c>
      <c r="BH32" s="9">
        <f t="shared" ca="1" si="13"/>
        <v>70.879040037272262</v>
      </c>
      <c r="BI32" s="9">
        <f t="shared" ca="1" si="14"/>
        <v>359.55534331891693</v>
      </c>
      <c r="BJ32">
        <f t="shared" ca="1" si="15"/>
        <v>366.47494215265181</v>
      </c>
      <c r="BK32" s="6">
        <f t="shared" ca="1" si="16"/>
        <v>0.19340760277069161</v>
      </c>
      <c r="BL32" s="6">
        <f t="shared" ca="1" si="17"/>
        <v>0.98111849396007933</v>
      </c>
      <c r="BM32" s="6">
        <f t="shared" ca="1" si="18"/>
        <v>1.3761621797938952</v>
      </c>
      <c r="BN32" s="6">
        <f t="shared" ca="1" si="19"/>
        <v>2.101294731061742</v>
      </c>
      <c r="BO32" s="9">
        <f t="shared" ca="1" si="20"/>
        <v>3.9632834394242309</v>
      </c>
      <c r="BP32" s="9">
        <f t="shared" ca="1" si="21"/>
        <v>507.47438421942331</v>
      </c>
      <c r="BQ32">
        <f t="shared" ca="1" si="22"/>
        <v>507.48986024797</v>
      </c>
      <c r="BR32">
        <f t="shared" ca="1" si="23"/>
        <v>7.8095815303338059E-3</v>
      </c>
      <c r="BS32">
        <f t="shared" ca="1" si="24"/>
        <v>0.99996950475318047</v>
      </c>
      <c r="BT32">
        <f t="shared" ca="1" si="25"/>
        <v>1.5629866658785556</v>
      </c>
      <c r="BU32" s="39">
        <f t="shared" ca="1" si="26"/>
        <v>1.5629866658785556</v>
      </c>
    </row>
    <row r="33" spans="1:73" x14ac:dyDescent="0.25">
      <c r="A33" t="s">
        <v>19</v>
      </c>
      <c r="J33">
        <f>(J38*COS(-1*$B$27))+(K38*SIN(-1*$B$27))+$I$2</f>
        <v>-25.005976642254964</v>
      </c>
      <c r="K33">
        <f>(-1*J38*SIN(-1*$B$27))+(K38*COS(-1*$B$27))+$I$3</f>
        <v>23.702854081081973</v>
      </c>
      <c r="N33">
        <f>(N38*COS(-1*$B$27))+(O38*SIN(-1*$B$27))+$I$2</f>
        <v>-25.000193657927547</v>
      </c>
      <c r="O33">
        <f>(-1*N38*SIN(-1*$B$27))+(O38*COS(-1*$B$27))+$I$3</f>
        <v>23.999792989651269</v>
      </c>
      <c r="AS33">
        <v>0.54105206811824247</v>
      </c>
      <c r="AT33">
        <v>-6.2660278877298312</v>
      </c>
      <c r="AU33">
        <v>539.47946987255659</v>
      </c>
      <c r="AV33" s="6">
        <f t="shared" si="0"/>
        <v>1.582410756042411</v>
      </c>
      <c r="AW33" s="6">
        <f t="shared" si="1"/>
        <v>1.0413586879241685</v>
      </c>
      <c r="AX33" s="6">
        <f t="shared" si="2"/>
        <v>-1.5824107560424108</v>
      </c>
      <c r="AY33" s="6">
        <f t="shared" si="3"/>
        <v>1.5824107560424108</v>
      </c>
      <c r="BE33" s="39"/>
      <c r="BF33" s="39"/>
      <c r="BG33" s="6">
        <f t="shared" si="12"/>
        <v>0.31415926535897937</v>
      </c>
      <c r="BH33" s="9">
        <f t="shared" ca="1" si="13"/>
        <v>70.073438023189198</v>
      </c>
      <c r="BI33" s="9">
        <f t="shared" ca="1" si="14"/>
        <v>364.12744460868953</v>
      </c>
      <c r="BJ33">
        <f t="shared" ca="1" si="15"/>
        <v>370.80868737617783</v>
      </c>
      <c r="BK33" s="6">
        <f t="shared" ca="1" si="16"/>
        <v>0.18897463950757207</v>
      </c>
      <c r="BL33" s="6">
        <f t="shared" ca="1" si="17"/>
        <v>0.98198196807425298</v>
      </c>
      <c r="BM33" s="6">
        <f t="shared" ca="1" si="18"/>
        <v>1.3806784598457813</v>
      </c>
      <c r="BN33" s="6">
        <f t="shared" ca="1" si="19"/>
        <v>2.1058110111136283</v>
      </c>
      <c r="BO33" s="9">
        <f t="shared" ca="1" si="20"/>
        <v>3.1576814253411669</v>
      </c>
      <c r="BP33" s="9">
        <f t="shared" ca="1" si="21"/>
        <v>512.04648550919592</v>
      </c>
      <c r="BQ33">
        <f t="shared" ca="1" si="22"/>
        <v>512.05622179044281</v>
      </c>
      <c r="BR33">
        <f t="shared" ca="1" si="23"/>
        <v>6.1666693831003523E-3</v>
      </c>
      <c r="BS33">
        <f t="shared" ca="1" si="24"/>
        <v>0.99998098591359197</v>
      </c>
      <c r="BT33">
        <f t="shared" ca="1" si="25"/>
        <v>1.5646296183269708</v>
      </c>
      <c r="BU33" s="39">
        <f t="shared" ca="1" si="26"/>
        <v>1.5646296183269708</v>
      </c>
    </row>
    <row r="34" spans="1:73" x14ac:dyDescent="0.25">
      <c r="J34">
        <f>(J39*COS(-1*$B$27))+(K39*SIN(-1*$B$27))+$I$2</f>
        <v>37.210197517581577</v>
      </c>
      <c r="K34">
        <f>(-1*J39*SIN(-1*$B$27))+(K39*COS(-1*$B$27))+$I$3</f>
        <v>22.491173328930817</v>
      </c>
      <c r="N34">
        <f>(N39*COS(-1*$B$27))+(O39*SIN(-1*$B$27))+$I$2</f>
        <v>37.215980501908987</v>
      </c>
      <c r="O34">
        <f>(-1*N39*SIN(-1*$B$27))+(O39*COS(-1*$B$27))+$I$3</f>
        <v>22.788112237500108</v>
      </c>
      <c r="AS34">
        <v>0.55850536063818579</v>
      </c>
      <c r="AT34">
        <v>-6.9526151014244419</v>
      </c>
      <c r="AU34">
        <v>540.59997597945164</v>
      </c>
      <c r="AV34" s="6">
        <f t="shared" si="0"/>
        <v>1.5836565415927804</v>
      </c>
      <c r="AW34" s="6">
        <f t="shared" si="1"/>
        <v>1.0251511809545946</v>
      </c>
      <c r="AX34" s="6">
        <f t="shared" si="2"/>
        <v>-1.5836565415927801</v>
      </c>
      <c r="AY34" s="6">
        <f t="shared" si="3"/>
        <v>1.5836565415927801</v>
      </c>
      <c r="BE34" s="39"/>
      <c r="BF34" s="39"/>
      <c r="BG34" s="6">
        <f t="shared" si="12"/>
        <v>0.33161255787892269</v>
      </c>
      <c r="BH34" s="9">
        <f t="shared" ca="1" si="13"/>
        <v>69.261443332251545</v>
      </c>
      <c r="BI34" s="9">
        <f t="shared" ca="1" si="14"/>
        <v>368.56415988706033</v>
      </c>
      <c r="BJ34">
        <f t="shared" ca="1" si="15"/>
        <v>375.0155829905222</v>
      </c>
      <c r="BK34" s="6">
        <f t="shared" ca="1" si="16"/>
        <v>0.18468950751308377</v>
      </c>
      <c r="BL34" s="6">
        <f t="shared" ca="1" si="17"/>
        <v>0.98279691992525831</v>
      </c>
      <c r="BM34" s="6">
        <f t="shared" ca="1" si="18"/>
        <v>1.385040401259537</v>
      </c>
      <c r="BN34" s="6">
        <f t="shared" ca="1" si="19"/>
        <v>2.110172952527384</v>
      </c>
      <c r="BO34" s="9">
        <f t="shared" ca="1" si="20"/>
        <v>2.3456867344035146</v>
      </c>
      <c r="BP34" s="9">
        <f t="shared" ca="1" si="21"/>
        <v>516.48320078756672</v>
      </c>
      <c r="BQ34">
        <f t="shared" ca="1" si="22"/>
        <v>516.48852740600728</v>
      </c>
      <c r="BR34">
        <f t="shared" ca="1" si="23"/>
        <v>4.541604720988488E-3</v>
      </c>
      <c r="BS34">
        <f t="shared" ca="1" si="24"/>
        <v>0.9999896868600987</v>
      </c>
      <c r="BT34">
        <f t="shared" ca="1" si="25"/>
        <v>1.5662547064611088</v>
      </c>
      <c r="BU34" s="39">
        <f t="shared" ca="1" si="26"/>
        <v>1.5662547064611088</v>
      </c>
    </row>
    <row r="35" spans="1:73" x14ac:dyDescent="0.25">
      <c r="A35" s="8" t="s">
        <v>20</v>
      </c>
      <c r="AD35" t="s">
        <v>135</v>
      </c>
      <c r="AS35">
        <v>0.57595865315812911</v>
      </c>
      <c r="AT35">
        <v>-7.6408468388562598</v>
      </c>
      <c r="AU35">
        <v>541.68036808776583</v>
      </c>
      <c r="AV35" s="6">
        <f t="shared" si="0"/>
        <v>1.5849012133152578</v>
      </c>
      <c r="AW35" s="6">
        <f t="shared" si="1"/>
        <v>1.0089425601571287</v>
      </c>
      <c r="AX35" s="6">
        <f t="shared" si="2"/>
        <v>-1.5849012133152576</v>
      </c>
      <c r="AY35" s="6">
        <f t="shared" si="3"/>
        <v>1.5849012133152576</v>
      </c>
      <c r="BE35" s="39"/>
      <c r="BF35" s="39"/>
      <c r="BG35" s="6">
        <f t="shared" si="12"/>
        <v>0.34906585039886601</v>
      </c>
      <c r="BH35" s="9">
        <f t="shared" ca="1" si="13"/>
        <v>68.441928135660675</v>
      </c>
      <c r="BI35" s="9">
        <f t="shared" ca="1" si="14"/>
        <v>372.88211849974959</v>
      </c>
      <c r="BJ35">
        <f t="shared" ca="1" si="15"/>
        <v>379.11129213436556</v>
      </c>
      <c r="BK35" s="6">
        <f t="shared" ca="1" si="16"/>
        <v>0.18053254955909706</v>
      </c>
      <c r="BL35" s="6">
        <f t="shared" ca="1" si="17"/>
        <v>0.98356901056798851</v>
      </c>
      <c r="BM35" s="6">
        <f t="shared" ca="1" si="18"/>
        <v>1.3892684563706266</v>
      </c>
      <c r="BN35" s="6">
        <f t="shared" ca="1" si="19"/>
        <v>2.1144010076384738</v>
      </c>
      <c r="BO35" s="9">
        <f t="shared" ca="1" si="20"/>
        <v>1.5261715378126439</v>
      </c>
      <c r="BP35" s="9">
        <f t="shared" ca="1" si="21"/>
        <v>520.80115940025598</v>
      </c>
      <c r="BQ35">
        <f t="shared" ca="1" si="22"/>
        <v>520.80339556517265</v>
      </c>
      <c r="BR35">
        <f t="shared" ca="1" si="23"/>
        <v>2.9304177945238853E-3</v>
      </c>
      <c r="BS35">
        <f t="shared" ca="1" si="24"/>
        <v>0.99999570631655688</v>
      </c>
      <c r="BT35">
        <f t="shared" ca="1" si="25"/>
        <v>1.56786590480627</v>
      </c>
      <c r="BU35" s="39">
        <f t="shared" ca="1" si="26"/>
        <v>1.56786590480627</v>
      </c>
    </row>
    <row r="36" spans="1:73" x14ac:dyDescent="0.25">
      <c r="A36" s="1" t="s">
        <v>8</v>
      </c>
      <c r="B36" s="1" t="s">
        <v>9</v>
      </c>
      <c r="C36" s="1" t="s">
        <v>21</v>
      </c>
      <c r="D36" s="1" t="s">
        <v>22</v>
      </c>
      <c r="F36" s="8" t="s">
        <v>73</v>
      </c>
      <c r="G36" s="1">
        <f>(-1*0.003*MAX(J62:J71))/((B12/B13)-0.003)</f>
        <v>72.7577077008727</v>
      </c>
      <c r="H36" s="15" t="s">
        <v>4</v>
      </c>
      <c r="J36" t="s">
        <v>52</v>
      </c>
      <c r="N36" t="s">
        <v>53</v>
      </c>
      <c r="AD36" t="s">
        <v>8</v>
      </c>
      <c r="AE36" t="s">
        <v>9</v>
      </c>
      <c r="AS36">
        <v>0.59341194567807243</v>
      </c>
      <c r="AT36">
        <v>-8.3315350278273748</v>
      </c>
      <c r="AU36">
        <v>542.72395741455148</v>
      </c>
      <c r="AV36" s="6">
        <f t="shared" si="0"/>
        <v>1.5861464518950761</v>
      </c>
      <c r="AW36" s="6">
        <f t="shared" si="1"/>
        <v>0.99273450621700365</v>
      </c>
      <c r="AX36" s="6">
        <f t="shared" si="2"/>
        <v>-1.5861464518950759</v>
      </c>
      <c r="AY36" s="6">
        <f t="shared" si="3"/>
        <v>1.5861464518950759</v>
      </c>
      <c r="BE36" s="39"/>
      <c r="BF36" s="39"/>
      <c r="BG36" s="6">
        <f t="shared" si="12"/>
        <v>0.36651914291880933</v>
      </c>
      <c r="BH36" s="9">
        <f t="shared" ca="1" si="13"/>
        <v>67.615737671739666</v>
      </c>
      <c r="BI36" s="9">
        <f t="shared" ca="1" si="14"/>
        <v>377.055739140637</v>
      </c>
      <c r="BJ36">
        <f t="shared" ca="1" si="15"/>
        <v>383.07038308878123</v>
      </c>
      <c r="BK36" s="6">
        <f t="shared" ca="1" si="16"/>
        <v>0.17650995915303871</v>
      </c>
      <c r="BL36" s="6">
        <f t="shared" ca="1" si="17"/>
        <v>0.9842988541697042</v>
      </c>
      <c r="BM36" s="6">
        <f t="shared" ca="1" si="18"/>
        <v>1.3933567235509223</v>
      </c>
      <c r="BN36" s="6">
        <f t="shared" ca="1" si="19"/>
        <v>2.1184892748187694</v>
      </c>
      <c r="BO36" s="9">
        <f t="shared" ca="1" si="20"/>
        <v>0.69998107389163522</v>
      </c>
      <c r="BP36" s="9">
        <f t="shared" ca="1" si="21"/>
        <v>524.97478004114339</v>
      </c>
      <c r="BQ36">
        <f t="shared" ca="1" si="22"/>
        <v>524.97524670478572</v>
      </c>
      <c r="BR36">
        <f t="shared" ca="1" si="23"/>
        <v>1.3333601503791705E-3</v>
      </c>
      <c r="BS36">
        <f t="shared" ca="1" si="24"/>
        <v>0.99999911107495976</v>
      </c>
      <c r="BT36">
        <f t="shared" ca="1" si="25"/>
        <v>1.5694629662494315</v>
      </c>
      <c r="BU36" s="39">
        <f t="shared" ca="1" si="26"/>
        <v>1.5694629662494315</v>
      </c>
    </row>
    <row r="37" spans="1:73" x14ac:dyDescent="0.25">
      <c r="A37" s="3">
        <f t="shared" ref="A37:A43" si="28">E3-$I$2</f>
        <v>-6</v>
      </c>
      <c r="B37" s="6">
        <f t="shared" ref="B37:B43" si="29">F3-$I$3</f>
        <v>-12</v>
      </c>
      <c r="C37" s="6">
        <f>A37*COS($B$27)+B37*SIN($B$27)</f>
        <v>-5.7652027615690962</v>
      </c>
      <c r="D37" s="6">
        <f>-1*A37*SIN($B$27)+B37*COS($B$27)</f>
        <v>-12.114554763506417</v>
      </c>
      <c r="F37" s="8" t="s">
        <v>23</v>
      </c>
      <c r="G37" s="1">
        <f>MAX(D37:D41)-MIN(D37:D41)</f>
        <v>24.696428919307415</v>
      </c>
      <c r="H37" t="s">
        <v>4</v>
      </c>
      <c r="J37" t="s">
        <v>8</v>
      </c>
      <c r="K37" t="s">
        <v>9</v>
      </c>
      <c r="N37" t="s">
        <v>8</v>
      </c>
      <c r="O37" t="s">
        <v>9</v>
      </c>
      <c r="AD37">
        <v>0</v>
      </c>
      <c r="AE37">
        <f>2*PI()</f>
        <v>6.2831853071795862</v>
      </c>
      <c r="AS37">
        <v>0.61086523819801575</v>
      </c>
      <c r="AT37">
        <v>-9.025491291552374</v>
      </c>
      <c r="AU37">
        <v>543.73373328972946</v>
      </c>
      <c r="AV37" s="6">
        <f t="shared" si="0"/>
        <v>1.5873939037785203</v>
      </c>
      <c r="AW37" s="6">
        <f t="shared" si="1"/>
        <v>0.97652866558050455</v>
      </c>
      <c r="AX37" s="6">
        <f t="shared" si="2"/>
        <v>-1.5873939037785201</v>
      </c>
      <c r="AY37" s="6">
        <f t="shared" si="3"/>
        <v>1.5873939037785201</v>
      </c>
      <c r="BE37" s="39"/>
      <c r="BF37" s="39"/>
      <c r="BG37" s="6">
        <f t="shared" si="12"/>
        <v>0.38397243543875265</v>
      </c>
      <c r="BH37" s="9">
        <f t="shared" ca="1" si="13"/>
        <v>66.89654797692144</v>
      </c>
      <c r="BI37" s="9">
        <f t="shared" ca="1" si="14"/>
        <v>378.88194598322616</v>
      </c>
      <c r="BJ37">
        <f t="shared" ca="1" si="15"/>
        <v>384.74235161113319</v>
      </c>
      <c r="BK37" s="6">
        <f t="shared" ca="1" si="16"/>
        <v>0.17387362658877523</v>
      </c>
      <c r="BL37" s="6">
        <f t="shared" ca="1" si="17"/>
        <v>0.98476797367545787</v>
      </c>
      <c r="BM37" s="6">
        <f t="shared" ca="1" si="18"/>
        <v>1.3960344701379874</v>
      </c>
      <c r="BN37" s="6">
        <f t="shared" ca="1" si="19"/>
        <v>2.1211670214058342</v>
      </c>
      <c r="BO37" s="9">
        <f t="shared" ca="1" si="20"/>
        <v>-1.9208620926590925E-2</v>
      </c>
      <c r="BP37" s="9">
        <f t="shared" ca="1" si="21"/>
        <v>526.80098688373255</v>
      </c>
      <c r="BQ37">
        <f t="shared" ca="1" si="22"/>
        <v>526.80098723393235</v>
      </c>
      <c r="BR37">
        <f t="shared" ca="1" si="23"/>
        <v>-3.6462765621320117E-5</v>
      </c>
      <c r="BS37">
        <f t="shared" ca="1" si="24"/>
        <v>0.9999999993352332</v>
      </c>
      <c r="BT37">
        <f t="shared" ca="1" si="25"/>
        <v>1.5708327895605259</v>
      </c>
      <c r="BU37" s="39">
        <f t="shared" ca="1" si="26"/>
        <v>1.5708327895605259</v>
      </c>
    </row>
    <row r="38" spans="1:73" x14ac:dyDescent="0.25">
      <c r="A38" s="3">
        <f t="shared" si="28"/>
        <v>6</v>
      </c>
      <c r="B38" s="6">
        <f t="shared" si="29"/>
        <v>-12</v>
      </c>
      <c r="C38" s="6">
        <f t="shared" ref="C38:C41" si="30">A38*COS($B$27)+B38*SIN($B$27)</f>
        <v>6.2325221538636768</v>
      </c>
      <c r="D38" s="6">
        <f t="shared" ref="D38:D41" si="31">-1*A38*SIN($B$27)+B38*COS($B$27)</f>
        <v>-11.880895067359129</v>
      </c>
      <c r="F38" s="8" t="s">
        <v>24</v>
      </c>
      <c r="G38" s="6">
        <f>MAX(D37:D43)</f>
        <v>12.581874155800998</v>
      </c>
      <c r="H38" t="s">
        <v>4</v>
      </c>
      <c r="J38" s="9">
        <f>MIN(C37:C43,A37:A43)-1</f>
        <v>-31.227971984729223</v>
      </c>
      <c r="K38" s="9">
        <f>G40</f>
        <v>11.096898075774339</v>
      </c>
      <c r="N38" s="9">
        <f>J38</f>
        <v>-31.227971984729223</v>
      </c>
      <c r="O38" s="9">
        <f>G41</f>
        <v>11.393893291779671</v>
      </c>
      <c r="AD38">
        <f>AE37</f>
        <v>6.2831853071795862</v>
      </c>
      <c r="AE38">
        <f>AE37</f>
        <v>6.2831853071795862</v>
      </c>
      <c r="AS38">
        <v>0.62831853071795907</v>
      </c>
      <c r="AT38">
        <v>-9.7212058820818932</v>
      </c>
      <c r="AU38">
        <v>544.70918921735233</v>
      </c>
      <c r="AV38" s="6">
        <f t="shared" si="0"/>
        <v>1.5886410303545744</v>
      </c>
      <c r="AW38" s="6">
        <f t="shared" si="1"/>
        <v>0.96032249963661531</v>
      </c>
      <c r="AX38" s="6">
        <f t="shared" si="2"/>
        <v>-1.5886410303545742</v>
      </c>
      <c r="AY38" s="6">
        <f t="shared" si="3"/>
        <v>1.5886410303545742</v>
      </c>
      <c r="BE38" s="39"/>
      <c r="BF38" s="39"/>
      <c r="BG38" s="6">
        <f t="shared" si="12"/>
        <v>0.40142572795869597</v>
      </c>
      <c r="BH38" s="9">
        <f t="shared" ca="1" si="13"/>
        <v>66.18524771834106</v>
      </c>
      <c r="BI38" s="9">
        <f t="shared" ca="1" si="14"/>
        <v>380.59954674351866</v>
      </c>
      <c r="BJ38">
        <f t="shared" ca="1" si="15"/>
        <v>386.31140547091024</v>
      </c>
      <c r="BK38" s="6">
        <f t="shared" ca="1" si="16"/>
        <v>0.17132615496470216</v>
      </c>
      <c r="BL38" s="6">
        <f t="shared" ca="1" si="17"/>
        <v>0.98521436683851238</v>
      </c>
      <c r="BM38" s="6">
        <f t="shared" ca="1" si="18"/>
        <v>1.3986207574885938</v>
      </c>
      <c r="BN38" s="6">
        <f t="shared" ca="1" si="19"/>
        <v>2.1237533087564406</v>
      </c>
      <c r="BO38" s="9">
        <f t="shared" ca="1" si="20"/>
        <v>-0.73050887950697074</v>
      </c>
      <c r="BP38" s="9">
        <f t="shared" ca="1" si="21"/>
        <v>528.51858764402505</v>
      </c>
      <c r="BQ38">
        <f t="shared" ca="1" si="22"/>
        <v>528.51909249189669</v>
      </c>
      <c r="BR38">
        <f t="shared" ca="1" si="23"/>
        <v>-1.3821806816149617E-3</v>
      </c>
      <c r="BS38">
        <f t="shared" ca="1" si="24"/>
        <v>0.99999904478782542</v>
      </c>
      <c r="BT38">
        <f t="shared" ca="1" si="25"/>
        <v>1.5721785079166035</v>
      </c>
      <c r="BU38" s="39">
        <f t="shared" ca="1" si="26"/>
        <v>1.5721785079166035</v>
      </c>
    </row>
    <row r="39" spans="1:73" x14ac:dyDescent="0.25">
      <c r="A39" s="3">
        <f t="shared" si="28"/>
        <v>6</v>
      </c>
      <c r="B39" s="6">
        <f t="shared" si="29"/>
        <v>4</v>
      </c>
      <c r="C39" s="6">
        <f t="shared" si="30"/>
        <v>5.9209758923339564</v>
      </c>
      <c r="D39" s="6">
        <f t="shared" si="31"/>
        <v>4.1160714865512364</v>
      </c>
      <c r="J39" s="9">
        <f>MAX(C37:C43,A37:A43)+1</f>
        <v>31</v>
      </c>
      <c r="K39" s="9">
        <f>K38</f>
        <v>11.096898075774339</v>
      </c>
      <c r="N39" s="9">
        <f>J39</f>
        <v>31</v>
      </c>
      <c r="O39" s="9">
        <f>G41</f>
        <v>11.393893291779671</v>
      </c>
      <c r="AD39">
        <f>AD38</f>
        <v>6.2831853071795862</v>
      </c>
      <c r="AE39">
        <v>0</v>
      </c>
      <c r="AS39">
        <v>0.64577182323790239</v>
      </c>
      <c r="AT39">
        <v>-10.3921904254148</v>
      </c>
      <c r="AU39">
        <v>545.61616800090974</v>
      </c>
      <c r="AV39" s="6">
        <f t="shared" si="0"/>
        <v>1.5898407294826704</v>
      </c>
      <c r="AW39" s="6">
        <f t="shared" si="1"/>
        <v>0.94406890624476802</v>
      </c>
      <c r="AX39" s="6">
        <f t="shared" si="2"/>
        <v>-1.5898407294826702</v>
      </c>
      <c r="AY39" s="6">
        <f t="shared" si="3"/>
        <v>1.5898407294826702</v>
      </c>
      <c r="BE39" s="39"/>
      <c r="BF39" s="39"/>
      <c r="BG39" s="6">
        <f t="shared" si="12"/>
        <v>0.41887902047863929</v>
      </c>
      <c r="BH39" s="9">
        <f t="shared" ca="1" si="13"/>
        <v>65.480639949450207</v>
      </c>
      <c r="BI39" s="9">
        <f t="shared" ca="1" si="14"/>
        <v>382.22034848264411</v>
      </c>
      <c r="BJ39">
        <f t="shared" ca="1" si="15"/>
        <v>387.78874274839831</v>
      </c>
      <c r="BK39" s="6">
        <f t="shared" ca="1" si="16"/>
        <v>0.16885647449527638</v>
      </c>
      <c r="BL39" s="6">
        <f t="shared" ca="1" si="17"/>
        <v>0.98564065004494716</v>
      </c>
      <c r="BM39" s="6">
        <f t="shared" ca="1" si="18"/>
        <v>1.4011269582548485</v>
      </c>
      <c r="BN39" s="6">
        <f t="shared" ca="1" si="19"/>
        <v>2.1262595095226953</v>
      </c>
      <c r="BO39" s="9">
        <f t="shared" ca="1" si="20"/>
        <v>-1.4351166483978233</v>
      </c>
      <c r="BP39" s="9">
        <f t="shared" ca="1" si="21"/>
        <v>530.1393893831505</v>
      </c>
      <c r="BQ39">
        <f t="shared" ca="1" si="22"/>
        <v>530.14133184966272</v>
      </c>
      <c r="BR39">
        <f t="shared" ca="1" si="23"/>
        <v>-2.7070453899353639E-3</v>
      </c>
      <c r="BS39">
        <f t="shared" ca="1" si="24"/>
        <v>0.99999633594591575</v>
      </c>
      <c r="BT39">
        <f t="shared" ca="1" si="25"/>
        <v>1.5735033754910903</v>
      </c>
      <c r="BU39" s="39">
        <f t="shared" ca="1" si="26"/>
        <v>1.5735033754910903</v>
      </c>
    </row>
    <row r="40" spans="1:73" x14ac:dyDescent="0.25">
      <c r="A40" s="3">
        <f t="shared" si="28"/>
        <v>30</v>
      </c>
      <c r="B40" s="6">
        <f t="shared" si="29"/>
        <v>4</v>
      </c>
      <c r="C40" s="6">
        <f t="shared" si="30"/>
        <v>29.916425723199506</v>
      </c>
      <c r="D40" s="6">
        <f t="shared" si="31"/>
        <v>4.5833908788458162</v>
      </c>
      <c r="F40" s="8" t="s">
        <v>50</v>
      </c>
      <c r="G40" s="9">
        <f>G38-B28</f>
        <v>11.096898075774339</v>
      </c>
      <c r="AD40">
        <f>AE39</f>
        <v>0</v>
      </c>
      <c r="AE40">
        <f>AE39</f>
        <v>0</v>
      </c>
      <c r="AS40">
        <v>0.66322511575784571</v>
      </c>
      <c r="AT40">
        <v>-11.032793802011918</v>
      </c>
      <c r="AU40">
        <v>546.45119016175886</v>
      </c>
      <c r="AV40" s="6">
        <f t="shared" si="0"/>
        <v>1.5909834821358062</v>
      </c>
      <c r="AW40" s="6">
        <f t="shared" si="1"/>
        <v>0.9277583663779605</v>
      </c>
      <c r="AX40" s="6">
        <f t="shared" si="2"/>
        <v>-1.590983482135806</v>
      </c>
      <c r="AY40" s="6">
        <f t="shared" si="3"/>
        <v>1.590983482135806</v>
      </c>
      <c r="BE40" s="39"/>
      <c r="BF40" s="39"/>
      <c r="BG40" s="6">
        <f t="shared" si="12"/>
        <v>0.43633231299858261</v>
      </c>
      <c r="BH40" s="9">
        <f t="shared" ca="1" si="13"/>
        <v>64.781612019184735</v>
      </c>
      <c r="BI40" s="9">
        <f t="shared" ca="1" si="14"/>
        <v>383.75449446214952</v>
      </c>
      <c r="BJ40">
        <f t="shared" ca="1" si="15"/>
        <v>389.18397869864083</v>
      </c>
      <c r="BK40" s="6">
        <f t="shared" ca="1" si="16"/>
        <v>0.16645498161512828</v>
      </c>
      <c r="BL40" s="6">
        <f t="shared" ca="1" si="17"/>
        <v>0.98604905511617802</v>
      </c>
      <c r="BM40" s="6">
        <f t="shared" ca="1" si="18"/>
        <v>1.403562931507973</v>
      </c>
      <c r="BN40" s="6">
        <f t="shared" ca="1" si="19"/>
        <v>2.1286954827758198</v>
      </c>
      <c r="BO40" s="9">
        <f t="shared" ca="1" si="20"/>
        <v>-2.134144578663296</v>
      </c>
      <c r="BP40" s="9">
        <f t="shared" ca="1" si="21"/>
        <v>531.67353536265591</v>
      </c>
      <c r="BQ40">
        <f t="shared" ca="1" si="22"/>
        <v>531.67781858763681</v>
      </c>
      <c r="BR40">
        <f t="shared" ca="1" si="23"/>
        <v>-4.0139808433846177E-3</v>
      </c>
      <c r="BS40">
        <f t="shared" ca="1" si="24"/>
        <v>0.99999194394644431</v>
      </c>
      <c r="BT40">
        <f t="shared" ca="1" si="25"/>
        <v>1.5748103184172642</v>
      </c>
      <c r="BU40" s="39">
        <f t="shared" ca="1" si="26"/>
        <v>1.5748103184172642</v>
      </c>
    </row>
    <row r="41" spans="1:73" x14ac:dyDescent="0.25">
      <c r="A41" s="3">
        <f t="shared" si="28"/>
        <v>30</v>
      </c>
      <c r="B41" s="6">
        <f t="shared" si="29"/>
        <v>12</v>
      </c>
      <c r="C41" s="6">
        <f t="shared" si="30"/>
        <v>29.760652592434646</v>
      </c>
      <c r="D41" s="6">
        <f t="shared" si="31"/>
        <v>12.581874155800998</v>
      </c>
      <c r="F41" s="8" t="s">
        <v>51</v>
      </c>
      <c r="G41" s="9">
        <f>G38-B29</f>
        <v>11.393893291779671</v>
      </c>
      <c r="J41" s="9"/>
      <c r="K41" s="9"/>
      <c r="N41" s="9"/>
      <c r="O41" s="9"/>
      <c r="AD41">
        <f>AD40</f>
        <v>0</v>
      </c>
      <c r="AE41">
        <f>AE37</f>
        <v>6.2831853071795862</v>
      </c>
      <c r="AS41">
        <v>0.68067840827778903</v>
      </c>
      <c r="AT41">
        <v>-11.645398671156308</v>
      </c>
      <c r="AU41">
        <v>547.22149140446129</v>
      </c>
      <c r="AV41" s="6">
        <f t="shared" si="0"/>
        <v>1.5920740751017217</v>
      </c>
      <c r="AW41" s="6">
        <f t="shared" si="1"/>
        <v>0.91139566682393269</v>
      </c>
      <c r="AX41" s="6">
        <f t="shared" si="2"/>
        <v>-1.5920740751017215</v>
      </c>
      <c r="AY41" s="6">
        <f t="shared" si="3"/>
        <v>1.5920740751017215</v>
      </c>
      <c r="BE41" s="39"/>
      <c r="BF41" s="39"/>
      <c r="BG41" s="6">
        <f t="shared" si="12"/>
        <v>0.45378560551852593</v>
      </c>
      <c r="BH41" s="9">
        <f t="shared" ca="1" si="13"/>
        <v>64.087121216513125</v>
      </c>
      <c r="BI41" s="9">
        <f t="shared" ca="1" si="14"/>
        <v>385.21075585607412</v>
      </c>
      <c r="BJ41">
        <f t="shared" ca="1" si="15"/>
        <v>390.5054231800475</v>
      </c>
      <c r="BK41" s="6">
        <f t="shared" ca="1" si="16"/>
        <v>0.16411326811962082</v>
      </c>
      <c r="BL41" s="6">
        <f t="shared" ca="1" si="17"/>
        <v>0.98644150116826368</v>
      </c>
      <c r="BM41" s="6">
        <f t="shared" ca="1" si="18"/>
        <v>1.4059373027189295</v>
      </c>
      <c r="BN41" s="6">
        <f t="shared" ca="1" si="19"/>
        <v>2.1310698539867765</v>
      </c>
      <c r="BO41" s="9">
        <f t="shared" ca="1" si="20"/>
        <v>-2.8286353813349052</v>
      </c>
      <c r="BP41" s="9">
        <f t="shared" ca="1" si="21"/>
        <v>533.1297967565805</v>
      </c>
      <c r="BQ41">
        <f t="shared" ca="1" si="22"/>
        <v>533.1373006720064</v>
      </c>
      <c r="BR41">
        <f t="shared" ca="1" si="23"/>
        <v>-5.3056414881672695E-3</v>
      </c>
      <c r="BS41">
        <f t="shared" ca="1" si="24"/>
        <v>0.99998592498514649</v>
      </c>
      <c r="BT41">
        <f t="shared" ca="1" si="25"/>
        <v>1.5761019931755316</v>
      </c>
      <c r="BU41" s="39">
        <f t="shared" ca="1" si="26"/>
        <v>1.5761019931755316</v>
      </c>
    </row>
    <row r="42" spans="1:73" x14ac:dyDescent="0.25">
      <c r="A42" s="3">
        <f t="shared" si="28"/>
        <v>-30</v>
      </c>
      <c r="B42" s="6">
        <f t="shared" si="29"/>
        <v>12</v>
      </c>
      <c r="C42" s="6">
        <f t="shared" ref="C42:C43" si="32">A42*COS($B$27)+B42*SIN($B$27)</f>
        <v>-30.227971984729223</v>
      </c>
      <c r="D42" s="6">
        <f t="shared" ref="D42:D43" si="33">-1*A42*SIN($B$27)+B42*COS($B$27)</f>
        <v>11.413575675064548</v>
      </c>
      <c r="J42" s="9"/>
      <c r="K42" s="9"/>
      <c r="N42" s="9"/>
      <c r="O42" s="9"/>
      <c r="AS42">
        <v>0.69813170079773235</v>
      </c>
      <c r="AT42">
        <v>-12.232151140413544</v>
      </c>
      <c r="AU42">
        <v>547.93341306544312</v>
      </c>
      <c r="AV42" s="6">
        <f t="shared" si="0"/>
        <v>1.593116775628306</v>
      </c>
      <c r="AW42" s="6">
        <f t="shared" si="1"/>
        <v>0.89498507483057366</v>
      </c>
      <c r="AX42" s="6">
        <f t="shared" si="2"/>
        <v>-1.5931167756283058</v>
      </c>
      <c r="AY42" s="6">
        <f t="shared" si="3"/>
        <v>1.5931167756283058</v>
      </c>
      <c r="BE42" s="39"/>
      <c r="BF42" s="39"/>
      <c r="BG42" s="6">
        <f t="shared" si="12"/>
        <v>0.47123889803846924</v>
      </c>
      <c r="BH42" s="9">
        <f t="shared" ca="1" si="13"/>
        <v>63.396182631486603</v>
      </c>
      <c r="BI42" s="9">
        <f t="shared" ca="1" si="14"/>
        <v>386.5967634821352</v>
      </c>
      <c r="BJ42">
        <f t="shared" ca="1" si="15"/>
        <v>391.76030108614475</v>
      </c>
      <c r="BK42" s="6">
        <f t="shared" ca="1" si="16"/>
        <v>0.16182390726095119</v>
      </c>
      <c r="BL42" s="6">
        <f t="shared" ca="1" si="17"/>
        <v>0.98681965071577238</v>
      </c>
      <c r="BM42" s="6">
        <f t="shared" ca="1" si="18"/>
        <v>1.4082576847213735</v>
      </c>
      <c r="BN42" s="6">
        <f t="shared" ca="1" si="19"/>
        <v>2.1333902359892205</v>
      </c>
      <c r="BO42" s="9">
        <f t="shared" ca="1" si="20"/>
        <v>-3.5195739663614276</v>
      </c>
      <c r="BP42" s="9">
        <f t="shared" ca="1" si="21"/>
        <v>534.51580438264159</v>
      </c>
      <c r="BQ42">
        <f t="shared" ca="1" si="22"/>
        <v>534.5273917543675</v>
      </c>
      <c r="BR42">
        <f t="shared" ca="1" si="23"/>
        <v>-6.5844595069484953E-3</v>
      </c>
      <c r="BS42">
        <f t="shared" ca="1" si="24"/>
        <v>0.99997832221153737</v>
      </c>
      <c r="BT42">
        <f t="shared" ca="1" si="25"/>
        <v>1.5773808338810977</v>
      </c>
      <c r="BU42" s="39">
        <f t="shared" ca="1" si="26"/>
        <v>1.5773808338810977</v>
      </c>
    </row>
    <row r="43" spans="1:73" x14ac:dyDescent="0.25">
      <c r="A43" s="3">
        <f t="shared" si="28"/>
        <v>-30</v>
      </c>
      <c r="B43" s="6">
        <f t="shared" si="29"/>
        <v>4</v>
      </c>
      <c r="C43" s="6">
        <f t="shared" si="32"/>
        <v>-30.072198853964363</v>
      </c>
      <c r="D43" s="6">
        <f t="shared" si="33"/>
        <v>3.4150923981093664</v>
      </c>
      <c r="AD43" t="s">
        <v>134</v>
      </c>
      <c r="AS43">
        <v>0.71558499331767567</v>
      </c>
      <c r="AT43">
        <v>-12.794989662445333</v>
      </c>
      <c r="AU43">
        <v>548.59253130380023</v>
      </c>
      <c r="AV43" s="6">
        <f t="shared" si="0"/>
        <v>1.5941154017580637</v>
      </c>
      <c r="AW43" s="6">
        <f t="shared" si="1"/>
        <v>0.87853040844038799</v>
      </c>
      <c r="AX43" s="6">
        <f t="shared" si="2"/>
        <v>-1.5941154017580634</v>
      </c>
      <c r="AY43" s="6">
        <f t="shared" si="3"/>
        <v>1.5941154017580634</v>
      </c>
      <c r="BE43" s="39"/>
      <c r="BF43" s="39"/>
      <c r="BG43" s="6">
        <f t="shared" si="12"/>
        <v>0.48869219055841256</v>
      </c>
      <c r="BH43" s="9">
        <f t="shared" ca="1" si="13"/>
        <v>62.707858741195238</v>
      </c>
      <c r="BI43" s="9">
        <f t="shared" ca="1" si="14"/>
        <v>387.91919356216658</v>
      </c>
      <c r="BJ43">
        <f t="shared" ca="1" si="15"/>
        <v>392.95492907180511</v>
      </c>
      <c r="BK43" s="6">
        <f t="shared" ca="1" si="16"/>
        <v>0.15958028288210263</v>
      </c>
      <c r="BL43" s="6">
        <f t="shared" ca="1" si="17"/>
        <v>0.98718495395506711</v>
      </c>
      <c r="BM43" s="6">
        <f t="shared" ca="1" si="18"/>
        <v>1.4105308541024544</v>
      </c>
      <c r="BN43" s="6">
        <f t="shared" ca="1" si="19"/>
        <v>2.1356634053703014</v>
      </c>
      <c r="BO43" s="9">
        <f t="shared" ca="1" si="20"/>
        <v>-4.2078978566527923</v>
      </c>
      <c r="BP43" s="9">
        <f t="shared" ca="1" si="21"/>
        <v>535.83823446267297</v>
      </c>
      <c r="BQ43">
        <f t="shared" ca="1" si="22"/>
        <v>535.85475636262345</v>
      </c>
      <c r="BR43">
        <f t="shared" ca="1" si="23"/>
        <v>-7.8526835988467457E-3</v>
      </c>
      <c r="BS43">
        <f t="shared" ca="1" si="24"/>
        <v>0.99996916720481754</v>
      </c>
      <c r="BT43">
        <f t="shared" ca="1" si="25"/>
        <v>1.578649091101467</v>
      </c>
      <c r="BU43" s="39">
        <f t="shared" ca="1" si="26"/>
        <v>1.578649091101467</v>
      </c>
    </row>
    <row r="44" spans="1:73" x14ac:dyDescent="0.25">
      <c r="A44" s="3">
        <f t="shared" ref="A44:A45" si="34">E10-$I$2</f>
        <v>-6</v>
      </c>
      <c r="B44" s="6">
        <f t="shared" ref="B44:B45" si="35">F10-$I$3</f>
        <v>4</v>
      </c>
      <c r="C44" s="6">
        <f t="shared" ref="C44:C45" si="36">A44*COS($B$27)+B44*SIN($B$27)</f>
        <v>-6.0767490230988166</v>
      </c>
      <c r="D44" s="6">
        <f t="shared" ref="D44:D45" si="37">-1*A44*SIN($B$27)+B44*COS($B$27)</f>
        <v>3.8824117904039461</v>
      </c>
      <c r="AD44" t="s">
        <v>8</v>
      </c>
      <c r="AE44" t="s">
        <v>9</v>
      </c>
      <c r="AS44">
        <v>0.73303828583761899</v>
      </c>
      <c r="AT44">
        <v>-13.335669798876063</v>
      </c>
      <c r="AU44">
        <v>549.20376504091121</v>
      </c>
      <c r="AV44" s="6">
        <f t="shared" si="0"/>
        <v>1.5950733813955409</v>
      </c>
      <c r="AW44" s="6">
        <f t="shared" si="1"/>
        <v>0.8620350955579219</v>
      </c>
      <c r="AX44" s="6">
        <f t="shared" si="2"/>
        <v>-1.5950733813955407</v>
      </c>
      <c r="AY44" s="6">
        <f t="shared" si="3"/>
        <v>1.5950733813955407</v>
      </c>
      <c r="BE44" s="39"/>
      <c r="BF44" s="39"/>
      <c r="BG44" s="6">
        <f t="shared" si="12"/>
        <v>0.50614548307835583</v>
      </c>
      <c r="BH44" s="9">
        <f t="shared" ca="1" si="13"/>
        <v>62.021250393521029</v>
      </c>
      <c r="BI44" s="9">
        <f t="shared" ca="1" si="14"/>
        <v>389.18391800893824</v>
      </c>
      <c r="BJ44">
        <f t="shared" ca="1" si="15"/>
        <v>394.09485855205446</v>
      </c>
      <c r="BK44" s="6">
        <f t="shared" ca="1" si="16"/>
        <v>0.15737645150051832</v>
      </c>
      <c r="BL44" s="6">
        <f t="shared" ca="1" si="17"/>
        <v>0.98753868405906253</v>
      </c>
      <c r="BM44" s="6">
        <f t="shared" ca="1" si="18"/>
        <v>1.4127628934868042</v>
      </c>
      <c r="BN44" s="6">
        <f t="shared" ca="1" si="19"/>
        <v>2.1378954447546512</v>
      </c>
      <c r="BO44" s="9">
        <f t="shared" ca="1" si="20"/>
        <v>-4.8945062043270013</v>
      </c>
      <c r="BP44" s="9">
        <f t="shared" ca="1" si="21"/>
        <v>537.10295890944462</v>
      </c>
      <c r="BQ44">
        <f t="shared" ca="1" si="22"/>
        <v>537.12525974884545</v>
      </c>
      <c r="BR44">
        <f t="shared" ca="1" si="23"/>
        <v>-9.1124111471049141E-3</v>
      </c>
      <c r="BS44">
        <f t="shared" ca="1" si="24"/>
        <v>0.99995848111963448</v>
      </c>
      <c r="BT44">
        <f t="shared" ca="1" si="25"/>
        <v>1.5799088640564654</v>
      </c>
      <c r="BU44" s="39">
        <f t="shared" ca="1" si="26"/>
        <v>1.5799088640564654</v>
      </c>
    </row>
    <row r="45" spans="1:73" x14ac:dyDescent="0.25">
      <c r="A45" s="3">
        <f t="shared" si="34"/>
        <v>-6</v>
      </c>
      <c r="B45" s="6">
        <f t="shared" si="35"/>
        <v>-12</v>
      </c>
      <c r="C45" s="6">
        <f t="shared" si="36"/>
        <v>-5.7652027615690962</v>
      </c>
      <c r="D45" s="6">
        <f t="shared" si="37"/>
        <v>-12.114554763506417</v>
      </c>
      <c r="AD45" s="39">
        <f>U13+PI()/3</f>
        <v>1.0471975511965976</v>
      </c>
      <c r="AE45">
        <v>0</v>
      </c>
      <c r="AS45">
        <v>0.75049157835756231</v>
      </c>
      <c r="AT45">
        <v>-13.855785544232457</v>
      </c>
      <c r="AU45">
        <v>549.77146649428096</v>
      </c>
      <c r="AV45" s="6">
        <f t="shared" si="0"/>
        <v>1.5959938022175288</v>
      </c>
      <c r="AW45" s="6">
        <f t="shared" si="1"/>
        <v>0.84550222385996654</v>
      </c>
      <c r="AX45" s="6">
        <f t="shared" si="2"/>
        <v>-1.5959938022175286</v>
      </c>
      <c r="AY45" s="6">
        <f t="shared" si="3"/>
        <v>1.5959938022175286</v>
      </c>
      <c r="BE45" s="39"/>
      <c r="BF45" s="39"/>
      <c r="BG45" s="6">
        <f t="shared" si="12"/>
        <v>0.52359877559829915</v>
      </c>
      <c r="BH45" s="9">
        <f t="shared" ca="1" si="13"/>
        <v>61.335488849494233</v>
      </c>
      <c r="BI45" s="9">
        <f t="shared" ca="1" si="14"/>
        <v>390.39612687237855</v>
      </c>
      <c r="BJ45">
        <f t="shared" ca="1" si="15"/>
        <v>395.18499221169913</v>
      </c>
      <c r="BK45" s="6">
        <f t="shared" ca="1" si="16"/>
        <v>0.15520702976654802</v>
      </c>
      <c r="BL45" s="6">
        <f t="shared" ca="1" si="17"/>
        <v>0.98788196557637697</v>
      </c>
      <c r="BM45" s="6">
        <f t="shared" ca="1" si="18"/>
        <v>1.4149593075642013</v>
      </c>
      <c r="BN45" s="6">
        <f t="shared" ca="1" si="19"/>
        <v>2.1400918588320481</v>
      </c>
      <c r="BO45" s="9">
        <f t="shared" ca="1" si="20"/>
        <v>-5.5802677483537977</v>
      </c>
      <c r="BP45" s="9">
        <f t="shared" ca="1" si="21"/>
        <v>538.31516777288493</v>
      </c>
      <c r="BQ45">
        <f t="shared" ca="1" si="22"/>
        <v>538.34409000423943</v>
      </c>
      <c r="BR45">
        <f t="shared" ca="1" si="23"/>
        <v>-1.0365615322924513E-2</v>
      </c>
      <c r="BS45">
        <f t="shared" ca="1" si="24"/>
        <v>0.99994627556633109</v>
      </c>
      <c r="BT45">
        <f t="shared" ca="1" si="25"/>
        <v>1.5811621277507479</v>
      </c>
      <c r="BU45" s="39">
        <f t="shared" ca="1" si="26"/>
        <v>1.5811621277507479</v>
      </c>
    </row>
    <row r="46" spans="1:73" x14ac:dyDescent="0.25">
      <c r="AD46" s="39">
        <f>U13-PI()/3</f>
        <v>-1.0471975511965976</v>
      </c>
      <c r="AE46">
        <f>AE45</f>
        <v>0</v>
      </c>
      <c r="AS46">
        <v>0.76794487087750563</v>
      </c>
      <c r="AT46">
        <v>-14.356787732626628</v>
      </c>
      <c r="AU46">
        <v>550.29949750780384</v>
      </c>
      <c r="AV46" s="6">
        <f t="shared" si="0"/>
        <v>1.5968794540151805</v>
      </c>
      <c r="AW46" s="6">
        <f t="shared" si="1"/>
        <v>0.82893458313767487</v>
      </c>
      <c r="AX46" s="6">
        <f t="shared" si="2"/>
        <v>-1.5968794540151803</v>
      </c>
      <c r="AY46" s="6">
        <f t="shared" si="3"/>
        <v>1.5968794540151803</v>
      </c>
      <c r="BE46" s="39"/>
      <c r="BF46" s="39"/>
      <c r="BG46" s="6">
        <f t="shared" si="12"/>
        <v>0.54105206811824247</v>
      </c>
      <c r="BH46" s="9">
        <f t="shared" ca="1" si="13"/>
        <v>60.649728710118197</v>
      </c>
      <c r="BI46" s="9">
        <f t="shared" ca="1" si="14"/>
        <v>391.5604289720502</v>
      </c>
      <c r="BJ46">
        <f t="shared" ca="1" si="15"/>
        <v>396.22967976842284</v>
      </c>
      <c r="BK46" s="6">
        <f t="shared" ca="1" si="16"/>
        <v>0.15306710175160287</v>
      </c>
      <c r="BL46" s="6">
        <f t="shared" ca="1" si="17"/>
        <v>0.98821579746600108</v>
      </c>
      <c r="BM46" s="6">
        <f t="shared" ca="1" si="18"/>
        <v>1.4171251186070353</v>
      </c>
      <c r="BN46" s="6">
        <f t="shared" ca="1" si="19"/>
        <v>2.1422576698748825</v>
      </c>
      <c r="BO46" s="9">
        <f t="shared" ca="1" si="20"/>
        <v>-6.2660278877298339</v>
      </c>
      <c r="BP46" s="9">
        <f t="shared" ca="1" si="21"/>
        <v>539.47946987255659</v>
      </c>
      <c r="BQ46">
        <f t="shared" ca="1" si="22"/>
        <v>539.51585845039301</v>
      </c>
      <c r="BR46">
        <f t="shared" ca="1" si="23"/>
        <v>-1.1614168127934608E-2</v>
      </c>
      <c r="BS46">
        <f t="shared" ca="1" si="24"/>
        <v>0.99993255327481767</v>
      </c>
      <c r="BT46">
        <f t="shared" ca="1" si="25"/>
        <v>1.582410756042411</v>
      </c>
      <c r="BU46" s="39">
        <f t="shared" ca="1" si="26"/>
        <v>1.582410756042411</v>
      </c>
    </row>
    <row r="47" spans="1:73" x14ac:dyDescent="0.25">
      <c r="A47" t="s">
        <v>27</v>
      </c>
      <c r="AS47">
        <v>0.78539816339744895</v>
      </c>
      <c r="AT47">
        <v>-14.840000000224871</v>
      </c>
      <c r="AU47">
        <v>550.79129411696056</v>
      </c>
      <c r="AV47" s="6">
        <f t="shared" si="0"/>
        <v>1.5977328648213796</v>
      </c>
      <c r="AW47" s="6">
        <f t="shared" si="1"/>
        <v>0.81233470142393061</v>
      </c>
      <c r="AX47" s="6">
        <f t="shared" si="2"/>
        <v>-1.5977328648213793</v>
      </c>
      <c r="AY47" s="6">
        <f t="shared" si="3"/>
        <v>1.5977328648213793</v>
      </c>
      <c r="BE47" s="39"/>
      <c r="BF47" s="39"/>
      <c r="BG47" s="6">
        <f t="shared" si="12"/>
        <v>0.55850536063818579</v>
      </c>
      <c r="BH47" s="9">
        <f t="shared" ca="1" si="13"/>
        <v>59.963141496423589</v>
      </c>
      <c r="BI47" s="9">
        <f t="shared" ca="1" si="14"/>
        <v>392.68093507894525</v>
      </c>
      <c r="BJ47">
        <f t="shared" ca="1" si="15"/>
        <v>397.23279712606171</v>
      </c>
      <c r="BK47" s="6">
        <f t="shared" ca="1" si="16"/>
        <v>0.15095214174219937</v>
      </c>
      <c r="BL47" s="6">
        <f t="shared" ca="1" si="17"/>
        <v>0.9885410719355282</v>
      </c>
      <c r="BM47" s="6">
        <f t="shared" ca="1" si="18"/>
        <v>1.4192649459526561</v>
      </c>
      <c r="BN47" s="6">
        <f t="shared" ca="1" si="19"/>
        <v>2.1443974972205031</v>
      </c>
      <c r="BO47" s="9">
        <f t="shared" ca="1" si="20"/>
        <v>-6.9526151014244419</v>
      </c>
      <c r="BP47" s="9">
        <f t="shared" ca="1" si="21"/>
        <v>540.59997597945164</v>
      </c>
      <c r="BQ47">
        <f t="shared" ca="1" si="22"/>
        <v>540.64468265741061</v>
      </c>
      <c r="BR47">
        <f t="shared" ca="1" si="23"/>
        <v>-1.2859860319444026E-2</v>
      </c>
      <c r="BS47">
        <f t="shared" ca="1" si="24"/>
        <v>0.99991730857734651</v>
      </c>
      <c r="BT47">
        <f t="shared" ca="1" si="25"/>
        <v>1.5836565415927804</v>
      </c>
      <c r="BU47" s="39">
        <f t="shared" ca="1" si="26"/>
        <v>1.5836565415927804</v>
      </c>
    </row>
    <row r="48" spans="1:73" x14ac:dyDescent="0.25">
      <c r="B48" s="1" t="s">
        <v>28</v>
      </c>
      <c r="C48" s="1" t="s">
        <v>29</v>
      </c>
      <c r="D48" s="1" t="s">
        <v>30</v>
      </c>
      <c r="E48" s="1" t="s">
        <v>31</v>
      </c>
      <c r="F48" s="1" t="s">
        <v>32</v>
      </c>
      <c r="G48" s="1" t="s">
        <v>33</v>
      </c>
      <c r="H48" s="1" t="s">
        <v>34</v>
      </c>
      <c r="I48" s="1" t="s">
        <v>35</v>
      </c>
      <c r="J48" s="1" t="s">
        <v>36</v>
      </c>
      <c r="K48" s="1" t="s">
        <v>37</v>
      </c>
      <c r="L48" s="1" t="s">
        <v>38</v>
      </c>
      <c r="M48" s="1" t="s">
        <v>39</v>
      </c>
      <c r="N48" s="1" t="s">
        <v>40</v>
      </c>
      <c r="O48" s="1" t="s">
        <v>41</v>
      </c>
      <c r="P48" s="1" t="s">
        <v>42</v>
      </c>
      <c r="AS48">
        <v>0.80285145591739226</v>
      </c>
      <c r="AT48">
        <v>-15.306632662620382</v>
      </c>
      <c r="AU48">
        <v>551.24992141109624</v>
      </c>
      <c r="AV48" s="6">
        <f t="shared" si="0"/>
        <v>1.598556331851215</v>
      </c>
      <c r="AW48" s="6">
        <f t="shared" si="1"/>
        <v>0.79570487593382278</v>
      </c>
      <c r="AX48" s="6">
        <f t="shared" si="2"/>
        <v>-1.5985563318512148</v>
      </c>
      <c r="AY48" s="6">
        <f t="shared" si="3"/>
        <v>1.5985563318512148</v>
      </c>
      <c r="BE48" s="39"/>
      <c r="BF48" s="39"/>
      <c r="BG48" s="6">
        <f t="shared" si="12"/>
        <v>0.57595865315812911</v>
      </c>
      <c r="BH48" s="9">
        <f t="shared" ca="1" si="13"/>
        <v>59.274909758991768</v>
      </c>
      <c r="BI48" s="9">
        <f t="shared" ca="1" si="14"/>
        <v>393.76132718725944</v>
      </c>
      <c r="BJ48">
        <f t="shared" ca="1" si="15"/>
        <v>398.19781229334825</v>
      </c>
      <c r="BK48" s="6">
        <f t="shared" ca="1" si="16"/>
        <v>0.14885794931320354</v>
      </c>
      <c r="BL48" s="6">
        <f t="shared" ca="1" si="17"/>
        <v>0.98885858995422982</v>
      </c>
      <c r="BM48" s="6">
        <f t="shared" ca="1" si="18"/>
        <v>1.421383072790035</v>
      </c>
      <c r="BN48" s="6">
        <f t="shared" ca="1" si="19"/>
        <v>2.1465156240578818</v>
      </c>
      <c r="BO48" s="9">
        <f t="shared" ca="1" si="20"/>
        <v>-7.6408468388562625</v>
      </c>
      <c r="BP48" s="9">
        <f t="shared" ca="1" si="21"/>
        <v>541.68036808776583</v>
      </c>
      <c r="BQ48">
        <f t="shared" ca="1" si="22"/>
        <v>541.73425561996009</v>
      </c>
      <c r="BR48">
        <f t="shared" ca="1" si="23"/>
        <v>-1.410441883560065E-2</v>
      </c>
      <c r="BS48">
        <f t="shared" ca="1" si="24"/>
        <v>0.99990052773728955</v>
      </c>
      <c r="BT48">
        <f t="shared" ca="1" si="25"/>
        <v>1.5849012133152578</v>
      </c>
      <c r="BU48" s="39">
        <f t="shared" ca="1" si="26"/>
        <v>1.5849012133152578</v>
      </c>
    </row>
    <row r="49" spans="1:73" x14ac:dyDescent="0.25">
      <c r="A49" t="s">
        <v>43</v>
      </c>
      <c r="B49" s="6">
        <f>C37</f>
        <v>-5.7652027615690962</v>
      </c>
      <c r="C49" s="6">
        <f>D37</f>
        <v>-12.114554763506417</v>
      </c>
      <c r="D49" s="6">
        <f t="shared" ref="D49:E56" si="38">C38</f>
        <v>6.2325221538636768</v>
      </c>
      <c r="E49" s="6">
        <f t="shared" si="38"/>
        <v>-11.880895067359129</v>
      </c>
      <c r="F49" s="6">
        <f t="shared" ref="F49:F54" si="39">IF(B49=D49,"V",(C49-E49)/(B49-D49))</f>
        <v>1.9475333681532415E-2</v>
      </c>
      <c r="G49" s="6">
        <f t="shared" ref="G49:G54" si="40">IF(F49="V",0,(-1*B49*F49)+C49)</f>
        <v>-12.002275515983166</v>
      </c>
      <c r="H49" s="6">
        <f>IF(AND(C49&lt;$G$41,E49&lt;$G$41),0,IF(AND(C49&lt;$G$41,E49&gt;$G$41),IF(F49="V",B49,($G$41-G49)/F49),B49))</f>
        <v>0</v>
      </c>
      <c r="I49" s="6">
        <f>IF(AND(C49&lt;$G$41,E49&lt;$G$41),0,IF(AND(C49&lt;$G$41,E49&gt;$G$41),$G$41,C49))</f>
        <v>0</v>
      </c>
      <c r="J49" s="6">
        <f>IF(AND(C49&lt;$G$41,E49&lt;$G$41),0,IF(E49&gt;=$G$41,D49,IF(F49="V",D49,($G$41-G49)/F49)))</f>
        <v>0</v>
      </c>
      <c r="K49" s="6">
        <f>IF(AND(C49&lt;$G$41,E49&lt;$G$41),0,IF(E49&gt;=$G$41,E49,$G$41))</f>
        <v>0</v>
      </c>
      <c r="L49" s="6">
        <f>IF(AND(I49=0,K49=0,H49=0,J49=0),0,$B$31)</f>
        <v>0</v>
      </c>
      <c r="M49" s="6">
        <f>IF(AND(I49=0,K49=0,H49=0,J49=0),0,$B$31)</f>
        <v>0</v>
      </c>
      <c r="N49" s="10">
        <f>(1/6)*(K49-I49)*((L49*((2*H49)+J49))+(M49*(H49+(2*J49))))</f>
        <v>0</v>
      </c>
      <c r="O49" s="10">
        <f>((1/12)*(K49-I49)*(L49*H49*((3*I49)+K49)+L49*J49*(I49+K49)+M49*H49*(I49+K49)+M49*J49*(I49+(3*K49))))</f>
        <v>0</v>
      </c>
      <c r="P49" s="10">
        <f>((-1/24)*(K49-I49)*(H49*H49*((3*L49)+M49)+2*H49*J49*(L49+M49)+J49*J49*(L49+(3*M49))))</f>
        <v>0</v>
      </c>
      <c r="S49" t="e">
        <f>IF(AND(I49=0,K49=0,H49=0,J49=0),NA(),H49)</f>
        <v>#N/A</v>
      </c>
      <c r="T49" t="e">
        <f>IF(AND(I49=0,K49=0,H49=0,J49=0),NA(),I49)</f>
        <v>#N/A</v>
      </c>
      <c r="V49" t="e">
        <f>IF(AND(I49=0,K49=0,H49=0,J49=0),NA(),J49)</f>
        <v>#N/A</v>
      </c>
      <c r="W49" t="e">
        <f>IF(AND(I49=0,K49=0,H49=0,J49=0),NA(),K49)</f>
        <v>#N/A</v>
      </c>
      <c r="AS49">
        <v>0.82030474843733558</v>
      </c>
      <c r="AT49">
        <v>-15.757794828528313</v>
      </c>
      <c r="AU49">
        <v>551.6781202937002</v>
      </c>
      <c r="AV49" s="6">
        <f t="shared" si="0"/>
        <v>1.5993519481328695</v>
      </c>
      <c r="AW49" s="6">
        <f t="shared" si="1"/>
        <v>0.77904719969553393</v>
      </c>
      <c r="AX49" s="6">
        <f t="shared" si="2"/>
        <v>-1.5993519481328693</v>
      </c>
      <c r="AY49" s="6">
        <f t="shared" si="3"/>
        <v>1.5993519481328693</v>
      </c>
      <c r="BE49" s="39"/>
      <c r="BF49" s="39"/>
      <c r="BG49" s="6">
        <f t="shared" si="12"/>
        <v>0.59341194567807243</v>
      </c>
      <c r="BH49" s="9">
        <f t="shared" ca="1" si="13"/>
        <v>58.584221570020659</v>
      </c>
      <c r="BI49" s="9">
        <f t="shared" ca="1" si="14"/>
        <v>394.80491651404509</v>
      </c>
      <c r="BJ49">
        <f t="shared" ca="1" si="15"/>
        <v>399.12784057320204</v>
      </c>
      <c r="BK49" s="6">
        <f t="shared" ca="1" si="16"/>
        <v>0.14678059412213823</v>
      </c>
      <c r="BL49" s="6">
        <f t="shared" ca="1" si="17"/>
        <v>0.98916907411683275</v>
      </c>
      <c r="BM49" s="6">
        <f t="shared" ca="1" si="18"/>
        <v>1.4234835028952935</v>
      </c>
      <c r="BN49" s="6">
        <f t="shared" ca="1" si="19"/>
        <v>2.1486160541631403</v>
      </c>
      <c r="BO49" s="9">
        <f t="shared" ca="1" si="20"/>
        <v>-8.3315350278273712</v>
      </c>
      <c r="BP49" s="9">
        <f t="shared" ca="1" si="21"/>
        <v>542.72395741455148</v>
      </c>
      <c r="BQ49">
        <f t="shared" ca="1" si="22"/>
        <v>542.7879037226528</v>
      </c>
      <c r="BR49">
        <f t="shared" ca="1" si="23"/>
        <v>-1.5349522291647306E-2</v>
      </c>
      <c r="BS49">
        <f t="shared" ca="1" si="24"/>
        <v>0.99988218914301008</v>
      </c>
      <c r="BT49">
        <f t="shared" ca="1" si="25"/>
        <v>1.5861464518950761</v>
      </c>
      <c r="BU49" s="39">
        <f t="shared" ca="1" si="26"/>
        <v>1.5861464518950761</v>
      </c>
    </row>
    <row r="50" spans="1:73" x14ac:dyDescent="0.25">
      <c r="A50" t="s">
        <v>44</v>
      </c>
      <c r="B50" s="6">
        <f t="shared" ref="B50:C54" si="41">D49</f>
        <v>6.2325221538636768</v>
      </c>
      <c r="C50" s="6">
        <f t="shared" si="41"/>
        <v>-11.880895067359129</v>
      </c>
      <c r="D50" s="6">
        <f t="shared" si="38"/>
        <v>5.9209758923339564</v>
      </c>
      <c r="E50" s="6">
        <f t="shared" si="38"/>
        <v>4.1160714865512364</v>
      </c>
      <c r="F50" s="6">
        <f t="shared" si="39"/>
        <v>-51.347002128556468</v>
      </c>
      <c r="G50" s="6">
        <f t="shared" si="40"/>
        <v>308.14043323335443</v>
      </c>
      <c r="H50" s="6">
        <f t="shared" ref="H50:H54" si="42">IF(AND(C50&lt;$G$41,E50&lt;$G$41),0,IF(AND(C50&lt;$G$41,E50&gt;$G$41),IF(F50="V",B50,($G$41-G50)/F50),B50))</f>
        <v>0</v>
      </c>
      <c r="I50" s="6">
        <f t="shared" ref="I50:I54" si="43">IF(AND(C50&lt;$G$41,E50&lt;$G$41),0,IF(AND(C50&lt;$G$41,E50&gt;$G$41),$G$41,C50))</f>
        <v>0</v>
      </c>
      <c r="J50" s="6">
        <f t="shared" ref="J50:J54" si="44">IF(AND(C50&lt;$G$41,E50&lt;$G$41),0,IF(E50&gt;=$G$41,D50,IF(F50="V",D50,($G$41-G50)/F50)))</f>
        <v>0</v>
      </c>
      <c r="K50" s="6">
        <f t="shared" ref="K50:K54" si="45">IF(AND(C50&lt;$G$41,E50&lt;$G$41),0,IF(E50&gt;=$G$41,E50,$G$41))</f>
        <v>0</v>
      </c>
      <c r="L50" s="6">
        <f t="shared" ref="L50:L54" si="46">IF(AND(I50=0,K50=0,H50=0,J50=0),0,$B$31)</f>
        <v>0</v>
      </c>
      <c r="M50" s="6">
        <f t="shared" ref="M50:M54" si="47">IF(AND(I50=0,K50=0,H50=0,J50=0),0,$B$31)</f>
        <v>0</v>
      </c>
      <c r="N50" s="10">
        <f t="shared" ref="N50:N54" si="48">(1/6)*(K50-I50)*((L50*((2*H50)+J50))+(M50*(H50+(2*J50))))</f>
        <v>0</v>
      </c>
      <c r="O50" s="10">
        <f t="shared" ref="O50:O54" si="49">((1/12)*(K50-I50)*(L50*H50*((3*I50)+K50)+L50*J50*(I50+K50)+M50*H50*(I50+K50)+M50*J50*(I50+(3*K50))))</f>
        <v>0</v>
      </c>
      <c r="P50" s="10">
        <f t="shared" ref="P50:P54" si="50">((-1/24)*(K50-I50)*(H50*H50*((3*L50)+M50)+2*H50*J50*(L50+M50)+J50*J50*(L50+(3*M50))))</f>
        <v>0</v>
      </c>
      <c r="S50" t="e">
        <f t="shared" ref="S50:S55" si="51">IF(AND(I50=0,K50=0,H50=0,J50=0),NA(),H50)</f>
        <v>#N/A</v>
      </c>
      <c r="T50" t="e">
        <f t="shared" ref="T50:T55" si="52">IF(AND(I50=0,K50=0,H50=0,J50=0),NA(),I50)</f>
        <v>#N/A</v>
      </c>
      <c r="V50" t="e">
        <f t="shared" ref="V50:V55" si="53">IF(AND(I50=0,K50=0,H50=0,J50=0),NA(),J50)</f>
        <v>#N/A</v>
      </c>
      <c r="W50" t="e">
        <f t="shared" ref="W50:W55" si="54">IF(AND(I50=0,K50=0,H50=0,J50=0),NA(),K50)</f>
        <v>#N/A</v>
      </c>
      <c r="AS50">
        <v>0.8377580409572789</v>
      </c>
      <c r="AT50">
        <v>-16.194504996896171</v>
      </c>
      <c r="AU50">
        <v>552.07834750732366</v>
      </c>
      <c r="AV50" s="6">
        <f t="shared" si="0"/>
        <v>1.6001216255030046</v>
      </c>
      <c r="AW50" s="6">
        <f t="shared" si="1"/>
        <v>0.76236358454572573</v>
      </c>
      <c r="AX50" s="6">
        <f t="shared" si="2"/>
        <v>-1.6001216255030044</v>
      </c>
      <c r="AY50" s="6">
        <f t="shared" si="3"/>
        <v>1.6001216255030044</v>
      </c>
      <c r="BE50" s="39"/>
      <c r="BF50" s="39"/>
      <c r="BG50" s="6">
        <f t="shared" si="12"/>
        <v>0.61086523819801575</v>
      </c>
      <c r="BH50" s="9">
        <f t="shared" ca="1" si="13"/>
        <v>57.89026530629566</v>
      </c>
      <c r="BI50" s="9">
        <f t="shared" ca="1" si="14"/>
        <v>395.81469238922307</v>
      </c>
      <c r="BJ50">
        <f t="shared" ca="1" si="15"/>
        <v>400.0256910854709</v>
      </c>
      <c r="BK50" s="6">
        <f t="shared" ca="1" si="16"/>
        <v>0.14471636846426103</v>
      </c>
      <c r="BL50" s="6">
        <f t="shared" ca="1" si="17"/>
        <v>0.98947317937300161</v>
      </c>
      <c r="BM50" s="6">
        <f t="shared" ca="1" si="18"/>
        <v>1.4255700093421773</v>
      </c>
      <c r="BN50" s="6">
        <f t="shared" ca="1" si="19"/>
        <v>2.1507025606100241</v>
      </c>
      <c r="BO50" s="9">
        <f t="shared" ca="1" si="20"/>
        <v>-9.0254912915523704</v>
      </c>
      <c r="BP50" s="9">
        <f t="shared" ca="1" si="21"/>
        <v>543.73373328972946</v>
      </c>
      <c r="BQ50">
        <f t="shared" ca="1" si="22"/>
        <v>543.8086356525065</v>
      </c>
      <c r="BR50">
        <f t="shared" ca="1" si="23"/>
        <v>-1.6596814945247864E-2</v>
      </c>
      <c r="BS50">
        <f t="shared" ca="1" si="24"/>
        <v>0.99986226338114848</v>
      </c>
      <c r="BT50">
        <f t="shared" ca="1" si="25"/>
        <v>1.5873939037785201</v>
      </c>
      <c r="BU50" s="39">
        <f t="shared" ca="1" si="26"/>
        <v>1.5873939037785201</v>
      </c>
    </row>
    <row r="51" spans="1:73" x14ac:dyDescent="0.25">
      <c r="A51" t="s">
        <v>45</v>
      </c>
      <c r="B51" s="6">
        <f t="shared" si="41"/>
        <v>5.9209758923339564</v>
      </c>
      <c r="C51" s="6">
        <f t="shared" si="41"/>
        <v>4.1160714865512364</v>
      </c>
      <c r="D51" s="6">
        <f t="shared" si="38"/>
        <v>29.916425723199506</v>
      </c>
      <c r="E51" s="6">
        <f t="shared" si="38"/>
        <v>4.5833908788458162</v>
      </c>
      <c r="F51" s="6">
        <f t="shared" si="39"/>
        <v>1.9475333681532526E-2</v>
      </c>
      <c r="G51" s="6">
        <f t="shared" si="40"/>
        <v>4.000758505327723</v>
      </c>
      <c r="H51" s="6">
        <f t="shared" si="42"/>
        <v>0</v>
      </c>
      <c r="I51" s="6">
        <f t="shared" si="43"/>
        <v>0</v>
      </c>
      <c r="J51" s="6">
        <f t="shared" si="44"/>
        <v>0</v>
      </c>
      <c r="K51" s="6">
        <f t="shared" si="45"/>
        <v>0</v>
      </c>
      <c r="L51" s="6">
        <f t="shared" si="46"/>
        <v>0</v>
      </c>
      <c r="M51" s="6">
        <f t="shared" si="47"/>
        <v>0</v>
      </c>
      <c r="N51" s="10">
        <f t="shared" si="48"/>
        <v>0</v>
      </c>
      <c r="O51" s="10">
        <f t="shared" si="49"/>
        <v>0</v>
      </c>
      <c r="P51" s="10">
        <f t="shared" si="50"/>
        <v>0</v>
      </c>
      <c r="S51" t="e">
        <f t="shared" si="51"/>
        <v>#N/A</v>
      </c>
      <c r="T51" t="e">
        <f t="shared" si="52"/>
        <v>#N/A</v>
      </c>
      <c r="V51" t="e">
        <f t="shared" si="53"/>
        <v>#N/A</v>
      </c>
      <c r="W51" t="e">
        <f t="shared" si="54"/>
        <v>#N/A</v>
      </c>
      <c r="AS51">
        <v>0.85521133347722222</v>
      </c>
      <c r="AT51">
        <v>-16.617700365789176</v>
      </c>
      <c r="AU51">
        <v>552.45280997607949</v>
      </c>
      <c r="AV51" s="6">
        <f t="shared" si="0"/>
        <v>1.6008671145605824</v>
      </c>
      <c r="AW51" s="6">
        <f t="shared" si="1"/>
        <v>0.74565578108336017</v>
      </c>
      <c r="AX51" s="6">
        <f t="shared" si="2"/>
        <v>-1.6008671145605822</v>
      </c>
      <c r="AY51" s="6">
        <f t="shared" si="3"/>
        <v>1.6008671145605822</v>
      </c>
      <c r="BE51" s="39"/>
      <c r="BF51" s="39"/>
      <c r="BG51" s="6">
        <f t="shared" si="12"/>
        <v>0.62831853071795907</v>
      </c>
      <c r="BH51" s="9">
        <f t="shared" ca="1" si="13"/>
        <v>57.194550715766141</v>
      </c>
      <c r="BI51" s="9">
        <f t="shared" ca="1" si="14"/>
        <v>396.79014831684594</v>
      </c>
      <c r="BJ51">
        <f t="shared" ca="1" si="15"/>
        <v>400.89105556607637</v>
      </c>
      <c r="BK51" s="6">
        <f t="shared" ca="1" si="16"/>
        <v>0.14266856274706563</v>
      </c>
      <c r="BL51" s="6">
        <f t="shared" ca="1" si="17"/>
        <v>0.98977051946584405</v>
      </c>
      <c r="BM51" s="6">
        <f t="shared" ca="1" si="18"/>
        <v>1.4276392896310925</v>
      </c>
      <c r="BN51" s="6">
        <f t="shared" ca="1" si="19"/>
        <v>2.1527718408989394</v>
      </c>
      <c r="BO51" s="9">
        <f t="shared" ca="1" si="20"/>
        <v>-9.7212058820818896</v>
      </c>
      <c r="BP51" s="9">
        <f t="shared" ca="1" si="21"/>
        <v>544.70918921735233</v>
      </c>
      <c r="BQ51">
        <f t="shared" ca="1" si="22"/>
        <v>544.79592753766724</v>
      </c>
      <c r="BR51">
        <f t="shared" ca="1" si="23"/>
        <v>-1.784375651635128E-2</v>
      </c>
      <c r="BS51">
        <f t="shared" ca="1" si="24"/>
        <v>0.99984078750238292</v>
      </c>
      <c r="BT51">
        <f t="shared" ca="1" si="25"/>
        <v>1.5886410303545744</v>
      </c>
      <c r="BU51" s="39">
        <f t="shared" ca="1" si="26"/>
        <v>1.5886410303545744</v>
      </c>
    </row>
    <row r="52" spans="1:73" x14ac:dyDescent="0.25">
      <c r="A52" t="s">
        <v>46</v>
      </c>
      <c r="B52" s="6">
        <f t="shared" si="41"/>
        <v>29.916425723199506</v>
      </c>
      <c r="C52" s="6">
        <f t="shared" si="41"/>
        <v>4.5833908788458162</v>
      </c>
      <c r="D52" s="6">
        <f t="shared" si="38"/>
        <v>29.760652592434646</v>
      </c>
      <c r="E52" s="6">
        <f t="shared" si="38"/>
        <v>12.581874155800998</v>
      </c>
      <c r="F52" s="6">
        <f t="shared" si="39"/>
        <v>-51.347002128556461</v>
      </c>
      <c r="G52" s="6">
        <f t="shared" si="40"/>
        <v>1540.7021661667723</v>
      </c>
      <c r="H52" s="6">
        <f t="shared" si="42"/>
        <v>29.783788916168739</v>
      </c>
      <c r="I52" s="6">
        <f t="shared" si="43"/>
        <v>11.393893291779671</v>
      </c>
      <c r="J52" s="6">
        <f t="shared" si="44"/>
        <v>29.760652592434646</v>
      </c>
      <c r="K52" s="6">
        <f t="shared" si="45"/>
        <v>12.581874155800998</v>
      </c>
      <c r="L52" s="6">
        <f t="shared" si="46"/>
        <v>4.25</v>
      </c>
      <c r="M52" s="6">
        <f t="shared" si="47"/>
        <v>4.25</v>
      </c>
      <c r="N52" s="10">
        <f t="shared" si="48"/>
        <v>150.31752127599827</v>
      </c>
      <c r="O52" s="10">
        <f t="shared" si="49"/>
        <v>1801.9774023630519</v>
      </c>
      <c r="P52" s="10">
        <f t="shared" si="50"/>
        <v>-2237.6433259439405</v>
      </c>
      <c r="S52">
        <f t="shared" si="51"/>
        <v>29.783788916168739</v>
      </c>
      <c r="T52">
        <f t="shared" si="52"/>
        <v>11.393893291779671</v>
      </c>
      <c r="V52">
        <f t="shared" si="53"/>
        <v>29.760652592434646</v>
      </c>
      <c r="W52">
        <f t="shared" si="54"/>
        <v>12.581874155800998</v>
      </c>
      <c r="AS52">
        <v>0.87266462599716554</v>
      </c>
      <c r="AT52">
        <v>-17.028245016175092</v>
      </c>
      <c r="AU52">
        <v>552.80349441799444</v>
      </c>
      <c r="AV52" s="6">
        <f t="shared" si="0"/>
        <v>1.6015900220118824</v>
      </c>
      <c r="AW52" s="6">
        <f t="shared" si="1"/>
        <v>0.72892539601471684</v>
      </c>
      <c r="AX52" s="6">
        <f t="shared" si="2"/>
        <v>-1.6015900220118822</v>
      </c>
      <c r="AY52" s="6">
        <f t="shared" si="3"/>
        <v>1.6015900220118822</v>
      </c>
      <c r="BE52" s="39"/>
      <c r="BF52" s="39"/>
      <c r="BG52" s="6">
        <f t="shared" si="12"/>
        <v>0.64577182323790239</v>
      </c>
      <c r="BH52" s="9">
        <f t="shared" ca="1" si="13"/>
        <v>56.523566172433235</v>
      </c>
      <c r="BI52" s="9">
        <f t="shared" ca="1" si="14"/>
        <v>397.69712710040335</v>
      </c>
      <c r="BJ52">
        <f t="shared" ca="1" si="15"/>
        <v>401.69381179794618</v>
      </c>
      <c r="BK52" s="6">
        <f t="shared" ca="1" si="16"/>
        <v>0.1407130618204914</v>
      </c>
      <c r="BL52" s="6">
        <f t="shared" ca="1" si="17"/>
        <v>0.99005042004592003</v>
      </c>
      <c r="BM52" s="6">
        <f t="shared" ca="1" si="18"/>
        <v>1.4296147210972725</v>
      </c>
      <c r="BN52" s="6">
        <f t="shared" ca="1" si="19"/>
        <v>2.1547472723651193</v>
      </c>
      <c r="BO52" s="9">
        <f t="shared" ca="1" si="20"/>
        <v>-10.392190425414796</v>
      </c>
      <c r="BP52" s="9">
        <f t="shared" ca="1" si="21"/>
        <v>545.61616800090974</v>
      </c>
      <c r="BQ52">
        <f t="shared" ca="1" si="22"/>
        <v>545.71512752152569</v>
      </c>
      <c r="BR52">
        <f t="shared" ca="1" si="23"/>
        <v>-1.9043251508553568E-2</v>
      </c>
      <c r="BS52">
        <f t="shared" ca="1" si="24"/>
        <v>0.99981866084404625</v>
      </c>
      <c r="BT52">
        <f t="shared" ca="1" si="25"/>
        <v>1.5898407294826704</v>
      </c>
      <c r="BU52" s="39">
        <f t="shared" ca="1" si="26"/>
        <v>1.5898407294826704</v>
      </c>
    </row>
    <row r="53" spans="1:73" x14ac:dyDescent="0.25">
      <c r="A53" t="s">
        <v>47</v>
      </c>
      <c r="B53" s="6">
        <f t="shared" si="41"/>
        <v>29.760652592434646</v>
      </c>
      <c r="C53" s="6">
        <f t="shared" si="41"/>
        <v>12.581874155800998</v>
      </c>
      <c r="D53" s="6">
        <f t="shared" si="38"/>
        <v>-30.227971984729223</v>
      </c>
      <c r="E53" s="6">
        <f t="shared" si="38"/>
        <v>11.413575675064548</v>
      </c>
      <c r="F53" s="6">
        <f t="shared" si="39"/>
        <v>1.9475333681532533E-2</v>
      </c>
      <c r="G53" s="6">
        <f t="shared" si="40"/>
        <v>12.002275515983166</v>
      </c>
      <c r="H53" s="6">
        <f t="shared" si="42"/>
        <v>29.760652592434646</v>
      </c>
      <c r="I53" s="6">
        <f t="shared" si="43"/>
        <v>12.581874155800998</v>
      </c>
      <c r="J53" s="6">
        <f t="shared" si="44"/>
        <v>-30.227971984729223</v>
      </c>
      <c r="K53" s="6">
        <f t="shared" si="45"/>
        <v>11.413575675064548</v>
      </c>
      <c r="L53" s="6">
        <f t="shared" si="46"/>
        <v>4.25</v>
      </c>
      <c r="M53" s="6">
        <f t="shared" si="47"/>
        <v>4.25</v>
      </c>
      <c r="N53" s="10">
        <f t="shared" si="48"/>
        <v>1.1601831390774227</v>
      </c>
      <c r="O53" s="10">
        <f t="shared" si="49"/>
        <v>-15.079521333689071</v>
      </c>
      <c r="P53" s="10">
        <f t="shared" si="50"/>
        <v>744.64344211462105</v>
      </c>
      <c r="S53">
        <f t="shared" si="51"/>
        <v>29.760652592434646</v>
      </c>
      <c r="T53">
        <f t="shared" si="52"/>
        <v>12.581874155800998</v>
      </c>
      <c r="V53">
        <f t="shared" si="53"/>
        <v>-30.227971984729223</v>
      </c>
      <c r="W53">
        <f t="shared" si="54"/>
        <v>11.413575675064548</v>
      </c>
      <c r="AS53">
        <v>0.89011791851710886</v>
      </c>
      <c r="AT53">
        <v>-17.426937148233456</v>
      </c>
      <c r="AU53">
        <v>553.13219289176766</v>
      </c>
      <c r="AV53" s="6">
        <f t="shared" si="0"/>
        <v>1.6022918258430827</v>
      </c>
      <c r="AW53" s="6">
        <f t="shared" si="1"/>
        <v>0.71217390732597385</v>
      </c>
      <c r="AX53" s="6">
        <f t="shared" si="2"/>
        <v>-1.6022918258430825</v>
      </c>
      <c r="AY53" s="6">
        <f t="shared" si="3"/>
        <v>1.6022918258430825</v>
      </c>
      <c r="BE53" s="39"/>
      <c r="BF53" s="39"/>
      <c r="BG53" s="6">
        <f t="shared" si="12"/>
        <v>0.66322511575784571</v>
      </c>
      <c r="BH53" s="9">
        <f t="shared" ca="1" si="13"/>
        <v>55.882962795836114</v>
      </c>
      <c r="BI53" s="9">
        <f t="shared" ca="1" si="14"/>
        <v>398.53214926125247</v>
      </c>
      <c r="BJ53">
        <f t="shared" ca="1" si="15"/>
        <v>402.43108667899156</v>
      </c>
      <c r="BK53" s="6">
        <f t="shared" ca="1" si="16"/>
        <v>0.13886343437581514</v>
      </c>
      <c r="BL53" s="6">
        <f t="shared" ca="1" si="17"/>
        <v>0.99031154016973555</v>
      </c>
      <c r="BM53" s="6">
        <f t="shared" ca="1" si="18"/>
        <v>1.4314826896242467</v>
      </c>
      <c r="BN53" s="6">
        <f t="shared" ca="1" si="19"/>
        <v>2.1566152408920938</v>
      </c>
      <c r="BO53" s="9">
        <f t="shared" ca="1" si="20"/>
        <v>-11.032793802011916</v>
      </c>
      <c r="BP53" s="9">
        <f t="shared" ca="1" si="21"/>
        <v>546.45119016175886</v>
      </c>
      <c r="BQ53">
        <f t="shared" ca="1" si="22"/>
        <v>546.562554304885</v>
      </c>
      <c r="BR53">
        <f t="shared" ca="1" si="23"/>
        <v>-2.0185784253082172E-2</v>
      </c>
      <c r="BS53">
        <f t="shared" ca="1" si="24"/>
        <v>0.9997962462992589</v>
      </c>
      <c r="BT53">
        <f t="shared" ca="1" si="25"/>
        <v>1.5909834821358062</v>
      </c>
      <c r="BU53" s="39">
        <f t="shared" ca="1" si="26"/>
        <v>1.5909834821358062</v>
      </c>
    </row>
    <row r="54" spans="1:73" x14ac:dyDescent="0.25">
      <c r="A54" t="s">
        <v>48</v>
      </c>
      <c r="B54" s="6">
        <f t="shared" si="41"/>
        <v>-30.227971984729223</v>
      </c>
      <c r="C54" s="6">
        <f t="shared" si="41"/>
        <v>11.413575675064548</v>
      </c>
      <c r="D54" s="6">
        <f t="shared" si="38"/>
        <v>-30.072198853964363</v>
      </c>
      <c r="E54" s="6">
        <f t="shared" si="38"/>
        <v>3.4150923981093664</v>
      </c>
      <c r="F54" s="6">
        <f t="shared" si="39"/>
        <v>-51.347002128556461</v>
      </c>
      <c r="G54" s="6">
        <f t="shared" si="40"/>
        <v>-1540.702166166772</v>
      </c>
      <c r="H54" s="6">
        <f t="shared" si="42"/>
        <v>-30.227971984729223</v>
      </c>
      <c r="I54" s="6">
        <f t="shared" si="43"/>
        <v>11.413575675064548</v>
      </c>
      <c r="J54" s="6">
        <f t="shared" si="44"/>
        <v>-30.227588663747106</v>
      </c>
      <c r="K54" s="6">
        <f t="shared" si="45"/>
        <v>11.393893291779671</v>
      </c>
      <c r="L54" s="6">
        <f t="shared" si="46"/>
        <v>4.25</v>
      </c>
      <c r="M54" s="6">
        <f t="shared" si="47"/>
        <v>4.25</v>
      </c>
      <c r="N54" s="10">
        <f t="shared" si="48"/>
        <v>2.5285577223190749</v>
      </c>
      <c r="O54" s="10">
        <f t="shared" si="49"/>
        <v>28.835000943926026</v>
      </c>
      <c r="P54" s="10">
        <f t="shared" si="50"/>
        <v>38.216343684220632</v>
      </c>
      <c r="S54">
        <f t="shared" si="51"/>
        <v>-30.227971984729223</v>
      </c>
      <c r="T54">
        <f t="shared" si="52"/>
        <v>11.413575675064548</v>
      </c>
      <c r="V54">
        <f t="shared" si="53"/>
        <v>-30.227588663747106</v>
      </c>
      <c r="W54">
        <f t="shared" si="54"/>
        <v>11.393893291779671</v>
      </c>
      <c r="AS54">
        <v>0.90757121103705218</v>
      </c>
      <c r="AT54">
        <v>-17.814515479195336</v>
      </c>
      <c r="AU54">
        <v>553.44052495333881</v>
      </c>
      <c r="AV54" s="6">
        <f t="shared" si="0"/>
        <v>1.6029738886024001</v>
      </c>
      <c r="AW54" s="6">
        <f t="shared" si="1"/>
        <v>0.6954026775653479</v>
      </c>
      <c r="AX54" s="6">
        <f t="shared" si="2"/>
        <v>-1.6029738886023999</v>
      </c>
      <c r="AY54" s="6">
        <f t="shared" si="3"/>
        <v>1.6029738886023999</v>
      </c>
      <c r="BE54" s="39"/>
      <c r="BF54" s="39"/>
      <c r="BG54" s="6">
        <f t="shared" si="12"/>
        <v>0.68067840827778903</v>
      </c>
      <c r="BH54" s="9">
        <f t="shared" ca="1" si="13"/>
        <v>55.270357926691723</v>
      </c>
      <c r="BI54" s="9">
        <f t="shared" ca="1" si="14"/>
        <v>399.3024505039549</v>
      </c>
      <c r="BJ54">
        <f t="shared" ca="1" si="15"/>
        <v>403.10948815899627</v>
      </c>
      <c r="BK54" s="6">
        <f t="shared" ca="1" si="16"/>
        <v>0.13711003970437863</v>
      </c>
      <c r="BL54" s="6">
        <f t="shared" ca="1" si="17"/>
        <v>0.9905558222595352</v>
      </c>
      <c r="BM54" s="6">
        <f t="shared" ca="1" si="18"/>
        <v>1.4332530193765105</v>
      </c>
      <c r="BN54" s="6">
        <f t="shared" ca="1" si="19"/>
        <v>2.1583855706443575</v>
      </c>
      <c r="BO54" s="9">
        <f t="shared" ca="1" si="20"/>
        <v>-11.645398671156308</v>
      </c>
      <c r="BP54" s="9">
        <f t="shared" ca="1" si="21"/>
        <v>547.22149140446129</v>
      </c>
      <c r="BQ54">
        <f t="shared" ca="1" si="22"/>
        <v>547.34539000993971</v>
      </c>
      <c r="BR54">
        <f t="shared" ca="1" si="23"/>
        <v>-2.1276142786083991E-2</v>
      </c>
      <c r="BS54">
        <f t="shared" ca="1" si="24"/>
        <v>0.99977363725402679</v>
      </c>
      <c r="BT54">
        <f t="shared" ca="1" si="25"/>
        <v>1.5920740751017217</v>
      </c>
      <c r="BU54" s="39">
        <f t="shared" ca="1" si="26"/>
        <v>1.5920740751017217</v>
      </c>
    </row>
    <row r="55" spans="1:73" x14ac:dyDescent="0.25">
      <c r="A55" t="s">
        <v>93</v>
      </c>
      <c r="B55" s="6">
        <f>D54</f>
        <v>-30.072198853964363</v>
      </c>
      <c r="C55" s="6">
        <f>E54</f>
        <v>3.4150923981093664</v>
      </c>
      <c r="D55" s="6">
        <f t="shared" si="38"/>
        <v>-6.0767490230988166</v>
      </c>
      <c r="E55" s="6">
        <f t="shared" si="38"/>
        <v>3.8824117904039461</v>
      </c>
      <c r="F55" s="6">
        <f t="shared" ref="F55:F56" si="55">IF(B55=D55,"V",(C55-E55)/(B55-D55))</f>
        <v>1.9475333681532526E-2</v>
      </c>
      <c r="G55" s="6">
        <f t="shared" ref="G55:G56" si="56">IF(F55="V",0,(-1*B55*F55)+C55)</f>
        <v>4.0007585053277221</v>
      </c>
      <c r="H55" s="6">
        <f t="shared" ref="H55:H56" si="57">IF(AND(C55&lt;$G$41,E55&lt;$G$41),0,IF(AND(C55&lt;$G$41,E55&gt;$G$41),IF(F55="V",B55,($G$41-G55)/F55),B55))</f>
        <v>0</v>
      </c>
      <c r="I55" s="6">
        <f t="shared" ref="I55:I56" si="58">IF(AND(C55&lt;$G$41,E55&lt;$G$41),0,IF(AND(C55&lt;$G$41,E55&gt;$G$41),$G$41,C55))</f>
        <v>0</v>
      </c>
      <c r="J55" s="6">
        <f t="shared" ref="J55:J56" si="59">IF(AND(C55&lt;$G$41,E55&lt;$G$41),0,IF(E55&gt;=$G$41,D55,IF(F55="V",D55,($G$41-G55)/F55)))</f>
        <v>0</v>
      </c>
      <c r="K55" s="6">
        <f t="shared" ref="K55:K56" si="60">IF(AND(C55&lt;$G$41,E55&lt;$G$41),0,IF(E55&gt;=$G$41,E55,$G$41))</f>
        <v>0</v>
      </c>
      <c r="L55" s="6">
        <f t="shared" ref="L55:L56" si="61">IF(AND(I55=0,K55=0,H55=0,J55=0),0,$B$31)</f>
        <v>0</v>
      </c>
      <c r="M55" s="6">
        <f t="shared" ref="M55:M56" si="62">IF(AND(I55=0,K55=0,H55=0,J55=0),0,$B$31)</f>
        <v>0</v>
      </c>
      <c r="N55" s="10">
        <f t="shared" ref="N55:N56" si="63">(1/6)*(K55-I55)*((L55*((2*H55)+J55))+(M55*(H55+(2*J55))))</f>
        <v>0</v>
      </c>
      <c r="O55" s="10">
        <f t="shared" ref="O55:O56" si="64">((1/12)*(K55-I55)*(L55*H55*((3*I55)+K55)+L55*J55*(I55+K55)+M55*H55*(I55+K55)+M55*J55*(I55+(3*K55))))</f>
        <v>0</v>
      </c>
      <c r="P55" s="10">
        <f t="shared" ref="P55:P56" si="65">((-1/24)*(K55-I55)*(H55*H55*((3*L55)+M55)+2*H55*J55*(L55+M55)+J55*J55*(L55+(3*M55))))</f>
        <v>0</v>
      </c>
      <c r="S55" t="e">
        <f t="shared" si="51"/>
        <v>#N/A</v>
      </c>
      <c r="T55" t="e">
        <f t="shared" si="52"/>
        <v>#N/A</v>
      </c>
      <c r="V55" t="e">
        <f t="shared" si="53"/>
        <v>#N/A</v>
      </c>
      <c r="W55" t="e">
        <f t="shared" si="54"/>
        <v>#N/A</v>
      </c>
      <c r="AS55">
        <v>0.9250245035569955</v>
      </c>
      <c r="AT55">
        <v>-18.191664918686726</v>
      </c>
      <c r="AU55">
        <v>553.72995691368965</v>
      </c>
      <c r="AV55" s="6">
        <f t="shared" si="0"/>
        <v>1.6036374690727162</v>
      </c>
      <c r="AW55" s="6">
        <f t="shared" si="1"/>
        <v>0.6786129655157207</v>
      </c>
      <c r="AX55" s="6">
        <f t="shared" si="2"/>
        <v>-1.603637469072716</v>
      </c>
      <c r="AY55" s="6">
        <f t="shared" si="3"/>
        <v>1.603637469072716</v>
      </c>
      <c r="BE55" s="39"/>
      <c r="BF55" s="39"/>
      <c r="BG55" s="6">
        <f t="shared" si="12"/>
        <v>0.69813170079773235</v>
      </c>
      <c r="BH55" s="9">
        <f t="shared" ca="1" si="13"/>
        <v>54.683605457434489</v>
      </c>
      <c r="BI55" s="9">
        <f t="shared" ca="1" si="14"/>
        <v>400.01437216493673</v>
      </c>
      <c r="BJ55">
        <f t="shared" ca="1" si="15"/>
        <v>403.73480732323895</v>
      </c>
      <c r="BK55" s="6">
        <f t="shared" ca="1" si="16"/>
        <v>0.1354443671081686</v>
      </c>
      <c r="BL55" s="6">
        <f t="shared" ca="1" si="17"/>
        <v>0.9907849531652505</v>
      </c>
      <c r="BM55" s="6">
        <f t="shared" ca="1" si="18"/>
        <v>1.4349343780044352</v>
      </c>
      <c r="BN55" s="6">
        <f t="shared" ca="1" si="19"/>
        <v>2.1600669292722823</v>
      </c>
      <c r="BO55" s="9">
        <f t="shared" ca="1" si="20"/>
        <v>-12.232151140413542</v>
      </c>
      <c r="BP55" s="9">
        <f t="shared" ca="1" si="21"/>
        <v>547.93341306544312</v>
      </c>
      <c r="BQ55">
        <f t="shared" ca="1" si="22"/>
        <v>548.06993228516683</v>
      </c>
      <c r="BR55">
        <f t="shared" ca="1" si="23"/>
        <v>-2.231859552924538E-2</v>
      </c>
      <c r="BS55">
        <f t="shared" ca="1" si="24"/>
        <v>0.99975090912366882</v>
      </c>
      <c r="BT55">
        <f t="shared" ca="1" si="25"/>
        <v>1.593116775628306</v>
      </c>
      <c r="BU55" s="39">
        <f t="shared" ca="1" si="26"/>
        <v>1.593116775628306</v>
      </c>
    </row>
    <row r="56" spans="1:73" ht="15.75" thickBot="1" x14ac:dyDescent="0.3">
      <c r="A56" t="s">
        <v>94</v>
      </c>
      <c r="B56" s="6">
        <f>D55</f>
        <v>-6.0767490230988166</v>
      </c>
      <c r="C56" s="6">
        <f>E55</f>
        <v>3.8824117904039461</v>
      </c>
      <c r="D56" s="6">
        <f t="shared" si="38"/>
        <v>-5.7652027615690962</v>
      </c>
      <c r="E56" s="6">
        <f t="shared" si="38"/>
        <v>-12.114554763506417</v>
      </c>
      <c r="F56" s="6">
        <f t="shared" si="55"/>
        <v>-51.347002128556461</v>
      </c>
      <c r="G56" s="6">
        <f t="shared" si="56"/>
        <v>-308.14043323335443</v>
      </c>
      <c r="H56" s="6">
        <f t="shared" si="57"/>
        <v>0</v>
      </c>
      <c r="I56" s="6">
        <f t="shared" si="58"/>
        <v>0</v>
      </c>
      <c r="J56" s="6">
        <f t="shared" si="59"/>
        <v>0</v>
      </c>
      <c r="K56" s="6">
        <f t="shared" si="60"/>
        <v>0</v>
      </c>
      <c r="L56" s="6">
        <f t="shared" si="61"/>
        <v>0</v>
      </c>
      <c r="M56" s="6">
        <f t="shared" si="62"/>
        <v>0</v>
      </c>
      <c r="N56" s="11">
        <f t="shared" si="63"/>
        <v>0</v>
      </c>
      <c r="O56" s="11">
        <f t="shared" si="64"/>
        <v>0</v>
      </c>
      <c r="P56" s="11">
        <f t="shared" si="65"/>
        <v>0</v>
      </c>
      <c r="S56" t="e">
        <f t="shared" ref="S56" si="66">IF(AND(I56=0,K56=0,H56=0,J56=0),NA(),H56)</f>
        <v>#N/A</v>
      </c>
      <c r="T56" t="e">
        <f t="shared" ref="T56" si="67">IF(AND(I56=0,K56=0,H56=0,J56=0),NA(),I56)</f>
        <v>#N/A</v>
      </c>
      <c r="V56" t="e">
        <f t="shared" ref="V56" si="68">IF(AND(I56=0,K56=0,H56=0,J56=0),NA(),J56)</f>
        <v>#N/A</v>
      </c>
      <c r="W56" t="e">
        <f t="shared" ref="W56" si="69">IF(AND(I56=0,K56=0,H56=0,J56=0),NA(),K56)</f>
        <v>#N/A</v>
      </c>
      <c r="AS56">
        <v>0.94247779607693882</v>
      </c>
      <c r="AT56">
        <v>-18.559021619398926</v>
      </c>
      <c r="AU56">
        <v>554.00181861081433</v>
      </c>
      <c r="AV56" s="6">
        <f t="shared" si="0"/>
        <v>1.6042837325685531</v>
      </c>
      <c r="AW56" s="6">
        <f t="shared" si="1"/>
        <v>0.66180593649161423</v>
      </c>
      <c r="AX56" s="6">
        <f t="shared" si="2"/>
        <v>-1.6042837325685528</v>
      </c>
      <c r="AY56" s="6">
        <f t="shared" si="3"/>
        <v>1.6042837325685528</v>
      </c>
      <c r="BE56" s="39"/>
      <c r="BF56" s="39"/>
      <c r="BG56" s="6">
        <f t="shared" si="12"/>
        <v>0.71558499331767567</v>
      </c>
      <c r="BH56" s="9">
        <f t="shared" ca="1" si="13"/>
        <v>54.120766935402699</v>
      </c>
      <c r="BI56" s="9">
        <f t="shared" ca="1" si="14"/>
        <v>400.67349040329384</v>
      </c>
      <c r="BJ56">
        <f t="shared" ca="1" si="15"/>
        <v>404.31213601082339</v>
      </c>
      <c r="BK56" s="6">
        <f t="shared" ca="1" si="16"/>
        <v>0.13385887317009423</v>
      </c>
      <c r="BL56" s="6">
        <f t="shared" ca="1" si="17"/>
        <v>0.99100040467884409</v>
      </c>
      <c r="BM56" s="6">
        <f t="shared" ca="1" si="18"/>
        <v>1.4365344439182663</v>
      </c>
      <c r="BN56" s="6">
        <f t="shared" ca="1" si="19"/>
        <v>2.1616669951861134</v>
      </c>
      <c r="BO56" s="9">
        <f t="shared" ca="1" si="20"/>
        <v>-12.794989662445332</v>
      </c>
      <c r="BP56" s="9">
        <f t="shared" ca="1" si="21"/>
        <v>548.59253130380023</v>
      </c>
      <c r="BQ56">
        <f t="shared" ca="1" si="22"/>
        <v>548.74172172596207</v>
      </c>
      <c r="BR56">
        <f t="shared" ca="1" si="23"/>
        <v>-2.3316961615750923E-2</v>
      </c>
      <c r="BS56">
        <f t="shared" ca="1" si="24"/>
        <v>0.99972812269186939</v>
      </c>
      <c r="BT56">
        <f t="shared" ca="1" si="25"/>
        <v>1.5941154017580637</v>
      </c>
      <c r="BU56" s="39">
        <f t="shared" ca="1" si="26"/>
        <v>1.5941154017580637</v>
      </c>
    </row>
    <row r="57" spans="1:73" ht="15.75" thickTop="1" x14ac:dyDescent="0.25">
      <c r="N57" s="6">
        <f>SUM(N49:N56)</f>
        <v>154.00626213739477</v>
      </c>
      <c r="O57" s="6">
        <f t="shared" ref="O57:P57" si="70">SUM(O49:O56)</f>
        <v>1815.7328819732886</v>
      </c>
      <c r="P57" s="6">
        <f t="shared" si="70"/>
        <v>-1454.7835401450989</v>
      </c>
      <c r="AS57">
        <v>0.95993108859688214</v>
      </c>
      <c r="AT57">
        <v>-18.917177479800159</v>
      </c>
      <c r="AU57">
        <v>554.25731806267254</v>
      </c>
      <c r="AV57" s="6">
        <f t="shared" si="0"/>
        <v>1.6049137600407397</v>
      </c>
      <c r="AW57" s="6">
        <f t="shared" si="1"/>
        <v>0.64498267144385757</v>
      </c>
      <c r="AX57" s="6">
        <f t="shared" si="2"/>
        <v>-1.6049137600407395</v>
      </c>
      <c r="AY57" s="6">
        <f t="shared" si="3"/>
        <v>1.6049137600407395</v>
      </c>
      <c r="BE57" s="39"/>
      <c r="BF57" s="39"/>
      <c r="BG57" s="6">
        <f t="shared" si="12"/>
        <v>0.73303828583761899</v>
      </c>
      <c r="BH57" s="9">
        <f t="shared" ca="1" si="13"/>
        <v>53.580086798971969</v>
      </c>
      <c r="BI57" s="9">
        <f t="shared" ca="1" si="14"/>
        <v>401.28472414040482</v>
      </c>
      <c r="BJ57">
        <f t="shared" ca="1" si="15"/>
        <v>404.84596518901623</v>
      </c>
      <c r="BK57" s="6">
        <f t="shared" ca="1" si="16"/>
        <v>0.13234684647025263</v>
      </c>
      <c r="BL57" s="6">
        <f t="shared" ca="1" si="17"/>
        <v>0.99120346661489211</v>
      </c>
      <c r="BM57" s="6">
        <f t="shared" ca="1" si="18"/>
        <v>1.4380600452234333</v>
      </c>
      <c r="BN57" s="6">
        <f t="shared" ca="1" si="19"/>
        <v>2.1631925964912804</v>
      </c>
      <c r="BO57" s="9">
        <f t="shared" ca="1" si="20"/>
        <v>-13.335669798876062</v>
      </c>
      <c r="BP57" s="9">
        <f t="shared" ca="1" si="21"/>
        <v>549.20376504091121</v>
      </c>
      <c r="BQ57">
        <f t="shared" ca="1" si="22"/>
        <v>549.36564838374909</v>
      </c>
      <c r="BR57">
        <f t="shared" ca="1" si="23"/>
        <v>-2.42746699545376E-2</v>
      </c>
      <c r="BS57">
        <f t="shared" ca="1" si="24"/>
        <v>0.99970532678314683</v>
      </c>
      <c r="BT57">
        <f t="shared" ca="1" si="25"/>
        <v>1.5950733813955409</v>
      </c>
      <c r="BU57" s="39">
        <f t="shared" ca="1" si="26"/>
        <v>1.5950733813955409</v>
      </c>
    </row>
    <row r="58" spans="1:73" x14ac:dyDescent="0.25">
      <c r="O58" s="6">
        <f>O57/N57</f>
        <v>11.789993840337512</v>
      </c>
      <c r="P58" s="6">
        <f>-1*P57/N57</f>
        <v>9.4462622490456383</v>
      </c>
      <c r="S58">
        <f>(P58*COS(-1*$B$27))+(O58*SIN(-1*$B$27))+$I$2</f>
        <v>15.674041860116548</v>
      </c>
      <c r="T58">
        <f>(-1*P58*SIN(-1*$B$27))+(O58*COS(-1*$B$27))+$I$3</f>
        <v>23.603824340348055</v>
      </c>
      <c r="AS58">
        <v>0.97738438111682546</v>
      </c>
      <c r="AT58">
        <v>-19.266684171082726</v>
      </c>
      <c r="AU58">
        <v>554.49755429002846</v>
      </c>
      <c r="AV58" s="6">
        <f t="shared" si="0"/>
        <v>1.6055285561564012</v>
      </c>
      <c r="AW58" s="6">
        <f t="shared" si="1"/>
        <v>0.62814417503957576</v>
      </c>
      <c r="AX58" s="6">
        <f t="shared" si="2"/>
        <v>-1.605528556156401</v>
      </c>
      <c r="AY58" s="6">
        <f t="shared" si="3"/>
        <v>1.605528556156401</v>
      </c>
      <c r="BE58" s="39"/>
      <c r="BF58" s="39"/>
      <c r="BG58" s="6">
        <f t="shared" si="12"/>
        <v>0.75049157835756231</v>
      </c>
      <c r="BH58" s="9">
        <f t="shared" ca="1" si="13"/>
        <v>53.05997105361557</v>
      </c>
      <c r="BI58" s="9">
        <f t="shared" ca="1" si="14"/>
        <v>401.85242559377457</v>
      </c>
      <c r="BJ58">
        <f t="shared" ca="1" si="15"/>
        <v>405.3402675331069</v>
      </c>
      <c r="BK58" s="6">
        <f t="shared" ca="1" si="16"/>
        <v>0.13090229445136931</v>
      </c>
      <c r="BL58" s="6">
        <f t="shared" ca="1" si="17"/>
        <v>0.99139527399890648</v>
      </c>
      <c r="BM58" s="6">
        <f t="shared" ca="1" si="18"/>
        <v>1.4395172758104033</v>
      </c>
      <c r="BN58" s="6">
        <f t="shared" ca="1" si="19"/>
        <v>2.1646498270782502</v>
      </c>
      <c r="BO58" s="9">
        <f t="shared" ca="1" si="20"/>
        <v>-13.855785544232461</v>
      </c>
      <c r="BP58" s="9">
        <f t="shared" ca="1" si="21"/>
        <v>549.77146649428096</v>
      </c>
      <c r="BQ58">
        <f t="shared" ca="1" si="22"/>
        <v>549.94604113887397</v>
      </c>
      <c r="BR58">
        <f t="shared" ca="1" si="23"/>
        <v>-2.5194809140799974E-2</v>
      </c>
      <c r="BS58">
        <f t="shared" ca="1" si="24"/>
        <v>0.99968256041223336</v>
      </c>
      <c r="BT58">
        <f t="shared" ca="1" si="25"/>
        <v>1.5959938022175288</v>
      </c>
      <c r="BU58" s="39">
        <f t="shared" ca="1" si="26"/>
        <v>1.5959938022175288</v>
      </c>
    </row>
    <row r="59" spans="1:73" x14ac:dyDescent="0.25">
      <c r="A59" t="s">
        <v>54</v>
      </c>
      <c r="O59">
        <f>O57/12</f>
        <v>151.31107349777406</v>
      </c>
      <c r="P59">
        <f>P57/12</f>
        <v>-121.23196167875824</v>
      </c>
      <c r="AS59">
        <v>0.99483767363676878</v>
      </c>
      <c r="AT59">
        <v>-19.608056732412685</v>
      </c>
      <c r="AU59">
        <v>554.7235286076583</v>
      </c>
      <c r="AV59" s="6">
        <f t="shared" si="0"/>
        <v>1.6061290564607043</v>
      </c>
      <c r="AW59" s="6">
        <f t="shared" si="1"/>
        <v>0.61129138282393547</v>
      </c>
      <c r="AX59" s="6">
        <f t="shared" si="2"/>
        <v>-1.606129056460704</v>
      </c>
      <c r="AY59" s="6">
        <f t="shared" si="3"/>
        <v>1.606129056460704</v>
      </c>
      <c r="BE59" s="39"/>
      <c r="BF59" s="39"/>
      <c r="BG59" s="6">
        <f t="shared" si="12"/>
        <v>0.76794487087750563</v>
      </c>
      <c r="BH59" s="9">
        <f t="shared" ca="1" si="13"/>
        <v>52.558968865221402</v>
      </c>
      <c r="BI59" s="9">
        <f t="shared" ca="1" si="14"/>
        <v>402.38045660729745</v>
      </c>
      <c r="BJ59">
        <f t="shared" ca="1" si="15"/>
        <v>405.79856710894444</v>
      </c>
      <c r="BK59" s="6">
        <f t="shared" ca="1" si="16"/>
        <v>0.12951984833182256</v>
      </c>
      <c r="BL59" s="6">
        <f t="shared" ca="1" si="17"/>
        <v>0.99157682954378368</v>
      </c>
      <c r="BM59" s="6">
        <f t="shared" ca="1" si="18"/>
        <v>1.4409115928490615</v>
      </c>
      <c r="BN59" s="6">
        <f t="shared" ca="1" si="19"/>
        <v>2.1660441441169085</v>
      </c>
      <c r="BO59" s="9">
        <f t="shared" ca="1" si="20"/>
        <v>-14.356787732626628</v>
      </c>
      <c r="BP59" s="9">
        <f t="shared" ca="1" si="21"/>
        <v>550.29949750780384</v>
      </c>
      <c r="BQ59">
        <f t="shared" ca="1" si="22"/>
        <v>550.48674308410114</v>
      </c>
      <c r="BR59">
        <f t="shared" ca="1" si="23"/>
        <v>-2.6080169800625438E-2</v>
      </c>
      <c r="BS59">
        <f t="shared" ca="1" si="24"/>
        <v>0.99965985452211215</v>
      </c>
      <c r="BT59">
        <f t="shared" ca="1" si="25"/>
        <v>1.5968794540151805</v>
      </c>
      <c r="BU59" s="39">
        <f t="shared" ca="1" si="26"/>
        <v>1.5968794540151805</v>
      </c>
    </row>
    <row r="60" spans="1:73" x14ac:dyDescent="0.25">
      <c r="AS60">
        <v>1.0122909661567121</v>
      </c>
      <c r="AT60">
        <v>-19.941776814316007</v>
      </c>
      <c r="AU60">
        <v>554.93615450948573</v>
      </c>
      <c r="AV60" s="6">
        <f t="shared" si="0"/>
        <v>1.6067161337939238</v>
      </c>
      <c r="AW60" s="6">
        <f t="shared" si="1"/>
        <v>0.59442516763721165</v>
      </c>
      <c r="AX60" s="6">
        <f t="shared" si="2"/>
        <v>-1.6067161337939235</v>
      </c>
      <c r="AY60" s="6">
        <f t="shared" si="3"/>
        <v>1.6067161337939235</v>
      </c>
      <c r="BE60" s="39"/>
      <c r="BF60" s="39"/>
      <c r="BG60" s="6">
        <f t="shared" si="12"/>
        <v>0.78539816339744895</v>
      </c>
      <c r="BH60" s="9">
        <f t="shared" ca="1" si="13"/>
        <v>52.075756597623162</v>
      </c>
      <c r="BI60" s="9">
        <f t="shared" ca="1" si="14"/>
        <v>402.87225321645417</v>
      </c>
      <c r="BJ60">
        <f t="shared" ca="1" si="15"/>
        <v>406.22399835179317</v>
      </c>
      <c r="BK60" s="6">
        <f t="shared" ca="1" si="16"/>
        <v>0.12819468275856305</v>
      </c>
      <c r="BL60" s="6">
        <f t="shared" ca="1" si="17"/>
        <v>0.99174902234004314</v>
      </c>
      <c r="BM60" s="6">
        <f t="shared" ca="1" si="18"/>
        <v>1.4422478991093803</v>
      </c>
      <c r="BN60" s="6">
        <f t="shared" ca="1" si="19"/>
        <v>2.1673804503772276</v>
      </c>
      <c r="BO60" s="9">
        <f t="shared" ca="1" si="20"/>
        <v>-14.840000000224869</v>
      </c>
      <c r="BP60" s="9">
        <f t="shared" ca="1" si="21"/>
        <v>550.79129411696056</v>
      </c>
      <c r="BQ60">
        <f t="shared" ca="1" si="22"/>
        <v>550.9911753150343</v>
      </c>
      <c r="BR60">
        <f t="shared" ca="1" si="23"/>
        <v>-2.6933280722218393E-2</v>
      </c>
      <c r="BS60">
        <f t="shared" ca="1" si="24"/>
        <v>0.99963723339496413</v>
      </c>
      <c r="BT60">
        <f t="shared" ca="1" si="25"/>
        <v>1.5977328648213796</v>
      </c>
      <c r="BU60" s="39">
        <f t="shared" ca="1" si="26"/>
        <v>1.5977328648213796</v>
      </c>
    </row>
    <row r="61" spans="1:73" x14ac:dyDescent="0.25">
      <c r="A61">
        <f t="shared" ref="A61:A71" si="71">A14</f>
        <v>0</v>
      </c>
      <c r="B61" s="1" t="str">
        <f t="shared" ref="B61:D61" si="72">B14</f>
        <v>Bar #</v>
      </c>
      <c r="C61" s="1" t="str">
        <f t="shared" si="72"/>
        <v>As (in^2)</v>
      </c>
      <c r="D61" s="1" t="str">
        <f t="shared" si="72"/>
        <v>x</v>
      </c>
      <c r="E61" s="1" t="str">
        <f>E14</f>
        <v>y</v>
      </c>
      <c r="F61" s="1" t="s">
        <v>55</v>
      </c>
      <c r="G61" s="1" t="s">
        <v>56</v>
      </c>
      <c r="H61" s="1" t="s">
        <v>21</v>
      </c>
      <c r="I61" s="1" t="s">
        <v>22</v>
      </c>
      <c r="J61" s="1" t="s">
        <v>57</v>
      </c>
      <c r="K61" s="1" t="s">
        <v>58</v>
      </c>
      <c r="L61" s="1" t="s">
        <v>59</v>
      </c>
      <c r="M61" s="1" t="s">
        <v>60</v>
      </c>
      <c r="N61" s="1" t="s">
        <v>61</v>
      </c>
      <c r="O61" s="1" t="s">
        <v>62</v>
      </c>
      <c r="AS61">
        <v>1.0297442586766554</v>
      </c>
      <c r="AT61">
        <v>-20.268295581459324</v>
      </c>
      <c r="AU61">
        <v>555.13626642914471</v>
      </c>
      <c r="AV61" s="6">
        <f t="shared" si="0"/>
        <v>1.6072906039977262</v>
      </c>
      <c r="AW61" s="6">
        <f t="shared" si="1"/>
        <v>0.57754634532107074</v>
      </c>
      <c r="AX61" s="6">
        <f t="shared" si="2"/>
        <v>-1.6072906039977259</v>
      </c>
      <c r="AY61" s="6">
        <f t="shared" si="3"/>
        <v>1.6072906039977259</v>
      </c>
      <c r="BE61" s="39"/>
      <c r="BF61" s="39"/>
      <c r="BG61" s="6">
        <f t="shared" si="12"/>
        <v>0.80285145591739226</v>
      </c>
      <c r="BH61" s="9">
        <f t="shared" ca="1" si="13"/>
        <v>51.60912393522765</v>
      </c>
      <c r="BI61" s="9">
        <f t="shared" ca="1" si="14"/>
        <v>403.33088051058985</v>
      </c>
      <c r="BJ61">
        <f t="shared" ca="1" si="15"/>
        <v>406.61935621267395</v>
      </c>
      <c r="BK61" s="6">
        <f t="shared" ca="1" si="16"/>
        <v>0.12692244760781765</v>
      </c>
      <c r="BL61" s="6">
        <f t="shared" ca="1" si="17"/>
        <v>0.99191264347887043</v>
      </c>
      <c r="BM61" s="6">
        <f t="shared" ca="1" si="18"/>
        <v>1.4435306127880563</v>
      </c>
      <c r="BN61" s="6">
        <f t="shared" ca="1" si="19"/>
        <v>2.1686631640559035</v>
      </c>
      <c r="BO61" s="9">
        <f t="shared" ca="1" si="20"/>
        <v>-15.30663266262038</v>
      </c>
      <c r="BP61" s="9">
        <f t="shared" ca="1" si="21"/>
        <v>551.24992141109624</v>
      </c>
      <c r="BQ61">
        <f t="shared" ca="1" si="22"/>
        <v>551.46239115574167</v>
      </c>
      <c r="BR61">
        <f t="shared" ca="1" si="23"/>
        <v>-2.7756439800982812E-2</v>
      </c>
      <c r="BS61">
        <f t="shared" ca="1" si="24"/>
        <v>0.99961471580283079</v>
      </c>
      <c r="BT61">
        <f t="shared" ca="1" si="25"/>
        <v>1.598556331851215</v>
      </c>
      <c r="BU61" s="39">
        <f t="shared" ca="1" si="26"/>
        <v>1.598556331851215</v>
      </c>
    </row>
    <row r="62" spans="1:73" x14ac:dyDescent="0.25">
      <c r="A62">
        <f t="shared" si="71"/>
        <v>1</v>
      </c>
      <c r="B62" s="1">
        <f t="shared" ref="B62:D67" si="73">B15</f>
        <v>0</v>
      </c>
      <c r="C62" s="1">
        <f t="shared" ca="1" si="73"/>
        <v>0</v>
      </c>
      <c r="D62" s="1">
        <f t="shared" si="73"/>
        <v>-21</v>
      </c>
      <c r="E62" s="1">
        <f t="shared" ref="E62" si="74">E15</f>
        <v>22</v>
      </c>
      <c r="F62" s="1">
        <f>D62-$I$2</f>
        <v>-27</v>
      </c>
      <c r="G62" s="1">
        <f>E62-$I$3</f>
        <v>10</v>
      </c>
      <c r="H62" s="6">
        <f>F62*COS($B$27)+G62*SIN($B$27)</f>
        <v>-27.189597473179816</v>
      </c>
      <c r="I62" s="6">
        <f>-1*F62*SIN($B$27)+G62*COS($B$27)</f>
        <v>9.4723697798625768</v>
      </c>
      <c r="J62" s="6">
        <f>$G$38-I62</f>
        <v>3.1095043759384211</v>
      </c>
      <c r="K62">
        <f ca="1">IF($B$28=0,-1,IF(C62=0,0,(($B$28-J62)/$B$28)*$B$30)*IF($B$28&lt;0,-1,1))</f>
        <v>0</v>
      </c>
      <c r="L62">
        <f ca="1">IF(AND(K62&gt;0,J62&lt;=$B$29),MIN((K62*B$13),B$12)-$B$31,MAX(K62*B$13,-1*B$12))</f>
        <v>0</v>
      </c>
      <c r="M62" s="6">
        <f ca="1">L62*C62</f>
        <v>0</v>
      </c>
      <c r="N62" s="6">
        <f ca="1">M62*I62</f>
        <v>0</v>
      </c>
      <c r="O62" s="6">
        <f ca="1">M62*H62*-1</f>
        <v>0</v>
      </c>
      <c r="Q62" t="e">
        <f>IF($B62=0,NA(),H62)</f>
        <v>#N/A</v>
      </c>
      <c r="R62" t="e">
        <f>IF($B62=0,NA(),I62)</f>
        <v>#N/A</v>
      </c>
      <c r="AS62">
        <v>1.0471975511965987</v>
      </c>
      <c r="AT62">
        <v>-20.588036338585177</v>
      </c>
      <c r="AU62">
        <v>555.32462745231135</v>
      </c>
      <c r="AV62" s="6">
        <f t="shared" si="0"/>
        <v>1.6078532310465918</v>
      </c>
      <c r="AW62" s="6">
        <f t="shared" si="1"/>
        <v>0.56065567984999309</v>
      </c>
      <c r="AX62" s="6">
        <f t="shared" si="2"/>
        <v>-1.6078532310465916</v>
      </c>
      <c r="AY62" s="6">
        <f t="shared" si="3"/>
        <v>1.6078532310465916</v>
      </c>
      <c r="BE62" s="39"/>
      <c r="BF62" s="39"/>
      <c r="BG62" s="6">
        <f t="shared" si="12"/>
        <v>0.82030474843733558</v>
      </c>
      <c r="BH62" s="9">
        <f t="shared" ca="1" si="13"/>
        <v>51.157961769319719</v>
      </c>
      <c r="BI62" s="9">
        <f t="shared" ca="1" si="14"/>
        <v>403.75907939319382</v>
      </c>
      <c r="BJ62">
        <f t="shared" ca="1" si="15"/>
        <v>406.98713891821023</v>
      </c>
      <c r="BK62" s="6">
        <f t="shared" ca="1" si="16"/>
        <v>0.12569920982097821</v>
      </c>
      <c r="BL62" s="6">
        <f t="shared" ca="1" si="17"/>
        <v>0.99206839917940226</v>
      </c>
      <c r="BM62" s="6">
        <f t="shared" ca="1" si="18"/>
        <v>1.4447637270220499</v>
      </c>
      <c r="BN62" s="6">
        <f t="shared" ca="1" si="19"/>
        <v>2.169896278289897</v>
      </c>
      <c r="BO62" s="9">
        <f t="shared" ca="1" si="20"/>
        <v>-15.757794828528311</v>
      </c>
      <c r="BP62" s="9">
        <f t="shared" ca="1" si="21"/>
        <v>551.6781202937002</v>
      </c>
      <c r="BQ62">
        <f t="shared" ca="1" si="22"/>
        <v>551.903122394364</v>
      </c>
      <c r="BR62">
        <f t="shared" ca="1" si="23"/>
        <v>-2.8551740675365363E-2</v>
      </c>
      <c r="BS62">
        <f t="shared" ca="1" si="24"/>
        <v>0.99959231594906062</v>
      </c>
      <c r="BT62">
        <f t="shared" ca="1" si="25"/>
        <v>1.5993519481328695</v>
      </c>
      <c r="BU62" s="39">
        <f t="shared" ca="1" si="26"/>
        <v>1.5993519481328695</v>
      </c>
    </row>
    <row r="63" spans="1:73" x14ac:dyDescent="0.25">
      <c r="A63">
        <f t="shared" si="71"/>
        <v>2</v>
      </c>
      <c r="B63" s="1">
        <f t="shared" si="73"/>
        <v>0</v>
      </c>
      <c r="C63" s="1">
        <f t="shared" ca="1" si="73"/>
        <v>0</v>
      </c>
      <c r="D63" s="1">
        <f t="shared" si="73"/>
        <v>-11</v>
      </c>
      <c r="E63" s="1">
        <f t="shared" ref="E63" si="75">E16</f>
        <v>22</v>
      </c>
      <c r="F63" s="1">
        <f t="shared" ref="F63:F71" si="76">D63-$I$2</f>
        <v>-17</v>
      </c>
      <c r="G63" s="1">
        <f t="shared" ref="G63:G71" si="77">E63-$I$3</f>
        <v>10</v>
      </c>
      <c r="H63" s="6">
        <f t="shared" ref="H63:H71" si="78">F63*COS($B$27)+G63*SIN($B$27)</f>
        <v>-17.191493376985836</v>
      </c>
      <c r="I63" s="6">
        <f t="shared" ref="I63:I71" si="79">-1*F63*SIN($B$27)+G63*COS($B$27)</f>
        <v>9.6670861933186512</v>
      </c>
      <c r="J63" s="6">
        <f t="shared" ref="J63:J71" si="80">$G$38-I63</f>
        <v>2.9147879624823467</v>
      </c>
      <c r="K63">
        <f t="shared" ref="K63:K71" ca="1" si="81">IF($B$28=0,-1,IF(C63=0,0,(($B$28-J63)/$B$28)*$B$30)*IF($B$28&lt;0,-1,1))</f>
        <v>0</v>
      </c>
      <c r="L63">
        <f t="shared" ref="L63:L71" ca="1" si="82">IF(AND(K63&gt;0,J63&lt;=$B$29),MIN((K63*B$13),B$12)-$B$31,MAX(K63*B$13,-1*B$12))</f>
        <v>0</v>
      </c>
      <c r="M63" s="6">
        <f t="shared" ref="M63:M71" ca="1" si="83">L63*C63</f>
        <v>0</v>
      </c>
      <c r="N63" s="6">
        <f t="shared" ref="N63:N71" ca="1" si="84">M63*I63</f>
        <v>0</v>
      </c>
      <c r="O63" s="6">
        <f t="shared" ref="O63:O71" ca="1" si="85">M63*H63*-1</f>
        <v>0</v>
      </c>
      <c r="Q63" t="e">
        <f t="shared" ref="Q63:Q71" si="86">IF($B63=0,NA(),H63)</f>
        <v>#N/A</v>
      </c>
      <c r="R63" t="e">
        <f t="shared" ref="R63:R71" si="87">IF($B63=0,NA(),I63)</f>
        <v>#N/A</v>
      </c>
      <c r="AS63">
        <v>1.0646508437165421</v>
      </c>
      <c r="AT63">
        <v>-20.901396899635994</v>
      </c>
      <c r="AU63">
        <v>555.50193615274554</v>
      </c>
      <c r="AV63" s="6">
        <f t="shared" si="0"/>
        <v>1.6084047316512673</v>
      </c>
      <c r="AW63" s="6">
        <f t="shared" si="1"/>
        <v>0.54375388793472523</v>
      </c>
      <c r="AX63" s="6">
        <f t="shared" si="2"/>
        <v>-1.6084047316512671</v>
      </c>
      <c r="AY63" s="6">
        <f t="shared" si="3"/>
        <v>1.6084047316512671</v>
      </c>
      <c r="BE63" s="39"/>
      <c r="BF63" s="39"/>
      <c r="BG63" s="6">
        <f t="shared" si="12"/>
        <v>0.8377580409572789</v>
      </c>
      <c r="BH63" s="9">
        <f t="shared" ca="1" si="13"/>
        <v>50.721251600951859</v>
      </c>
      <c r="BI63" s="9">
        <f t="shared" ca="1" si="14"/>
        <v>404.15930660681727</v>
      </c>
      <c r="BJ63">
        <f t="shared" ca="1" si="15"/>
        <v>407.32958458829182</v>
      </c>
      <c r="BK63" s="6">
        <f t="shared" ca="1" si="16"/>
        <v>0.12452140360052251</v>
      </c>
      <c r="BL63" s="6">
        <f t="shared" ca="1" si="17"/>
        <v>0.99221692187008981</v>
      </c>
      <c r="BM63" s="6">
        <f t="shared" ca="1" si="18"/>
        <v>1.4459508608174163</v>
      </c>
      <c r="BN63" s="6">
        <f t="shared" ca="1" si="19"/>
        <v>2.1710834120852631</v>
      </c>
      <c r="BO63" s="9">
        <f t="shared" ca="1" si="20"/>
        <v>-16.194504996896171</v>
      </c>
      <c r="BP63" s="9">
        <f t="shared" ca="1" si="21"/>
        <v>552.07834750732366</v>
      </c>
      <c r="BQ63">
        <f t="shared" ca="1" si="22"/>
        <v>552.31581887404934</v>
      </c>
      <c r="BR63">
        <f t="shared" ca="1" si="23"/>
        <v>-2.9321095727278423E-2</v>
      </c>
      <c r="BS63">
        <f t="shared" ca="1" si="24"/>
        <v>0.99957004424169893</v>
      </c>
      <c r="BT63">
        <f t="shared" ca="1" si="25"/>
        <v>1.6001216255030046</v>
      </c>
      <c r="BU63" s="39">
        <f t="shared" ca="1" si="26"/>
        <v>1.6001216255030046</v>
      </c>
    </row>
    <row r="64" spans="1:73" x14ac:dyDescent="0.25">
      <c r="A64">
        <f t="shared" si="71"/>
        <v>3</v>
      </c>
      <c r="B64" s="1">
        <f t="shared" si="73"/>
        <v>0</v>
      </c>
      <c r="C64" s="1">
        <f t="shared" ca="1" si="73"/>
        <v>0</v>
      </c>
      <c r="D64" s="1">
        <f t="shared" si="73"/>
        <v>-1</v>
      </c>
      <c r="E64" s="1">
        <f t="shared" ref="E64" si="88">E17</f>
        <v>22</v>
      </c>
      <c r="F64" s="1">
        <f t="shared" si="76"/>
        <v>-7</v>
      </c>
      <c r="G64" s="1">
        <f t="shared" si="77"/>
        <v>10</v>
      </c>
      <c r="H64" s="6">
        <f t="shared" si="78"/>
        <v>-7.1933892807918598</v>
      </c>
      <c r="I64" s="6">
        <f t="shared" si="79"/>
        <v>9.8618026067747255</v>
      </c>
      <c r="J64" s="6">
        <f t="shared" si="80"/>
        <v>2.7200715490262724</v>
      </c>
      <c r="K64">
        <f t="shared" ca="1" si="81"/>
        <v>0</v>
      </c>
      <c r="L64">
        <f t="shared" ca="1" si="82"/>
        <v>0</v>
      </c>
      <c r="M64" s="6">
        <f t="shared" ca="1" si="83"/>
        <v>0</v>
      </c>
      <c r="N64" s="6">
        <f t="shared" ca="1" si="84"/>
        <v>0</v>
      </c>
      <c r="O64" s="6">
        <f t="shared" ca="1" si="85"/>
        <v>0</v>
      </c>
      <c r="Q64" t="e">
        <f t="shared" si="86"/>
        <v>#N/A</v>
      </c>
      <c r="R64" t="e">
        <f t="shared" si="87"/>
        <v>#N/A</v>
      </c>
      <c r="AS64">
        <v>1.0821041362364854</v>
      </c>
      <c r="AT64">
        <v>-21.208751729955917</v>
      </c>
      <c r="AU64">
        <v>555.6688326618812</v>
      </c>
      <c r="AV64" s="6">
        <f t="shared" si="0"/>
        <v>1.6089457793991755</v>
      </c>
      <c r="AW64" s="6">
        <f t="shared" si="1"/>
        <v>0.52684164316269011</v>
      </c>
      <c r="AX64" s="6">
        <f t="shared" si="2"/>
        <v>-1.6089457793991753</v>
      </c>
      <c r="AY64" s="6">
        <f t="shared" si="3"/>
        <v>1.6089457793991753</v>
      </c>
      <c r="BE64" s="39"/>
      <c r="BF64" s="39"/>
      <c r="BG64" s="6">
        <f t="shared" si="12"/>
        <v>0.85521133347722222</v>
      </c>
      <c r="BH64" s="9">
        <f t="shared" ca="1" si="13"/>
        <v>50.298056232058855</v>
      </c>
      <c r="BI64" s="9">
        <f t="shared" ca="1" si="14"/>
        <v>404.5337690755731</v>
      </c>
      <c r="BJ64">
        <f t="shared" ca="1" si="15"/>
        <v>407.64870266347282</v>
      </c>
      <c r="BK64" s="6">
        <f t="shared" ca="1" si="16"/>
        <v>0.12338578757499818</v>
      </c>
      <c r="BL64" s="6">
        <f t="shared" ca="1" si="17"/>
        <v>0.99235877958755292</v>
      </c>
      <c r="BM64" s="6">
        <f t="shared" ca="1" si="18"/>
        <v>1.4470953028266</v>
      </c>
      <c r="BN64" s="6">
        <f t="shared" ca="1" si="19"/>
        <v>2.1722278540944471</v>
      </c>
      <c r="BO64" s="9">
        <f t="shared" ca="1" si="20"/>
        <v>-16.617700365789176</v>
      </c>
      <c r="BP64" s="9">
        <f t="shared" ca="1" si="21"/>
        <v>552.45280997607949</v>
      </c>
      <c r="BQ64">
        <f t="shared" ca="1" si="22"/>
        <v>552.70268247577133</v>
      </c>
      <c r="BR64">
        <f t="shared" ca="1" si="23"/>
        <v>-3.0066256040864506E-2</v>
      </c>
      <c r="BS64">
        <f t="shared" ca="1" si="24"/>
        <v>0.99954790793022286</v>
      </c>
      <c r="BT64">
        <f t="shared" ca="1" si="25"/>
        <v>1.6008671145605824</v>
      </c>
      <c r="BU64" s="39">
        <f t="shared" ca="1" si="26"/>
        <v>1.6008671145605824</v>
      </c>
    </row>
    <row r="65" spans="1:73" x14ac:dyDescent="0.25">
      <c r="A65">
        <f t="shared" si="71"/>
        <v>4</v>
      </c>
      <c r="B65" s="1">
        <f t="shared" si="73"/>
        <v>0</v>
      </c>
      <c r="C65" s="1">
        <f t="shared" ca="1" si="73"/>
        <v>0</v>
      </c>
      <c r="D65" s="1">
        <f t="shared" si="73"/>
        <v>9</v>
      </c>
      <c r="E65" s="1">
        <f t="shared" ref="E65" si="89">E18</f>
        <v>22</v>
      </c>
      <c r="F65" s="1">
        <f t="shared" si="76"/>
        <v>3</v>
      </c>
      <c r="G65" s="1">
        <f t="shared" si="77"/>
        <v>10</v>
      </c>
      <c r="H65" s="6">
        <f t="shared" si="78"/>
        <v>2.8047148154021184</v>
      </c>
      <c r="I65" s="6">
        <f t="shared" si="79"/>
        <v>10.056519020230802</v>
      </c>
      <c r="J65" s="6">
        <f t="shared" si="80"/>
        <v>2.5253551355701962</v>
      </c>
      <c r="K65">
        <f t="shared" ca="1" si="81"/>
        <v>0</v>
      </c>
      <c r="L65">
        <f t="shared" ca="1" si="82"/>
        <v>0</v>
      </c>
      <c r="M65" s="6">
        <f t="shared" ca="1" si="83"/>
        <v>0</v>
      </c>
      <c r="N65" s="6">
        <f t="shared" ca="1" si="84"/>
        <v>0</v>
      </c>
      <c r="O65" s="6">
        <f t="shared" ca="1" si="85"/>
        <v>0</v>
      </c>
      <c r="Q65" t="e">
        <f t="shared" si="86"/>
        <v>#N/A</v>
      </c>
      <c r="R65" t="e">
        <f t="shared" si="87"/>
        <v>#N/A</v>
      </c>
      <c r="AS65">
        <v>1.0995574287564287</v>
      </c>
      <c r="AT65">
        <v>-21.510453886800029</v>
      </c>
      <c r="AU65">
        <v>555.82590406883742</v>
      </c>
      <c r="AV65" s="6">
        <f t="shared" si="0"/>
        <v>1.6094770084862231</v>
      </c>
      <c r="AW65" s="6">
        <f t="shared" si="1"/>
        <v>0.5099195797297944</v>
      </c>
      <c r="AX65" s="6">
        <f t="shared" si="2"/>
        <v>-1.6094770084862229</v>
      </c>
      <c r="AY65" s="6">
        <f t="shared" si="3"/>
        <v>1.6094770084862229</v>
      </c>
      <c r="BE65" s="39"/>
      <c r="BF65" s="39"/>
      <c r="BG65" s="6">
        <f t="shared" si="12"/>
        <v>0.87266462599716554</v>
      </c>
      <c r="BH65" s="9">
        <f t="shared" ca="1" si="13"/>
        <v>49.887511581672939</v>
      </c>
      <c r="BI65" s="9">
        <f t="shared" ca="1" si="14"/>
        <v>404.88445351748805</v>
      </c>
      <c r="BJ65">
        <f t="shared" ca="1" si="15"/>
        <v>407.94630101517834</v>
      </c>
      <c r="BK65" s="6">
        <f t="shared" ca="1" si="16"/>
        <v>0.12228940784002057</v>
      </c>
      <c r="BL65" s="6">
        <f t="shared" ca="1" si="17"/>
        <v>0.99249448397970308</v>
      </c>
      <c r="BM65" s="6">
        <f t="shared" ca="1" si="18"/>
        <v>1.448200049100387</v>
      </c>
      <c r="BN65" s="6">
        <f t="shared" ca="1" si="19"/>
        <v>2.1733326003682341</v>
      </c>
      <c r="BO65" s="9">
        <f t="shared" ca="1" si="20"/>
        <v>-17.028245016175092</v>
      </c>
      <c r="BP65" s="9">
        <f t="shared" ca="1" si="21"/>
        <v>552.80349441799444</v>
      </c>
      <c r="BQ65">
        <f t="shared" ca="1" si="22"/>
        <v>553.065696431334</v>
      </c>
      <c r="BR65">
        <f t="shared" ca="1" si="23"/>
        <v>-3.0788828752262413E-2</v>
      </c>
      <c r="BS65">
        <f t="shared" ca="1" si="24"/>
        <v>0.99952591163214166</v>
      </c>
      <c r="BT65">
        <f t="shared" ca="1" si="25"/>
        <v>1.6015900220118824</v>
      </c>
      <c r="BU65" s="39">
        <f t="shared" ca="1" si="26"/>
        <v>1.6015900220118824</v>
      </c>
    </row>
    <row r="66" spans="1:73" x14ac:dyDescent="0.25">
      <c r="A66">
        <f t="shared" si="71"/>
        <v>5</v>
      </c>
      <c r="B66" s="1">
        <f t="shared" si="73"/>
        <v>8</v>
      </c>
      <c r="C66" s="1">
        <f t="shared" ca="1" si="73"/>
        <v>0.79</v>
      </c>
      <c r="D66" s="1">
        <f t="shared" si="73"/>
        <v>3</v>
      </c>
      <c r="E66" s="1">
        <f t="shared" ref="E66" si="90">E19</f>
        <v>22</v>
      </c>
      <c r="F66" s="1">
        <f t="shared" si="76"/>
        <v>-3</v>
      </c>
      <c r="G66" s="1">
        <f t="shared" si="77"/>
        <v>10</v>
      </c>
      <c r="H66" s="6">
        <f t="shared" si="78"/>
        <v>-3.1941476423142681</v>
      </c>
      <c r="I66" s="6">
        <f t="shared" si="79"/>
        <v>9.9396891721571556</v>
      </c>
      <c r="J66" s="6">
        <f t="shared" si="80"/>
        <v>2.6421849836438422</v>
      </c>
      <c r="K66">
        <f t="shared" ca="1" si="81"/>
        <v>-2.3378334220637569E-3</v>
      </c>
      <c r="L66">
        <f t="shared" ca="1" si="82"/>
        <v>-60</v>
      </c>
      <c r="M66" s="6">
        <f t="shared" ca="1" si="83"/>
        <v>-47.400000000000006</v>
      </c>
      <c r="N66" s="6">
        <f t="shared" ca="1" si="84"/>
        <v>-471.14126676024921</v>
      </c>
      <c r="O66" s="6">
        <f t="shared" ca="1" si="85"/>
        <v>-151.40259824569631</v>
      </c>
      <c r="Q66">
        <f t="shared" si="86"/>
        <v>-3.1941476423142681</v>
      </c>
      <c r="R66">
        <f t="shared" si="87"/>
        <v>9.9396891721571556</v>
      </c>
      <c r="AS66">
        <v>1.117010721276372</v>
      </c>
      <c r="AT66">
        <v>-21.80683679512514</v>
      </c>
      <c r="AU66">
        <v>555.97368918875054</v>
      </c>
      <c r="AV66" s="6">
        <f t="shared" si="0"/>
        <v>1.6099990171171583</v>
      </c>
      <c r="AW66" s="6">
        <f t="shared" si="1"/>
        <v>0.49298829584078629</v>
      </c>
      <c r="AX66" s="6">
        <f t="shared" si="2"/>
        <v>-1.6099990171171581</v>
      </c>
      <c r="AY66" s="6">
        <f t="shared" si="3"/>
        <v>1.6099990171171581</v>
      </c>
      <c r="BE66" s="39"/>
      <c r="BF66" s="39"/>
      <c r="BG66" s="6">
        <f t="shared" si="12"/>
        <v>0.89011791851710886</v>
      </c>
      <c r="BH66" s="9">
        <f t="shared" ca="1" si="13"/>
        <v>49.488819449614574</v>
      </c>
      <c r="BI66" s="9">
        <f t="shared" ca="1" si="14"/>
        <v>405.21315199126127</v>
      </c>
      <c r="BJ66">
        <f t="shared" ca="1" si="15"/>
        <v>408.22400933459267</v>
      </c>
      <c r="BK66" s="6">
        <f t="shared" ca="1" si="16"/>
        <v>0.12122956591965675</v>
      </c>
      <c r="BL66" s="6">
        <f t="shared" ca="1" si="17"/>
        <v>0.99262449715233769</v>
      </c>
      <c r="BM66" s="6">
        <f t="shared" ca="1" si="18"/>
        <v>1.449267835797041</v>
      </c>
      <c r="BN66" s="6">
        <f t="shared" ca="1" si="19"/>
        <v>2.174400387064888</v>
      </c>
      <c r="BO66" s="9">
        <f t="shared" ca="1" si="20"/>
        <v>-17.426937148233456</v>
      </c>
      <c r="BP66" s="9">
        <f t="shared" ca="1" si="21"/>
        <v>553.13219289176766</v>
      </c>
      <c r="BQ66">
        <f t="shared" ca="1" si="22"/>
        <v>553.40665062106382</v>
      </c>
      <c r="BR66">
        <f t="shared" ca="1" si="23"/>
        <v>-3.1490292226658237E-2</v>
      </c>
      <c r="BS66">
        <f t="shared" ca="1" si="24"/>
        <v>0.99950405776839124</v>
      </c>
      <c r="BT66">
        <f t="shared" ca="1" si="25"/>
        <v>1.6022918258430827</v>
      </c>
      <c r="BU66" s="39">
        <f t="shared" ca="1" si="26"/>
        <v>1.6022918258430827</v>
      </c>
    </row>
    <row r="67" spans="1:73" x14ac:dyDescent="0.25">
      <c r="A67">
        <f t="shared" si="71"/>
        <v>6</v>
      </c>
      <c r="B67" s="1">
        <f t="shared" si="73"/>
        <v>8</v>
      </c>
      <c r="C67" s="1">
        <f t="shared" ca="1" si="73"/>
        <v>0.79</v>
      </c>
      <c r="D67" s="1">
        <f t="shared" si="73"/>
        <v>13</v>
      </c>
      <c r="E67" s="1">
        <f t="shared" ref="E67" si="91">E20</f>
        <v>22</v>
      </c>
      <c r="F67" s="1">
        <f t="shared" si="76"/>
        <v>7</v>
      </c>
      <c r="G67" s="1">
        <f t="shared" si="77"/>
        <v>10</v>
      </c>
      <c r="H67" s="6">
        <f t="shared" si="78"/>
        <v>6.8039564538797093</v>
      </c>
      <c r="I67" s="6">
        <f t="shared" si="79"/>
        <v>10.134405585613232</v>
      </c>
      <c r="J67" s="6">
        <f t="shared" si="80"/>
        <v>2.4474685701877661</v>
      </c>
      <c r="K67">
        <f t="shared" ca="1" si="81"/>
        <v>-1.944460593891507E-3</v>
      </c>
      <c r="L67">
        <f t="shared" ca="1" si="82"/>
        <v>-56.389357222853704</v>
      </c>
      <c r="M67" s="6">
        <f t="shared" ca="1" si="83"/>
        <v>-44.547592206054425</v>
      </c>
      <c r="N67" s="6">
        <f t="shared" ca="1" si="84"/>
        <v>-451.46336727865844</v>
      </c>
      <c r="O67" s="6">
        <f t="shared" ca="1" si="85"/>
        <v>303.09987749518547</v>
      </c>
      <c r="Q67">
        <f t="shared" si="86"/>
        <v>6.8039564538797093</v>
      </c>
      <c r="R67">
        <f t="shared" si="87"/>
        <v>10.134405585613232</v>
      </c>
      <c r="AS67">
        <v>1.1344640137963153</v>
      </c>
      <c r="AT67">
        <v>-22.098215849106808</v>
      </c>
      <c r="AU67">
        <v>556.11268285963479</v>
      </c>
      <c r="AV67" s="6">
        <f t="shared" ref="AV67:AV130" si="92">IF(AS67&lt;&gt;"",IF(AND(AT67=0,AU67=0),0,MOD(ATAN2(AT67,AU67),2*PI())),NA())</f>
        <v>1.6105123705575339</v>
      </c>
      <c r="AW67" s="6">
        <f t="shared" ref="AW67:AW130" si="93">ABS(AS67-AV67)</f>
        <v>0.47604835676121859</v>
      </c>
      <c r="AX67" s="6">
        <f t="shared" ref="AX67:AX130" si="94">ATAN2(COS($U$13-AV67),SIN($U$13-AV67))</f>
        <v>-1.6105123705575337</v>
      </c>
      <c r="AY67" s="6">
        <f t="shared" ref="AY67:AY130" si="95">ABS(AX67)</f>
        <v>1.6105123705575337</v>
      </c>
      <c r="BE67" s="39"/>
      <c r="BF67" s="39"/>
      <c r="BG67" s="6">
        <f t="shared" si="12"/>
        <v>0.90757121103705218</v>
      </c>
      <c r="BH67" s="9">
        <f t="shared" ca="1" si="13"/>
        <v>49.101241118652695</v>
      </c>
      <c r="BI67" s="9">
        <f t="shared" ca="1" si="14"/>
        <v>405.52148405283242</v>
      </c>
      <c r="BJ67">
        <f t="shared" ca="1" si="15"/>
        <v>408.48329942337142</v>
      </c>
      <c r="BK67" s="6">
        <f t="shared" ca="1" si="16"/>
        <v>0.12020379092111143</v>
      </c>
      <c r="BL67" s="6">
        <f t="shared" ca="1" si="17"/>
        <v>0.99274923754601474</v>
      </c>
      <c r="BM67" s="6">
        <f t="shared" ca="1" si="18"/>
        <v>1.4503011675968358</v>
      </c>
      <c r="BN67" s="6">
        <f t="shared" ca="1" si="19"/>
        <v>2.1754337188646828</v>
      </c>
      <c r="BO67" s="9">
        <f t="shared" ca="1" si="20"/>
        <v>-17.814515479195336</v>
      </c>
      <c r="BP67" s="9">
        <f t="shared" ca="1" si="21"/>
        <v>553.44052495333881</v>
      </c>
      <c r="BQ67">
        <f t="shared" ca="1" si="22"/>
        <v>553.72716352224018</v>
      </c>
      <c r="BR67">
        <f t="shared" ca="1" si="23"/>
        <v>-3.2172009344598143E-2</v>
      </c>
      <c r="BS67">
        <f t="shared" ca="1" si="24"/>
        <v>0.99948234692501259</v>
      </c>
      <c r="BT67">
        <f t="shared" ca="1" si="25"/>
        <v>1.6029738886024001</v>
      </c>
      <c r="BU67" s="39">
        <f t="shared" ca="1" si="26"/>
        <v>1.6029738886024001</v>
      </c>
    </row>
    <row r="68" spans="1:73" x14ac:dyDescent="0.25">
      <c r="A68">
        <f t="shared" si="71"/>
        <v>7</v>
      </c>
      <c r="B68" s="1">
        <f t="shared" ref="B68:D68" si="96">B21</f>
        <v>8</v>
      </c>
      <c r="C68" s="1">
        <f t="shared" ca="1" si="96"/>
        <v>0.79</v>
      </c>
      <c r="D68" s="1">
        <f t="shared" si="96"/>
        <v>23</v>
      </c>
      <c r="E68" s="1">
        <f>E21</f>
        <v>22</v>
      </c>
      <c r="F68" s="1">
        <f t="shared" si="76"/>
        <v>17</v>
      </c>
      <c r="G68" s="1">
        <f t="shared" si="77"/>
        <v>10</v>
      </c>
      <c r="H68" s="6">
        <f t="shared" si="78"/>
        <v>16.802060550073687</v>
      </c>
      <c r="I68" s="6">
        <f t="shared" si="79"/>
        <v>10.329121999069306</v>
      </c>
      <c r="J68" s="6">
        <f t="shared" si="80"/>
        <v>2.2527521567316917</v>
      </c>
      <c r="K68">
        <f t="shared" ca="1" si="81"/>
        <v>-1.5510877657192606E-3</v>
      </c>
      <c r="L68">
        <f t="shared" ca="1" si="82"/>
        <v>-44.981545205858559</v>
      </c>
      <c r="M68" s="6">
        <f t="shared" ca="1" si="83"/>
        <v>-35.535420712628266</v>
      </c>
      <c r="N68" s="6">
        <f t="shared" ca="1" si="84"/>
        <v>-367.04969582899173</v>
      </c>
      <c r="O68" s="6">
        <f t="shared" ca="1" si="85"/>
        <v>597.06829048592283</v>
      </c>
      <c r="Q68">
        <f t="shared" si="86"/>
        <v>16.802060550073687</v>
      </c>
      <c r="R68">
        <f t="shared" si="87"/>
        <v>10.329121999069306</v>
      </c>
      <c r="AS68">
        <v>1.1519173063162587</v>
      </c>
      <c r="AT68">
        <v>-22.384889879302168</v>
      </c>
      <c r="AU68">
        <v>556.24333976007233</v>
      </c>
      <c r="AV68" s="6">
        <f t="shared" si="92"/>
        <v>1.611017603918973</v>
      </c>
      <c r="AW68" s="6">
        <f t="shared" si="93"/>
        <v>0.45910029760271431</v>
      </c>
      <c r="AX68" s="6">
        <f t="shared" si="94"/>
        <v>-1.6110176039189728</v>
      </c>
      <c r="AY68" s="6">
        <f t="shared" si="95"/>
        <v>1.6110176039189728</v>
      </c>
      <c r="BE68" s="39"/>
      <c r="BF68" s="39"/>
      <c r="BG68" s="6">
        <f t="shared" si="12"/>
        <v>0.9250245035569955</v>
      </c>
      <c r="BH68" s="9">
        <f t="shared" ca="1" si="13"/>
        <v>48.724091679161305</v>
      </c>
      <c r="BI68" s="9">
        <f t="shared" ca="1" si="14"/>
        <v>405.81091601318326</v>
      </c>
      <c r="BJ68">
        <f t="shared" ca="1" si="15"/>
        <v>408.72550283217976</v>
      </c>
      <c r="BK68" s="6">
        <f t="shared" ca="1" si="16"/>
        <v>0.11920981524651063</v>
      </c>
      <c r="BL68" s="6">
        <f t="shared" ca="1" si="17"/>
        <v>0.99286908500007842</v>
      </c>
      <c r="BM68" s="6">
        <f t="shared" ca="1" si="18"/>
        <v>1.4513023424755005</v>
      </c>
      <c r="BN68" s="6">
        <f t="shared" ca="1" si="19"/>
        <v>2.1764348937433473</v>
      </c>
      <c r="BO68" s="9">
        <f t="shared" ca="1" si="20"/>
        <v>-18.191664918686726</v>
      </c>
      <c r="BP68" s="9">
        <f t="shared" ca="1" si="21"/>
        <v>553.72995691368965</v>
      </c>
      <c r="BQ68">
        <f t="shared" ca="1" si="22"/>
        <v>554.02870129276732</v>
      </c>
      <c r="BR68">
        <f t="shared" ca="1" si="23"/>
        <v>-3.2835239178472884E-2</v>
      </c>
      <c r="BS68">
        <f t="shared" ca="1" si="24"/>
        <v>0.99946077815394652</v>
      </c>
      <c r="BT68">
        <f t="shared" ca="1" si="25"/>
        <v>1.6036374690727162</v>
      </c>
      <c r="BU68" s="39">
        <f t="shared" ca="1" si="26"/>
        <v>1.6036374690727162</v>
      </c>
    </row>
    <row r="69" spans="1:73" x14ac:dyDescent="0.25">
      <c r="A69">
        <f t="shared" si="71"/>
        <v>8</v>
      </c>
      <c r="B69" s="1">
        <f t="shared" ref="B69:D71" si="97">B22</f>
        <v>8</v>
      </c>
      <c r="C69" s="1">
        <f t="shared" ca="1" si="97"/>
        <v>0.79</v>
      </c>
      <c r="D69" s="1">
        <f t="shared" si="97"/>
        <v>33</v>
      </c>
      <c r="E69" s="1">
        <f t="shared" ref="E69" si="98">E22</f>
        <v>22</v>
      </c>
      <c r="F69" s="1">
        <f t="shared" si="76"/>
        <v>27</v>
      </c>
      <c r="G69" s="1">
        <f t="shared" si="77"/>
        <v>10</v>
      </c>
      <c r="H69" s="6">
        <f t="shared" si="78"/>
        <v>26.800164646267667</v>
      </c>
      <c r="I69" s="6">
        <f t="shared" si="79"/>
        <v>10.523838412525381</v>
      </c>
      <c r="J69" s="6">
        <f t="shared" si="80"/>
        <v>2.0580357432756173</v>
      </c>
      <c r="K69">
        <f t="shared" ca="1" si="81"/>
        <v>-1.1577149375470142E-3</v>
      </c>
      <c r="L69">
        <f t="shared" ca="1" si="82"/>
        <v>-33.573733188863415</v>
      </c>
      <c r="M69" s="6">
        <f t="shared" ca="1" si="83"/>
        <v>-26.5232492192021</v>
      </c>
      <c r="N69" s="6">
        <f t="shared" ca="1" si="84"/>
        <v>-279.12638895802286</v>
      </c>
      <c r="O69" s="6">
        <f t="shared" ca="1" si="85"/>
        <v>710.82744602860669</v>
      </c>
      <c r="Q69">
        <f t="shared" si="86"/>
        <v>26.800164646267667</v>
      </c>
      <c r="R69">
        <f t="shared" si="87"/>
        <v>10.523838412525381</v>
      </c>
      <c r="AS69">
        <v>1.169370598836202</v>
      </c>
      <c r="AT69">
        <v>-22.667142500182777</v>
      </c>
      <c r="AU69">
        <v>556.36607780245959</v>
      </c>
      <c r="AV69" s="6">
        <f t="shared" si="92"/>
        <v>1.6115152247085973</v>
      </c>
      <c r="AW69" s="6">
        <f t="shared" si="93"/>
        <v>0.44214462587239534</v>
      </c>
      <c r="AX69" s="6">
        <f t="shared" si="94"/>
        <v>-1.6115152247085971</v>
      </c>
      <c r="AY69" s="6">
        <f t="shared" si="95"/>
        <v>1.6115152247085971</v>
      </c>
      <c r="BE69" s="39"/>
      <c r="BF69" s="39"/>
      <c r="BG69" s="6">
        <f t="shared" si="12"/>
        <v>0.94247779607693882</v>
      </c>
      <c r="BH69" s="9">
        <f t="shared" ca="1" si="13"/>
        <v>48.356734978449104</v>
      </c>
      <c r="BI69" s="9">
        <f t="shared" ca="1" si="14"/>
        <v>406.08277771030794</v>
      </c>
      <c r="BJ69">
        <f t="shared" ca="1" si="15"/>
        <v>408.95182622247245</v>
      </c>
      <c r="BK69" s="6">
        <f t="shared" ca="1" si="16"/>
        <v>0.11824555333356727</v>
      </c>
      <c r="BL69" s="6">
        <f t="shared" ca="1" si="17"/>
        <v>0.99298438513243437</v>
      </c>
      <c r="BM69" s="6">
        <f t="shared" ca="1" si="18"/>
        <v>1.4522734733788258</v>
      </c>
      <c r="BN69" s="6">
        <f t="shared" ca="1" si="19"/>
        <v>2.1774060246466727</v>
      </c>
      <c r="BO69" s="9">
        <f t="shared" ca="1" si="20"/>
        <v>-18.559021619398926</v>
      </c>
      <c r="BP69" s="9">
        <f t="shared" ca="1" si="21"/>
        <v>554.00181861081433</v>
      </c>
      <c r="BQ69">
        <f t="shared" ca="1" si="22"/>
        <v>554.31259439738415</v>
      </c>
      <c r="BR69">
        <f t="shared" ca="1" si="23"/>
        <v>-3.3481147293027314E-2</v>
      </c>
      <c r="BS69">
        <f t="shared" ca="1" si="24"/>
        <v>0.99943934922332467</v>
      </c>
      <c r="BT69">
        <f t="shared" ca="1" si="25"/>
        <v>1.6042837325685531</v>
      </c>
      <c r="BU69" s="39">
        <f t="shared" ca="1" si="26"/>
        <v>1.6042837325685531</v>
      </c>
    </row>
    <row r="70" spans="1:73" x14ac:dyDescent="0.25">
      <c r="A70">
        <f t="shared" si="71"/>
        <v>9</v>
      </c>
      <c r="B70" s="1">
        <f t="shared" si="97"/>
        <v>0</v>
      </c>
      <c r="C70" s="1">
        <f t="shared" ca="1" si="97"/>
        <v>0</v>
      </c>
      <c r="D70" s="1">
        <f t="shared" si="97"/>
        <v>6</v>
      </c>
      <c r="E70" s="1">
        <f t="shared" ref="E70" si="99">E23</f>
        <v>2</v>
      </c>
      <c r="F70" s="1">
        <f t="shared" si="76"/>
        <v>0</v>
      </c>
      <c r="G70" s="1">
        <f t="shared" si="77"/>
        <v>-10</v>
      </c>
      <c r="H70" s="6">
        <f t="shared" si="78"/>
        <v>0.19471641345607502</v>
      </c>
      <c r="I70" s="6">
        <f t="shared" si="79"/>
        <v>-9.9981040961939787</v>
      </c>
      <c r="J70" s="6">
        <f t="shared" si="80"/>
        <v>22.579978251994977</v>
      </c>
      <c r="K70">
        <f t="shared" ca="1" si="81"/>
        <v>0</v>
      </c>
      <c r="L70">
        <f t="shared" ca="1" si="82"/>
        <v>0</v>
      </c>
      <c r="M70" s="6">
        <f t="shared" ca="1" si="83"/>
        <v>0</v>
      </c>
      <c r="N70" s="6">
        <f t="shared" ca="1" si="84"/>
        <v>0</v>
      </c>
      <c r="O70" s="6">
        <f t="shared" ca="1" si="85"/>
        <v>0</v>
      </c>
      <c r="Q70" t="e">
        <f t="shared" si="86"/>
        <v>#N/A</v>
      </c>
      <c r="R70" t="e">
        <f t="shared" si="87"/>
        <v>#N/A</v>
      </c>
      <c r="AS70">
        <v>1.1868238913561453</v>
      </c>
      <c r="AT70">
        <v>-22.945243328231768</v>
      </c>
      <c r="AU70">
        <v>556.48128121899367</v>
      </c>
      <c r="AV70" s="6">
        <f t="shared" si="92"/>
        <v>1.6120057151236009</v>
      </c>
      <c r="AW70" s="6">
        <f t="shared" si="93"/>
        <v>0.42518182376745561</v>
      </c>
      <c r="AX70" s="6">
        <f t="shared" si="94"/>
        <v>-1.6120057151236007</v>
      </c>
      <c r="AY70" s="6">
        <f t="shared" si="95"/>
        <v>1.6120057151236007</v>
      </c>
      <c r="BE70" s="39"/>
      <c r="BF70" s="39"/>
      <c r="BG70" s="6">
        <f t="shared" si="12"/>
        <v>0.95993108859688214</v>
      </c>
      <c r="BH70" s="9">
        <f t="shared" ca="1" si="13"/>
        <v>47.998579118047871</v>
      </c>
      <c r="BI70" s="9">
        <f t="shared" ca="1" si="14"/>
        <v>406.33827716216615</v>
      </c>
      <c r="BJ70">
        <f t="shared" ca="1" si="15"/>
        <v>409.1633647877934</v>
      </c>
      <c r="BK70" s="6">
        <f t="shared" ca="1" si="16"/>
        <v>0.11730908299412787</v>
      </c>
      <c r="BL70" s="6">
        <f t="shared" ca="1" si="17"/>
        <v>0.99309545313986647</v>
      </c>
      <c r="BM70" s="6">
        <f t="shared" ca="1" si="18"/>
        <v>1.4532165072408005</v>
      </c>
      <c r="BN70" s="6">
        <f t="shared" ca="1" si="19"/>
        <v>2.1783490585086476</v>
      </c>
      <c r="BO70" s="9">
        <f t="shared" ca="1" si="20"/>
        <v>-18.917177479800159</v>
      </c>
      <c r="BP70" s="9">
        <f t="shared" ca="1" si="21"/>
        <v>554.25731806267254</v>
      </c>
      <c r="BQ70">
        <f t="shared" ca="1" si="22"/>
        <v>554.58005213839851</v>
      </c>
      <c r="BR70">
        <f t="shared" ca="1" si="23"/>
        <v>-3.4110814853252736E-2</v>
      </c>
      <c r="BS70">
        <f t="shared" ca="1" si="24"/>
        <v>0.99941805682609475</v>
      </c>
      <c r="BT70">
        <f t="shared" ca="1" si="25"/>
        <v>1.6049137600407397</v>
      </c>
      <c r="BU70" s="39">
        <f t="shared" ca="1" si="26"/>
        <v>1.6049137600407397</v>
      </c>
    </row>
    <row r="71" spans="1:73" ht="15.75" thickBot="1" x14ac:dyDescent="0.3">
      <c r="A71">
        <f t="shared" si="71"/>
        <v>10</v>
      </c>
      <c r="B71" s="1">
        <f t="shared" si="97"/>
        <v>0</v>
      </c>
      <c r="C71" s="1">
        <f t="shared" ca="1" si="97"/>
        <v>0</v>
      </c>
      <c r="D71" s="1">
        <f t="shared" si="97"/>
        <v>10</v>
      </c>
      <c r="E71" s="1">
        <f t="shared" ref="E71" si="100">E24</f>
        <v>2</v>
      </c>
      <c r="F71" s="1">
        <f t="shared" si="76"/>
        <v>4</v>
      </c>
      <c r="G71" s="1">
        <f t="shared" si="77"/>
        <v>-10</v>
      </c>
      <c r="H71" s="6">
        <f t="shared" si="78"/>
        <v>4.1939580519336666</v>
      </c>
      <c r="I71" s="6">
        <f t="shared" si="79"/>
        <v>-9.9202175308115486</v>
      </c>
      <c r="J71" s="6">
        <f t="shared" si="80"/>
        <v>22.502091686612545</v>
      </c>
      <c r="K71" s="12">
        <f t="shared" ca="1" si="81"/>
        <v>0</v>
      </c>
      <c r="L71">
        <f t="shared" ca="1" si="82"/>
        <v>0</v>
      </c>
      <c r="M71" s="11">
        <f t="shared" ca="1" si="83"/>
        <v>0</v>
      </c>
      <c r="N71" s="11">
        <f t="shared" ca="1" si="84"/>
        <v>0</v>
      </c>
      <c r="O71" s="11">
        <f t="shared" ca="1" si="85"/>
        <v>0</v>
      </c>
      <c r="Q71" t="e">
        <f t="shared" si="86"/>
        <v>#N/A</v>
      </c>
      <c r="R71" t="e">
        <f t="shared" si="87"/>
        <v>#N/A</v>
      </c>
      <c r="AS71">
        <v>1.2042771838760886</v>
      </c>
      <c r="AT71">
        <v>-23.219449124081311</v>
      </c>
      <c r="AU71">
        <v>556.58930325365156</v>
      </c>
      <c r="AV71" s="6">
        <f t="shared" si="92"/>
        <v>1.6124895341992511</v>
      </c>
      <c r="AW71" s="6">
        <f t="shared" si="93"/>
        <v>0.4082123503231625</v>
      </c>
      <c r="AX71" s="6">
        <f t="shared" si="94"/>
        <v>-1.6124895341992509</v>
      </c>
      <c r="AY71" s="6">
        <f t="shared" si="95"/>
        <v>1.6124895341992509</v>
      </c>
      <c r="BE71" s="39"/>
      <c r="BF71" s="39"/>
      <c r="BG71" s="6">
        <f t="shared" si="12"/>
        <v>0.97738438111682546</v>
      </c>
      <c r="BH71" s="9">
        <f t="shared" ca="1" si="13"/>
        <v>47.649072426765301</v>
      </c>
      <c r="BI71" s="9">
        <f t="shared" ca="1" si="14"/>
        <v>406.57851338952207</v>
      </c>
      <c r="BJ71">
        <f t="shared" ca="1" si="15"/>
        <v>409.36111399736654</v>
      </c>
      <c r="BK71" s="6">
        <f t="shared" ca="1" si="16"/>
        <v>0.11639862897938037</v>
      </c>
      <c r="BL71" s="6">
        <f t="shared" ca="1" si="17"/>
        <v>0.9932025771068661</v>
      </c>
      <c r="BM71" s="6">
        <f t="shared" ca="1" si="18"/>
        <v>1.454133241725879</v>
      </c>
      <c r="BN71" s="6">
        <f t="shared" ca="1" si="19"/>
        <v>2.1792657929937258</v>
      </c>
      <c r="BO71" s="9">
        <f t="shared" ca="1" si="20"/>
        <v>-19.26668417108273</v>
      </c>
      <c r="BP71" s="9">
        <f t="shared" ca="1" si="21"/>
        <v>554.49755429002846</v>
      </c>
      <c r="BQ71">
        <f t="shared" ca="1" si="22"/>
        <v>554.8321753760963</v>
      </c>
      <c r="BR71">
        <f t="shared" ca="1" si="23"/>
        <v>-3.472524670729972E-2</v>
      </c>
      <c r="BS71">
        <f t="shared" ca="1" si="24"/>
        <v>0.99939689675379584</v>
      </c>
      <c r="BT71">
        <f t="shared" ca="1" si="25"/>
        <v>1.6055285561564012</v>
      </c>
      <c r="BU71" s="39">
        <f t="shared" ca="1" si="26"/>
        <v>1.6055285561564012</v>
      </c>
    </row>
    <row r="72" spans="1:73" ht="15.75" thickTop="1" x14ac:dyDescent="0.25">
      <c r="K72" s="13">
        <f ca="1">MIN(K62:K71)</f>
        <v>-2.3378334220637569E-3</v>
      </c>
      <c r="M72" s="9">
        <f ca="1">SUM(M62:M71)</f>
        <v>-154.00626213788479</v>
      </c>
      <c r="N72" s="9">
        <f t="shared" ref="N72:O72" ca="1" si="101">SUM(N62:N71)</f>
        <v>-1568.7807188259221</v>
      </c>
      <c r="O72" s="9">
        <f t="shared" ca="1" si="101"/>
        <v>1459.5930157640187</v>
      </c>
      <c r="AS72">
        <v>1.2217304763960319</v>
      </c>
      <c r="AT72">
        <v>-23.490004814249311</v>
      </c>
      <c r="AU72">
        <v>556.6904686630877</v>
      </c>
      <c r="AV72" s="6">
        <f t="shared" si="92"/>
        <v>1.6129671197209547</v>
      </c>
      <c r="AW72" s="6">
        <f t="shared" si="93"/>
        <v>0.39123664332492281</v>
      </c>
      <c r="AX72" s="6">
        <f t="shared" si="94"/>
        <v>-1.6129671197209545</v>
      </c>
      <c r="AY72" s="6">
        <f t="shared" si="95"/>
        <v>1.6129671197209545</v>
      </c>
      <c r="BE72" s="39"/>
      <c r="BF72" s="39"/>
      <c r="BG72" s="6">
        <f t="shared" si="12"/>
        <v>0.99483767363676878</v>
      </c>
      <c r="BH72" s="9">
        <f t="shared" ca="1" si="13"/>
        <v>47.307699865435346</v>
      </c>
      <c r="BI72" s="9">
        <f t="shared" ca="1" si="14"/>
        <v>406.80448770715191</v>
      </c>
      <c r="BJ72">
        <f t="shared" ca="1" si="15"/>
        <v>409.54597994027046</v>
      </c>
      <c r="BK72" s="6">
        <f t="shared" ca="1" si="16"/>
        <v>0.11551254848682646</v>
      </c>
      <c r="BL72" s="6">
        <f t="shared" ca="1" si="17"/>
        <v>0.9933060208928961</v>
      </c>
      <c r="BM72" s="6">
        <f t="shared" ca="1" si="18"/>
        <v>1.4550253399878057</v>
      </c>
      <c r="BN72" s="6">
        <f t="shared" ca="1" si="19"/>
        <v>2.1801578912556527</v>
      </c>
      <c r="BO72" s="9">
        <f t="shared" ca="1" si="20"/>
        <v>-19.608056732412685</v>
      </c>
      <c r="BP72" s="9">
        <f t="shared" ca="1" si="21"/>
        <v>554.7235286076583</v>
      </c>
      <c r="BQ72">
        <f t="shared" ca="1" si="22"/>
        <v>555.06996773357594</v>
      </c>
      <c r="BR72">
        <f t="shared" ca="1" si="23"/>
        <v>-3.5325378550878861E-2</v>
      </c>
      <c r="BS72">
        <f t="shared" ca="1" si="24"/>
        <v>0.99937586404227163</v>
      </c>
      <c r="BT72">
        <f t="shared" ca="1" si="25"/>
        <v>1.6061290564607043</v>
      </c>
      <c r="BU72" s="39">
        <f t="shared" ca="1" si="26"/>
        <v>1.6061290564607043</v>
      </c>
    </row>
    <row r="73" spans="1:73" x14ac:dyDescent="0.25">
      <c r="N73" s="47">
        <f ca="1">N72/12</f>
        <v>-130.73172656882684</v>
      </c>
      <c r="O73" s="47">
        <f ca="1">O72/12</f>
        <v>121.63275131366822</v>
      </c>
      <c r="AS73">
        <v>1.2391837689159753</v>
      </c>
      <c r="AT73">
        <v>-23.757144459861195</v>
      </c>
      <c r="AU73">
        <v>556.78507587995182</v>
      </c>
      <c r="AV73" s="6">
        <f t="shared" si="92"/>
        <v>1.6134388900365184</v>
      </c>
      <c r="AW73" s="6">
        <f t="shared" si="93"/>
        <v>0.37425512112054315</v>
      </c>
      <c r="AX73" s="6">
        <f t="shared" si="94"/>
        <v>-1.6134388900365182</v>
      </c>
      <c r="AY73" s="6">
        <f t="shared" si="95"/>
        <v>1.6134388900365182</v>
      </c>
      <c r="BE73" s="39"/>
      <c r="BF73" s="39"/>
      <c r="BG73" s="6">
        <f t="shared" si="12"/>
        <v>1.0122909661567121</v>
      </c>
      <c r="BH73" s="9">
        <f t="shared" ca="1" si="13"/>
        <v>46.973979783532023</v>
      </c>
      <c r="BI73" s="9">
        <f t="shared" ca="1" si="14"/>
        <v>407.01711360897934</v>
      </c>
      <c r="BJ73">
        <f t="shared" ca="1" si="15"/>
        <v>409.71878837476868</v>
      </c>
      <c r="BK73" s="6">
        <f t="shared" ca="1" si="16"/>
        <v>0.11464931830405846</v>
      </c>
      <c r="BL73" s="6">
        <f t="shared" ca="1" si="17"/>
        <v>0.99340602666402955</v>
      </c>
      <c r="BM73" s="6">
        <f t="shared" ca="1" si="18"/>
        <v>1.4558943437566265</v>
      </c>
      <c r="BN73" s="6">
        <f t="shared" ca="1" si="19"/>
        <v>2.1810268950244733</v>
      </c>
      <c r="BO73" s="9">
        <f t="shared" ca="1" si="20"/>
        <v>-19.941776814316007</v>
      </c>
      <c r="BP73" s="9">
        <f t="shared" ca="1" si="21"/>
        <v>554.93615450948573</v>
      </c>
      <c r="BQ73">
        <f t="shared" ca="1" si="22"/>
        <v>555.29434540997067</v>
      </c>
      <c r="BR73">
        <f t="shared" ca="1" si="23"/>
        <v>-3.5912083346703462E-2</v>
      </c>
      <c r="BS73">
        <f t="shared" ca="1" si="24"/>
        <v>0.99935495309209299</v>
      </c>
      <c r="BT73">
        <f t="shared" ca="1" si="25"/>
        <v>1.6067161337939238</v>
      </c>
      <c r="BU73" s="39">
        <f t="shared" ca="1" si="26"/>
        <v>1.6067161337939238</v>
      </c>
    </row>
    <row r="74" spans="1:73" x14ac:dyDescent="0.25">
      <c r="AS74">
        <v>1.2566370614359186</v>
      </c>
      <c r="AT74">
        <v>-24.021092131182911</v>
      </c>
      <c r="AU74">
        <v>556.873399016598</v>
      </c>
      <c r="AV74" s="6">
        <f t="shared" si="92"/>
        <v>1.6139052456854361</v>
      </c>
      <c r="AW74" s="6">
        <f t="shared" si="93"/>
        <v>0.35726818424951756</v>
      </c>
      <c r="AX74" s="6">
        <f t="shared" si="94"/>
        <v>-1.6139052456854359</v>
      </c>
      <c r="AY74" s="6">
        <f t="shared" si="95"/>
        <v>1.6139052456854359</v>
      </c>
      <c r="BE74" s="39"/>
      <c r="BF74" s="39"/>
      <c r="BG74" s="6">
        <f t="shared" si="12"/>
        <v>1.0297442586766554</v>
      </c>
      <c r="BH74" s="9">
        <f t="shared" ca="1" si="13"/>
        <v>46.647461016388704</v>
      </c>
      <c r="BI74" s="9">
        <f t="shared" ca="1" si="14"/>
        <v>407.21722552863832</v>
      </c>
      <c r="BJ74">
        <f t="shared" ca="1" si="15"/>
        <v>409.88029275206367</v>
      </c>
      <c r="BK74" s="6">
        <f t="shared" ca="1" si="16"/>
        <v>0.1138075234190528</v>
      </c>
      <c r="BL74" s="6">
        <f t="shared" ca="1" si="17"/>
        <v>0.993502817113883</v>
      </c>
      <c r="BM74" s="6">
        <f t="shared" ca="1" si="18"/>
        <v>1.4567416849290968</v>
      </c>
      <c r="BN74" s="6">
        <f t="shared" ca="1" si="19"/>
        <v>2.1818742361969439</v>
      </c>
      <c r="BO74" s="9">
        <f t="shared" ca="1" si="20"/>
        <v>-20.268295581459327</v>
      </c>
      <c r="BP74" s="9">
        <f t="shared" ca="1" si="21"/>
        <v>555.13626642914471</v>
      </c>
      <c r="BQ74">
        <f t="shared" ca="1" si="22"/>
        <v>555.50614588019437</v>
      </c>
      <c r="BR74">
        <f t="shared" ca="1" si="23"/>
        <v>-3.6486177032919051E-2</v>
      </c>
      <c r="BS74">
        <f t="shared" ca="1" si="24"/>
        <v>0.99933415776982348</v>
      </c>
      <c r="BT74">
        <f t="shared" ca="1" si="25"/>
        <v>1.6072906039977262</v>
      </c>
      <c r="BU74" s="39">
        <f t="shared" ca="1" si="26"/>
        <v>1.6072906039977262</v>
      </c>
    </row>
    <row r="75" spans="1:73" x14ac:dyDescent="0.25">
      <c r="A75" s="8" t="s">
        <v>63</v>
      </c>
      <c r="B75" s="9">
        <f ca="1">N57+M72</f>
        <v>-4.9001869228959549E-10</v>
      </c>
      <c r="C75" t="s">
        <v>68</v>
      </c>
      <c r="E75">
        <f>((O59*COS(-1*B27))+(P59*SIN(-1*B27)))</f>
        <v>148.92180109632707</v>
      </c>
      <c r="F75">
        <f>(-1*(O59)*SIN(-1*B27))+((P59)*COS(-1*B27))</f>
        <v>-124.15525221976993</v>
      </c>
      <c r="AS75">
        <v>1.2740903539558619</v>
      </c>
      <c r="AT75">
        <v>-24.282062732723691</v>
      </c>
      <c r="AU75">
        <v>556.95568961875381</v>
      </c>
      <c r="AV75" s="6">
        <f t="shared" si="92"/>
        <v>1.614366570935607</v>
      </c>
      <c r="AW75" s="6">
        <f t="shared" si="93"/>
        <v>0.34027621697974508</v>
      </c>
      <c r="AX75" s="6">
        <f t="shared" si="94"/>
        <v>-1.6143665709356068</v>
      </c>
      <c r="AY75" s="6">
        <f t="shared" si="95"/>
        <v>1.6143665709356068</v>
      </c>
      <c r="BE75" s="39"/>
      <c r="BF75" s="39"/>
      <c r="BG75" s="6">
        <f t="shared" si="12"/>
        <v>1.0471975511965987</v>
      </c>
      <c r="BH75" s="9">
        <f t="shared" ca="1" si="13"/>
        <v>46.327720259262854</v>
      </c>
      <c r="BI75" s="9">
        <f t="shared" ca="1" si="14"/>
        <v>407.40558655180496</v>
      </c>
      <c r="BJ75">
        <f t="shared" ca="1" si="15"/>
        <v>410.03118127532781</v>
      </c>
      <c r="BK75" s="6">
        <f t="shared" ca="1" si="16"/>
        <v>0.1129858468694231</v>
      </c>
      <c r="BL75" s="6">
        <f t="shared" ca="1" si="17"/>
        <v>0.99359659742130724</v>
      </c>
      <c r="BM75" s="6">
        <f t="shared" ca="1" si="18"/>
        <v>1.4575686958947158</v>
      </c>
      <c r="BN75" s="6">
        <f t="shared" ca="1" si="19"/>
        <v>2.1827012471625631</v>
      </c>
      <c r="BO75" s="9">
        <f t="shared" ca="1" si="20"/>
        <v>-20.588036338585177</v>
      </c>
      <c r="BP75" s="9">
        <f t="shared" ca="1" si="21"/>
        <v>555.32462745231135</v>
      </c>
      <c r="BQ75">
        <f t="shared" ca="1" si="22"/>
        <v>555.70613555666932</v>
      </c>
      <c r="BR75">
        <f t="shared" ca="1" si="23"/>
        <v>-3.7048423656437506E-2</v>
      </c>
      <c r="BS75">
        <f t="shared" ca="1" si="24"/>
        <v>0.99931347149159</v>
      </c>
      <c r="BT75">
        <f t="shared" ca="1" si="25"/>
        <v>1.6078532310465918</v>
      </c>
      <c r="BU75" s="39">
        <f t="shared" ca="1" si="26"/>
        <v>1.6078532310465918</v>
      </c>
    </row>
    <row r="76" spans="1:73" x14ac:dyDescent="0.25">
      <c r="A76" s="8" t="s">
        <v>66</v>
      </c>
      <c r="B76" s="9">
        <f ca="1">O57+N72</f>
        <v>246.95216314736649</v>
      </c>
      <c r="C76" t="s">
        <v>69</v>
      </c>
      <c r="E76">
        <f ca="1">((N73*COS(-1*B27))+(O73*SIN(-1*B27)))</f>
        <v>-128.33855178157066</v>
      </c>
      <c r="F76">
        <f ca="1">(-1*(N73)*SIN(-1*B27))+((O73)*COS(-1*B27))</f>
        <v>124.1552522062932</v>
      </c>
      <c r="AS76">
        <v>1.2915436464758052</v>
      </c>
      <c r="AT76">
        <v>-24.540262753130055</v>
      </c>
      <c r="AU76">
        <v>557.03217828879974</v>
      </c>
      <c r="AV76" s="6">
        <f t="shared" si="92"/>
        <v>1.6148232351750917</v>
      </c>
      <c r="AW76" s="6">
        <f t="shared" si="93"/>
        <v>0.32327958869928652</v>
      </c>
      <c r="AX76" s="6">
        <f t="shared" si="94"/>
        <v>-1.6148232351750915</v>
      </c>
      <c r="AY76" s="6">
        <f t="shared" si="95"/>
        <v>1.6148232351750915</v>
      </c>
      <c r="BE76" s="39"/>
      <c r="BF76" s="39"/>
      <c r="BG76" s="6">
        <f t="shared" si="12"/>
        <v>1.0646508437165421</v>
      </c>
      <c r="BH76" s="9">
        <f t="shared" ca="1" si="13"/>
        <v>46.014359698212033</v>
      </c>
      <c r="BI76" s="9">
        <f t="shared" ca="1" si="14"/>
        <v>407.58289525223915</v>
      </c>
      <c r="BJ76">
        <f t="shared" ca="1" si="15"/>
        <v>410.17208315612385</v>
      </c>
      <c r="BK76" s="6">
        <f t="shared" ca="1" si="16"/>
        <v>0.11218306069040195</v>
      </c>
      <c r="BL76" s="6">
        <f t="shared" ca="1" si="17"/>
        <v>0.99368755697861777</v>
      </c>
      <c r="BM76" s="6">
        <f t="shared" ca="1" si="18"/>
        <v>1.4583766187411555</v>
      </c>
      <c r="BN76" s="6">
        <f t="shared" ca="1" si="19"/>
        <v>2.1835091700090024</v>
      </c>
      <c r="BO76" s="9">
        <f t="shared" ca="1" si="20"/>
        <v>-20.901396899635998</v>
      </c>
      <c r="BP76" s="9">
        <f t="shared" ca="1" si="21"/>
        <v>555.50193615274554</v>
      </c>
      <c r="BQ76">
        <f t="shared" ca="1" si="22"/>
        <v>555.89501658299207</v>
      </c>
      <c r="BR76">
        <f t="shared" ca="1" si="23"/>
        <v>-3.7599539978095009E-2</v>
      </c>
      <c r="BS76">
        <f t="shared" ca="1" si="24"/>
        <v>0.99929288729252741</v>
      </c>
      <c r="BT76">
        <f t="shared" ca="1" si="25"/>
        <v>1.6084047316512673</v>
      </c>
      <c r="BU76" s="39">
        <f t="shared" ca="1" si="26"/>
        <v>1.6084047316512673</v>
      </c>
    </row>
    <row r="77" spans="1:73" x14ac:dyDescent="0.25">
      <c r="A77" s="8" t="s">
        <v>67</v>
      </c>
      <c r="B77" s="9">
        <f ca="1">P57+O72</f>
        <v>4.8094756189198051</v>
      </c>
      <c r="C77" t="s">
        <v>69</v>
      </c>
      <c r="AS77">
        <v>1.3089969389957485</v>
      </c>
      <c r="AT77">
        <v>-24.795890982622499</v>
      </c>
      <c r="AU77">
        <v>557.10307608447999</v>
      </c>
      <c r="AV77" s="6">
        <f t="shared" si="92"/>
        <v>1.6152755942453849</v>
      </c>
      <c r="AW77" s="6">
        <f t="shared" si="93"/>
        <v>0.30627865524963638</v>
      </c>
      <c r="AX77" s="6">
        <f t="shared" si="94"/>
        <v>-1.6152755942453847</v>
      </c>
      <c r="AY77" s="6">
        <f t="shared" si="95"/>
        <v>1.6152755942453847</v>
      </c>
      <c r="BE77" s="39"/>
      <c r="BF77" s="39"/>
      <c r="BG77" s="6">
        <f t="shared" si="12"/>
        <v>1.0821041362364854</v>
      </c>
      <c r="BH77" s="9">
        <f t="shared" ca="1" si="13"/>
        <v>45.70700486789211</v>
      </c>
      <c r="BI77" s="9">
        <f t="shared" ca="1" si="14"/>
        <v>407.74979176137481</v>
      </c>
      <c r="BJ77">
        <f t="shared" ca="1" si="15"/>
        <v>410.30357416849057</v>
      </c>
      <c r="BK77" s="6">
        <f t="shared" ca="1" si="16"/>
        <v>0.11139801782258565</v>
      </c>
      <c r="BL77" s="6">
        <f t="shared" ca="1" si="17"/>
        <v>0.99377587092120467</v>
      </c>
      <c r="BM77" s="6">
        <f t="shared" ca="1" si="18"/>
        <v>1.4591666134811518</v>
      </c>
      <c r="BN77" s="6">
        <f t="shared" ca="1" si="19"/>
        <v>2.1842991647489987</v>
      </c>
      <c r="BO77" s="9">
        <f t="shared" ca="1" si="20"/>
        <v>-21.208751729955921</v>
      </c>
      <c r="BP77" s="9">
        <f t="shared" ca="1" si="21"/>
        <v>555.6688326618812</v>
      </c>
      <c r="BQ77">
        <f t="shared" ca="1" si="22"/>
        <v>556.07343286814262</v>
      </c>
      <c r="BR77">
        <f t="shared" ca="1" si="23"/>
        <v>-3.8140199614580379E-2</v>
      </c>
      <c r="BS77">
        <f t="shared" ca="1" si="24"/>
        <v>0.99927239788426048</v>
      </c>
      <c r="BT77">
        <f t="shared" ca="1" si="25"/>
        <v>1.6089457793991755</v>
      </c>
      <c r="BU77" s="39">
        <f t="shared" ca="1" si="26"/>
        <v>1.6089457793991755</v>
      </c>
    </row>
    <row r="78" spans="1:73" x14ac:dyDescent="0.25">
      <c r="AS78">
        <v>1.3264502315156919</v>
      </c>
      <c r="AT78">
        <v>-25.049139161427664</v>
      </c>
      <c r="AU78">
        <v>557.16857583694537</v>
      </c>
      <c r="AV78" s="6">
        <f t="shared" si="92"/>
        <v>1.6157239916417605</v>
      </c>
      <c r="AW78" s="6">
        <f t="shared" si="93"/>
        <v>0.28927376012606865</v>
      </c>
      <c r="AX78" s="6">
        <f t="shared" si="94"/>
        <v>-1.6157239916417603</v>
      </c>
      <c r="AY78" s="6">
        <f t="shared" si="95"/>
        <v>1.6157239916417603</v>
      </c>
      <c r="BE78" s="39"/>
      <c r="BF78" s="39"/>
      <c r="BG78" s="6">
        <f t="shared" si="12"/>
        <v>1.0995574287564287</v>
      </c>
      <c r="BH78" s="9">
        <f t="shared" ca="1" si="13"/>
        <v>45.405302711048002</v>
      </c>
      <c r="BI78" s="9">
        <f t="shared" ca="1" si="14"/>
        <v>407.90686316833103</v>
      </c>
      <c r="BJ78">
        <f t="shared" ca="1" si="15"/>
        <v>410.42618158946613</v>
      </c>
      <c r="BK78" s="6">
        <f t="shared" ca="1" si="16"/>
        <v>0.1106296448613632</v>
      </c>
      <c r="BL78" s="6">
        <f t="shared" ca="1" si="17"/>
        <v>0.99386170148459219</v>
      </c>
      <c r="BM78" s="6">
        <f t="shared" ca="1" si="18"/>
        <v>1.45993976542154</v>
      </c>
      <c r="BN78" s="6">
        <f t="shared" ca="1" si="19"/>
        <v>2.1850723166893871</v>
      </c>
      <c r="BO78" s="9">
        <f t="shared" ca="1" si="20"/>
        <v>-21.510453886800029</v>
      </c>
      <c r="BP78" s="9">
        <f t="shared" ca="1" si="21"/>
        <v>555.82590406883742</v>
      </c>
      <c r="BQ78">
        <f t="shared" ca="1" si="22"/>
        <v>556.24197545704567</v>
      </c>
      <c r="BR78">
        <f t="shared" ca="1" si="23"/>
        <v>-3.8671036771587758E-2</v>
      </c>
      <c r="BS78">
        <f t="shared" ca="1" si="24"/>
        <v>0.99925199570229062</v>
      </c>
      <c r="BT78">
        <f t="shared" ca="1" si="25"/>
        <v>1.6094770084862231</v>
      </c>
      <c r="BU78" s="39">
        <f t="shared" ca="1" si="26"/>
        <v>1.6094770084862231</v>
      </c>
    </row>
    <row r="79" spans="1:73" x14ac:dyDescent="0.25">
      <c r="A79" s="8" t="s">
        <v>64</v>
      </c>
      <c r="B79">
        <f ca="1">((B76*COS(-1*B27))+(B77*SIN(-1*B27)))</f>
        <v>246.9989917770769</v>
      </c>
      <c r="C79" t="s">
        <v>69</v>
      </c>
      <c r="AS79">
        <v>1.3439035240356352</v>
      </c>
      <c r="AT79">
        <v>-25.300192600238368</v>
      </c>
      <c r="AU79">
        <v>557.22885329165274</v>
      </c>
      <c r="AV79" s="6">
        <f t="shared" si="92"/>
        <v>1.6161687596637175</v>
      </c>
      <c r="AW79" s="6">
        <f t="shared" si="93"/>
        <v>0.27226523562808236</v>
      </c>
      <c r="AX79" s="6">
        <f t="shared" si="94"/>
        <v>-1.6161687596637173</v>
      </c>
      <c r="AY79" s="6">
        <f t="shared" si="95"/>
        <v>1.6161687596637173</v>
      </c>
      <c r="BE79" s="39"/>
      <c r="BF79" s="39"/>
      <c r="BG79" s="6">
        <f t="shared" si="12"/>
        <v>1.117010721276372</v>
      </c>
      <c r="BH79" s="9">
        <f t="shared" ca="1" si="13"/>
        <v>45.108919802722895</v>
      </c>
      <c r="BI79" s="9">
        <f t="shared" ca="1" si="14"/>
        <v>408.05464828824415</v>
      </c>
      <c r="BJ79">
        <f t="shared" ca="1" si="15"/>
        <v>410.54038855563425</v>
      </c>
      <c r="BK79" s="6">
        <f t="shared" ca="1" si="16"/>
        <v>0.10987693552253257</v>
      </c>
      <c r="BL79" s="6">
        <f t="shared" ca="1" si="17"/>
        <v>0.99394519921380831</v>
      </c>
      <c r="BM79" s="6">
        <f t="shared" ca="1" si="18"/>
        <v>1.4606970918022768</v>
      </c>
      <c r="BN79" s="6">
        <f t="shared" ca="1" si="19"/>
        <v>2.1858296430701238</v>
      </c>
      <c r="BO79" s="9">
        <f t="shared" ca="1" si="20"/>
        <v>-21.806836795125136</v>
      </c>
      <c r="BP79" s="9">
        <f t="shared" ca="1" si="21"/>
        <v>555.97368918875054</v>
      </c>
      <c r="BQ79">
        <f t="shared" ca="1" si="22"/>
        <v>556.40118727511594</v>
      </c>
      <c r="BR79">
        <f t="shared" ca="1" si="23"/>
        <v>-3.9192649645340555E-2</v>
      </c>
      <c r="BS79">
        <f t="shared" ca="1" si="24"/>
        <v>0.999231672943656</v>
      </c>
      <c r="BT79">
        <f t="shared" ca="1" si="25"/>
        <v>1.6099990171171583</v>
      </c>
      <c r="BU79" s="39">
        <f t="shared" ca="1" si="26"/>
        <v>1.6099990171171583</v>
      </c>
    </row>
    <row r="80" spans="1:73" x14ac:dyDescent="0.25">
      <c r="A80" s="8" t="s">
        <v>65</v>
      </c>
      <c r="B80">
        <f ca="1">(-1*(B76)*SIN(-1*B27))+((B77)*COS(-1*B27))</f>
        <v>-1.6172075323339641E-7</v>
      </c>
      <c r="C80" t="s">
        <v>69</v>
      </c>
      <c r="AS80">
        <v>1.3613568165555785</v>
      </c>
      <c r="AT80">
        <v>-25.54923076154526</v>
      </c>
      <c r="AU80">
        <v>557.28406813187974</v>
      </c>
      <c r="AV80" s="6">
        <f t="shared" si="92"/>
        <v>1.6166102204926502</v>
      </c>
      <c r="AW80" s="6">
        <f t="shared" si="93"/>
        <v>0.25525340393707174</v>
      </c>
      <c r="AX80" s="6">
        <f t="shared" si="94"/>
        <v>-1.61661022049265</v>
      </c>
      <c r="AY80" s="6">
        <f t="shared" si="95"/>
        <v>1.61661022049265</v>
      </c>
      <c r="BE80" s="39"/>
      <c r="BF80" s="39"/>
      <c r="BG80" s="6">
        <f t="shared" ref="BG80:BG143" si="102">AS67</f>
        <v>1.1344640137963153</v>
      </c>
      <c r="BH80" s="9">
        <f t="shared" ref="BH80:BH143" ca="1" si="103">AT67-$BG$5</f>
        <v>44.817540748741223</v>
      </c>
      <c r="BI80" s="9">
        <f t="shared" ref="BI80:BI143" ca="1" si="104">AU67-$BH$5</f>
        <v>408.1936419591284</v>
      </c>
      <c r="BJ80">
        <f t="shared" ref="BJ80:BJ143" ca="1" si="105">SQRT(POWER(BH80,2)+POWER(BI80,2))</f>
        <v>410.64663799259597</v>
      </c>
      <c r="BK80" s="6">
        <f t="shared" ref="BK80:BK143" ca="1" si="106">BH80/BJ80</f>
        <v>0.10913894478188639</v>
      </c>
      <c r="BL80" s="6">
        <f t="shared" ref="BL80:BL143" ca="1" si="107">BI80/BJ80</f>
        <v>0.99402650403894988</v>
      </c>
      <c r="BM80" s="6">
        <f t="shared" ref="BM80:BM143" ca="1" si="108">ATAN2(BK80,BL80)</f>
        <v>1.4614395477492481</v>
      </c>
      <c r="BN80" s="6">
        <f t="shared" ref="BN80:BN143" ca="1" si="109">BM80-$BJ$11</f>
        <v>2.1865720990170949</v>
      </c>
      <c r="BO80" s="9">
        <f t="shared" ref="BO80:BO143" ca="1" si="110">BH80+$BG$5</f>
        <v>-22.098215849106808</v>
      </c>
      <c r="BP80" s="9">
        <f t="shared" ref="BP80:BP143" ca="1" si="111">BI80+$BH$5</f>
        <v>556.11268285963479</v>
      </c>
      <c r="BQ80">
        <f t="shared" ref="BQ80:BQ143" ca="1" si="112">SQRT(POWER(BO80,2)+POWER(BP80,2))</f>
        <v>556.55156740508278</v>
      </c>
      <c r="BR80">
        <f t="shared" ref="BR80:BR143" ca="1" si="113">BO80/BQ80</f>
        <v>-3.9705603475594473E-2</v>
      </c>
      <c r="BS80">
        <f t="shared" ref="BS80:BS143" ca="1" si="114">BP80/BQ80</f>
        <v>0.99921142159837173</v>
      </c>
      <c r="BT80">
        <f t="shared" ref="BT80:BT143" ca="1" si="115">ATAN2(BR80,BS80)</f>
        <v>1.6105123705575339</v>
      </c>
      <c r="BU80" s="39">
        <f t="shared" ref="BU80:BU143" ca="1" si="116">BT80-$U$13</f>
        <v>1.6105123705575339</v>
      </c>
    </row>
    <row r="81" spans="1:73" x14ac:dyDescent="0.25">
      <c r="AS81">
        <v>1.3788101090755218</v>
      </c>
      <c r="AT81">
        <v>-25.796427796244089</v>
      </c>
      <c r="AU81">
        <v>557.33436492492137</v>
      </c>
      <c r="AV81" s="6">
        <f t="shared" si="92"/>
        <v>1.6170486871849648</v>
      </c>
      <c r="AW81" s="6">
        <f t="shared" si="93"/>
        <v>0.23823857810944293</v>
      </c>
      <c r="AX81" s="6">
        <f t="shared" si="94"/>
        <v>-1.6170486871849645</v>
      </c>
      <c r="AY81" s="6">
        <f t="shared" si="95"/>
        <v>1.6170486871849645</v>
      </c>
      <c r="BE81" s="39"/>
      <c r="BF81" s="39"/>
      <c r="BG81" s="6">
        <f t="shared" si="102"/>
        <v>1.1519173063162587</v>
      </c>
      <c r="BH81" s="9">
        <f t="shared" ca="1" si="103"/>
        <v>44.530866718545866</v>
      </c>
      <c r="BI81" s="9">
        <f t="shared" ca="1" si="104"/>
        <v>408.32429885956594</v>
      </c>
      <c r="BJ81">
        <f t="shared" ca="1" si="105"/>
        <v>410.74533610238478</v>
      </c>
      <c r="BK81" s="6">
        <f t="shared" ca="1" si="106"/>
        <v>0.108414783576376</v>
      </c>
      <c r="BL81" s="6">
        <f t="shared" ca="1" si="107"/>
        <v>0.99410574623733439</v>
      </c>
      <c r="BM81" s="6">
        <f t="shared" ca="1" si="108"/>
        <v>1.4621680316550691</v>
      </c>
      <c r="BN81" s="6">
        <f t="shared" ca="1" si="109"/>
        <v>2.1873005829229162</v>
      </c>
      <c r="BO81" s="9">
        <f t="shared" ca="1" si="110"/>
        <v>-22.384889879302165</v>
      </c>
      <c r="BP81" s="9">
        <f t="shared" ca="1" si="111"/>
        <v>556.24333976007233</v>
      </c>
      <c r="BQ81">
        <f t="shared" ca="1" si="112"/>
        <v>556.69357488868843</v>
      </c>
      <c r="BR81">
        <f t="shared" ca="1" si="113"/>
        <v>-4.0210433331798467E-2</v>
      </c>
      <c r="BS81">
        <f t="shared" ca="1" si="114"/>
        <v>0.99919123347398764</v>
      </c>
      <c r="BT81">
        <f t="shared" ca="1" si="115"/>
        <v>1.611017603918973</v>
      </c>
      <c r="BU81" s="39">
        <f t="shared" ca="1" si="116"/>
        <v>1.611017603918973</v>
      </c>
    </row>
    <row r="82" spans="1:73" x14ac:dyDescent="0.25">
      <c r="B82">
        <f>ATAN2(1,0)</f>
        <v>0</v>
      </c>
      <c r="AS82">
        <v>1.3962634015954651</v>
      </c>
      <c r="AT82">
        <v>-26.041953062708103</v>
      </c>
      <c r="AU82">
        <v>557.37987392854416</v>
      </c>
      <c r="AV82" s="6">
        <f t="shared" si="92"/>
        <v>1.6174844646357878</v>
      </c>
      <c r="AW82" s="6">
        <f t="shared" si="93"/>
        <v>0.22122106304032263</v>
      </c>
      <c r="AX82" s="6">
        <f t="shared" si="94"/>
        <v>-1.6174844646357875</v>
      </c>
      <c r="AY82" s="6">
        <f t="shared" si="95"/>
        <v>1.6174844646357875</v>
      </c>
      <c r="BE82" s="39"/>
      <c r="BF82" s="39"/>
      <c r="BG82" s="6">
        <f t="shared" si="102"/>
        <v>1.169370598836202</v>
      </c>
      <c r="BH82" s="9">
        <f t="shared" ca="1" si="103"/>
        <v>44.248614097665254</v>
      </c>
      <c r="BI82" s="9">
        <f t="shared" ca="1" si="104"/>
        <v>408.4470369019532</v>
      </c>
      <c r="BJ82">
        <f t="shared" ca="1" si="105"/>
        <v>410.83685545913431</v>
      </c>
      <c r="BK82" s="6">
        <f t="shared" ca="1" si="106"/>
        <v>0.10770361400078099</v>
      </c>
      <c r="BL82" s="6">
        <f t="shared" ca="1" si="107"/>
        <v>0.99418304729620632</v>
      </c>
      <c r="BM82" s="6">
        <f t="shared" ca="1" si="108"/>
        <v>1.4628833900552978</v>
      </c>
      <c r="BN82" s="6">
        <f t="shared" ca="1" si="109"/>
        <v>2.1880159413231448</v>
      </c>
      <c r="BO82" s="9">
        <f t="shared" ca="1" si="110"/>
        <v>-22.667142500182777</v>
      </c>
      <c r="BP82" s="9">
        <f t="shared" ca="1" si="111"/>
        <v>556.36607780245959</v>
      </c>
      <c r="BQ82">
        <f t="shared" ca="1" si="112"/>
        <v>556.82763210747373</v>
      </c>
      <c r="BR82">
        <f t="shared" ca="1" si="113"/>
        <v>-4.0707646663281562E-2</v>
      </c>
      <c r="BS82">
        <f t="shared" ca="1" si="114"/>
        <v>0.99917110021414124</v>
      </c>
      <c r="BT82">
        <f t="shared" ca="1" si="115"/>
        <v>1.6115152247085973</v>
      </c>
      <c r="BU82" s="39">
        <f t="shared" ca="1" si="116"/>
        <v>1.6115152247085973</v>
      </c>
    </row>
    <row r="83" spans="1:73" x14ac:dyDescent="0.25">
      <c r="A83" t="s">
        <v>74</v>
      </c>
      <c r="B83">
        <f ca="1">ATAN2(B79,B80)</f>
        <v>-6.5474256420995298E-10</v>
      </c>
      <c r="AS83">
        <v>1.4137166941154085</v>
      </c>
      <c r="AT83">
        <v>-26.285971611197908</v>
      </c>
      <c r="AU83">
        <v>557.42071182846189</v>
      </c>
      <c r="AV83" s="6">
        <f t="shared" si="92"/>
        <v>1.6179178504780758</v>
      </c>
      <c r="AW83" s="6">
        <f t="shared" si="93"/>
        <v>0.20420115636266734</v>
      </c>
      <c r="AX83" s="6">
        <f t="shared" si="94"/>
        <v>-1.6179178504780756</v>
      </c>
      <c r="AY83" s="6">
        <f t="shared" si="95"/>
        <v>1.6179178504780756</v>
      </c>
      <c r="BE83" s="39"/>
      <c r="BF83" s="39"/>
      <c r="BG83" s="6">
        <f t="shared" si="102"/>
        <v>1.1868238913561453</v>
      </c>
      <c r="BH83" s="9">
        <f t="shared" ca="1" si="103"/>
        <v>43.970513269616262</v>
      </c>
      <c r="BI83" s="9">
        <f t="shared" ca="1" si="104"/>
        <v>408.56224031848728</v>
      </c>
      <c r="BJ83">
        <f t="shared" ca="1" si="105"/>
        <v>410.92153782839716</v>
      </c>
      <c r="BK83" s="6">
        <f t="shared" ca="1" si="106"/>
        <v>0.10700464497915552</v>
      </c>
      <c r="BL83" s="6">
        <f t="shared" ca="1" si="107"/>
        <v>0.99425852068407494</v>
      </c>
      <c r="BM83" s="6">
        <f t="shared" ca="1" si="108"/>
        <v>1.4635864220217301</v>
      </c>
      <c r="BN83" s="6">
        <f t="shared" ca="1" si="109"/>
        <v>2.1887189732895771</v>
      </c>
      <c r="BO83" s="9">
        <f t="shared" ca="1" si="110"/>
        <v>-22.945243328231768</v>
      </c>
      <c r="BP83" s="9">
        <f t="shared" ca="1" si="111"/>
        <v>556.48128121899367</v>
      </c>
      <c r="BQ83">
        <f t="shared" ca="1" si="112"/>
        <v>556.95412785841211</v>
      </c>
      <c r="BR83">
        <f t="shared" ca="1" si="113"/>
        <v>-4.1197725594494326E-2</v>
      </c>
      <c r="BS83">
        <f t="shared" ca="1" si="114"/>
        <v>0.99915101331372369</v>
      </c>
      <c r="BT83">
        <f t="shared" ca="1" si="115"/>
        <v>1.6120057151236009</v>
      </c>
      <c r="BU83" s="39">
        <f t="shared" ca="1" si="116"/>
        <v>1.6120057151236009</v>
      </c>
    </row>
    <row r="84" spans="1:73" x14ac:dyDescent="0.25">
      <c r="AS84">
        <v>1.4311699866353518</v>
      </c>
      <c r="AT84">
        <v>-26.52864464761355</v>
      </c>
      <c r="AU84">
        <v>557.45698238068371</v>
      </c>
      <c r="AV84" s="6">
        <f t="shared" si="92"/>
        <v>1.6183491359454327</v>
      </c>
      <c r="AW84" s="6">
        <f t="shared" si="93"/>
        <v>0.18717914931008095</v>
      </c>
      <c r="AX84" s="6">
        <f t="shared" si="94"/>
        <v>-1.6183491359454325</v>
      </c>
      <c r="AY84" s="6">
        <f t="shared" si="95"/>
        <v>1.6183491359454325</v>
      </c>
      <c r="BE84" s="39"/>
      <c r="BF84" s="39"/>
      <c r="BG84" s="6">
        <f t="shared" si="102"/>
        <v>1.2042771838760886</v>
      </c>
      <c r="BH84" s="9">
        <f t="shared" ca="1" si="103"/>
        <v>43.696307473766723</v>
      </c>
      <c r="BI84" s="9">
        <f t="shared" ca="1" si="104"/>
        <v>408.67026235314518</v>
      </c>
      <c r="BJ84">
        <f t="shared" ca="1" si="105"/>
        <v>410.9996966162268</v>
      </c>
      <c r="BK84" s="6">
        <f t="shared" ca="1" si="106"/>
        <v>0.10631712829357241</v>
      </c>
      <c r="BL84" s="6">
        <f t="shared" ca="1" si="107"/>
        <v>0.99433227254847167</v>
      </c>
      <c r="BM84" s="6">
        <f t="shared" ca="1" si="108"/>
        <v>1.4642778831916499</v>
      </c>
      <c r="BN84" s="6">
        <f t="shared" ca="1" si="109"/>
        <v>2.1894104344594969</v>
      </c>
      <c r="BO84" s="9">
        <f t="shared" ca="1" si="110"/>
        <v>-23.219449124081308</v>
      </c>
      <c r="BP84" s="9">
        <f t="shared" ca="1" si="111"/>
        <v>556.58930325365156</v>
      </c>
      <c r="BQ84">
        <f t="shared" ca="1" si="112"/>
        <v>557.07342003905649</v>
      </c>
      <c r="BR84">
        <f t="shared" ca="1" si="113"/>
        <v>-4.1681129073531081E-2</v>
      </c>
      <c r="BS84">
        <f t="shared" ca="1" si="114"/>
        <v>0.99913096412790436</v>
      </c>
      <c r="BT84">
        <f t="shared" ca="1" si="115"/>
        <v>1.6124895341992511</v>
      </c>
      <c r="BU84" s="39">
        <f t="shared" ca="1" si="116"/>
        <v>1.6124895341992511</v>
      </c>
    </row>
    <row r="85" spans="1:73" x14ac:dyDescent="0.25">
      <c r="AS85">
        <v>1.4486232791552951</v>
      </c>
      <c r="AT85">
        <v>-26.770129972151242</v>
      </c>
      <c r="AU85">
        <v>557.48877698723845</v>
      </c>
      <c r="AV85" s="6">
        <f t="shared" si="92"/>
        <v>1.6187786066893024</v>
      </c>
      <c r="AW85" s="6">
        <f t="shared" si="93"/>
        <v>0.17015532753400731</v>
      </c>
      <c r="AX85" s="6">
        <f t="shared" si="94"/>
        <v>-1.6187786066893022</v>
      </c>
      <c r="AY85" s="6">
        <f t="shared" si="95"/>
        <v>1.6187786066893022</v>
      </c>
      <c r="BE85" s="39"/>
      <c r="BF85" s="39"/>
      <c r="BG85" s="6">
        <f t="shared" si="102"/>
        <v>1.2217304763960319</v>
      </c>
      <c r="BH85" s="9">
        <f t="shared" ca="1" si="103"/>
        <v>43.42575178359872</v>
      </c>
      <c r="BI85" s="9">
        <f t="shared" ca="1" si="104"/>
        <v>408.77142776258131</v>
      </c>
      <c r="BJ85">
        <f t="shared" ca="1" si="105"/>
        <v>411.07161915295245</v>
      </c>
      <c r="BK85" s="6">
        <f t="shared" ca="1" si="106"/>
        <v>0.10564035501424575</v>
      </c>
      <c r="BL85" s="6">
        <f t="shared" ca="1" si="107"/>
        <v>0.99440440233964367</v>
      </c>
      <c r="BM85" s="6">
        <f t="shared" ca="1" si="108"/>
        <v>1.4649584893892904</v>
      </c>
      <c r="BN85" s="6">
        <f t="shared" ca="1" si="109"/>
        <v>2.1900910406571374</v>
      </c>
      <c r="BO85" s="9">
        <f t="shared" ca="1" si="110"/>
        <v>-23.490004814249311</v>
      </c>
      <c r="BP85" s="9">
        <f t="shared" ca="1" si="111"/>
        <v>556.6904686630877</v>
      </c>
      <c r="BQ85">
        <f t="shared" ca="1" si="112"/>
        <v>557.18583814244744</v>
      </c>
      <c r="BR85">
        <f t="shared" ca="1" si="113"/>
        <v>-4.2158294784663874E-2</v>
      </c>
      <c r="BS85">
        <f t="shared" ca="1" si="114"/>
        <v>0.99911094388003252</v>
      </c>
      <c r="BT85">
        <f t="shared" ca="1" si="115"/>
        <v>1.6129671197209547</v>
      </c>
      <c r="BU85" s="39">
        <f t="shared" ca="1" si="116"/>
        <v>1.6129671197209547</v>
      </c>
    </row>
    <row r="86" spans="1:73" x14ac:dyDescent="0.25">
      <c r="AS86">
        <v>1.4660765716752384</v>
      </c>
      <c r="AT86">
        <v>-27.010582400052982</v>
      </c>
      <c r="AU86">
        <v>557.51617519682486</v>
      </c>
      <c r="AV86" s="6">
        <f t="shared" si="92"/>
        <v>1.6192065435649889</v>
      </c>
      <c r="AW86" s="6">
        <f t="shared" si="93"/>
        <v>0.15312997188975053</v>
      </c>
      <c r="AX86" s="6">
        <f t="shared" si="94"/>
        <v>-1.6192065435649887</v>
      </c>
      <c r="AY86" s="6">
        <f t="shared" si="95"/>
        <v>1.6192065435649887</v>
      </c>
      <c r="BE86" s="39"/>
      <c r="BF86" s="39"/>
      <c r="BG86" s="6">
        <f t="shared" si="102"/>
        <v>1.2391837689159753</v>
      </c>
      <c r="BH86" s="9">
        <f t="shared" ca="1" si="103"/>
        <v>43.158612137986836</v>
      </c>
      <c r="BI86" s="9">
        <f t="shared" ca="1" si="104"/>
        <v>408.86603497944543</v>
      </c>
      <c r="BJ86">
        <f t="shared" ca="1" si="105"/>
        <v>411.13756865736593</v>
      </c>
      <c r="BK86" s="6">
        <f t="shared" ca="1" si="106"/>
        <v>0.10497365219852819</v>
      </c>
      <c r="BL86" s="6">
        <f t="shared" ca="1" si="107"/>
        <v>0.99447500337821582</v>
      </c>
      <c r="BM86" s="6">
        <f t="shared" ca="1" si="108"/>
        <v>1.465628919973295</v>
      </c>
      <c r="BN86" s="6">
        <f t="shared" ca="1" si="109"/>
        <v>2.1907614712411423</v>
      </c>
      <c r="BO86" s="9">
        <f t="shared" ca="1" si="110"/>
        <v>-23.757144459861195</v>
      </c>
      <c r="BP86" s="9">
        <f t="shared" ca="1" si="111"/>
        <v>556.78507587995182</v>
      </c>
      <c r="BQ86">
        <f t="shared" ca="1" si="112"/>
        <v>557.29168541754723</v>
      </c>
      <c r="BR86">
        <f t="shared" ca="1" si="113"/>
        <v>-4.2629640960929298E-2</v>
      </c>
      <c r="BS86">
        <f t="shared" ca="1" si="114"/>
        <v>0.99909094366406015</v>
      </c>
      <c r="BT86">
        <f t="shared" ca="1" si="115"/>
        <v>1.6134388900365184</v>
      </c>
      <c r="BU86" s="39">
        <f t="shared" ca="1" si="116"/>
        <v>1.6134388900365184</v>
      </c>
    </row>
    <row r="87" spans="1:73" x14ac:dyDescent="0.25">
      <c r="A87" t="s">
        <v>119</v>
      </c>
      <c r="AS87">
        <v>1.4835298641951817</v>
      </c>
      <c r="AT87">
        <v>-27.250154176278375</v>
      </c>
      <c r="AU87">
        <v>557.53924510647244</v>
      </c>
      <c r="AV87" s="6">
        <f t="shared" si="92"/>
        <v>1.6196332234106074</v>
      </c>
      <c r="AW87" s="6">
        <f t="shared" si="93"/>
        <v>0.13610335921542571</v>
      </c>
      <c r="AX87" s="6">
        <f t="shared" si="94"/>
        <v>-1.6196332234106072</v>
      </c>
      <c r="AY87" s="6">
        <f t="shared" si="95"/>
        <v>1.6196332234106072</v>
      </c>
      <c r="BE87" s="39"/>
      <c r="BF87" s="39"/>
      <c r="BG87" s="6">
        <f t="shared" si="102"/>
        <v>1.2566370614359186</v>
      </c>
      <c r="BH87" s="9">
        <f t="shared" ca="1" si="103"/>
        <v>42.89466446666512</v>
      </c>
      <c r="BI87" s="9">
        <f t="shared" ca="1" si="104"/>
        <v>408.95435811609161</v>
      </c>
      <c r="BJ87">
        <f t="shared" ca="1" si="105"/>
        <v>411.19778606146735</v>
      </c>
      <c r="BK87" s="6">
        <f t="shared" ca="1" si="106"/>
        <v>0.10431637990447028</v>
      </c>
      <c r="BL87" s="6">
        <f t="shared" ca="1" si="107"/>
        <v>0.99454416336511986</v>
      </c>
      <c r="BM87" s="6">
        <f t="shared" ca="1" si="108"/>
        <v>1.4662898208646726</v>
      </c>
      <c r="BN87" s="6">
        <f t="shared" ca="1" si="109"/>
        <v>2.1914223721325197</v>
      </c>
      <c r="BO87" s="9">
        <f t="shared" ca="1" si="110"/>
        <v>-24.021092131182911</v>
      </c>
      <c r="BP87" s="9">
        <f t="shared" ca="1" si="111"/>
        <v>556.873399016598</v>
      </c>
      <c r="BQ87">
        <f t="shared" ca="1" si="112"/>
        <v>557.3912408707854</v>
      </c>
      <c r="BR87">
        <f t="shared" ca="1" si="113"/>
        <v>-4.3095568013691639E-2</v>
      </c>
      <c r="BS87">
        <f t="shared" ca="1" si="114"/>
        <v>0.99907095444596794</v>
      </c>
      <c r="BT87">
        <f t="shared" ca="1" si="115"/>
        <v>1.6139052456854361</v>
      </c>
      <c r="BU87" s="39">
        <f t="shared" ca="1" si="116"/>
        <v>1.6139052456854361</v>
      </c>
    </row>
    <row r="88" spans="1:73" x14ac:dyDescent="0.25">
      <c r="A88" t="s">
        <v>120</v>
      </c>
      <c r="AS88">
        <v>1.5009831567151251</v>
      </c>
      <c r="AT88">
        <v>-27.488995358068912</v>
      </c>
      <c r="AU88">
        <v>557.55804375472428</v>
      </c>
      <c r="AV88" s="6">
        <f t="shared" si="92"/>
        <v>1.6200589197653221</v>
      </c>
      <c r="AW88" s="6">
        <f t="shared" si="93"/>
        <v>0.11907576305019707</v>
      </c>
      <c r="AX88" s="6">
        <f t="shared" si="94"/>
        <v>-1.6200589197653219</v>
      </c>
      <c r="AY88" s="6">
        <f t="shared" si="95"/>
        <v>1.6200589197653219</v>
      </c>
      <c r="BE88" s="39"/>
      <c r="BF88" s="39"/>
      <c r="BG88" s="6">
        <f t="shared" si="102"/>
        <v>1.2740903539558619</v>
      </c>
      <c r="BH88" s="9">
        <f t="shared" ca="1" si="103"/>
        <v>42.633693865124343</v>
      </c>
      <c r="BI88" s="9">
        <f t="shared" ca="1" si="104"/>
        <v>409.03664871824742</v>
      </c>
      <c r="BJ88">
        <f t="shared" ca="1" si="105"/>
        <v>411.25249160003892</v>
      </c>
      <c r="BK88" s="6">
        <f t="shared" ca="1" si="106"/>
        <v>0.10366792842823061</v>
      </c>
      <c r="BL88" s="6">
        <f t="shared" ca="1" si="107"/>
        <v>0.99461196484629077</v>
      </c>
      <c r="BM88" s="6">
        <f t="shared" ca="1" si="108"/>
        <v>1.4669418073468519</v>
      </c>
      <c r="BN88" s="6">
        <f t="shared" ca="1" si="109"/>
        <v>2.1920743586146987</v>
      </c>
      <c r="BO88" s="9">
        <f t="shared" ca="1" si="110"/>
        <v>-24.282062732723688</v>
      </c>
      <c r="BP88" s="9">
        <f t="shared" ca="1" si="111"/>
        <v>556.95568961875381</v>
      </c>
      <c r="BQ88">
        <f t="shared" ca="1" si="112"/>
        <v>557.48476101975882</v>
      </c>
      <c r="BR88">
        <f t="shared" ca="1" si="113"/>
        <v>-4.3556460069521186E-2</v>
      </c>
      <c r="BS88">
        <f t="shared" ca="1" si="114"/>
        <v>0.99905096706134666</v>
      </c>
      <c r="BT88">
        <f t="shared" ca="1" si="115"/>
        <v>1.614366570935607</v>
      </c>
      <c r="BU88" s="39">
        <f t="shared" ca="1" si="116"/>
        <v>1.614366570935607</v>
      </c>
    </row>
    <row r="89" spans="1:73" x14ac:dyDescent="0.25">
      <c r="A89" s="1" t="s">
        <v>8</v>
      </c>
      <c r="B89" s="1" t="s">
        <v>9</v>
      </c>
      <c r="C89" s="1" t="s">
        <v>121</v>
      </c>
      <c r="D89" s="1" t="s">
        <v>122</v>
      </c>
      <c r="E89" s="1" t="s">
        <v>123</v>
      </c>
      <c r="AS89">
        <v>1.5184364492350684</v>
      </c>
      <c r="AT89">
        <v>-27.727254201331768</v>
      </c>
      <c r="AU89">
        <v>557.57261740668628</v>
      </c>
      <c r="AV89" s="6">
        <f t="shared" si="92"/>
        <v>1.620483903600449</v>
      </c>
      <c r="AW89" s="6">
        <f t="shared" si="93"/>
        <v>0.10204745436538065</v>
      </c>
      <c r="AX89" s="6">
        <f t="shared" si="94"/>
        <v>-1.6204839036004488</v>
      </c>
      <c r="AY89" s="6">
        <f t="shared" si="95"/>
        <v>1.6204839036004488</v>
      </c>
      <c r="BE89" s="39"/>
      <c r="BF89" s="39"/>
      <c r="BG89" s="6">
        <f t="shared" si="102"/>
        <v>1.2915436464758052</v>
      </c>
      <c r="BH89" s="9">
        <f t="shared" ca="1" si="103"/>
        <v>42.37549384471798</v>
      </c>
      <c r="BI89" s="9">
        <f t="shared" ca="1" si="104"/>
        <v>409.11313738829335</v>
      </c>
      <c r="BJ89">
        <f t="shared" ca="1" si="105"/>
        <v>411.30188628582329</v>
      </c>
      <c r="BK89" s="6">
        <f t="shared" ca="1" si="106"/>
        <v>0.10302771579138896</v>
      </c>
      <c r="BL89" s="6">
        <f t="shared" ca="1" si="107"/>
        <v>0.99467848563181904</v>
      </c>
      <c r="BM89" s="6">
        <f t="shared" ca="1" si="108"/>
        <v>1.4675854666119779</v>
      </c>
      <c r="BN89" s="6">
        <f t="shared" ca="1" si="109"/>
        <v>2.1927180178798249</v>
      </c>
      <c r="BO89" s="9">
        <f t="shared" ca="1" si="110"/>
        <v>-24.540262753130051</v>
      </c>
      <c r="BP89" s="9">
        <f t="shared" ca="1" si="111"/>
        <v>557.03217828879974</v>
      </c>
      <c r="BQ89">
        <f t="shared" ca="1" si="112"/>
        <v>557.57248151711883</v>
      </c>
      <c r="BR89">
        <f t="shared" ca="1" si="113"/>
        <v>-4.4012686362062875E-2</v>
      </c>
      <c r="BS89">
        <f t="shared" ca="1" si="114"/>
        <v>0.99903097221217063</v>
      </c>
      <c r="BT89">
        <f t="shared" ca="1" si="115"/>
        <v>1.6148232351750915</v>
      </c>
      <c r="BU89" s="39">
        <f t="shared" ca="1" si="116"/>
        <v>1.6148232351750915</v>
      </c>
    </row>
    <row r="90" spans="1:73" x14ac:dyDescent="0.25">
      <c r="A90" s="6">
        <f>E3-$I$2</f>
        <v>-6</v>
      </c>
      <c r="B90" s="1">
        <f>F3-$I$3</f>
        <v>-12</v>
      </c>
      <c r="C90" s="1"/>
      <c r="AS90">
        <v>1.5358897417550117</v>
      </c>
      <c r="AT90">
        <v>-27.965077535025074</v>
      </c>
      <c r="AU90">
        <v>557.58300178833758</v>
      </c>
      <c r="AV90" s="6">
        <f t="shared" si="92"/>
        <v>1.6209084440308623</v>
      </c>
      <c r="AW90" s="6">
        <f t="shared" si="93"/>
        <v>8.5018702275850622E-2</v>
      </c>
      <c r="AX90" s="6">
        <f t="shared" si="94"/>
        <v>-1.6209084440308621</v>
      </c>
      <c r="AY90" s="6">
        <f t="shared" si="95"/>
        <v>1.6209084440308621</v>
      </c>
      <c r="BE90" s="39"/>
      <c r="BF90" s="39"/>
      <c r="BG90" s="6">
        <f t="shared" si="102"/>
        <v>1.3089969389957485</v>
      </c>
      <c r="BH90" s="9">
        <f t="shared" ca="1" si="103"/>
        <v>42.119865615225535</v>
      </c>
      <c r="BI90" s="9">
        <f t="shared" ca="1" si="104"/>
        <v>409.18403518397361</v>
      </c>
      <c r="BJ90">
        <f t="shared" ca="1" si="105"/>
        <v>411.34615317136974</v>
      </c>
      <c r="BK90" s="6">
        <f t="shared" ca="1" si="106"/>
        <v>0.10239518539432675</v>
      </c>
      <c r="BL90" s="6">
        <f t="shared" ca="1" si="107"/>
        <v>0.99474379918050337</v>
      </c>
      <c r="BM90" s="6">
        <f t="shared" ca="1" si="108"/>
        <v>1.4682213601380301</v>
      </c>
      <c r="BN90" s="6">
        <f t="shared" ca="1" si="109"/>
        <v>2.1933539114058771</v>
      </c>
      <c r="BO90" s="9">
        <f t="shared" ca="1" si="110"/>
        <v>-24.795890982622495</v>
      </c>
      <c r="BP90" s="9">
        <f t="shared" ca="1" si="111"/>
        <v>557.10307608447999</v>
      </c>
      <c r="BQ90">
        <f t="shared" ca="1" si="112"/>
        <v>557.65461855203171</v>
      </c>
      <c r="BR90">
        <f t="shared" ca="1" si="113"/>
        <v>-4.4464602565304365E-2</v>
      </c>
      <c r="BS90">
        <f t="shared" ca="1" si="114"/>
        <v>0.99901096045974869</v>
      </c>
      <c r="BT90">
        <f t="shared" ca="1" si="115"/>
        <v>1.6152755942453849</v>
      </c>
      <c r="BU90" s="39">
        <f t="shared" ca="1" si="116"/>
        <v>1.6152755942453849</v>
      </c>
    </row>
    <row r="91" spans="1:73" x14ac:dyDescent="0.25">
      <c r="A91" s="6">
        <f t="shared" ref="A91:A98" si="117">E4-$I$2</f>
        <v>6</v>
      </c>
      <c r="B91" s="1">
        <f t="shared" ref="B91:B98" si="118">F4-$I$3</f>
        <v>-12</v>
      </c>
      <c r="C91" s="1">
        <f>((A90*B91)-(A91*B90))*0.5</f>
        <v>72</v>
      </c>
      <c r="D91" s="6">
        <f>(A91+A90)*((A90*B91)-(A91*B90))*(1/6)</f>
        <v>0</v>
      </c>
      <c r="E91" s="6">
        <f>(B91+B90)*((A90*B91)-(A91*B90))*(1/6)</f>
        <v>-576</v>
      </c>
      <c r="AS91">
        <v>1.553343034274955</v>
      </c>
      <c r="AT91">
        <v>-28.202611117554852</v>
      </c>
      <c r="AU91">
        <v>557.58922229669736</v>
      </c>
      <c r="AV91" s="6">
        <f t="shared" si="92"/>
        <v>1.6213328089941736</v>
      </c>
      <c r="AW91" s="6">
        <f t="shared" si="93"/>
        <v>6.7989774719218632E-2</v>
      </c>
      <c r="AX91" s="6">
        <f t="shared" si="94"/>
        <v>-1.6213328089941734</v>
      </c>
      <c r="AY91" s="6">
        <f t="shared" si="95"/>
        <v>1.6213328089941734</v>
      </c>
      <c r="BE91" s="39"/>
      <c r="BF91" s="39"/>
      <c r="BG91" s="6">
        <f t="shared" si="102"/>
        <v>1.3264502315156919</v>
      </c>
      <c r="BH91" s="9">
        <f t="shared" ca="1" si="103"/>
        <v>41.86661743642037</v>
      </c>
      <c r="BI91" s="9">
        <f t="shared" ca="1" si="104"/>
        <v>409.24953493643898</v>
      </c>
      <c r="BJ91">
        <f t="shared" ca="1" si="105"/>
        <v>411.3854585437594</v>
      </c>
      <c r="BK91" s="6">
        <f t="shared" ca="1" si="106"/>
        <v>0.10176980388325269</v>
      </c>
      <c r="BL91" s="6">
        <f t="shared" ca="1" si="107"/>
        <v>0.99480797494670503</v>
      </c>
      <c r="BM91" s="6">
        <f t="shared" ca="1" si="108"/>
        <v>1.4688500258491815</v>
      </c>
      <c r="BN91" s="6">
        <f t="shared" ca="1" si="109"/>
        <v>2.1939825771170285</v>
      </c>
      <c r="BO91" s="9">
        <f t="shared" ca="1" si="110"/>
        <v>-25.049139161427661</v>
      </c>
      <c r="BP91" s="9">
        <f t="shared" ca="1" si="111"/>
        <v>557.16857583694537</v>
      </c>
      <c r="BQ91">
        <f t="shared" ca="1" si="112"/>
        <v>557.73137017106944</v>
      </c>
      <c r="BR91">
        <f t="shared" ca="1" si="113"/>
        <v>-4.4912551993882818E-2</v>
      </c>
      <c r="BS91">
        <f t="shared" ca="1" si="114"/>
        <v>0.99899092221771302</v>
      </c>
      <c r="BT91">
        <f t="shared" ca="1" si="115"/>
        <v>1.6157239916417605</v>
      </c>
      <c r="BU91" s="39">
        <f t="shared" ca="1" si="116"/>
        <v>1.6157239916417605</v>
      </c>
    </row>
    <row r="92" spans="1:73" x14ac:dyDescent="0.25">
      <c r="A92" s="6">
        <f t="shared" si="117"/>
        <v>6</v>
      </c>
      <c r="B92" s="1">
        <f t="shared" si="118"/>
        <v>4</v>
      </c>
      <c r="C92" s="1">
        <f t="shared" ref="C92:C98" si="119">((A91*B92)-(A92*B91))*0.5</f>
        <v>48</v>
      </c>
      <c r="D92" s="6">
        <f t="shared" ref="D92:D98" si="120">(A92+A91)*((A91*B92)-(A92*B91))*(1/6)</f>
        <v>192</v>
      </c>
      <c r="E92" s="6">
        <f t="shared" ref="E92:E98" si="121">(B92+B91)*((A91*B92)-(A92*B91))*(1/6)</f>
        <v>-128</v>
      </c>
      <c r="AS92">
        <v>1.5707963267948983</v>
      </c>
      <c r="AT92">
        <v>-28.439999999342437</v>
      </c>
      <c r="AU92">
        <v>557.59129411965455</v>
      </c>
      <c r="AV92" s="6">
        <f t="shared" si="92"/>
        <v>1.6217572659473654</v>
      </c>
      <c r="AW92" s="6">
        <f t="shared" si="93"/>
        <v>5.0960939152467022E-2</v>
      </c>
      <c r="AX92" s="6">
        <f t="shared" si="94"/>
        <v>-1.6217572659473651</v>
      </c>
      <c r="AY92" s="6">
        <f t="shared" si="95"/>
        <v>1.6217572659473651</v>
      </c>
      <c r="BE92" s="39"/>
      <c r="BF92" s="39"/>
      <c r="BG92" s="6">
        <f t="shared" si="102"/>
        <v>1.3439035240356352</v>
      </c>
      <c r="BH92" s="9">
        <f t="shared" ca="1" si="103"/>
        <v>41.615563997609662</v>
      </c>
      <c r="BI92" s="9">
        <f t="shared" ca="1" si="104"/>
        <v>409.30981239114635</v>
      </c>
      <c r="BJ92">
        <f t="shared" ca="1" si="105"/>
        <v>411.4199529513786</v>
      </c>
      <c r="BK92" s="6">
        <f t="shared" ca="1" si="106"/>
        <v>0.10115105915275764</v>
      </c>
      <c r="BL92" s="6">
        <f t="shared" ca="1" si="107"/>
        <v>0.99487107869928315</v>
      </c>
      <c r="BM92" s="6">
        <f t="shared" ca="1" si="108"/>
        <v>1.4694719801381564</v>
      </c>
      <c r="BN92" s="6">
        <f t="shared" ca="1" si="109"/>
        <v>2.1946045314060036</v>
      </c>
      <c r="BO92" s="9">
        <f t="shared" ca="1" si="110"/>
        <v>-25.300192600238368</v>
      </c>
      <c r="BP92" s="9">
        <f t="shared" ca="1" si="111"/>
        <v>557.22885329165274</v>
      </c>
      <c r="BQ92">
        <f t="shared" ca="1" si="112"/>
        <v>557.80291742365375</v>
      </c>
      <c r="BR92">
        <f t="shared" ca="1" si="113"/>
        <v>-4.5356866753392691E-2</v>
      </c>
      <c r="BS92">
        <f t="shared" ca="1" si="114"/>
        <v>0.99897084774197231</v>
      </c>
      <c r="BT92">
        <f t="shared" ca="1" si="115"/>
        <v>1.6161687596637175</v>
      </c>
      <c r="BU92" s="39">
        <f t="shared" ca="1" si="116"/>
        <v>1.6161687596637175</v>
      </c>
    </row>
    <row r="93" spans="1:73" x14ac:dyDescent="0.25">
      <c r="A93" s="6">
        <f t="shared" si="117"/>
        <v>30</v>
      </c>
      <c r="B93" s="1">
        <f t="shared" si="118"/>
        <v>4</v>
      </c>
      <c r="C93" s="1">
        <f t="shared" si="119"/>
        <v>-48</v>
      </c>
      <c r="D93" s="6">
        <f t="shared" si="120"/>
        <v>-576</v>
      </c>
      <c r="E93" s="6">
        <f t="shared" si="121"/>
        <v>-128</v>
      </c>
      <c r="AS93">
        <v>1.5882496193148417</v>
      </c>
      <c r="AT93">
        <v>-28.677388882368405</v>
      </c>
      <c r="AU93">
        <v>557.58922230046471</v>
      </c>
      <c r="AV93" s="6">
        <f t="shared" si="92"/>
        <v>1.6221820825619622</v>
      </c>
      <c r="AW93" s="6">
        <f t="shared" si="93"/>
        <v>3.3932463247120515E-2</v>
      </c>
      <c r="AX93" s="6">
        <f t="shared" si="94"/>
        <v>-1.6221820825619619</v>
      </c>
      <c r="AY93" s="6">
        <f t="shared" si="95"/>
        <v>1.6221820825619619</v>
      </c>
      <c r="BE93" s="39"/>
      <c r="BF93" s="39"/>
      <c r="BG93" s="6">
        <f t="shared" si="102"/>
        <v>1.3613568165555785</v>
      </c>
      <c r="BH93" s="9">
        <f t="shared" ca="1" si="103"/>
        <v>41.36652583630277</v>
      </c>
      <c r="BI93" s="9">
        <f t="shared" ca="1" si="104"/>
        <v>409.36502723137335</v>
      </c>
      <c r="BJ93">
        <f t="shared" ca="1" si="105"/>
        <v>411.44977212280548</v>
      </c>
      <c r="BK93" s="6">
        <f t="shared" ca="1" si="106"/>
        <v>0.10053845849246477</v>
      </c>
      <c r="BL93" s="6">
        <f t="shared" ca="1" si="107"/>
        <v>0.99493317281310856</v>
      </c>
      <c r="BM93" s="6">
        <f t="shared" ca="1" si="108"/>
        <v>1.4700877197421627</v>
      </c>
      <c r="BN93" s="6">
        <f t="shared" ca="1" si="109"/>
        <v>2.1952202710100099</v>
      </c>
      <c r="BO93" s="9">
        <f t="shared" ca="1" si="110"/>
        <v>-25.54923076154526</v>
      </c>
      <c r="BP93" s="9">
        <f t="shared" ca="1" si="111"/>
        <v>557.28406813187974</v>
      </c>
      <c r="BQ93">
        <f t="shared" ca="1" si="112"/>
        <v>557.86942539103563</v>
      </c>
      <c r="BR93">
        <f t="shared" ca="1" si="113"/>
        <v>-4.5797868817845075E-2</v>
      </c>
      <c r="BS93">
        <f t="shared" ca="1" si="114"/>
        <v>0.99895072711908239</v>
      </c>
      <c r="BT93">
        <f t="shared" ca="1" si="115"/>
        <v>1.6166102204926502</v>
      </c>
      <c r="BU93" s="39">
        <f t="shared" ca="1" si="116"/>
        <v>1.6166102204926502</v>
      </c>
    </row>
    <row r="94" spans="1:73" x14ac:dyDescent="0.25">
      <c r="A94" s="6">
        <f t="shared" si="117"/>
        <v>30</v>
      </c>
      <c r="B94" s="1">
        <f t="shared" si="118"/>
        <v>12</v>
      </c>
      <c r="C94" s="1">
        <f t="shared" si="119"/>
        <v>120</v>
      </c>
      <c r="D94" s="6">
        <f t="shared" si="120"/>
        <v>2400</v>
      </c>
      <c r="E94" s="6">
        <f t="shared" si="121"/>
        <v>640</v>
      </c>
      <c r="AS94">
        <v>1.605702911834785</v>
      </c>
      <c r="AT94">
        <v>-28.914922464705715</v>
      </c>
      <c r="AU94">
        <v>557.58300178984859</v>
      </c>
      <c r="AV94" s="6">
        <f t="shared" si="92"/>
        <v>1.6226075273928857</v>
      </c>
      <c r="AW94" s="6">
        <f t="shared" si="93"/>
        <v>1.6904615558100744E-2</v>
      </c>
      <c r="AX94" s="6">
        <f t="shared" si="94"/>
        <v>-1.6226075273928855</v>
      </c>
      <c r="AY94" s="6">
        <f t="shared" si="95"/>
        <v>1.6226075273928855</v>
      </c>
      <c r="BE94" s="39"/>
      <c r="BF94" s="39"/>
      <c r="BG94" s="6">
        <f t="shared" si="102"/>
        <v>1.3788101090755218</v>
      </c>
      <c r="BH94" s="9">
        <f t="shared" ca="1" si="103"/>
        <v>41.119328801603942</v>
      </c>
      <c r="BI94" s="9">
        <f t="shared" ca="1" si="104"/>
        <v>409.41532402441499</v>
      </c>
      <c r="BJ94">
        <f t="shared" ca="1" si="105"/>
        <v>411.47503781774071</v>
      </c>
      <c r="BK94" s="6">
        <f t="shared" ca="1" si="106"/>
        <v>9.9931526878715274E-2</v>
      </c>
      <c r="BL94" s="6">
        <f t="shared" ca="1" si="107"/>
        <v>0.99499431653436521</v>
      </c>
      <c r="BM94" s="6">
        <f t="shared" ca="1" si="108"/>
        <v>1.4706977234716234</v>
      </c>
      <c r="BN94" s="6">
        <f t="shared" ca="1" si="109"/>
        <v>2.1958302747394702</v>
      </c>
      <c r="BO94" s="9">
        <f t="shared" ca="1" si="110"/>
        <v>-25.796427796244089</v>
      </c>
      <c r="BP94" s="9">
        <f t="shared" ca="1" si="111"/>
        <v>557.33436492492137</v>
      </c>
      <c r="BQ94">
        <f t="shared" ca="1" si="112"/>
        <v>557.93104413835249</v>
      </c>
      <c r="BR94">
        <f t="shared" ca="1" si="113"/>
        <v>-4.623587102252593E-2</v>
      </c>
      <c r="BS94">
        <f t="shared" ca="1" si="114"/>
        <v>0.99893055025401467</v>
      </c>
      <c r="BT94">
        <f t="shared" ca="1" si="115"/>
        <v>1.6170486871849648</v>
      </c>
      <c r="BU94" s="39">
        <f t="shared" ca="1" si="116"/>
        <v>1.6170486871849648</v>
      </c>
    </row>
    <row r="95" spans="1:73" x14ac:dyDescent="0.25">
      <c r="A95" s="6">
        <f t="shared" si="117"/>
        <v>-30</v>
      </c>
      <c r="B95" s="1">
        <f t="shared" si="118"/>
        <v>12</v>
      </c>
      <c r="C95" s="1">
        <f t="shared" si="119"/>
        <v>360</v>
      </c>
      <c r="D95" s="6">
        <f t="shared" si="120"/>
        <v>0</v>
      </c>
      <c r="E95" s="6">
        <f t="shared" si="121"/>
        <v>2880</v>
      </c>
      <c r="AS95">
        <v>1.6231562043547283</v>
      </c>
      <c r="AT95">
        <v>-29.152745798278787</v>
      </c>
      <c r="AU95">
        <v>557.5726174053176</v>
      </c>
      <c r="AV95" s="6">
        <f t="shared" si="92"/>
        <v>1.6230338705793534</v>
      </c>
      <c r="AW95" s="6">
        <f t="shared" si="93"/>
        <v>1.2233377537484991E-4</v>
      </c>
      <c r="AX95" s="6">
        <f t="shared" si="94"/>
        <v>-1.6230338705793532</v>
      </c>
      <c r="AY95" s="6">
        <f t="shared" si="95"/>
        <v>1.6230338705793532</v>
      </c>
      <c r="BE95" s="39"/>
      <c r="BF95" s="39"/>
      <c r="BG95" s="6">
        <f t="shared" si="102"/>
        <v>1.3962634015954651</v>
      </c>
      <c r="BH95" s="9">
        <f t="shared" ca="1" si="103"/>
        <v>40.873803535139928</v>
      </c>
      <c r="BI95" s="9">
        <f t="shared" ca="1" si="104"/>
        <v>409.46083302803777</v>
      </c>
      <c r="BJ95">
        <f t="shared" ca="1" si="105"/>
        <v>411.49585854470496</v>
      </c>
      <c r="BK95" s="6">
        <f t="shared" ca="1" si="106"/>
        <v>9.9329805358659262E-2</v>
      </c>
      <c r="BL95" s="6">
        <f t="shared" ca="1" si="107"/>
        <v>0.99505456622609945</v>
      </c>
      <c r="BM95" s="6">
        <f t="shared" ca="1" si="108"/>
        <v>1.4713024538447628</v>
      </c>
      <c r="BN95" s="6">
        <f t="shared" ca="1" si="109"/>
        <v>2.19643500511261</v>
      </c>
      <c r="BO95" s="9">
        <f t="shared" ca="1" si="110"/>
        <v>-26.041953062708103</v>
      </c>
      <c r="BP95" s="9">
        <f t="shared" ca="1" si="111"/>
        <v>557.37987392854416</v>
      </c>
      <c r="BQ95">
        <f t="shared" ca="1" si="112"/>
        <v>557.98790952844138</v>
      </c>
      <c r="BR95">
        <f t="shared" ca="1" si="113"/>
        <v>-4.6671178027345252E-2</v>
      </c>
      <c r="BS95">
        <f t="shared" ca="1" si="114"/>
        <v>0.998910306855195</v>
      </c>
      <c r="BT95">
        <f t="shared" ca="1" si="115"/>
        <v>1.6174844646357878</v>
      </c>
      <c r="BU95" s="39">
        <f t="shared" ca="1" si="116"/>
        <v>1.6174844646357878</v>
      </c>
    </row>
    <row r="96" spans="1:73" x14ac:dyDescent="0.25">
      <c r="A96" s="6">
        <f t="shared" si="117"/>
        <v>-30</v>
      </c>
      <c r="B96" s="1">
        <f t="shared" si="118"/>
        <v>4</v>
      </c>
      <c r="C96" s="1">
        <f t="shared" si="119"/>
        <v>120</v>
      </c>
      <c r="D96" s="6">
        <f t="shared" si="120"/>
        <v>-2400</v>
      </c>
      <c r="E96" s="6">
        <f t="shared" si="121"/>
        <v>640</v>
      </c>
      <c r="AS96">
        <v>1.6406094968746716</v>
      </c>
      <c r="AT96">
        <v>-29.391004642757142</v>
      </c>
      <c r="AU96">
        <v>557.55804375525929</v>
      </c>
      <c r="AV96" s="6">
        <f t="shared" si="92"/>
        <v>1.6234613845425792</v>
      </c>
      <c r="AW96" s="6">
        <f t="shared" si="93"/>
        <v>1.7148112332092458E-2</v>
      </c>
      <c r="AX96" s="6">
        <f t="shared" si="94"/>
        <v>-1.6234613845425789</v>
      </c>
      <c r="AY96" s="6">
        <f t="shared" si="95"/>
        <v>1.6234613845425789</v>
      </c>
      <c r="BE96" s="39"/>
      <c r="BF96" s="39"/>
      <c r="BG96" s="6">
        <f t="shared" si="102"/>
        <v>1.4137166941154085</v>
      </c>
      <c r="BH96" s="9">
        <f t="shared" ca="1" si="103"/>
        <v>40.629784986650122</v>
      </c>
      <c r="BI96" s="9">
        <f t="shared" ca="1" si="104"/>
        <v>409.5016709279555</v>
      </c>
      <c r="BJ96">
        <f t="shared" ca="1" si="105"/>
        <v>411.51233021727182</v>
      </c>
      <c r="BK96" s="6">
        <f t="shared" ca="1" si="106"/>
        <v>9.8732849548392038E-2</v>
      </c>
      <c r="BL96" s="6">
        <f t="shared" ca="1" si="107"/>
        <v>0.99511397559277326</v>
      </c>
      <c r="BM96" s="6">
        <f t="shared" ca="1" si="108"/>
        <v>1.4719023586064155</v>
      </c>
      <c r="BN96" s="6">
        <f t="shared" ca="1" si="109"/>
        <v>2.1970349098742625</v>
      </c>
      <c r="BO96" s="9">
        <f t="shared" ca="1" si="110"/>
        <v>-26.285971611197908</v>
      </c>
      <c r="BP96" s="9">
        <f t="shared" ca="1" si="111"/>
        <v>557.42071182846189</v>
      </c>
      <c r="BQ96">
        <f t="shared" ca="1" si="112"/>
        <v>558.04014396716468</v>
      </c>
      <c r="BR96">
        <f t="shared" ca="1" si="113"/>
        <v>-4.7104087215532983E-2</v>
      </c>
      <c r="BS96">
        <f t="shared" ca="1" si="114"/>
        <v>0.9988899864187204</v>
      </c>
      <c r="BT96">
        <f t="shared" ca="1" si="115"/>
        <v>1.6179178504780758</v>
      </c>
      <c r="BU96" s="39">
        <f t="shared" ca="1" si="116"/>
        <v>1.6179178504780758</v>
      </c>
    </row>
    <row r="97" spans="1:73" x14ac:dyDescent="0.25">
      <c r="A97" s="6">
        <f t="shared" si="117"/>
        <v>-6</v>
      </c>
      <c r="B97" s="1">
        <f t="shared" si="118"/>
        <v>4</v>
      </c>
      <c r="C97" s="1">
        <f t="shared" si="119"/>
        <v>-48</v>
      </c>
      <c r="D97" s="6">
        <f t="shared" si="120"/>
        <v>576</v>
      </c>
      <c r="E97" s="6">
        <f t="shared" si="121"/>
        <v>-128</v>
      </c>
      <c r="AS97">
        <v>1.6580627893946149</v>
      </c>
      <c r="AT97">
        <v>-29.629845823661331</v>
      </c>
      <c r="AU97">
        <v>557.53924510806644</v>
      </c>
      <c r="AV97" s="6">
        <f t="shared" si="92"/>
        <v>1.6238903446970674</v>
      </c>
      <c r="AW97" s="6">
        <f t="shared" si="93"/>
        <v>3.4172444697547544E-2</v>
      </c>
      <c r="AX97" s="6">
        <f t="shared" si="94"/>
        <v>-1.6238903446970672</v>
      </c>
      <c r="AY97" s="6">
        <f t="shared" si="95"/>
        <v>1.6238903446970672</v>
      </c>
      <c r="BE97" s="39"/>
      <c r="BF97" s="39"/>
      <c r="BG97" s="6">
        <f t="shared" si="102"/>
        <v>1.4311699866353518</v>
      </c>
      <c r="BH97" s="9">
        <f t="shared" ca="1" si="103"/>
        <v>40.387111950234484</v>
      </c>
      <c r="BI97" s="9">
        <f t="shared" ca="1" si="104"/>
        <v>409.53794148017732</v>
      </c>
      <c r="BJ97">
        <f t="shared" ca="1" si="105"/>
        <v>411.52453672108288</v>
      </c>
      <c r="BK97" s="6">
        <f t="shared" ca="1" si="106"/>
        <v>9.8140228215863282E-2</v>
      </c>
      <c r="BL97" s="6">
        <f t="shared" ca="1" si="107"/>
        <v>0.99517259588763718</v>
      </c>
      <c r="BM97" s="6">
        <f t="shared" ca="1" si="108"/>
        <v>1.472497872160601</v>
      </c>
      <c r="BN97" s="6">
        <f t="shared" ca="1" si="109"/>
        <v>2.1976304234284481</v>
      </c>
      <c r="BO97" s="9">
        <f t="shared" ca="1" si="110"/>
        <v>-26.528644647613547</v>
      </c>
      <c r="BP97" s="9">
        <f t="shared" ca="1" si="111"/>
        <v>557.45698238068371</v>
      </c>
      <c r="BQ97">
        <f t="shared" ca="1" si="112"/>
        <v>558.08785705461935</v>
      </c>
      <c r="BR97">
        <f t="shared" ca="1" si="113"/>
        <v>-4.7534889555959685E-2</v>
      </c>
      <c r="BS97">
        <f t="shared" ca="1" si="114"/>
        <v>0.99886957821074063</v>
      </c>
      <c r="BT97">
        <f t="shared" ca="1" si="115"/>
        <v>1.6183491359454327</v>
      </c>
      <c r="BU97" s="39">
        <f t="shared" ca="1" si="116"/>
        <v>1.6183491359454327</v>
      </c>
    </row>
    <row r="98" spans="1:73" x14ac:dyDescent="0.25">
      <c r="A98" s="6">
        <f t="shared" si="117"/>
        <v>-6</v>
      </c>
      <c r="B98" s="1">
        <f t="shared" si="118"/>
        <v>-12</v>
      </c>
      <c r="C98" s="1">
        <f t="shared" si="119"/>
        <v>48</v>
      </c>
      <c r="D98" s="6">
        <f t="shared" si="120"/>
        <v>-192</v>
      </c>
      <c r="E98" s="6">
        <f t="shared" si="121"/>
        <v>-128</v>
      </c>
      <c r="AS98">
        <v>1.6755160819145583</v>
      </c>
      <c r="AT98">
        <v>-29.869417599168234</v>
      </c>
      <c r="AU98">
        <v>557.51617519716456</v>
      </c>
      <c r="AV98" s="6">
        <f t="shared" si="92"/>
        <v>1.6243210301849713</v>
      </c>
      <c r="AW98" s="6">
        <f t="shared" si="93"/>
        <v>5.1195051729586938E-2</v>
      </c>
      <c r="AX98" s="6">
        <f t="shared" si="94"/>
        <v>-1.6243210301849711</v>
      </c>
      <c r="AY98" s="6">
        <f t="shared" si="95"/>
        <v>1.6243210301849711</v>
      </c>
      <c r="BE98" s="39"/>
      <c r="BF98" s="39"/>
      <c r="BG98" s="6">
        <f t="shared" si="102"/>
        <v>1.4486232791552951</v>
      </c>
      <c r="BH98" s="9">
        <f t="shared" ca="1" si="103"/>
        <v>40.145626625696792</v>
      </c>
      <c r="BI98" s="9">
        <f t="shared" ca="1" si="104"/>
        <v>409.56973608673206</v>
      </c>
      <c r="BJ98">
        <f t="shared" ca="1" si="105"/>
        <v>411.53255042016445</v>
      </c>
      <c r="BK98" s="6">
        <f t="shared" ca="1" si="106"/>
        <v>9.7551521950594453E-2</v>
      </c>
      <c r="BL98" s="6">
        <f t="shared" ca="1" si="107"/>
        <v>0.99523047610346149</v>
      </c>
      <c r="BM98" s="6">
        <f t="shared" ca="1" si="108"/>
        <v>1.4730894169149134</v>
      </c>
      <c r="BN98" s="6">
        <f t="shared" ca="1" si="109"/>
        <v>2.1982219681827604</v>
      </c>
      <c r="BO98" s="9">
        <f t="shared" ca="1" si="110"/>
        <v>-26.770129972151238</v>
      </c>
      <c r="BP98" s="9">
        <f t="shared" ca="1" si="111"/>
        <v>557.48877698723845</v>
      </c>
      <c r="BQ98">
        <f t="shared" ca="1" si="112"/>
        <v>558.13114617037161</v>
      </c>
      <c r="BR98">
        <f t="shared" ca="1" si="113"/>
        <v>-4.7963870419766103E-2</v>
      </c>
      <c r="BS98">
        <f t="shared" ca="1" si="114"/>
        <v>0.99884907124868272</v>
      </c>
      <c r="BT98">
        <f t="shared" ca="1" si="115"/>
        <v>1.6187786066893024</v>
      </c>
      <c r="BU98" s="39">
        <f t="shared" ca="1" si="116"/>
        <v>1.6187786066893024</v>
      </c>
    </row>
    <row r="99" spans="1:73" x14ac:dyDescent="0.25">
      <c r="C99" s="1">
        <f>SUM(C91:C98)</f>
        <v>672</v>
      </c>
      <c r="D99" s="6">
        <f>SUM(D91:D98)/C99</f>
        <v>0</v>
      </c>
      <c r="E99" s="6">
        <f>SUM(E91:E98)/C99</f>
        <v>4.5714285714285712</v>
      </c>
      <c r="AS99">
        <v>1.6929693744345016</v>
      </c>
      <c r="AT99">
        <v>-30.109870027904577</v>
      </c>
      <c r="AU99">
        <v>557.48877698969818</v>
      </c>
      <c r="AV99" s="6">
        <f t="shared" si="92"/>
        <v>1.6247537246176862</v>
      </c>
      <c r="AW99" s="6">
        <f t="shared" si="93"/>
        <v>6.8215649816815382E-2</v>
      </c>
      <c r="AX99" s="6">
        <f t="shared" si="94"/>
        <v>-1.624753724617686</v>
      </c>
      <c r="AY99" s="6">
        <f t="shared" si="95"/>
        <v>1.624753724617686</v>
      </c>
      <c r="BE99" s="39"/>
      <c r="BF99" s="39"/>
      <c r="BG99" s="6">
        <f t="shared" si="102"/>
        <v>1.4660765716752384</v>
      </c>
      <c r="BH99" s="9">
        <f t="shared" ca="1" si="103"/>
        <v>39.905174197795048</v>
      </c>
      <c r="BI99" s="9">
        <f t="shared" ca="1" si="104"/>
        <v>409.59713429631847</v>
      </c>
      <c r="BJ99">
        <f t="shared" ca="1" si="105"/>
        <v>411.53643259316993</v>
      </c>
      <c r="BK99" s="6">
        <f t="shared" ca="1" si="106"/>
        <v>9.6966321903372926E-2</v>
      </c>
      <c r="BL99" s="6">
        <f t="shared" ca="1" si="107"/>
        <v>0.99528766314896699</v>
      </c>
      <c r="BM99" s="6">
        <f t="shared" ca="1" si="108"/>
        <v>1.4736774045537311</v>
      </c>
      <c r="BN99" s="6">
        <f t="shared" ca="1" si="109"/>
        <v>2.1988099558215781</v>
      </c>
      <c r="BO99" s="9">
        <f t="shared" ca="1" si="110"/>
        <v>-27.010582400052982</v>
      </c>
      <c r="BP99" s="9">
        <f t="shared" ca="1" si="111"/>
        <v>557.51617519682486</v>
      </c>
      <c r="BQ99">
        <f t="shared" ca="1" si="112"/>
        <v>558.17009698450056</v>
      </c>
      <c r="BR99">
        <f t="shared" ca="1" si="113"/>
        <v>-4.8391310365741465E-2</v>
      </c>
      <c r="BS99">
        <f t="shared" ca="1" si="114"/>
        <v>0.9988284542808572</v>
      </c>
      <c r="BT99">
        <f t="shared" ca="1" si="115"/>
        <v>1.6192065435649889</v>
      </c>
      <c r="BU99" s="39">
        <f t="shared" ca="1" si="116"/>
        <v>1.6192065435649889</v>
      </c>
    </row>
    <row r="100" spans="1:73" x14ac:dyDescent="0.25">
      <c r="A100" s="8" t="s">
        <v>124</v>
      </c>
      <c r="B100" s="1">
        <f>B31*C99*0.65</f>
        <v>1856.4</v>
      </c>
      <c r="C100" t="s">
        <v>68</v>
      </c>
      <c r="AS100">
        <v>1.7104226669544449</v>
      </c>
      <c r="AT100">
        <v>-30.351355351907877</v>
      </c>
      <c r="AU100">
        <v>557.45698237949512</v>
      </c>
      <c r="AV100" s="6">
        <f t="shared" si="92"/>
        <v>1.6251887168543802</v>
      </c>
      <c r="AW100" s="6">
        <f t="shared" si="93"/>
        <v>8.5233950100064737E-2</v>
      </c>
      <c r="AX100" s="6">
        <f t="shared" si="94"/>
        <v>-1.6251887168543799</v>
      </c>
      <c r="AY100" s="6">
        <f t="shared" si="95"/>
        <v>1.6251887168543799</v>
      </c>
      <c r="BE100" s="39"/>
      <c r="BF100" s="39"/>
      <c r="BG100" s="6">
        <f t="shared" si="102"/>
        <v>1.4835298641951817</v>
      </c>
      <c r="BH100" s="9">
        <f t="shared" ca="1" si="103"/>
        <v>39.665602421569659</v>
      </c>
      <c r="BI100" s="9">
        <f t="shared" ca="1" si="104"/>
        <v>409.62020420596605</v>
      </c>
      <c r="BJ100">
        <f t="shared" ca="1" si="105"/>
        <v>411.53623377438271</v>
      </c>
      <c r="BK100" s="6">
        <f t="shared" ca="1" si="106"/>
        <v>9.6384228571512867E-2</v>
      </c>
      <c r="BL100" s="6">
        <f t="shared" ca="1" si="107"/>
        <v>0.9953442020138934</v>
      </c>
      <c r="BM100" s="6">
        <f t="shared" ca="1" si="108"/>
        <v>1.4742622372648475</v>
      </c>
      <c r="BN100" s="6">
        <f t="shared" ca="1" si="109"/>
        <v>2.1993947885326945</v>
      </c>
      <c r="BO100" s="9">
        <f t="shared" ca="1" si="110"/>
        <v>-27.250154176278372</v>
      </c>
      <c r="BP100" s="9">
        <f t="shared" ca="1" si="111"/>
        <v>557.53924510647244</v>
      </c>
      <c r="BQ100">
        <f t="shared" ca="1" si="112"/>
        <v>558.20478387105038</v>
      </c>
      <c r="BR100">
        <f t="shared" ca="1" si="113"/>
        <v>-4.8817485918525139E-2</v>
      </c>
      <c r="BS100">
        <f t="shared" ca="1" si="114"/>
        <v>0.99880771576344696</v>
      </c>
      <c r="BT100">
        <f t="shared" ca="1" si="115"/>
        <v>1.6196332234106072</v>
      </c>
      <c r="BU100" s="39">
        <f t="shared" ca="1" si="116"/>
        <v>1.6196332234106072</v>
      </c>
    </row>
    <row r="101" spans="1:73" x14ac:dyDescent="0.25">
      <c r="A101" s="8" t="s">
        <v>77</v>
      </c>
      <c r="B101" s="1">
        <f>B100*E99</f>
        <v>8486.4</v>
      </c>
      <c r="C101" t="s">
        <v>69</v>
      </c>
      <c r="AS101">
        <v>1.7278759594743882</v>
      </c>
      <c r="AT101">
        <v>-30.59402838832526</v>
      </c>
      <c r="AU101">
        <v>557.42071182754614</v>
      </c>
      <c r="AV101" s="6">
        <f t="shared" si="92"/>
        <v>1.6256263018044352</v>
      </c>
      <c r="AW101" s="6">
        <f t="shared" si="93"/>
        <v>0.10224965766995298</v>
      </c>
      <c r="AX101" s="6">
        <f t="shared" si="94"/>
        <v>-1.625626301804435</v>
      </c>
      <c r="AY101" s="6">
        <f t="shared" si="95"/>
        <v>1.625626301804435</v>
      </c>
      <c r="BE101" s="39"/>
      <c r="BF101" s="39"/>
      <c r="BG101" s="6">
        <f t="shared" si="102"/>
        <v>1.5009831567151251</v>
      </c>
      <c r="BH101" s="9">
        <f t="shared" ca="1" si="103"/>
        <v>39.426761239779118</v>
      </c>
      <c r="BI101" s="9">
        <f t="shared" ca="1" si="104"/>
        <v>409.63900285421789</v>
      </c>
      <c r="BJ101">
        <f t="shared" ca="1" si="105"/>
        <v>411.53199409190108</v>
      </c>
      <c r="BK101" s="6">
        <f t="shared" ca="1" si="106"/>
        <v>9.5804850669701638E-2</v>
      </c>
      <c r="BL101" s="6">
        <f t="shared" ca="1" si="107"/>
        <v>0.99540013591929755</v>
      </c>
      <c r="BM101" s="6">
        <f t="shared" ca="1" si="108"/>
        <v>1.4748443088793821</v>
      </c>
      <c r="BN101" s="6">
        <f t="shared" ca="1" si="109"/>
        <v>2.1999768601472294</v>
      </c>
      <c r="BO101" s="9">
        <f t="shared" ca="1" si="110"/>
        <v>-27.488995358068912</v>
      </c>
      <c r="BP101" s="9">
        <f t="shared" ca="1" si="111"/>
        <v>557.55804375472428</v>
      </c>
      <c r="BQ101">
        <f t="shared" ca="1" si="112"/>
        <v>558.23527031296669</v>
      </c>
      <c r="BR101">
        <f t="shared" ca="1" si="113"/>
        <v>-4.9242670286056264E-2</v>
      </c>
      <c r="BS101">
        <f t="shared" ca="1" si="114"/>
        <v>0.99878684383761218</v>
      </c>
      <c r="BT101">
        <f t="shared" ca="1" si="115"/>
        <v>1.6200589197653221</v>
      </c>
      <c r="BU101" s="39">
        <f t="shared" ca="1" si="116"/>
        <v>1.6200589197653221</v>
      </c>
    </row>
    <row r="102" spans="1:73" x14ac:dyDescent="0.25">
      <c r="A102" s="8" t="s">
        <v>125</v>
      </c>
      <c r="B102" s="1">
        <f>B100*D99*-1</f>
        <v>0</v>
      </c>
      <c r="C102" t="s">
        <v>69</v>
      </c>
      <c r="J102" t="s">
        <v>127</v>
      </c>
      <c r="AS102">
        <v>1.7453292519943315</v>
      </c>
      <c r="AT102">
        <v>-30.838046937287871</v>
      </c>
      <c r="AU102">
        <v>557.37987393065214</v>
      </c>
      <c r="AV102" s="6">
        <f t="shared" si="92"/>
        <v>1.6260667812696641</v>
      </c>
      <c r="AW102" s="6">
        <f t="shared" si="93"/>
        <v>0.11926247072466745</v>
      </c>
      <c r="AX102" s="6">
        <f t="shared" si="94"/>
        <v>-1.6260667812696639</v>
      </c>
      <c r="AY102" s="6">
        <f t="shared" si="95"/>
        <v>1.6260667812696639</v>
      </c>
      <c r="BE102" s="39"/>
      <c r="BF102" s="39"/>
      <c r="BG102" s="6">
        <f t="shared" si="102"/>
        <v>1.5184364492350684</v>
      </c>
      <c r="BH102" s="9">
        <f t="shared" ca="1" si="103"/>
        <v>39.188502396516263</v>
      </c>
      <c r="BI102" s="9">
        <f t="shared" ca="1" si="104"/>
        <v>409.65357650617989</v>
      </c>
      <c r="BJ102">
        <f t="shared" ca="1" si="105"/>
        <v>411.52374350016106</v>
      </c>
      <c r="BK102" s="6">
        <f t="shared" ca="1" si="106"/>
        <v>9.5227804022202003E-2</v>
      </c>
      <c r="BL102" s="6">
        <f t="shared" ca="1" si="107"/>
        <v>0.99545550645978598</v>
      </c>
      <c r="BM102" s="6">
        <f t="shared" ca="1" si="108"/>
        <v>1.4754240059895658</v>
      </c>
      <c r="BN102" s="6">
        <f t="shared" ca="1" si="109"/>
        <v>2.2005565572574128</v>
      </c>
      <c r="BO102" s="9">
        <f t="shared" ca="1" si="110"/>
        <v>-27.727254201331768</v>
      </c>
      <c r="BP102" s="9">
        <f t="shared" ca="1" si="111"/>
        <v>557.57261740668628</v>
      </c>
      <c r="BQ102">
        <f t="shared" ca="1" si="112"/>
        <v>558.26160920064012</v>
      </c>
      <c r="BR102">
        <f t="shared" ca="1" si="113"/>
        <v>-4.9667134089757099E-2</v>
      </c>
      <c r="BS102">
        <f t="shared" ca="1" si="114"/>
        <v>0.99876582630329824</v>
      </c>
      <c r="BT102">
        <f t="shared" ca="1" si="115"/>
        <v>1.620483903600449</v>
      </c>
      <c r="BU102" s="39">
        <f t="shared" ca="1" si="116"/>
        <v>1.620483903600449</v>
      </c>
    </row>
    <row r="103" spans="1:73" x14ac:dyDescent="0.25">
      <c r="F103" s="1" t="s">
        <v>126</v>
      </c>
      <c r="G103" s="1" t="s">
        <v>100</v>
      </c>
      <c r="H103" s="1" t="s">
        <v>101</v>
      </c>
      <c r="J103" s="1" t="s">
        <v>126</v>
      </c>
      <c r="K103" s="1" t="s">
        <v>100</v>
      </c>
      <c r="L103" s="1" t="s">
        <v>101</v>
      </c>
      <c r="AS103">
        <v>1.7627825445142749</v>
      </c>
      <c r="AT103">
        <v>-31.083572203945483</v>
      </c>
      <c r="AU103">
        <v>557.33436492749979</v>
      </c>
      <c r="AV103" s="6">
        <f t="shared" si="92"/>
        <v>1.626510464822583</v>
      </c>
      <c r="AW103" s="6">
        <f t="shared" si="93"/>
        <v>0.13627207969169186</v>
      </c>
      <c r="AX103" s="6">
        <f t="shared" si="94"/>
        <v>-1.6265104648225828</v>
      </c>
      <c r="AY103" s="6">
        <f t="shared" si="95"/>
        <v>1.6265104648225828</v>
      </c>
      <c r="BE103" s="39"/>
      <c r="BF103" s="39"/>
      <c r="BG103" s="6">
        <f t="shared" si="102"/>
        <v>1.5358897417550117</v>
      </c>
      <c r="BH103" s="9">
        <f t="shared" ca="1" si="103"/>
        <v>38.950679062822957</v>
      </c>
      <c r="BI103" s="9">
        <f t="shared" ca="1" si="104"/>
        <v>409.66396088783119</v>
      </c>
      <c r="BJ103">
        <f t="shared" ca="1" si="105"/>
        <v>411.51150196532967</v>
      </c>
      <c r="BK103" s="6">
        <f t="shared" ca="1" si="106"/>
        <v>9.465271049970457E-2</v>
      </c>
      <c r="BL103" s="6">
        <f t="shared" ca="1" si="107"/>
        <v>0.99551035373574048</v>
      </c>
      <c r="BM103" s="6">
        <f t="shared" ca="1" si="108"/>
        <v>1.4760017090210447</v>
      </c>
      <c r="BN103" s="6">
        <f t="shared" ca="1" si="109"/>
        <v>2.2011342602888915</v>
      </c>
      <c r="BO103" s="9">
        <f t="shared" ca="1" si="110"/>
        <v>-27.965077535025074</v>
      </c>
      <c r="BP103" s="9">
        <f t="shared" ca="1" si="111"/>
        <v>557.58300178833758</v>
      </c>
      <c r="BQ103">
        <f t="shared" ca="1" si="112"/>
        <v>558.28384308059037</v>
      </c>
      <c r="BR103">
        <f t="shared" ca="1" si="113"/>
        <v>-5.0091146074933444E-2</v>
      </c>
      <c r="BS103">
        <f t="shared" ca="1" si="114"/>
        <v>0.99874465059138096</v>
      </c>
      <c r="BT103">
        <f t="shared" ca="1" si="115"/>
        <v>1.6209084440308623</v>
      </c>
      <c r="BU103" s="39">
        <f t="shared" ca="1" si="116"/>
        <v>1.6209084440308623</v>
      </c>
    </row>
    <row r="104" spans="1:73" x14ac:dyDescent="0.25">
      <c r="A104">
        <f>A15</f>
        <v>1</v>
      </c>
      <c r="B104">
        <f t="shared" ref="B104:C104" si="122">B15</f>
        <v>0</v>
      </c>
      <c r="C104">
        <f t="shared" ca="1" si="122"/>
        <v>0</v>
      </c>
      <c r="D104" s="9">
        <f>D15-$I$2</f>
        <v>-27</v>
      </c>
      <c r="E104" s="5">
        <f>E15-$I$3</f>
        <v>10</v>
      </c>
      <c r="F104" s="5">
        <f ca="1">($B$12-$B$31)*C104*0.65</f>
        <v>0</v>
      </c>
      <c r="G104">
        <f ca="1">E104*F104</f>
        <v>0</v>
      </c>
      <c r="H104">
        <f ca="1">D104*F104*-1</f>
        <v>0</v>
      </c>
      <c r="J104">
        <f ca="1">-1*C104*$B$12*0.9</f>
        <v>0</v>
      </c>
      <c r="K104">
        <f ca="1">E104*J104</f>
        <v>0</v>
      </c>
      <c r="L104">
        <f ca="1">D104*J104*-1</f>
        <v>0</v>
      </c>
      <c r="AS104">
        <v>1.7802358370342182</v>
      </c>
      <c r="AT104">
        <v>-31.330769238481228</v>
      </c>
      <c r="AU104">
        <v>557.28406813337142</v>
      </c>
      <c r="AV104" s="6">
        <f t="shared" si="92"/>
        <v>1.6269576707292441</v>
      </c>
      <c r="AW104" s="6">
        <f t="shared" si="93"/>
        <v>0.15327816630497404</v>
      </c>
      <c r="AX104" s="6">
        <f t="shared" si="94"/>
        <v>-1.6269576707292439</v>
      </c>
      <c r="AY104" s="6">
        <f t="shared" si="95"/>
        <v>1.6269576707292439</v>
      </c>
      <c r="BE104" s="39"/>
      <c r="BF104" s="39"/>
      <c r="BG104" s="6">
        <f t="shared" si="102"/>
        <v>1.553343034274955</v>
      </c>
      <c r="BH104" s="9">
        <f t="shared" ca="1" si="103"/>
        <v>38.713145480293178</v>
      </c>
      <c r="BI104" s="9">
        <f t="shared" ca="1" si="104"/>
        <v>409.67018139619097</v>
      </c>
      <c r="BJ104">
        <f t="shared" ca="1" si="105"/>
        <v>411.49527963047933</v>
      </c>
      <c r="BK104" s="6">
        <f t="shared" ca="1" si="106"/>
        <v>9.4079197008182902E-2</v>
      </c>
      <c r="BL104" s="6">
        <f t="shared" ca="1" si="107"/>
        <v>0.99556471647517486</v>
      </c>
      <c r="BM104" s="6">
        <f t="shared" ca="1" si="108"/>
        <v>1.4765777932523638</v>
      </c>
      <c r="BN104" s="6">
        <f t="shared" ca="1" si="109"/>
        <v>2.2017103445202109</v>
      </c>
      <c r="BO104" s="9">
        <f t="shared" ca="1" si="110"/>
        <v>-28.202611117554852</v>
      </c>
      <c r="BP104" s="9">
        <f t="shared" ca="1" si="111"/>
        <v>557.58922229669736</v>
      </c>
      <c r="BQ104">
        <f t="shared" ca="1" si="112"/>
        <v>558.30200438049997</v>
      </c>
      <c r="BR104">
        <f t="shared" ca="1" si="113"/>
        <v>-5.0514973788870557E-2</v>
      </c>
      <c r="BS104">
        <f t="shared" ca="1" si="114"/>
        <v>0.99872330373487817</v>
      </c>
      <c r="BT104">
        <f t="shared" ca="1" si="115"/>
        <v>1.6213328089941736</v>
      </c>
      <c r="BU104" s="39">
        <f t="shared" ca="1" si="116"/>
        <v>1.6213328089941736</v>
      </c>
    </row>
    <row r="105" spans="1:73" x14ac:dyDescent="0.25">
      <c r="A105">
        <f t="shared" ref="A105:C113" si="123">A16</f>
        <v>2</v>
      </c>
      <c r="B105">
        <f t="shared" si="123"/>
        <v>0</v>
      </c>
      <c r="C105">
        <f t="shared" ca="1" si="123"/>
        <v>0</v>
      </c>
      <c r="D105" s="9">
        <f t="shared" ref="D105:D113" si="124">D16-$I$2</f>
        <v>-17</v>
      </c>
      <c r="E105" s="5">
        <f t="shared" ref="E105:E113" si="125">E16-$I$3</f>
        <v>10</v>
      </c>
      <c r="F105" s="5">
        <f t="shared" ref="F105:F113" ca="1" si="126">($B$12-$B$31)*C105*0.65</f>
        <v>0</v>
      </c>
      <c r="G105">
        <f t="shared" ref="G105:G113" ca="1" si="127">E105*F105</f>
        <v>0</v>
      </c>
      <c r="H105">
        <f t="shared" ref="H105:H113" ca="1" si="128">D105*F105*-1</f>
        <v>0</v>
      </c>
      <c r="J105">
        <f t="shared" ref="J105:J113" ca="1" si="129">-1*C105*$B$12*0.9</f>
        <v>0</v>
      </c>
      <c r="K105">
        <f t="shared" ref="K105:K113" ca="1" si="130">E105*J105</f>
        <v>0</v>
      </c>
      <c r="L105">
        <f t="shared" ref="L105:L113" ca="1" si="131">D105*J105*-1</f>
        <v>0</v>
      </c>
      <c r="AS105">
        <v>1.7976891295541615</v>
      </c>
      <c r="AT105">
        <v>-31.5798073997709</v>
      </c>
      <c r="AU105">
        <v>557.22885328885241</v>
      </c>
      <c r="AV105" s="6">
        <f t="shared" si="92"/>
        <v>1.6274087269291502</v>
      </c>
      <c r="AW105" s="6">
        <f t="shared" si="93"/>
        <v>0.17028040262501132</v>
      </c>
      <c r="AX105" s="6">
        <f t="shared" si="94"/>
        <v>-1.62740872692915</v>
      </c>
      <c r="AY105" s="6">
        <f t="shared" si="95"/>
        <v>1.62740872692915</v>
      </c>
      <c r="BE105" s="39"/>
      <c r="BF105" s="39"/>
      <c r="BG105" s="6">
        <f t="shared" si="102"/>
        <v>1.5707963267948983</v>
      </c>
      <c r="BH105" s="9">
        <f t="shared" ca="1" si="103"/>
        <v>38.475756598505598</v>
      </c>
      <c r="BI105" s="9">
        <f t="shared" ca="1" si="104"/>
        <v>409.67225321914816</v>
      </c>
      <c r="BJ105">
        <f t="shared" ca="1" si="105"/>
        <v>411.4750768922479</v>
      </c>
      <c r="BK105" s="6">
        <f t="shared" ca="1" si="106"/>
        <v>9.3506894485813924E-2</v>
      </c>
      <c r="BL105" s="6">
        <f t="shared" ca="1" si="107"/>
        <v>0.99561863214968949</v>
      </c>
      <c r="BM105" s="6">
        <f t="shared" ca="1" si="108"/>
        <v>1.4771526298258064</v>
      </c>
      <c r="BN105" s="6">
        <f t="shared" ca="1" si="109"/>
        <v>2.2022851810936537</v>
      </c>
      <c r="BO105" s="9">
        <f t="shared" ca="1" si="110"/>
        <v>-28.439999999342433</v>
      </c>
      <c r="BP105" s="9">
        <f t="shared" ca="1" si="111"/>
        <v>557.59129411965455</v>
      </c>
      <c r="BQ105">
        <f t="shared" ca="1" si="112"/>
        <v>558.31611554565904</v>
      </c>
      <c r="BR105">
        <f t="shared" ca="1" si="113"/>
        <v>-5.0938884276244059E-2</v>
      </c>
      <c r="BS105">
        <f t="shared" ca="1" si="114"/>
        <v>0.99870177233681301</v>
      </c>
      <c r="BT105">
        <f t="shared" ca="1" si="115"/>
        <v>1.6217572659473654</v>
      </c>
      <c r="BU105" s="39">
        <f t="shared" ca="1" si="116"/>
        <v>1.6217572659473654</v>
      </c>
    </row>
    <row r="106" spans="1:73" x14ac:dyDescent="0.25">
      <c r="A106">
        <f t="shared" si="123"/>
        <v>3</v>
      </c>
      <c r="B106">
        <f t="shared" si="123"/>
        <v>0</v>
      </c>
      <c r="C106">
        <f t="shared" ca="1" si="123"/>
        <v>0</v>
      </c>
      <c r="D106" s="9">
        <f t="shared" si="124"/>
        <v>-7</v>
      </c>
      <c r="E106" s="5">
        <f t="shared" si="125"/>
        <v>10</v>
      </c>
      <c r="F106" s="5">
        <f t="shared" ca="1" si="126"/>
        <v>0</v>
      </c>
      <c r="G106">
        <f t="shared" ca="1" si="127"/>
        <v>0</v>
      </c>
      <c r="H106">
        <f t="shared" ca="1" si="128"/>
        <v>0</v>
      </c>
      <c r="J106">
        <f t="shared" ca="1" si="129"/>
        <v>0</v>
      </c>
      <c r="K106">
        <f t="shared" ca="1" si="130"/>
        <v>0</v>
      </c>
      <c r="L106">
        <f t="shared" ca="1" si="131"/>
        <v>0</v>
      </c>
      <c r="AS106">
        <v>1.8151424220741048</v>
      </c>
      <c r="AT106">
        <v>-31.830860839162582</v>
      </c>
      <c r="AU106">
        <v>557.16857583572278</v>
      </c>
      <c r="AV106" s="6">
        <f t="shared" si="92"/>
        <v>1.6278639720656418</v>
      </c>
      <c r="AW106" s="6">
        <f t="shared" si="93"/>
        <v>0.18727845000846299</v>
      </c>
      <c r="AX106" s="6">
        <f t="shared" si="94"/>
        <v>-1.6278639720656416</v>
      </c>
      <c r="AY106" s="6">
        <f t="shared" si="95"/>
        <v>1.6278639720656416</v>
      </c>
      <c r="BE106" s="39"/>
      <c r="BF106" s="39"/>
      <c r="BG106" s="6">
        <f t="shared" si="102"/>
        <v>1.5882496193148417</v>
      </c>
      <c r="BH106" s="9">
        <f t="shared" ca="1" si="103"/>
        <v>38.238367715479626</v>
      </c>
      <c r="BI106" s="9">
        <f t="shared" ca="1" si="104"/>
        <v>409.67018139995832</v>
      </c>
      <c r="BJ106">
        <f t="shared" ca="1" si="105"/>
        <v>411.45088442464066</v>
      </c>
      <c r="BK106" s="6">
        <f t="shared" ca="1" si="106"/>
        <v>9.293543692086334E-2</v>
      </c>
      <c r="BL106" s="6">
        <f t="shared" ca="1" si="107"/>
        <v>0.99567213708345181</v>
      </c>
      <c r="BM106" s="6">
        <f t="shared" ca="1" si="108"/>
        <v>1.4777265867366627</v>
      </c>
      <c r="BN106" s="6">
        <f t="shared" ca="1" si="109"/>
        <v>2.2028591380045097</v>
      </c>
      <c r="BO106" s="9">
        <f t="shared" ca="1" si="110"/>
        <v>-28.677388882368405</v>
      </c>
      <c r="BP106" s="9">
        <f t="shared" ca="1" si="111"/>
        <v>557.58922230046471</v>
      </c>
      <c r="BQ106">
        <f t="shared" ca="1" si="112"/>
        <v>558.32618912133046</v>
      </c>
      <c r="BR106">
        <f t="shared" ca="1" si="113"/>
        <v>-5.1363144772950085E-2</v>
      </c>
      <c r="BS106">
        <f t="shared" ca="1" si="114"/>
        <v>0.99868004253566267</v>
      </c>
      <c r="BT106">
        <f t="shared" ca="1" si="115"/>
        <v>1.6221820825619622</v>
      </c>
      <c r="BU106" s="39">
        <f t="shared" ca="1" si="116"/>
        <v>1.6221820825619622</v>
      </c>
    </row>
    <row r="107" spans="1:73" x14ac:dyDescent="0.25">
      <c r="A107">
        <f t="shared" si="123"/>
        <v>4</v>
      </c>
      <c r="B107">
        <f t="shared" si="123"/>
        <v>0</v>
      </c>
      <c r="C107">
        <f t="shared" ca="1" si="123"/>
        <v>0</v>
      </c>
      <c r="D107" s="9">
        <f t="shared" si="124"/>
        <v>3</v>
      </c>
      <c r="E107" s="5">
        <f t="shared" si="125"/>
        <v>10</v>
      </c>
      <c r="F107" s="5">
        <f t="shared" ca="1" si="126"/>
        <v>0</v>
      </c>
      <c r="G107">
        <f t="shared" ca="1" si="127"/>
        <v>0</v>
      </c>
      <c r="H107">
        <f t="shared" ca="1" si="128"/>
        <v>0</v>
      </c>
      <c r="J107">
        <f t="shared" ca="1" si="129"/>
        <v>0</v>
      </c>
      <c r="K107">
        <f t="shared" ca="1" si="130"/>
        <v>0</v>
      </c>
      <c r="L107">
        <f t="shared" ca="1" si="131"/>
        <v>0</v>
      </c>
      <c r="AS107">
        <v>1.8325957145940481</v>
      </c>
      <c r="AT107">
        <v>-32.084109016854335</v>
      </c>
      <c r="AU107">
        <v>557.10307608415849</v>
      </c>
      <c r="AV107" s="6">
        <f t="shared" si="92"/>
        <v>1.6283237565938271</v>
      </c>
      <c r="AW107" s="6">
        <f t="shared" si="93"/>
        <v>0.20427195800022102</v>
      </c>
      <c r="AX107" s="6">
        <f t="shared" si="94"/>
        <v>-1.6283237565938269</v>
      </c>
      <c r="AY107" s="6">
        <f t="shared" si="95"/>
        <v>1.6283237565938269</v>
      </c>
      <c r="BE107" s="39"/>
      <c r="BF107" s="39"/>
      <c r="BG107" s="6">
        <f t="shared" si="102"/>
        <v>1.605702911834785</v>
      </c>
      <c r="BH107" s="9">
        <f t="shared" ca="1" si="103"/>
        <v>38.00083413314232</v>
      </c>
      <c r="BI107" s="9">
        <f t="shared" ca="1" si="104"/>
        <v>409.66396088934221</v>
      </c>
      <c r="BJ107">
        <f t="shared" ca="1" si="105"/>
        <v>411.4226831937674</v>
      </c>
      <c r="BK107" s="6">
        <f t="shared" ca="1" si="106"/>
        <v>9.2364460408822666E-2</v>
      </c>
      <c r="BL107" s="6">
        <f t="shared" ca="1" si="107"/>
        <v>0.99572526655367499</v>
      </c>
      <c r="BM107" s="6">
        <f t="shared" ca="1" si="108"/>
        <v>1.4783000297825875</v>
      </c>
      <c r="BN107" s="6">
        <f t="shared" ca="1" si="109"/>
        <v>2.2034325810504347</v>
      </c>
      <c r="BO107" s="9">
        <f t="shared" ca="1" si="110"/>
        <v>-28.914922464705711</v>
      </c>
      <c r="BP107" s="9">
        <f t="shared" ca="1" si="111"/>
        <v>557.58300178984859</v>
      </c>
      <c r="BQ107">
        <f t="shared" ca="1" si="112"/>
        <v>558.33222782329005</v>
      </c>
      <c r="BR107">
        <f t="shared" ca="1" si="113"/>
        <v>-5.178802337352658E-2</v>
      </c>
      <c r="BS107">
        <f t="shared" ca="1" si="114"/>
        <v>0.9986580999696858</v>
      </c>
      <c r="BT107">
        <f t="shared" ca="1" si="115"/>
        <v>1.6226075273928857</v>
      </c>
      <c r="BU107" s="39">
        <f t="shared" ca="1" si="116"/>
        <v>1.6226075273928857</v>
      </c>
    </row>
    <row r="108" spans="1:73" x14ac:dyDescent="0.25">
      <c r="A108">
        <f t="shared" si="123"/>
        <v>5</v>
      </c>
      <c r="B108">
        <f t="shared" si="123"/>
        <v>8</v>
      </c>
      <c r="C108">
        <f t="shared" ca="1" si="123"/>
        <v>0.79</v>
      </c>
      <c r="D108" s="9">
        <f t="shared" si="124"/>
        <v>-3</v>
      </c>
      <c r="E108" s="5">
        <f t="shared" si="125"/>
        <v>10</v>
      </c>
      <c r="F108" s="5">
        <f t="shared" ca="1" si="126"/>
        <v>28.627625000000002</v>
      </c>
      <c r="G108">
        <f t="shared" ca="1" si="127"/>
        <v>286.27625</v>
      </c>
      <c r="H108">
        <f t="shared" ca="1" si="128"/>
        <v>85.882875000000013</v>
      </c>
      <c r="J108">
        <f t="shared" ca="1" si="129"/>
        <v>-42.660000000000004</v>
      </c>
      <c r="K108">
        <f t="shared" ca="1" si="130"/>
        <v>-426.6</v>
      </c>
      <c r="L108">
        <f t="shared" ca="1" si="131"/>
        <v>-127.98000000000002</v>
      </c>
      <c r="AS108">
        <v>1.8500490071139915</v>
      </c>
      <c r="AT108">
        <v>-32.339737246055051</v>
      </c>
      <c r="AU108">
        <v>557.03217828792845</v>
      </c>
      <c r="AV108" s="6">
        <f t="shared" si="92"/>
        <v>1.6287884439570528</v>
      </c>
      <c r="AW108" s="6">
        <f t="shared" si="93"/>
        <v>0.22126056315693865</v>
      </c>
      <c r="AX108" s="6">
        <f t="shared" si="94"/>
        <v>-1.6287884439570526</v>
      </c>
      <c r="AY108" s="6">
        <f t="shared" si="95"/>
        <v>1.6287884439570526</v>
      </c>
      <c r="BE108" s="39"/>
      <c r="BF108" s="39"/>
      <c r="BG108" s="6">
        <f t="shared" si="102"/>
        <v>1.6231562043547283</v>
      </c>
      <c r="BH108" s="9">
        <f t="shared" ca="1" si="103"/>
        <v>37.763010799569244</v>
      </c>
      <c r="BI108" s="9">
        <f t="shared" ca="1" si="104"/>
        <v>409.65357650481121</v>
      </c>
      <c r="BJ108">
        <f t="shared" ca="1" si="105"/>
        <v>411.39044438079941</v>
      </c>
      <c r="BK108" s="6">
        <f t="shared" ca="1" si="106"/>
        <v>9.1793602198047886E-2</v>
      </c>
      <c r="BL108" s="6">
        <f t="shared" ca="1" si="107"/>
        <v>0.99577805488748672</v>
      </c>
      <c r="BM108" s="6">
        <f t="shared" ca="1" si="108"/>
        <v>1.4788733235240477</v>
      </c>
      <c r="BN108" s="6">
        <f t="shared" ca="1" si="109"/>
        <v>2.2040058747918945</v>
      </c>
      <c r="BO108" s="9">
        <f t="shared" ca="1" si="110"/>
        <v>-29.152745798278787</v>
      </c>
      <c r="BP108" s="9">
        <f t="shared" ca="1" si="111"/>
        <v>557.5726174053176</v>
      </c>
      <c r="BQ108">
        <f t="shared" ca="1" si="112"/>
        <v>558.33422451771287</v>
      </c>
      <c r="BR108">
        <f t="shared" ca="1" si="113"/>
        <v>-5.2213789730444743E-2</v>
      </c>
      <c r="BS108">
        <f t="shared" ca="1" si="114"/>
        <v>0.99863592973715132</v>
      </c>
      <c r="BT108">
        <f t="shared" ca="1" si="115"/>
        <v>1.6230338705793534</v>
      </c>
      <c r="BU108" s="39">
        <f t="shared" ca="1" si="116"/>
        <v>1.6230338705793534</v>
      </c>
    </row>
    <row r="109" spans="1:73" x14ac:dyDescent="0.25">
      <c r="A109">
        <f t="shared" si="123"/>
        <v>6</v>
      </c>
      <c r="B109">
        <f t="shared" si="123"/>
        <v>8</v>
      </c>
      <c r="C109">
        <f t="shared" ca="1" si="123"/>
        <v>0.79</v>
      </c>
      <c r="D109" s="9">
        <f t="shared" si="124"/>
        <v>7</v>
      </c>
      <c r="E109" s="5">
        <f t="shared" si="125"/>
        <v>10</v>
      </c>
      <c r="F109" s="5">
        <f t="shared" ca="1" si="126"/>
        <v>28.627625000000002</v>
      </c>
      <c r="G109">
        <f t="shared" ca="1" si="127"/>
        <v>286.27625</v>
      </c>
      <c r="H109">
        <f t="shared" ca="1" si="128"/>
        <v>-200.39337500000002</v>
      </c>
      <c r="J109">
        <f t="shared" ca="1" si="129"/>
        <v>-42.660000000000004</v>
      </c>
      <c r="K109">
        <f t="shared" ca="1" si="130"/>
        <v>-426.6</v>
      </c>
      <c r="L109">
        <f t="shared" ca="1" si="131"/>
        <v>298.62</v>
      </c>
      <c r="AS109">
        <v>1.8675022996339348</v>
      </c>
      <c r="AT109">
        <v>-32.597937267999171</v>
      </c>
      <c r="AU109">
        <v>556.95568961997515</v>
      </c>
      <c r="AV109" s="6">
        <f t="shared" si="92"/>
        <v>1.6292584118395637</v>
      </c>
      <c r="AW109" s="6">
        <f t="shared" si="93"/>
        <v>0.23824388779437111</v>
      </c>
      <c r="AX109" s="6">
        <f t="shared" si="94"/>
        <v>-1.6292584118395634</v>
      </c>
      <c r="AY109" s="6">
        <f t="shared" si="95"/>
        <v>1.6292584118395634</v>
      </c>
      <c r="BE109" s="39"/>
      <c r="BF109" s="39"/>
      <c r="BG109" s="6">
        <f t="shared" si="102"/>
        <v>1.6406094968746716</v>
      </c>
      <c r="BH109" s="9">
        <f t="shared" ca="1" si="103"/>
        <v>37.524751955090892</v>
      </c>
      <c r="BI109" s="9">
        <f t="shared" ca="1" si="104"/>
        <v>409.6390028547529</v>
      </c>
      <c r="BJ109">
        <f t="shared" ca="1" si="105"/>
        <v>411.35412927200252</v>
      </c>
      <c r="BK109" s="6">
        <f t="shared" ca="1" si="106"/>
        <v>9.1222499751006852E-2</v>
      </c>
      <c r="BL109" s="6">
        <f t="shared" ca="1" si="107"/>
        <v>0.99583053555270007</v>
      </c>
      <c r="BM109" s="6">
        <f t="shared" ca="1" si="108"/>
        <v>1.4794468322286485</v>
      </c>
      <c r="BN109" s="6">
        <f t="shared" ca="1" si="109"/>
        <v>2.2045793834964957</v>
      </c>
      <c r="BO109" s="9">
        <f t="shared" ca="1" si="110"/>
        <v>-29.391004642757139</v>
      </c>
      <c r="BP109" s="9">
        <f t="shared" ca="1" si="111"/>
        <v>557.55804375525929</v>
      </c>
      <c r="BQ109">
        <f t="shared" ca="1" si="112"/>
        <v>558.33216216702237</v>
      </c>
      <c r="BR109">
        <f t="shared" ca="1" si="113"/>
        <v>-5.2640715750071662E-2</v>
      </c>
      <c r="BS109">
        <f t="shared" ca="1" si="114"/>
        <v>0.99861351635421014</v>
      </c>
      <c r="BT109">
        <f t="shared" ca="1" si="115"/>
        <v>1.6234613845425792</v>
      </c>
      <c r="BU109" s="39">
        <f t="shared" ca="1" si="116"/>
        <v>1.6234613845425792</v>
      </c>
    </row>
    <row r="110" spans="1:73" x14ac:dyDescent="0.25">
      <c r="A110">
        <f t="shared" si="123"/>
        <v>7</v>
      </c>
      <c r="B110">
        <f t="shared" si="123"/>
        <v>8</v>
      </c>
      <c r="C110">
        <f t="shared" ca="1" si="123"/>
        <v>0.79</v>
      </c>
      <c r="D110" s="9">
        <f t="shared" si="124"/>
        <v>17</v>
      </c>
      <c r="E110" s="5">
        <f t="shared" si="125"/>
        <v>10</v>
      </c>
      <c r="F110" s="5">
        <f t="shared" ca="1" si="126"/>
        <v>28.627625000000002</v>
      </c>
      <c r="G110">
        <f t="shared" ca="1" si="127"/>
        <v>286.27625</v>
      </c>
      <c r="H110">
        <f t="shared" ca="1" si="128"/>
        <v>-486.66962500000005</v>
      </c>
      <c r="J110">
        <f t="shared" ca="1" si="129"/>
        <v>-42.660000000000004</v>
      </c>
      <c r="K110">
        <f t="shared" ca="1" si="130"/>
        <v>-426.6</v>
      </c>
      <c r="L110">
        <f t="shared" ca="1" si="131"/>
        <v>725.22</v>
      </c>
      <c r="AS110">
        <v>1.8849555921538781</v>
      </c>
      <c r="AT110">
        <v>-32.858907869060403</v>
      </c>
      <c r="AU110">
        <v>556.87339901555242</v>
      </c>
      <c r="AV110" s="6">
        <f t="shared" si="92"/>
        <v>1.6297340535204585</v>
      </c>
      <c r="AW110" s="6">
        <f t="shared" si="93"/>
        <v>0.25522153863341956</v>
      </c>
      <c r="AX110" s="6">
        <f t="shared" si="94"/>
        <v>-1.6297340535204583</v>
      </c>
      <c r="AY110" s="6">
        <f t="shared" si="95"/>
        <v>1.6297340535204583</v>
      </c>
      <c r="BE110" s="39"/>
      <c r="BF110" s="39"/>
      <c r="BG110" s="6">
        <f t="shared" si="102"/>
        <v>1.6580627893946149</v>
      </c>
      <c r="BH110" s="9">
        <f t="shared" ca="1" si="103"/>
        <v>37.285910774186704</v>
      </c>
      <c r="BI110" s="9">
        <f t="shared" ca="1" si="104"/>
        <v>409.62020420756005</v>
      </c>
      <c r="BJ110">
        <f t="shared" ca="1" si="105"/>
        <v>411.31368909544426</v>
      </c>
      <c r="BK110" s="6">
        <f t="shared" ca="1" si="106"/>
        <v>9.06507898051859E-2</v>
      </c>
      <c r="BL110" s="6">
        <f t="shared" ca="1" si="107"/>
        <v>0.99588274124401621</v>
      </c>
      <c r="BM110" s="6">
        <f t="shared" ca="1" si="108"/>
        <v>1.4800209208153736</v>
      </c>
      <c r="BN110" s="6">
        <f t="shared" ca="1" si="109"/>
        <v>2.2051534720832207</v>
      </c>
      <c r="BO110" s="9">
        <f t="shared" ca="1" si="110"/>
        <v>-29.629845823661327</v>
      </c>
      <c r="BP110" s="9">
        <f t="shared" ca="1" si="111"/>
        <v>557.53924510806644</v>
      </c>
      <c r="BQ110">
        <f t="shared" ca="1" si="112"/>
        <v>558.3260137224546</v>
      </c>
      <c r="BR110">
        <f t="shared" ca="1" si="113"/>
        <v>-5.3069076302058898E-2</v>
      </c>
      <c r="BS110">
        <f t="shared" ca="1" si="114"/>
        <v>0.99859084370949758</v>
      </c>
      <c r="BT110">
        <f t="shared" ca="1" si="115"/>
        <v>1.6238903446970674</v>
      </c>
      <c r="BU110" s="39">
        <f t="shared" ca="1" si="116"/>
        <v>1.6238903446970674</v>
      </c>
    </row>
    <row r="111" spans="1:73" x14ac:dyDescent="0.25">
      <c r="A111">
        <f t="shared" si="123"/>
        <v>8</v>
      </c>
      <c r="B111">
        <f t="shared" si="123"/>
        <v>8</v>
      </c>
      <c r="C111">
        <f t="shared" ca="1" si="123"/>
        <v>0.79</v>
      </c>
      <c r="D111" s="9">
        <f t="shared" si="124"/>
        <v>27</v>
      </c>
      <c r="E111" s="5">
        <f t="shared" si="125"/>
        <v>10</v>
      </c>
      <c r="F111" s="5">
        <f t="shared" ca="1" si="126"/>
        <v>28.627625000000002</v>
      </c>
      <c r="G111">
        <f t="shared" ca="1" si="127"/>
        <v>286.27625</v>
      </c>
      <c r="H111">
        <f t="shared" ca="1" si="128"/>
        <v>-772.945875</v>
      </c>
      <c r="J111">
        <f t="shared" ca="1" si="129"/>
        <v>-42.660000000000004</v>
      </c>
      <c r="K111">
        <f t="shared" ca="1" si="130"/>
        <v>-426.6</v>
      </c>
      <c r="L111">
        <f t="shared" ca="1" si="131"/>
        <v>1151.8200000000002</v>
      </c>
      <c r="AS111">
        <v>1.9024088846738214</v>
      </c>
      <c r="AT111">
        <v>-33.122855541342311</v>
      </c>
      <c r="AU111">
        <v>556.785075879945</v>
      </c>
      <c r="AV111" s="6">
        <f t="shared" si="92"/>
        <v>1.6302157793335894</v>
      </c>
      <c r="AW111" s="6">
        <f t="shared" si="93"/>
        <v>0.272193105340232</v>
      </c>
      <c r="AX111" s="6">
        <f t="shared" si="94"/>
        <v>-1.6302157793335892</v>
      </c>
      <c r="AY111" s="6">
        <f t="shared" si="95"/>
        <v>1.6302157793335892</v>
      </c>
      <c r="BE111" s="39"/>
      <c r="BF111" s="39"/>
      <c r="BG111" s="6">
        <f t="shared" si="102"/>
        <v>1.6755160819145583</v>
      </c>
      <c r="BH111" s="9">
        <f t="shared" ca="1" si="103"/>
        <v>37.046338998679801</v>
      </c>
      <c r="BI111" s="9">
        <f t="shared" ca="1" si="104"/>
        <v>409.59713429665817</v>
      </c>
      <c r="BJ111">
        <f t="shared" ca="1" si="105"/>
        <v>411.26906479486121</v>
      </c>
      <c r="BK111" s="6">
        <f t="shared" ca="1" si="106"/>
        <v>9.0078107423806147E-2</v>
      </c>
      <c r="BL111" s="6">
        <f t="shared" ca="1" si="107"/>
        <v>0.99593470396554873</v>
      </c>
      <c r="BM111" s="6">
        <f t="shared" ca="1" si="108"/>
        <v>1.4805959558086423</v>
      </c>
      <c r="BN111" s="6">
        <f t="shared" ca="1" si="109"/>
        <v>2.2057285070764894</v>
      </c>
      <c r="BO111" s="9">
        <f t="shared" ca="1" si="110"/>
        <v>-29.86941759916823</v>
      </c>
      <c r="BP111" s="9">
        <f t="shared" ca="1" si="111"/>
        <v>557.51617519716456</v>
      </c>
      <c r="BQ111">
        <f t="shared" ca="1" si="112"/>
        <v>558.31574195448673</v>
      </c>
      <c r="BR111">
        <f t="shared" ca="1" si="113"/>
        <v>-5.3499149951611341E-2</v>
      </c>
      <c r="BS111">
        <f t="shared" ca="1" si="114"/>
        <v>0.9985678950148833</v>
      </c>
      <c r="BT111">
        <f t="shared" ca="1" si="115"/>
        <v>1.6243210301849713</v>
      </c>
      <c r="BU111" s="39">
        <f t="shared" ca="1" si="116"/>
        <v>1.6243210301849713</v>
      </c>
    </row>
    <row r="112" spans="1:73" x14ac:dyDescent="0.25">
      <c r="A112">
        <f t="shared" si="123"/>
        <v>9</v>
      </c>
      <c r="B112">
        <f t="shared" si="123"/>
        <v>0</v>
      </c>
      <c r="C112">
        <f t="shared" ca="1" si="123"/>
        <v>0</v>
      </c>
      <c r="D112" s="9">
        <f t="shared" si="124"/>
        <v>0</v>
      </c>
      <c r="E112" s="5">
        <f t="shared" si="125"/>
        <v>-10</v>
      </c>
      <c r="F112" s="5">
        <f t="shared" ca="1" si="126"/>
        <v>0</v>
      </c>
      <c r="G112">
        <f t="shared" ca="1" si="127"/>
        <v>0</v>
      </c>
      <c r="H112">
        <f t="shared" ca="1" si="128"/>
        <v>0</v>
      </c>
      <c r="J112">
        <f t="shared" ca="1" si="129"/>
        <v>0</v>
      </c>
      <c r="K112">
        <f t="shared" ca="1" si="130"/>
        <v>0</v>
      </c>
      <c r="L112">
        <f t="shared" ca="1" si="131"/>
        <v>0</v>
      </c>
      <c r="AS112">
        <v>1.9198621771937647</v>
      </c>
      <c r="AT112">
        <v>-33.389995185360895</v>
      </c>
      <c r="AU112">
        <v>556.69046866592407</v>
      </c>
      <c r="AV112" s="6">
        <f t="shared" si="92"/>
        <v>1.6307040182324306</v>
      </c>
      <c r="AW112" s="6">
        <f t="shared" si="93"/>
        <v>0.28915815896133412</v>
      </c>
      <c r="AX112" s="6">
        <f t="shared" si="94"/>
        <v>-1.6307040182324304</v>
      </c>
      <c r="AY112" s="6">
        <f t="shared" si="95"/>
        <v>1.6307040182324304</v>
      </c>
      <c r="BE112" s="39"/>
      <c r="BF112" s="39"/>
      <c r="BG112" s="6">
        <f t="shared" si="102"/>
        <v>1.6929693744345016</v>
      </c>
      <c r="BH112" s="9">
        <f t="shared" ca="1" si="103"/>
        <v>36.805886569943453</v>
      </c>
      <c r="BI112" s="9">
        <f t="shared" ca="1" si="104"/>
        <v>409.56973608919179</v>
      </c>
      <c r="BJ112">
        <f t="shared" ca="1" si="105"/>
        <v>411.22018676904685</v>
      </c>
      <c r="BK112" s="6">
        <f t="shared" ca="1" si="106"/>
        <v>8.9504085047786591E-2</v>
      </c>
      <c r="BL112" s="6">
        <f t="shared" ca="1" si="107"/>
        <v>0.99598645510858153</v>
      </c>
      <c r="BM112" s="6">
        <f t="shared" ca="1" si="108"/>
        <v>1.481172306290703</v>
      </c>
      <c r="BN112" s="6">
        <f t="shared" ca="1" si="109"/>
        <v>2.2063048575585498</v>
      </c>
      <c r="BO112" s="9">
        <f t="shared" ca="1" si="110"/>
        <v>-30.109870027904577</v>
      </c>
      <c r="BP112" s="9">
        <f t="shared" ca="1" si="111"/>
        <v>557.48877698969818</v>
      </c>
      <c r="BQ112">
        <f t="shared" ca="1" si="112"/>
        <v>558.30129924850326</v>
      </c>
      <c r="BR112">
        <f t="shared" ca="1" si="113"/>
        <v>-5.3931219698814446E-2</v>
      </c>
      <c r="BS112">
        <f t="shared" ca="1" si="114"/>
        <v>0.99854465275309445</v>
      </c>
      <c r="BT112">
        <f t="shared" ca="1" si="115"/>
        <v>1.6247537246176862</v>
      </c>
      <c r="BU112" s="39">
        <f t="shared" ca="1" si="116"/>
        <v>1.6247537246176862</v>
      </c>
    </row>
    <row r="113" spans="1:73" x14ac:dyDescent="0.25">
      <c r="A113">
        <f t="shared" si="123"/>
        <v>10</v>
      </c>
      <c r="B113">
        <f t="shared" si="123"/>
        <v>0</v>
      </c>
      <c r="C113">
        <f t="shared" ca="1" si="123"/>
        <v>0</v>
      </c>
      <c r="D113" s="9">
        <f t="shared" si="124"/>
        <v>4</v>
      </c>
      <c r="E113" s="5">
        <f t="shared" si="125"/>
        <v>-10</v>
      </c>
      <c r="F113" s="5">
        <f t="shared" ca="1" si="126"/>
        <v>0</v>
      </c>
      <c r="G113">
        <f t="shared" ca="1" si="127"/>
        <v>0</v>
      </c>
      <c r="H113">
        <f t="shared" ca="1" si="128"/>
        <v>0</v>
      </c>
      <c r="J113">
        <f t="shared" ca="1" si="129"/>
        <v>0</v>
      </c>
      <c r="K113">
        <f t="shared" ca="1" si="130"/>
        <v>0</v>
      </c>
      <c r="L113">
        <f t="shared" ca="1" si="131"/>
        <v>0</v>
      </c>
      <c r="AS113">
        <v>1.937315469713708</v>
      </c>
      <c r="AT113">
        <v>-33.660550876357703</v>
      </c>
      <c r="AU113">
        <v>556.58930325574886</v>
      </c>
      <c r="AV113" s="6">
        <f t="shared" si="92"/>
        <v>1.6311992195077416</v>
      </c>
      <c r="AW113" s="6">
        <f t="shared" si="93"/>
        <v>0.30611625020596644</v>
      </c>
      <c r="AX113" s="6">
        <f t="shared" si="94"/>
        <v>-1.6311992195077414</v>
      </c>
      <c r="AY113" s="6">
        <f t="shared" si="95"/>
        <v>1.6311992195077414</v>
      </c>
      <c r="BE113" s="39"/>
      <c r="BF113" s="39"/>
      <c r="BG113" s="6">
        <f t="shared" si="102"/>
        <v>1.7104226669544449</v>
      </c>
      <c r="BH113" s="9">
        <f t="shared" ca="1" si="103"/>
        <v>36.564401245940154</v>
      </c>
      <c r="BI113" s="9">
        <f t="shared" ca="1" si="104"/>
        <v>409.53794147898873</v>
      </c>
      <c r="BJ113">
        <f t="shared" ca="1" si="105"/>
        <v>411.16697453628456</v>
      </c>
      <c r="BK113" s="6">
        <f t="shared" ca="1" si="106"/>
        <v>8.892835152234102E-2</v>
      </c>
      <c r="BL113" s="6">
        <f t="shared" ca="1" si="107"/>
        <v>0.9960380255268968</v>
      </c>
      <c r="BM113" s="6">
        <f t="shared" ca="1" si="108"/>
        <v>1.4817503448790954</v>
      </c>
      <c r="BN113" s="6">
        <f t="shared" ca="1" si="109"/>
        <v>2.2068828961469427</v>
      </c>
      <c r="BO113" s="9">
        <f t="shared" ca="1" si="110"/>
        <v>-30.351355351907877</v>
      </c>
      <c r="BP113" s="9">
        <f t="shared" ca="1" si="111"/>
        <v>557.45698237949512</v>
      </c>
      <c r="BQ113">
        <f t="shared" ca="1" si="112"/>
        <v>558.28262732719043</v>
      </c>
      <c r="BR113">
        <f t="shared" ca="1" si="113"/>
        <v>-5.4365573754671007E-2</v>
      </c>
      <c r="BS113">
        <f t="shared" ca="1" si="114"/>
        <v>0.99852109862051752</v>
      </c>
      <c r="BT113">
        <f t="shared" ca="1" si="115"/>
        <v>1.6251887168543802</v>
      </c>
      <c r="BU113" s="39">
        <f t="shared" ca="1" si="116"/>
        <v>1.6251887168543802</v>
      </c>
    </row>
    <row r="114" spans="1:73" x14ac:dyDescent="0.25">
      <c r="F114" s="5">
        <f ca="1">SUM(F104:F113)</f>
        <v>114.51050000000001</v>
      </c>
      <c r="G114" s="5">
        <f t="shared" ref="G114:H114" ca="1" si="132">SUM(G104:G113)</f>
        <v>1145.105</v>
      </c>
      <c r="H114" s="5">
        <f t="shared" ca="1" si="132"/>
        <v>-1374.1260000000002</v>
      </c>
      <c r="J114">
        <f ca="1">SUM(J104:J113)</f>
        <v>-170.64000000000001</v>
      </c>
      <c r="K114">
        <f t="shared" ref="K114:L114" ca="1" si="133">SUM(K104:K113)</f>
        <v>-1706.4</v>
      </c>
      <c r="L114">
        <f t="shared" ca="1" si="133"/>
        <v>2047.6800000000003</v>
      </c>
      <c r="AS114">
        <v>1.9547687622336514</v>
      </c>
      <c r="AT114">
        <v>-33.934756671156109</v>
      </c>
      <c r="AU114">
        <v>556.48128121835862</v>
      </c>
      <c r="AV114" s="6">
        <f t="shared" si="92"/>
        <v>1.6317018546118558</v>
      </c>
      <c r="AW114" s="6">
        <f t="shared" si="93"/>
        <v>0.32306690762179557</v>
      </c>
      <c r="AX114" s="6">
        <f t="shared" si="94"/>
        <v>-1.6317018546118556</v>
      </c>
      <c r="AY114" s="6">
        <f t="shared" si="95"/>
        <v>1.6317018546118556</v>
      </c>
      <c r="BE114" s="39"/>
      <c r="BF114" s="39"/>
      <c r="BG114" s="6">
        <f t="shared" si="102"/>
        <v>1.7278759594743882</v>
      </c>
      <c r="BH114" s="9">
        <f t="shared" ca="1" si="103"/>
        <v>36.321728209522774</v>
      </c>
      <c r="BI114" s="9">
        <f t="shared" ca="1" si="104"/>
        <v>409.50167092703975</v>
      </c>
      <c r="BJ114">
        <f t="shared" ca="1" si="105"/>
        <v>411.10933634759988</v>
      </c>
      <c r="BK114" s="6">
        <f t="shared" ca="1" si="106"/>
        <v>8.8350531107403846E-2</v>
      </c>
      <c r="BL114" s="6">
        <f t="shared" ca="1" si="107"/>
        <v>0.99608944560869617</v>
      </c>
      <c r="BM114" s="6">
        <f t="shared" ca="1" si="108"/>
        <v>1.4823304487199442</v>
      </c>
      <c r="BN114" s="6">
        <f t="shared" ca="1" si="109"/>
        <v>2.2074629999877913</v>
      </c>
      <c r="BO114" s="9">
        <f t="shared" ca="1" si="110"/>
        <v>-30.594028388325256</v>
      </c>
      <c r="BP114" s="9">
        <f t="shared" ca="1" si="111"/>
        <v>557.42071182754614</v>
      </c>
      <c r="BQ114">
        <f t="shared" ca="1" si="112"/>
        <v>558.25965692261332</v>
      </c>
      <c r="BR114">
        <f t="shared" ca="1" si="113"/>
        <v>-5.480250634081954E-2</v>
      </c>
      <c r="BS114">
        <f t="shared" ca="1" si="114"/>
        <v>0.99849721346569831</v>
      </c>
      <c r="BT114">
        <f t="shared" ca="1" si="115"/>
        <v>1.6256263018044352</v>
      </c>
      <c r="BU114" s="39">
        <f t="shared" ca="1" si="116"/>
        <v>1.6256263018044352</v>
      </c>
    </row>
    <row r="115" spans="1:73" x14ac:dyDescent="0.25">
      <c r="A115" s="8" t="s">
        <v>99</v>
      </c>
      <c r="B115" s="5">
        <f ca="1">B100+F114</f>
        <v>1970.9105000000002</v>
      </c>
      <c r="J115">
        <f ca="1">J114</f>
        <v>-170.64000000000001</v>
      </c>
      <c r="AS115">
        <v>1.9722220547535947</v>
      </c>
      <c r="AT115">
        <v>-34.2128574998099</v>
      </c>
      <c r="AU115">
        <v>556.36607780634961</v>
      </c>
      <c r="AV115" s="6">
        <f t="shared" si="92"/>
        <v>1.6322124191863958</v>
      </c>
      <c r="AW115" s="6">
        <f t="shared" si="93"/>
        <v>0.34000963556719888</v>
      </c>
      <c r="AX115" s="6">
        <f t="shared" si="94"/>
        <v>-1.6322124191863956</v>
      </c>
      <c r="AY115" s="6">
        <f t="shared" si="95"/>
        <v>1.6322124191863956</v>
      </c>
      <c r="BE115" s="39"/>
      <c r="BF115" s="39"/>
      <c r="BG115" s="6">
        <f t="shared" si="102"/>
        <v>1.7453292519943315</v>
      </c>
      <c r="BH115" s="9">
        <f t="shared" ca="1" si="103"/>
        <v>36.07770966056016</v>
      </c>
      <c r="BI115" s="9">
        <f t="shared" ca="1" si="104"/>
        <v>409.46083303014575</v>
      </c>
      <c r="BJ115">
        <f t="shared" ca="1" si="105"/>
        <v>411.04716872895813</v>
      </c>
      <c r="BK115" s="6">
        <f t="shared" ca="1" si="106"/>
        <v>8.7770242456893244E-2</v>
      </c>
      <c r="BL115" s="6">
        <f t="shared" ca="1" si="107"/>
        <v>0.99614074534628794</v>
      </c>
      <c r="BM115" s="6">
        <f t="shared" ca="1" si="108"/>
        <v>1.482913000512136</v>
      </c>
      <c r="BN115" s="6">
        <f t="shared" ca="1" si="109"/>
        <v>2.2080455517799829</v>
      </c>
      <c r="BO115" s="9">
        <f t="shared" ca="1" si="110"/>
        <v>-30.838046937287871</v>
      </c>
      <c r="BP115" s="9">
        <f t="shared" ca="1" si="111"/>
        <v>557.37987393065214</v>
      </c>
      <c r="BQ115">
        <f t="shared" ca="1" si="112"/>
        <v>558.2323073791556</v>
      </c>
      <c r="BR115">
        <f t="shared" ca="1" si="113"/>
        <v>-5.524231852876698E-2</v>
      </c>
      <c r="BS115">
        <f t="shared" ca="1" si="114"/>
        <v>0.99847297722250161</v>
      </c>
      <c r="BT115">
        <f t="shared" ca="1" si="115"/>
        <v>1.6260667812696641</v>
      </c>
      <c r="BU115" s="39">
        <f t="shared" ca="1" si="116"/>
        <v>1.6260667812696641</v>
      </c>
    </row>
    <row r="116" spans="1:73" x14ac:dyDescent="0.25">
      <c r="A116" s="8" t="s">
        <v>100</v>
      </c>
      <c r="B116" s="5">
        <f ca="1">B101+G114</f>
        <v>9631.5049999999992</v>
      </c>
      <c r="C116">
        <f ca="1">B116/12</f>
        <v>802.62541666666664</v>
      </c>
      <c r="J116">
        <f ca="1">K114</f>
        <v>-1706.4</v>
      </c>
      <c r="K116">
        <f ca="1">J116/12</f>
        <v>-142.20000000000002</v>
      </c>
      <c r="AS116">
        <v>1.989675347273538</v>
      </c>
      <c r="AT116">
        <v>-34.495110119615006</v>
      </c>
      <c r="AU116">
        <v>556.24333976031471</v>
      </c>
      <c r="AV116" s="6">
        <f t="shared" si="92"/>
        <v>1.6327314352496627</v>
      </c>
      <c r="AW116" s="6">
        <f t="shared" si="93"/>
        <v>0.35694391202387532</v>
      </c>
      <c r="AX116" s="6">
        <f t="shared" si="94"/>
        <v>-1.6327314352496625</v>
      </c>
      <c r="AY116" s="6">
        <f t="shared" si="95"/>
        <v>1.6327314352496625</v>
      </c>
      <c r="BE116" s="39"/>
      <c r="BF116" s="39"/>
      <c r="BG116" s="6">
        <f t="shared" si="102"/>
        <v>1.7627825445142749</v>
      </c>
      <c r="BH116" s="9">
        <f t="shared" ca="1" si="103"/>
        <v>35.832184393902551</v>
      </c>
      <c r="BI116" s="9">
        <f t="shared" ca="1" si="104"/>
        <v>409.4153240269934</v>
      </c>
      <c r="BJ116">
        <f t="shared" ca="1" si="105"/>
        <v>410.9803559618959</v>
      </c>
      <c r="BK116" s="6">
        <f t="shared" ca="1" si="106"/>
        <v>8.7187097568295305E-2</v>
      </c>
      <c r="BL116" s="6">
        <f t="shared" ca="1" si="107"/>
        <v>0.99619195440317443</v>
      </c>
      <c r="BM116" s="6">
        <f t="shared" ca="1" si="108"/>
        <v>1.4834983895608813</v>
      </c>
      <c r="BN116" s="6">
        <f t="shared" ca="1" si="109"/>
        <v>2.2086309408287281</v>
      </c>
      <c r="BO116" s="9">
        <f t="shared" ca="1" si="110"/>
        <v>-31.083572203945479</v>
      </c>
      <c r="BP116" s="9">
        <f t="shared" ca="1" si="111"/>
        <v>557.33436492749979</v>
      </c>
      <c r="BQ116">
        <f t="shared" ca="1" si="112"/>
        <v>558.20048619657916</v>
      </c>
      <c r="BR116">
        <f t="shared" ca="1" si="113"/>
        <v>-5.5685319114893973E-2</v>
      </c>
      <c r="BS116">
        <f t="shared" ca="1" si="114"/>
        <v>0.99844836883790467</v>
      </c>
      <c r="BT116">
        <f t="shared" ca="1" si="115"/>
        <v>1.626510464822583</v>
      </c>
      <c r="BU116" s="39">
        <f t="shared" ca="1" si="116"/>
        <v>1.626510464822583</v>
      </c>
    </row>
    <row r="117" spans="1:73" x14ac:dyDescent="0.25">
      <c r="A117" s="8" t="s">
        <v>101</v>
      </c>
      <c r="B117" s="5">
        <f ca="1">B102+H114</f>
        <v>-1374.1260000000002</v>
      </c>
      <c r="C117">
        <f ca="1">B117/12</f>
        <v>-114.51050000000002</v>
      </c>
      <c r="J117">
        <f ca="1">L114</f>
        <v>2047.6800000000003</v>
      </c>
      <c r="K117">
        <f ca="1">J117/12</f>
        <v>170.64000000000001</v>
      </c>
      <c r="AS117">
        <v>2.0071286397934811</v>
      </c>
      <c r="AT117">
        <v>-34.78178415088658</v>
      </c>
      <c r="AU117">
        <v>556.11268285974518</v>
      </c>
      <c r="AV117" s="6">
        <f t="shared" si="92"/>
        <v>1.6332594535890748</v>
      </c>
      <c r="AW117" s="6">
        <f t="shared" si="93"/>
        <v>0.37386918620440635</v>
      </c>
      <c r="AX117" s="6">
        <f t="shared" si="94"/>
        <v>-1.6332594535890745</v>
      </c>
      <c r="AY117" s="6">
        <f t="shared" si="95"/>
        <v>1.6332594535890745</v>
      </c>
      <c r="BE117" s="39"/>
      <c r="BF117" s="39"/>
      <c r="BG117" s="6">
        <f t="shared" si="102"/>
        <v>1.7802358370342182</v>
      </c>
      <c r="BH117" s="9">
        <f t="shared" ca="1" si="103"/>
        <v>35.584987359366806</v>
      </c>
      <c r="BI117" s="9">
        <f t="shared" ca="1" si="104"/>
        <v>409.36502723286503</v>
      </c>
      <c r="BJ117">
        <f t="shared" ca="1" si="105"/>
        <v>410.90876949358312</v>
      </c>
      <c r="BK117" s="6">
        <f t="shared" ca="1" si="106"/>
        <v>8.660070069378871E-2</v>
      </c>
      <c r="BL117" s="6">
        <f t="shared" ca="1" si="107"/>
        <v>0.99624310217905387</v>
      </c>
      <c r="BM117" s="6">
        <f t="shared" ca="1" si="108"/>
        <v>1.4840870128694688</v>
      </c>
      <c r="BN117" s="6">
        <f t="shared" ca="1" si="109"/>
        <v>2.2092195641373156</v>
      </c>
      <c r="BO117" s="9">
        <f t="shared" ca="1" si="110"/>
        <v>-31.330769238481224</v>
      </c>
      <c r="BP117" s="9">
        <f t="shared" ca="1" si="111"/>
        <v>557.28406813337142</v>
      </c>
      <c r="BQ117">
        <f t="shared" ca="1" si="112"/>
        <v>558.164088504765</v>
      </c>
      <c r="BR117">
        <f t="shared" ca="1" si="113"/>
        <v>-5.6131825539710904E-2</v>
      </c>
      <c r="BS117">
        <f t="shared" ca="1" si="114"/>
        <v>0.99842336619371008</v>
      </c>
      <c r="BT117">
        <f t="shared" ca="1" si="115"/>
        <v>1.6269576707292441</v>
      </c>
      <c r="BU117" s="39">
        <f t="shared" ca="1" si="116"/>
        <v>1.6269576707292441</v>
      </c>
    </row>
    <row r="118" spans="1:73" x14ac:dyDescent="0.25">
      <c r="AS118">
        <v>2.0245819323134242</v>
      </c>
      <c r="AT118">
        <v>-35.073163204631797</v>
      </c>
      <c r="AU118">
        <v>555.9736891871778</v>
      </c>
      <c r="AV118" s="6">
        <f t="shared" si="92"/>
        <v>1.6337970563852617</v>
      </c>
      <c r="AW118" s="6">
        <f t="shared" si="93"/>
        <v>0.39078487592816247</v>
      </c>
      <c r="AX118" s="6">
        <f t="shared" si="94"/>
        <v>-1.6337970563852615</v>
      </c>
      <c r="AY118" s="6">
        <f t="shared" si="95"/>
        <v>1.6337970563852615</v>
      </c>
      <c r="BE118" s="39"/>
      <c r="BF118" s="39"/>
      <c r="BG118" s="6">
        <f t="shared" si="102"/>
        <v>1.7976891295541615</v>
      </c>
      <c r="BH118" s="9">
        <f t="shared" ca="1" si="103"/>
        <v>35.335949198077131</v>
      </c>
      <c r="BI118" s="9">
        <f t="shared" ca="1" si="104"/>
        <v>409.30981238834602</v>
      </c>
      <c r="BJ118">
        <f t="shared" ca="1" si="105"/>
        <v>410.83226726136314</v>
      </c>
      <c r="BK118" s="6">
        <f t="shared" ca="1" si="106"/>
        <v>8.6010647200691071E-2</v>
      </c>
      <c r="BL118" s="6">
        <f t="shared" ca="1" si="107"/>
        <v>0.9962942178734745</v>
      </c>
      <c r="BM118" s="6">
        <f t="shared" ca="1" si="108"/>
        <v>1.4846792762814625</v>
      </c>
      <c r="BN118" s="6">
        <f t="shared" ca="1" si="109"/>
        <v>2.2098118275493093</v>
      </c>
      <c r="BO118" s="9">
        <f t="shared" ca="1" si="110"/>
        <v>-31.5798073997709</v>
      </c>
      <c r="BP118" s="9">
        <f t="shared" ca="1" si="111"/>
        <v>557.22885328885241</v>
      </c>
      <c r="BQ118">
        <f t="shared" ca="1" si="112"/>
        <v>558.12299645599273</v>
      </c>
      <c r="BR118">
        <f t="shared" ca="1" si="113"/>
        <v>-5.6582164863835577E-2</v>
      </c>
      <c r="BS118">
        <f t="shared" ca="1" si="114"/>
        <v>0.99839794602118526</v>
      </c>
      <c r="BT118">
        <f t="shared" ca="1" si="115"/>
        <v>1.6274087269291502</v>
      </c>
      <c r="BU118" s="39">
        <f t="shared" ca="1" si="116"/>
        <v>1.6274087269291502</v>
      </c>
    </row>
    <row r="119" spans="1:73" x14ac:dyDescent="0.25">
      <c r="A119" s="8" t="s">
        <v>8</v>
      </c>
      <c r="B119">
        <f ca="1">B117/B115</f>
        <v>-0.69720365282949182</v>
      </c>
      <c r="J119">
        <f ca="1">J117/J115</f>
        <v>-12</v>
      </c>
      <c r="AS119">
        <v>2.0420352248333673</v>
      </c>
      <c r="AT119">
        <v>-35.369546113300757</v>
      </c>
      <c r="AU119">
        <v>555.82590406806776</v>
      </c>
      <c r="AV119" s="6">
        <f t="shared" si="92"/>
        <v>1.6343448600975841</v>
      </c>
      <c r="AW119" s="6">
        <f t="shared" si="93"/>
        <v>0.40769036473578324</v>
      </c>
      <c r="AX119" s="6">
        <f t="shared" si="94"/>
        <v>-1.6343448600975838</v>
      </c>
      <c r="AY119" s="6">
        <f t="shared" si="95"/>
        <v>1.6343448600975838</v>
      </c>
      <c r="BE119" s="39"/>
      <c r="BF119" s="39"/>
      <c r="BG119" s="6">
        <f t="shared" si="102"/>
        <v>1.8151424220741048</v>
      </c>
      <c r="BH119" s="9">
        <f t="shared" ca="1" si="103"/>
        <v>35.084895758685448</v>
      </c>
      <c r="BI119" s="9">
        <f t="shared" ca="1" si="104"/>
        <v>409.24953493521639</v>
      </c>
      <c r="BJ119">
        <f t="shared" ca="1" si="105"/>
        <v>410.75069294535427</v>
      </c>
      <c r="BK119" s="6">
        <f t="shared" ca="1" si="106"/>
        <v>8.5416522385156624E-2</v>
      </c>
      <c r="BL119" s="6">
        <f t="shared" ca="1" si="107"/>
        <v>0.99634533054740926</v>
      </c>
      <c r="BM119" s="6">
        <f t="shared" ca="1" si="108"/>
        <v>1.4852755956693815</v>
      </c>
      <c r="BN119" s="6">
        <f t="shared" ca="1" si="109"/>
        <v>2.2104081469372288</v>
      </c>
      <c r="BO119" s="9">
        <f t="shared" ca="1" si="110"/>
        <v>-31.830860839162582</v>
      </c>
      <c r="BP119" s="9">
        <f t="shared" ca="1" si="111"/>
        <v>557.16857583572278</v>
      </c>
      <c r="BQ119">
        <f t="shared" ca="1" si="112"/>
        <v>558.07707854790965</v>
      </c>
      <c r="BR119">
        <f t="shared" ca="1" si="113"/>
        <v>-5.7036674794071436E-2</v>
      </c>
      <c r="BS119">
        <f t="shared" ca="1" si="114"/>
        <v>0.99837208380865461</v>
      </c>
      <c r="BT119">
        <f t="shared" ca="1" si="115"/>
        <v>1.6278639720656418</v>
      </c>
      <c r="BU119" s="39">
        <f t="shared" ca="1" si="116"/>
        <v>1.6278639720656418</v>
      </c>
    </row>
    <row r="120" spans="1:73" x14ac:dyDescent="0.25">
      <c r="A120" s="8" t="s">
        <v>9</v>
      </c>
      <c r="B120">
        <f ca="1">B116/B115</f>
        <v>4.8868302238990546</v>
      </c>
      <c r="J120">
        <f ca="1">J116/J115</f>
        <v>10</v>
      </c>
      <c r="AS120">
        <v>2.0594885173533104</v>
      </c>
      <c r="AT120">
        <v>-35.671248270223415</v>
      </c>
      <c r="AU120">
        <v>555.6688326647045</v>
      </c>
      <c r="AV120" s="6">
        <f t="shared" si="92"/>
        <v>1.6349035186299927</v>
      </c>
      <c r="AW120" s="6">
        <f t="shared" si="93"/>
        <v>0.42458499872331767</v>
      </c>
      <c r="AX120" s="6">
        <f t="shared" si="94"/>
        <v>-1.6349035186299925</v>
      </c>
      <c r="AY120" s="6">
        <f t="shared" si="95"/>
        <v>1.6349035186299925</v>
      </c>
      <c r="BE120" s="39"/>
      <c r="BF120" s="39"/>
      <c r="BG120" s="6">
        <f t="shared" si="102"/>
        <v>1.8325957145940481</v>
      </c>
      <c r="BH120" s="9">
        <f t="shared" ca="1" si="103"/>
        <v>34.831647580993696</v>
      </c>
      <c r="BI120" s="9">
        <f t="shared" ca="1" si="104"/>
        <v>409.1840351836521</v>
      </c>
      <c r="BJ120">
        <f t="shared" ca="1" si="105"/>
        <v>410.6638751124608</v>
      </c>
      <c r="BK120" s="6">
        <f t="shared" ca="1" si="106"/>
        <v>8.4817900214512437E-2</v>
      </c>
      <c r="BL120" s="6">
        <f t="shared" ca="1" si="107"/>
        <v>0.99639646918443103</v>
      </c>
      <c r="BM120" s="6">
        <f t="shared" ca="1" si="108"/>
        <v>1.4858763981945435</v>
      </c>
      <c r="BN120" s="6">
        <f t="shared" ca="1" si="109"/>
        <v>2.2110089494623906</v>
      </c>
      <c r="BO120" s="9">
        <f t="shared" ca="1" si="110"/>
        <v>-32.084109016854335</v>
      </c>
      <c r="BP120" s="9">
        <f t="shared" ca="1" si="111"/>
        <v>557.10307608415849</v>
      </c>
      <c r="BQ120">
        <f t="shared" ca="1" si="112"/>
        <v>558.02618884227741</v>
      </c>
      <c r="BR120">
        <f t="shared" ca="1" si="113"/>
        <v>-5.7495704786577152E-2</v>
      </c>
      <c r="BS120">
        <f t="shared" ca="1" si="114"/>
        <v>0.99834575370013712</v>
      </c>
      <c r="BT120">
        <f t="shared" ca="1" si="115"/>
        <v>1.6283237565938271</v>
      </c>
      <c r="BU120" s="39">
        <f t="shared" ca="1" si="116"/>
        <v>1.6283237565938271</v>
      </c>
    </row>
    <row r="121" spans="1:73" x14ac:dyDescent="0.25">
      <c r="AS121">
        <v>2.0769418098732535</v>
      </c>
      <c r="AT121">
        <v>-35.978603099906749</v>
      </c>
      <c r="AU121">
        <v>555.50193615043861</v>
      </c>
      <c r="AV121" s="6">
        <f t="shared" si="92"/>
        <v>1.6354737268328072</v>
      </c>
      <c r="AW121" s="6">
        <f t="shared" si="93"/>
        <v>0.44146808304044627</v>
      </c>
      <c r="AX121" s="6">
        <f t="shared" si="94"/>
        <v>-1.635473726832807</v>
      </c>
      <c r="AY121" s="6">
        <f t="shared" si="95"/>
        <v>1.635473726832807</v>
      </c>
      <c r="BE121" s="39"/>
      <c r="BF121" s="39"/>
      <c r="BG121" s="6">
        <f t="shared" si="102"/>
        <v>1.8500490071139915</v>
      </c>
      <c r="BH121" s="9">
        <f t="shared" ca="1" si="103"/>
        <v>34.576019351792979</v>
      </c>
      <c r="BI121" s="9">
        <f t="shared" ca="1" si="104"/>
        <v>409.11313738742206</v>
      </c>
      <c r="BJ121">
        <f t="shared" ca="1" si="105"/>
        <v>410.57162626902897</v>
      </c>
      <c r="BK121" s="6">
        <f t="shared" ca="1" si="106"/>
        <v>8.4214342004084036E-2</v>
      </c>
      <c r="BL121" s="6">
        <f t="shared" ca="1" si="107"/>
        <v>0.99644766275044239</v>
      </c>
      <c r="BM121" s="6">
        <f t="shared" ca="1" si="108"/>
        <v>1.4864821236321757</v>
      </c>
      <c r="BN121" s="6">
        <f t="shared" ca="1" si="109"/>
        <v>2.2116146749000229</v>
      </c>
      <c r="BO121" s="9">
        <f t="shared" ca="1" si="110"/>
        <v>-32.339737246055051</v>
      </c>
      <c r="BP121" s="9">
        <f t="shared" ca="1" si="111"/>
        <v>557.03217828792845</v>
      </c>
      <c r="BQ121">
        <f t="shared" ca="1" si="112"/>
        <v>557.97016609612604</v>
      </c>
      <c r="BR121">
        <f t="shared" ca="1" si="113"/>
        <v>-5.7959617218107003E-2</v>
      </c>
      <c r="BS121">
        <f t="shared" ca="1" si="114"/>
        <v>0.99831892838507785</v>
      </c>
      <c r="BT121">
        <f t="shared" ca="1" si="115"/>
        <v>1.6287884439570528</v>
      </c>
      <c r="BU121" s="39">
        <f t="shared" ca="1" si="116"/>
        <v>1.6287884439570528</v>
      </c>
    </row>
    <row r="122" spans="1:73" x14ac:dyDescent="0.25">
      <c r="AS122">
        <v>2.0943951023931966</v>
      </c>
      <c r="AT122">
        <v>-36.291963661371142</v>
      </c>
      <c r="AU122">
        <v>555.32462744978318</v>
      </c>
      <c r="AV122" s="6">
        <f t="shared" si="92"/>
        <v>1.6360562243547534</v>
      </c>
      <c r="AW122" s="6">
        <f t="shared" si="93"/>
        <v>0.4583388780384432</v>
      </c>
      <c r="AX122" s="6">
        <f t="shared" si="94"/>
        <v>-1.6360562243547532</v>
      </c>
      <c r="AY122" s="6">
        <f t="shared" si="95"/>
        <v>1.6360562243547532</v>
      </c>
      <c r="BE122" s="39"/>
      <c r="BF122" s="39"/>
      <c r="BG122" s="6">
        <f t="shared" si="102"/>
        <v>1.8675022996339348</v>
      </c>
      <c r="BH122" s="9">
        <f t="shared" ca="1" si="103"/>
        <v>34.317819329848859</v>
      </c>
      <c r="BI122" s="9">
        <f t="shared" ca="1" si="104"/>
        <v>409.03664871946876</v>
      </c>
      <c r="BJ122">
        <f t="shared" ca="1" si="105"/>
        <v>410.47374181451636</v>
      </c>
      <c r="BK122" s="6">
        <f t="shared" ca="1" si="106"/>
        <v>8.3605395020264886E-2</v>
      </c>
      <c r="BL122" s="6">
        <f t="shared" ca="1" si="107"/>
        <v>0.99649894025207342</v>
      </c>
      <c r="BM122" s="6">
        <f t="shared" ca="1" si="108"/>
        <v>1.4870932257700362</v>
      </c>
      <c r="BN122" s="6">
        <f t="shared" ca="1" si="109"/>
        <v>2.212225777037883</v>
      </c>
      <c r="BO122" s="9">
        <f t="shared" ca="1" si="110"/>
        <v>-32.597937267999171</v>
      </c>
      <c r="BP122" s="9">
        <f t="shared" ca="1" si="111"/>
        <v>556.95568961997515</v>
      </c>
      <c r="BQ122">
        <f t="shared" ca="1" si="112"/>
        <v>557.90883279814682</v>
      </c>
      <c r="BR122">
        <f t="shared" ca="1" si="113"/>
        <v>-5.8428788632914883E-2</v>
      </c>
      <c r="BS122">
        <f t="shared" ca="1" si="114"/>
        <v>0.99829157897825127</v>
      </c>
      <c r="BT122">
        <f t="shared" ca="1" si="115"/>
        <v>1.6292584118395637</v>
      </c>
      <c r="BU122" s="39">
        <f t="shared" ca="1" si="116"/>
        <v>1.6292584118395637</v>
      </c>
    </row>
    <row r="123" spans="1:73" x14ac:dyDescent="0.25">
      <c r="A123" t="s">
        <v>128</v>
      </c>
      <c r="AS123">
        <v>2.1118483949131397</v>
      </c>
      <c r="AT123">
        <v>-36.611704419305781</v>
      </c>
      <c r="AU123">
        <v>555.13626642823851</v>
      </c>
      <c r="AV123" s="6">
        <f t="shared" si="92"/>
        <v>1.6366517999312851</v>
      </c>
      <c r="AW123" s="6">
        <f t="shared" si="93"/>
        <v>0.47519659498185463</v>
      </c>
      <c r="AX123" s="6">
        <f t="shared" si="94"/>
        <v>-1.6366517999312848</v>
      </c>
      <c r="AY123" s="6">
        <f t="shared" si="95"/>
        <v>1.6366517999312848</v>
      </c>
      <c r="BE123" s="39"/>
      <c r="BF123" s="39"/>
      <c r="BG123" s="6">
        <f t="shared" si="102"/>
        <v>1.8849555921538781</v>
      </c>
      <c r="BH123" s="9">
        <f t="shared" ca="1" si="103"/>
        <v>34.056848728787628</v>
      </c>
      <c r="BI123" s="9">
        <f t="shared" ca="1" si="104"/>
        <v>408.95435811504603</v>
      </c>
      <c r="BJ123">
        <f t="shared" ca="1" si="105"/>
        <v>410.36999886276391</v>
      </c>
      <c r="BK123" s="6">
        <f t="shared" ca="1" si="106"/>
        <v>8.2990590986591423E-2</v>
      </c>
      <c r="BL123" s="6">
        <f t="shared" ca="1" si="107"/>
        <v>0.9965503307950363</v>
      </c>
      <c r="BM123" s="6">
        <f t="shared" ca="1" si="108"/>
        <v>1.487710173903837</v>
      </c>
      <c r="BN123" s="6">
        <f t="shared" ca="1" si="109"/>
        <v>2.2128427251716838</v>
      </c>
      <c r="BO123" s="9">
        <f t="shared" ca="1" si="110"/>
        <v>-32.858907869060403</v>
      </c>
      <c r="BP123" s="9">
        <f t="shared" ca="1" si="111"/>
        <v>556.87339901555242</v>
      </c>
      <c r="BQ123">
        <f t="shared" ca="1" si="112"/>
        <v>557.84199407850429</v>
      </c>
      <c r="BR123">
        <f t="shared" ca="1" si="113"/>
        <v>-5.8903611090340785E-2</v>
      </c>
      <c r="BS123">
        <f t="shared" ca="1" si="114"/>
        <v>0.99826367488781143</v>
      </c>
      <c r="BT123">
        <f t="shared" ca="1" si="115"/>
        <v>1.6297340535204585</v>
      </c>
      <c r="BU123" s="39">
        <f t="shared" ca="1" si="116"/>
        <v>1.6297340535204585</v>
      </c>
    </row>
    <row r="124" spans="1:73" x14ac:dyDescent="0.25">
      <c r="AS124">
        <v>2.1293016874330828</v>
      </c>
      <c r="AT124">
        <v>-36.938223185963196</v>
      </c>
      <c r="AU124">
        <v>554.93615451036021</v>
      </c>
      <c r="AV124" s="6">
        <f t="shared" si="92"/>
        <v>1.6372612961291551</v>
      </c>
      <c r="AW124" s="6">
        <f t="shared" si="93"/>
        <v>0.49204039130392774</v>
      </c>
      <c r="AX124" s="6">
        <f t="shared" si="94"/>
        <v>-1.6372612961291548</v>
      </c>
      <c r="AY124" s="6">
        <f t="shared" si="95"/>
        <v>1.6372612961291548</v>
      </c>
      <c r="BE124" s="39"/>
      <c r="BF124" s="39"/>
      <c r="BG124" s="6">
        <f t="shared" si="102"/>
        <v>1.9024088846738214</v>
      </c>
      <c r="BH124" s="9">
        <f t="shared" ca="1" si="103"/>
        <v>33.79290105650572</v>
      </c>
      <c r="BI124" s="9">
        <f t="shared" ca="1" si="104"/>
        <v>408.86603497943861</v>
      </c>
      <c r="BJ124">
        <f t="shared" ca="1" si="105"/>
        <v>410.26015492809233</v>
      </c>
      <c r="BK124" s="6">
        <f t="shared" ca="1" si="106"/>
        <v>8.2369444486824983E-2</v>
      </c>
      <c r="BL124" s="6">
        <f t="shared" ca="1" si="107"/>
        <v>0.99660186364211245</v>
      </c>
      <c r="BM124" s="6">
        <f t="shared" ca="1" si="108"/>
        <v>1.4883334544354405</v>
      </c>
      <c r="BN124" s="6">
        <f t="shared" ca="1" si="109"/>
        <v>2.2134660057032876</v>
      </c>
      <c r="BO124" s="9">
        <f t="shared" ca="1" si="110"/>
        <v>-33.122855541342311</v>
      </c>
      <c r="BP124" s="9">
        <f t="shared" ca="1" si="111"/>
        <v>556.785075879945</v>
      </c>
      <c r="BQ124">
        <f t="shared" ca="1" si="112"/>
        <v>557.76943648953079</v>
      </c>
      <c r="BR124">
        <f t="shared" ca="1" si="113"/>
        <v>-5.9384493617667088E-2</v>
      </c>
      <c r="BS124">
        <f t="shared" ca="1" si="114"/>
        <v>0.99823518367054831</v>
      </c>
      <c r="BT124">
        <f t="shared" ca="1" si="115"/>
        <v>1.6302157793335894</v>
      </c>
      <c r="BU124" s="39">
        <f t="shared" ca="1" si="116"/>
        <v>1.6302157793335894</v>
      </c>
    </row>
    <row r="125" spans="1:73" x14ac:dyDescent="0.25">
      <c r="A125" s="8" t="s">
        <v>77</v>
      </c>
      <c r="B125" s="3">
        <f ca="1">B116</f>
        <v>9631.5049999999992</v>
      </c>
      <c r="C125" s="1" t="str">
        <f>"+ t ( "</f>
        <v xml:space="preserve">+ t ( </v>
      </c>
      <c r="D125" s="1">
        <f ca="1">J116</f>
        <v>-1706.4</v>
      </c>
      <c r="E125" s="1" t="s">
        <v>129</v>
      </c>
      <c r="F125" s="3">
        <f ca="1">B116</f>
        <v>9631.5049999999992</v>
      </c>
      <c r="G125" s="1" t="s">
        <v>130</v>
      </c>
      <c r="AS125">
        <v>2.1467549799530259</v>
      </c>
      <c r="AT125">
        <v>-37.271943267886599</v>
      </c>
      <c r="AU125">
        <v>554.72352860612682</v>
      </c>
      <c r="AV125" s="6">
        <f t="shared" si="92"/>
        <v>1.6378856146367522</v>
      </c>
      <c r="AW125" s="6">
        <f t="shared" si="93"/>
        <v>0.50886936531627369</v>
      </c>
      <c r="AX125" s="6">
        <f t="shared" si="94"/>
        <v>-1.637885614636752</v>
      </c>
      <c r="AY125" s="6">
        <f t="shared" si="95"/>
        <v>1.637885614636752</v>
      </c>
      <c r="BE125" s="39"/>
      <c r="BF125" s="39"/>
      <c r="BG125" s="6">
        <f t="shared" si="102"/>
        <v>1.9198621771937647</v>
      </c>
      <c r="BH125" s="9">
        <f t="shared" ca="1" si="103"/>
        <v>33.525761412487135</v>
      </c>
      <c r="BI125" s="9">
        <f t="shared" ca="1" si="104"/>
        <v>408.77142776541768</v>
      </c>
      <c r="BJ125">
        <f t="shared" ca="1" si="105"/>
        <v>410.14394648179933</v>
      </c>
      <c r="BK125" s="6">
        <f t="shared" ca="1" si="106"/>
        <v>8.1741451263806192E-2</v>
      </c>
      <c r="BL125" s="6">
        <f t="shared" ca="1" si="107"/>
        <v>0.99665356826998164</v>
      </c>
      <c r="BM125" s="6">
        <f t="shared" ca="1" si="108"/>
        <v>1.4889635725750288</v>
      </c>
      <c r="BN125" s="6">
        <f t="shared" ca="1" si="109"/>
        <v>2.214096123842876</v>
      </c>
      <c r="BO125" s="9">
        <f t="shared" ca="1" si="110"/>
        <v>-33.389995185360895</v>
      </c>
      <c r="BP125" s="9">
        <f t="shared" ca="1" si="111"/>
        <v>556.69046866592407</v>
      </c>
      <c r="BQ125">
        <f t="shared" ca="1" si="112"/>
        <v>557.69092666275697</v>
      </c>
      <c r="BR125">
        <f t="shared" ca="1" si="113"/>
        <v>-5.9871863767208579E-2</v>
      </c>
      <c r="BS125">
        <f t="shared" ca="1" si="114"/>
        <v>0.99820607087366531</v>
      </c>
      <c r="BT125">
        <f t="shared" ca="1" si="115"/>
        <v>1.6307040182324306</v>
      </c>
      <c r="BU125" s="39">
        <f t="shared" ca="1" si="116"/>
        <v>1.6307040182324306</v>
      </c>
    </row>
    <row r="126" spans="1:73" x14ac:dyDescent="0.25">
      <c r="A126" s="8" t="s">
        <v>125</v>
      </c>
      <c r="B126" s="3">
        <f ca="1">B117</f>
        <v>-1374.1260000000002</v>
      </c>
      <c r="D126" s="1">
        <f ca="1">J117</f>
        <v>2047.6800000000003</v>
      </c>
      <c r="F126" s="3">
        <f ca="1">B117</f>
        <v>-1374.1260000000002</v>
      </c>
      <c r="AS126">
        <v>2.164208272472969</v>
      </c>
      <c r="AT126">
        <v>-37.613315828524065</v>
      </c>
      <c r="AU126">
        <v>554.49755429208176</v>
      </c>
      <c r="AV126" s="6">
        <f t="shared" si="92"/>
        <v>1.6385257221433549</v>
      </c>
      <c r="AW126" s="6">
        <f t="shared" si="93"/>
        <v>0.52568255032961408</v>
      </c>
      <c r="AX126" s="6">
        <f t="shared" si="94"/>
        <v>-1.6385257221433547</v>
      </c>
      <c r="AY126" s="6">
        <f t="shared" si="95"/>
        <v>1.6385257221433547</v>
      </c>
      <c r="BE126" s="39"/>
      <c r="BF126" s="39"/>
      <c r="BG126" s="6">
        <f t="shared" si="102"/>
        <v>1.937315469713708</v>
      </c>
      <c r="BH126" s="9">
        <f t="shared" ca="1" si="103"/>
        <v>33.255205721490327</v>
      </c>
      <c r="BI126" s="9">
        <f t="shared" ca="1" si="104"/>
        <v>408.67026235524247</v>
      </c>
      <c r="BJ126">
        <f t="shared" ca="1" si="105"/>
        <v>410.02108731269095</v>
      </c>
      <c r="BK126" s="6">
        <f t="shared" ca="1" si="106"/>
        <v>8.1106086370941174E-2</v>
      </c>
      <c r="BL126" s="6">
        <f t="shared" ca="1" si="107"/>
        <v>0.99670547442742052</v>
      </c>
      <c r="BM126" s="6">
        <f t="shared" ca="1" si="108"/>
        <v>1.4896010541904716</v>
      </c>
      <c r="BN126" s="6">
        <f t="shared" ca="1" si="109"/>
        <v>2.2147336054583189</v>
      </c>
      <c r="BO126" s="9">
        <f t="shared" ca="1" si="110"/>
        <v>-33.660550876357703</v>
      </c>
      <c r="BP126" s="9">
        <f t="shared" ca="1" si="111"/>
        <v>556.58930325574886</v>
      </c>
      <c r="BQ126">
        <f t="shared" ca="1" si="112"/>
        <v>557.6062097789262</v>
      </c>
      <c r="BR126">
        <f t="shared" ca="1" si="113"/>
        <v>-6.0366169325307695E-2</v>
      </c>
      <c r="BS126">
        <f t="shared" ca="1" si="114"/>
        <v>0.99817629985939271</v>
      </c>
      <c r="BT126">
        <f t="shared" ca="1" si="115"/>
        <v>1.6311992195077416</v>
      </c>
      <c r="BU126" s="39">
        <f t="shared" ca="1" si="116"/>
        <v>1.6311992195077416</v>
      </c>
    </row>
    <row r="127" spans="1:73" x14ac:dyDescent="0.25">
      <c r="A127" s="8" t="s">
        <v>75</v>
      </c>
      <c r="B127" s="3">
        <f ca="1">B115</f>
        <v>1970.9105000000002</v>
      </c>
      <c r="D127" s="1">
        <f ca="1">J115</f>
        <v>-170.64000000000001</v>
      </c>
      <c r="F127" s="3">
        <f ca="1">B115</f>
        <v>1970.9105000000002</v>
      </c>
      <c r="AS127">
        <v>2.1816615649929121</v>
      </c>
      <c r="AT127">
        <v>-37.962822520138218</v>
      </c>
      <c r="AU127">
        <v>554.25731805951614</v>
      </c>
      <c r="AV127" s="6">
        <f t="shared" si="92"/>
        <v>1.639182656945807</v>
      </c>
      <c r="AW127" s="6">
        <f t="shared" si="93"/>
        <v>0.54247890804710508</v>
      </c>
      <c r="AX127" s="6">
        <f t="shared" si="94"/>
        <v>-1.6391826569458068</v>
      </c>
      <c r="AY127" s="6">
        <f t="shared" si="95"/>
        <v>1.6391826569458068</v>
      </c>
      <c r="BE127" s="39"/>
      <c r="BF127" s="39"/>
      <c r="BG127" s="6">
        <f t="shared" si="102"/>
        <v>1.9547687622336514</v>
      </c>
      <c r="BH127" s="9">
        <f t="shared" ca="1" si="103"/>
        <v>32.980999926691922</v>
      </c>
      <c r="BI127" s="9">
        <f t="shared" ca="1" si="104"/>
        <v>408.56224031785223</v>
      </c>
      <c r="BJ127">
        <f t="shared" ca="1" si="105"/>
        <v>409.89126676437849</v>
      </c>
      <c r="BK127" s="6">
        <f t="shared" ca="1" si="106"/>
        <v>8.0462802213472601E-2</v>
      </c>
      <c r="BL127" s="6">
        <f t="shared" ca="1" si="107"/>
        <v>0.99675761219062464</v>
      </c>
      <c r="BM127" s="6">
        <f t="shared" ca="1" si="108"/>
        <v>1.4902464477665631</v>
      </c>
      <c r="BN127" s="6">
        <f t="shared" ca="1" si="109"/>
        <v>2.2153789990344102</v>
      </c>
      <c r="BO127" s="9">
        <f t="shared" ca="1" si="110"/>
        <v>-33.934756671156109</v>
      </c>
      <c r="BP127" s="9">
        <f t="shared" ca="1" si="111"/>
        <v>556.48128121835862</v>
      </c>
      <c r="BQ127">
        <f t="shared" ca="1" si="112"/>
        <v>557.51500792064473</v>
      </c>
      <c r="BR127">
        <f t="shared" ca="1" si="113"/>
        <v>-6.086788012706968E-2</v>
      </c>
      <c r="BS127">
        <f t="shared" ca="1" si="114"/>
        <v>0.99814583161421677</v>
      </c>
      <c r="BT127">
        <f t="shared" ca="1" si="115"/>
        <v>1.6317018546118558</v>
      </c>
      <c r="BU127" s="39">
        <f t="shared" ca="1" si="116"/>
        <v>1.6317018546118558</v>
      </c>
    </row>
    <row r="128" spans="1:73" x14ac:dyDescent="0.25">
      <c r="AS128">
        <v>2.1991148575128552</v>
      </c>
      <c r="AT128">
        <v>-38.320978380783927</v>
      </c>
      <c r="AU128">
        <v>554.00181861191606</v>
      </c>
      <c r="AV128" s="6">
        <f t="shared" si="92"/>
        <v>1.639857536301264</v>
      </c>
      <c r="AW128" s="6">
        <f t="shared" si="93"/>
        <v>0.55925732121159122</v>
      </c>
      <c r="AX128" s="6">
        <f t="shared" si="94"/>
        <v>-1.6398575363012637</v>
      </c>
      <c r="AY128" s="6">
        <f t="shared" si="95"/>
        <v>1.6398575363012637</v>
      </c>
      <c r="BE128" s="39"/>
      <c r="BF128" s="39"/>
      <c r="BG128" s="6">
        <f t="shared" si="102"/>
        <v>1.9722220547535947</v>
      </c>
      <c r="BH128" s="9">
        <f t="shared" ca="1" si="103"/>
        <v>32.702899098038131</v>
      </c>
      <c r="BI128" s="9">
        <f t="shared" ca="1" si="104"/>
        <v>408.44703690584322</v>
      </c>
      <c r="BJ128">
        <f t="shared" ca="1" si="105"/>
        <v>409.75414771125838</v>
      </c>
      <c r="BK128" s="6">
        <f t="shared" ca="1" si="106"/>
        <v>7.9811026394009554E-2</v>
      </c>
      <c r="BL128" s="6">
        <f t="shared" ca="1" si="107"/>
        <v>0.99681001202131514</v>
      </c>
      <c r="BM128" s="6">
        <f t="shared" ca="1" si="108"/>
        <v>1.4909003265598628</v>
      </c>
      <c r="BN128" s="6">
        <f t="shared" ca="1" si="109"/>
        <v>2.2160328778277099</v>
      </c>
      <c r="BO128" s="9">
        <f t="shared" ca="1" si="110"/>
        <v>-34.2128574998099</v>
      </c>
      <c r="BP128" s="9">
        <f t="shared" ca="1" si="111"/>
        <v>556.36607780634961</v>
      </c>
      <c r="BQ128">
        <f t="shared" ca="1" si="112"/>
        <v>557.41701817573107</v>
      </c>
      <c r="BR128">
        <f t="shared" ca="1" si="113"/>
        <v>-6.137749007337262E-2</v>
      </c>
      <c r="BS128">
        <f t="shared" ca="1" si="114"/>
        <v>0.99811462453582611</v>
      </c>
      <c r="BT128">
        <f t="shared" ca="1" si="115"/>
        <v>1.6322124191863958</v>
      </c>
      <c r="BU128" s="39">
        <f t="shared" ca="1" si="116"/>
        <v>1.6322124191863958</v>
      </c>
    </row>
    <row r="129" spans="1:73" x14ac:dyDescent="0.25">
      <c r="A129" s="15" t="s">
        <v>131</v>
      </c>
      <c r="AS129">
        <v>2.2165681500327983</v>
      </c>
      <c r="AT129">
        <v>-38.688335080935147</v>
      </c>
      <c r="AU129">
        <v>553.72995691536062</v>
      </c>
      <c r="AV129" s="6">
        <f t="shared" si="92"/>
        <v>1.6405515647427134</v>
      </c>
      <c r="AW129" s="6">
        <f t="shared" si="93"/>
        <v>0.57601658529008493</v>
      </c>
      <c r="AX129" s="6">
        <f t="shared" si="94"/>
        <v>-1.6405515647427131</v>
      </c>
      <c r="AY129" s="6">
        <f t="shared" si="95"/>
        <v>1.6405515647427131</v>
      </c>
      <c r="BE129" s="39"/>
      <c r="BF129" s="39"/>
      <c r="BG129" s="6">
        <f t="shared" si="102"/>
        <v>1.989675347273538</v>
      </c>
      <c r="BH129" s="9">
        <f t="shared" ca="1" si="103"/>
        <v>32.420646478233024</v>
      </c>
      <c r="BI129" s="9">
        <f t="shared" ca="1" si="104"/>
        <v>408.32429885980832</v>
      </c>
      <c r="BJ129">
        <f t="shared" ca="1" si="105"/>
        <v>409.60936434293177</v>
      </c>
      <c r="BK129" s="6">
        <f t="shared" ca="1" si="106"/>
        <v>7.9150159396966124E-2</v>
      </c>
      <c r="BL129" s="6">
        <f t="shared" ca="1" si="107"/>
        <v>0.99686270482320427</v>
      </c>
      <c r="BM129" s="6">
        <f t="shared" ca="1" si="108"/>
        <v>1.4915632909142971</v>
      </c>
      <c r="BN129" s="6">
        <f t="shared" ca="1" si="109"/>
        <v>2.2166958421821441</v>
      </c>
      <c r="BO129" s="9">
        <f t="shared" ca="1" si="110"/>
        <v>-34.495110119615006</v>
      </c>
      <c r="BP129" s="9">
        <f t="shared" ca="1" si="111"/>
        <v>556.24333976031471</v>
      </c>
      <c r="BQ129">
        <f t="shared" ca="1" si="112"/>
        <v>557.31191055805834</v>
      </c>
      <c r="BR129">
        <f t="shared" ca="1" si="113"/>
        <v>-6.1895519306367767E-2</v>
      </c>
      <c r="BS129">
        <f t="shared" ca="1" si="114"/>
        <v>0.99808263419909038</v>
      </c>
      <c r="BT129">
        <f t="shared" ca="1" si="115"/>
        <v>1.6327314352496627</v>
      </c>
      <c r="BU129" s="39">
        <f t="shared" ca="1" si="116"/>
        <v>1.6327314352496627</v>
      </c>
    </row>
    <row r="130" spans="1:73" x14ac:dyDescent="0.25">
      <c r="A130" s="8" t="s">
        <v>133</v>
      </c>
      <c r="B130" s="1">
        <f>U10</f>
        <v>0</v>
      </c>
      <c r="AS130">
        <v>2.2340214425527414</v>
      </c>
      <c r="AT130">
        <v>-39.065484520649491</v>
      </c>
      <c r="AU130">
        <v>553.44052495189965</v>
      </c>
      <c r="AV130" s="6">
        <f t="shared" si="92"/>
        <v>1.6412660433998214</v>
      </c>
      <c r="AW130" s="6">
        <f t="shared" si="93"/>
        <v>0.59275539915291997</v>
      </c>
      <c r="AX130" s="6">
        <f t="shared" si="94"/>
        <v>-1.6412660433998212</v>
      </c>
      <c r="AY130" s="6">
        <f t="shared" si="95"/>
        <v>1.6412660433998212</v>
      </c>
      <c r="BE130" s="39"/>
      <c r="BF130" s="39"/>
      <c r="BG130" s="6">
        <f t="shared" si="102"/>
        <v>2.0071286397934811</v>
      </c>
      <c r="BH130" s="9">
        <f t="shared" ca="1" si="103"/>
        <v>32.133972446961451</v>
      </c>
      <c r="BI130" s="9">
        <f t="shared" ca="1" si="104"/>
        <v>408.19364195923879</v>
      </c>
      <c r="BJ130">
        <f t="shared" ca="1" si="105"/>
        <v>409.45651969552188</v>
      </c>
      <c r="BK130" s="6">
        <f t="shared" ca="1" si="106"/>
        <v>7.8479572069964268E-2</v>
      </c>
      <c r="BL130" s="6">
        <f t="shared" ca="1" si="107"/>
        <v>0.99691572199846235</v>
      </c>
      <c r="BM130" s="6">
        <f t="shared" ca="1" si="108"/>
        <v>1.4922359707795156</v>
      </c>
      <c r="BN130" s="6">
        <f t="shared" ca="1" si="109"/>
        <v>2.2173685220473627</v>
      </c>
      <c r="BO130" s="9">
        <f t="shared" ca="1" si="110"/>
        <v>-34.78178415088658</v>
      </c>
      <c r="BP130" s="9">
        <f t="shared" ca="1" si="111"/>
        <v>556.11268285974518</v>
      </c>
      <c r="BQ130">
        <f t="shared" ca="1" si="112"/>
        <v>557.19932568712102</v>
      </c>
      <c r="BR130">
        <f t="shared" ca="1" si="113"/>
        <v>-6.2422516588645824E-2</v>
      </c>
      <c r="BS130">
        <f t="shared" ca="1" si="114"/>
        <v>0.99804981309689167</v>
      </c>
      <c r="BT130">
        <f t="shared" ca="1" si="115"/>
        <v>1.6332594535890748</v>
      </c>
      <c r="BU130" s="39">
        <f t="shared" ca="1" si="116"/>
        <v>1.6332594535890748</v>
      </c>
    </row>
    <row r="131" spans="1:73" x14ac:dyDescent="0.25">
      <c r="A131" s="8" t="s">
        <v>132</v>
      </c>
      <c r="B131">
        <f ca="1">(U10-B127)/(D127-F127)</f>
        <v>0.92031941343433177</v>
      </c>
      <c r="AS131">
        <v>2.2514747350726845</v>
      </c>
      <c r="AT131">
        <v>-39.453062851477021</v>
      </c>
      <c r="AU131">
        <v>553.13219289073186</v>
      </c>
      <c r="AV131" s="6">
        <f t="shared" ref="AV131:AV194" si="134">IF(AS131&lt;&gt;"",IF(AND(AT131=0,AU131=0),0,MOD(ATAN2(AT131,AU131),2*PI())),NA())</f>
        <v>1.6420023805352952</v>
      </c>
      <c r="AW131" s="6">
        <f t="shared" ref="AW131:AW194" si="135">ABS(AS131-AV131)</f>
        <v>0.60947235453738924</v>
      </c>
      <c r="AX131" s="6">
        <f t="shared" ref="AX131:AX194" si="136">ATAN2(COS($U$13-AV131),SIN($U$13-AV131))</f>
        <v>-1.642002380535295</v>
      </c>
      <c r="AY131" s="6">
        <f t="shared" ref="AY131:AY194" si="137">ABS(AX131)</f>
        <v>1.642002380535295</v>
      </c>
      <c r="BE131" s="39"/>
      <c r="BF131" s="39"/>
      <c r="BG131" s="6">
        <f t="shared" si="102"/>
        <v>2.0245819323134242</v>
      </c>
      <c r="BH131" s="9">
        <f t="shared" ca="1" si="103"/>
        <v>31.842593393216234</v>
      </c>
      <c r="BI131" s="9">
        <f t="shared" ca="1" si="104"/>
        <v>408.05464828667141</v>
      </c>
      <c r="BJ131">
        <f t="shared" ca="1" si="105"/>
        <v>409.29518289660433</v>
      </c>
      <c r="BK131" s="6">
        <f t="shared" ca="1" si="106"/>
        <v>7.7798602875959744E-2</v>
      </c>
      <c r="BL131" s="6">
        <f t="shared" ca="1" si="107"/>
        <v>0.99696909550424317</v>
      </c>
      <c r="BM131" s="6">
        <f t="shared" ca="1" si="108"/>
        <v>1.4929190284582246</v>
      </c>
      <c r="BN131" s="6">
        <f t="shared" ca="1" si="109"/>
        <v>2.2180515797260716</v>
      </c>
      <c r="BO131" s="9">
        <f t="shared" ca="1" si="110"/>
        <v>-35.073163204631797</v>
      </c>
      <c r="BP131" s="9">
        <f t="shared" ca="1" si="111"/>
        <v>555.9736891871778</v>
      </c>
      <c r="BQ131">
        <f t="shared" ca="1" si="112"/>
        <v>557.07887219457473</v>
      </c>
      <c r="BR131">
        <f t="shared" ca="1" si="113"/>
        <v>-6.295906191247827E-2</v>
      </c>
      <c r="BS131">
        <f t="shared" ca="1" si="114"/>
        <v>0.99801611035248361</v>
      </c>
      <c r="BT131">
        <f t="shared" ca="1" si="115"/>
        <v>1.6337970563852617</v>
      </c>
      <c r="BU131" s="39">
        <f t="shared" ca="1" si="116"/>
        <v>1.6337970563852617</v>
      </c>
    </row>
    <row r="132" spans="1:73" x14ac:dyDescent="0.25">
      <c r="A132" s="8" t="s">
        <v>77</v>
      </c>
      <c r="B132">
        <f ca="1">(B125+(B131*(D125-F125)))/12</f>
        <v>-66.915756597848031</v>
      </c>
      <c r="AS132">
        <v>2.2689280275926276</v>
      </c>
      <c r="AT132">
        <v>-39.851754983902438</v>
      </c>
      <c r="AU132">
        <v>552.80349441889348</v>
      </c>
      <c r="AV132" s="6">
        <f t="shared" si="134"/>
        <v>1.6427621034890685</v>
      </c>
      <c r="AW132" s="6">
        <f t="shared" si="135"/>
        <v>0.62616592410355909</v>
      </c>
      <c r="AX132" s="6">
        <f t="shared" si="136"/>
        <v>-1.6427621034890683</v>
      </c>
      <c r="AY132" s="6">
        <f t="shared" si="137"/>
        <v>1.6427621034890683</v>
      </c>
      <c r="BE132" s="39"/>
      <c r="BF132" s="39"/>
      <c r="BG132" s="6">
        <f t="shared" si="102"/>
        <v>2.0420352248333673</v>
      </c>
      <c r="BH132" s="9">
        <f t="shared" ca="1" si="103"/>
        <v>31.546210484547274</v>
      </c>
      <c r="BI132" s="9">
        <f t="shared" ca="1" si="104"/>
        <v>407.90686316756137</v>
      </c>
      <c r="BJ132">
        <f t="shared" ca="1" si="105"/>
        <v>409.12488608630861</v>
      </c>
      <c r="BK132" s="6">
        <f t="shared" ca="1" si="106"/>
        <v>7.710655488674506E-2</v>
      </c>
      <c r="BL132" s="6">
        <f t="shared" ca="1" si="107"/>
        <v>0.99702285790923439</v>
      </c>
      <c r="BM132" s="6">
        <f t="shared" ca="1" si="108"/>
        <v>1.4936131616118142</v>
      </c>
      <c r="BN132" s="6">
        <f t="shared" ca="1" si="109"/>
        <v>2.2187457128796613</v>
      </c>
      <c r="BO132" s="9">
        <f t="shared" ca="1" si="110"/>
        <v>-35.369546113300757</v>
      </c>
      <c r="BP132" s="9">
        <f t="shared" ca="1" si="111"/>
        <v>555.82590406806776</v>
      </c>
      <c r="BQ132">
        <f t="shared" ca="1" si="112"/>
        <v>556.95012382200423</v>
      </c>
      <c r="BR132">
        <f t="shared" ca="1" si="113"/>
        <v>-6.3505769368685003E-2</v>
      </c>
      <c r="BS132">
        <f t="shared" ca="1" si="114"/>
        <v>0.99798147139959026</v>
      </c>
      <c r="BT132">
        <f t="shared" ca="1" si="115"/>
        <v>1.6343448600975841</v>
      </c>
      <c r="BU132" s="39">
        <f t="shared" ca="1" si="116"/>
        <v>1.6343448600975841</v>
      </c>
    </row>
    <row r="133" spans="1:73" x14ac:dyDescent="0.25">
      <c r="A133" s="8" t="s">
        <v>125</v>
      </c>
      <c r="B133">
        <f ca="1">(B126+(B131*(D126-F126)))/12</f>
        <v>147.91904090050642</v>
      </c>
      <c r="AS133">
        <v>2.2863813201125707</v>
      </c>
      <c r="AT133">
        <v>-40.262299633740128</v>
      </c>
      <c r="AU133">
        <v>552.45280997806537</v>
      </c>
      <c r="AV133" s="6">
        <f t="shared" si="134"/>
        <v>1.6435468722197772</v>
      </c>
      <c r="AW133" s="6">
        <f t="shared" si="135"/>
        <v>0.64283444789279343</v>
      </c>
      <c r="AX133" s="6">
        <f t="shared" si="136"/>
        <v>-1.643546872219777</v>
      </c>
      <c r="AY133" s="6">
        <f t="shared" si="137"/>
        <v>1.643546872219777</v>
      </c>
      <c r="BE133" s="39"/>
      <c r="BF133" s="39"/>
      <c r="BG133" s="6">
        <f t="shared" si="102"/>
        <v>2.0594885173533104</v>
      </c>
      <c r="BH133" s="9">
        <f t="shared" ca="1" si="103"/>
        <v>31.244508327624615</v>
      </c>
      <c r="BI133" s="9">
        <f t="shared" ca="1" si="104"/>
        <v>407.74979176419811</v>
      </c>
      <c r="BJ133">
        <f t="shared" ca="1" si="105"/>
        <v>408.94512099349214</v>
      </c>
      <c r="BK133" s="6">
        <f t="shared" ca="1" si="106"/>
        <v>7.6402692497514441E-2</v>
      </c>
      <c r="BL133" s="6">
        <f t="shared" ca="1" si="107"/>
        <v>0.99707704244914308</v>
      </c>
      <c r="BM133" s="6">
        <f t="shared" ca="1" si="108"/>
        <v>1.4943191065445358</v>
      </c>
      <c r="BN133" s="6">
        <f t="shared" ca="1" si="109"/>
        <v>2.2194516578123826</v>
      </c>
      <c r="BO133" s="9">
        <f t="shared" ca="1" si="110"/>
        <v>-35.671248270223415</v>
      </c>
      <c r="BP133" s="9">
        <f t="shared" ca="1" si="111"/>
        <v>555.6688326647045</v>
      </c>
      <c r="BQ133">
        <f t="shared" ca="1" si="112"/>
        <v>556.81261618978363</v>
      </c>
      <c r="BR133">
        <f t="shared" ca="1" si="113"/>
        <v>-6.4063290293812691E-2</v>
      </c>
      <c r="BS133">
        <f t="shared" ca="1" si="114"/>
        <v>0.99794583762683764</v>
      </c>
      <c r="BT133">
        <f t="shared" ca="1" si="115"/>
        <v>1.6349035186299927</v>
      </c>
      <c r="BU133" s="39">
        <f t="shared" ca="1" si="116"/>
        <v>1.6349035186299927</v>
      </c>
    </row>
    <row r="134" spans="1:73" x14ac:dyDescent="0.25">
      <c r="AS134">
        <v>2.3038346126325138</v>
      </c>
      <c r="AT134">
        <v>-40.685495003026546</v>
      </c>
      <c r="AU134">
        <v>552.07834750357028</v>
      </c>
      <c r="AV134" s="6">
        <f t="shared" si="134"/>
        <v>1.6443584947418266</v>
      </c>
      <c r="AW134" s="6">
        <f t="shared" si="135"/>
        <v>0.65947611789068716</v>
      </c>
      <c r="AX134" s="6">
        <f t="shared" si="136"/>
        <v>-1.6443584947418264</v>
      </c>
      <c r="AY134" s="6">
        <f t="shared" si="137"/>
        <v>1.6443584947418264</v>
      </c>
      <c r="BE134" s="39"/>
      <c r="BF134" s="39"/>
      <c r="BG134" s="6">
        <f t="shared" si="102"/>
        <v>2.0769418098732535</v>
      </c>
      <c r="BH134" s="9">
        <f t="shared" ca="1" si="103"/>
        <v>30.937153497941281</v>
      </c>
      <c r="BI134" s="9">
        <f t="shared" ca="1" si="104"/>
        <v>407.58289524993222</v>
      </c>
      <c r="BJ134">
        <f t="shared" ca="1" si="105"/>
        <v>408.75533509285526</v>
      </c>
      <c r="BK134" s="6">
        <f t="shared" ca="1" si="106"/>
        <v>7.5686237809993145E-2</v>
      </c>
      <c r="BL134" s="6">
        <f t="shared" ca="1" si="107"/>
        <v>0.99713168308211386</v>
      </c>
      <c r="BM134" s="6">
        <f t="shared" ca="1" si="108"/>
        <v>1.4950376418187263</v>
      </c>
      <c r="BN134" s="6">
        <f t="shared" ca="1" si="109"/>
        <v>2.2201701930865734</v>
      </c>
      <c r="BO134" s="9">
        <f t="shared" ca="1" si="110"/>
        <v>-35.978603099906749</v>
      </c>
      <c r="BP134" s="9">
        <f t="shared" ca="1" si="111"/>
        <v>555.50193615043861</v>
      </c>
      <c r="BQ134">
        <f t="shared" ca="1" si="112"/>
        <v>556.6658431661732</v>
      </c>
      <c r="BR134">
        <f t="shared" ca="1" si="113"/>
        <v>-6.463231675087093E-2</v>
      </c>
      <c r="BS134">
        <f t="shared" ca="1" si="114"/>
        <v>0.99790914598044211</v>
      </c>
      <c r="BT134">
        <f t="shared" ca="1" si="115"/>
        <v>1.6354737268328072</v>
      </c>
      <c r="BU134" s="39">
        <f t="shared" ca="1" si="116"/>
        <v>1.6354737268328072</v>
      </c>
    </row>
    <row r="135" spans="1:73" x14ac:dyDescent="0.25">
      <c r="A135" s="8"/>
      <c r="AS135">
        <v>2.3212879051524569</v>
      </c>
      <c r="AT135">
        <v>-41.292157139600675</v>
      </c>
      <c r="AU135">
        <v>551.52028719190116</v>
      </c>
      <c r="AV135" s="6">
        <f t="shared" si="134"/>
        <v>1.6455265997295434</v>
      </c>
      <c r="AW135" s="6">
        <f t="shared" si="135"/>
        <v>0.67576130542291346</v>
      </c>
      <c r="AX135" s="6">
        <f t="shared" si="136"/>
        <v>-1.6455265997295432</v>
      </c>
      <c r="AY135" s="6">
        <f t="shared" si="137"/>
        <v>1.6455265997295432</v>
      </c>
      <c r="BE135" s="39"/>
      <c r="BF135" s="39"/>
      <c r="BG135" s="6">
        <f t="shared" si="102"/>
        <v>2.0943951023931966</v>
      </c>
      <c r="BH135" s="9">
        <f t="shared" ca="1" si="103"/>
        <v>30.623792936476889</v>
      </c>
      <c r="BI135" s="9">
        <f t="shared" ca="1" si="104"/>
        <v>407.40558654927679</v>
      </c>
      <c r="BJ135">
        <f t="shared" ca="1" si="105"/>
        <v>408.55492732970004</v>
      </c>
      <c r="BK135" s="6">
        <f t="shared" ca="1" si="106"/>
        <v>7.4956366666858898E-2</v>
      </c>
      <c r="BL135" s="6">
        <f t="shared" ca="1" si="107"/>
        <v>0.99718681454184066</v>
      </c>
      <c r="BM135" s="6">
        <f t="shared" ca="1" si="108"/>
        <v>1.4957695922182417</v>
      </c>
      <c r="BN135" s="6">
        <f t="shared" ca="1" si="109"/>
        <v>2.2209021434860885</v>
      </c>
      <c r="BO135" s="9">
        <f t="shared" ca="1" si="110"/>
        <v>-36.291963661371142</v>
      </c>
      <c r="BP135" s="9">
        <f t="shared" ca="1" si="111"/>
        <v>555.32462744978318</v>
      </c>
      <c r="BQ135">
        <f t="shared" ca="1" si="112"/>
        <v>556.50925282392097</v>
      </c>
      <c r="BR135">
        <f t="shared" ca="1" si="113"/>
        <v>-6.5213585357679377E-2</v>
      </c>
      <c r="BS135">
        <f t="shared" ca="1" si="114"/>
        <v>0.99787132852126614</v>
      </c>
      <c r="BT135">
        <f t="shared" ca="1" si="115"/>
        <v>1.6360562243547534</v>
      </c>
      <c r="BU135" s="39">
        <f t="shared" ca="1" si="116"/>
        <v>1.6360562243547534</v>
      </c>
    </row>
    <row r="136" spans="1:73" x14ac:dyDescent="0.25">
      <c r="A136" s="8"/>
      <c r="AS136">
        <v>2.3387411976724</v>
      </c>
      <c r="AT136">
        <v>-43.891066927354132</v>
      </c>
      <c r="AU136">
        <v>549.04754593398957</v>
      </c>
      <c r="AV136" s="6">
        <f t="shared" si="134"/>
        <v>1.6505670667843744</v>
      </c>
      <c r="AW136" s="6">
        <f t="shared" si="135"/>
        <v>0.68817413088802559</v>
      </c>
      <c r="AX136" s="6">
        <f t="shared" si="136"/>
        <v>-1.6505670667843741</v>
      </c>
      <c r="AY136" s="6">
        <f t="shared" si="137"/>
        <v>1.6505670667843741</v>
      </c>
      <c r="BE136" s="39"/>
      <c r="BF136" s="39"/>
      <c r="BG136" s="6">
        <f t="shared" si="102"/>
        <v>2.1118483949131397</v>
      </c>
      <c r="BH136" s="9">
        <f t="shared" ca="1" si="103"/>
        <v>30.30405217854225</v>
      </c>
      <c r="BI136" s="9">
        <f t="shared" ca="1" si="104"/>
        <v>407.21722552773213</v>
      </c>
      <c r="BJ136">
        <f t="shared" ca="1" si="105"/>
        <v>408.34324329532336</v>
      </c>
      <c r="BK136" s="6">
        <f t="shared" ca="1" si="106"/>
        <v>7.4212204257352324E-2</v>
      </c>
      <c r="BL136" s="6">
        <f t="shared" ca="1" si="107"/>
        <v>0.99724247239037367</v>
      </c>
      <c r="BM136" s="6">
        <f t="shared" ca="1" si="108"/>
        <v>1.4965158331402424</v>
      </c>
      <c r="BN136" s="6">
        <f t="shared" ca="1" si="109"/>
        <v>2.2216483844080894</v>
      </c>
      <c r="BO136" s="9">
        <f t="shared" ca="1" si="110"/>
        <v>-36.611704419305781</v>
      </c>
      <c r="BP136" s="9">
        <f t="shared" ca="1" si="111"/>
        <v>555.13626642823851</v>
      </c>
      <c r="BQ136">
        <f t="shared" ca="1" si="112"/>
        <v>556.34224287247037</v>
      </c>
      <c r="BR136">
        <f t="shared" ca="1" si="113"/>
        <v>-6.5807881548369557E-2</v>
      </c>
      <c r="BS136">
        <f t="shared" ca="1" si="114"/>
        <v>0.99783231192726762</v>
      </c>
      <c r="BT136">
        <f t="shared" ca="1" si="115"/>
        <v>1.6366517999312851</v>
      </c>
      <c r="BU136" s="39">
        <f t="shared" ca="1" si="116"/>
        <v>1.6366517999312851</v>
      </c>
    </row>
    <row r="137" spans="1:73" x14ac:dyDescent="0.25">
      <c r="AS137">
        <v>2.3561944901923431</v>
      </c>
      <c r="AT137">
        <v>-48.542580545617575</v>
      </c>
      <c r="AU137">
        <v>544.47103885937588</v>
      </c>
      <c r="AV137" s="6">
        <f t="shared" si="134"/>
        <v>1.6597167104591373</v>
      </c>
      <c r="AW137" s="6">
        <f t="shared" si="135"/>
        <v>0.69647777973320579</v>
      </c>
      <c r="AX137" s="6">
        <f t="shared" si="136"/>
        <v>-1.659716710459137</v>
      </c>
      <c r="AY137" s="6">
        <f t="shared" si="137"/>
        <v>1.659716710459137</v>
      </c>
      <c r="BE137" s="39"/>
      <c r="BF137" s="39"/>
      <c r="BG137" s="6">
        <f t="shared" si="102"/>
        <v>2.1293016874330828</v>
      </c>
      <c r="BH137" s="9">
        <f t="shared" ca="1" si="103"/>
        <v>29.977533411884835</v>
      </c>
      <c r="BI137" s="9">
        <f t="shared" ca="1" si="104"/>
        <v>407.01711360985382</v>
      </c>
      <c r="BJ137">
        <f t="shared" ca="1" si="105"/>
        <v>408.1195698331033</v>
      </c>
      <c r="BK137" s="6">
        <f t="shared" ca="1" si="106"/>
        <v>7.3452820270647326E-2</v>
      </c>
      <c r="BL137" s="6">
        <f t="shared" ca="1" si="107"/>
        <v>0.99729869306757257</v>
      </c>
      <c r="BM137" s="6">
        <f t="shared" ca="1" si="108"/>
        <v>1.4972772954386033</v>
      </c>
      <c r="BN137" s="6">
        <f t="shared" ca="1" si="109"/>
        <v>2.2224098467064506</v>
      </c>
      <c r="BO137" s="9">
        <f t="shared" ca="1" si="110"/>
        <v>-36.938223185963196</v>
      </c>
      <c r="BP137" s="9">
        <f t="shared" ca="1" si="111"/>
        <v>554.93615451036021</v>
      </c>
      <c r="BQ137">
        <f t="shared" ca="1" si="112"/>
        <v>556.16415554661774</v>
      </c>
      <c r="BR137">
        <f t="shared" ca="1" si="113"/>
        <v>-6.6416044287606071E-2</v>
      </c>
      <c r="BS137">
        <f t="shared" ca="1" si="114"/>
        <v>0.99779201693598785</v>
      </c>
      <c r="BT137">
        <f t="shared" ca="1" si="115"/>
        <v>1.6372612961291551</v>
      </c>
      <c r="BU137" s="39">
        <f t="shared" ca="1" si="116"/>
        <v>1.6372612961291551</v>
      </c>
    </row>
    <row r="138" spans="1:73" x14ac:dyDescent="0.25">
      <c r="AS138">
        <v>2.3736477827122862</v>
      </c>
      <c r="AT138">
        <v>-54.873329236538474</v>
      </c>
      <c r="AU138">
        <v>538.02393329136589</v>
      </c>
      <c r="AV138" s="6">
        <f t="shared" si="134"/>
        <v>1.6724353791434499</v>
      </c>
      <c r="AW138" s="6">
        <f t="shared" si="135"/>
        <v>0.7012124035688363</v>
      </c>
      <c r="AX138" s="6">
        <f t="shared" si="136"/>
        <v>-1.6724353791434496</v>
      </c>
      <c r="AY138" s="6">
        <f t="shared" si="137"/>
        <v>1.6724353791434496</v>
      </c>
      <c r="BE138" s="39"/>
      <c r="BF138" s="39"/>
      <c r="BG138" s="6">
        <f t="shared" si="102"/>
        <v>2.1467549799530259</v>
      </c>
      <c r="BH138" s="9">
        <f t="shared" ca="1" si="103"/>
        <v>29.643813329961432</v>
      </c>
      <c r="BI138" s="9">
        <f t="shared" ca="1" si="104"/>
        <v>406.80448770562043</v>
      </c>
      <c r="BJ138">
        <f t="shared" ca="1" si="105"/>
        <v>407.88312895506459</v>
      </c>
      <c r="BK138" s="6">
        <f t="shared" ca="1" si="106"/>
        <v>7.26772235122949E-2</v>
      </c>
      <c r="BL138" s="6">
        <f t="shared" ca="1" si="107"/>
        <v>0.99735551393800603</v>
      </c>
      <c r="BM138" s="6">
        <f t="shared" ca="1" si="108"/>
        <v>1.4980549708036262</v>
      </c>
      <c r="BN138" s="6">
        <f t="shared" ca="1" si="109"/>
        <v>2.2231875220714734</v>
      </c>
      <c r="BO138" s="9">
        <f t="shared" ca="1" si="110"/>
        <v>-37.271943267886599</v>
      </c>
      <c r="BP138" s="9">
        <f t="shared" ca="1" si="111"/>
        <v>554.72352860612682</v>
      </c>
      <c r="BQ138">
        <f t="shared" ca="1" si="112"/>
        <v>555.9742718365635</v>
      </c>
      <c r="BR138">
        <f t="shared" ca="1" si="113"/>
        <v>-6.7038971326434355E-2</v>
      </c>
      <c r="BS138">
        <f t="shared" ca="1" si="114"/>
        <v>0.99775035771654497</v>
      </c>
      <c r="BT138">
        <f t="shared" ca="1" si="115"/>
        <v>1.6378856146367522</v>
      </c>
      <c r="BU138" s="39">
        <f t="shared" ca="1" si="116"/>
        <v>1.6378856146367522</v>
      </c>
    </row>
    <row r="139" spans="1:73" x14ac:dyDescent="0.25">
      <c r="AS139">
        <v>2.3911010752322293</v>
      </c>
      <c r="AT139">
        <v>-62.639345009882504</v>
      </c>
      <c r="AU139">
        <v>529.83570185777637</v>
      </c>
      <c r="AV139" s="6">
        <f t="shared" si="134"/>
        <v>1.6884741892456161</v>
      </c>
      <c r="AW139" s="6">
        <f t="shared" si="135"/>
        <v>0.70262688598661316</v>
      </c>
      <c r="AX139" s="6">
        <f t="shared" si="136"/>
        <v>-1.6884741892456159</v>
      </c>
      <c r="AY139" s="6">
        <f t="shared" si="137"/>
        <v>1.6884741892456159</v>
      </c>
      <c r="BE139" s="39"/>
      <c r="BF139" s="39"/>
      <c r="BG139" s="6">
        <f t="shared" si="102"/>
        <v>2.164208272472969</v>
      </c>
      <c r="BH139" s="9">
        <f t="shared" ca="1" si="103"/>
        <v>29.302440769323965</v>
      </c>
      <c r="BI139" s="9">
        <f t="shared" ca="1" si="104"/>
        <v>406.57851339157537</v>
      </c>
      <c r="BJ139">
        <f t="shared" ca="1" si="105"/>
        <v>407.63307101699093</v>
      </c>
      <c r="BK139" s="6">
        <f t="shared" ca="1" si="106"/>
        <v>7.188435593858522E-2</v>
      </c>
      <c r="BL139" s="6">
        <f t="shared" ca="1" si="107"/>
        <v>0.99741297333215739</v>
      </c>
      <c r="BM139" s="6">
        <f t="shared" ca="1" si="108"/>
        <v>1.4988499177230463</v>
      </c>
      <c r="BN139" s="6">
        <f t="shared" ca="1" si="109"/>
        <v>2.2239824689908936</v>
      </c>
      <c r="BO139" s="9">
        <f t="shared" ca="1" si="110"/>
        <v>-37.613315828524065</v>
      </c>
      <c r="BP139" s="9">
        <f t="shared" ca="1" si="111"/>
        <v>554.49755429208176</v>
      </c>
      <c r="BQ139">
        <f t="shared" ca="1" si="112"/>
        <v>555.77180500949885</v>
      </c>
      <c r="BR139">
        <f t="shared" ca="1" si="113"/>
        <v>-6.7677625042316072E-2</v>
      </c>
      <c r="BS139">
        <f t="shared" ca="1" si="114"/>
        <v>0.9977072411627731</v>
      </c>
      <c r="BT139">
        <f t="shared" ca="1" si="115"/>
        <v>1.6385257221433549</v>
      </c>
      <c r="BU139" s="39">
        <f t="shared" ca="1" si="116"/>
        <v>1.6385257221433549</v>
      </c>
    </row>
    <row r="140" spans="1:73" x14ac:dyDescent="0.25">
      <c r="AS140">
        <v>2.4085543677521724</v>
      </c>
      <c r="AT140">
        <v>-71.678524495508043</v>
      </c>
      <c r="AU140">
        <v>519.96675973603874</v>
      </c>
      <c r="AV140" s="6">
        <f t="shared" si="134"/>
        <v>1.7077850672953481</v>
      </c>
      <c r="AW140" s="6">
        <f t="shared" si="135"/>
        <v>0.70076930045682428</v>
      </c>
      <c r="AX140" s="6">
        <f t="shared" si="136"/>
        <v>-1.7077850672953478</v>
      </c>
      <c r="AY140" s="6">
        <f t="shared" si="137"/>
        <v>1.7077850672953478</v>
      </c>
      <c r="BE140" s="39"/>
      <c r="BF140" s="39"/>
      <c r="BG140" s="6">
        <f t="shared" si="102"/>
        <v>2.1816615649929121</v>
      </c>
      <c r="BH140" s="9">
        <f t="shared" ca="1" si="103"/>
        <v>28.952934077709813</v>
      </c>
      <c r="BI140" s="9">
        <f t="shared" ca="1" si="104"/>
        <v>406.33827715900975</v>
      </c>
      <c r="BJ140">
        <f t="shared" ca="1" si="105"/>
        <v>407.36846696358378</v>
      </c>
      <c r="BK140" s="6">
        <f t="shared" ca="1" si="106"/>
        <v>7.1073085979180675E-2</v>
      </c>
      <c r="BL140" s="6">
        <f t="shared" ca="1" si="107"/>
        <v>0.9974711105838584</v>
      </c>
      <c r="BM140" s="6">
        <f t="shared" ca="1" si="108"/>
        <v>1.4996632681540027</v>
      </c>
      <c r="BN140" s="6">
        <f t="shared" ca="1" si="109"/>
        <v>2.2247958194218498</v>
      </c>
      <c r="BO140" s="9">
        <f t="shared" ca="1" si="110"/>
        <v>-37.962822520138218</v>
      </c>
      <c r="BP140" s="9">
        <f t="shared" ca="1" si="111"/>
        <v>554.25731805951614</v>
      </c>
      <c r="BQ140">
        <f t="shared" ca="1" si="112"/>
        <v>555.55589324227594</v>
      </c>
      <c r="BR140">
        <f t="shared" ca="1" si="113"/>
        <v>-6.8333039000961091E-2</v>
      </c>
      <c r="BS140">
        <f t="shared" ca="1" si="114"/>
        <v>0.99766256609180903</v>
      </c>
      <c r="BT140">
        <f t="shared" ca="1" si="115"/>
        <v>1.639182656945807</v>
      </c>
      <c r="BU140" s="39">
        <f t="shared" ca="1" si="116"/>
        <v>1.639182656945807</v>
      </c>
    </row>
    <row r="141" spans="1:73" x14ac:dyDescent="0.25">
      <c r="AS141">
        <v>2.4260076602721155</v>
      </c>
      <c r="AT141">
        <v>-81.883832574635051</v>
      </c>
      <c r="AU141">
        <v>508.42736000607835</v>
      </c>
      <c r="AV141" s="6">
        <f t="shared" si="134"/>
        <v>1.7304782912708272</v>
      </c>
      <c r="AW141" s="6">
        <f t="shared" si="135"/>
        <v>0.69552936900128826</v>
      </c>
      <c r="AX141" s="6">
        <f t="shared" si="136"/>
        <v>-1.730478291270827</v>
      </c>
      <c r="AY141" s="6">
        <f t="shared" si="137"/>
        <v>1.730478291270827</v>
      </c>
      <c r="BE141" s="39"/>
      <c r="BF141" s="39"/>
      <c r="BG141" s="6">
        <f t="shared" si="102"/>
        <v>2.1991148575128552</v>
      </c>
      <c r="BH141" s="9">
        <f t="shared" ca="1" si="103"/>
        <v>28.594778217064103</v>
      </c>
      <c r="BI141" s="9">
        <f t="shared" ca="1" si="104"/>
        <v>406.08277771140968</v>
      </c>
      <c r="BJ141">
        <f t="shared" ca="1" si="105"/>
        <v>407.08829962932765</v>
      </c>
      <c r="BK141" s="6">
        <f t="shared" ca="1" si="106"/>
        <v>7.0242201122215853E-2</v>
      </c>
      <c r="BL141" s="6">
        <f t="shared" ca="1" si="107"/>
        <v>0.99752996605691313</v>
      </c>
      <c r="BM141" s="6">
        <f t="shared" ca="1" si="108"/>
        <v>1.500496234931467</v>
      </c>
      <c r="BN141" s="6">
        <f t="shared" ca="1" si="109"/>
        <v>2.225628786199314</v>
      </c>
      <c r="BO141" s="9">
        <f t="shared" ca="1" si="110"/>
        <v>-38.320978380783927</v>
      </c>
      <c r="BP141" s="9">
        <f t="shared" ca="1" si="111"/>
        <v>554.00181861191606</v>
      </c>
      <c r="BQ141">
        <f t="shared" ca="1" si="112"/>
        <v>555.32559135102974</v>
      </c>
      <c r="BR141">
        <f t="shared" ca="1" si="113"/>
        <v>-6.9006325257862378E-2</v>
      </c>
      <c r="BS141">
        <f t="shared" ca="1" si="114"/>
        <v>0.99761622233923508</v>
      </c>
      <c r="BT141">
        <f t="shared" ca="1" si="115"/>
        <v>1.639857536301264</v>
      </c>
      <c r="BU141" s="39">
        <f t="shared" ca="1" si="116"/>
        <v>1.639857536301264</v>
      </c>
    </row>
    <row r="142" spans="1:73" x14ac:dyDescent="0.25">
      <c r="AS142">
        <v>2.4434609527920585</v>
      </c>
      <c r="AT142">
        <v>-93.132341039967656</v>
      </c>
      <c r="AU142">
        <v>495.25331106367827</v>
      </c>
      <c r="AV142" s="6">
        <f t="shared" si="134"/>
        <v>1.7566754585541837</v>
      </c>
      <c r="AW142" s="6">
        <f t="shared" si="135"/>
        <v>0.68678549423787483</v>
      </c>
      <c r="AX142" s="6">
        <f t="shared" si="136"/>
        <v>-1.7566754585541837</v>
      </c>
      <c r="AY142" s="6">
        <f t="shared" si="137"/>
        <v>1.7566754585541837</v>
      </c>
      <c r="BE142" s="39"/>
      <c r="BF142" s="39"/>
      <c r="BG142" s="6">
        <f t="shared" si="102"/>
        <v>2.2165681500327983</v>
      </c>
      <c r="BH142" s="9">
        <f t="shared" ca="1" si="103"/>
        <v>28.227421516912884</v>
      </c>
      <c r="BI142" s="9">
        <f t="shared" ca="1" si="104"/>
        <v>405.81091601485423</v>
      </c>
      <c r="BJ142">
        <f t="shared" ca="1" si="105"/>
        <v>406.79145379703903</v>
      </c>
      <c r="BK142" s="6">
        <f t="shared" ca="1" si="106"/>
        <v>6.9390399560843349E-2</v>
      </c>
      <c r="BL142" s="6">
        <f t="shared" ca="1" si="107"/>
        <v>0.99758958116491303</v>
      </c>
      <c r="BM142" s="6">
        <f t="shared" ca="1" si="108"/>
        <v>1.5013501201142403</v>
      </c>
      <c r="BN142" s="6">
        <f t="shared" ca="1" si="109"/>
        <v>2.2264826713820876</v>
      </c>
      <c r="BO142" s="9">
        <f t="shared" ca="1" si="110"/>
        <v>-38.688335080935147</v>
      </c>
      <c r="BP142" s="9">
        <f t="shared" ca="1" si="111"/>
        <v>553.72995691536062</v>
      </c>
      <c r="BQ142">
        <f t="shared" ca="1" si="112"/>
        <v>555.07986133242298</v>
      </c>
      <c r="BR142">
        <f t="shared" ca="1" si="113"/>
        <v>-6.9698682614907012E-2</v>
      </c>
      <c r="BS142">
        <f t="shared" ca="1" si="114"/>
        <v>0.99756808972708533</v>
      </c>
      <c r="BT142">
        <f t="shared" ca="1" si="115"/>
        <v>1.6405515647427134</v>
      </c>
      <c r="BU142" s="39">
        <f t="shared" ca="1" si="116"/>
        <v>1.6405515647427134</v>
      </c>
    </row>
    <row r="143" spans="1:73" x14ac:dyDescent="0.25">
      <c r="AS143">
        <v>2.4609142453120016</v>
      </c>
      <c r="AT143">
        <v>-105.0198093726016</v>
      </c>
      <c r="AU143">
        <v>480.82988296069135</v>
      </c>
      <c r="AV143" s="6">
        <f t="shared" si="134"/>
        <v>1.7858330130601521</v>
      </c>
      <c r="AW143" s="6">
        <f t="shared" si="135"/>
        <v>0.67508123225184957</v>
      </c>
      <c r="AX143" s="6">
        <f t="shared" si="136"/>
        <v>-1.7858330130601521</v>
      </c>
      <c r="AY143" s="6">
        <f t="shared" si="137"/>
        <v>1.7858330130601521</v>
      </c>
      <c r="BE143" s="39"/>
      <c r="BF143" s="39"/>
      <c r="BG143" s="6">
        <f t="shared" si="102"/>
        <v>2.2340214425527414</v>
      </c>
      <c r="BH143" s="9">
        <f t="shared" ca="1" si="103"/>
        <v>27.850272077198539</v>
      </c>
      <c r="BI143" s="9">
        <f t="shared" ca="1" si="104"/>
        <v>405.52148405139326</v>
      </c>
      <c r="BJ143">
        <f t="shared" ca="1" si="105"/>
        <v>406.47670496846234</v>
      </c>
      <c r="BK143" s="6">
        <f t="shared" ca="1" si="106"/>
        <v>6.8516280851468186E-2</v>
      </c>
      <c r="BL143" s="6">
        <f t="shared" ca="1" si="107"/>
        <v>0.99764999837532342</v>
      </c>
      <c r="BM143" s="6">
        <f t="shared" ca="1" si="108"/>
        <v>1.5022263243179002</v>
      </c>
      <c r="BN143" s="6">
        <f t="shared" ca="1" si="109"/>
        <v>2.2273588755857472</v>
      </c>
      <c r="BO143" s="9">
        <f t="shared" ca="1" si="110"/>
        <v>-39.065484520649491</v>
      </c>
      <c r="BP143" s="9">
        <f t="shared" ca="1" si="111"/>
        <v>553.44052495189965</v>
      </c>
      <c r="BQ143">
        <f t="shared" ca="1" si="112"/>
        <v>554.81756167218373</v>
      </c>
      <c r="BR143">
        <f t="shared" ca="1" si="113"/>
        <v>-7.0411405873506749E-2</v>
      </c>
      <c r="BS143">
        <f t="shared" ca="1" si="114"/>
        <v>0.99751803689102092</v>
      </c>
      <c r="BT143">
        <f t="shared" ca="1" si="115"/>
        <v>1.6412660433998214</v>
      </c>
      <c r="BU143" s="39">
        <f t="shared" ca="1" si="116"/>
        <v>1.6412660433998214</v>
      </c>
    </row>
    <row r="144" spans="1:73" x14ac:dyDescent="0.25">
      <c r="AS144">
        <v>2.4783675378319447</v>
      </c>
      <c r="AT144">
        <v>-117.36423891290418</v>
      </c>
      <c r="AU144">
        <v>465.30830571498268</v>
      </c>
      <c r="AV144" s="6">
        <f t="shared" si="134"/>
        <v>1.8178717498423984</v>
      </c>
      <c r="AW144" s="6">
        <f t="shared" si="135"/>
        <v>0.66049578798954633</v>
      </c>
      <c r="AX144" s="6">
        <f t="shared" si="136"/>
        <v>-1.8178717498423982</v>
      </c>
      <c r="AY144" s="6">
        <f t="shared" si="137"/>
        <v>1.8178717498423982</v>
      </c>
      <c r="BE144" s="39"/>
      <c r="BF144" s="39"/>
      <c r="BG144" s="6">
        <f t="shared" ref="BG144:BG207" si="138">AS131</f>
        <v>2.2514747350726845</v>
      </c>
      <c r="BH144" s="9">
        <f t="shared" ref="BH144:BH207" ca="1" si="139">AT131-$BG$5</f>
        <v>27.462693746371009</v>
      </c>
      <c r="BI144" s="9">
        <f t="shared" ref="BI144:BI207" ca="1" si="140">AU131-$BH$5</f>
        <v>405.21315199022547</v>
      </c>
      <c r="BJ144">
        <f t="shared" ref="BJ144:BJ207" ca="1" si="141">SQRT(POWER(BH144,2)+POWER(BI144,2))</f>
        <v>406.14270656218923</v>
      </c>
      <c r="BK144" s="6">
        <f t="shared" ref="BK144:BK207" ca="1" si="142">BH144/BJ144</f>
        <v>6.7618335384697789E-2</v>
      </c>
      <c r="BL144" s="6">
        <f t="shared" ref="BL144:BL207" ca="1" si="143">BI144/BJ144</f>
        <v>0.99771126119724762</v>
      </c>
      <c r="BM144" s="6">
        <f t="shared" ref="BM144:BM207" ca="1" si="144">ATAN2(BK144,BL144)</f>
        <v>1.5031263572335909</v>
      </c>
      <c r="BN144" s="6">
        <f t="shared" ref="BN144:BN207" ca="1" si="145">BM144-$BJ$11</f>
        <v>2.2282589085014379</v>
      </c>
      <c r="BO144" s="9">
        <f t="shared" ref="BO144:BO207" ca="1" si="146">BH144+$BG$5</f>
        <v>-39.453062851477021</v>
      </c>
      <c r="BP144" s="9">
        <f t="shared" ref="BP144:BP207" ca="1" si="147">BI144+$BH$5</f>
        <v>553.13219289073186</v>
      </c>
      <c r="BQ144">
        <f t="shared" ref="BQ144:BQ207" ca="1" si="148">SQRT(POWER(BO144,2)+POWER(BP144,2))</f>
        <v>554.53743514795497</v>
      </c>
      <c r="BR144">
        <f t="shared" ref="BR144:BR207" ca="1" si="149">BO144/BQ144</f>
        <v>-7.1145896292737446E-2</v>
      </c>
      <c r="BS144">
        <f t="shared" ref="BS144:BS207" ca="1" si="150">BP144/BQ144</f>
        <v>0.99746591993947498</v>
      </c>
      <c r="BT144">
        <f t="shared" ref="BT144:BT207" ca="1" si="151">ATAN2(BR144,BS144)</f>
        <v>1.6420023805352952</v>
      </c>
      <c r="BU144" s="39">
        <f t="shared" ref="BU144:BU207" ca="1" si="152">BT144-$U$13</f>
        <v>1.6420023805352952</v>
      </c>
    </row>
    <row r="145" spans="45:73" x14ac:dyDescent="0.25">
      <c r="AS145">
        <v>2.4958208303518878</v>
      </c>
      <c r="AT145">
        <v>-130.04940191937834</v>
      </c>
      <c r="AU145">
        <v>448.77441932462727</v>
      </c>
      <c r="AV145" s="6">
        <f t="shared" si="134"/>
        <v>1.8528581025577342</v>
      </c>
      <c r="AW145" s="6">
        <f t="shared" si="135"/>
        <v>0.64296272779415364</v>
      </c>
      <c r="AX145" s="6">
        <f t="shared" si="136"/>
        <v>-1.8528581025577342</v>
      </c>
      <c r="AY145" s="6">
        <f t="shared" si="137"/>
        <v>1.8528581025577342</v>
      </c>
      <c r="BE145" s="39"/>
      <c r="BF145" s="39"/>
      <c r="BG145" s="6">
        <f t="shared" si="138"/>
        <v>2.2689280275926276</v>
      </c>
      <c r="BH145" s="9">
        <f t="shared" ca="1" si="139"/>
        <v>27.064001613945592</v>
      </c>
      <c r="BI145" s="9">
        <f t="shared" ca="1" si="140"/>
        <v>404.88445351838709</v>
      </c>
      <c r="BJ145">
        <f t="shared" ca="1" si="141"/>
        <v>405.78797528295809</v>
      </c>
      <c r="BK145" s="6">
        <f t="shared" ca="1" si="142"/>
        <v>6.6694932483087305E-2</v>
      </c>
      <c r="BL145" s="6">
        <f t="shared" ca="1" si="143"/>
        <v>0.9977734141482606</v>
      </c>
      <c r="BM145" s="6">
        <f t="shared" ca="1" si="144"/>
        <v>1.5040518495183561</v>
      </c>
      <c r="BN145" s="6">
        <f t="shared" ca="1" si="145"/>
        <v>2.2291844007862034</v>
      </c>
      <c r="BO145" s="9">
        <f t="shared" ca="1" si="146"/>
        <v>-39.851754983902438</v>
      </c>
      <c r="BP145" s="9">
        <f t="shared" ca="1" si="147"/>
        <v>552.80349441889348</v>
      </c>
      <c r="BQ145">
        <f t="shared" ca="1" si="148"/>
        <v>554.23809488074403</v>
      </c>
      <c r="BR145">
        <f t="shared" ca="1" si="149"/>
        <v>-7.1903673442868229E-2</v>
      </c>
      <c r="BS145">
        <f t="shared" ca="1" si="150"/>
        <v>0.99741158091603355</v>
      </c>
      <c r="BT145">
        <f t="shared" ca="1" si="151"/>
        <v>1.6427621034890685</v>
      </c>
      <c r="BU145" s="39">
        <f t="shared" ca="1" si="152"/>
        <v>1.6427621034890685</v>
      </c>
    </row>
    <row r="146" spans="45:73" x14ac:dyDescent="0.25">
      <c r="AS146">
        <v>2.5132741228718309</v>
      </c>
      <c r="AT146">
        <v>-142.97266199492941</v>
      </c>
      <c r="AU146">
        <v>431.30760152635185</v>
      </c>
      <c r="AV146" s="6">
        <f t="shared" si="134"/>
        <v>1.8908838420949821</v>
      </c>
      <c r="AW146" s="6">
        <f t="shared" si="135"/>
        <v>0.62239028077684888</v>
      </c>
      <c r="AX146" s="6">
        <f t="shared" si="136"/>
        <v>-1.8908838420949821</v>
      </c>
      <c r="AY146" s="6">
        <f t="shared" si="137"/>
        <v>1.8908838420949821</v>
      </c>
      <c r="BE146" s="39"/>
      <c r="BF146" s="39"/>
      <c r="BG146" s="6">
        <f t="shared" si="138"/>
        <v>2.2863813201125707</v>
      </c>
      <c r="BH146" s="9">
        <f t="shared" ca="1" si="139"/>
        <v>26.653456964107903</v>
      </c>
      <c r="BI146" s="9">
        <f t="shared" ca="1" si="140"/>
        <v>404.53376907755899</v>
      </c>
      <c r="BJ146">
        <f t="shared" ca="1" si="141"/>
        <v>405.41087441290148</v>
      </c>
      <c r="BK146" s="6">
        <f t="shared" ca="1" si="142"/>
        <v>6.574430693973439E-2</v>
      </c>
      <c r="BL146" s="6">
        <f t="shared" ca="1" si="143"/>
        <v>0.99783650269220658</v>
      </c>
      <c r="BM146" s="6">
        <f t="shared" ca="1" si="144"/>
        <v>1.5050045662426281</v>
      </c>
      <c r="BN146" s="6">
        <f t="shared" ca="1" si="145"/>
        <v>2.2301371175104752</v>
      </c>
      <c r="BO146" s="9">
        <f t="shared" ca="1" si="146"/>
        <v>-40.262299633740128</v>
      </c>
      <c r="BP146" s="9">
        <f t="shared" ca="1" si="147"/>
        <v>552.45280997806537</v>
      </c>
      <c r="BQ146">
        <f t="shared" ca="1" si="148"/>
        <v>553.91800839515724</v>
      </c>
      <c r="BR146">
        <f t="shared" ca="1" si="149"/>
        <v>-7.2686388641507338E-2</v>
      </c>
      <c r="BS146">
        <f t="shared" ca="1" si="150"/>
        <v>0.99735484603337432</v>
      </c>
      <c r="BT146">
        <f t="shared" ca="1" si="151"/>
        <v>1.6435468722197772</v>
      </c>
      <c r="BU146" s="39">
        <f t="shared" ca="1" si="152"/>
        <v>1.6435468722197772</v>
      </c>
    </row>
    <row r="147" spans="45:73" x14ac:dyDescent="0.25">
      <c r="AS147">
        <v>2.530727415391774</v>
      </c>
      <c r="AT147">
        <v>-156.04051087724309</v>
      </c>
      <c r="AU147">
        <v>412.98534347444524</v>
      </c>
      <c r="AV147" s="6">
        <f t="shared" si="134"/>
        <v>1.9320505672411734</v>
      </c>
      <c r="AW147" s="6">
        <f t="shared" si="135"/>
        <v>0.59867684815060063</v>
      </c>
      <c r="AX147" s="6">
        <f t="shared" si="136"/>
        <v>-1.9320505672411732</v>
      </c>
      <c r="AY147" s="6">
        <f t="shared" si="137"/>
        <v>1.9320505672411732</v>
      </c>
      <c r="BE147" s="39"/>
      <c r="BF147" s="39"/>
      <c r="BG147" s="6">
        <f t="shared" si="138"/>
        <v>2.3038346126325138</v>
      </c>
      <c r="BH147" s="9">
        <f t="shared" ca="1" si="139"/>
        <v>26.230261594821485</v>
      </c>
      <c r="BI147" s="9">
        <f t="shared" ca="1" si="140"/>
        <v>404.1593066030639</v>
      </c>
      <c r="BJ147">
        <f t="shared" ca="1" si="141"/>
        <v>405.00959462363625</v>
      </c>
      <c r="BK147" s="6">
        <f t="shared" ca="1" si="142"/>
        <v>6.4764543712097764E-2</v>
      </c>
      <c r="BL147" s="6">
        <f t="shared" ca="1" si="143"/>
        <v>0.9979005731423165</v>
      </c>
      <c r="BM147" s="6">
        <f t="shared" ca="1" si="144"/>
        <v>1.5059864221802555</v>
      </c>
      <c r="BN147" s="6">
        <f t="shared" ca="1" si="145"/>
        <v>2.2311189734481025</v>
      </c>
      <c r="BO147" s="9">
        <f t="shared" ca="1" si="146"/>
        <v>-40.685495003026546</v>
      </c>
      <c r="BP147" s="9">
        <f t="shared" ca="1" si="147"/>
        <v>552.07834750357028</v>
      </c>
      <c r="BQ147">
        <f t="shared" ca="1" si="148"/>
        <v>553.57547930333237</v>
      </c>
      <c r="BR147">
        <f t="shared" ca="1" si="149"/>
        <v>-7.3495840267760265E-2</v>
      </c>
      <c r="BS147">
        <f t="shared" ca="1" si="150"/>
        <v>0.99729552363546481</v>
      </c>
      <c r="BT147">
        <f t="shared" ca="1" si="151"/>
        <v>1.6443584947418266</v>
      </c>
      <c r="BU147" s="39">
        <f t="shared" ca="1" si="152"/>
        <v>1.6443584947418266</v>
      </c>
    </row>
    <row r="148" spans="45:73" x14ac:dyDescent="0.25">
      <c r="AS148">
        <v>2.5481807079117171</v>
      </c>
      <c r="AT148">
        <v>-169.16467599041505</v>
      </c>
      <c r="AU148">
        <v>393.88799490135381</v>
      </c>
      <c r="AV148" s="6">
        <f t="shared" si="134"/>
        <v>1.9764504309436293</v>
      </c>
      <c r="AW148" s="6">
        <f t="shared" si="135"/>
        <v>0.57173027696808787</v>
      </c>
      <c r="AX148" s="6">
        <f t="shared" si="136"/>
        <v>-1.9764504309436293</v>
      </c>
      <c r="AY148" s="6">
        <f t="shared" si="137"/>
        <v>1.9764504309436293</v>
      </c>
      <c r="BE148" s="39"/>
      <c r="BF148" s="39"/>
      <c r="BG148" s="6">
        <f t="shared" si="138"/>
        <v>2.3212879051524569</v>
      </c>
      <c r="BH148" s="9">
        <f t="shared" ca="1" si="139"/>
        <v>25.623599458247355</v>
      </c>
      <c r="BI148" s="9">
        <f t="shared" ca="1" si="140"/>
        <v>403.60124629139477</v>
      </c>
      <c r="BJ148">
        <f t="shared" ca="1" si="141"/>
        <v>404.41381635295767</v>
      </c>
      <c r="BK148" s="6">
        <f t="shared" ca="1" si="142"/>
        <v>6.335985177094941E-2</v>
      </c>
      <c r="BL148" s="6">
        <f t="shared" ca="1" si="143"/>
        <v>0.99799074604104598</v>
      </c>
      <c r="BM148" s="6">
        <f t="shared" ca="1" si="144"/>
        <v>1.5073940055448627</v>
      </c>
      <c r="BN148" s="6">
        <f t="shared" ca="1" si="145"/>
        <v>2.2325265568127097</v>
      </c>
      <c r="BO148" s="9">
        <f t="shared" ca="1" si="146"/>
        <v>-41.292157139600675</v>
      </c>
      <c r="BP148" s="9">
        <f t="shared" ca="1" si="147"/>
        <v>551.52028719190116</v>
      </c>
      <c r="BQ148">
        <f t="shared" ca="1" si="148"/>
        <v>553.06389271537023</v>
      </c>
      <c r="BR148">
        <f t="shared" ca="1" si="149"/>
        <v>-7.4660735736822623E-2</v>
      </c>
      <c r="BS148">
        <f t="shared" ca="1" si="150"/>
        <v>0.99720899240792882</v>
      </c>
      <c r="BT148">
        <f t="shared" ca="1" si="151"/>
        <v>1.6455265997295434</v>
      </c>
      <c r="BU148" s="39">
        <f t="shared" ca="1" si="152"/>
        <v>1.6455265997295434</v>
      </c>
    </row>
    <row r="149" spans="45:73" x14ac:dyDescent="0.25">
      <c r="AS149">
        <v>2.5656340004316602</v>
      </c>
      <c r="AT149">
        <v>-182.2584792652753</v>
      </c>
      <c r="AU149">
        <v>374.10412118964905</v>
      </c>
      <c r="AV149" s="6">
        <f t="shared" si="134"/>
        <v>2.0241406942221705</v>
      </c>
      <c r="AW149" s="6">
        <f t="shared" si="135"/>
        <v>0.54149330620948977</v>
      </c>
      <c r="AX149" s="6">
        <f t="shared" si="136"/>
        <v>-2.0241406942221705</v>
      </c>
      <c r="AY149" s="6">
        <f t="shared" si="137"/>
        <v>2.0241406942221705</v>
      </c>
      <c r="BE149" s="39"/>
      <c r="BF149" s="39"/>
      <c r="BG149" s="6">
        <f t="shared" si="138"/>
        <v>2.3387411976724</v>
      </c>
      <c r="BH149" s="9">
        <f t="shared" ca="1" si="139"/>
        <v>23.024689670493899</v>
      </c>
      <c r="BI149" s="9">
        <f t="shared" ca="1" si="140"/>
        <v>401.12850503348318</v>
      </c>
      <c r="BJ149">
        <f t="shared" ca="1" si="141"/>
        <v>401.78876774347447</v>
      </c>
      <c r="BK149" s="6">
        <f t="shared" ca="1" si="142"/>
        <v>5.7305458785732441E-2</v>
      </c>
      <c r="BL149" s="6">
        <f t="shared" ca="1" si="143"/>
        <v>0.99835669196603116</v>
      </c>
      <c r="BM149" s="6">
        <f t="shared" ca="1" si="144"/>
        <v>1.5134594571875279</v>
      </c>
      <c r="BN149" s="6">
        <f t="shared" ca="1" si="145"/>
        <v>2.2385920084553748</v>
      </c>
      <c r="BO149" s="9">
        <f t="shared" ca="1" si="146"/>
        <v>-43.891066927354132</v>
      </c>
      <c r="BP149" s="9">
        <f t="shared" ca="1" si="147"/>
        <v>549.04754593398957</v>
      </c>
      <c r="BQ149">
        <f t="shared" ca="1" si="148"/>
        <v>550.79908628478847</v>
      </c>
      <c r="BR149">
        <f t="shared" ca="1" si="149"/>
        <v>-7.9686165101335027E-2</v>
      </c>
      <c r="BS149">
        <f t="shared" ca="1" si="150"/>
        <v>0.99682000135001447</v>
      </c>
      <c r="BT149">
        <f t="shared" ca="1" si="151"/>
        <v>1.6505670667843744</v>
      </c>
      <c r="BU149" s="39">
        <f t="shared" ca="1" si="152"/>
        <v>1.6505670667843744</v>
      </c>
    </row>
    <row r="150" spans="45:73" x14ac:dyDescent="0.25">
      <c r="AS150">
        <v>2.5830872929516033</v>
      </c>
      <c r="AT150">
        <v>-195.23315844878769</v>
      </c>
      <c r="AU150">
        <v>353.73699536010173</v>
      </c>
      <c r="AV150" s="6">
        <f t="shared" si="134"/>
        <v>2.0751094750936416</v>
      </c>
      <c r="AW150" s="6">
        <f t="shared" si="135"/>
        <v>0.5079778178579617</v>
      </c>
      <c r="AX150" s="6">
        <f t="shared" si="136"/>
        <v>-2.0751094750936416</v>
      </c>
      <c r="AY150" s="6">
        <f t="shared" si="137"/>
        <v>2.0751094750936416</v>
      </c>
      <c r="BE150" s="39"/>
      <c r="BF150" s="39"/>
      <c r="BG150" s="6">
        <f t="shared" si="138"/>
        <v>2.3561944901923431</v>
      </c>
      <c r="BH150" s="9">
        <f t="shared" ca="1" si="139"/>
        <v>18.373176052230455</v>
      </c>
      <c r="BI150" s="9">
        <f t="shared" ca="1" si="140"/>
        <v>396.55199795886949</v>
      </c>
      <c r="BJ150">
        <f t="shared" ca="1" si="141"/>
        <v>396.97740575934233</v>
      </c>
      <c r="BK150" s="6">
        <f t="shared" ca="1" si="142"/>
        <v>4.6282674493995597E-2</v>
      </c>
      <c r="BL150" s="6">
        <f t="shared" ca="1" si="143"/>
        <v>0.99892838283917162</v>
      </c>
      <c r="BM150" s="6">
        <f t="shared" ca="1" si="144"/>
        <v>1.5244971127749891</v>
      </c>
      <c r="BN150" s="6">
        <f t="shared" ca="1" si="145"/>
        <v>2.2496296640428364</v>
      </c>
      <c r="BO150" s="9">
        <f t="shared" ca="1" si="146"/>
        <v>-48.542580545617575</v>
      </c>
      <c r="BP150" s="9">
        <f t="shared" ca="1" si="147"/>
        <v>544.47103885937588</v>
      </c>
      <c r="BQ150">
        <f t="shared" ca="1" si="148"/>
        <v>546.63067448016102</v>
      </c>
      <c r="BR150">
        <f t="shared" ca="1" si="149"/>
        <v>-8.8803250186757207E-2</v>
      </c>
      <c r="BS150">
        <f t="shared" ca="1" si="150"/>
        <v>0.99604918691612221</v>
      </c>
      <c r="BT150">
        <f t="shared" ca="1" si="151"/>
        <v>1.6597167104591373</v>
      </c>
      <c r="BU150" s="39">
        <f t="shared" ca="1" si="152"/>
        <v>1.6597167104591373</v>
      </c>
    </row>
    <row r="151" spans="45:73" x14ac:dyDescent="0.25">
      <c r="AS151">
        <v>2.6005405854715464</v>
      </c>
      <c r="AT151">
        <v>-207.99384704673616</v>
      </c>
      <c r="AU151">
        <v>332.9129167640524</v>
      </c>
      <c r="AV151" s="6">
        <f t="shared" si="134"/>
        <v>2.1292298948354293</v>
      </c>
      <c r="AW151" s="6">
        <f t="shared" si="135"/>
        <v>0.47131069063611708</v>
      </c>
      <c r="AX151" s="6">
        <f t="shared" si="136"/>
        <v>-2.1292298948354293</v>
      </c>
      <c r="AY151" s="6">
        <f t="shared" si="137"/>
        <v>2.1292298948354293</v>
      </c>
      <c r="BE151" s="39"/>
      <c r="BF151" s="39"/>
      <c r="BG151" s="6">
        <f t="shared" si="138"/>
        <v>2.3736477827122862</v>
      </c>
      <c r="BH151" s="9">
        <f t="shared" ca="1" si="139"/>
        <v>12.042427361309556</v>
      </c>
      <c r="BI151" s="9">
        <f t="shared" ca="1" si="140"/>
        <v>390.1048923908595</v>
      </c>
      <c r="BJ151">
        <f t="shared" ca="1" si="141"/>
        <v>390.29072128867796</v>
      </c>
      <c r="BK151" s="6">
        <f t="shared" ca="1" si="142"/>
        <v>3.0855018334915506E-2</v>
      </c>
      <c r="BL151" s="6">
        <f t="shared" ca="1" si="143"/>
        <v>0.99952387057215997</v>
      </c>
      <c r="BM151" s="6">
        <f t="shared" ca="1" si="144"/>
        <v>1.5399364105330744</v>
      </c>
      <c r="BN151" s="6">
        <f t="shared" ca="1" si="145"/>
        <v>2.2650689618009214</v>
      </c>
      <c r="BO151" s="9">
        <f t="shared" ca="1" si="146"/>
        <v>-54.873329236538474</v>
      </c>
      <c r="BP151" s="9">
        <f t="shared" ca="1" si="147"/>
        <v>538.02393329136589</v>
      </c>
      <c r="BQ151">
        <f t="shared" ca="1" si="148"/>
        <v>540.81497303219487</v>
      </c>
      <c r="BR151">
        <f t="shared" ca="1" si="149"/>
        <v>-0.10146414572969274</v>
      </c>
      <c r="BS151">
        <f t="shared" ca="1" si="150"/>
        <v>0.99483919661990783</v>
      </c>
      <c r="BT151">
        <f t="shared" ca="1" si="151"/>
        <v>1.6724353791434499</v>
      </c>
      <c r="BU151" s="39">
        <f t="shared" ca="1" si="152"/>
        <v>1.6724353791434499</v>
      </c>
    </row>
    <row r="152" spans="45:73" x14ac:dyDescent="0.25">
      <c r="AS152">
        <v>2.6179938779914895</v>
      </c>
      <c r="AT152">
        <v>-220.43484312217589</v>
      </c>
      <c r="AU152">
        <v>311.79234577397222</v>
      </c>
      <c r="AV152" s="6">
        <f t="shared" si="134"/>
        <v>2.1861998291535887</v>
      </c>
      <c r="AW152" s="6">
        <f t="shared" si="135"/>
        <v>0.43179404883790085</v>
      </c>
      <c r="AX152" s="6">
        <f t="shared" si="136"/>
        <v>-2.1861998291535887</v>
      </c>
      <c r="AY152" s="6">
        <f t="shared" si="137"/>
        <v>2.1861998291535887</v>
      </c>
      <c r="BE152" s="39"/>
      <c r="BF152" s="39"/>
      <c r="BG152" s="6">
        <f t="shared" si="138"/>
        <v>2.3911010752322293</v>
      </c>
      <c r="BH152" s="9">
        <f t="shared" ca="1" si="139"/>
        <v>4.2764115879655265</v>
      </c>
      <c r="BI152" s="9">
        <f t="shared" ca="1" si="140"/>
        <v>381.91666095726998</v>
      </c>
      <c r="BJ152">
        <f t="shared" ca="1" si="141"/>
        <v>381.94060220513347</v>
      </c>
      <c r="BK152" s="6">
        <f t="shared" ca="1" si="142"/>
        <v>1.1196535700252004E-2</v>
      </c>
      <c r="BL152" s="6">
        <f t="shared" ca="1" si="143"/>
        <v>0.99993731682956655</v>
      </c>
      <c r="BM152" s="6">
        <f t="shared" ca="1" si="144"/>
        <v>1.5595995571439936</v>
      </c>
      <c r="BN152" s="6">
        <f t="shared" ca="1" si="145"/>
        <v>2.2847321084118404</v>
      </c>
      <c r="BO152" s="9">
        <f t="shared" ca="1" si="146"/>
        <v>-62.639345009882504</v>
      </c>
      <c r="BP152" s="9">
        <f t="shared" ca="1" si="147"/>
        <v>529.83570185777637</v>
      </c>
      <c r="BQ152">
        <f t="shared" ca="1" si="148"/>
        <v>533.525593112823</v>
      </c>
      <c r="BR152">
        <f t="shared" ca="1" si="149"/>
        <v>-0.11740644838501001</v>
      </c>
      <c r="BS152">
        <f t="shared" ca="1" si="150"/>
        <v>0.99308394704456782</v>
      </c>
      <c r="BT152">
        <f t="shared" ca="1" si="151"/>
        <v>1.6884741892456161</v>
      </c>
      <c r="BU152" s="39">
        <f t="shared" ca="1" si="152"/>
        <v>1.6884741892456161</v>
      </c>
    </row>
    <row r="153" spans="45:73" x14ac:dyDescent="0.25">
      <c r="AS153">
        <v>2.6354471705114326</v>
      </c>
      <c r="AT153">
        <v>-232.43365984070272</v>
      </c>
      <c r="AU153">
        <v>290.58535116502844</v>
      </c>
      <c r="AV153" s="6">
        <f t="shared" si="134"/>
        <v>2.2454646168754948</v>
      </c>
      <c r="AW153" s="6">
        <f t="shared" si="135"/>
        <v>0.38998255363593781</v>
      </c>
      <c r="AX153" s="6">
        <f t="shared" si="136"/>
        <v>-2.2454646168754948</v>
      </c>
      <c r="AY153" s="6">
        <f t="shared" si="137"/>
        <v>2.2454646168754948</v>
      </c>
      <c r="BE153" s="39"/>
      <c r="BF153" s="39"/>
      <c r="BG153" s="6">
        <f t="shared" si="138"/>
        <v>2.4085543677521724</v>
      </c>
      <c r="BH153" s="9">
        <f t="shared" ca="1" si="139"/>
        <v>-4.7627678976600123</v>
      </c>
      <c r="BI153" s="9">
        <f t="shared" ca="1" si="140"/>
        <v>372.04771883553235</v>
      </c>
      <c r="BJ153">
        <f t="shared" ca="1" si="141"/>
        <v>372.07820286704555</v>
      </c>
      <c r="BK153" s="6">
        <f t="shared" ca="1" si="142"/>
        <v>-1.2800448564201136E-2</v>
      </c>
      <c r="BL153" s="6">
        <f t="shared" ca="1" si="143"/>
        <v>0.99991807090208917</v>
      </c>
      <c r="BM153" s="6">
        <f t="shared" ca="1" si="144"/>
        <v>1.5835971249469554</v>
      </c>
      <c r="BN153" s="6">
        <f t="shared" ca="1" si="145"/>
        <v>2.3087296762148024</v>
      </c>
      <c r="BO153" s="9">
        <f t="shared" ca="1" si="146"/>
        <v>-71.678524495508043</v>
      </c>
      <c r="BP153" s="9">
        <f t="shared" ca="1" si="147"/>
        <v>519.96675973603874</v>
      </c>
      <c r="BQ153">
        <f t="shared" ca="1" si="148"/>
        <v>524.88402729007544</v>
      </c>
      <c r="BR153">
        <f t="shared" ca="1" si="149"/>
        <v>-0.13656068915942671</v>
      </c>
      <c r="BS153">
        <f t="shared" ca="1" si="150"/>
        <v>0.9906317066277972</v>
      </c>
      <c r="BT153">
        <f t="shared" ca="1" si="151"/>
        <v>1.7077850672953481</v>
      </c>
      <c r="BU153" s="39">
        <f t="shared" ca="1" si="152"/>
        <v>1.7077850672953481</v>
      </c>
    </row>
    <row r="154" spans="45:73" x14ac:dyDescent="0.25">
      <c r="AS154">
        <v>2.6529004630313757</v>
      </c>
      <c r="AT154">
        <v>-243.84309549912044</v>
      </c>
      <c r="AU154">
        <v>269.57374312032209</v>
      </c>
      <c r="AV154" s="6">
        <f t="shared" si="134"/>
        <v>2.3061198999915429</v>
      </c>
      <c r="AW154" s="6">
        <f t="shared" si="135"/>
        <v>0.34678056303983285</v>
      </c>
      <c r="AX154" s="6">
        <f t="shared" si="136"/>
        <v>-2.3061198999915429</v>
      </c>
      <c r="AY154" s="6">
        <f t="shared" si="137"/>
        <v>2.3061198999915429</v>
      </c>
      <c r="BE154" s="39"/>
      <c r="BF154" s="39"/>
      <c r="BG154" s="6">
        <f t="shared" si="138"/>
        <v>2.4260076602721155</v>
      </c>
      <c r="BH154" s="9">
        <f t="shared" ca="1" si="139"/>
        <v>-14.96807597678702</v>
      </c>
      <c r="BI154" s="9">
        <f t="shared" ca="1" si="140"/>
        <v>360.5083191055719</v>
      </c>
      <c r="BJ154">
        <f t="shared" ca="1" si="141"/>
        <v>360.81891780056617</v>
      </c>
      <c r="BK154" s="6">
        <f t="shared" ca="1" si="142"/>
        <v>-4.1483623053989255E-2</v>
      </c>
      <c r="BL154" s="6">
        <f t="shared" ca="1" si="143"/>
        <v>0.99913918400707047</v>
      </c>
      <c r="BM154" s="6">
        <f t="shared" ca="1" si="144"/>
        <v>1.6122918572043934</v>
      </c>
      <c r="BN154" s="6">
        <f t="shared" ca="1" si="145"/>
        <v>2.3374244084722404</v>
      </c>
      <c r="BO154" s="9">
        <f t="shared" ca="1" si="146"/>
        <v>-81.883832574635051</v>
      </c>
      <c r="BP154" s="9">
        <f t="shared" ca="1" si="147"/>
        <v>508.42736000607829</v>
      </c>
      <c r="BQ154">
        <f t="shared" ca="1" si="148"/>
        <v>514.97897281331905</v>
      </c>
      <c r="BR154">
        <f t="shared" ca="1" si="149"/>
        <v>-0.15900422521584801</v>
      </c>
      <c r="BS154">
        <f t="shared" ca="1" si="150"/>
        <v>0.98727790229676871</v>
      </c>
      <c r="BT154">
        <f t="shared" ca="1" si="151"/>
        <v>1.7304782912708272</v>
      </c>
      <c r="BU154" s="39">
        <f t="shared" ca="1" si="152"/>
        <v>1.7304782912708272</v>
      </c>
    </row>
    <row r="155" spans="45:73" x14ac:dyDescent="0.25">
      <c r="AS155">
        <v>2.6703537555513188</v>
      </c>
      <c r="AT155">
        <v>-254.42902655506452</v>
      </c>
      <c r="AU155">
        <v>249.24334368626444</v>
      </c>
      <c r="AV155" s="6">
        <f t="shared" si="134"/>
        <v>2.366489872578275</v>
      </c>
      <c r="AW155" s="6">
        <f t="shared" si="135"/>
        <v>0.30386388297304379</v>
      </c>
      <c r="AX155" s="6">
        <f t="shared" si="136"/>
        <v>-2.366489872578275</v>
      </c>
      <c r="AY155" s="6">
        <f t="shared" si="137"/>
        <v>2.366489872578275</v>
      </c>
      <c r="BE155" s="39"/>
      <c r="BF155" s="39"/>
      <c r="BG155" s="6">
        <f t="shared" si="138"/>
        <v>2.4434609527920585</v>
      </c>
      <c r="BH155" s="9">
        <f t="shared" ca="1" si="139"/>
        <v>-26.216584442119625</v>
      </c>
      <c r="BI155" s="9">
        <f t="shared" ca="1" si="140"/>
        <v>347.33427016317182</v>
      </c>
      <c r="BJ155">
        <f t="shared" ca="1" si="141"/>
        <v>348.32227107894494</v>
      </c>
      <c r="BK155" s="6">
        <f t="shared" ca="1" si="142"/>
        <v>-7.5265312094206602E-2</v>
      </c>
      <c r="BL155" s="6">
        <f t="shared" ca="1" si="143"/>
        <v>0.99716354365538351</v>
      </c>
      <c r="BM155" s="6">
        <f t="shared" ca="1" si="144"/>
        <v>1.6461328819841701</v>
      </c>
      <c r="BN155" s="6">
        <f t="shared" ca="1" si="145"/>
        <v>2.3712654332520171</v>
      </c>
      <c r="BO155" s="9">
        <f t="shared" ca="1" si="146"/>
        <v>-93.132341039967656</v>
      </c>
      <c r="BP155" s="9">
        <f t="shared" ca="1" si="147"/>
        <v>495.25331106367821</v>
      </c>
      <c r="BQ155">
        <f t="shared" ca="1" si="148"/>
        <v>503.933998721183</v>
      </c>
      <c r="BR155">
        <f t="shared" ca="1" si="149"/>
        <v>-0.18481059280839671</v>
      </c>
      <c r="BS155">
        <f t="shared" ca="1" si="150"/>
        <v>0.98277415756917874</v>
      </c>
      <c r="BT155">
        <f t="shared" ca="1" si="151"/>
        <v>1.7566754585541837</v>
      </c>
      <c r="BU155" s="39">
        <f t="shared" ca="1" si="152"/>
        <v>1.7566754585541837</v>
      </c>
    </row>
    <row r="156" spans="45:73" x14ac:dyDescent="0.25">
      <c r="AS156">
        <v>2.6878070480712619</v>
      </c>
      <c r="AT156">
        <v>-263.69444722611109</v>
      </c>
      <c r="AU156">
        <v>230.66791005988162</v>
      </c>
      <c r="AV156" s="6">
        <f t="shared" si="134"/>
        <v>2.422901702836938</v>
      </c>
      <c r="AW156" s="6">
        <f t="shared" si="135"/>
        <v>0.26490534523432396</v>
      </c>
      <c r="AX156" s="6">
        <f t="shared" si="136"/>
        <v>-2.422901702836938</v>
      </c>
      <c r="AY156" s="6">
        <f t="shared" si="137"/>
        <v>2.422901702836938</v>
      </c>
      <c r="BE156" s="39"/>
      <c r="BF156" s="39"/>
      <c r="BG156" s="6">
        <f t="shared" si="138"/>
        <v>2.4609142453120016</v>
      </c>
      <c r="BH156" s="9">
        <f t="shared" ca="1" si="139"/>
        <v>-38.104052774753569</v>
      </c>
      <c r="BI156" s="9">
        <f t="shared" ca="1" si="140"/>
        <v>332.9108420601849</v>
      </c>
      <c r="BJ156">
        <f t="shared" ca="1" si="141"/>
        <v>335.08438877256367</v>
      </c>
      <c r="BK156" s="6">
        <f t="shared" ca="1" si="142"/>
        <v>-0.11371479559024293</v>
      </c>
      <c r="BL156" s="6">
        <f t="shared" ca="1" si="143"/>
        <v>0.99351343486833088</v>
      </c>
      <c r="BM156" s="6">
        <f t="shared" ca="1" si="144"/>
        <v>1.6847576349210753</v>
      </c>
      <c r="BN156" s="6">
        <f t="shared" ca="1" si="145"/>
        <v>2.4098901861889224</v>
      </c>
      <c r="BO156" s="9">
        <f t="shared" ca="1" si="146"/>
        <v>-105.0198093726016</v>
      </c>
      <c r="BP156" s="9">
        <f t="shared" ca="1" si="147"/>
        <v>480.82988296069129</v>
      </c>
      <c r="BQ156">
        <f t="shared" ca="1" si="148"/>
        <v>492.16515186332487</v>
      </c>
      <c r="BR156">
        <f t="shared" ca="1" si="149"/>
        <v>-0.21338326977235028</v>
      </c>
      <c r="BS156">
        <f t="shared" ca="1" si="150"/>
        <v>0.9769685666290705</v>
      </c>
      <c r="BT156">
        <f t="shared" ca="1" si="151"/>
        <v>1.7858330130601521</v>
      </c>
      <c r="BU156" s="39">
        <f t="shared" ca="1" si="152"/>
        <v>1.7858330130601521</v>
      </c>
    </row>
    <row r="157" spans="45:73" x14ac:dyDescent="0.25">
      <c r="AS157">
        <v>2.705260340591205</v>
      </c>
      <c r="AT157">
        <v>-271.44773770635868</v>
      </c>
      <c r="AU157">
        <v>214.4231283549872</v>
      </c>
      <c r="AV157" s="6">
        <f t="shared" si="134"/>
        <v>2.4730257791090482</v>
      </c>
      <c r="AW157" s="6">
        <f t="shared" si="135"/>
        <v>0.23223456148215682</v>
      </c>
      <c r="AX157" s="6">
        <f t="shared" si="136"/>
        <v>-2.4730257791090482</v>
      </c>
      <c r="AY157" s="6">
        <f t="shared" si="137"/>
        <v>2.4730257791090482</v>
      </c>
      <c r="BE157" s="39"/>
      <c r="BF157" s="39"/>
      <c r="BG157" s="6">
        <f t="shared" si="138"/>
        <v>2.4783675378319447</v>
      </c>
      <c r="BH157" s="9">
        <f t="shared" ca="1" si="139"/>
        <v>-50.448482315056154</v>
      </c>
      <c r="BI157" s="9">
        <f t="shared" ca="1" si="140"/>
        <v>317.38926481447629</v>
      </c>
      <c r="BJ157">
        <f t="shared" ca="1" si="141"/>
        <v>321.37360623947683</v>
      </c>
      <c r="BK157" s="6">
        <f t="shared" ca="1" si="142"/>
        <v>-0.15697767749310326</v>
      </c>
      <c r="BL157" s="6">
        <f t="shared" ca="1" si="143"/>
        <v>0.98760215105520666</v>
      </c>
      <c r="BM157" s="6">
        <f t="shared" ca="1" si="144"/>
        <v>1.7284259671228559</v>
      </c>
      <c r="BN157" s="6">
        <f t="shared" ca="1" si="145"/>
        <v>2.4535585183907029</v>
      </c>
      <c r="BO157" s="9">
        <f t="shared" ca="1" si="146"/>
        <v>-117.36423891290418</v>
      </c>
      <c r="BP157" s="9">
        <f t="shared" ca="1" si="147"/>
        <v>465.30830571498268</v>
      </c>
      <c r="BQ157">
        <f t="shared" ca="1" si="148"/>
        <v>479.88142696186213</v>
      </c>
      <c r="BR157">
        <f t="shared" ca="1" si="149"/>
        <v>-0.24456924631557272</v>
      </c>
      <c r="BS157">
        <f t="shared" ca="1" si="150"/>
        <v>0.96963182897253986</v>
      </c>
      <c r="BT157">
        <f t="shared" ca="1" si="151"/>
        <v>1.8178717498423984</v>
      </c>
      <c r="BU157" s="39">
        <f t="shared" ca="1" si="152"/>
        <v>1.8178717498423984</v>
      </c>
    </row>
    <row r="158" spans="45:73" x14ac:dyDescent="0.25">
      <c r="AS158">
        <v>2.7227136331111481</v>
      </c>
      <c r="AT158">
        <v>-277.472559811819</v>
      </c>
      <c r="AU158">
        <v>201.21679557190242</v>
      </c>
      <c r="AV158" s="6">
        <f t="shared" si="134"/>
        <v>2.5141682710275886</v>
      </c>
      <c r="AW158" s="6">
        <f t="shared" si="135"/>
        <v>0.20854536208355956</v>
      </c>
      <c r="AX158" s="6">
        <f t="shared" si="136"/>
        <v>-2.5141682710275886</v>
      </c>
      <c r="AY158" s="6">
        <f t="shared" si="137"/>
        <v>2.5141682710275886</v>
      </c>
      <c r="BE158" s="39"/>
      <c r="BF158" s="39"/>
      <c r="BG158" s="6">
        <f t="shared" si="138"/>
        <v>2.4958208303518878</v>
      </c>
      <c r="BH158" s="9">
        <f t="shared" ca="1" si="139"/>
        <v>-63.13364532153031</v>
      </c>
      <c r="BI158" s="9">
        <f t="shared" ca="1" si="140"/>
        <v>300.85537842412089</v>
      </c>
      <c r="BJ158">
        <f t="shared" ca="1" si="141"/>
        <v>307.40822353721404</v>
      </c>
      <c r="BK158" s="6">
        <f t="shared" ca="1" si="142"/>
        <v>-0.20537396363401941</v>
      </c>
      <c r="BL158" s="6">
        <f t="shared" ca="1" si="143"/>
        <v>0.97868357248972593</v>
      </c>
      <c r="BM158" s="6">
        <f t="shared" ca="1" si="144"/>
        <v>1.7776421275759982</v>
      </c>
      <c r="BN158" s="6">
        <f t="shared" ca="1" si="145"/>
        <v>2.5027746788438452</v>
      </c>
      <c r="BO158" s="9">
        <f t="shared" ca="1" si="146"/>
        <v>-130.04940191937834</v>
      </c>
      <c r="BP158" s="9">
        <f t="shared" ca="1" si="147"/>
        <v>448.77441932462727</v>
      </c>
      <c r="BQ158">
        <f t="shared" ca="1" si="148"/>
        <v>467.23797617460889</v>
      </c>
      <c r="BR158">
        <f t="shared" ca="1" si="149"/>
        <v>-0.27833654058714247</v>
      </c>
      <c r="BS158">
        <f t="shared" ca="1" si="150"/>
        <v>0.96048361265249194</v>
      </c>
      <c r="BT158">
        <f t="shared" ca="1" si="151"/>
        <v>1.852858102557734</v>
      </c>
      <c r="BU158" s="39">
        <f t="shared" ca="1" si="152"/>
        <v>1.852858102557734</v>
      </c>
    </row>
    <row r="159" spans="45:73" x14ac:dyDescent="0.25">
      <c r="AS159">
        <v>2.7401669256310912</v>
      </c>
      <c r="AT159">
        <v>-281.39516578842097</v>
      </c>
      <c r="AU159">
        <v>192.2156291361014</v>
      </c>
      <c r="AV159" s="6">
        <f t="shared" si="134"/>
        <v>2.542312352332627</v>
      </c>
      <c r="AW159" s="6">
        <f t="shared" si="135"/>
        <v>0.19785457329846423</v>
      </c>
      <c r="AX159" s="6">
        <f t="shared" si="136"/>
        <v>-2.542312352332627</v>
      </c>
      <c r="AY159" s="6">
        <f t="shared" si="137"/>
        <v>2.542312352332627</v>
      </c>
      <c r="BE159" s="39"/>
      <c r="BF159" s="39"/>
      <c r="BG159" s="6">
        <f t="shared" si="138"/>
        <v>2.5132741228718309</v>
      </c>
      <c r="BH159" s="9">
        <f t="shared" ca="1" si="139"/>
        <v>-76.05690539708138</v>
      </c>
      <c r="BI159" s="9">
        <f t="shared" ca="1" si="140"/>
        <v>283.38856062584546</v>
      </c>
      <c r="BJ159">
        <f t="shared" ca="1" si="141"/>
        <v>293.41732933173711</v>
      </c>
      <c r="BK159" s="6">
        <f t="shared" ca="1" si="142"/>
        <v>-0.25921067978603124</v>
      </c>
      <c r="BL159" s="6">
        <f t="shared" ca="1" si="143"/>
        <v>0.96582080298824768</v>
      </c>
      <c r="BM159" s="6">
        <f t="shared" ca="1" si="144"/>
        <v>1.8330011866908615</v>
      </c>
      <c r="BN159" s="6">
        <f t="shared" ca="1" si="145"/>
        <v>2.5581337379587086</v>
      </c>
      <c r="BO159" s="9">
        <f t="shared" ca="1" si="146"/>
        <v>-142.97266199492941</v>
      </c>
      <c r="BP159" s="9">
        <f t="shared" ca="1" si="147"/>
        <v>431.30760152635185</v>
      </c>
      <c r="BQ159">
        <f t="shared" ca="1" si="148"/>
        <v>454.38687174293517</v>
      </c>
      <c r="BR159">
        <f t="shared" ca="1" si="149"/>
        <v>-0.31464963203385587</v>
      </c>
      <c r="BS159">
        <f t="shared" ca="1" si="150"/>
        <v>0.94920788506046405</v>
      </c>
      <c r="BT159">
        <f t="shared" ca="1" si="151"/>
        <v>1.8908838420949823</v>
      </c>
      <c r="BU159" s="39">
        <f t="shared" ca="1" si="152"/>
        <v>1.8908838420949823</v>
      </c>
    </row>
    <row r="160" spans="45:73" x14ac:dyDescent="0.25">
      <c r="AS160">
        <v>2.7576202181510343</v>
      </c>
      <c r="AT160">
        <v>-282.6612358746728</v>
      </c>
      <c r="AU160">
        <v>189.18480376583409</v>
      </c>
      <c r="AV160" s="6">
        <f t="shared" si="134"/>
        <v>2.5517700712023013</v>
      </c>
      <c r="AW160" s="6">
        <f t="shared" si="135"/>
        <v>0.20585014694873305</v>
      </c>
      <c r="AX160" s="6">
        <f t="shared" si="136"/>
        <v>-2.5517700712023013</v>
      </c>
      <c r="AY160" s="6">
        <f t="shared" si="137"/>
        <v>2.5517700712023013</v>
      </c>
      <c r="BE160" s="39"/>
      <c r="BF160" s="39"/>
      <c r="BG160" s="6">
        <f t="shared" si="138"/>
        <v>2.530727415391774</v>
      </c>
      <c r="BH160" s="9">
        <f t="shared" ca="1" si="139"/>
        <v>-89.124754279395063</v>
      </c>
      <c r="BI160" s="9">
        <f t="shared" ca="1" si="140"/>
        <v>265.06630257393886</v>
      </c>
      <c r="BJ160">
        <f t="shared" ca="1" si="141"/>
        <v>279.64864846013728</v>
      </c>
      <c r="BK160" s="6">
        <f t="shared" ca="1" si="142"/>
        <v>-0.31870261047265319</v>
      </c>
      <c r="BL160" s="6">
        <f t="shared" ca="1" si="143"/>
        <v>0.9478547600122692</v>
      </c>
      <c r="BM160" s="6">
        <f t="shared" ca="1" si="144"/>
        <v>1.8951567344877005</v>
      </c>
      <c r="BN160" s="6">
        <f t="shared" ca="1" si="145"/>
        <v>2.6202892857555478</v>
      </c>
      <c r="BO160" s="9">
        <f t="shared" ca="1" si="146"/>
        <v>-156.04051087724309</v>
      </c>
      <c r="BP160" s="9">
        <f t="shared" ca="1" si="147"/>
        <v>412.98534347444524</v>
      </c>
      <c r="BQ160">
        <f t="shared" ca="1" si="148"/>
        <v>441.4810697635138</v>
      </c>
      <c r="BR160">
        <f t="shared" ca="1" si="149"/>
        <v>-0.35344779553249839</v>
      </c>
      <c r="BS160">
        <f t="shared" ca="1" si="150"/>
        <v>0.93545425106373703</v>
      </c>
      <c r="BT160">
        <f t="shared" ca="1" si="151"/>
        <v>1.9320505672411734</v>
      </c>
      <c r="BU160" s="39">
        <f t="shared" ca="1" si="152"/>
        <v>1.9320505672411734</v>
      </c>
    </row>
    <row r="161" spans="45:73" x14ac:dyDescent="0.25">
      <c r="AS161">
        <v>2.7750735106709774</v>
      </c>
      <c r="AT161">
        <v>-283.02581025097732</v>
      </c>
      <c r="AU161">
        <v>188.25935920812594</v>
      </c>
      <c r="AV161" s="6">
        <f t="shared" si="134"/>
        <v>2.5546291708162761</v>
      </c>
      <c r="AW161" s="6">
        <f t="shared" si="135"/>
        <v>0.22044433985470135</v>
      </c>
      <c r="AX161" s="6">
        <f t="shared" si="136"/>
        <v>-2.5546291708162761</v>
      </c>
      <c r="AY161" s="6">
        <f t="shared" si="137"/>
        <v>2.5546291708162761</v>
      </c>
      <c r="BE161" s="39"/>
      <c r="BF161" s="39"/>
      <c r="BG161" s="6">
        <f t="shared" si="138"/>
        <v>2.5481807079117171</v>
      </c>
      <c r="BH161" s="9">
        <f t="shared" ca="1" si="139"/>
        <v>-102.24891939256702</v>
      </c>
      <c r="BI161" s="9">
        <f t="shared" ca="1" si="140"/>
        <v>245.96895400084739</v>
      </c>
      <c r="BJ161">
        <f t="shared" ca="1" si="141"/>
        <v>266.37486339596433</v>
      </c>
      <c r="BK161" s="6">
        <f t="shared" ca="1" si="142"/>
        <v>-0.38385348410512266</v>
      </c>
      <c r="BL161" s="6">
        <f t="shared" ca="1" si="143"/>
        <v>0.92339401272715549</v>
      </c>
      <c r="BM161" s="6">
        <f t="shared" ca="1" si="144"/>
        <v>1.9647621960645019</v>
      </c>
      <c r="BN161" s="6">
        <f t="shared" ca="1" si="145"/>
        <v>2.6898947473323487</v>
      </c>
      <c r="BO161" s="9">
        <f t="shared" ca="1" si="146"/>
        <v>-169.16467599041505</v>
      </c>
      <c r="BP161" s="9">
        <f t="shared" ca="1" si="147"/>
        <v>393.88799490135381</v>
      </c>
      <c r="BQ161">
        <f t="shared" ca="1" si="148"/>
        <v>428.67754796624354</v>
      </c>
      <c r="BR161">
        <f t="shared" ca="1" si="149"/>
        <v>-0.39461986472810567</v>
      </c>
      <c r="BS161">
        <f t="shared" ca="1" si="150"/>
        <v>0.91884447125831448</v>
      </c>
      <c r="BT161">
        <f t="shared" ca="1" si="151"/>
        <v>1.9764504309436293</v>
      </c>
      <c r="BU161" s="39">
        <f t="shared" ca="1" si="152"/>
        <v>1.9764504309436293</v>
      </c>
    </row>
    <row r="162" spans="45:73" x14ac:dyDescent="0.25">
      <c r="AS162">
        <v>2.7925268031909205</v>
      </c>
      <c r="AT162">
        <v>-283.36724350551577</v>
      </c>
      <c r="AU162">
        <v>187.3462337528191</v>
      </c>
      <c r="AV162" s="6">
        <f t="shared" si="134"/>
        <v>2.5574239698570334</v>
      </c>
      <c r="AW162" s="6">
        <f t="shared" si="135"/>
        <v>0.23510283333388715</v>
      </c>
      <c r="AX162" s="6">
        <f t="shared" si="136"/>
        <v>-2.5574239698570334</v>
      </c>
      <c r="AY162" s="6">
        <f t="shared" si="137"/>
        <v>2.5574239698570334</v>
      </c>
      <c r="BE162" s="39"/>
      <c r="BF162" s="39"/>
      <c r="BG162" s="6">
        <f t="shared" si="138"/>
        <v>2.5656340004316602</v>
      </c>
      <c r="BH162" s="9">
        <f t="shared" ca="1" si="139"/>
        <v>-115.34272266742727</v>
      </c>
      <c r="BI162" s="9">
        <f t="shared" ca="1" si="140"/>
        <v>226.18508028914263</v>
      </c>
      <c r="BJ162">
        <f t="shared" ca="1" si="141"/>
        <v>253.89689682574092</v>
      </c>
      <c r="BK162" s="6">
        <f t="shared" ca="1" si="142"/>
        <v>-0.45428961168671295</v>
      </c>
      <c r="BL162" s="6">
        <f t="shared" ca="1" si="143"/>
        <v>0.89085405578777921</v>
      </c>
      <c r="BM162" s="6">
        <f t="shared" ca="1" si="144"/>
        <v>2.0423709547414379</v>
      </c>
      <c r="BN162" s="6">
        <f t="shared" ca="1" si="145"/>
        <v>2.7675035060092847</v>
      </c>
      <c r="BO162" s="9">
        <f t="shared" ca="1" si="146"/>
        <v>-182.2584792652753</v>
      </c>
      <c r="BP162" s="9">
        <f t="shared" ca="1" si="147"/>
        <v>374.10412118964905</v>
      </c>
      <c r="BQ162">
        <f t="shared" ca="1" si="148"/>
        <v>416.13945589810442</v>
      </c>
      <c r="BR162">
        <f t="shared" ca="1" si="149"/>
        <v>-0.43797452195905923</v>
      </c>
      <c r="BS162">
        <f t="shared" ca="1" si="150"/>
        <v>0.89898738484738128</v>
      </c>
      <c r="BT162">
        <f t="shared" ca="1" si="151"/>
        <v>2.0241406942221705</v>
      </c>
      <c r="BU162" s="39">
        <f t="shared" ca="1" si="152"/>
        <v>2.0241406942221705</v>
      </c>
    </row>
    <row r="163" spans="45:73" x14ac:dyDescent="0.25">
      <c r="AS163">
        <v>2.8099800957108636</v>
      </c>
      <c r="AT163">
        <v>-283.68654286534996</v>
      </c>
      <c r="AU163">
        <v>186.44463744999601</v>
      </c>
      <c r="AV163" s="6">
        <f t="shared" si="134"/>
        <v>2.5601581818924601</v>
      </c>
      <c r="AW163" s="6">
        <f t="shared" si="135"/>
        <v>0.24982191381840346</v>
      </c>
      <c r="AX163" s="6">
        <f t="shared" si="136"/>
        <v>-2.5601581818924601</v>
      </c>
      <c r="AY163" s="6">
        <f t="shared" si="137"/>
        <v>2.5601581818924601</v>
      </c>
      <c r="BE163" s="39"/>
      <c r="BF163" s="39"/>
      <c r="BG163" s="6">
        <f t="shared" si="138"/>
        <v>2.5830872929516033</v>
      </c>
      <c r="BH163" s="9">
        <f t="shared" ca="1" si="139"/>
        <v>-128.31740185093966</v>
      </c>
      <c r="BI163" s="9">
        <f t="shared" ca="1" si="140"/>
        <v>205.81795445959531</v>
      </c>
      <c r="BJ163">
        <f t="shared" ca="1" si="141"/>
        <v>242.5415139635019</v>
      </c>
      <c r="BK163" s="6">
        <f t="shared" ca="1" si="142"/>
        <v>-0.52905335566697709</v>
      </c>
      <c r="BL163" s="6">
        <f t="shared" ca="1" si="143"/>
        <v>0.84858856158771723</v>
      </c>
      <c r="BM163" s="6">
        <f t="shared" ca="1" si="144"/>
        <v>2.128280952101103</v>
      </c>
      <c r="BN163" s="6">
        <f t="shared" ca="1" si="145"/>
        <v>2.8534135033689498</v>
      </c>
      <c r="BO163" s="9">
        <f t="shared" ca="1" si="146"/>
        <v>-195.23315844878769</v>
      </c>
      <c r="BP163" s="9">
        <f t="shared" ca="1" si="147"/>
        <v>353.73699536010173</v>
      </c>
      <c r="BQ163">
        <f t="shared" ca="1" si="148"/>
        <v>404.03693896014272</v>
      </c>
      <c r="BR163">
        <f t="shared" ca="1" si="149"/>
        <v>-0.4832062111728031</v>
      </c>
      <c r="BS163">
        <f t="shared" ca="1" si="150"/>
        <v>0.87550657192509085</v>
      </c>
      <c r="BT163">
        <f t="shared" ca="1" si="151"/>
        <v>2.0751094750936416</v>
      </c>
      <c r="BU163" s="39">
        <f t="shared" ca="1" si="152"/>
        <v>2.0751094750936416</v>
      </c>
    </row>
    <row r="164" spans="45:73" x14ac:dyDescent="0.25">
      <c r="AS164">
        <v>2.8274333882308067</v>
      </c>
      <c r="AT164">
        <v>-283.98463344503494</v>
      </c>
      <c r="AU164">
        <v>185.55381405709079</v>
      </c>
      <c r="AV164" s="6">
        <f t="shared" si="134"/>
        <v>2.5628352942731158</v>
      </c>
      <c r="AW164" s="6">
        <f t="shared" si="135"/>
        <v>0.26459809395769085</v>
      </c>
      <c r="AX164" s="6">
        <f t="shared" si="136"/>
        <v>-2.5628352942731158</v>
      </c>
      <c r="AY164" s="6">
        <f t="shared" si="137"/>
        <v>2.5628352942731158</v>
      </c>
      <c r="BE164" s="39"/>
      <c r="BF164" s="39"/>
      <c r="BG164" s="6">
        <f t="shared" si="138"/>
        <v>2.6005405854715464</v>
      </c>
      <c r="BH164" s="9">
        <f t="shared" ca="1" si="139"/>
        <v>-141.07809044888813</v>
      </c>
      <c r="BI164" s="9">
        <f t="shared" ca="1" si="140"/>
        <v>184.99387586354598</v>
      </c>
      <c r="BJ164">
        <f t="shared" ca="1" si="141"/>
        <v>232.64943952591358</v>
      </c>
      <c r="BK164" s="6">
        <f t="shared" ca="1" si="142"/>
        <v>-0.6063977232714296</v>
      </c>
      <c r="BL164" s="6">
        <f t="shared" ca="1" si="143"/>
        <v>0.79516149379307011</v>
      </c>
      <c r="BM164" s="6">
        <f t="shared" ca="1" si="144"/>
        <v>2.2223188039481547</v>
      </c>
      <c r="BN164" s="6">
        <f t="shared" ca="1" si="145"/>
        <v>2.9474513552160015</v>
      </c>
      <c r="BO164" s="9">
        <f t="shared" ca="1" si="146"/>
        <v>-207.99384704673616</v>
      </c>
      <c r="BP164" s="9">
        <f t="shared" ca="1" si="147"/>
        <v>332.9129167640524</v>
      </c>
      <c r="BQ164">
        <f t="shared" ca="1" si="148"/>
        <v>392.54611265130364</v>
      </c>
      <c r="BR164">
        <f t="shared" ca="1" si="149"/>
        <v>-0.52985837929185109</v>
      </c>
      <c r="BS164">
        <f t="shared" ca="1" si="150"/>
        <v>0.84808613825142354</v>
      </c>
      <c r="BT164">
        <f t="shared" ca="1" si="151"/>
        <v>2.1292298948354293</v>
      </c>
      <c r="BU164" s="39">
        <f t="shared" ca="1" si="152"/>
        <v>2.1292298948354293</v>
      </c>
    </row>
    <row r="165" spans="45:73" x14ac:dyDescent="0.25">
      <c r="AS165">
        <v>2.8448866807507498</v>
      </c>
      <c r="AT165">
        <v>-284.26236423405174</v>
      </c>
      <c r="AU165">
        <v>184.67303827895287</v>
      </c>
      <c r="AV165" s="6">
        <f t="shared" si="134"/>
        <v>2.5654585868697168</v>
      </c>
      <c r="AW165" s="6">
        <f t="shared" si="135"/>
        <v>0.27942809388103296</v>
      </c>
      <c r="AX165" s="6">
        <f t="shared" si="136"/>
        <v>-2.5654585868697168</v>
      </c>
      <c r="AY165" s="6">
        <f t="shared" si="137"/>
        <v>2.5654585868697168</v>
      </c>
      <c r="BE165" s="39"/>
      <c r="BF165" s="39"/>
      <c r="BG165" s="6">
        <f t="shared" si="138"/>
        <v>2.6179938779914895</v>
      </c>
      <c r="BH165" s="9">
        <f t="shared" ca="1" si="139"/>
        <v>-153.51908652432786</v>
      </c>
      <c r="BI165" s="9">
        <f t="shared" ca="1" si="140"/>
        <v>163.8733048734658</v>
      </c>
      <c r="BJ165">
        <f t="shared" ca="1" si="141"/>
        <v>224.54970491500524</v>
      </c>
      <c r="BK165" s="6">
        <f t="shared" ca="1" si="142"/>
        <v>-0.68367529844867392</v>
      </c>
      <c r="BL165" s="6">
        <f t="shared" ca="1" si="143"/>
        <v>0.72978632920267617</v>
      </c>
      <c r="BM165" s="6">
        <f t="shared" ca="1" si="144"/>
        <v>2.3235832876818754</v>
      </c>
      <c r="BN165" s="6">
        <f t="shared" ca="1" si="145"/>
        <v>3.0487158389497226</v>
      </c>
      <c r="BO165" s="9">
        <f t="shared" ca="1" si="146"/>
        <v>-220.43484312217589</v>
      </c>
      <c r="BP165" s="9">
        <f t="shared" ca="1" si="147"/>
        <v>311.79234577397222</v>
      </c>
      <c r="BQ165">
        <f t="shared" ca="1" si="148"/>
        <v>381.84550140800997</v>
      </c>
      <c r="BR165">
        <f t="shared" ca="1" si="149"/>
        <v>-0.57728804532028943</v>
      </c>
      <c r="BS165">
        <f t="shared" ca="1" si="150"/>
        <v>0.81654057629139254</v>
      </c>
      <c r="BT165">
        <f t="shared" ca="1" si="151"/>
        <v>2.1861998291535887</v>
      </c>
      <c r="BU165" s="39">
        <f t="shared" ca="1" si="152"/>
        <v>2.1861998291535887</v>
      </c>
    </row>
    <row r="166" spans="45:73" x14ac:dyDescent="0.25">
      <c r="AS166">
        <v>2.8623399732706929</v>
      </c>
      <c r="AT166">
        <v>-284.52051348329991</v>
      </c>
      <c r="AU166">
        <v>183.80161320632971</v>
      </c>
      <c r="AV166" s="6">
        <f t="shared" si="134"/>
        <v>2.568031149087608</v>
      </c>
      <c r="AW166" s="6">
        <f t="shared" si="135"/>
        <v>0.29430882418308491</v>
      </c>
      <c r="AX166" s="6">
        <f t="shared" si="136"/>
        <v>-2.568031149087608</v>
      </c>
      <c r="AY166" s="6">
        <f t="shared" si="137"/>
        <v>2.568031149087608</v>
      </c>
      <c r="BE166" s="39"/>
      <c r="BF166" s="39"/>
      <c r="BG166" s="6">
        <f t="shared" si="138"/>
        <v>2.6354471705114326</v>
      </c>
      <c r="BH166" s="9">
        <f t="shared" ca="1" si="139"/>
        <v>-165.51790324285469</v>
      </c>
      <c r="BI166" s="9">
        <f t="shared" ca="1" si="140"/>
        <v>142.66631026452202</v>
      </c>
      <c r="BJ166">
        <f t="shared" ca="1" si="141"/>
        <v>218.51739605441912</v>
      </c>
      <c r="BK166" s="6">
        <f t="shared" ca="1" si="142"/>
        <v>-0.75745870228855572</v>
      </c>
      <c r="BL166" s="6">
        <f t="shared" ca="1" si="143"/>
        <v>0.65288307860392358</v>
      </c>
      <c r="BM166" s="6">
        <f t="shared" ca="1" si="144"/>
        <v>2.4302081791608057</v>
      </c>
      <c r="BN166" s="6">
        <f t="shared" ca="1" si="145"/>
        <v>3.1553407304286525</v>
      </c>
      <c r="BO166" s="9">
        <f t="shared" ca="1" si="146"/>
        <v>-232.43365984070272</v>
      </c>
      <c r="BP166" s="9">
        <f t="shared" ca="1" si="147"/>
        <v>290.58535116502844</v>
      </c>
      <c r="BQ166">
        <f t="shared" ca="1" si="148"/>
        <v>372.10919437531561</v>
      </c>
      <c r="BR166">
        <f t="shared" ca="1" si="149"/>
        <v>-0.62463831411342718</v>
      </c>
      <c r="BS166">
        <f t="shared" ca="1" si="150"/>
        <v>0.78091419281604513</v>
      </c>
      <c r="BT166">
        <f t="shared" ca="1" si="151"/>
        <v>2.2454646168754948</v>
      </c>
      <c r="BU166" s="39">
        <f t="shared" ca="1" si="152"/>
        <v>2.2454646168754948</v>
      </c>
    </row>
    <row r="167" spans="45:73" x14ac:dyDescent="0.25">
      <c r="AS167">
        <v>2.879793265790636</v>
      </c>
      <c r="AT167">
        <v>-284.75979354690548</v>
      </c>
      <c r="AU167">
        <v>182.93886793258892</v>
      </c>
      <c r="AV167" s="6">
        <f t="shared" si="134"/>
        <v>2.5705558953389471</v>
      </c>
      <c r="AW167" s="6">
        <f t="shared" si="135"/>
        <v>0.30923737045168886</v>
      </c>
      <c r="AX167" s="6">
        <f t="shared" si="136"/>
        <v>-2.5705558953389471</v>
      </c>
      <c r="AY167" s="6">
        <f t="shared" si="137"/>
        <v>2.5705558953389471</v>
      </c>
      <c r="BE167" s="39"/>
      <c r="BF167" s="39"/>
      <c r="BG167" s="6">
        <f t="shared" si="138"/>
        <v>2.6529004630313757</v>
      </c>
      <c r="BH167" s="9">
        <f t="shared" ca="1" si="139"/>
        <v>-176.92733890127241</v>
      </c>
      <c r="BI167" s="9">
        <f t="shared" ca="1" si="140"/>
        <v>121.65470221981568</v>
      </c>
      <c r="BJ167">
        <f t="shared" ca="1" si="141"/>
        <v>214.71644050439576</v>
      </c>
      <c r="BK167" s="6">
        <f t="shared" ca="1" si="142"/>
        <v>-0.82400461970051275</v>
      </c>
      <c r="BL167" s="6">
        <f t="shared" ca="1" si="143"/>
        <v>0.56658308014995762</v>
      </c>
      <c r="BM167" s="6">
        <f t="shared" ca="1" si="144"/>
        <v>2.5392394631216408</v>
      </c>
      <c r="BN167" s="6">
        <f t="shared" ca="1" si="145"/>
        <v>3.2643720143894877</v>
      </c>
      <c r="BO167" s="9">
        <f t="shared" ca="1" si="146"/>
        <v>-243.84309549912044</v>
      </c>
      <c r="BP167" s="9">
        <f t="shared" ca="1" si="147"/>
        <v>269.57374312032209</v>
      </c>
      <c r="BQ167">
        <f t="shared" ca="1" si="148"/>
        <v>363.49615981808472</v>
      </c>
      <c r="BR167">
        <f t="shared" ca="1" si="149"/>
        <v>-0.67082715707685647</v>
      </c>
      <c r="BS167">
        <f t="shared" ca="1" si="150"/>
        <v>0.74161373054183832</v>
      </c>
      <c r="BT167">
        <f t="shared" ca="1" si="151"/>
        <v>2.3061198999915433</v>
      </c>
      <c r="BU167" s="39">
        <f t="shared" ca="1" si="152"/>
        <v>2.3061198999915433</v>
      </c>
    </row>
    <row r="168" spans="45:73" x14ac:dyDescent="0.25">
      <c r="AS168">
        <v>2.8972465583105791</v>
      </c>
      <c r="AT168">
        <v>-284.98085521470114</v>
      </c>
      <c r="AU168">
        <v>182.08415533050243</v>
      </c>
      <c r="AV168" s="6">
        <f t="shared" si="134"/>
        <v>2.5730355791094977</v>
      </c>
      <c r="AW168" s="6">
        <f t="shared" si="135"/>
        <v>0.32421097920108144</v>
      </c>
      <c r="AX168" s="6">
        <f t="shared" si="136"/>
        <v>-2.5730355791094977</v>
      </c>
      <c r="AY168" s="6">
        <f t="shared" si="137"/>
        <v>2.5730355791094977</v>
      </c>
      <c r="BE168" s="39"/>
      <c r="BF168" s="39"/>
      <c r="BG168" s="6">
        <f t="shared" si="138"/>
        <v>2.6703537555513188</v>
      </c>
      <c r="BH168" s="9">
        <f t="shared" ca="1" si="139"/>
        <v>-187.51326995721649</v>
      </c>
      <c r="BI168" s="9">
        <f t="shared" ca="1" si="140"/>
        <v>101.32430278575802</v>
      </c>
      <c r="BJ168">
        <f t="shared" ca="1" si="141"/>
        <v>213.13807905925191</v>
      </c>
      <c r="BK168" s="6">
        <f t="shared" ca="1" si="142"/>
        <v>-0.8797736696551921</v>
      </c>
      <c r="BL168" s="6">
        <f t="shared" ca="1" si="143"/>
        <v>0.4753927746415979</v>
      </c>
      <c r="BM168" s="6">
        <f t="shared" ca="1" si="144"/>
        <v>2.6461822260524599</v>
      </c>
      <c r="BN168" s="6">
        <f t="shared" ca="1" si="145"/>
        <v>3.3713147773203067</v>
      </c>
      <c r="BO168" s="9">
        <f t="shared" ca="1" si="146"/>
        <v>-254.42902655506452</v>
      </c>
      <c r="BP168" s="9">
        <f t="shared" ca="1" si="147"/>
        <v>249.24334368626444</v>
      </c>
      <c r="BQ168">
        <f t="shared" ca="1" si="148"/>
        <v>356.16902437700429</v>
      </c>
      <c r="BR168">
        <f t="shared" ca="1" si="149"/>
        <v>-0.71434911275650925</v>
      </c>
      <c r="BS168">
        <f t="shared" ca="1" si="150"/>
        <v>0.69978950056712619</v>
      </c>
      <c r="BT168">
        <f t="shared" ca="1" si="151"/>
        <v>2.366489872578275</v>
      </c>
      <c r="BU168" s="39">
        <f t="shared" ca="1" si="152"/>
        <v>2.366489872578275</v>
      </c>
    </row>
    <row r="169" spans="45:73" x14ac:dyDescent="0.25">
      <c r="AS169">
        <v>2.9146998508305222</v>
      </c>
      <c r="AT169">
        <v>-285.1842916191423</v>
      </c>
      <c r="AU169">
        <v>181.23684997266372</v>
      </c>
      <c r="AV169" s="6">
        <f t="shared" si="134"/>
        <v>2.5754728058252105</v>
      </c>
      <c r="AW169" s="6">
        <f t="shared" si="135"/>
        <v>0.33922704500531164</v>
      </c>
      <c r="AX169" s="6">
        <f t="shared" si="136"/>
        <v>-2.5754728058252105</v>
      </c>
      <c r="AY169" s="6">
        <f t="shared" si="137"/>
        <v>2.5754728058252105</v>
      </c>
      <c r="BE169" s="39"/>
      <c r="BF169" s="39"/>
      <c r="BG169" s="6">
        <f t="shared" si="138"/>
        <v>2.6878070480712619</v>
      </c>
      <c r="BH169" s="9">
        <f t="shared" ca="1" si="139"/>
        <v>-196.77869062826306</v>
      </c>
      <c r="BI169" s="9">
        <f t="shared" ca="1" si="140"/>
        <v>82.748869159375204</v>
      </c>
      <c r="BJ169">
        <f t="shared" ca="1" si="141"/>
        <v>213.46950234759311</v>
      </c>
      <c r="BK169" s="6">
        <f t="shared" ca="1" si="142"/>
        <v>-0.92181172703465464</v>
      </c>
      <c r="BL169" s="6">
        <f t="shared" ca="1" si="143"/>
        <v>0.38763789791684128</v>
      </c>
      <c r="BM169" s="6">
        <f t="shared" ca="1" si="144"/>
        <v>2.7435249018861958</v>
      </c>
      <c r="BN169" s="6">
        <f t="shared" ca="1" si="145"/>
        <v>3.4686574531540426</v>
      </c>
      <c r="BO169" s="9">
        <f t="shared" ca="1" si="146"/>
        <v>-263.69444722611109</v>
      </c>
      <c r="BP169" s="9">
        <f t="shared" ca="1" si="147"/>
        <v>230.66791005988162</v>
      </c>
      <c r="BQ169">
        <f t="shared" ca="1" si="148"/>
        <v>350.3461805547164</v>
      </c>
      <c r="BR169">
        <f t="shared" ca="1" si="149"/>
        <v>-0.75266825175200613</v>
      </c>
      <c r="BS169">
        <f t="shared" ca="1" si="150"/>
        <v>0.65839995656483641</v>
      </c>
      <c r="BT169">
        <f t="shared" ca="1" si="151"/>
        <v>2.422901702836938</v>
      </c>
      <c r="BU169" s="39">
        <f t="shared" ca="1" si="152"/>
        <v>2.422901702836938</v>
      </c>
    </row>
    <row r="170" spans="45:73" x14ac:dyDescent="0.25">
      <c r="AS170">
        <v>2.9321531433504653</v>
      </c>
      <c r="AT170">
        <v>-285.37064171287108</v>
      </c>
      <c r="AU170">
        <v>180.39634618065443</v>
      </c>
      <c r="AV170" s="6">
        <f t="shared" si="134"/>
        <v>2.5778700445757985</v>
      </c>
      <c r="AW170" s="6">
        <f t="shared" si="135"/>
        <v>0.35428309877466679</v>
      </c>
      <c r="AX170" s="6">
        <f t="shared" si="136"/>
        <v>-2.577870044575798</v>
      </c>
      <c r="AY170" s="6">
        <f t="shared" si="137"/>
        <v>2.577870044575798</v>
      </c>
      <c r="BE170" s="39"/>
      <c r="BF170" s="39"/>
      <c r="BG170" s="6">
        <f t="shared" si="138"/>
        <v>2.705260340591205</v>
      </c>
      <c r="BH170" s="9">
        <f t="shared" ca="1" si="139"/>
        <v>-204.53198110851065</v>
      </c>
      <c r="BI170" s="9">
        <f t="shared" ca="1" si="140"/>
        <v>66.504087454480782</v>
      </c>
      <c r="BJ170">
        <f t="shared" ca="1" si="141"/>
        <v>215.07237141094015</v>
      </c>
      <c r="BK170" s="6">
        <f t="shared" ca="1" si="142"/>
        <v>-0.95099142566159789</v>
      </c>
      <c r="BL170" s="6">
        <f t="shared" ca="1" si="143"/>
        <v>0.3092172510034355</v>
      </c>
      <c r="BM170" s="6">
        <f t="shared" ca="1" si="144"/>
        <v>2.8272228187458595</v>
      </c>
      <c r="BN170" s="6">
        <f t="shared" ca="1" si="145"/>
        <v>3.5523553700137063</v>
      </c>
      <c r="BO170" s="9">
        <f t="shared" ca="1" si="146"/>
        <v>-271.44773770635868</v>
      </c>
      <c r="BP170" s="9">
        <f t="shared" ca="1" si="147"/>
        <v>214.4231283549872</v>
      </c>
      <c r="BQ170">
        <f t="shared" ca="1" si="148"/>
        <v>345.9207312079451</v>
      </c>
      <c r="BR170">
        <f t="shared" ca="1" si="149"/>
        <v>-0.78471081151589583</v>
      </c>
      <c r="BS170">
        <f t="shared" ca="1" si="150"/>
        <v>0.61986203488362168</v>
      </c>
      <c r="BT170">
        <f t="shared" ca="1" si="151"/>
        <v>2.4730257791090482</v>
      </c>
      <c r="BU170" s="39">
        <f t="shared" ca="1" si="152"/>
        <v>2.4730257791090482</v>
      </c>
    </row>
    <row r="171" spans="45:73" x14ac:dyDescent="0.25">
      <c r="AS171">
        <v>2.9496064358704084</v>
      </c>
      <c r="AT171">
        <v>-285.54039339183635</v>
      </c>
      <c r="AU171">
        <v>179.56205618942172</v>
      </c>
      <c r="AV171" s="6">
        <f t="shared" si="134"/>
        <v>2.580229638871554</v>
      </c>
      <c r="AW171" s="6">
        <f t="shared" si="135"/>
        <v>0.3693767969988544</v>
      </c>
      <c r="AX171" s="6">
        <f t="shared" si="136"/>
        <v>-2.580229638871554</v>
      </c>
      <c r="AY171" s="6">
        <f t="shared" si="137"/>
        <v>2.580229638871554</v>
      </c>
      <c r="BE171" s="39"/>
      <c r="BF171" s="39"/>
      <c r="BG171" s="6">
        <f t="shared" si="138"/>
        <v>2.7227136331111481</v>
      </c>
      <c r="BH171" s="9">
        <f t="shared" ca="1" si="139"/>
        <v>-210.55680321397097</v>
      </c>
      <c r="BI171" s="9">
        <f t="shared" ca="1" si="140"/>
        <v>53.297754671396007</v>
      </c>
      <c r="BJ171">
        <f t="shared" ca="1" si="141"/>
        <v>217.19764739218334</v>
      </c>
      <c r="BK171" s="6">
        <f t="shared" ca="1" si="142"/>
        <v>-0.96942487979061154</v>
      </c>
      <c r="BL171" s="6">
        <f t="shared" ca="1" si="143"/>
        <v>0.24538826875577899</v>
      </c>
      <c r="BM171" s="6">
        <f t="shared" ca="1" si="144"/>
        <v>2.8936724668097002</v>
      </c>
      <c r="BN171" s="6">
        <f t="shared" ca="1" si="145"/>
        <v>3.6188050180775475</v>
      </c>
      <c r="BO171" s="9">
        <f t="shared" ca="1" si="146"/>
        <v>-277.472559811819</v>
      </c>
      <c r="BP171" s="9">
        <f t="shared" ca="1" si="147"/>
        <v>201.21679557190242</v>
      </c>
      <c r="BQ171">
        <f t="shared" ca="1" si="148"/>
        <v>342.75241832662283</v>
      </c>
      <c r="BR171">
        <f t="shared" ca="1" si="149"/>
        <v>-0.80954223799933633</v>
      </c>
      <c r="BS171">
        <f t="shared" ca="1" si="150"/>
        <v>0.58706163636795905</v>
      </c>
      <c r="BT171">
        <f t="shared" ca="1" si="151"/>
        <v>2.5141682710275886</v>
      </c>
      <c r="BU171" s="39">
        <f t="shared" ca="1" si="152"/>
        <v>2.5141682710275886</v>
      </c>
    </row>
    <row r="172" spans="45:73" x14ac:dyDescent="0.25">
      <c r="AS172">
        <v>2.9670597283903515</v>
      </c>
      <c r="AT172">
        <v>-285.69398627698848</v>
      </c>
      <c r="AU172">
        <v>178.73340841451898</v>
      </c>
      <c r="AV172" s="6">
        <f t="shared" si="134"/>
        <v>2.5825538165048876</v>
      </c>
      <c r="AW172" s="6">
        <f t="shared" si="135"/>
        <v>0.3845059118854639</v>
      </c>
      <c r="AX172" s="6">
        <f t="shared" si="136"/>
        <v>-2.5825538165048876</v>
      </c>
      <c r="AY172" s="6">
        <f t="shared" si="137"/>
        <v>2.5825538165048876</v>
      </c>
      <c r="BE172" s="39"/>
      <c r="BF172" s="39"/>
      <c r="BG172" s="6">
        <f t="shared" si="138"/>
        <v>2.7401669256310912</v>
      </c>
      <c r="BH172" s="9">
        <f t="shared" ca="1" si="139"/>
        <v>-214.47940919057294</v>
      </c>
      <c r="BI172" s="9">
        <f t="shared" ca="1" si="140"/>
        <v>44.296588235594982</v>
      </c>
      <c r="BJ172">
        <f t="shared" ca="1" si="141"/>
        <v>219.00594671389879</v>
      </c>
      <c r="BK172" s="6">
        <f t="shared" ca="1" si="142"/>
        <v>-0.97933144012185591</v>
      </c>
      <c r="BL172" s="6">
        <f t="shared" ca="1" si="143"/>
        <v>0.2022620339778371</v>
      </c>
      <c r="BM172" s="6">
        <f t="shared" ca="1" si="144"/>
        <v>2.9379255077382327</v>
      </c>
      <c r="BN172" s="6">
        <f t="shared" ca="1" si="145"/>
        <v>3.6630580590060795</v>
      </c>
      <c r="BO172" s="9">
        <f t="shared" ca="1" si="146"/>
        <v>-281.39516578842097</v>
      </c>
      <c r="BP172" s="9">
        <f t="shared" ca="1" si="147"/>
        <v>192.2156291361014</v>
      </c>
      <c r="BQ172">
        <f t="shared" ca="1" si="148"/>
        <v>340.77864870510916</v>
      </c>
      <c r="BR172">
        <f t="shared" ca="1" si="149"/>
        <v>-0.82574177360485002</v>
      </c>
      <c r="BS172">
        <f t="shared" ca="1" si="150"/>
        <v>0.56404833420897238</v>
      </c>
      <c r="BT172">
        <f t="shared" ca="1" si="151"/>
        <v>2.542312352332627</v>
      </c>
      <c r="BU172" s="39">
        <f t="shared" ca="1" si="152"/>
        <v>2.542312352332627</v>
      </c>
    </row>
    <row r="173" spans="45:73" x14ac:dyDescent="0.25">
      <c r="AS173">
        <v>2.9845130209102946</v>
      </c>
      <c r="AT173">
        <v>-285.83181418189338</v>
      </c>
      <c r="AU173">
        <v>177.90984581089666</v>
      </c>
      <c r="AV173" s="6">
        <f t="shared" si="134"/>
        <v>2.5848446986061706</v>
      </c>
      <c r="AW173" s="6">
        <f t="shared" si="135"/>
        <v>0.39966832230412397</v>
      </c>
      <c r="AX173" s="6">
        <f t="shared" si="136"/>
        <v>-2.5848446986061706</v>
      </c>
      <c r="AY173" s="6">
        <f t="shared" si="137"/>
        <v>2.5848446986061706</v>
      </c>
      <c r="BE173" s="39"/>
      <c r="BF173" s="39"/>
      <c r="BG173" s="6">
        <f t="shared" si="138"/>
        <v>2.7576202181510343</v>
      </c>
      <c r="BH173" s="9">
        <f t="shared" ca="1" si="139"/>
        <v>-215.74547927682477</v>
      </c>
      <c r="BI173" s="9">
        <f t="shared" ca="1" si="140"/>
        <v>41.265762865327673</v>
      </c>
      <c r="BJ173">
        <f t="shared" ca="1" si="141"/>
        <v>219.65649321894466</v>
      </c>
      <c r="BK173" s="6">
        <f t="shared" ca="1" si="142"/>
        <v>-0.98219486305728487</v>
      </c>
      <c r="BL173" s="6">
        <f t="shared" ca="1" si="143"/>
        <v>0.18786498072786603</v>
      </c>
      <c r="BM173" s="6">
        <f t="shared" ca="1" si="144"/>
        <v>2.9526046835461526</v>
      </c>
      <c r="BN173" s="6">
        <f t="shared" ca="1" si="145"/>
        <v>3.6777372348139998</v>
      </c>
      <c r="BO173" s="9">
        <f t="shared" ca="1" si="146"/>
        <v>-282.6612358746728</v>
      </c>
      <c r="BP173" s="9">
        <f t="shared" ca="1" si="147"/>
        <v>189.18480376583409</v>
      </c>
      <c r="BQ173">
        <f t="shared" ca="1" si="148"/>
        <v>340.12977558883983</v>
      </c>
      <c r="BR173">
        <f t="shared" ca="1" si="149"/>
        <v>-0.83103937426625973</v>
      </c>
      <c r="BS173">
        <f t="shared" ca="1" si="150"/>
        <v>0.55621359064584497</v>
      </c>
      <c r="BT173">
        <f t="shared" ca="1" si="151"/>
        <v>2.5517700712023013</v>
      </c>
      <c r="BU173" s="39">
        <f t="shared" ca="1" si="152"/>
        <v>2.5517700712023013</v>
      </c>
    </row>
    <row r="174" spans="45:73" x14ac:dyDescent="0.25">
      <c r="AS174">
        <v>3.0019663134302377</v>
      </c>
      <c r="AT174">
        <v>-285.95422729481521</v>
      </c>
      <c r="AU174">
        <v>177.09082431284017</v>
      </c>
      <c r="AV174" s="6">
        <f t="shared" si="134"/>
        <v>2.587104307980975</v>
      </c>
      <c r="AW174" s="6">
        <f t="shared" si="135"/>
        <v>0.41486200544926266</v>
      </c>
      <c r="AX174" s="6">
        <f t="shared" si="136"/>
        <v>-2.587104307980975</v>
      </c>
      <c r="AY174" s="6">
        <f t="shared" si="137"/>
        <v>2.587104307980975</v>
      </c>
      <c r="BE174" s="39"/>
      <c r="BF174" s="39"/>
      <c r="BG174" s="6">
        <f t="shared" si="138"/>
        <v>2.7750735106709774</v>
      </c>
      <c r="BH174" s="9">
        <f t="shared" ca="1" si="139"/>
        <v>-216.11005365312928</v>
      </c>
      <c r="BI174" s="9">
        <f t="shared" ca="1" si="140"/>
        <v>40.340318307619526</v>
      </c>
      <c r="BJ174">
        <f t="shared" ca="1" si="141"/>
        <v>219.842890654027</v>
      </c>
      <c r="BK174" s="6">
        <f t="shared" ca="1" si="142"/>
        <v>-0.98302043341136658</v>
      </c>
      <c r="BL174" s="6">
        <f t="shared" ca="1" si="143"/>
        <v>0.18349612392562756</v>
      </c>
      <c r="BM174" s="6">
        <f t="shared" ca="1" si="144"/>
        <v>2.9570508626624439</v>
      </c>
      <c r="BN174" s="6">
        <f t="shared" ca="1" si="145"/>
        <v>3.6821834139302911</v>
      </c>
      <c r="BO174" s="9">
        <f t="shared" ca="1" si="146"/>
        <v>-283.02581025097732</v>
      </c>
      <c r="BP174" s="9">
        <f t="shared" ca="1" si="147"/>
        <v>188.25935920812594</v>
      </c>
      <c r="BQ174">
        <f t="shared" ca="1" si="148"/>
        <v>339.9193957362192</v>
      </c>
      <c r="BR174">
        <f t="shared" ca="1" si="149"/>
        <v>-0.83262624551912334</v>
      </c>
      <c r="BS174">
        <f t="shared" ca="1" si="150"/>
        <v>0.55383529616008453</v>
      </c>
      <c r="BT174">
        <f t="shared" ca="1" si="151"/>
        <v>2.5546291708162761</v>
      </c>
      <c r="BU174" s="39">
        <f t="shared" ca="1" si="152"/>
        <v>2.5546291708162761</v>
      </c>
    </row>
    <row r="175" spans="45:73" x14ac:dyDescent="0.25">
      <c r="AS175">
        <v>3.0194196059501808</v>
      </c>
      <c r="AT175">
        <v>-286.06153410064701</v>
      </c>
      <c r="AU175">
        <v>176.2758113454438</v>
      </c>
      <c r="AV175" s="6">
        <f t="shared" si="134"/>
        <v>2.5893345768069649</v>
      </c>
      <c r="AW175" s="6">
        <f t="shared" si="135"/>
        <v>0.43008502914321589</v>
      </c>
      <c r="AX175" s="6">
        <f t="shared" si="136"/>
        <v>-2.5893345768069649</v>
      </c>
      <c r="AY175" s="6">
        <f t="shared" si="137"/>
        <v>2.5893345768069649</v>
      </c>
      <c r="BE175" s="39"/>
      <c r="BF175" s="39"/>
      <c r="BG175" s="6">
        <f t="shared" si="138"/>
        <v>2.7925268031909205</v>
      </c>
      <c r="BH175" s="9">
        <f t="shared" ca="1" si="139"/>
        <v>-216.45148690766774</v>
      </c>
      <c r="BI175" s="9">
        <f t="shared" ca="1" si="140"/>
        <v>39.427192852312686</v>
      </c>
      <c r="BJ175">
        <f t="shared" ca="1" si="141"/>
        <v>220.01306715909789</v>
      </c>
      <c r="BK175" s="6">
        <f t="shared" ca="1" si="142"/>
        <v>-0.98381196036481477</v>
      </c>
      <c r="BL175" s="6">
        <f t="shared" ca="1" si="143"/>
        <v>0.1792038689402104</v>
      </c>
      <c r="BM175" s="6">
        <f t="shared" ca="1" si="144"/>
        <v>2.9614154930041479</v>
      </c>
      <c r="BN175" s="6">
        <f t="shared" ca="1" si="145"/>
        <v>3.6865480442719951</v>
      </c>
      <c r="BO175" s="9">
        <f t="shared" ca="1" si="146"/>
        <v>-283.36724350551577</v>
      </c>
      <c r="BP175" s="9">
        <f t="shared" ca="1" si="147"/>
        <v>187.3462337528191</v>
      </c>
      <c r="BQ175">
        <f t="shared" ca="1" si="148"/>
        <v>339.69928759607399</v>
      </c>
      <c r="BR175">
        <f t="shared" ca="1" si="149"/>
        <v>-0.83417085007978908</v>
      </c>
      <c r="BS175">
        <f t="shared" ca="1" si="150"/>
        <v>0.55150611318204112</v>
      </c>
      <c r="BT175">
        <f t="shared" ca="1" si="151"/>
        <v>2.5574239698570334</v>
      </c>
      <c r="BU175" s="39">
        <f t="shared" ca="1" si="152"/>
        <v>2.5574239698570334</v>
      </c>
    </row>
    <row r="176" spans="45:73" x14ac:dyDescent="0.25">
      <c r="AS176">
        <v>3.0368728984701239</v>
      </c>
      <c r="AT176">
        <v>-286.15400305069039</v>
      </c>
      <c r="AU176">
        <v>175.46428439869499</v>
      </c>
      <c r="AV176" s="6">
        <f t="shared" si="134"/>
        <v>2.5915373537383117</v>
      </c>
      <c r="AW176" s="6">
        <f t="shared" si="135"/>
        <v>0.44533554473181214</v>
      </c>
      <c r="AX176" s="6">
        <f t="shared" si="136"/>
        <v>-2.5915373537383113</v>
      </c>
      <c r="AY176" s="6">
        <f t="shared" si="137"/>
        <v>2.5915373537383113</v>
      </c>
      <c r="BE176" s="39"/>
      <c r="BF176" s="39"/>
      <c r="BG176" s="6">
        <f t="shared" si="138"/>
        <v>2.8099800957108636</v>
      </c>
      <c r="BH176" s="9">
        <f t="shared" ca="1" si="139"/>
        <v>-216.77078626750193</v>
      </c>
      <c r="BI176" s="9">
        <f t="shared" ca="1" si="140"/>
        <v>38.525596549489592</v>
      </c>
      <c r="BJ176">
        <f t="shared" ca="1" si="141"/>
        <v>220.16765286600355</v>
      </c>
      <c r="BK176" s="6">
        <f t="shared" ca="1" si="142"/>
        <v>-0.98457145473332097</v>
      </c>
      <c r="BL176" s="6">
        <f t="shared" ca="1" si="143"/>
        <v>0.1749830006723862</v>
      </c>
      <c r="BM176" s="6">
        <f t="shared" ca="1" si="144"/>
        <v>2.9657041511650077</v>
      </c>
      <c r="BN176" s="6">
        <f t="shared" ca="1" si="145"/>
        <v>3.690836702432855</v>
      </c>
      <c r="BO176" s="9">
        <f t="shared" ca="1" si="146"/>
        <v>-283.68654286534996</v>
      </c>
      <c r="BP176" s="9">
        <f t="shared" ca="1" si="147"/>
        <v>186.44463744999601</v>
      </c>
      <c r="BQ176">
        <f t="shared" ca="1" si="148"/>
        <v>339.46967086435643</v>
      </c>
      <c r="BR176">
        <f t="shared" ca="1" si="149"/>
        <v>-0.83567566475976585</v>
      </c>
      <c r="BS176">
        <f t="shared" ca="1" si="150"/>
        <v>0.54922325454074106</v>
      </c>
      <c r="BT176">
        <f t="shared" ca="1" si="151"/>
        <v>2.5601581818924601</v>
      </c>
      <c r="BU176" s="39">
        <f t="shared" ca="1" si="152"/>
        <v>2.5601581818924601</v>
      </c>
    </row>
    <row r="177" spans="45:73" x14ac:dyDescent="0.25">
      <c r="AS177">
        <v>3.054326190990067</v>
      </c>
      <c r="AT177">
        <v>-286.23186400153219</v>
      </c>
      <c r="AU177">
        <v>174.65572965584036</v>
      </c>
      <c r="AV177" s="6">
        <f t="shared" si="134"/>
        <v>2.5937144104837162</v>
      </c>
      <c r="AW177" s="6">
        <f t="shared" si="135"/>
        <v>0.46061178050635077</v>
      </c>
      <c r="AX177" s="6">
        <f t="shared" si="136"/>
        <v>-2.5937144104837162</v>
      </c>
      <c r="AY177" s="6">
        <f t="shared" si="137"/>
        <v>2.5937144104837162</v>
      </c>
      <c r="BE177" s="39"/>
      <c r="BF177" s="39"/>
      <c r="BG177" s="6">
        <f t="shared" si="138"/>
        <v>2.8274333882308067</v>
      </c>
      <c r="BH177" s="9">
        <f t="shared" ca="1" si="139"/>
        <v>-217.06887684718691</v>
      </c>
      <c r="BI177" s="9">
        <f t="shared" ca="1" si="140"/>
        <v>37.634773156584373</v>
      </c>
      <c r="BJ177">
        <f t="shared" ca="1" si="141"/>
        <v>220.30722513400863</v>
      </c>
      <c r="BK177" s="6">
        <f t="shared" ca="1" si="142"/>
        <v>-0.98530076222034069</v>
      </c>
      <c r="BL177" s="6">
        <f t="shared" ca="1" si="143"/>
        <v>0.17082859236092629</v>
      </c>
      <c r="BM177" s="6">
        <f t="shared" ca="1" si="144"/>
        <v>2.9699220919191731</v>
      </c>
      <c r="BN177" s="6">
        <f t="shared" ca="1" si="145"/>
        <v>3.6950546431870199</v>
      </c>
      <c r="BO177" s="9">
        <f t="shared" ca="1" si="146"/>
        <v>-283.98463344503494</v>
      </c>
      <c r="BP177" s="9">
        <f t="shared" ca="1" si="147"/>
        <v>185.55381405709079</v>
      </c>
      <c r="BQ177">
        <f t="shared" ca="1" si="148"/>
        <v>339.23073260547056</v>
      </c>
      <c r="BR177">
        <f t="shared" ca="1" si="149"/>
        <v>-0.83714300076494685</v>
      </c>
      <c r="BS177">
        <f t="shared" ca="1" si="150"/>
        <v>0.54698409142337967</v>
      </c>
      <c r="BT177">
        <f t="shared" ca="1" si="151"/>
        <v>2.5628352942731158</v>
      </c>
      <c r="BU177" s="39">
        <f t="shared" ca="1" si="152"/>
        <v>2.5628352942731158</v>
      </c>
    </row>
    <row r="178" spans="45:73" x14ac:dyDescent="0.25">
      <c r="AS178">
        <v>3.0717794835100101</v>
      </c>
      <c r="AT178">
        <v>-286.29530944213838</v>
      </c>
      <c r="AU178">
        <v>173.84964066820763</v>
      </c>
      <c r="AV178" s="6">
        <f t="shared" si="134"/>
        <v>2.5958674479183665</v>
      </c>
      <c r="AW178" s="6">
        <f t="shared" si="135"/>
        <v>0.47591203559164352</v>
      </c>
      <c r="AX178" s="6">
        <f t="shared" si="136"/>
        <v>-2.5958674479183665</v>
      </c>
      <c r="AY178" s="6">
        <f t="shared" si="137"/>
        <v>2.5958674479183665</v>
      </c>
      <c r="BE178" s="39"/>
      <c r="BF178" s="39"/>
      <c r="BG178" s="6">
        <f t="shared" si="138"/>
        <v>2.8448866807507498</v>
      </c>
      <c r="BH178" s="9">
        <f t="shared" ca="1" si="139"/>
        <v>-217.34660763620371</v>
      </c>
      <c r="BI178" s="9">
        <f t="shared" ca="1" si="140"/>
        <v>36.753997378446456</v>
      </c>
      <c r="BJ178">
        <f t="shared" ca="1" si="141"/>
        <v>220.43231200135051</v>
      </c>
      <c r="BK178" s="6">
        <f t="shared" ca="1" si="142"/>
        <v>-0.98600157872894834</v>
      </c>
      <c r="BL178" s="6">
        <f t="shared" ca="1" si="143"/>
        <v>0.16673597915273547</v>
      </c>
      <c r="BM178" s="6">
        <f t="shared" ca="1" si="144"/>
        <v>2.9740742782614009</v>
      </c>
      <c r="BN178" s="6">
        <f t="shared" ca="1" si="145"/>
        <v>3.6992068295292482</v>
      </c>
      <c r="BO178" s="9">
        <f t="shared" ca="1" si="146"/>
        <v>-284.26236423405174</v>
      </c>
      <c r="BP178" s="9">
        <f t="shared" ca="1" si="147"/>
        <v>184.67303827895287</v>
      </c>
      <c r="BQ178">
        <f t="shared" ca="1" si="148"/>
        <v>338.98262903445698</v>
      </c>
      <c r="BR178">
        <f t="shared" ca="1" si="149"/>
        <v>-0.8385750179698942</v>
      </c>
      <c r="BS178">
        <f t="shared" ca="1" si="150"/>
        <v>0.54478614082664745</v>
      </c>
      <c r="BT178">
        <f t="shared" ca="1" si="151"/>
        <v>2.5654585868697168</v>
      </c>
      <c r="BU178" s="39">
        <f t="shared" ca="1" si="152"/>
        <v>2.5654585868697168</v>
      </c>
    </row>
    <row r="179" spans="45:73" x14ac:dyDescent="0.25">
      <c r="AS179">
        <v>3.0892327760299532</v>
      </c>
      <c r="AT179">
        <v>-286.34449550732677</v>
      </c>
      <c r="AU179">
        <v>173.04551706909209</v>
      </c>
      <c r="AV179" s="6">
        <f t="shared" si="134"/>
        <v>2.5979981017557368</v>
      </c>
      <c r="AW179" s="6">
        <f t="shared" si="135"/>
        <v>0.49123467427421641</v>
      </c>
      <c r="AX179" s="6">
        <f t="shared" si="136"/>
        <v>-2.5979981017557368</v>
      </c>
      <c r="AY179" s="6">
        <f t="shared" si="137"/>
        <v>2.5979981017557368</v>
      </c>
      <c r="BE179" s="39"/>
      <c r="BF179" s="39"/>
      <c r="BG179" s="6">
        <f t="shared" si="138"/>
        <v>2.8623399732706929</v>
      </c>
      <c r="BH179" s="9">
        <f t="shared" ca="1" si="139"/>
        <v>-217.60475688545188</v>
      </c>
      <c r="BI179" s="9">
        <f t="shared" ca="1" si="140"/>
        <v>35.882572305823288</v>
      </c>
      <c r="BJ179">
        <f t="shared" ca="1" si="141"/>
        <v>220.54339530908481</v>
      </c>
      <c r="BK179" s="6">
        <f t="shared" ca="1" si="142"/>
        <v>-0.98667546393980865</v>
      </c>
      <c r="BL179" s="6">
        <f t="shared" ca="1" si="143"/>
        <v>0.16270073404617247</v>
      </c>
      <c r="BM179" s="6">
        <f t="shared" ca="1" si="144"/>
        <v>2.9781654086299354</v>
      </c>
      <c r="BN179" s="6">
        <f t="shared" ca="1" si="145"/>
        <v>3.7032979598977827</v>
      </c>
      <c r="BO179" s="9">
        <f t="shared" ca="1" si="146"/>
        <v>-284.52051348329991</v>
      </c>
      <c r="BP179" s="9">
        <f t="shared" ca="1" si="147"/>
        <v>183.80161320632971</v>
      </c>
      <c r="BQ179">
        <f t="shared" ca="1" si="148"/>
        <v>338.72548709840225</v>
      </c>
      <c r="BR179">
        <f t="shared" ca="1" si="149"/>
        <v>-0.83997373779152495</v>
      </c>
      <c r="BS179">
        <f t="shared" ca="1" si="150"/>
        <v>0.54262705408091705</v>
      </c>
      <c r="BT179">
        <f t="shared" ca="1" si="151"/>
        <v>2.568031149087608</v>
      </c>
      <c r="BU179" s="39">
        <f t="shared" ca="1" si="152"/>
        <v>2.568031149087608</v>
      </c>
    </row>
    <row r="180" spans="45:73" x14ac:dyDescent="0.25">
      <c r="AS180">
        <v>3.1066860685498963</v>
      </c>
      <c r="AT180">
        <v>-286.37954280082977</v>
      </c>
      <c r="AU180">
        <v>172.2428633196717</v>
      </c>
      <c r="AV180" s="6">
        <f t="shared" si="134"/>
        <v>2.6001079478426234</v>
      </c>
      <c r="AW180" s="6">
        <f t="shared" si="135"/>
        <v>0.50657812070727282</v>
      </c>
      <c r="AX180" s="6">
        <f t="shared" si="136"/>
        <v>-2.6001079478426234</v>
      </c>
      <c r="AY180" s="6">
        <f t="shared" si="137"/>
        <v>2.6001079478426234</v>
      </c>
      <c r="BE180" s="39"/>
      <c r="BF180" s="39"/>
      <c r="BG180" s="6">
        <f t="shared" si="138"/>
        <v>2.879793265790636</v>
      </c>
      <c r="BH180" s="9">
        <f t="shared" ca="1" si="139"/>
        <v>-217.84403694905745</v>
      </c>
      <c r="BI180" s="9">
        <f t="shared" ca="1" si="140"/>
        <v>35.019827032082503</v>
      </c>
      <c r="BJ180">
        <f t="shared" ca="1" si="141"/>
        <v>220.64091352153909</v>
      </c>
      <c r="BK180" s="6">
        <f t="shared" ca="1" si="142"/>
        <v>-0.987323853369522</v>
      </c>
      <c r="BL180" s="6">
        <f t="shared" ca="1" si="143"/>
        <v>0.15871864593537338</v>
      </c>
      <c r="BM180" s="6">
        <f t="shared" ca="1" si="144"/>
        <v>2.9821999416455833</v>
      </c>
      <c r="BN180" s="6">
        <f t="shared" ca="1" si="145"/>
        <v>3.7073324929134301</v>
      </c>
      <c r="BO180" s="9">
        <f t="shared" ca="1" si="146"/>
        <v>-284.75979354690548</v>
      </c>
      <c r="BP180" s="9">
        <f t="shared" ca="1" si="147"/>
        <v>182.93886793258892</v>
      </c>
      <c r="BQ180">
        <f t="shared" ca="1" si="148"/>
        <v>338.45940586920233</v>
      </c>
      <c r="BR180">
        <f t="shared" ca="1" si="149"/>
        <v>-0.84134105481751909</v>
      </c>
      <c r="BS180">
        <f t="shared" ca="1" si="150"/>
        <v>0.54050460634350239</v>
      </c>
      <c r="BT180">
        <f t="shared" ca="1" si="151"/>
        <v>2.5705558953389471</v>
      </c>
      <c r="BU180" s="39">
        <f t="shared" ca="1" si="152"/>
        <v>2.5705558953389471</v>
      </c>
    </row>
    <row r="181" spans="45:73" x14ac:dyDescent="0.25">
      <c r="AS181">
        <v>3.1241393610698394</v>
      </c>
      <c r="AT181">
        <v>-286.40053702186333</v>
      </c>
      <c r="AU181">
        <v>171.44118748020566</v>
      </c>
      <c r="AV181" s="6">
        <f t="shared" si="134"/>
        <v>2.6021985070941427</v>
      </c>
      <c r="AW181" s="6">
        <f t="shared" si="135"/>
        <v>0.52194085397569667</v>
      </c>
      <c r="AX181" s="6">
        <f t="shared" si="136"/>
        <v>-2.6021985070941427</v>
      </c>
      <c r="AY181" s="6">
        <f t="shared" si="137"/>
        <v>2.6021985070941427</v>
      </c>
      <c r="BE181" s="39"/>
      <c r="BF181" s="39"/>
      <c r="BG181" s="6">
        <f t="shared" si="138"/>
        <v>2.8972465583105791</v>
      </c>
      <c r="BH181" s="9">
        <f t="shared" ca="1" si="139"/>
        <v>-218.06509861685311</v>
      </c>
      <c r="BI181" s="9">
        <f t="shared" ca="1" si="140"/>
        <v>34.165114429996009</v>
      </c>
      <c r="BJ181">
        <f t="shared" ca="1" si="141"/>
        <v>220.72526425126915</v>
      </c>
      <c r="BK181" s="6">
        <f t="shared" ca="1" si="142"/>
        <v>-0.98794806909195598</v>
      </c>
      <c r="BL181" s="6">
        <f t="shared" ca="1" si="143"/>
        <v>0.15478569952510346</v>
      </c>
      <c r="BM181" s="6">
        <f t="shared" ca="1" si="144"/>
        <v>2.986182118649412</v>
      </c>
      <c r="BN181" s="6">
        <f t="shared" ca="1" si="145"/>
        <v>3.7113146699172592</v>
      </c>
      <c r="BO181" s="9">
        <f t="shared" ca="1" si="146"/>
        <v>-284.98085521470114</v>
      </c>
      <c r="BP181" s="9">
        <f t="shared" ca="1" si="147"/>
        <v>182.08415533050243</v>
      </c>
      <c r="BQ181">
        <f t="shared" ca="1" si="148"/>
        <v>338.18445774654543</v>
      </c>
      <c r="BR181">
        <f t="shared" ca="1" si="149"/>
        <v>-0.84267874731334313</v>
      </c>
      <c r="BS181">
        <f t="shared" ca="1" si="150"/>
        <v>0.53841668698733225</v>
      </c>
      <c r="BT181">
        <f t="shared" ca="1" si="151"/>
        <v>2.5730355791094977</v>
      </c>
      <c r="BU181" s="39">
        <f t="shared" ca="1" si="152"/>
        <v>2.5730355791094977</v>
      </c>
    </row>
    <row r="182" spans="45:73" x14ac:dyDescent="0.25">
      <c r="AS182">
        <v>3.1415926535897825</v>
      </c>
      <c r="AT182">
        <v>-286.40752941170325</v>
      </c>
      <c r="AU182">
        <v>170.64000000000053</v>
      </c>
      <c r="AV182" s="6">
        <f t="shared" si="134"/>
        <v>2.6042712501195848</v>
      </c>
      <c r="AW182" s="6">
        <f t="shared" si="135"/>
        <v>0.53732140347019763</v>
      </c>
      <c r="AX182" s="6">
        <f t="shared" si="136"/>
        <v>-2.6042712501195848</v>
      </c>
      <c r="AY182" s="6">
        <f t="shared" si="137"/>
        <v>2.6042712501195848</v>
      </c>
      <c r="BE182" s="39"/>
      <c r="BF182" s="39"/>
      <c r="BG182" s="6">
        <f t="shared" si="138"/>
        <v>2.9146998508305222</v>
      </c>
      <c r="BH182" s="9">
        <f t="shared" ca="1" si="139"/>
        <v>-218.26853502129427</v>
      </c>
      <c r="BI182" s="9">
        <f t="shared" ca="1" si="140"/>
        <v>33.317809072157303</v>
      </c>
      <c r="BJ182">
        <f t="shared" ca="1" si="141"/>
        <v>220.79680654780924</v>
      </c>
      <c r="BK182" s="6">
        <f t="shared" ca="1" si="142"/>
        <v>-0.98854932928584938</v>
      </c>
      <c r="BL182" s="6">
        <f t="shared" ca="1" si="143"/>
        <v>0.15089805687449098</v>
      </c>
      <c r="BM182" s="6">
        <f t="shared" ca="1" si="144"/>
        <v>2.9901159843253957</v>
      </c>
      <c r="BN182" s="6">
        <f t="shared" ca="1" si="145"/>
        <v>3.7152485355932425</v>
      </c>
      <c r="BO182" s="9">
        <f t="shared" ca="1" si="146"/>
        <v>-285.1842916191423</v>
      </c>
      <c r="BP182" s="9">
        <f t="shared" ca="1" si="147"/>
        <v>181.23684997266372</v>
      </c>
      <c r="BQ182">
        <f t="shared" ca="1" si="148"/>
        <v>337.90068951442794</v>
      </c>
      <c r="BR182">
        <f t="shared" ca="1" si="149"/>
        <v>-0.84398848676207061</v>
      </c>
      <c r="BS182">
        <f t="shared" ca="1" si="150"/>
        <v>0.53636129074819516</v>
      </c>
      <c r="BT182">
        <f t="shared" ca="1" si="151"/>
        <v>2.5754728058252105</v>
      </c>
      <c r="BU182" s="39">
        <f t="shared" ca="1" si="152"/>
        <v>2.5754728058252105</v>
      </c>
    </row>
    <row r="183" spans="45:73" x14ac:dyDescent="0.25">
      <c r="AS183">
        <v>3.1590459461097256</v>
      </c>
      <c r="AT183">
        <v>-286.40053702186367</v>
      </c>
      <c r="AU183">
        <v>169.83881251979534</v>
      </c>
      <c r="AV183" s="6">
        <f t="shared" si="134"/>
        <v>2.6063276015662749</v>
      </c>
      <c r="AW183" s="6">
        <f t="shared" si="135"/>
        <v>0.5527183445434507</v>
      </c>
      <c r="AX183" s="6">
        <f t="shared" si="136"/>
        <v>-2.6063276015662749</v>
      </c>
      <c r="AY183" s="6">
        <f t="shared" si="137"/>
        <v>2.6063276015662749</v>
      </c>
      <c r="BF183" s="39"/>
      <c r="BG183" s="6">
        <f t="shared" si="138"/>
        <v>2.9321531433504653</v>
      </c>
      <c r="BH183" s="9">
        <f t="shared" ca="1" si="139"/>
        <v>-218.45488511502305</v>
      </c>
      <c r="BI183" s="9">
        <f t="shared" ca="1" si="140"/>
        <v>32.477305280148016</v>
      </c>
      <c r="BJ183">
        <f t="shared" ca="1" si="141"/>
        <v>220.85586292620317</v>
      </c>
      <c r="BK183" s="6">
        <f t="shared" ca="1" si="142"/>
        <v>-0.98912875674039769</v>
      </c>
      <c r="BL183" s="6">
        <f t="shared" ca="1" si="143"/>
        <v>0.14705204041153297</v>
      </c>
      <c r="BM183" s="6">
        <f t="shared" ca="1" si="144"/>
        <v>2.9940054056035259</v>
      </c>
      <c r="BN183" s="6">
        <f t="shared" ca="1" si="145"/>
        <v>3.7191379568713732</v>
      </c>
      <c r="BO183" s="9">
        <f t="shared" ca="1" si="146"/>
        <v>-285.37064171287108</v>
      </c>
      <c r="BP183" s="9">
        <f t="shared" ca="1" si="147"/>
        <v>180.39634618065443</v>
      </c>
      <c r="BQ183">
        <f t="shared" ca="1" si="148"/>
        <v>337.60812322417001</v>
      </c>
      <c r="BR183">
        <f t="shared" ca="1" si="149"/>
        <v>-0.84527184650526455</v>
      </c>
      <c r="BS183">
        <f t="shared" ca="1" si="150"/>
        <v>0.53433650961316537</v>
      </c>
      <c r="BT183">
        <f t="shared" ca="1" si="151"/>
        <v>2.5778700445757985</v>
      </c>
      <c r="BU183" s="39">
        <f t="shared" ca="1" si="152"/>
        <v>2.5778700445757985</v>
      </c>
    </row>
    <row r="184" spans="45:73" x14ac:dyDescent="0.25">
      <c r="AS184">
        <v>3.1764992386296687</v>
      </c>
      <c r="AT184">
        <v>-286.37954280083017</v>
      </c>
      <c r="AU184">
        <v>169.03713668032927</v>
      </c>
      <c r="AV184" s="6">
        <f t="shared" si="134"/>
        <v>2.6083689442012212</v>
      </c>
      <c r="AW184" s="6">
        <f t="shared" si="135"/>
        <v>0.56813029442844742</v>
      </c>
      <c r="AX184" s="6">
        <f t="shared" si="136"/>
        <v>-2.6083689442012212</v>
      </c>
      <c r="AY184" s="6">
        <f t="shared" si="137"/>
        <v>2.6083689442012212</v>
      </c>
      <c r="BF184" s="39"/>
      <c r="BG184" s="6">
        <f t="shared" si="138"/>
        <v>2.9496064358704084</v>
      </c>
      <c r="BH184" s="9">
        <f t="shared" ca="1" si="139"/>
        <v>-218.62463679398832</v>
      </c>
      <c r="BI184" s="9">
        <f t="shared" ca="1" si="140"/>
        <v>31.643015288915308</v>
      </c>
      <c r="BJ184">
        <f t="shared" ca="1" si="141"/>
        <v>220.90272119165448</v>
      </c>
      <c r="BK184" s="6">
        <f t="shared" ca="1" si="142"/>
        <v>-0.9896873864415201</v>
      </c>
      <c r="BL184" s="6">
        <f t="shared" ca="1" si="143"/>
        <v>0.14324411722145303</v>
      </c>
      <c r="BM184" s="6">
        <f t="shared" ca="1" si="144"/>
        <v>2.9978540890730203</v>
      </c>
      <c r="BN184" s="6">
        <f t="shared" ca="1" si="145"/>
        <v>3.7229866403408671</v>
      </c>
      <c r="BO184" s="9">
        <f t="shared" ca="1" si="146"/>
        <v>-285.54039339183635</v>
      </c>
      <c r="BP184" s="9">
        <f t="shared" ca="1" si="147"/>
        <v>179.56205618942172</v>
      </c>
      <c r="BQ184">
        <f t="shared" ca="1" si="148"/>
        <v>337.30675694586625</v>
      </c>
      <c r="BR184">
        <f t="shared" ca="1" si="149"/>
        <v>-0.84653030961268949</v>
      </c>
      <c r="BS184">
        <f t="shared" ca="1" si="150"/>
        <v>0.53234052532851961</v>
      </c>
      <c r="BT184">
        <f t="shared" ca="1" si="151"/>
        <v>2.580229638871554</v>
      </c>
      <c r="BU184" s="39">
        <f t="shared" ca="1" si="152"/>
        <v>2.580229638871554</v>
      </c>
    </row>
    <row r="185" spans="45:73" x14ac:dyDescent="0.25">
      <c r="AS185">
        <v>3.1939525311496118</v>
      </c>
      <c r="AT185">
        <v>-286.344495507327</v>
      </c>
      <c r="AU185">
        <v>168.234482930909</v>
      </c>
      <c r="AV185" s="6">
        <f t="shared" si="134"/>
        <v>2.6103966227672437</v>
      </c>
      <c r="AW185" s="6">
        <f t="shared" si="135"/>
        <v>0.58355590838236804</v>
      </c>
      <c r="AX185" s="6">
        <f t="shared" si="136"/>
        <v>-2.6103966227672437</v>
      </c>
      <c r="AY185" s="6">
        <f t="shared" si="137"/>
        <v>2.6103966227672437</v>
      </c>
      <c r="BF185" s="39"/>
      <c r="BG185" s="6">
        <f t="shared" si="138"/>
        <v>2.9670597283903515</v>
      </c>
      <c r="BH185" s="9">
        <f t="shared" ca="1" si="139"/>
        <v>-218.77822967914045</v>
      </c>
      <c r="BI185" s="9">
        <f t="shared" ca="1" si="140"/>
        <v>30.814367514012559</v>
      </c>
      <c r="BJ185">
        <f t="shared" ca="1" si="141"/>
        <v>220.93763605784181</v>
      </c>
      <c r="BK185" s="6">
        <f t="shared" ca="1" si="142"/>
        <v>-0.99022617233880417</v>
      </c>
      <c r="BL185" s="6">
        <f t="shared" ca="1" si="143"/>
        <v>0.139470884471423</v>
      </c>
      <c r="BM185" s="6">
        <f t="shared" ca="1" si="144"/>
        <v>3.0016655970707271</v>
      </c>
      <c r="BN185" s="6">
        <f t="shared" ca="1" si="145"/>
        <v>3.7267981483385739</v>
      </c>
      <c r="BO185" s="9">
        <f t="shared" ca="1" si="146"/>
        <v>-285.69398627698848</v>
      </c>
      <c r="BP185" s="9">
        <f t="shared" ca="1" si="147"/>
        <v>178.73340841451898</v>
      </c>
      <c r="BQ185">
        <f t="shared" ca="1" si="148"/>
        <v>336.99656538057968</v>
      </c>
      <c r="BR185">
        <f t="shared" ca="1" si="149"/>
        <v>-0.84776527604768392</v>
      </c>
      <c r="BS185">
        <f t="shared" ca="1" si="150"/>
        <v>0.53037160248998483</v>
      </c>
      <c r="BT185">
        <f t="shared" ca="1" si="151"/>
        <v>2.5825538165048876</v>
      </c>
      <c r="BU185" s="39">
        <f t="shared" ca="1" si="152"/>
        <v>2.5825538165048876</v>
      </c>
    </row>
    <row r="186" spans="45:73" x14ac:dyDescent="0.25">
      <c r="AS186">
        <v>3.2114058236695548</v>
      </c>
      <c r="AT186">
        <v>-286.29530944213877</v>
      </c>
      <c r="AU186">
        <v>167.43035933179345</v>
      </c>
      <c r="AV186" s="6">
        <f t="shared" si="134"/>
        <v>2.6124119476259615</v>
      </c>
      <c r="AW186" s="6">
        <f t="shared" si="135"/>
        <v>0.59899387604359333</v>
      </c>
      <c r="AX186" s="6">
        <f t="shared" si="136"/>
        <v>-2.6124119476259615</v>
      </c>
      <c r="AY186" s="6">
        <f t="shared" si="137"/>
        <v>2.6124119476259615</v>
      </c>
      <c r="BF186" s="39"/>
      <c r="BG186" s="6">
        <f t="shared" si="138"/>
        <v>2.9845130209102946</v>
      </c>
      <c r="BH186" s="9">
        <f t="shared" ca="1" si="139"/>
        <v>-218.91605758404535</v>
      </c>
      <c r="BI186" s="9">
        <f t="shared" ca="1" si="140"/>
        <v>29.990804910390239</v>
      </c>
      <c r="BJ186">
        <f t="shared" ca="1" si="141"/>
        <v>220.9608305725568</v>
      </c>
      <c r="BK186" s="6">
        <f t="shared" ca="1" si="142"/>
        <v>-0.99074599338166403</v>
      </c>
      <c r="BL186" s="6">
        <f t="shared" ca="1" si="143"/>
        <v>0.13572905583617534</v>
      </c>
      <c r="BM186" s="6">
        <f t="shared" ca="1" si="144"/>
        <v>3.0054433626041024</v>
      </c>
      <c r="BN186" s="6">
        <f t="shared" ca="1" si="145"/>
        <v>3.7305759138719496</v>
      </c>
      <c r="BO186" s="9">
        <f t="shared" ca="1" si="146"/>
        <v>-285.83181418189338</v>
      </c>
      <c r="BP186" s="9">
        <f t="shared" ca="1" si="147"/>
        <v>177.90984581089666</v>
      </c>
      <c r="BQ186">
        <f t="shared" ca="1" si="148"/>
        <v>336.67750033967144</v>
      </c>
      <c r="BR186">
        <f t="shared" ca="1" si="149"/>
        <v>-0.84897806920129726</v>
      </c>
      <c r="BS186">
        <f t="shared" ca="1" si="150"/>
        <v>0.52842808215994452</v>
      </c>
      <c r="BT186">
        <f t="shared" ca="1" si="151"/>
        <v>2.5848446986061706</v>
      </c>
      <c r="BU186" s="39">
        <f t="shared" ca="1" si="152"/>
        <v>2.5848446986061706</v>
      </c>
    </row>
    <row r="187" spans="45:73" x14ac:dyDescent="0.25">
      <c r="AS187">
        <v>3.2288591161894979</v>
      </c>
      <c r="AT187">
        <v>-286.23186400153259</v>
      </c>
      <c r="AU187">
        <v>166.62427034416066</v>
      </c>
      <c r="AV187" s="6">
        <f t="shared" si="134"/>
        <v>2.6144161982174166</v>
      </c>
      <c r="AW187" s="6">
        <f t="shared" si="135"/>
        <v>0.61444291797208139</v>
      </c>
      <c r="AX187" s="6">
        <f t="shared" si="136"/>
        <v>-2.6144161982174166</v>
      </c>
      <c r="AY187" s="6">
        <f t="shared" si="137"/>
        <v>2.6144161982174166</v>
      </c>
      <c r="BF187" s="39"/>
      <c r="BG187" s="6">
        <f t="shared" si="138"/>
        <v>3.0019663134302377</v>
      </c>
      <c r="BH187" s="9">
        <f t="shared" ca="1" si="139"/>
        <v>-219.03847069696718</v>
      </c>
      <c r="BI187" s="9">
        <f t="shared" ca="1" si="140"/>
        <v>29.171783412333752</v>
      </c>
      <c r="BJ187">
        <f t="shared" ca="1" si="141"/>
        <v>220.97249736725669</v>
      </c>
      <c r="BK187" s="6">
        <f t="shared" ca="1" si="142"/>
        <v>-0.99124765890175393</v>
      </c>
      <c r="BL187" s="6">
        <f t="shared" ca="1" si="143"/>
        <v>0.13201544879972188</v>
      </c>
      <c r="BM187" s="6">
        <f t="shared" ca="1" si="144"/>
        <v>3.0091907032542209</v>
      </c>
      <c r="BN187" s="6">
        <f t="shared" ca="1" si="145"/>
        <v>3.7343232545220681</v>
      </c>
      <c r="BO187" s="9">
        <f t="shared" ca="1" si="146"/>
        <v>-285.95422729481521</v>
      </c>
      <c r="BP187" s="9">
        <f t="shared" ca="1" si="147"/>
        <v>177.09082431284017</v>
      </c>
      <c r="BQ187">
        <f t="shared" ca="1" si="148"/>
        <v>336.34949110051593</v>
      </c>
      <c r="BR187">
        <f t="shared" ca="1" si="149"/>
        <v>-0.85016994186371342</v>
      </c>
      <c r="BS187">
        <f t="shared" ca="1" si="150"/>
        <v>0.52650837595564459</v>
      </c>
      <c r="BT187">
        <f t="shared" ca="1" si="151"/>
        <v>2.587104307980975</v>
      </c>
      <c r="BU187" s="39">
        <f t="shared" ca="1" si="152"/>
        <v>2.587104307980975</v>
      </c>
    </row>
    <row r="188" spans="45:73" x14ac:dyDescent="0.25">
      <c r="AS188">
        <v>3.246312408709441</v>
      </c>
      <c r="AT188">
        <v>-286.15400305069079</v>
      </c>
      <c r="AU188">
        <v>165.81571560130601</v>
      </c>
      <c r="AV188" s="6">
        <f t="shared" si="134"/>
        <v>2.6164106263596341</v>
      </c>
      <c r="AW188" s="6">
        <f t="shared" si="135"/>
        <v>0.62990178234980698</v>
      </c>
      <c r="AX188" s="6">
        <f t="shared" si="136"/>
        <v>-2.6164106263596341</v>
      </c>
      <c r="AY188" s="6">
        <f t="shared" si="137"/>
        <v>2.6164106263596341</v>
      </c>
      <c r="BF188" s="39"/>
      <c r="BG188" s="6">
        <f t="shared" si="138"/>
        <v>3.0194196059501808</v>
      </c>
      <c r="BH188" s="9">
        <f t="shared" ca="1" si="139"/>
        <v>-219.14577750279898</v>
      </c>
      <c r="BI188" s="9">
        <f t="shared" ca="1" si="140"/>
        <v>28.356770444937382</v>
      </c>
      <c r="BJ188">
        <f t="shared" ca="1" si="141"/>
        <v>220.97279974551878</v>
      </c>
      <c r="BK188" s="6">
        <f t="shared" ca="1" si="142"/>
        <v>-0.99173191340823907</v>
      </c>
      <c r="BL188" s="6">
        <f t="shared" ca="1" si="143"/>
        <v>0.12832697272059812</v>
      </c>
      <c r="BM188" s="6">
        <f t="shared" ca="1" si="144"/>
        <v>3.0129108341892827</v>
      </c>
      <c r="BN188" s="6">
        <f t="shared" ca="1" si="145"/>
        <v>3.7380433854571296</v>
      </c>
      <c r="BO188" s="9">
        <f t="shared" ca="1" si="146"/>
        <v>-286.06153410064701</v>
      </c>
      <c r="BP188" s="9">
        <f t="shared" ca="1" si="147"/>
        <v>176.2758113454438</v>
      </c>
      <c r="BQ188">
        <f t="shared" ca="1" si="148"/>
        <v>336.01244464678706</v>
      </c>
      <c r="BR188">
        <f t="shared" ca="1" si="149"/>
        <v>-0.85134208169388503</v>
      </c>
      <c r="BS188">
        <f t="shared" ca="1" si="150"/>
        <v>0.52461096055755663</v>
      </c>
      <c r="BT188">
        <f t="shared" ca="1" si="151"/>
        <v>2.5893345768069649</v>
      </c>
      <c r="BU188" s="39">
        <f t="shared" ca="1" si="152"/>
        <v>2.5893345768069649</v>
      </c>
    </row>
    <row r="189" spans="45:73" x14ac:dyDescent="0.25">
      <c r="AS189">
        <v>3.2637657012293841</v>
      </c>
      <c r="AT189">
        <v>-286.06153410064746</v>
      </c>
      <c r="AU189">
        <v>165.00418865455725</v>
      </c>
      <c r="AV189" s="6">
        <f t="shared" si="134"/>
        <v>2.6183964593898055</v>
      </c>
      <c r="AW189" s="6">
        <f t="shared" si="135"/>
        <v>0.64536924183957867</v>
      </c>
      <c r="AX189" s="6">
        <f t="shared" si="136"/>
        <v>-2.6183964593898055</v>
      </c>
      <c r="AY189" s="6">
        <f t="shared" si="137"/>
        <v>2.6183964593898055</v>
      </c>
      <c r="BF189" s="39"/>
      <c r="BG189" s="6">
        <f t="shared" si="138"/>
        <v>3.0368728984701239</v>
      </c>
      <c r="BH189" s="9">
        <f t="shared" ca="1" si="139"/>
        <v>-219.23824645284236</v>
      </c>
      <c r="BI189" s="9">
        <f t="shared" ca="1" si="140"/>
        <v>27.545243498188569</v>
      </c>
      <c r="BJ189">
        <f t="shared" ca="1" si="141"/>
        <v>220.96187260948832</v>
      </c>
      <c r="BK189" s="6">
        <f t="shared" ca="1" si="142"/>
        <v>-0.99219944085243983</v>
      </c>
      <c r="BL189" s="6">
        <f t="shared" ca="1" si="143"/>
        <v>0.12466061756667855</v>
      </c>
      <c r="BM189" s="6">
        <f t="shared" ca="1" si="144"/>
        <v>3.0166068803980175</v>
      </c>
      <c r="BN189" s="6">
        <f t="shared" ca="1" si="145"/>
        <v>3.7417394316658648</v>
      </c>
      <c r="BO189" s="9">
        <f t="shared" ca="1" si="146"/>
        <v>-286.15400305069039</v>
      </c>
      <c r="BP189" s="9">
        <f t="shared" ca="1" si="147"/>
        <v>175.46428439869499</v>
      </c>
      <c r="BQ189">
        <f t="shared" ca="1" si="148"/>
        <v>335.66624578810519</v>
      </c>
      <c r="BR189">
        <f t="shared" ca="1" si="149"/>
        <v>-0.85249561622984815</v>
      </c>
      <c r="BS189">
        <f t="shared" ca="1" si="150"/>
        <v>0.52273437261088118</v>
      </c>
      <c r="BT189">
        <f t="shared" ca="1" si="151"/>
        <v>2.5915373537383117</v>
      </c>
      <c r="BU189" s="39">
        <f t="shared" ca="1" si="152"/>
        <v>2.5915373537383117</v>
      </c>
    </row>
    <row r="190" spans="45:73" x14ac:dyDescent="0.25">
      <c r="AS190">
        <v>3.2812189937493272</v>
      </c>
      <c r="AT190">
        <v>-285.95422729481567</v>
      </c>
      <c r="AU190">
        <v>164.18917568716083</v>
      </c>
      <c r="AV190" s="6">
        <f t="shared" si="134"/>
        <v>2.6203749031843997</v>
      </c>
      <c r="AW190" s="6">
        <f t="shared" si="135"/>
        <v>0.66084409056492754</v>
      </c>
      <c r="AX190" s="6">
        <f t="shared" si="136"/>
        <v>-2.6203749031843997</v>
      </c>
      <c r="AY190" s="6">
        <f t="shared" si="137"/>
        <v>2.6203749031843997</v>
      </c>
      <c r="BF190" s="39"/>
      <c r="BG190" s="6">
        <f t="shared" si="138"/>
        <v>3.054326190990067</v>
      </c>
      <c r="BH190" s="9">
        <f t="shared" ca="1" si="139"/>
        <v>-219.31610740368416</v>
      </c>
      <c r="BI190" s="9">
        <f t="shared" ca="1" si="140"/>
        <v>26.736688755333944</v>
      </c>
      <c r="BJ190">
        <f t="shared" ca="1" si="141"/>
        <v>220.93982323769504</v>
      </c>
      <c r="BK190" s="6">
        <f t="shared" ca="1" si="142"/>
        <v>-0.99265086841196559</v>
      </c>
      <c r="BL190" s="6">
        <f t="shared" ca="1" si="143"/>
        <v>0.12101344322417444</v>
      </c>
      <c r="BM190" s="6">
        <f t="shared" ca="1" si="144"/>
        <v>3.0202818882519415</v>
      </c>
      <c r="BN190" s="6">
        <f t="shared" ca="1" si="145"/>
        <v>3.7454144395197888</v>
      </c>
      <c r="BO190" s="9">
        <f t="shared" ca="1" si="146"/>
        <v>-286.23186400153219</v>
      </c>
      <c r="BP190" s="9">
        <f t="shared" ca="1" si="147"/>
        <v>174.65572965584036</v>
      </c>
      <c r="BQ190">
        <f t="shared" ca="1" si="148"/>
        <v>335.31075716625259</v>
      </c>
      <c r="BR190">
        <f t="shared" ca="1" si="149"/>
        <v>-0.85363161748972383</v>
      </c>
      <c r="BS190">
        <f t="shared" ca="1" si="150"/>
        <v>0.52087720397602155</v>
      </c>
      <c r="BT190">
        <f t="shared" ca="1" si="151"/>
        <v>2.5937144104837162</v>
      </c>
      <c r="BU190" s="39">
        <f t="shared" ca="1" si="152"/>
        <v>2.5937144104837162</v>
      </c>
    </row>
    <row r="191" spans="45:73" x14ac:dyDescent="0.25">
      <c r="AS191">
        <v>3.2986722862692703</v>
      </c>
      <c r="AT191">
        <v>-285.83181418189383</v>
      </c>
      <c r="AU191">
        <v>163.37015418910437</v>
      </c>
      <c r="AV191" s="6">
        <f t="shared" si="134"/>
        <v>2.622347145052613</v>
      </c>
      <c r="AW191" s="6">
        <f t="shared" si="135"/>
        <v>0.67632514121665732</v>
      </c>
      <c r="AX191" s="6">
        <f t="shared" si="136"/>
        <v>-2.622347145052613</v>
      </c>
      <c r="AY191" s="6">
        <f t="shared" si="137"/>
        <v>2.622347145052613</v>
      </c>
      <c r="BF191" s="39"/>
      <c r="BG191" s="6">
        <f t="shared" si="138"/>
        <v>3.0717794835100101</v>
      </c>
      <c r="BH191" s="9">
        <f t="shared" ca="1" si="139"/>
        <v>-219.37955284429034</v>
      </c>
      <c r="BI191" s="9">
        <f t="shared" ca="1" si="140"/>
        <v>25.93059976770121</v>
      </c>
      <c r="BJ191">
        <f t="shared" ca="1" si="141"/>
        <v>220.90673192656101</v>
      </c>
      <c r="BK191" s="6">
        <f t="shared" ca="1" si="142"/>
        <v>-0.99308676983742461</v>
      </c>
      <c r="BL191" s="6">
        <f t="shared" ca="1" si="143"/>
        <v>0.1173825692931878</v>
      </c>
      <c r="BM191" s="6">
        <f t="shared" ca="1" si="144"/>
        <v>3.0239388364959181</v>
      </c>
      <c r="BN191" s="6">
        <f t="shared" ca="1" si="145"/>
        <v>3.7490713877637649</v>
      </c>
      <c r="BO191" s="9">
        <f t="shared" ca="1" si="146"/>
        <v>-286.29530944213838</v>
      </c>
      <c r="BP191" s="9">
        <f t="shared" ca="1" si="147"/>
        <v>173.84964066820763</v>
      </c>
      <c r="BQ191">
        <f t="shared" ca="1" si="148"/>
        <v>334.94581915443382</v>
      </c>
      <c r="BR191">
        <f t="shared" ca="1" si="149"/>
        <v>-0.85475110620842198</v>
      </c>
      <c r="BS191">
        <f t="shared" ca="1" si="150"/>
        <v>0.51903809728716332</v>
      </c>
      <c r="BT191">
        <f t="shared" ca="1" si="151"/>
        <v>2.5958674479183661</v>
      </c>
      <c r="BU191" s="39">
        <f t="shared" ca="1" si="152"/>
        <v>2.5958674479183661</v>
      </c>
    </row>
    <row r="192" spans="45:73" x14ac:dyDescent="0.25">
      <c r="AS192">
        <v>3.3161255787892134</v>
      </c>
      <c r="AT192">
        <v>-285.69398627698888</v>
      </c>
      <c r="AU192">
        <v>162.54659158548208</v>
      </c>
      <c r="AV192" s="6">
        <f t="shared" si="134"/>
        <v>2.6243143565374565</v>
      </c>
      <c r="AW192" s="6">
        <f t="shared" si="135"/>
        <v>0.69181122225175695</v>
      </c>
      <c r="AX192" s="6">
        <f t="shared" si="136"/>
        <v>-2.6243143565374565</v>
      </c>
      <c r="AY192" s="6">
        <f t="shared" si="137"/>
        <v>2.6243143565374565</v>
      </c>
      <c r="BF192" s="39"/>
      <c r="BG192" s="6">
        <f t="shared" si="138"/>
        <v>3.0892327760299532</v>
      </c>
      <c r="BH192" s="9">
        <f t="shared" ca="1" si="139"/>
        <v>-219.42873890947874</v>
      </c>
      <c r="BI192" s="9">
        <f t="shared" ca="1" si="140"/>
        <v>25.126476168585668</v>
      </c>
      <c r="BJ192">
        <f t="shared" ca="1" si="141"/>
        <v>220.86265248804446</v>
      </c>
      <c r="BK192" s="6">
        <f t="shared" ca="1" si="142"/>
        <v>-0.99350766839747462</v>
      </c>
      <c r="BL192" s="6">
        <f t="shared" ca="1" si="143"/>
        <v>0.11376516529858208</v>
      </c>
      <c r="BM192" s="6">
        <f t="shared" ca="1" si="144"/>
        <v>3.0275806467485924</v>
      </c>
      <c r="BN192" s="6">
        <f t="shared" ca="1" si="145"/>
        <v>3.7527131980164397</v>
      </c>
      <c r="BO192" s="9">
        <f t="shared" ca="1" si="146"/>
        <v>-286.34449550732677</v>
      </c>
      <c r="BP192" s="9">
        <f t="shared" ca="1" si="147"/>
        <v>173.04551706909209</v>
      </c>
      <c r="BQ192">
        <f t="shared" ca="1" si="148"/>
        <v>334.57124963907899</v>
      </c>
      <c r="BR192">
        <f t="shared" ca="1" si="149"/>
        <v>-0.85585505573543108</v>
      </c>
      <c r="BS192">
        <f t="shared" ca="1" si="150"/>
        <v>0.5172157418061657</v>
      </c>
      <c r="BT192">
        <f t="shared" ca="1" si="151"/>
        <v>2.5979981017557368</v>
      </c>
      <c r="BU192" s="39">
        <f t="shared" ca="1" si="152"/>
        <v>2.5979981017557368</v>
      </c>
    </row>
    <row r="193" spans="45:73" x14ac:dyDescent="0.25">
      <c r="AS193">
        <v>3.3335788713091565</v>
      </c>
      <c r="AT193">
        <v>-285.54039339183669</v>
      </c>
      <c r="AU193">
        <v>161.71794381057936</v>
      </c>
      <c r="AV193" s="6">
        <f t="shared" si="134"/>
        <v>2.6262776961292724</v>
      </c>
      <c r="AW193" s="6">
        <f t="shared" si="135"/>
        <v>0.70730117517988411</v>
      </c>
      <c r="AX193" s="6">
        <f t="shared" si="136"/>
        <v>-2.6262776961292724</v>
      </c>
      <c r="AY193" s="6">
        <f t="shared" si="137"/>
        <v>2.6262776961292724</v>
      </c>
      <c r="BF193" s="39"/>
      <c r="BG193" s="6">
        <f t="shared" si="138"/>
        <v>3.1066860685498963</v>
      </c>
      <c r="BH193" s="9">
        <f t="shared" ca="1" si="139"/>
        <v>-219.46378620298174</v>
      </c>
      <c r="BI193" s="9">
        <f t="shared" ca="1" si="140"/>
        <v>24.323822419165282</v>
      </c>
      <c r="BJ193">
        <f t="shared" ca="1" si="141"/>
        <v>220.80761262154701</v>
      </c>
      <c r="BK193" s="6">
        <f t="shared" ca="1" si="142"/>
        <v>-0.99391403945447965</v>
      </c>
      <c r="BL193" s="6">
        <f t="shared" ca="1" si="143"/>
        <v>0.11015844123479146</v>
      </c>
      <c r="BM193" s="6">
        <f t="shared" ca="1" si="144"/>
        <v>3.0312101936032692</v>
      </c>
      <c r="BN193" s="6">
        <f t="shared" ca="1" si="145"/>
        <v>3.756342744871116</v>
      </c>
      <c r="BO193" s="9">
        <f t="shared" ca="1" si="146"/>
        <v>-286.37954280082977</v>
      </c>
      <c r="BP193" s="9">
        <f t="shared" ca="1" si="147"/>
        <v>172.2428633196717</v>
      </c>
      <c r="BQ193">
        <f t="shared" ca="1" si="148"/>
        <v>334.18684369581547</v>
      </c>
      <c r="BR193">
        <f t="shared" ca="1" si="149"/>
        <v>-0.85694439563724711</v>
      </c>
      <c r="BS193">
        <f t="shared" ca="1" si="150"/>
        <v>0.51540886952584852</v>
      </c>
      <c r="BT193">
        <f t="shared" ca="1" si="151"/>
        <v>2.6001079478426234</v>
      </c>
      <c r="BU193" s="39">
        <f t="shared" ca="1" si="152"/>
        <v>2.6001079478426234</v>
      </c>
    </row>
    <row r="194" spans="45:73" x14ac:dyDescent="0.25">
      <c r="AS194">
        <v>3.3510321638290996</v>
      </c>
      <c r="AT194">
        <v>-285.37064171287147</v>
      </c>
      <c r="AU194">
        <v>160.88365381934659</v>
      </c>
      <c r="AV194" s="6">
        <f t="shared" si="134"/>
        <v>2.6282383118960135</v>
      </c>
      <c r="AW194" s="6">
        <f t="shared" si="135"/>
        <v>0.7227938519330861</v>
      </c>
      <c r="AX194" s="6">
        <f t="shared" si="136"/>
        <v>-2.6282383118960135</v>
      </c>
      <c r="AY194" s="6">
        <f t="shared" si="137"/>
        <v>2.6282383118960135</v>
      </c>
      <c r="BF194" s="39"/>
      <c r="BG194" s="6">
        <f t="shared" si="138"/>
        <v>3.1241393610698394</v>
      </c>
      <c r="BH194" s="9">
        <f t="shared" ca="1" si="139"/>
        <v>-219.4847804240153</v>
      </c>
      <c r="BI194" s="9">
        <f t="shared" ca="1" si="140"/>
        <v>23.522146579699239</v>
      </c>
      <c r="BJ194">
        <f t="shared" ca="1" si="141"/>
        <v>220.74161414988129</v>
      </c>
      <c r="BK194" s="6">
        <f t="shared" ca="1" si="142"/>
        <v>-0.99430631269637904</v>
      </c>
      <c r="BL194" s="6">
        <f t="shared" ca="1" si="143"/>
        <v>0.10655963838213099</v>
      </c>
      <c r="BM194" s="6">
        <f t="shared" ca="1" si="144"/>
        <v>3.0348303143997306</v>
      </c>
      <c r="BN194" s="6">
        <f t="shared" ca="1" si="145"/>
        <v>3.7599628656675774</v>
      </c>
      <c r="BO194" s="9">
        <f t="shared" ca="1" si="146"/>
        <v>-286.40053702186333</v>
      </c>
      <c r="BP194" s="9">
        <f t="shared" ca="1" si="147"/>
        <v>171.44118748020566</v>
      </c>
      <c r="BQ194">
        <f t="shared" ca="1" si="148"/>
        <v>333.79237314689311</v>
      </c>
      <c r="BR194">
        <f t="shared" ca="1" si="149"/>
        <v>-0.85802001502241065</v>
      </c>
      <c r="BS194">
        <f t="shared" ca="1" si="150"/>
        <v>0.51361625151560597</v>
      </c>
      <c r="BT194">
        <f t="shared" ca="1" si="151"/>
        <v>2.6021985070941427</v>
      </c>
      <c r="BU194" s="39">
        <f t="shared" ca="1" si="152"/>
        <v>2.6021985070941427</v>
      </c>
    </row>
    <row r="195" spans="45:73" x14ac:dyDescent="0.25">
      <c r="AS195">
        <v>3.3684854563490427</v>
      </c>
      <c r="AT195">
        <v>-285.18429161914281</v>
      </c>
      <c r="AU195">
        <v>160.04315002733733</v>
      </c>
      <c r="AV195" s="6">
        <f t="shared" ref="AV195:AV258" si="153">IF(AS195&lt;&gt;"",IF(AND(AT195=0,AU195=0),0,MOD(ATAN2(AT195,AU195),2*PI())),NA())</f>
        <v>2.6301973440576352</v>
      </c>
      <c r="AW195" s="6">
        <f t="shared" ref="AW195:AW258" si="154">ABS(AS195-AV195)</f>
        <v>0.73828811229140756</v>
      </c>
      <c r="AX195" s="6">
        <f t="shared" ref="AX195:AX258" si="155">ATAN2(COS($U$13-AV195),SIN($U$13-AV195))</f>
        <v>-2.6301973440576352</v>
      </c>
      <c r="AY195" s="6">
        <f t="shared" ref="AY195:AY258" si="156">ABS(AX195)</f>
        <v>2.6301973440576352</v>
      </c>
      <c r="BF195" s="39"/>
      <c r="BG195" s="6">
        <f t="shared" si="138"/>
        <v>3.1415926535897825</v>
      </c>
      <c r="BH195" s="9">
        <f t="shared" ca="1" si="139"/>
        <v>-219.49177281385522</v>
      </c>
      <c r="BI195" s="9">
        <f t="shared" ca="1" si="140"/>
        <v>22.72095909949411</v>
      </c>
      <c r="BJ195">
        <f t="shared" ca="1" si="141"/>
        <v>220.66463313220339</v>
      </c>
      <c r="BK195" s="6">
        <f t="shared" ca="1" si="142"/>
        <v>-0.99468487404755301</v>
      </c>
      <c r="BL195" s="6">
        <f t="shared" ca="1" si="143"/>
        <v>0.10296602032225823</v>
      </c>
      <c r="BM195" s="6">
        <f t="shared" ca="1" si="144"/>
        <v>3.0384438187465999</v>
      </c>
      <c r="BN195" s="6">
        <f t="shared" ca="1" si="145"/>
        <v>3.7635763700144471</v>
      </c>
      <c r="BO195" s="9">
        <f t="shared" ca="1" si="146"/>
        <v>-286.40752941170325</v>
      </c>
      <c r="BP195" s="9">
        <f t="shared" ca="1" si="147"/>
        <v>170.64000000000053</v>
      </c>
      <c r="BQ195">
        <f t="shared" ca="1" si="148"/>
        <v>333.3875860072115</v>
      </c>
      <c r="BR195">
        <f t="shared" ca="1" si="149"/>
        <v>-0.85908276562375652</v>
      </c>
      <c r="BS195">
        <f t="shared" ca="1" si="150"/>
        <v>0.51183669447220936</v>
      </c>
      <c r="BT195">
        <f t="shared" ca="1" si="151"/>
        <v>2.6042712501195848</v>
      </c>
      <c r="BU195" s="39">
        <f t="shared" ca="1" si="152"/>
        <v>2.6042712501195848</v>
      </c>
    </row>
    <row r="196" spans="45:73" x14ac:dyDescent="0.25">
      <c r="AS196">
        <v>3.3859387488689858</v>
      </c>
      <c r="AT196">
        <v>-284.98085521470165</v>
      </c>
      <c r="AU196">
        <v>159.19584466949874</v>
      </c>
      <c r="AV196" s="6">
        <f t="shared" si="153"/>
        <v>2.6321559275092858</v>
      </c>
      <c r="AW196" s="6">
        <f t="shared" si="154"/>
        <v>0.75378282135969998</v>
      </c>
      <c r="AX196" s="6">
        <f t="shared" si="155"/>
        <v>-2.6321559275092858</v>
      </c>
      <c r="AY196" s="6">
        <f t="shared" si="156"/>
        <v>2.6321559275092858</v>
      </c>
      <c r="BF196" s="39"/>
      <c r="BG196" s="6">
        <f t="shared" si="138"/>
        <v>3.1590459461097256</v>
      </c>
      <c r="BH196" s="9">
        <f t="shared" ca="1" si="139"/>
        <v>-219.48478042401564</v>
      </c>
      <c r="BI196" s="9">
        <f t="shared" ca="1" si="140"/>
        <v>21.919771619288923</v>
      </c>
      <c r="BJ196">
        <f t="shared" ca="1" si="141"/>
        <v>220.57661985264926</v>
      </c>
      <c r="BK196" s="6">
        <f t="shared" ca="1" si="142"/>
        <v>-0.99505006727656364</v>
      </c>
      <c r="BL196" s="6">
        <f t="shared" ca="1" si="143"/>
        <v>9.9374864090001389E-2</v>
      </c>
      <c r="BM196" s="6">
        <f t="shared" ca="1" si="144"/>
        <v>3.0420534978634919</v>
      </c>
      <c r="BN196" s="6">
        <f t="shared" ca="1" si="145"/>
        <v>3.7671860491313387</v>
      </c>
      <c r="BO196" s="9">
        <f t="shared" ca="1" si="146"/>
        <v>-286.40053702186367</v>
      </c>
      <c r="BP196" s="9">
        <f t="shared" ca="1" si="147"/>
        <v>169.83881251979534</v>
      </c>
      <c r="BQ196">
        <f t="shared" ca="1" si="148"/>
        <v>332.97220581385778</v>
      </c>
      <c r="BR196">
        <f t="shared" ca="1" si="149"/>
        <v>-0.86013346465912177</v>
      </c>
      <c r="BS196">
        <f t="shared" ca="1" si="150"/>
        <v>0.51006903745816168</v>
      </c>
      <c r="BT196">
        <f t="shared" ca="1" si="151"/>
        <v>2.6063276015662749</v>
      </c>
      <c r="BU196" s="39">
        <f t="shared" ca="1" si="152"/>
        <v>2.6063276015662749</v>
      </c>
    </row>
    <row r="197" spans="45:73" x14ac:dyDescent="0.25">
      <c r="AS197">
        <v>3.4033920413889289</v>
      </c>
      <c r="AT197">
        <v>-284.759793546906</v>
      </c>
      <c r="AU197">
        <v>158.34113206741216</v>
      </c>
      <c r="AV197" s="6">
        <f t="shared" si="153"/>
        <v>2.6341151942973973</v>
      </c>
      <c r="AW197" s="6">
        <f t="shared" si="154"/>
        <v>0.76927684709153166</v>
      </c>
      <c r="AX197" s="6">
        <f t="shared" si="155"/>
        <v>-2.6341151942973973</v>
      </c>
      <c r="AY197" s="6">
        <f t="shared" si="156"/>
        <v>2.6341151942973973</v>
      </c>
      <c r="BF197" s="39"/>
      <c r="BG197" s="6">
        <f t="shared" si="138"/>
        <v>3.1764992386296687</v>
      </c>
      <c r="BH197" s="9">
        <f t="shared" ca="1" si="139"/>
        <v>-219.46378620298213</v>
      </c>
      <c r="BI197" s="9">
        <f t="shared" ca="1" si="140"/>
        <v>21.118095779822852</v>
      </c>
      <c r="BJ197">
        <f t="shared" ca="1" si="141"/>
        <v>220.47749867937549</v>
      </c>
      <c r="BK197" s="6">
        <f t="shared" ca="1" si="142"/>
        <v>-0.99540219531487195</v>
      </c>
      <c r="BL197" s="6">
        <f t="shared" ca="1" si="143"/>
        <v>9.57834514012397E-2</v>
      </c>
      <c r="BM197" s="6">
        <f t="shared" ca="1" si="144"/>
        <v>3.0456621338091012</v>
      </c>
      <c r="BN197" s="6">
        <f t="shared" ca="1" si="145"/>
        <v>3.7707946850769485</v>
      </c>
      <c r="BO197" s="9">
        <f t="shared" ca="1" si="146"/>
        <v>-286.37954280083017</v>
      </c>
      <c r="BP197" s="9">
        <f t="shared" ca="1" si="147"/>
        <v>169.03713668032927</v>
      </c>
      <c r="BQ197">
        <f t="shared" ca="1" si="148"/>
        <v>332.54593083045961</v>
      </c>
      <c r="BR197">
        <f t="shared" ca="1" si="149"/>
        <v>-0.86117289748715575</v>
      </c>
      <c r="BS197">
        <f t="shared" ca="1" si="150"/>
        <v>0.50831214881564346</v>
      </c>
      <c r="BT197">
        <f t="shared" ca="1" si="151"/>
        <v>2.6083689442012217</v>
      </c>
      <c r="BU197" s="39">
        <f t="shared" ca="1" si="152"/>
        <v>2.6083689442012217</v>
      </c>
    </row>
    <row r="198" spans="45:73" x14ac:dyDescent="0.25">
      <c r="AS198">
        <v>3.420845333908872</v>
      </c>
      <c r="AT198">
        <v>-284.52051348330048</v>
      </c>
      <c r="AU198">
        <v>157.47838679367146</v>
      </c>
      <c r="AV198" s="6">
        <f t="shared" si="153"/>
        <v>2.6360762760593071</v>
      </c>
      <c r="AW198" s="6">
        <f t="shared" si="154"/>
        <v>0.78476905784956497</v>
      </c>
      <c r="AX198" s="6">
        <f t="shared" si="155"/>
        <v>-2.6360762760593071</v>
      </c>
      <c r="AY198" s="6">
        <f t="shared" si="156"/>
        <v>2.6360762760593071</v>
      </c>
      <c r="BF198" s="39"/>
      <c r="BG198" s="6">
        <f t="shared" si="138"/>
        <v>3.1939525311496118</v>
      </c>
      <c r="BH198" s="9">
        <f t="shared" ca="1" si="139"/>
        <v>-219.42873890947897</v>
      </c>
      <c r="BI198" s="9">
        <f t="shared" ca="1" si="140"/>
        <v>20.315442030402579</v>
      </c>
      <c r="BJ198">
        <f t="shared" ca="1" si="141"/>
        <v>220.36716780023048</v>
      </c>
      <c r="BK198" s="6">
        <f t="shared" ca="1" si="142"/>
        <v>-0.99574152129775417</v>
      </c>
      <c r="BL198" s="6">
        <f t="shared" ca="1" si="143"/>
        <v>9.2189059891259043E-2</v>
      </c>
      <c r="BM198" s="6">
        <f t="shared" ca="1" si="144"/>
        <v>3.0492725086661658</v>
      </c>
      <c r="BN198" s="6">
        <f t="shared" ca="1" si="145"/>
        <v>3.7744050599340131</v>
      </c>
      <c r="BO198" s="9">
        <f t="shared" ca="1" si="146"/>
        <v>-286.344495507327</v>
      </c>
      <c r="BP198" s="9">
        <f t="shared" ca="1" si="147"/>
        <v>168.234482930909</v>
      </c>
      <c r="BQ198">
        <f t="shared" ca="1" si="148"/>
        <v>332.10843312745902</v>
      </c>
      <c r="BR198">
        <f t="shared" ca="1" si="149"/>
        <v>-0.8622018200827547</v>
      </c>
      <c r="BS198">
        <f t="shared" ca="1" si="150"/>
        <v>0.50656492322898261</v>
      </c>
      <c r="BT198">
        <f t="shared" ca="1" si="151"/>
        <v>2.6103966227672437</v>
      </c>
      <c r="BU198" s="39">
        <f t="shared" ca="1" si="152"/>
        <v>2.6103966227672437</v>
      </c>
    </row>
    <row r="199" spans="45:73" x14ac:dyDescent="0.25">
      <c r="AS199">
        <v>3.4382986264288151</v>
      </c>
      <c r="AT199">
        <v>-284.26236423405237</v>
      </c>
      <c r="AU199">
        <v>156.60696172104821</v>
      </c>
      <c r="AV199" s="6">
        <f t="shared" si="153"/>
        <v>2.6380403064636484</v>
      </c>
      <c r="AW199" s="6">
        <f t="shared" si="154"/>
        <v>0.80025831996516672</v>
      </c>
      <c r="AX199" s="6">
        <f t="shared" si="155"/>
        <v>-2.6380403064636484</v>
      </c>
      <c r="AY199" s="6">
        <f t="shared" si="156"/>
        <v>2.6380403064636484</v>
      </c>
      <c r="BF199" s="39"/>
      <c r="BG199" s="6">
        <f t="shared" si="138"/>
        <v>3.2114058236695548</v>
      </c>
      <c r="BH199" s="9">
        <f t="shared" ca="1" si="139"/>
        <v>-219.37955284429074</v>
      </c>
      <c r="BI199" s="9">
        <f t="shared" ca="1" si="140"/>
        <v>19.511318431287037</v>
      </c>
      <c r="BJ199">
        <f t="shared" ca="1" si="141"/>
        <v>220.24549882594204</v>
      </c>
      <c r="BK199" s="6">
        <f t="shared" ca="1" si="142"/>
        <v>-0.99606826933459536</v>
      </c>
      <c r="BL199" s="6">
        <f t="shared" ca="1" si="143"/>
        <v>8.8588954304608294E-2</v>
      </c>
      <c r="BM199" s="6">
        <f t="shared" ca="1" si="144"/>
        <v>3.0528874137471678</v>
      </c>
      <c r="BN199" s="6">
        <f t="shared" ca="1" si="145"/>
        <v>3.778019965015015</v>
      </c>
      <c r="BO199" s="9">
        <f t="shared" ca="1" si="146"/>
        <v>-286.29530944213877</v>
      </c>
      <c r="BP199" s="9">
        <f t="shared" ca="1" si="147"/>
        <v>167.43035933179345</v>
      </c>
      <c r="BQ199">
        <f t="shared" ca="1" si="148"/>
        <v>331.65935752597647</v>
      </c>
      <c r="BR199">
        <f t="shared" ca="1" si="149"/>
        <v>-0.86322096134349335</v>
      </c>
      <c r="BS199">
        <f t="shared" ca="1" si="150"/>
        <v>0.5048262789289153</v>
      </c>
      <c r="BT199">
        <f t="shared" ca="1" si="151"/>
        <v>2.612411947625962</v>
      </c>
      <c r="BU199" s="39">
        <f t="shared" ca="1" si="152"/>
        <v>2.612411947625962</v>
      </c>
    </row>
    <row r="200" spans="45:73" x14ac:dyDescent="0.25">
      <c r="AS200">
        <v>3.4557519189487582</v>
      </c>
      <c r="AT200">
        <v>-283.98463344503557</v>
      </c>
      <c r="AU200">
        <v>155.72618594291032</v>
      </c>
      <c r="AV200" s="6">
        <f t="shared" si="153"/>
        <v>2.6400084236026053</v>
      </c>
      <c r="AW200" s="6">
        <f t="shared" si="154"/>
        <v>0.81574349534615287</v>
      </c>
      <c r="AX200" s="6">
        <f t="shared" si="155"/>
        <v>-2.6400084236026053</v>
      </c>
      <c r="AY200" s="6">
        <f t="shared" si="156"/>
        <v>2.6400084236026053</v>
      </c>
      <c r="BF200" s="39"/>
      <c r="BG200" s="6">
        <f t="shared" si="138"/>
        <v>3.2288591161894979</v>
      </c>
      <c r="BH200" s="9">
        <f t="shared" ca="1" si="139"/>
        <v>-219.31610740368455</v>
      </c>
      <c r="BI200" s="9">
        <f t="shared" ca="1" si="140"/>
        <v>18.705229443654247</v>
      </c>
      <c r="BJ200">
        <f t="shared" ca="1" si="141"/>
        <v>220.11233626320049</v>
      </c>
      <c r="BK200" s="6">
        <f t="shared" ca="1" si="142"/>
        <v>-0.99638262501305774</v>
      </c>
      <c r="BL200" s="6">
        <f t="shared" ca="1" si="143"/>
        <v>8.4980377570875315E-2</v>
      </c>
      <c r="BM200" s="6">
        <f t="shared" ca="1" si="144"/>
        <v>3.056509658890969</v>
      </c>
      <c r="BN200" s="6">
        <f t="shared" ca="1" si="145"/>
        <v>3.7816422101588163</v>
      </c>
      <c r="BO200" s="9">
        <f t="shared" ca="1" si="146"/>
        <v>-286.23186400153259</v>
      </c>
      <c r="BP200" s="9">
        <f t="shared" ca="1" si="147"/>
        <v>166.62427034416066</v>
      </c>
      <c r="BQ200">
        <f t="shared" ca="1" si="148"/>
        <v>331.19832040261883</v>
      </c>
      <c r="BR200">
        <f t="shared" ca="1" si="149"/>
        <v>-0.86423102524667672</v>
      </c>
      <c r="BS200">
        <f t="shared" ca="1" si="150"/>
        <v>0.50309515501650215</v>
      </c>
      <c r="BT200">
        <f t="shared" ca="1" si="151"/>
        <v>2.6144161982174166</v>
      </c>
      <c r="BU200" s="39">
        <f t="shared" ca="1" si="152"/>
        <v>2.6144161982174166</v>
      </c>
    </row>
    <row r="201" spans="45:73" x14ac:dyDescent="0.25">
      <c r="AS201">
        <v>3.4732052114687013</v>
      </c>
      <c r="AT201">
        <v>-283.68654286535059</v>
      </c>
      <c r="AU201">
        <v>154.83536255000513</v>
      </c>
      <c r="AV201" s="6">
        <f t="shared" si="153"/>
        <v>2.6419817724114338</v>
      </c>
      <c r="AW201" s="6">
        <f t="shared" si="154"/>
        <v>0.83122343905726748</v>
      </c>
      <c r="AX201" s="6">
        <f t="shared" si="155"/>
        <v>-2.6419817724114338</v>
      </c>
      <c r="AY201" s="6">
        <f t="shared" si="156"/>
        <v>2.6419817724114338</v>
      </c>
      <c r="BF201" s="39"/>
      <c r="BG201" s="6">
        <f t="shared" si="138"/>
        <v>3.246312408709441</v>
      </c>
      <c r="BH201" s="9">
        <f t="shared" ca="1" si="139"/>
        <v>-219.23824645284276</v>
      </c>
      <c r="BI201" s="9">
        <f t="shared" ca="1" si="140"/>
        <v>17.896674700799593</v>
      </c>
      <c r="BJ201">
        <f t="shared" ca="1" si="141"/>
        <v>219.96749685593019</v>
      </c>
      <c r="BK201" s="6">
        <f t="shared" ca="1" si="142"/>
        <v>-0.99668473563816995</v>
      </c>
      <c r="BL201" s="6">
        <f t="shared" ca="1" si="143"/>
        <v>8.1360541700945893E-2</v>
      </c>
      <c r="BM201" s="6">
        <f t="shared" ca="1" si="144"/>
        <v>3.0601420819201497</v>
      </c>
      <c r="BN201" s="6">
        <f t="shared" ca="1" si="145"/>
        <v>3.7852746331879965</v>
      </c>
      <c r="BO201" s="9">
        <f t="shared" ca="1" si="146"/>
        <v>-286.15400305069079</v>
      </c>
      <c r="BP201" s="9">
        <f t="shared" ca="1" si="147"/>
        <v>165.81571560130601</v>
      </c>
      <c r="BQ201">
        <f t="shared" ca="1" si="148"/>
        <v>330.72490834877851</v>
      </c>
      <c r="BR201">
        <f t="shared" ca="1" si="149"/>
        <v>-0.86523269287270077</v>
      </c>
      <c r="BS201">
        <f t="shared" ca="1" si="150"/>
        <v>0.50137050888963808</v>
      </c>
      <c r="BT201">
        <f t="shared" ca="1" si="151"/>
        <v>2.6164106263596341</v>
      </c>
      <c r="BU201" s="39">
        <f t="shared" ca="1" si="152"/>
        <v>2.6164106263596341</v>
      </c>
    </row>
    <row r="202" spans="45:73" x14ac:dyDescent="0.25">
      <c r="AS202">
        <v>3.4906585039886444</v>
      </c>
      <c r="AT202">
        <v>-283.3672435055164</v>
      </c>
      <c r="AU202">
        <v>153.93376624718206</v>
      </c>
      <c r="AV202" s="6">
        <f t="shared" si="153"/>
        <v>2.6439615070681994</v>
      </c>
      <c r="AW202" s="6">
        <f t="shared" si="154"/>
        <v>0.84669699692044498</v>
      </c>
      <c r="AX202" s="6">
        <f t="shared" si="155"/>
        <v>-2.6439615070681994</v>
      </c>
      <c r="AY202" s="6">
        <f t="shared" si="156"/>
        <v>2.6439615070681994</v>
      </c>
      <c r="BF202" s="39"/>
      <c r="BG202" s="6">
        <f t="shared" si="138"/>
        <v>3.2637657012293841</v>
      </c>
      <c r="BH202" s="9">
        <f t="shared" ca="1" si="139"/>
        <v>-219.14577750279943</v>
      </c>
      <c r="BI202" s="9">
        <f t="shared" ca="1" si="140"/>
        <v>17.085147754050837</v>
      </c>
      <c r="BJ202">
        <f t="shared" ca="1" si="141"/>
        <v>219.81076877870254</v>
      </c>
      <c r="BK202" s="6">
        <f t="shared" ca="1" si="142"/>
        <v>-0.99697471020369988</v>
      </c>
      <c r="BL202" s="6">
        <f t="shared" ca="1" si="143"/>
        <v>7.7726618440844178E-2</v>
      </c>
      <c r="BM202" s="6">
        <f t="shared" ca="1" si="144"/>
        <v>3.0637875583261245</v>
      </c>
      <c r="BN202" s="6">
        <f t="shared" ca="1" si="145"/>
        <v>3.7889201095939713</v>
      </c>
      <c r="BO202" s="9">
        <f t="shared" ca="1" si="146"/>
        <v>-286.06153410064746</v>
      </c>
      <c r="BP202" s="9">
        <f t="shared" ca="1" si="147"/>
        <v>165.00418865455725</v>
      </c>
      <c r="BQ202">
        <f t="shared" ca="1" si="148"/>
        <v>330.23867666517287</v>
      </c>
      <c r="BR202">
        <f t="shared" ca="1" si="149"/>
        <v>-0.86622662429901764</v>
      </c>
      <c r="BS202">
        <f t="shared" ca="1" si="150"/>
        <v>0.49965131377344413</v>
      </c>
      <c r="BT202">
        <f t="shared" ca="1" si="151"/>
        <v>2.6183964593898055</v>
      </c>
      <c r="BU202" s="39">
        <f t="shared" ca="1" si="152"/>
        <v>2.6183964593898055</v>
      </c>
    </row>
    <row r="203" spans="45:73" x14ac:dyDescent="0.25">
      <c r="AS203">
        <v>3.5081117965085875</v>
      </c>
      <c r="AT203">
        <v>-283.025810250978</v>
      </c>
      <c r="AU203">
        <v>153.02064079187517</v>
      </c>
      <c r="AV203" s="6">
        <f t="shared" si="153"/>
        <v>2.6459487934079498</v>
      </c>
      <c r="AW203" s="6">
        <f t="shared" si="154"/>
        <v>0.86216300310063776</v>
      </c>
      <c r="AX203" s="6">
        <f t="shared" si="155"/>
        <v>-2.6459487934079498</v>
      </c>
      <c r="AY203" s="6">
        <f t="shared" si="156"/>
        <v>2.6459487934079498</v>
      </c>
      <c r="BF203" s="39"/>
      <c r="BG203" s="6">
        <f t="shared" si="138"/>
        <v>3.2812189937493272</v>
      </c>
      <c r="BH203" s="9">
        <f t="shared" ca="1" si="139"/>
        <v>-219.03847069696764</v>
      </c>
      <c r="BI203" s="9">
        <f t="shared" ca="1" si="140"/>
        <v>16.27013478665441</v>
      </c>
      <c r="BJ203">
        <f t="shared" ca="1" si="141"/>
        <v>219.64191068929046</v>
      </c>
      <c r="BK203" s="6">
        <f t="shared" ca="1" si="142"/>
        <v>-0.99725261909064133</v>
      </c>
      <c r="BL203" s="6">
        <f t="shared" ca="1" si="143"/>
        <v>7.4075729607317273E-2</v>
      </c>
      <c r="BM203" s="6">
        <f t="shared" ca="1" si="144"/>
        <v>3.0674490112619783</v>
      </c>
      <c r="BN203" s="6">
        <f t="shared" ca="1" si="145"/>
        <v>3.7925815625298256</v>
      </c>
      <c r="BO203" s="9">
        <f t="shared" ca="1" si="146"/>
        <v>-285.95422729481567</v>
      </c>
      <c r="BP203" s="9">
        <f t="shared" ca="1" si="147"/>
        <v>164.18917568716083</v>
      </c>
      <c r="BQ203">
        <f t="shared" ca="1" si="148"/>
        <v>329.73914769193613</v>
      </c>
      <c r="BR203">
        <f t="shared" ca="1" si="149"/>
        <v>-0.8672134603864895</v>
      </c>
      <c r="BS203">
        <f t="shared" ca="1" si="150"/>
        <v>0.49793655632468942</v>
      </c>
      <c r="BT203">
        <f t="shared" ca="1" si="151"/>
        <v>2.6203749031843997</v>
      </c>
      <c r="BU203" s="39">
        <f t="shared" ca="1" si="152"/>
        <v>2.6203749031843997</v>
      </c>
    </row>
    <row r="204" spans="45:73" x14ac:dyDescent="0.25">
      <c r="AS204">
        <v>3.5255650890285306</v>
      </c>
      <c r="AT204">
        <v>-282.66123587467342</v>
      </c>
      <c r="AU204">
        <v>152.09519623416713</v>
      </c>
      <c r="AV204" s="6">
        <f t="shared" si="153"/>
        <v>2.6479448113647552</v>
      </c>
      <c r="AW204" s="6">
        <f t="shared" si="154"/>
        <v>0.87762027766377537</v>
      </c>
      <c r="AX204" s="6">
        <f t="shared" si="155"/>
        <v>-2.6479448113647552</v>
      </c>
      <c r="AY204" s="6">
        <f t="shared" si="156"/>
        <v>2.6479448113647552</v>
      </c>
      <c r="BF204" s="39"/>
      <c r="BG204" s="6">
        <f t="shared" si="138"/>
        <v>3.2986722862692703</v>
      </c>
      <c r="BH204" s="9">
        <f t="shared" ca="1" si="139"/>
        <v>-218.9160575840458</v>
      </c>
      <c r="BI204" s="9">
        <f t="shared" ca="1" si="140"/>
        <v>15.451113288597952</v>
      </c>
      <c r="BJ204">
        <f t="shared" ca="1" si="141"/>
        <v>219.46065061873472</v>
      </c>
      <c r="BK204" s="6">
        <f t="shared" ca="1" si="142"/>
        <v>-0.99751849348321209</v>
      </c>
      <c r="BL204" s="6">
        <f t="shared" ca="1" si="143"/>
        <v>7.0404937035573226E-2</v>
      </c>
      <c r="BM204" s="6">
        <f t="shared" ca="1" si="144"/>
        <v>3.0711294219166829</v>
      </c>
      <c r="BN204" s="6">
        <f t="shared" ca="1" si="145"/>
        <v>3.7962619731845297</v>
      </c>
      <c r="BO204" s="9">
        <f t="shared" ca="1" si="146"/>
        <v>-285.83181418189383</v>
      </c>
      <c r="BP204" s="9">
        <f t="shared" ca="1" si="147"/>
        <v>163.37015418910437</v>
      </c>
      <c r="BQ204">
        <f t="shared" ca="1" si="148"/>
        <v>329.22580894924448</v>
      </c>
      <c r="BR204">
        <f t="shared" ca="1" si="149"/>
        <v>-0.86819382445791016</v>
      </c>
      <c r="BS204">
        <f t="shared" ca="1" si="150"/>
        <v>0.49622523431718724</v>
      </c>
      <c r="BT204">
        <f t="shared" ca="1" si="151"/>
        <v>2.622347145052613</v>
      </c>
      <c r="BU204" s="39">
        <f t="shared" ca="1" si="152"/>
        <v>2.622347145052613</v>
      </c>
    </row>
    <row r="205" spans="45:73" x14ac:dyDescent="0.25">
      <c r="AS205">
        <v>3.5430183815484737</v>
      </c>
      <c r="AT205">
        <v>-280.48520780421768</v>
      </c>
      <c r="AU205">
        <v>147.76712094931256</v>
      </c>
      <c r="AV205" s="6">
        <f t="shared" si="153"/>
        <v>2.6567146564179311</v>
      </c>
      <c r="AW205" s="6">
        <f t="shared" si="154"/>
        <v>0.88630372513054256</v>
      </c>
      <c r="AX205" s="6">
        <f t="shared" si="155"/>
        <v>-2.6567146564179311</v>
      </c>
      <c r="AY205" s="6">
        <f t="shared" si="156"/>
        <v>2.6567146564179311</v>
      </c>
      <c r="BF205" s="39"/>
      <c r="BG205" s="6">
        <f t="shared" si="138"/>
        <v>3.3161255787892134</v>
      </c>
      <c r="BH205" s="9">
        <f t="shared" ca="1" si="139"/>
        <v>-218.77822967914085</v>
      </c>
      <c r="BI205" s="9">
        <f t="shared" ca="1" si="140"/>
        <v>14.62755068497566</v>
      </c>
      <c r="BJ205">
        <f t="shared" ca="1" si="141"/>
        <v>219.26668470285318</v>
      </c>
      <c r="BK205" s="6">
        <f t="shared" ca="1" si="142"/>
        <v>-0.99777232448981346</v>
      </c>
      <c r="BL205" s="6">
        <f t="shared" ca="1" si="143"/>
        <v>6.6711232054238831E-2</v>
      </c>
      <c r="BM205" s="6">
        <f t="shared" ca="1" si="144"/>
        <v>3.0748318403597983</v>
      </c>
      <c r="BN205" s="6">
        <f t="shared" ca="1" si="145"/>
        <v>3.7999643916276451</v>
      </c>
      <c r="BO205" s="9">
        <f t="shared" ca="1" si="146"/>
        <v>-285.69398627698888</v>
      </c>
      <c r="BP205" s="9">
        <f t="shared" ca="1" si="147"/>
        <v>162.54659158548208</v>
      </c>
      <c r="BQ205">
        <f t="shared" ca="1" si="148"/>
        <v>328.69811108507122</v>
      </c>
      <c r="BR205">
        <f t="shared" ca="1" si="149"/>
        <v>-0.86916832388807874</v>
      </c>
      <c r="BS205">
        <f t="shared" ca="1" si="150"/>
        <v>0.49451635438030545</v>
      </c>
      <c r="BT205">
        <f t="shared" ca="1" si="151"/>
        <v>2.6243143565374565</v>
      </c>
      <c r="BU205" s="39">
        <f t="shared" ca="1" si="152"/>
        <v>2.6243143565374565</v>
      </c>
    </row>
    <row r="206" spans="45:73" x14ac:dyDescent="0.25">
      <c r="AS206">
        <v>3.5604716740684168</v>
      </c>
      <c r="AT206">
        <v>-272.04129055445208</v>
      </c>
      <c r="AU206">
        <v>132.59621395365428</v>
      </c>
      <c r="AV206" s="6">
        <f t="shared" si="153"/>
        <v>2.6880659894811121</v>
      </c>
      <c r="AW206" s="6">
        <f t="shared" si="154"/>
        <v>0.87240568458730472</v>
      </c>
      <c r="AX206" s="6">
        <f t="shared" si="155"/>
        <v>-2.6880659894811121</v>
      </c>
      <c r="AY206" s="6">
        <f t="shared" si="156"/>
        <v>2.6880659894811121</v>
      </c>
      <c r="BF206" s="39"/>
      <c r="BG206" s="6">
        <f t="shared" si="138"/>
        <v>3.3335788713091565</v>
      </c>
      <c r="BH206" s="9">
        <f t="shared" ca="1" si="139"/>
        <v>-218.62463679398866</v>
      </c>
      <c r="BI206" s="9">
        <f t="shared" ca="1" si="140"/>
        <v>13.79890291007294</v>
      </c>
      <c r="BJ206">
        <f t="shared" ca="1" si="141"/>
        <v>219.05967573888415</v>
      </c>
      <c r="BK206" s="6">
        <f t="shared" ca="1" si="142"/>
        <v>-0.99801406195171194</v>
      </c>
      <c r="BL206" s="6">
        <f t="shared" ca="1" si="143"/>
        <v>6.2991524403245375E-2</v>
      </c>
      <c r="BM206" s="6">
        <f t="shared" ca="1" si="144"/>
        <v>3.0785593969452636</v>
      </c>
      <c r="BN206" s="6">
        <f t="shared" ca="1" si="145"/>
        <v>3.8036919482131104</v>
      </c>
      <c r="BO206" s="9">
        <f t="shared" ca="1" si="146"/>
        <v>-285.54039339183669</v>
      </c>
      <c r="BP206" s="9">
        <f t="shared" ca="1" si="147"/>
        <v>161.71794381057936</v>
      </c>
      <c r="BQ206">
        <f t="shared" ca="1" si="148"/>
        <v>328.15546560843165</v>
      </c>
      <c r="BR206">
        <f t="shared" ca="1" si="149"/>
        <v>-0.87013755160962336</v>
      </c>
      <c r="BS206">
        <f t="shared" ca="1" si="150"/>
        <v>0.49280892978801621</v>
      </c>
      <c r="BT206">
        <f t="shared" ca="1" si="151"/>
        <v>2.626277696129272</v>
      </c>
      <c r="BU206" s="39">
        <f t="shared" ca="1" si="152"/>
        <v>2.626277696129272</v>
      </c>
    </row>
    <row r="207" spans="45:73" x14ac:dyDescent="0.25">
      <c r="AS207">
        <v>3.5779249665883599</v>
      </c>
      <c r="AT207">
        <v>-262.26326160404517</v>
      </c>
      <c r="AU207">
        <v>114.57268143743489</v>
      </c>
      <c r="AV207" s="6">
        <f t="shared" si="153"/>
        <v>2.729718388363215</v>
      </c>
      <c r="AW207" s="6">
        <f t="shared" si="154"/>
        <v>0.84820657822514489</v>
      </c>
      <c r="AX207" s="6">
        <f t="shared" si="155"/>
        <v>-2.729718388363215</v>
      </c>
      <c r="AY207" s="6">
        <f t="shared" si="156"/>
        <v>2.729718388363215</v>
      </c>
      <c r="BF207" s="39"/>
      <c r="BG207" s="6">
        <f t="shared" si="138"/>
        <v>3.3510321638290996</v>
      </c>
      <c r="BH207" s="9">
        <f t="shared" ca="1" si="139"/>
        <v>-218.45488511502344</v>
      </c>
      <c r="BI207" s="9">
        <f t="shared" ca="1" si="140"/>
        <v>12.964612918840174</v>
      </c>
      <c r="BJ207">
        <f t="shared" ca="1" si="141"/>
        <v>218.83925154951854</v>
      </c>
      <c r="BK207" s="6">
        <f t="shared" ca="1" si="142"/>
        <v>-0.99824361291782193</v>
      </c>
      <c r="BL207" s="6">
        <f t="shared" ca="1" si="143"/>
        <v>5.9242630501807239E-2</v>
      </c>
      <c r="BM207" s="6">
        <f t="shared" ca="1" si="144"/>
        <v>3.0823153143716762</v>
      </c>
      <c r="BN207" s="6">
        <f t="shared" ca="1" si="145"/>
        <v>3.8074478656395234</v>
      </c>
      <c r="BO207" s="9">
        <f t="shared" ca="1" si="146"/>
        <v>-285.37064171287147</v>
      </c>
      <c r="BP207" s="9">
        <f t="shared" ca="1" si="147"/>
        <v>160.88365381934659</v>
      </c>
      <c r="BQ207">
        <f t="shared" ca="1" si="148"/>
        <v>327.59724238442459</v>
      </c>
      <c r="BR207">
        <f t="shared" ca="1" si="149"/>
        <v>-0.87110208753832674</v>
      </c>
      <c r="BS207">
        <f t="shared" ca="1" si="150"/>
        <v>0.49110197829612656</v>
      </c>
      <c r="BT207">
        <f t="shared" ca="1" si="151"/>
        <v>2.6282383118960135</v>
      </c>
      <c r="BU207" s="39">
        <f t="shared" ca="1" si="152"/>
        <v>2.6282383118960135</v>
      </c>
    </row>
    <row r="208" spans="45:73" x14ac:dyDescent="0.25">
      <c r="AS208">
        <v>3.595378259108303</v>
      </c>
      <c r="AT208">
        <v>-251.2318885022334</v>
      </c>
      <c r="AU208">
        <v>94.294184237602678</v>
      </c>
      <c r="AV208" s="6">
        <f t="shared" si="153"/>
        <v>2.7825350737493482</v>
      </c>
      <c r="AW208" s="6">
        <f t="shared" si="154"/>
        <v>0.81284318535895483</v>
      </c>
      <c r="AX208" s="6">
        <f t="shared" si="155"/>
        <v>-2.7825350737493482</v>
      </c>
      <c r="AY208" s="6">
        <f t="shared" si="156"/>
        <v>2.7825350737493482</v>
      </c>
      <c r="BF208" s="39"/>
      <c r="BG208" s="6">
        <f t="shared" ref="BG208:BG271" si="157">AS195</f>
        <v>3.3684854563490427</v>
      </c>
      <c r="BH208" s="9">
        <f t="shared" ref="BH208:BH271" ca="1" si="158">AT195-$BG$5</f>
        <v>-218.26853502129478</v>
      </c>
      <c r="BI208" s="9">
        <f t="shared" ref="BI208:BI271" ca="1" si="159">AU195-$BH$5</f>
        <v>12.124109126830916</v>
      </c>
      <c r="BJ208">
        <f t="shared" ref="BJ208:BJ271" ca="1" si="160">SQRT(POWER(BH208,2)+POWER(BI208,2))</f>
        <v>218.60500315057175</v>
      </c>
      <c r="BK208" s="6">
        <f t="shared" ref="BK208:BK271" ca="1" si="161">BH208/BJ208</f>
        <v>-0.99846083975925648</v>
      </c>
      <c r="BL208" s="6">
        <f t="shared" ref="BL208:BL271" ca="1" si="162">BI208/BJ208</f>
        <v>5.5461260959704647E-2</v>
      </c>
      <c r="BM208" s="6">
        <f t="shared" ref="BM208:BM271" ca="1" si="163">ATAN2(BK208,BL208)</f>
        <v>3.0861029205107986</v>
      </c>
      <c r="BN208" s="6">
        <f t="shared" ref="BN208:BN271" ca="1" si="164">BM208-$BJ$11</f>
        <v>3.8112354717786454</v>
      </c>
      <c r="BO208" s="9">
        <f t="shared" ref="BO208:BO271" ca="1" si="165">BH208+$BG$5</f>
        <v>-285.18429161914281</v>
      </c>
      <c r="BP208" s="9">
        <f t="shared" ref="BP208:BP271" ca="1" si="166">BI208+$BH$5</f>
        <v>160.04315002733733</v>
      </c>
      <c r="BQ208">
        <f t="shared" ref="BQ208:BQ271" ca="1" si="167">SQRT(POWER(BO208,2)+POWER(BP208,2))</f>
        <v>327.02276687867635</v>
      </c>
      <c r="BR208">
        <f t="shared" ref="BR208:BR271" ca="1" si="168">BO208/BQ208</f>
        <v>-0.8720624999327482</v>
      </c>
      <c r="BS208">
        <f t="shared" ref="BS208:BS271" ca="1" si="169">BP208/BQ208</f>
        <v>0.48939452000512385</v>
      </c>
      <c r="BT208">
        <f t="shared" ref="BT208:BT271" ca="1" si="170">ATAN2(BR208,BS208)</f>
        <v>2.6301973440576352</v>
      </c>
      <c r="BU208" s="39">
        <f t="shared" ref="BU208:BU271" ca="1" si="171">BT208-$U$13</f>
        <v>2.6301973440576352</v>
      </c>
    </row>
    <row r="209" spans="45:73" x14ac:dyDescent="0.25">
      <c r="AS209">
        <v>3.6128315516282461</v>
      </c>
      <c r="AT209">
        <v>-238.99416657381556</v>
      </c>
      <c r="AU209">
        <v>72.163697147577693</v>
      </c>
      <c r="AV209" s="6">
        <f t="shared" si="153"/>
        <v>2.8483500977897167</v>
      </c>
      <c r="AW209" s="6">
        <f t="shared" si="154"/>
        <v>0.76448145383852939</v>
      </c>
      <c r="AX209" s="6">
        <f t="shared" si="155"/>
        <v>-2.8483500977897167</v>
      </c>
      <c r="AY209" s="6">
        <f t="shared" si="156"/>
        <v>2.8483500977897167</v>
      </c>
      <c r="BF209" s="39"/>
      <c r="BG209" s="6">
        <f t="shared" si="157"/>
        <v>3.3859387488689858</v>
      </c>
      <c r="BH209" s="9">
        <f t="shared" ca="1" si="158"/>
        <v>-218.06509861685362</v>
      </c>
      <c r="BI209" s="9">
        <f t="shared" ca="1" si="159"/>
        <v>11.276803768992323</v>
      </c>
      <c r="BJ209">
        <f t="shared" ca="1" si="160"/>
        <v>218.35648270207702</v>
      </c>
      <c r="BK209" s="6">
        <f t="shared" ca="1" si="161"/>
        <v>-0.99866555789130862</v>
      </c>
      <c r="BL209" s="6">
        <f t="shared" ca="1" si="162"/>
        <v>5.1644007219049499E-2</v>
      </c>
      <c r="BM209" s="6">
        <f t="shared" ca="1" si="163"/>
        <v>3.0899256621225182</v>
      </c>
      <c r="BN209" s="6">
        <f t="shared" ca="1" si="164"/>
        <v>3.8150582133903654</v>
      </c>
      <c r="BO209" s="9">
        <f t="shared" ca="1" si="165"/>
        <v>-284.98085521470165</v>
      </c>
      <c r="BP209" s="9">
        <f t="shared" ca="1" si="166"/>
        <v>159.19584466949874</v>
      </c>
      <c r="BQ209">
        <f t="shared" ca="1" si="167"/>
        <v>326.43131712343092</v>
      </c>
      <c r="BR209">
        <f t="shared" ca="1" si="168"/>
        <v>-0.87301934669137171</v>
      </c>
      <c r="BS209">
        <f t="shared" ca="1" si="169"/>
        <v>0.48768557524553707</v>
      </c>
      <c r="BT209">
        <f t="shared" ca="1" si="170"/>
        <v>2.6321559275092858</v>
      </c>
      <c r="BU209" s="39">
        <f t="shared" ca="1" si="171"/>
        <v>2.6321559275092858</v>
      </c>
    </row>
    <row r="210" spans="45:73" x14ac:dyDescent="0.25">
      <c r="AS210">
        <v>3.6302848441481892</v>
      </c>
      <c r="AT210">
        <v>-226.02649660723051</v>
      </c>
      <c r="AU210">
        <v>49.248166641279298</v>
      </c>
      <c r="AV210" s="6">
        <f t="shared" si="153"/>
        <v>2.9270589818994801</v>
      </c>
      <c r="AW210" s="6">
        <f t="shared" si="154"/>
        <v>0.70322586224870909</v>
      </c>
      <c r="AX210" s="6">
        <f t="shared" si="155"/>
        <v>-2.9270589818994801</v>
      </c>
      <c r="AY210" s="6">
        <f t="shared" si="156"/>
        <v>2.9270589818994801</v>
      </c>
      <c r="BF210" s="39"/>
      <c r="BG210" s="6">
        <f t="shared" si="157"/>
        <v>3.4033920413889289</v>
      </c>
      <c r="BH210" s="9">
        <f t="shared" ca="1" si="158"/>
        <v>-217.84403694905797</v>
      </c>
      <c r="BI210" s="9">
        <f t="shared" ca="1" si="159"/>
        <v>10.422091166905744</v>
      </c>
      <c r="BJ210">
        <f t="shared" ca="1" si="160"/>
        <v>218.09320122038153</v>
      </c>
      <c r="BK210" s="6">
        <f t="shared" ca="1" si="161"/>
        <v>-0.99885753306417013</v>
      </c>
      <c r="BL210" s="6">
        <f t="shared" ca="1" si="162"/>
        <v>4.7787327200421531E-2</v>
      </c>
      <c r="BM210" s="6">
        <f t="shared" ca="1" si="163"/>
        <v>3.0937871195884066</v>
      </c>
      <c r="BN210" s="6">
        <f t="shared" ca="1" si="164"/>
        <v>3.8189196708562534</v>
      </c>
      <c r="BO210" s="9">
        <f t="shared" ca="1" si="165"/>
        <v>-284.759793546906</v>
      </c>
      <c r="BP210" s="9">
        <f t="shared" ca="1" si="166"/>
        <v>158.34113206741216</v>
      </c>
      <c r="BQ210">
        <f t="shared" ca="1" si="167"/>
        <v>325.8221203743941</v>
      </c>
      <c r="BR210">
        <f t="shared" ca="1" si="168"/>
        <v>-0.87397317659002283</v>
      </c>
      <c r="BS210">
        <f t="shared" ca="1" si="169"/>
        <v>0.48597416248309444</v>
      </c>
      <c r="BT210">
        <f t="shared" ca="1" si="170"/>
        <v>2.6341151942973973</v>
      </c>
      <c r="BU210" s="39">
        <f t="shared" ca="1" si="171"/>
        <v>2.6341151942973973</v>
      </c>
    </row>
    <row r="211" spans="45:73" x14ac:dyDescent="0.25">
      <c r="AS211">
        <v>3.6477381366681323</v>
      </c>
      <c r="AT211">
        <v>-212.71720157316611</v>
      </c>
      <c r="AU211">
        <v>26.35876262650433</v>
      </c>
      <c r="AV211" s="6">
        <f t="shared" si="153"/>
        <v>3.0183065229583823</v>
      </c>
      <c r="AW211" s="6">
        <f t="shared" si="154"/>
        <v>0.62943161370974998</v>
      </c>
      <c r="AX211" s="6">
        <f t="shared" si="155"/>
        <v>-3.0183065229583823</v>
      </c>
      <c r="AY211" s="6">
        <f t="shared" si="156"/>
        <v>3.0183065229583823</v>
      </c>
      <c r="BF211" s="39"/>
      <c r="BG211" s="6">
        <f t="shared" si="157"/>
        <v>3.420845333908872</v>
      </c>
      <c r="BH211" s="9">
        <f t="shared" ca="1" si="158"/>
        <v>-217.60475688545245</v>
      </c>
      <c r="BI211" s="9">
        <f t="shared" ca="1" si="159"/>
        <v>9.5593458931650446</v>
      </c>
      <c r="BJ211">
        <f t="shared" ca="1" si="160"/>
        <v>217.81462603113235</v>
      </c>
      <c r="BK211" s="6">
        <f t="shared" ca="1" si="161"/>
        <v>-0.99903647817640173</v>
      </c>
      <c r="BL211" s="6">
        <f t="shared" ca="1" si="162"/>
        <v>4.3887529810779202E-2</v>
      </c>
      <c r="BM211" s="6">
        <f t="shared" ca="1" si="163"/>
        <v>3.0976910228133101</v>
      </c>
      <c r="BN211" s="6">
        <f t="shared" ca="1" si="164"/>
        <v>3.8228235740811574</v>
      </c>
      <c r="BO211" s="9">
        <f t="shared" ca="1" si="165"/>
        <v>-284.52051348330048</v>
      </c>
      <c r="BP211" s="9">
        <f t="shared" ca="1" si="166"/>
        <v>157.47838679367146</v>
      </c>
      <c r="BQ211">
        <f t="shared" ca="1" si="167"/>
        <v>325.19434942805844</v>
      </c>
      <c r="BR211">
        <f t="shared" ca="1" si="168"/>
        <v>-0.87492453046526231</v>
      </c>
      <c r="BS211">
        <f t="shared" ca="1" si="169"/>
        <v>0.4842592962351267</v>
      </c>
      <c r="BT211">
        <f t="shared" ca="1" si="170"/>
        <v>2.6360762760593071</v>
      </c>
      <c r="BU211" s="39">
        <f t="shared" ca="1" si="171"/>
        <v>2.6360762760593071</v>
      </c>
    </row>
    <row r="212" spans="45:73" x14ac:dyDescent="0.25">
      <c r="AS212">
        <v>3.6651914291880754</v>
      </c>
      <c r="AT212">
        <v>-199.18151744215623</v>
      </c>
      <c r="AU212">
        <v>3.7617562731761951</v>
      </c>
      <c r="AV212" s="6">
        <f t="shared" si="153"/>
        <v>3.1227088275962083</v>
      </c>
      <c r="AW212" s="6">
        <f t="shared" si="154"/>
        <v>0.54248260159186712</v>
      </c>
      <c r="AX212" s="6">
        <f t="shared" si="155"/>
        <v>-3.1227088275962083</v>
      </c>
      <c r="AY212" s="6">
        <f t="shared" si="156"/>
        <v>3.1227088275962083</v>
      </c>
      <c r="BF212" s="39"/>
      <c r="BG212" s="6">
        <f t="shared" si="157"/>
        <v>3.4382986264288151</v>
      </c>
      <c r="BH212" s="9">
        <f t="shared" ca="1" si="158"/>
        <v>-217.34660763620434</v>
      </c>
      <c r="BI212" s="9">
        <f t="shared" ca="1" si="159"/>
        <v>8.687920820541791</v>
      </c>
      <c r="BJ212">
        <f t="shared" ca="1" si="160"/>
        <v>217.52017795862102</v>
      </c>
      <c r="BK212" s="6">
        <f t="shared" ca="1" si="161"/>
        <v>-0.99920204955675562</v>
      </c>
      <c r="BL212" s="6">
        <f t="shared" ca="1" si="162"/>
        <v>3.9940758149777253E-2</v>
      </c>
      <c r="BM212" s="6">
        <f t="shared" ca="1" si="163"/>
        <v>3.1016412684661292</v>
      </c>
      <c r="BN212" s="6">
        <f t="shared" ca="1" si="164"/>
        <v>3.826773819733976</v>
      </c>
      <c r="BO212" s="9">
        <f t="shared" ca="1" si="165"/>
        <v>-284.26236423405237</v>
      </c>
      <c r="BP212" s="9">
        <f t="shared" ca="1" si="166"/>
        <v>156.60696172104821</v>
      </c>
      <c r="BQ212">
        <f t="shared" ca="1" si="167"/>
        <v>324.54711858131003</v>
      </c>
      <c r="BR212">
        <f t="shared" ca="1" si="168"/>
        <v>-0.87587394236203964</v>
      </c>
      <c r="BS212">
        <f t="shared" ca="1" si="169"/>
        <v>0.48253998496619793</v>
      </c>
      <c r="BT212">
        <f t="shared" ca="1" si="170"/>
        <v>2.6380403064636488</v>
      </c>
      <c r="BU212" s="39">
        <f t="shared" ca="1" si="171"/>
        <v>2.6380403064636488</v>
      </c>
    </row>
    <row r="213" spans="45:73" x14ac:dyDescent="0.25">
      <c r="AS213">
        <v>3.6826447217080185</v>
      </c>
      <c r="AT213">
        <v>-185.51937764982142</v>
      </c>
      <c r="AU213">
        <v>-18.343859653176388</v>
      </c>
      <c r="AV213" s="6">
        <f t="shared" si="153"/>
        <v>3.2401506904080262</v>
      </c>
      <c r="AW213" s="6">
        <f t="shared" si="154"/>
        <v>0.44249403129999232</v>
      </c>
      <c r="AX213" s="6">
        <f t="shared" si="155"/>
        <v>3.0430346167715601</v>
      </c>
      <c r="AY213" s="6">
        <f t="shared" si="156"/>
        <v>3.0430346167715601</v>
      </c>
      <c r="BF213" s="39"/>
      <c r="BG213" s="6">
        <f t="shared" si="157"/>
        <v>3.4557519189487582</v>
      </c>
      <c r="BH213" s="9">
        <f t="shared" ca="1" si="158"/>
        <v>-217.06887684718754</v>
      </c>
      <c r="BI213" s="9">
        <f t="shared" ca="1" si="159"/>
        <v>7.8071450424039028</v>
      </c>
      <c r="BJ213">
        <f t="shared" ca="1" si="160"/>
        <v>217.2092281865865</v>
      </c>
      <c r="BK213" s="6">
        <f t="shared" ca="1" si="161"/>
        <v>-0.99935384264945504</v>
      </c>
      <c r="BL213" s="6">
        <f t="shared" ca="1" si="162"/>
        <v>3.5942971242904236E-2</v>
      </c>
      <c r="BM213" s="6">
        <f t="shared" ca="1" si="163"/>
        <v>3.1056419387403937</v>
      </c>
      <c r="BN213" s="6">
        <f t="shared" ca="1" si="164"/>
        <v>3.830774490008241</v>
      </c>
      <c r="BO213" s="9">
        <f t="shared" ca="1" si="165"/>
        <v>-283.98463344503557</v>
      </c>
      <c r="BP213" s="9">
        <f t="shared" ca="1" si="166"/>
        <v>155.72618594291032</v>
      </c>
      <c r="BQ213">
        <f t="shared" ca="1" si="167"/>
        <v>323.87947916043879</v>
      </c>
      <c r="BR213">
        <f t="shared" ca="1" si="168"/>
        <v>-0.87682194062180552</v>
      </c>
      <c r="BS213">
        <f t="shared" ca="1" si="169"/>
        <v>0.48081522900612333</v>
      </c>
      <c r="BT213">
        <f t="shared" ca="1" si="170"/>
        <v>2.6400084236026053</v>
      </c>
      <c r="BU213" s="39">
        <f t="shared" ca="1" si="171"/>
        <v>2.6400084236026053</v>
      </c>
    </row>
    <row r="214" spans="45:73" x14ac:dyDescent="0.25">
      <c r="AS214">
        <v>3.7000980142279616</v>
      </c>
      <c r="AT214">
        <v>-171.8208249039921</v>
      </c>
      <c r="AU214">
        <v>-39.805473597694288</v>
      </c>
      <c r="AV214" s="6">
        <f t="shared" si="153"/>
        <v>3.3692451383544144</v>
      </c>
      <c r="AW214" s="6">
        <f t="shared" si="154"/>
        <v>0.33085287587354717</v>
      </c>
      <c r="AX214" s="6">
        <f t="shared" si="155"/>
        <v>2.9139401688251718</v>
      </c>
      <c r="AY214" s="6">
        <f t="shared" si="156"/>
        <v>2.9139401688251718</v>
      </c>
      <c r="BF214" s="39"/>
      <c r="BG214" s="6">
        <f t="shared" si="157"/>
        <v>3.4732052114687013</v>
      </c>
      <c r="BH214" s="9">
        <f t="shared" ca="1" si="158"/>
        <v>-216.77078626750256</v>
      </c>
      <c r="BI214" s="9">
        <f t="shared" ca="1" si="159"/>
        <v>6.9163216494987125</v>
      </c>
      <c r="BJ214">
        <f t="shared" ca="1" si="160"/>
        <v>216.88109480586499</v>
      </c>
      <c r="BK214" s="6">
        <f t="shared" ca="1" si="161"/>
        <v>-0.99949138702725027</v>
      </c>
      <c r="BL214" s="6">
        <f t="shared" ca="1" si="162"/>
        <v>3.1889924088079981E-2</v>
      </c>
      <c r="BM214" s="6">
        <f t="shared" ca="1" si="163"/>
        <v>3.1096973218585076</v>
      </c>
      <c r="BN214" s="6">
        <f t="shared" ca="1" si="164"/>
        <v>3.8348298731263544</v>
      </c>
      <c r="BO214" s="9">
        <f t="shared" ca="1" si="165"/>
        <v>-283.68654286535059</v>
      </c>
      <c r="BP214" s="9">
        <f t="shared" ca="1" si="166"/>
        <v>154.83536255000513</v>
      </c>
      <c r="BQ214">
        <f t="shared" ca="1" si="167"/>
        <v>323.19041461479935</v>
      </c>
      <c r="BR214">
        <f t="shared" ca="1" si="168"/>
        <v>-0.87776904894740704</v>
      </c>
      <c r="BS214">
        <f t="shared" ca="1" si="169"/>
        <v>0.47908401842470671</v>
      </c>
      <c r="BT214">
        <f t="shared" ca="1" si="170"/>
        <v>2.6419817724114338</v>
      </c>
      <c r="BU214" s="39">
        <f t="shared" ca="1" si="171"/>
        <v>2.6419817724114338</v>
      </c>
    </row>
    <row r="215" spans="45:73" x14ac:dyDescent="0.25">
      <c r="AS215">
        <v>3.7175513067479047</v>
      </c>
      <c r="AT215">
        <v>-158.17044242505588</v>
      </c>
      <c r="AU215">
        <v>-60.501939915142628</v>
      </c>
      <c r="AV215" s="6">
        <f t="shared" si="153"/>
        <v>3.5069320270334035</v>
      </c>
      <c r="AW215" s="6">
        <f t="shared" si="154"/>
        <v>0.21061927971450123</v>
      </c>
      <c r="AX215" s="6">
        <f t="shared" si="155"/>
        <v>2.7762532801461828</v>
      </c>
      <c r="AY215" s="6">
        <f t="shared" si="156"/>
        <v>2.7762532801461828</v>
      </c>
      <c r="BF215" s="39"/>
      <c r="BG215" s="6">
        <f t="shared" si="157"/>
        <v>3.4906585039886444</v>
      </c>
      <c r="BH215" s="9">
        <f t="shared" ca="1" si="158"/>
        <v>-216.45148690766837</v>
      </c>
      <c r="BI215" s="9">
        <f t="shared" ca="1" si="159"/>
        <v>6.0147253466756467</v>
      </c>
      <c r="BJ215">
        <f t="shared" ca="1" si="160"/>
        <v>216.53503897876777</v>
      </c>
      <c r="BK215" s="6">
        <f t="shared" ca="1" si="161"/>
        <v>-0.99961414064211751</v>
      </c>
      <c r="BL215" s="6">
        <f t="shared" ca="1" si="162"/>
        <v>2.7777145791473581E-2</v>
      </c>
      <c r="BM215" s="6">
        <f t="shared" ca="1" si="163"/>
        <v>3.1138119345562596</v>
      </c>
      <c r="BN215" s="6">
        <f t="shared" ca="1" si="164"/>
        <v>3.8389444858241069</v>
      </c>
      <c r="BO215" s="9">
        <f t="shared" ca="1" si="165"/>
        <v>-283.3672435055164</v>
      </c>
      <c r="BP215" s="9">
        <f t="shared" ca="1" si="166"/>
        <v>153.93376624718206</v>
      </c>
      <c r="BQ215">
        <f t="shared" ca="1" si="167"/>
        <v>322.47883509302858</v>
      </c>
      <c r="BR215">
        <f t="shared" ca="1" si="168"/>
        <v>-0.87871578742143097</v>
      </c>
      <c r="BS215">
        <f t="shared" ca="1" si="169"/>
        <v>0.4773453309045082</v>
      </c>
      <c r="BT215">
        <f t="shared" ca="1" si="170"/>
        <v>2.6439615070681994</v>
      </c>
      <c r="BU215" s="39">
        <f t="shared" ca="1" si="171"/>
        <v>2.6439615070681994</v>
      </c>
    </row>
    <row r="216" spans="45:73" x14ac:dyDescent="0.25">
      <c r="AS216">
        <v>3.7350045992678478</v>
      </c>
      <c r="AT216">
        <v>-143.86279426561995</v>
      </c>
      <c r="AU216">
        <v>-81.203229516186099</v>
      </c>
      <c r="AV216" s="6">
        <f t="shared" si="153"/>
        <v>3.6554615278125731</v>
      </c>
      <c r="AW216" s="6">
        <f t="shared" si="154"/>
        <v>7.9543071455274728E-2</v>
      </c>
      <c r="AX216" s="6">
        <f t="shared" si="155"/>
        <v>2.6277237793670132</v>
      </c>
      <c r="AY216" s="6">
        <f t="shared" si="156"/>
        <v>2.6277237793670132</v>
      </c>
      <c r="BF216" s="39"/>
      <c r="BG216" s="6">
        <f t="shared" si="157"/>
        <v>3.5081117965085875</v>
      </c>
      <c r="BH216" s="9">
        <f t="shared" ca="1" si="158"/>
        <v>-216.11005365312997</v>
      </c>
      <c r="BI216" s="9">
        <f t="shared" ca="1" si="159"/>
        <v>5.1015998913687497</v>
      </c>
      <c r="BJ216">
        <f t="shared" ca="1" si="160"/>
        <v>216.17026070070401</v>
      </c>
      <c r="BK216" s="6">
        <f t="shared" ca="1" si="161"/>
        <v>-0.99972148320782483</v>
      </c>
      <c r="BL216" s="6">
        <f t="shared" ca="1" si="162"/>
        <v>2.3599915524143766E-2</v>
      </c>
      <c r="BM216" s="6">
        <f t="shared" ca="1" si="163"/>
        <v>3.1179905468306068</v>
      </c>
      <c r="BN216" s="6">
        <f t="shared" ca="1" si="164"/>
        <v>3.8431230980984541</v>
      </c>
      <c r="BO216" s="9">
        <f t="shared" ca="1" si="165"/>
        <v>-283.025810250978</v>
      </c>
      <c r="BP216" s="9">
        <f t="shared" ca="1" si="166"/>
        <v>153.02064079187517</v>
      </c>
      <c r="BQ216">
        <f t="shared" ca="1" si="167"/>
        <v>321.74357146115398</v>
      </c>
      <c r="BR216">
        <f t="shared" ca="1" si="168"/>
        <v>-0.87966267349384908</v>
      </c>
      <c r="BS216">
        <f t="shared" ca="1" si="169"/>
        <v>0.47559812958174447</v>
      </c>
      <c r="BT216">
        <f t="shared" ca="1" si="170"/>
        <v>2.6459487934079498</v>
      </c>
      <c r="BU216" s="39">
        <f t="shared" ca="1" si="171"/>
        <v>2.6459487934079498</v>
      </c>
    </row>
    <row r="217" spans="45:73" x14ac:dyDescent="0.25">
      <c r="AS217">
        <v>3.7524578917877909</v>
      </c>
      <c r="AT217">
        <v>-128.44212244318206</v>
      </c>
      <c r="AU217">
        <v>-102.35075706647825</v>
      </c>
      <c r="AV217" s="6">
        <f t="shared" si="153"/>
        <v>3.8144177762595852</v>
      </c>
      <c r="AW217" s="6">
        <f t="shared" si="154"/>
        <v>6.1959884471794346E-2</v>
      </c>
      <c r="AX217" s="6">
        <f t="shared" si="155"/>
        <v>2.468767530920001</v>
      </c>
      <c r="AY217" s="6">
        <f t="shared" si="156"/>
        <v>2.468767530920001</v>
      </c>
      <c r="BF217" s="39"/>
      <c r="BG217" s="6">
        <f t="shared" si="157"/>
        <v>3.5255650890285306</v>
      </c>
      <c r="BH217" s="9">
        <f t="shared" ca="1" si="158"/>
        <v>-215.74547927682539</v>
      </c>
      <c r="BI217" s="9">
        <f t="shared" ca="1" si="159"/>
        <v>4.1761553336607165</v>
      </c>
      <c r="BJ217">
        <f t="shared" ca="1" si="160"/>
        <v>215.78589412136733</v>
      </c>
      <c r="BK217" s="6">
        <f t="shared" ca="1" si="161"/>
        <v>-0.99981270858919435</v>
      </c>
      <c r="BL217" s="6">
        <f t="shared" ca="1" si="162"/>
        <v>1.9353235996565493E-2</v>
      </c>
      <c r="BM217" s="6">
        <f t="shared" ca="1" si="163"/>
        <v>3.1222382092710794</v>
      </c>
      <c r="BN217" s="6">
        <f t="shared" ca="1" si="164"/>
        <v>3.8473707605389267</v>
      </c>
      <c r="BO217" s="9">
        <f t="shared" ca="1" si="165"/>
        <v>-282.66123587467342</v>
      </c>
      <c r="BP217" s="9">
        <f t="shared" ca="1" si="166"/>
        <v>152.09519623416713</v>
      </c>
      <c r="BQ217">
        <f t="shared" ca="1" si="167"/>
        <v>320.98336870265967</v>
      </c>
      <c r="BR217">
        <f t="shared" ca="1" si="168"/>
        <v>-0.88061022294433688</v>
      </c>
      <c r="BS217">
        <f t="shared" ca="1" si="169"/>
        <v>0.47384136084340017</v>
      </c>
      <c r="BT217">
        <f t="shared" ca="1" si="170"/>
        <v>2.6479448113647552</v>
      </c>
      <c r="BU217" s="39">
        <f t="shared" ca="1" si="171"/>
        <v>2.6479448113647552</v>
      </c>
    </row>
    <row r="218" spans="45:73" x14ac:dyDescent="0.25">
      <c r="AS218">
        <v>3.769911184307734</v>
      </c>
      <c r="AT218">
        <v>-113.88258640121404</v>
      </c>
      <c r="AU218">
        <v>-121.77815330334758</v>
      </c>
      <c r="AV218" s="6">
        <f t="shared" si="153"/>
        <v>3.9604822445482712</v>
      </c>
      <c r="AW218" s="6">
        <f t="shared" si="154"/>
        <v>0.19057106024053727</v>
      </c>
      <c r="AX218" s="6">
        <f t="shared" si="155"/>
        <v>2.322703062631315</v>
      </c>
      <c r="AY218" s="6">
        <f t="shared" si="156"/>
        <v>2.322703062631315</v>
      </c>
      <c r="BF218" s="39"/>
      <c r="BG218" s="6">
        <f t="shared" si="157"/>
        <v>3.5430183815484737</v>
      </c>
      <c r="BH218" s="9">
        <f t="shared" ca="1" si="158"/>
        <v>-213.56945120636965</v>
      </c>
      <c r="BI218" s="9">
        <f t="shared" ca="1" si="159"/>
        <v>-0.15191995119386092</v>
      </c>
      <c r="BJ218">
        <f t="shared" ca="1" si="160"/>
        <v>213.56950523953901</v>
      </c>
      <c r="BK218" s="6">
        <f t="shared" ca="1" si="161"/>
        <v>-0.99999974699960414</v>
      </c>
      <c r="BL218" s="6">
        <f t="shared" ca="1" si="162"/>
        <v>-7.1133728115101407E-4</v>
      </c>
      <c r="BM218" s="6">
        <f t="shared" ca="1" si="163"/>
        <v>-3.1408813162486524</v>
      </c>
      <c r="BN218" s="6">
        <f t="shared" ca="1" si="164"/>
        <v>-2.4157487649808056</v>
      </c>
      <c r="BO218" s="9">
        <f t="shared" ca="1" si="165"/>
        <v>-280.48520780421768</v>
      </c>
      <c r="BP218" s="9">
        <f t="shared" ca="1" si="166"/>
        <v>147.76712094931256</v>
      </c>
      <c r="BQ218">
        <f t="shared" ca="1" si="167"/>
        <v>317.02850633755941</v>
      </c>
      <c r="BR218">
        <f t="shared" ca="1" si="168"/>
        <v>-0.88473182126268524</v>
      </c>
      <c r="BS218">
        <f t="shared" ca="1" si="169"/>
        <v>0.46610042313348304</v>
      </c>
      <c r="BT218">
        <f t="shared" ca="1" si="170"/>
        <v>2.6567146564179311</v>
      </c>
      <c r="BU218" s="39">
        <f t="shared" ca="1" si="171"/>
        <v>2.6567146564179311</v>
      </c>
    </row>
    <row r="219" spans="45:73" x14ac:dyDescent="0.25">
      <c r="AS219">
        <v>3.7873644768276771</v>
      </c>
      <c r="AT219">
        <v>-100.18031542825327</v>
      </c>
      <c r="AU219">
        <v>-139.54743431189445</v>
      </c>
      <c r="AV219" s="6">
        <f t="shared" si="153"/>
        <v>4.0897540646391359</v>
      </c>
      <c r="AW219" s="6">
        <f t="shared" si="154"/>
        <v>0.30238958781145886</v>
      </c>
      <c r="AX219" s="6">
        <f t="shared" si="155"/>
        <v>2.1934312425404503</v>
      </c>
      <c r="AY219" s="6">
        <f t="shared" si="156"/>
        <v>2.1934312425404503</v>
      </c>
      <c r="BF219" s="39"/>
      <c r="BG219" s="6">
        <f t="shared" si="157"/>
        <v>3.5604716740684168</v>
      </c>
      <c r="BH219" s="9">
        <f t="shared" ca="1" si="158"/>
        <v>-205.12553395660404</v>
      </c>
      <c r="BI219" s="9">
        <f t="shared" ca="1" si="159"/>
        <v>-15.322826946852132</v>
      </c>
      <c r="BJ219">
        <f t="shared" ca="1" si="160"/>
        <v>205.69704350482314</v>
      </c>
      <c r="BK219" s="6">
        <f t="shared" ca="1" si="161"/>
        <v>-0.99722159570948965</v>
      </c>
      <c r="BL219" s="6">
        <f t="shared" ca="1" si="162"/>
        <v>-7.4492207985929773E-2</v>
      </c>
      <c r="BM219" s="6">
        <f t="shared" ca="1" si="163"/>
        <v>-3.0670313790163783</v>
      </c>
      <c r="BN219" s="6">
        <f t="shared" ca="1" si="164"/>
        <v>-2.3418988277485315</v>
      </c>
      <c r="BO219" s="9">
        <f t="shared" ca="1" si="165"/>
        <v>-272.04129055445208</v>
      </c>
      <c r="BP219" s="9">
        <f t="shared" ca="1" si="166"/>
        <v>132.59621395365428</v>
      </c>
      <c r="BQ219">
        <f t="shared" ca="1" si="167"/>
        <v>302.63545681458919</v>
      </c>
      <c r="BR219">
        <f t="shared" ca="1" si="168"/>
        <v>-0.89890752860831913</v>
      </c>
      <c r="BS219">
        <f t="shared" ca="1" si="169"/>
        <v>0.4381383970976338</v>
      </c>
      <c r="BT219">
        <f t="shared" ca="1" si="170"/>
        <v>2.6880659894811121</v>
      </c>
      <c r="BU219" s="39">
        <f t="shared" ca="1" si="171"/>
        <v>2.6880659894811121</v>
      </c>
    </row>
    <row r="220" spans="45:73" x14ac:dyDescent="0.25">
      <c r="AS220">
        <v>3.8048177693476202</v>
      </c>
      <c r="AT220">
        <v>-87.36561106162344</v>
      </c>
      <c r="AU220">
        <v>-155.68255216870853</v>
      </c>
      <c r="AV220" s="6">
        <f t="shared" si="153"/>
        <v>4.2010043961982095</v>
      </c>
      <c r="AW220" s="6">
        <f t="shared" si="154"/>
        <v>0.39618662685058936</v>
      </c>
      <c r="AX220" s="6">
        <f t="shared" si="155"/>
        <v>2.0821809109813767</v>
      </c>
      <c r="AY220" s="6">
        <f t="shared" si="156"/>
        <v>2.0821809109813767</v>
      </c>
      <c r="BF220" s="39"/>
      <c r="BG220" s="6">
        <f t="shared" si="157"/>
        <v>3.5779249665883599</v>
      </c>
      <c r="BH220" s="9">
        <f t="shared" ca="1" si="158"/>
        <v>-195.34750500619714</v>
      </c>
      <c r="BI220" s="9">
        <f t="shared" ca="1" si="159"/>
        <v>-33.346359463071522</v>
      </c>
      <c r="BJ220">
        <f t="shared" ca="1" si="160"/>
        <v>198.17322574350601</v>
      </c>
      <c r="BK220" s="6">
        <f t="shared" ca="1" si="161"/>
        <v>-0.98574115788493966</v>
      </c>
      <c r="BL220" s="6">
        <f t="shared" ca="1" si="162"/>
        <v>-0.16826874234883496</v>
      </c>
      <c r="BM220" s="6">
        <f t="shared" ca="1" si="163"/>
        <v>-2.9725195491794678</v>
      </c>
      <c r="BN220" s="6">
        <f t="shared" ca="1" si="164"/>
        <v>-2.2473869979116206</v>
      </c>
      <c r="BO220" s="9">
        <f t="shared" ca="1" si="165"/>
        <v>-262.26326160404517</v>
      </c>
      <c r="BP220" s="9">
        <f t="shared" ca="1" si="166"/>
        <v>114.57268143743489</v>
      </c>
      <c r="BQ220">
        <f t="shared" ca="1" si="167"/>
        <v>286.19734051691637</v>
      </c>
      <c r="BR220">
        <f t="shared" ca="1" si="168"/>
        <v>-0.91637211278887998</v>
      </c>
      <c r="BS220">
        <f t="shared" ca="1" si="169"/>
        <v>0.40032755451360597</v>
      </c>
      <c r="BT220">
        <f t="shared" ca="1" si="170"/>
        <v>2.729718388363215</v>
      </c>
      <c r="BU220" s="39">
        <f t="shared" ca="1" si="171"/>
        <v>2.729718388363215</v>
      </c>
    </row>
    <row r="221" spans="45:73" x14ac:dyDescent="0.25">
      <c r="AS221">
        <v>3.8222710618675633</v>
      </c>
      <c r="AT221">
        <v>-75.503320088412522</v>
      </c>
      <c r="AU221">
        <v>-170.17220895238307</v>
      </c>
      <c r="AV221" s="6">
        <f t="shared" si="153"/>
        <v>4.2947967287639273</v>
      </c>
      <c r="AW221" s="6">
        <f t="shared" si="154"/>
        <v>0.47252566689636399</v>
      </c>
      <c r="AX221" s="6">
        <f t="shared" si="155"/>
        <v>1.9883885784156592</v>
      </c>
      <c r="AY221" s="6">
        <f t="shared" si="156"/>
        <v>1.9883885784156592</v>
      </c>
      <c r="BF221" s="39"/>
      <c r="BG221" s="6">
        <f t="shared" si="157"/>
        <v>3.595378259108303</v>
      </c>
      <c r="BH221" s="9">
        <f t="shared" ca="1" si="158"/>
        <v>-184.31613190438537</v>
      </c>
      <c r="BI221" s="9">
        <f t="shared" ca="1" si="159"/>
        <v>-53.624856662903738</v>
      </c>
      <c r="BJ221">
        <f t="shared" ca="1" si="160"/>
        <v>191.95848960728921</v>
      </c>
      <c r="BK221" s="6">
        <f t="shared" ca="1" si="161"/>
        <v>-0.96018744615808005</v>
      </c>
      <c r="BL221" s="6">
        <f t="shared" ca="1" si="162"/>
        <v>-0.27935652532279276</v>
      </c>
      <c r="BM221" s="6">
        <f t="shared" ca="1" si="163"/>
        <v>-2.8584687650460232</v>
      </c>
      <c r="BN221" s="6">
        <f t="shared" ca="1" si="164"/>
        <v>-2.1333362137781764</v>
      </c>
      <c r="BO221" s="9">
        <f t="shared" ca="1" si="165"/>
        <v>-251.2318885022334</v>
      </c>
      <c r="BP221" s="9">
        <f t="shared" ca="1" si="166"/>
        <v>94.294184237602678</v>
      </c>
      <c r="BQ221">
        <f t="shared" ca="1" si="167"/>
        <v>268.34465707636809</v>
      </c>
      <c r="BR221">
        <f t="shared" ca="1" si="168"/>
        <v>-0.93622839835687666</v>
      </c>
      <c r="BS221">
        <f t="shared" ca="1" si="169"/>
        <v>0.35139206893456998</v>
      </c>
      <c r="BT221">
        <f t="shared" ca="1" si="170"/>
        <v>2.7825350737493482</v>
      </c>
      <c r="BU221" s="39">
        <f t="shared" ca="1" si="171"/>
        <v>2.7825350737493482</v>
      </c>
    </row>
    <row r="222" spans="45:73" x14ac:dyDescent="0.25">
      <c r="AS222">
        <v>3.8397243543875064</v>
      </c>
      <c r="AT222">
        <v>-64.695825221775422</v>
      </c>
      <c r="AU222">
        <v>-182.96985179729717</v>
      </c>
      <c r="AV222" s="6">
        <f t="shared" si="153"/>
        <v>4.3725218841667086</v>
      </c>
      <c r="AW222" s="6">
        <f t="shared" si="154"/>
        <v>0.53279752977920225</v>
      </c>
      <c r="AX222" s="6">
        <f t="shared" si="155"/>
        <v>1.9106634230128778</v>
      </c>
      <c r="AY222" s="6">
        <f t="shared" si="156"/>
        <v>1.9106634230128778</v>
      </c>
      <c r="BF222" s="39"/>
      <c r="BG222" s="6">
        <f t="shared" si="157"/>
        <v>3.6128315516282461</v>
      </c>
      <c r="BH222" s="9">
        <f t="shared" ca="1" si="158"/>
        <v>-172.07840997596753</v>
      </c>
      <c r="BI222" s="9">
        <f t="shared" ca="1" si="159"/>
        <v>-75.755343752928724</v>
      </c>
      <c r="BJ222">
        <f t="shared" ca="1" si="160"/>
        <v>188.01556128943571</v>
      </c>
      <c r="BK222" s="6">
        <f t="shared" ca="1" si="161"/>
        <v>-0.91523493478854046</v>
      </c>
      <c r="BL222" s="6">
        <f t="shared" ca="1" si="162"/>
        <v>-0.40292060525941847</v>
      </c>
      <c r="BM222" s="6">
        <f t="shared" ca="1" si="163"/>
        <v>-2.7268869415014572</v>
      </c>
      <c r="BN222" s="6">
        <f t="shared" ca="1" si="164"/>
        <v>-2.0017543902336099</v>
      </c>
      <c r="BO222" s="9">
        <f t="shared" ca="1" si="165"/>
        <v>-238.99416657381556</v>
      </c>
      <c r="BP222" s="9">
        <f t="shared" ca="1" si="166"/>
        <v>72.163697147577693</v>
      </c>
      <c r="BQ222">
        <f t="shared" ca="1" si="167"/>
        <v>249.65137861089414</v>
      </c>
      <c r="BR222">
        <f t="shared" ca="1" si="168"/>
        <v>-0.95731162352726729</v>
      </c>
      <c r="BS222">
        <f t="shared" ca="1" si="169"/>
        <v>0.28905787562283725</v>
      </c>
      <c r="BT222">
        <f t="shared" ca="1" si="170"/>
        <v>2.8483500977897167</v>
      </c>
      <c r="BU222" s="39">
        <f t="shared" ca="1" si="171"/>
        <v>2.8483500977897167</v>
      </c>
    </row>
    <row r="223" spans="45:73" x14ac:dyDescent="0.25">
      <c r="AS223">
        <v>3.8571776469074495</v>
      </c>
      <c r="AT223">
        <v>-55.089194964257992</v>
      </c>
      <c r="AU223">
        <v>-193.99071688550202</v>
      </c>
      <c r="AV223" s="6">
        <f t="shared" si="153"/>
        <v>4.4356948288171605</v>
      </c>
      <c r="AW223" s="6">
        <f t="shared" si="154"/>
        <v>0.57851718190971102</v>
      </c>
      <c r="AX223" s="6">
        <f t="shared" si="155"/>
        <v>1.847490478362426</v>
      </c>
      <c r="AY223" s="6">
        <f t="shared" si="156"/>
        <v>1.847490478362426</v>
      </c>
      <c r="BF223" s="39"/>
      <c r="BG223" s="6">
        <f t="shared" si="157"/>
        <v>3.6302848441481892</v>
      </c>
      <c r="BH223" s="9">
        <f t="shared" ca="1" si="158"/>
        <v>-159.11074000938248</v>
      </c>
      <c r="BI223" s="9">
        <f t="shared" ca="1" si="159"/>
        <v>-98.670874259227119</v>
      </c>
      <c r="BJ223">
        <f t="shared" ca="1" si="160"/>
        <v>187.22224497482534</v>
      </c>
      <c r="BK223" s="6">
        <f t="shared" ca="1" si="161"/>
        <v>-0.84984954662186196</v>
      </c>
      <c r="BL223" s="6">
        <f t="shared" ca="1" si="162"/>
        <v>-0.52702537709925867</v>
      </c>
      <c r="BM223" s="6">
        <f t="shared" ca="1" si="163"/>
        <v>-2.5864960783328126</v>
      </c>
      <c r="BN223" s="6">
        <f t="shared" ca="1" si="164"/>
        <v>-1.8613635270649656</v>
      </c>
      <c r="BO223" s="9">
        <f t="shared" ca="1" si="165"/>
        <v>-226.02649660723051</v>
      </c>
      <c r="BP223" s="9">
        <f t="shared" ca="1" si="166"/>
        <v>49.248166641279298</v>
      </c>
      <c r="BQ223">
        <f t="shared" ca="1" si="167"/>
        <v>231.32954650469014</v>
      </c>
      <c r="BR223">
        <f t="shared" ca="1" si="168"/>
        <v>-0.97707577792120859</v>
      </c>
      <c r="BS223">
        <f t="shared" ca="1" si="169"/>
        <v>0.21289181336929136</v>
      </c>
      <c r="BT223">
        <f t="shared" ca="1" si="170"/>
        <v>2.9270589818994801</v>
      </c>
      <c r="BU223" s="39">
        <f t="shared" ca="1" si="171"/>
        <v>2.9270589818994801</v>
      </c>
    </row>
    <row r="224" spans="45:73" x14ac:dyDescent="0.25">
      <c r="AS224">
        <v>3.8746309394273926</v>
      </c>
      <c r="AT224">
        <v>-46.883599129210332</v>
      </c>
      <c r="AU224">
        <v>-203.10528150319217</v>
      </c>
      <c r="AV224" s="6">
        <f t="shared" si="153"/>
        <v>4.4855286641632528</v>
      </c>
      <c r="AW224" s="6">
        <f t="shared" si="154"/>
        <v>0.61089772473586024</v>
      </c>
      <c r="AX224" s="6">
        <f t="shared" si="155"/>
        <v>1.7976566430163334</v>
      </c>
      <c r="AY224" s="6">
        <f t="shared" si="156"/>
        <v>1.7976566430163334</v>
      </c>
      <c r="BF224" s="39"/>
      <c r="BG224" s="6">
        <f t="shared" si="157"/>
        <v>3.6477381366681323</v>
      </c>
      <c r="BH224" s="9">
        <f t="shared" ca="1" si="158"/>
        <v>-145.80144497531808</v>
      </c>
      <c r="BI224" s="9">
        <f t="shared" ca="1" si="159"/>
        <v>-121.56027827400209</v>
      </c>
      <c r="BJ224">
        <f t="shared" ca="1" si="160"/>
        <v>189.82877182066878</v>
      </c>
      <c r="BK224" s="6">
        <f t="shared" ca="1" si="161"/>
        <v>-0.76806820998166014</v>
      </c>
      <c r="BL224" s="6">
        <f t="shared" ca="1" si="162"/>
        <v>-0.6403680385649867</v>
      </c>
      <c r="BM224" s="6">
        <f t="shared" ca="1" si="163"/>
        <v>-2.4466153092996379</v>
      </c>
      <c r="BN224" s="6">
        <f t="shared" ca="1" si="164"/>
        <v>-1.7214827580317908</v>
      </c>
      <c r="BO224" s="9">
        <f t="shared" ca="1" si="165"/>
        <v>-212.71720157316611</v>
      </c>
      <c r="BP224" s="9">
        <f t="shared" ca="1" si="166"/>
        <v>26.35876262650433</v>
      </c>
      <c r="BQ224">
        <f t="shared" ca="1" si="167"/>
        <v>214.34409768481936</v>
      </c>
      <c r="BR224">
        <f t="shared" ca="1" si="168"/>
        <v>-0.9924098861166426</v>
      </c>
      <c r="BS224">
        <f t="shared" ca="1" si="169"/>
        <v>0.12297405392176168</v>
      </c>
      <c r="BT224">
        <f t="shared" ca="1" si="170"/>
        <v>3.0183065229583823</v>
      </c>
      <c r="BU224" s="39">
        <f t="shared" ca="1" si="171"/>
        <v>3.0183065229583823</v>
      </c>
    </row>
    <row r="225" spans="45:73" x14ac:dyDescent="0.25">
      <c r="AS225">
        <v>3.8920842319473357</v>
      </c>
      <c r="AT225">
        <v>-40.350080014669402</v>
      </c>
      <c r="AU225">
        <v>-210.12768439047517</v>
      </c>
      <c r="AV225" s="6">
        <f t="shared" si="153"/>
        <v>4.5226718879641119</v>
      </c>
      <c r="AW225" s="6">
        <f t="shared" si="154"/>
        <v>0.63058765601677624</v>
      </c>
      <c r="AX225" s="6">
        <f t="shared" si="155"/>
        <v>1.7605134192154743</v>
      </c>
      <c r="AY225" s="6">
        <f t="shared" si="156"/>
        <v>1.7605134192154743</v>
      </c>
      <c r="BF225" s="39"/>
      <c r="BG225" s="6">
        <f t="shared" si="157"/>
        <v>3.6651914291880754</v>
      </c>
      <c r="BH225" s="9">
        <f t="shared" ca="1" si="158"/>
        <v>-132.2657608443082</v>
      </c>
      <c r="BI225" s="9">
        <f t="shared" ca="1" si="159"/>
        <v>-144.15728462733023</v>
      </c>
      <c r="BJ225">
        <f t="shared" ca="1" si="160"/>
        <v>195.64139184448888</v>
      </c>
      <c r="BK225" s="6">
        <f t="shared" ca="1" si="161"/>
        <v>-0.67606225654662799</v>
      </c>
      <c r="BL225" s="6">
        <f t="shared" ca="1" si="162"/>
        <v>-0.73684450549154623</v>
      </c>
      <c r="BM225" s="6">
        <f t="shared" ca="1" si="163"/>
        <v>-2.3132017065153176</v>
      </c>
      <c r="BN225" s="6">
        <f t="shared" ca="1" si="164"/>
        <v>-1.5880691552474706</v>
      </c>
      <c r="BO225" s="9">
        <f t="shared" ca="1" si="165"/>
        <v>-199.18151744215623</v>
      </c>
      <c r="BP225" s="9">
        <f t="shared" ca="1" si="166"/>
        <v>3.7617562731761893</v>
      </c>
      <c r="BQ225">
        <f t="shared" ca="1" si="167"/>
        <v>199.21703667311883</v>
      </c>
      <c r="BR225">
        <f t="shared" ca="1" si="168"/>
        <v>-0.99982170585630747</v>
      </c>
      <c r="BS225">
        <f t="shared" ca="1" si="169"/>
        <v>1.8882703688382785E-2</v>
      </c>
      <c r="BT225">
        <f t="shared" ca="1" si="170"/>
        <v>3.1227088275962083</v>
      </c>
      <c r="BU225" s="39">
        <f t="shared" ca="1" si="171"/>
        <v>3.1227088275962083</v>
      </c>
    </row>
    <row r="226" spans="45:73" x14ac:dyDescent="0.25">
      <c r="AS226">
        <v>3.9095375244672788</v>
      </c>
      <c r="AT226">
        <v>-35.857639202875291</v>
      </c>
      <c r="AU226">
        <v>-214.79622455974371</v>
      </c>
      <c r="AV226" s="6">
        <f t="shared" si="153"/>
        <v>4.5469763731683157</v>
      </c>
      <c r="AW226" s="6">
        <f t="shared" si="154"/>
        <v>0.63743884870103695</v>
      </c>
      <c r="AX226" s="6">
        <f t="shared" si="155"/>
        <v>1.7362089340112707</v>
      </c>
      <c r="AY226" s="6">
        <f t="shared" si="156"/>
        <v>1.7362089340112707</v>
      </c>
      <c r="BF226" s="39"/>
      <c r="BG226" s="6">
        <f t="shared" si="157"/>
        <v>3.6826447217080185</v>
      </c>
      <c r="BH226" s="9">
        <f t="shared" ca="1" si="158"/>
        <v>-118.60362105197339</v>
      </c>
      <c r="BI226" s="9">
        <f t="shared" ca="1" si="159"/>
        <v>-166.26290055368281</v>
      </c>
      <c r="BJ226">
        <f t="shared" ca="1" si="160"/>
        <v>204.23068091539022</v>
      </c>
      <c r="BK226" s="6">
        <f t="shared" ca="1" si="161"/>
        <v>-0.58073361220936792</v>
      </c>
      <c r="BL226" s="6">
        <f t="shared" ca="1" si="162"/>
        <v>-0.81409365041760351</v>
      </c>
      <c r="BM226" s="6">
        <f t="shared" ca="1" si="163"/>
        <v>-2.1904258679606485</v>
      </c>
      <c r="BN226" s="6">
        <f t="shared" ca="1" si="164"/>
        <v>-1.4652933166928015</v>
      </c>
      <c r="BO226" s="9">
        <f t="shared" ca="1" si="165"/>
        <v>-185.51937764982142</v>
      </c>
      <c r="BP226" s="9">
        <f t="shared" ca="1" si="166"/>
        <v>-18.343859653176395</v>
      </c>
      <c r="BQ226">
        <f t="shared" ca="1" si="167"/>
        <v>186.42407749685256</v>
      </c>
      <c r="BR226">
        <f t="shared" ca="1" si="168"/>
        <v>-0.99514708690433828</v>
      </c>
      <c r="BS226">
        <f t="shared" ca="1" si="169"/>
        <v>-9.8398553982310025E-2</v>
      </c>
      <c r="BT226">
        <f t="shared" ca="1" si="170"/>
        <v>-3.0430346167715601</v>
      </c>
      <c r="BU226" s="39">
        <f t="shared" ca="1" si="171"/>
        <v>-3.0430346167715601</v>
      </c>
    </row>
    <row r="227" spans="45:73" x14ac:dyDescent="0.25">
      <c r="AS227">
        <v>3.9269908169872219</v>
      </c>
      <c r="AT227">
        <v>-33.917634470423408</v>
      </c>
      <c r="AU227">
        <v>-216.7409341841757</v>
      </c>
      <c r="AV227" s="6">
        <f t="shared" si="153"/>
        <v>4.5571586617568558</v>
      </c>
      <c r="AW227" s="6">
        <f t="shared" si="154"/>
        <v>0.63016784476963394</v>
      </c>
      <c r="AX227" s="6">
        <f t="shared" si="155"/>
        <v>1.7260266454227304</v>
      </c>
      <c r="AY227" s="6">
        <f t="shared" si="156"/>
        <v>1.7260266454227304</v>
      </c>
      <c r="BF227" s="39"/>
      <c r="BG227" s="6">
        <f t="shared" si="157"/>
        <v>3.7000980142279616</v>
      </c>
      <c r="BH227" s="9">
        <f t="shared" ca="1" si="158"/>
        <v>-104.90506830614407</v>
      </c>
      <c r="BI227" s="9">
        <f t="shared" ca="1" si="159"/>
        <v>-187.7245144982007</v>
      </c>
      <c r="BJ227">
        <f t="shared" ca="1" si="160"/>
        <v>215.0478242156891</v>
      </c>
      <c r="BK227" s="6">
        <f t="shared" ca="1" si="161"/>
        <v>-0.48782203999853618</v>
      </c>
      <c r="BL227" s="6">
        <f t="shared" ca="1" si="162"/>
        <v>-0.87294310083284721</v>
      </c>
      <c r="BM227" s="6">
        <f t="shared" ca="1" si="163"/>
        <v>-2.0803893732509247</v>
      </c>
      <c r="BN227" s="6">
        <f t="shared" ca="1" si="164"/>
        <v>-1.3552568219830776</v>
      </c>
      <c r="BO227" s="9">
        <f t="shared" ca="1" si="165"/>
        <v>-171.8208249039921</v>
      </c>
      <c r="BP227" s="9">
        <f t="shared" ca="1" si="166"/>
        <v>-39.805473597694288</v>
      </c>
      <c r="BQ227">
        <f t="shared" ca="1" si="167"/>
        <v>176.37140244105632</v>
      </c>
      <c r="BR227">
        <f t="shared" ca="1" si="168"/>
        <v>-0.97419889237097257</v>
      </c>
      <c r="BS227">
        <f t="shared" ca="1" si="169"/>
        <v>-0.22569120076593685</v>
      </c>
      <c r="BT227">
        <f t="shared" ca="1" si="170"/>
        <v>-2.9139401688251718</v>
      </c>
      <c r="BU227" s="39">
        <f t="shared" ca="1" si="171"/>
        <v>-2.9139401688251718</v>
      </c>
    </row>
    <row r="228" spans="45:73" x14ac:dyDescent="0.25">
      <c r="AS228">
        <v>3.944444109507165</v>
      </c>
      <c r="AT228">
        <v>-33.407481298643759</v>
      </c>
      <c r="AU228">
        <v>-217.22079348381214</v>
      </c>
      <c r="AV228" s="6">
        <f t="shared" si="153"/>
        <v>4.5597895813560836</v>
      </c>
      <c r="AW228" s="6">
        <f t="shared" si="154"/>
        <v>0.61534547184891863</v>
      </c>
      <c r="AX228" s="6">
        <f t="shared" si="155"/>
        <v>1.7233957258235026</v>
      </c>
      <c r="AY228" s="6">
        <f t="shared" si="156"/>
        <v>1.7233957258235026</v>
      </c>
      <c r="BF228" s="39"/>
      <c r="BG228" s="6">
        <f t="shared" si="157"/>
        <v>3.7175513067479047</v>
      </c>
      <c r="BH228" s="9">
        <f t="shared" ca="1" si="158"/>
        <v>-91.254685827207851</v>
      </c>
      <c r="BI228" s="9">
        <f t="shared" ca="1" si="159"/>
        <v>-208.42098081564905</v>
      </c>
      <c r="BJ228">
        <f t="shared" ca="1" si="160"/>
        <v>227.52301626336524</v>
      </c>
      <c r="BK228" s="6">
        <f t="shared" ca="1" si="161"/>
        <v>-0.40107892083136593</v>
      </c>
      <c r="BL228" s="6">
        <f t="shared" ca="1" si="162"/>
        <v>-0.9160435029324463</v>
      </c>
      <c r="BM228" s="6">
        <f t="shared" ca="1" si="163"/>
        <v>-1.9834906748336962</v>
      </c>
      <c r="BN228" s="6">
        <f t="shared" ca="1" si="164"/>
        <v>-1.2583581235658492</v>
      </c>
      <c r="BO228" s="9">
        <f t="shared" ca="1" si="165"/>
        <v>-158.17044242505588</v>
      </c>
      <c r="BP228" s="9">
        <f t="shared" ca="1" si="166"/>
        <v>-60.501939915142628</v>
      </c>
      <c r="BQ228">
        <f t="shared" ca="1" si="167"/>
        <v>169.34690310257653</v>
      </c>
      <c r="BR228">
        <f t="shared" ca="1" si="168"/>
        <v>-0.93400256826219685</v>
      </c>
      <c r="BS228">
        <f t="shared" ca="1" si="169"/>
        <v>-0.35726629071271232</v>
      </c>
      <c r="BT228">
        <f t="shared" ca="1" si="170"/>
        <v>-2.7762532801461828</v>
      </c>
      <c r="BU228" s="39">
        <f t="shared" ca="1" si="171"/>
        <v>-2.7762532801461828</v>
      </c>
    </row>
    <row r="229" spans="45:73" x14ac:dyDescent="0.25">
      <c r="AS229">
        <v>3.9618974020271081</v>
      </c>
      <c r="AT229">
        <v>-32.912821962839324</v>
      </c>
      <c r="AU229">
        <v>-217.67011137358332</v>
      </c>
      <c r="AV229" s="6">
        <f t="shared" si="153"/>
        <v>4.5623207001326858</v>
      </c>
      <c r="AW229" s="6">
        <f t="shared" si="154"/>
        <v>0.60042329810557771</v>
      </c>
      <c r="AX229" s="6">
        <f t="shared" si="155"/>
        <v>1.7208646070469007</v>
      </c>
      <c r="AY229" s="6">
        <f t="shared" si="156"/>
        <v>1.7208646070469007</v>
      </c>
      <c r="BF229" s="39"/>
      <c r="BG229" s="6">
        <f t="shared" si="157"/>
        <v>3.7350045992678478</v>
      </c>
      <c r="BH229" s="9">
        <f t="shared" ca="1" si="158"/>
        <v>-76.947037667771923</v>
      </c>
      <c r="BI229" s="9">
        <f t="shared" ca="1" si="159"/>
        <v>-229.12227041669252</v>
      </c>
      <c r="BJ229">
        <f t="shared" ca="1" si="160"/>
        <v>241.69787216015263</v>
      </c>
      <c r="BK229" s="6">
        <f t="shared" ca="1" si="161"/>
        <v>-0.31836042651126717</v>
      </c>
      <c r="BL229" s="6">
        <f t="shared" ca="1" si="162"/>
        <v>-0.94796974573641535</v>
      </c>
      <c r="BM229" s="6">
        <f t="shared" ca="1" si="163"/>
        <v>-1.8947957475328083</v>
      </c>
      <c r="BN229" s="6">
        <f t="shared" ca="1" si="164"/>
        <v>-1.1696631962649613</v>
      </c>
      <c r="BO229" s="9">
        <f t="shared" ca="1" si="165"/>
        <v>-143.86279426561995</v>
      </c>
      <c r="BP229" s="9">
        <f t="shared" ca="1" si="166"/>
        <v>-81.203229516186099</v>
      </c>
      <c r="BQ229">
        <f t="shared" ca="1" si="167"/>
        <v>165.19826893091371</v>
      </c>
      <c r="BR229">
        <f t="shared" ca="1" si="168"/>
        <v>-0.87084928429718411</v>
      </c>
      <c r="BS229">
        <f t="shared" ca="1" si="169"/>
        <v>-0.49155012362838663</v>
      </c>
      <c r="BT229">
        <f t="shared" ca="1" si="170"/>
        <v>-2.6277237793670132</v>
      </c>
      <c r="BU229" s="39">
        <f t="shared" ca="1" si="171"/>
        <v>-2.6277237793670132</v>
      </c>
    </row>
    <row r="230" spans="45:73" x14ac:dyDescent="0.25">
      <c r="AS230">
        <v>3.9793506945470511</v>
      </c>
      <c r="AT230">
        <v>-32.432757457912999</v>
      </c>
      <c r="AU230">
        <v>-218.09120366662825</v>
      </c>
      <c r="AV230" s="6">
        <f t="shared" si="153"/>
        <v>4.5647590248617025</v>
      </c>
      <c r="AW230" s="6">
        <f t="shared" si="154"/>
        <v>0.58540833031465134</v>
      </c>
      <c r="AX230" s="6">
        <f t="shared" si="155"/>
        <v>1.718426282317884</v>
      </c>
      <c r="AY230" s="6">
        <f t="shared" si="156"/>
        <v>1.718426282317884</v>
      </c>
      <c r="BF230" s="39"/>
      <c r="BG230" s="6">
        <f t="shared" si="157"/>
        <v>3.7524578917877909</v>
      </c>
      <c r="BH230" s="9">
        <f t="shared" ca="1" si="158"/>
        <v>-61.526365845334027</v>
      </c>
      <c r="BI230" s="9">
        <f t="shared" ca="1" si="159"/>
        <v>-250.26979796698467</v>
      </c>
      <c r="BJ230">
        <f t="shared" ca="1" si="160"/>
        <v>257.72168218558795</v>
      </c>
      <c r="BK230" s="6">
        <f t="shared" ca="1" si="161"/>
        <v>-0.238731818462322</v>
      </c>
      <c r="BL230" s="6">
        <f t="shared" ca="1" si="162"/>
        <v>-0.97108553632194161</v>
      </c>
      <c r="BM230" s="6">
        <f t="shared" ca="1" si="163"/>
        <v>-1.8118560256020362</v>
      </c>
      <c r="BN230" s="6">
        <f t="shared" ca="1" si="164"/>
        <v>-1.0867234743341891</v>
      </c>
      <c r="BO230" s="9">
        <f t="shared" ca="1" si="165"/>
        <v>-128.44212244318206</v>
      </c>
      <c r="BP230" s="9">
        <f t="shared" ca="1" si="166"/>
        <v>-102.35075706647825</v>
      </c>
      <c r="BQ230">
        <f t="shared" ca="1" si="167"/>
        <v>164.23475968804723</v>
      </c>
      <c r="BR230">
        <f t="shared" ca="1" si="168"/>
        <v>-0.78206417866199052</v>
      </c>
      <c r="BS230">
        <f t="shared" ca="1" si="169"/>
        <v>-0.62319789830658601</v>
      </c>
      <c r="BT230">
        <f t="shared" ca="1" si="170"/>
        <v>-2.468767530920001</v>
      </c>
      <c r="BU230" s="39">
        <f t="shared" ca="1" si="171"/>
        <v>-2.468767530920001</v>
      </c>
    </row>
    <row r="231" spans="45:73" x14ac:dyDescent="0.25">
      <c r="AS231">
        <v>3.9968039870669942</v>
      </c>
      <c r="AT231">
        <v>-31.966320196969551</v>
      </c>
      <c r="AU231">
        <v>-218.48629354486596</v>
      </c>
      <c r="AV231" s="6">
        <f t="shared" si="153"/>
        <v>4.567111608198311</v>
      </c>
      <c r="AW231" s="6">
        <f t="shared" si="154"/>
        <v>0.57030762113131672</v>
      </c>
      <c r="AX231" s="6">
        <f t="shared" si="155"/>
        <v>1.7160736989812755</v>
      </c>
      <c r="AY231" s="6">
        <f t="shared" si="156"/>
        <v>1.7160736989812755</v>
      </c>
      <c r="BF231" s="39"/>
      <c r="BG231" s="6">
        <f t="shared" si="157"/>
        <v>3.769911184307734</v>
      </c>
      <c r="BH231" s="9">
        <f t="shared" ca="1" si="158"/>
        <v>-46.966829803366011</v>
      </c>
      <c r="BI231" s="9">
        <f t="shared" ca="1" si="159"/>
        <v>-269.697194203854</v>
      </c>
      <c r="BJ231">
        <f t="shared" ca="1" si="160"/>
        <v>273.75620479399129</v>
      </c>
      <c r="BK231" s="6">
        <f t="shared" ca="1" si="161"/>
        <v>-0.17156443938397589</v>
      </c>
      <c r="BL231" s="6">
        <f t="shared" ca="1" si="162"/>
        <v>-0.98517290012406544</v>
      </c>
      <c r="BM231" s="6">
        <f t="shared" ca="1" si="163"/>
        <v>-1.7432137616695649</v>
      </c>
      <c r="BN231" s="6">
        <f t="shared" ca="1" si="164"/>
        <v>-1.0180812104017178</v>
      </c>
      <c r="BO231" s="9">
        <f t="shared" ca="1" si="165"/>
        <v>-113.88258640121404</v>
      </c>
      <c r="BP231" s="9">
        <f t="shared" ca="1" si="166"/>
        <v>-121.77815330334758</v>
      </c>
      <c r="BQ231">
        <f t="shared" ca="1" si="167"/>
        <v>166.73080731347645</v>
      </c>
      <c r="BR231">
        <f t="shared" ca="1" si="168"/>
        <v>-0.68303265746863084</v>
      </c>
      <c r="BS231">
        <f t="shared" ca="1" si="169"/>
        <v>-0.73038783453131251</v>
      </c>
      <c r="BT231">
        <f t="shared" ca="1" si="170"/>
        <v>-2.322703062631315</v>
      </c>
      <c r="BU231" s="39">
        <f t="shared" ca="1" si="171"/>
        <v>-2.322703062631315</v>
      </c>
    </row>
    <row r="232" spans="45:73" x14ac:dyDescent="0.25">
      <c r="AS232">
        <v>4.0142572795869373</v>
      </c>
      <c r="AT232">
        <v>-31.512616023015259</v>
      </c>
      <c r="AU232">
        <v>-218.85738330329664</v>
      </c>
      <c r="AV232" s="6">
        <f t="shared" si="153"/>
        <v>4.5693848504236811</v>
      </c>
      <c r="AW232" s="6">
        <f t="shared" si="154"/>
        <v>0.5551275708367438</v>
      </c>
      <c r="AX232" s="6">
        <f t="shared" si="155"/>
        <v>1.7138004567559053</v>
      </c>
      <c r="AY232" s="6">
        <f t="shared" si="156"/>
        <v>1.7138004567559053</v>
      </c>
      <c r="BF232" s="39"/>
      <c r="BG232" s="6">
        <f t="shared" si="157"/>
        <v>3.7873644768276771</v>
      </c>
      <c r="BH232" s="9">
        <f t="shared" ca="1" si="158"/>
        <v>-33.264558830405235</v>
      </c>
      <c r="BI232" s="9">
        <f t="shared" ca="1" si="159"/>
        <v>-287.46647521240084</v>
      </c>
      <c r="BJ232">
        <f t="shared" ca="1" si="160"/>
        <v>289.38470112503074</v>
      </c>
      <c r="BK232" s="6">
        <f t="shared" ca="1" si="161"/>
        <v>-0.11494926546249258</v>
      </c>
      <c r="BL232" s="6">
        <f t="shared" ca="1" si="162"/>
        <v>-0.99337136377571966</v>
      </c>
      <c r="BM232" s="6">
        <f t="shared" ca="1" si="163"/>
        <v>-1.6860002532291389</v>
      </c>
      <c r="BN232" s="6">
        <f t="shared" ca="1" si="164"/>
        <v>-0.9608677019612919</v>
      </c>
      <c r="BO232" s="9">
        <f t="shared" ca="1" si="165"/>
        <v>-100.18031542825327</v>
      </c>
      <c r="BP232" s="9">
        <f t="shared" ca="1" si="166"/>
        <v>-139.54743431189442</v>
      </c>
      <c r="BQ232">
        <f t="shared" ca="1" si="167"/>
        <v>171.78353245389036</v>
      </c>
      <c r="BR232">
        <f t="shared" ca="1" si="168"/>
        <v>-0.58317764221750057</v>
      </c>
      <c r="BS232">
        <f t="shared" ca="1" si="169"/>
        <v>-0.81234465445255266</v>
      </c>
      <c r="BT232">
        <f t="shared" ca="1" si="170"/>
        <v>-2.1934312425404503</v>
      </c>
      <c r="BU232" s="39">
        <f t="shared" ca="1" si="171"/>
        <v>-2.1934312425404503</v>
      </c>
    </row>
    <row r="233" spans="45:73" x14ac:dyDescent="0.25">
      <c r="AS233">
        <v>4.0317105721068804</v>
      </c>
      <c r="AT233">
        <v>-31.070816886948808</v>
      </c>
      <c r="AU233">
        <v>-219.20627997565174</v>
      </c>
      <c r="AV233" s="6">
        <f t="shared" si="153"/>
        <v>4.5715845766527581</v>
      </c>
      <c r="AW233" s="6">
        <f t="shared" si="154"/>
        <v>0.53987400454587764</v>
      </c>
      <c r="AX233" s="6">
        <f t="shared" si="155"/>
        <v>1.7116007305268282</v>
      </c>
      <c r="AY233" s="6">
        <f t="shared" si="156"/>
        <v>1.7116007305268282</v>
      </c>
      <c r="BF233" s="39"/>
      <c r="BG233" s="6">
        <f t="shared" si="157"/>
        <v>3.8048177693476202</v>
      </c>
      <c r="BH233" s="9">
        <f t="shared" ca="1" si="158"/>
        <v>-20.449854463775409</v>
      </c>
      <c r="BI233" s="9">
        <f t="shared" ca="1" si="159"/>
        <v>-303.60159306921491</v>
      </c>
      <c r="BJ233">
        <f t="shared" ca="1" si="160"/>
        <v>304.28953952075773</v>
      </c>
      <c r="BK233" s="6">
        <f t="shared" ca="1" si="161"/>
        <v>-6.7205249631594327E-2</v>
      </c>
      <c r="BL233" s="6">
        <f t="shared" ca="1" si="162"/>
        <v>-0.99773917153831082</v>
      </c>
      <c r="BM233" s="6">
        <f t="shared" ca="1" si="163"/>
        <v>-1.6380522687858594</v>
      </c>
      <c r="BN233" s="6">
        <f t="shared" ca="1" si="164"/>
        <v>-0.91291971751801237</v>
      </c>
      <c r="BO233" s="9">
        <f t="shared" ca="1" si="165"/>
        <v>-87.36561106162344</v>
      </c>
      <c r="BP233" s="9">
        <f t="shared" ca="1" si="166"/>
        <v>-155.6825521687085</v>
      </c>
      <c r="BQ233">
        <f t="shared" ca="1" si="167"/>
        <v>178.52116694087988</v>
      </c>
      <c r="BR233">
        <f t="shared" ca="1" si="168"/>
        <v>-0.4893851668052111</v>
      </c>
      <c r="BS233">
        <f t="shared" ca="1" si="169"/>
        <v>-0.8720677488079901</v>
      </c>
      <c r="BT233">
        <f t="shared" ca="1" si="170"/>
        <v>-2.0821809109813763</v>
      </c>
      <c r="BU233" s="39">
        <f t="shared" ca="1" si="171"/>
        <v>-2.0821809109813763</v>
      </c>
    </row>
    <row r="234" spans="45:73" x14ac:dyDescent="0.25">
      <c r="AS234">
        <v>4.0491638646268235</v>
      </c>
      <c r="AT234">
        <v>-30.640154368531675</v>
      </c>
      <c r="AU234">
        <v>-219.53461751160887</v>
      </c>
      <c r="AV234" s="6">
        <f t="shared" si="153"/>
        <v>4.5737161033473592</v>
      </c>
      <c r="AW234" s="6">
        <f t="shared" si="154"/>
        <v>0.52455223872053569</v>
      </c>
      <c r="AX234" s="6">
        <f t="shared" si="155"/>
        <v>1.709469203832227</v>
      </c>
      <c r="AY234" s="6">
        <f t="shared" si="156"/>
        <v>1.709469203832227</v>
      </c>
      <c r="BF234" s="39"/>
      <c r="BG234" s="6">
        <f t="shared" si="157"/>
        <v>3.8222710618675633</v>
      </c>
      <c r="BH234" s="9">
        <f t="shared" ca="1" si="158"/>
        <v>-8.5875634905644915</v>
      </c>
      <c r="BI234" s="9">
        <f t="shared" ca="1" si="159"/>
        <v>-318.09124985288952</v>
      </c>
      <c r="BJ234">
        <f t="shared" ca="1" si="160"/>
        <v>318.20714869354816</v>
      </c>
      <c r="BK234" s="6">
        <f t="shared" ca="1" si="161"/>
        <v>-2.6987336789327791E-2</v>
      </c>
      <c r="BL234" s="6">
        <f t="shared" ca="1" si="162"/>
        <v>-0.9996357754967653</v>
      </c>
      <c r="BM234" s="6">
        <f t="shared" ca="1" si="163"/>
        <v>-1.5977869405447609</v>
      </c>
      <c r="BN234" s="6">
        <f t="shared" ca="1" si="164"/>
        <v>-0.87265438927691386</v>
      </c>
      <c r="BO234" s="9">
        <f t="shared" ca="1" si="165"/>
        <v>-75.503320088412522</v>
      </c>
      <c r="BP234" s="9">
        <f t="shared" ca="1" si="166"/>
        <v>-170.1722089523831</v>
      </c>
      <c r="BQ234">
        <f t="shared" ca="1" si="167"/>
        <v>186.17016958714629</v>
      </c>
      <c r="BR234">
        <f t="shared" ca="1" si="168"/>
        <v>-0.40556078482309921</v>
      </c>
      <c r="BS234">
        <f t="shared" ca="1" si="169"/>
        <v>-0.91406807723148931</v>
      </c>
      <c r="BT234">
        <f t="shared" ca="1" si="170"/>
        <v>-1.9883885784156592</v>
      </c>
      <c r="BU234" s="39">
        <f t="shared" ca="1" si="171"/>
        <v>-1.9883885784156592</v>
      </c>
    </row>
    <row r="235" spans="45:73" x14ac:dyDescent="0.25">
      <c r="AS235">
        <v>4.0666171571467666</v>
      </c>
      <c r="AT235">
        <v>-30.219913904230822</v>
      </c>
      <c r="AU235">
        <v>-219.84387609571309</v>
      </c>
      <c r="AV235" s="6">
        <f t="shared" si="153"/>
        <v>4.5757842959873845</v>
      </c>
      <c r="AW235" s="6">
        <f t="shared" si="154"/>
        <v>0.50916713884061782</v>
      </c>
      <c r="AX235" s="6">
        <f t="shared" si="155"/>
        <v>1.707401011192202</v>
      </c>
      <c r="AY235" s="6">
        <f t="shared" si="156"/>
        <v>1.707401011192202</v>
      </c>
      <c r="BF235" s="39"/>
      <c r="BG235" s="6">
        <f t="shared" si="157"/>
        <v>3.8397243543875064</v>
      </c>
      <c r="BH235" s="9">
        <f t="shared" ca="1" si="158"/>
        <v>2.2199313760726085</v>
      </c>
      <c r="BI235" s="9">
        <f t="shared" ca="1" si="159"/>
        <v>-330.88889269780361</v>
      </c>
      <c r="BJ235">
        <f t="shared" ca="1" si="160"/>
        <v>330.89633936641405</v>
      </c>
      <c r="BK235" s="6">
        <f t="shared" ca="1" si="161"/>
        <v>6.7088423532373816E-3</v>
      </c>
      <c r="BL235" s="6">
        <f t="shared" ca="1" si="162"/>
        <v>-0.99997749546391268</v>
      </c>
      <c r="BM235" s="6">
        <f t="shared" ca="1" si="163"/>
        <v>-1.5640874341147446</v>
      </c>
      <c r="BN235" s="6">
        <f t="shared" ca="1" si="164"/>
        <v>-0.83895488284689756</v>
      </c>
      <c r="BO235" s="9">
        <f t="shared" ca="1" si="165"/>
        <v>-64.695825221775422</v>
      </c>
      <c r="BP235" s="9">
        <f t="shared" ca="1" si="166"/>
        <v>-182.9698517972972</v>
      </c>
      <c r="BQ235">
        <f t="shared" ca="1" si="167"/>
        <v>194.07090577376974</v>
      </c>
      <c r="BR235">
        <f t="shared" ca="1" si="168"/>
        <v>-0.33336179353535839</v>
      </c>
      <c r="BS235">
        <f t="shared" ca="1" si="169"/>
        <v>-0.94279897889788211</v>
      </c>
      <c r="BT235">
        <f t="shared" ca="1" si="170"/>
        <v>-1.9106634230128778</v>
      </c>
      <c r="BU235" s="39">
        <f t="shared" ca="1" si="171"/>
        <v>-1.9106634230128778</v>
      </c>
    </row>
    <row r="236" spans="45:73" x14ac:dyDescent="0.25">
      <c r="AS236">
        <v>4.0840704496667097</v>
      </c>
      <c r="AT236">
        <v>-29.809429656870282</v>
      </c>
      <c r="AU236">
        <v>-220.13539894275021</v>
      </c>
      <c r="AV236" s="6">
        <f t="shared" si="153"/>
        <v>4.577793619099058</v>
      </c>
      <c r="AW236" s="6">
        <f t="shared" si="154"/>
        <v>0.49372316943234829</v>
      </c>
      <c r="AX236" s="6">
        <f t="shared" si="155"/>
        <v>1.7053916880805284</v>
      </c>
      <c r="AY236" s="6">
        <f t="shared" si="156"/>
        <v>1.7053916880805284</v>
      </c>
      <c r="BF236" s="39"/>
      <c r="BG236" s="6">
        <f t="shared" si="157"/>
        <v>3.8571776469074495</v>
      </c>
      <c r="BH236" s="9">
        <f t="shared" ca="1" si="158"/>
        <v>11.826561633590039</v>
      </c>
      <c r="BI236" s="9">
        <f t="shared" ca="1" si="159"/>
        <v>-341.90975778600841</v>
      </c>
      <c r="BJ236">
        <f t="shared" ca="1" si="160"/>
        <v>342.11423535035789</v>
      </c>
      <c r="BK236" s="6">
        <f t="shared" ca="1" si="161"/>
        <v>3.4569042768648611E-2</v>
      </c>
      <c r="BL236" s="6">
        <f t="shared" ca="1" si="162"/>
        <v>-0.99940231202557217</v>
      </c>
      <c r="BM236" s="6">
        <f t="shared" ca="1" si="163"/>
        <v>-1.5362203952122253</v>
      </c>
      <c r="BN236" s="6">
        <f t="shared" ca="1" si="164"/>
        <v>-0.81108784394437827</v>
      </c>
      <c r="BO236" s="9">
        <f t="shared" ca="1" si="165"/>
        <v>-55.089194964257992</v>
      </c>
      <c r="BP236" s="9">
        <f t="shared" ca="1" si="166"/>
        <v>-193.990716885502</v>
      </c>
      <c r="BQ236">
        <f t="shared" ca="1" si="167"/>
        <v>201.66114558724746</v>
      </c>
      <c r="BR236">
        <f t="shared" ca="1" si="168"/>
        <v>-0.27317704064328041</v>
      </c>
      <c r="BS236">
        <f t="shared" ca="1" si="169"/>
        <v>-0.96196377502761488</v>
      </c>
      <c r="BT236">
        <f t="shared" ca="1" si="170"/>
        <v>-1.847490478362426</v>
      </c>
      <c r="BU236" s="39">
        <f t="shared" ca="1" si="171"/>
        <v>-1.847490478362426</v>
      </c>
    </row>
    <row r="237" spans="45:73" x14ac:dyDescent="0.25">
      <c r="AS237">
        <v>4.1015237421866528</v>
      </c>
      <c r="AT237">
        <v>-29.408079919426257</v>
      </c>
      <c r="AU237">
        <v>-220.41040701099661</v>
      </c>
      <c r="AV237" s="6">
        <f t="shared" si="153"/>
        <v>4.5797481799618778</v>
      </c>
      <c r="AW237" s="6">
        <f t="shared" si="154"/>
        <v>0.47822443777522494</v>
      </c>
      <c r="AX237" s="6">
        <f t="shared" si="155"/>
        <v>1.7034371272177087</v>
      </c>
      <c r="AY237" s="6">
        <f t="shared" si="156"/>
        <v>1.7034371272177087</v>
      </c>
      <c r="BF237" s="39"/>
      <c r="BG237" s="6">
        <f t="shared" si="157"/>
        <v>3.8746309394273926</v>
      </c>
      <c r="BH237" s="9">
        <f t="shared" ca="1" si="158"/>
        <v>20.032157468637699</v>
      </c>
      <c r="BI237" s="9">
        <f t="shared" ca="1" si="159"/>
        <v>-351.02432240369859</v>
      </c>
      <c r="BJ237">
        <f t="shared" ca="1" si="160"/>
        <v>351.59545254713413</v>
      </c>
      <c r="BK237" s="6">
        <f t="shared" ca="1" si="161"/>
        <v>5.6975018657137583E-2</v>
      </c>
      <c r="BL237" s="6">
        <f t="shared" ca="1" si="162"/>
        <v>-0.99837560429380423</v>
      </c>
      <c r="BM237" s="6">
        <f t="shared" ca="1" si="163"/>
        <v>-1.5137904380868674</v>
      </c>
      <c r="BN237" s="6">
        <f t="shared" ca="1" si="164"/>
        <v>-0.78865788681902038</v>
      </c>
      <c r="BO237" s="9">
        <f t="shared" ca="1" si="165"/>
        <v>-46.883599129210332</v>
      </c>
      <c r="BP237" s="9">
        <f t="shared" ca="1" si="166"/>
        <v>-203.10528150319217</v>
      </c>
      <c r="BQ237">
        <f t="shared" ca="1" si="167"/>
        <v>208.44622146203426</v>
      </c>
      <c r="BR237">
        <f t="shared" ca="1" si="168"/>
        <v>-0.22491940031520102</v>
      </c>
      <c r="BS237">
        <f t="shared" ca="1" si="169"/>
        <v>-0.9743773721520067</v>
      </c>
      <c r="BT237">
        <f t="shared" ca="1" si="170"/>
        <v>-1.7976566430163339</v>
      </c>
      <c r="BU237" s="39">
        <f t="shared" ca="1" si="171"/>
        <v>-1.7976566430163339</v>
      </c>
    </row>
    <row r="238" spans="45:73" x14ac:dyDescent="0.25">
      <c r="AS238">
        <v>4.1189770347065959</v>
      </c>
      <c r="AT238">
        <v>-29.015283012295654</v>
      </c>
      <c r="AU238">
        <v>-220.67001184420445</v>
      </c>
      <c r="AV238" s="6">
        <f t="shared" si="153"/>
        <v>4.5816517667650158</v>
      </c>
      <c r="AW238" s="6">
        <f t="shared" si="154"/>
        <v>0.46267473205841991</v>
      </c>
      <c r="AX238" s="6">
        <f t="shared" si="155"/>
        <v>1.7015335404145706</v>
      </c>
      <c r="AY238" s="6">
        <f t="shared" si="156"/>
        <v>1.7015335404145706</v>
      </c>
      <c r="BF238" s="39"/>
      <c r="BG238" s="6">
        <f t="shared" si="157"/>
        <v>3.8920842319473357</v>
      </c>
      <c r="BH238" s="9">
        <f t="shared" ca="1" si="158"/>
        <v>26.565676583178629</v>
      </c>
      <c r="BI238" s="9">
        <f t="shared" ca="1" si="159"/>
        <v>-358.04672529098161</v>
      </c>
      <c r="BJ238">
        <f t="shared" ca="1" si="160"/>
        <v>359.03090767219152</v>
      </c>
      <c r="BK238" s="6">
        <f t="shared" ca="1" si="161"/>
        <v>7.3992728802708185E-2</v>
      </c>
      <c r="BL238" s="6">
        <f t="shared" ca="1" si="162"/>
        <v>-0.99725878090109032</v>
      </c>
      <c r="BM238" s="6">
        <f t="shared" ca="1" si="163"/>
        <v>-1.4967359136775658</v>
      </c>
      <c r="BN238" s="6">
        <f t="shared" ca="1" si="164"/>
        <v>-0.77160336240971872</v>
      </c>
      <c r="BO238" s="9">
        <f t="shared" ca="1" si="165"/>
        <v>-40.350080014669402</v>
      </c>
      <c r="BP238" s="9">
        <f t="shared" ca="1" si="166"/>
        <v>-210.1276843904752</v>
      </c>
      <c r="BQ238">
        <f t="shared" ca="1" si="167"/>
        <v>213.96675607321194</v>
      </c>
      <c r="BR238">
        <f t="shared" ca="1" si="168"/>
        <v>-0.18858107098124635</v>
      </c>
      <c r="BS238">
        <f t="shared" ca="1" si="169"/>
        <v>-0.98205762543119945</v>
      </c>
      <c r="BT238">
        <f t="shared" ca="1" si="170"/>
        <v>-1.7605134192154748</v>
      </c>
      <c r="BU238" s="39">
        <f t="shared" ca="1" si="171"/>
        <v>-1.7605134192154748</v>
      </c>
    </row>
    <row r="239" spans="45:73" x14ac:dyDescent="0.25">
      <c r="AS239">
        <v>4.136430327226539</v>
      </c>
      <c r="AT239">
        <v>-28.630493582635399</v>
      </c>
      <c r="AU239">
        <v>-220.91522689482667</v>
      </c>
      <c r="AV239" s="6">
        <f t="shared" si="153"/>
        <v>4.5835078822107151</v>
      </c>
      <c r="AW239" s="6">
        <f t="shared" si="154"/>
        <v>0.44707755498417612</v>
      </c>
      <c r="AX239" s="6">
        <f t="shared" si="155"/>
        <v>1.6996774249688713</v>
      </c>
      <c r="AY239" s="6">
        <f t="shared" si="156"/>
        <v>1.6996774249688713</v>
      </c>
      <c r="BF239" s="39"/>
      <c r="BG239" s="6">
        <f t="shared" si="157"/>
        <v>3.9095375244672788</v>
      </c>
      <c r="BH239" s="9">
        <f t="shared" ca="1" si="158"/>
        <v>31.05811739497274</v>
      </c>
      <c r="BI239" s="9">
        <f t="shared" ca="1" si="159"/>
        <v>-362.71526546025012</v>
      </c>
      <c r="BJ239">
        <f t="shared" ca="1" si="160"/>
        <v>364.04253934673568</v>
      </c>
      <c r="BK239" s="6">
        <f t="shared" ca="1" si="161"/>
        <v>8.5314527941447935E-2</v>
      </c>
      <c r="BL239" s="6">
        <f t="shared" ca="1" si="162"/>
        <v>-0.99635406925556746</v>
      </c>
      <c r="BM239" s="6">
        <f t="shared" ca="1" si="163"/>
        <v>-1.4853779637873521</v>
      </c>
      <c r="BN239" s="6">
        <f t="shared" ca="1" si="164"/>
        <v>-0.76024541251950506</v>
      </c>
      <c r="BO239" s="9">
        <f t="shared" ca="1" si="165"/>
        <v>-35.857639202875291</v>
      </c>
      <c r="BP239" s="9">
        <f t="shared" ca="1" si="166"/>
        <v>-214.79622455974371</v>
      </c>
      <c r="BQ239">
        <f t="shared" ca="1" si="167"/>
        <v>217.76865792469638</v>
      </c>
      <c r="BR239">
        <f t="shared" ca="1" si="168"/>
        <v>-0.16465932032916661</v>
      </c>
      <c r="BS239">
        <f t="shared" ca="1" si="169"/>
        <v>-0.98635049968494304</v>
      </c>
      <c r="BT239">
        <f t="shared" ca="1" si="170"/>
        <v>-1.7362089340112703</v>
      </c>
      <c r="BU239" s="39">
        <f t="shared" ca="1" si="171"/>
        <v>-1.7362089340112703</v>
      </c>
    </row>
    <row r="240" spans="45:73" x14ac:dyDescent="0.25">
      <c r="AS240">
        <v>4.1538836197464821</v>
      </c>
      <c r="AT240">
        <v>-28.253199284226767</v>
      </c>
      <c r="AU240">
        <v>-221.14697744904868</v>
      </c>
      <c r="AV240" s="6">
        <f t="shared" si="153"/>
        <v>4.5853197730410127</v>
      </c>
      <c r="AW240" s="6">
        <f t="shared" si="154"/>
        <v>0.43143615329453056</v>
      </c>
      <c r="AX240" s="6">
        <f t="shared" si="155"/>
        <v>1.6978655341385736</v>
      </c>
      <c r="AY240" s="6">
        <f t="shared" si="156"/>
        <v>1.6978655341385736</v>
      </c>
      <c r="BF240" s="39"/>
      <c r="BG240" s="6">
        <f t="shared" si="157"/>
        <v>3.9269908169872219</v>
      </c>
      <c r="BH240" s="9">
        <f t="shared" ca="1" si="158"/>
        <v>32.998122127424622</v>
      </c>
      <c r="BI240" s="9">
        <f t="shared" ca="1" si="159"/>
        <v>-364.65997508468212</v>
      </c>
      <c r="BJ240">
        <f t="shared" ca="1" si="160"/>
        <v>366.14993307755418</v>
      </c>
      <c r="BK240" s="6">
        <f t="shared" ca="1" si="161"/>
        <v>9.0121884906736532E-2</v>
      </c>
      <c r="BL240" s="6">
        <f t="shared" ca="1" si="162"/>
        <v>-0.99593074350622246</v>
      </c>
      <c r="BM240" s="6">
        <f t="shared" ca="1" si="163"/>
        <v>-1.4805519995434449</v>
      </c>
      <c r="BN240" s="6">
        <f t="shared" ca="1" si="164"/>
        <v>-0.75541944827559782</v>
      </c>
      <c r="BO240" s="9">
        <f t="shared" ca="1" si="165"/>
        <v>-33.917634470423408</v>
      </c>
      <c r="BP240" s="9">
        <f t="shared" ca="1" si="166"/>
        <v>-216.7409341841757</v>
      </c>
      <c r="BQ240">
        <f t="shared" ca="1" si="167"/>
        <v>219.3787557606671</v>
      </c>
      <c r="BR240">
        <f t="shared" ca="1" si="168"/>
        <v>-0.15460765265450818</v>
      </c>
      <c r="BS240">
        <f t="shared" ca="1" si="169"/>
        <v>-0.98797594795655985</v>
      </c>
      <c r="BT240">
        <f t="shared" ca="1" si="170"/>
        <v>-1.7260266454227302</v>
      </c>
      <c r="BU240" s="39">
        <f t="shared" ca="1" si="171"/>
        <v>-1.7260266454227302</v>
      </c>
    </row>
    <row r="241" spans="45:73" x14ac:dyDescent="0.25">
      <c r="AS241">
        <v>4.1713369122664252</v>
      </c>
      <c r="AT241">
        <v>-27.88291777025572</v>
      </c>
      <c r="AU241">
        <v>-221.36610940715775</v>
      </c>
      <c r="AV241" s="6">
        <f t="shared" si="153"/>
        <v>4.5870904561936303</v>
      </c>
      <c r="AW241" s="6">
        <f t="shared" si="154"/>
        <v>0.41575354392720509</v>
      </c>
      <c r="AX241" s="6">
        <f t="shared" si="155"/>
        <v>1.6960948509859561</v>
      </c>
      <c r="AY241" s="6">
        <f t="shared" si="156"/>
        <v>1.6960948509859561</v>
      </c>
      <c r="BF241" s="39"/>
      <c r="BG241" s="6">
        <f t="shared" si="157"/>
        <v>3.944444109507165</v>
      </c>
      <c r="BH241" s="9">
        <f t="shared" ca="1" si="158"/>
        <v>33.508275299204271</v>
      </c>
      <c r="BI241" s="9">
        <f t="shared" ca="1" si="159"/>
        <v>-365.13983438431853</v>
      </c>
      <c r="BJ241">
        <f t="shared" ca="1" si="160"/>
        <v>366.67411030468844</v>
      </c>
      <c r="BK241" s="6">
        <f t="shared" ca="1" si="161"/>
        <v>9.1384350183219956E-2</v>
      </c>
      <c r="BL241" s="6">
        <f t="shared" ca="1" si="162"/>
        <v>-0.99581569607111065</v>
      </c>
      <c r="BM241" s="6">
        <f t="shared" ca="1" si="163"/>
        <v>-1.479284302930737</v>
      </c>
      <c r="BN241" s="6">
        <f t="shared" ca="1" si="164"/>
        <v>-0.75415175166288995</v>
      </c>
      <c r="BO241" s="9">
        <f t="shared" ca="1" si="165"/>
        <v>-33.407481298643759</v>
      </c>
      <c r="BP241" s="9">
        <f t="shared" ca="1" si="166"/>
        <v>-217.22079348381212</v>
      </c>
      <c r="BQ241">
        <f t="shared" ca="1" si="167"/>
        <v>219.77473223384027</v>
      </c>
      <c r="BR241">
        <f t="shared" ca="1" si="168"/>
        <v>-0.15200783529153936</v>
      </c>
      <c r="BS241">
        <f t="shared" ca="1" si="169"/>
        <v>-0.9883792885375432</v>
      </c>
      <c r="BT241">
        <f t="shared" ca="1" si="170"/>
        <v>-1.7233957258235026</v>
      </c>
      <c r="BU241" s="39">
        <f t="shared" ca="1" si="171"/>
        <v>-1.7233957258235026</v>
      </c>
    </row>
    <row r="242" spans="45:73" x14ac:dyDescent="0.25">
      <c r="AS242">
        <v>4.1887902047863683</v>
      </c>
      <c r="AT242">
        <v>-27.519193974549886</v>
      </c>
      <c r="AU242">
        <v>-221.57339702911497</v>
      </c>
      <c r="AV242" s="6">
        <f t="shared" si="153"/>
        <v>4.5888227419702154</v>
      </c>
      <c r="AW242" s="6">
        <f t="shared" si="154"/>
        <v>0.40003253718384713</v>
      </c>
      <c r="AX242" s="6">
        <f t="shared" si="155"/>
        <v>1.6943625652093708</v>
      </c>
      <c r="AY242" s="6">
        <f t="shared" si="156"/>
        <v>1.6943625652093708</v>
      </c>
      <c r="BF242" s="39"/>
      <c r="BG242" s="6">
        <f t="shared" si="157"/>
        <v>3.9618974020271081</v>
      </c>
      <c r="BH242" s="9">
        <f t="shared" ca="1" si="158"/>
        <v>34.002934635008707</v>
      </c>
      <c r="BI242" s="9">
        <f t="shared" ca="1" si="159"/>
        <v>-365.58915227408977</v>
      </c>
      <c r="BJ242">
        <f t="shared" ca="1" si="160"/>
        <v>367.16702987098427</v>
      </c>
      <c r="BK242" s="6">
        <f t="shared" ca="1" si="161"/>
        <v>9.2608899679681778E-2</v>
      </c>
      <c r="BL242" s="6">
        <f t="shared" ca="1" si="162"/>
        <v>-0.99570256186278783</v>
      </c>
      <c r="BM242" s="6">
        <f t="shared" ca="1" si="163"/>
        <v>-1.4780545383154668</v>
      </c>
      <c r="BN242" s="6">
        <f t="shared" ca="1" si="164"/>
        <v>-0.75292198704761981</v>
      </c>
      <c r="BO242" s="9">
        <f t="shared" ca="1" si="165"/>
        <v>-32.912821962839324</v>
      </c>
      <c r="BP242" s="9">
        <f t="shared" ca="1" si="166"/>
        <v>-217.67011137358335</v>
      </c>
      <c r="BQ242">
        <f t="shared" ca="1" si="167"/>
        <v>220.14434181905685</v>
      </c>
      <c r="BR242">
        <f t="shared" ca="1" si="168"/>
        <v>-0.14950564566356808</v>
      </c>
      <c r="BS242">
        <f t="shared" ca="1" si="169"/>
        <v>-0.98876087195778517</v>
      </c>
      <c r="BT242">
        <f t="shared" ca="1" si="170"/>
        <v>-1.7208646070469007</v>
      </c>
      <c r="BU242" s="39">
        <f t="shared" ca="1" si="171"/>
        <v>-1.7208646070469007</v>
      </c>
    </row>
    <row r="243" spans="45:73" x14ac:dyDescent="0.25">
      <c r="AS243">
        <v>4.2062434973063114</v>
      </c>
      <c r="AT243">
        <v>-27.161597644381349</v>
      </c>
      <c r="AU243">
        <v>-221.76954978678486</v>
      </c>
      <c r="AV243" s="6">
        <f t="shared" si="153"/>
        <v>4.5905192546382247</v>
      </c>
      <c r="AW243" s="6">
        <f t="shared" si="154"/>
        <v>0.38427575733191333</v>
      </c>
      <c r="AX243" s="6">
        <f t="shared" si="155"/>
        <v>1.6926660525413617</v>
      </c>
      <c r="AY243" s="6">
        <f t="shared" si="156"/>
        <v>1.6926660525413617</v>
      </c>
      <c r="BF243" s="39"/>
      <c r="BG243" s="6">
        <f t="shared" si="157"/>
        <v>3.9793506945470511</v>
      </c>
      <c r="BH243" s="9">
        <f t="shared" ca="1" si="158"/>
        <v>34.482999139935032</v>
      </c>
      <c r="BI243" s="9">
        <f t="shared" ca="1" si="159"/>
        <v>-366.01024456713469</v>
      </c>
      <c r="BJ243">
        <f t="shared" ca="1" si="160"/>
        <v>367.6310329090548</v>
      </c>
      <c r="BK243" s="6">
        <f t="shared" ca="1" si="161"/>
        <v>9.3797846354460229E-2</v>
      </c>
      <c r="BL243" s="6">
        <f t="shared" ca="1" si="162"/>
        <v>-0.99559126353100591</v>
      </c>
      <c r="BM243" s="6">
        <f t="shared" ca="1" si="163"/>
        <v>-1.4768603935656244</v>
      </c>
      <c r="BN243" s="6">
        <f t="shared" ca="1" si="164"/>
        <v>-0.75172784229777734</v>
      </c>
      <c r="BO243" s="9">
        <f t="shared" ca="1" si="165"/>
        <v>-32.432757457912999</v>
      </c>
      <c r="BP243" s="9">
        <f t="shared" ca="1" si="166"/>
        <v>-218.09120366662827</v>
      </c>
      <c r="BQ243">
        <f t="shared" ca="1" si="167"/>
        <v>220.48958450022656</v>
      </c>
      <c r="BR243">
        <f t="shared" ca="1" si="168"/>
        <v>-0.14709428353011239</v>
      </c>
      <c r="BS243">
        <f t="shared" ca="1" si="169"/>
        <v>-0.98912247560793143</v>
      </c>
      <c r="BT243">
        <f t="shared" ca="1" si="170"/>
        <v>-1.7184262823178833</v>
      </c>
      <c r="BU243" s="39">
        <f t="shared" ca="1" si="171"/>
        <v>-1.7184262823178833</v>
      </c>
    </row>
    <row r="244" spans="45:73" x14ac:dyDescent="0.25">
      <c r="AS244">
        <v>4.2236967898262545</v>
      </c>
      <c r="AT244">
        <v>-26.809721085298424</v>
      </c>
      <c r="AU244">
        <v>-221.95521846665679</v>
      </c>
      <c r="AV244" s="6">
        <f t="shared" si="153"/>
        <v>4.5921824508693208</v>
      </c>
      <c r="AW244" s="6">
        <f t="shared" si="154"/>
        <v>0.36848566104306624</v>
      </c>
      <c r="AX244" s="6">
        <f t="shared" si="155"/>
        <v>1.6910028563102657</v>
      </c>
      <c r="AY244" s="6">
        <f t="shared" si="156"/>
        <v>1.6910028563102657</v>
      </c>
      <c r="BF244" s="39"/>
      <c r="BG244" s="6">
        <f t="shared" si="157"/>
        <v>3.9968039870669942</v>
      </c>
      <c r="BH244" s="9">
        <f t="shared" ca="1" si="158"/>
        <v>34.949436400878483</v>
      </c>
      <c r="BI244" s="9">
        <f t="shared" ca="1" si="159"/>
        <v>-366.40533444537238</v>
      </c>
      <c r="BJ244">
        <f t="shared" ca="1" si="160"/>
        <v>368.06837980837776</v>
      </c>
      <c r="BK244" s="6">
        <f t="shared" ca="1" si="161"/>
        <v>9.4953650783785648E-2</v>
      </c>
      <c r="BL244" s="6">
        <f t="shared" ca="1" si="162"/>
        <v>-0.99548169455938817</v>
      </c>
      <c r="BM244" s="6">
        <f t="shared" ca="1" si="163"/>
        <v>-1.475699407179059</v>
      </c>
      <c r="BN244" s="6">
        <f t="shared" ca="1" si="164"/>
        <v>-0.75056685591121197</v>
      </c>
      <c r="BO244" s="9">
        <f t="shared" ca="1" si="165"/>
        <v>-31.966320196969548</v>
      </c>
      <c r="BP244" s="9">
        <f t="shared" ca="1" si="166"/>
        <v>-218.48629354486596</v>
      </c>
      <c r="BQ244">
        <f t="shared" ca="1" si="167"/>
        <v>220.81237758311582</v>
      </c>
      <c r="BR244">
        <f t="shared" ca="1" si="168"/>
        <v>-0.14476688556526743</v>
      </c>
      <c r="BS244">
        <f t="shared" ca="1" si="169"/>
        <v>-0.98946578962778342</v>
      </c>
      <c r="BT244">
        <f t="shared" ca="1" si="170"/>
        <v>-1.7160736989812753</v>
      </c>
      <c r="BU244" s="39">
        <f t="shared" ca="1" si="171"/>
        <v>-1.7160736989812753</v>
      </c>
    </row>
    <row r="245" spans="45:73" x14ac:dyDescent="0.25">
      <c r="AS245">
        <v>4.2411500823461976</v>
      </c>
      <c r="AT245">
        <v>-26.463177108409894</v>
      </c>
      <c r="AU245">
        <v>-222.13100056847452</v>
      </c>
      <c r="AV245" s="6">
        <f t="shared" si="153"/>
        <v>4.5938146362049217</v>
      </c>
      <c r="AW245" s="6">
        <f t="shared" si="154"/>
        <v>0.35266455385872408</v>
      </c>
      <c r="AX245" s="6">
        <f t="shared" si="155"/>
        <v>1.6893706709746648</v>
      </c>
      <c r="AY245" s="6">
        <f t="shared" si="156"/>
        <v>1.6893706709746648</v>
      </c>
      <c r="BF245" s="39"/>
      <c r="BG245" s="6">
        <f t="shared" si="157"/>
        <v>4.0142572795869373</v>
      </c>
      <c r="BH245" s="9">
        <f t="shared" ca="1" si="158"/>
        <v>35.403140574832776</v>
      </c>
      <c r="BI245" s="9">
        <f t="shared" ca="1" si="159"/>
        <v>-366.77642420380306</v>
      </c>
      <c r="BJ245">
        <f t="shared" ca="1" si="160"/>
        <v>368.48110903313545</v>
      </c>
      <c r="BK245" s="6">
        <f t="shared" ca="1" si="161"/>
        <v>9.6078576911928393E-2</v>
      </c>
      <c r="BL245" s="6">
        <f t="shared" ca="1" si="162"/>
        <v>-0.99537375244607429</v>
      </c>
      <c r="BM245" s="6">
        <f t="shared" ca="1" si="163"/>
        <v>-1.4745693140724867</v>
      </c>
      <c r="BN245" s="6">
        <f t="shared" ca="1" si="164"/>
        <v>-0.74943676280463967</v>
      </c>
      <c r="BO245" s="9">
        <f t="shared" ca="1" si="165"/>
        <v>-31.512616023015255</v>
      </c>
      <c r="BP245" s="9">
        <f t="shared" ca="1" si="166"/>
        <v>-218.85738330329664</v>
      </c>
      <c r="BQ245">
        <f t="shared" ca="1" si="167"/>
        <v>221.11444818233861</v>
      </c>
      <c r="BR245">
        <f t="shared" ca="1" si="168"/>
        <v>-0.14251721803827519</v>
      </c>
      <c r="BS245">
        <f t="shared" ca="1" si="169"/>
        <v>-0.98979232294589492</v>
      </c>
      <c r="BT245">
        <f t="shared" ca="1" si="170"/>
        <v>-1.7138004567559051</v>
      </c>
      <c r="BU245" s="39">
        <f t="shared" ca="1" si="171"/>
        <v>-1.7138004567559051</v>
      </c>
    </row>
    <row r="246" spans="45:73" x14ac:dyDescent="0.25">
      <c r="AS246">
        <v>4.2586033748661407</v>
      </c>
      <c r="AT246">
        <v>-26.121597144054565</v>
      </c>
      <c r="AU246">
        <v>-222.29744512392631</v>
      </c>
      <c r="AV246" s="6">
        <f t="shared" si="153"/>
        <v>4.5954179798807946</v>
      </c>
      <c r="AW246" s="6">
        <f t="shared" si="154"/>
        <v>0.33681460501465388</v>
      </c>
      <c r="AX246" s="6">
        <f t="shared" si="155"/>
        <v>1.6877673272987919</v>
      </c>
      <c r="AY246" s="6">
        <f t="shared" si="156"/>
        <v>1.6877673272987919</v>
      </c>
      <c r="BF246" s="39"/>
      <c r="BG246" s="6">
        <f t="shared" si="157"/>
        <v>4.0317105721068804</v>
      </c>
      <c r="BH246" s="9">
        <f t="shared" ca="1" si="158"/>
        <v>35.844939710899226</v>
      </c>
      <c r="BI246" s="9">
        <f t="shared" ca="1" si="159"/>
        <v>-367.12532087615818</v>
      </c>
      <c r="BJ246">
        <f t="shared" ca="1" si="160"/>
        <v>368.87106274591412</v>
      </c>
      <c r="BK246" s="6">
        <f t="shared" ca="1" si="161"/>
        <v>9.7174713147910846E-2</v>
      </c>
      <c r="BL246" s="6">
        <f t="shared" ca="1" si="162"/>
        <v>-0.99526733851996829</v>
      </c>
      <c r="BM246" s="6">
        <f t="shared" ca="1" si="163"/>
        <v>-1.4734680245128864</v>
      </c>
      <c r="BN246" s="6">
        <f t="shared" ca="1" si="164"/>
        <v>-0.74833547324503935</v>
      </c>
      <c r="BO246" s="9">
        <f t="shared" ca="1" si="165"/>
        <v>-31.070816886948805</v>
      </c>
      <c r="BP246" s="9">
        <f t="shared" ca="1" si="166"/>
        <v>-219.20627997565177</v>
      </c>
      <c r="BQ246">
        <f t="shared" ca="1" si="167"/>
        <v>221.39735509437807</v>
      </c>
      <c r="BR246">
        <f t="shared" ca="1" si="168"/>
        <v>-0.14033960285435129</v>
      </c>
      <c r="BS246">
        <f t="shared" ca="1" si="169"/>
        <v>-0.99010342685533759</v>
      </c>
      <c r="BT246">
        <f t="shared" ca="1" si="170"/>
        <v>-1.7116007305268284</v>
      </c>
      <c r="BU246" s="39">
        <f t="shared" ca="1" si="171"/>
        <v>-1.7116007305268284</v>
      </c>
    </row>
    <row r="247" spans="45:73" x14ac:dyDescent="0.25">
      <c r="AS247">
        <v>4.2760566673860838</v>
      </c>
      <c r="AT247">
        <v>-25.784629505078701</v>
      </c>
      <c r="AU247">
        <v>-222.45505699592911</v>
      </c>
      <c r="AV247" s="6">
        <f t="shared" si="153"/>
        <v>4.5969945282045277</v>
      </c>
      <c r="AW247" s="6">
        <f t="shared" si="154"/>
        <v>0.32093786081844389</v>
      </c>
      <c r="AX247" s="6">
        <f t="shared" si="155"/>
        <v>1.6861907789750588</v>
      </c>
      <c r="AY247" s="6">
        <f t="shared" si="156"/>
        <v>1.6861907789750588</v>
      </c>
      <c r="BF247" s="39"/>
      <c r="BG247" s="6">
        <f t="shared" si="157"/>
        <v>4.0491638646268235</v>
      </c>
      <c r="BH247" s="9">
        <f t="shared" ca="1" si="158"/>
        <v>36.275602229316355</v>
      </c>
      <c r="BI247" s="9">
        <f t="shared" ca="1" si="159"/>
        <v>-367.45365841211526</v>
      </c>
      <c r="BJ247">
        <f t="shared" ca="1" si="160"/>
        <v>369.23990899894216</v>
      </c>
      <c r="BK247" s="6">
        <f t="shared" ca="1" si="161"/>
        <v>9.8243990817959717E-2</v>
      </c>
      <c r="BL247" s="6">
        <f t="shared" ca="1" si="162"/>
        <v>-0.99516235774277584</v>
      </c>
      <c r="BM247" s="6">
        <f t="shared" ca="1" si="163"/>
        <v>-1.4723936056884546</v>
      </c>
      <c r="BN247" s="6">
        <f t="shared" ca="1" si="164"/>
        <v>-0.74726105442060753</v>
      </c>
      <c r="BO247" s="9">
        <f t="shared" ca="1" si="165"/>
        <v>-30.640154368531675</v>
      </c>
      <c r="BP247" s="9">
        <f t="shared" ca="1" si="166"/>
        <v>-219.53461751160884</v>
      </c>
      <c r="BQ247">
        <f t="shared" ca="1" si="167"/>
        <v>221.66250775829423</v>
      </c>
      <c r="BR247">
        <f t="shared" ca="1" si="168"/>
        <v>-0.13822885375790472</v>
      </c>
      <c r="BS247">
        <f t="shared" ca="1" si="169"/>
        <v>-0.990400315018516</v>
      </c>
      <c r="BT247">
        <f t="shared" ca="1" si="170"/>
        <v>-1.7094692038322272</v>
      </c>
      <c r="BU247" s="39">
        <f t="shared" ca="1" si="171"/>
        <v>-1.7094692038322272</v>
      </c>
    </row>
    <row r="248" spans="45:73" x14ac:dyDescent="0.25">
      <c r="AS248">
        <v>4.2935099599060269</v>
      </c>
      <c r="AT248">
        <v>-25.451937791035782</v>
      </c>
      <c r="AU248">
        <v>-222.60430069099141</v>
      </c>
      <c r="AV248" s="6">
        <f t="shared" si="153"/>
        <v>4.5985462166161568</v>
      </c>
      <c r="AW248" s="6">
        <f t="shared" si="154"/>
        <v>0.3050362567101299</v>
      </c>
      <c r="AX248" s="6">
        <f t="shared" si="155"/>
        <v>1.6846390905634296</v>
      </c>
      <c r="AY248" s="6">
        <f t="shared" si="156"/>
        <v>1.6846390905634296</v>
      </c>
      <c r="BF248" s="39"/>
      <c r="BG248" s="6">
        <f t="shared" si="157"/>
        <v>4.0666171571467666</v>
      </c>
      <c r="BH248" s="9">
        <f t="shared" ca="1" si="158"/>
        <v>36.695842693617209</v>
      </c>
      <c r="BI248" s="9">
        <f t="shared" ca="1" si="159"/>
        <v>-367.76291699621947</v>
      </c>
      <c r="BJ248">
        <f t="shared" ca="1" si="160"/>
        <v>369.58916108100749</v>
      </c>
      <c r="BK248" s="6">
        <f t="shared" ca="1" si="161"/>
        <v>9.9288200406867783E-2</v>
      </c>
      <c r="BL248" s="6">
        <f t="shared" ca="1" si="162"/>
        <v>-0.99505871849854455</v>
      </c>
      <c r="BM248" s="6">
        <f t="shared" ca="1" si="163"/>
        <v>-1.4713442654864464</v>
      </c>
      <c r="BN248" s="6">
        <f t="shared" ca="1" si="164"/>
        <v>-0.74621171421859933</v>
      </c>
      <c r="BO248" s="9">
        <f t="shared" ca="1" si="165"/>
        <v>-30.219913904230822</v>
      </c>
      <c r="BP248" s="9">
        <f t="shared" ca="1" si="166"/>
        <v>-219.84387609571306</v>
      </c>
      <c r="BQ248">
        <f t="shared" ca="1" si="167"/>
        <v>221.91118280331517</v>
      </c>
      <c r="BR248">
        <f t="shared" ca="1" si="168"/>
        <v>-0.13618022094459029</v>
      </c>
      <c r="BS248">
        <f t="shared" ca="1" si="169"/>
        <v>-0.99068408053399271</v>
      </c>
      <c r="BT248">
        <f t="shared" ca="1" si="170"/>
        <v>-1.7074010111922018</v>
      </c>
      <c r="BU248" s="39">
        <f t="shared" ca="1" si="171"/>
        <v>-1.7074010111922018</v>
      </c>
    </row>
    <row r="249" spans="45:73" x14ac:dyDescent="0.25">
      <c r="AS249">
        <v>4.31096325242597</v>
      </c>
      <c r="AT249">
        <v>-25.123199393266621</v>
      </c>
      <c r="AU249">
        <v>-222.74560381254179</v>
      </c>
      <c r="AV249" s="6">
        <f t="shared" si="153"/>
        <v>4.6000748807388767</v>
      </c>
      <c r="AW249" s="6">
        <f t="shared" si="154"/>
        <v>0.28911162831290671</v>
      </c>
      <c r="AX249" s="6">
        <f t="shared" si="155"/>
        <v>1.6831104264407097</v>
      </c>
      <c r="AY249" s="6">
        <f t="shared" si="156"/>
        <v>1.6831104264407097</v>
      </c>
      <c r="BF249" s="39"/>
      <c r="BG249" s="6">
        <f t="shared" si="157"/>
        <v>4.0840704496667097</v>
      </c>
      <c r="BH249" s="9">
        <f t="shared" ca="1" si="158"/>
        <v>37.106326940977752</v>
      </c>
      <c r="BI249" s="9">
        <f t="shared" ca="1" si="159"/>
        <v>-368.05443984325666</v>
      </c>
      <c r="BJ249">
        <f t="shared" ca="1" si="160"/>
        <v>369.92019434924634</v>
      </c>
      <c r="BK249" s="6">
        <f t="shared" ca="1" si="161"/>
        <v>0.10030900585531483</v>
      </c>
      <c r="BL249" s="6">
        <f t="shared" ca="1" si="162"/>
        <v>-0.99495633238063175</v>
      </c>
      <c r="BM249" s="6">
        <f t="shared" ca="1" si="163"/>
        <v>-1.4703183382117149</v>
      </c>
      <c r="BN249" s="6">
        <f t="shared" ca="1" si="164"/>
        <v>-0.74518578694386783</v>
      </c>
      <c r="BO249" s="9">
        <f t="shared" ca="1" si="165"/>
        <v>-29.809429656870279</v>
      </c>
      <c r="BP249" s="9">
        <f t="shared" ca="1" si="166"/>
        <v>-220.13539894275024</v>
      </c>
      <c r="BQ249">
        <f t="shared" ca="1" si="167"/>
        <v>222.14453845222417</v>
      </c>
      <c r="BR249">
        <f t="shared" ca="1" si="168"/>
        <v>-0.1341893429591621</v>
      </c>
      <c r="BS249">
        <f t="shared" ca="1" si="169"/>
        <v>-0.99095571053210463</v>
      </c>
      <c r="BT249">
        <f t="shared" ca="1" si="170"/>
        <v>-1.705391688080528</v>
      </c>
      <c r="BU249" s="39">
        <f t="shared" ca="1" si="171"/>
        <v>-1.705391688080528</v>
      </c>
    </row>
    <row r="250" spans="45:73" x14ac:dyDescent="0.25">
      <c r="AS250">
        <v>4.3284165449459131</v>
      </c>
      <c r="AT250">
        <v>-25.186549093497295</v>
      </c>
      <c r="AU250">
        <v>-222.71950471314716</v>
      </c>
      <c r="AV250" s="6">
        <f t="shared" si="153"/>
        <v>4.599780975323041</v>
      </c>
      <c r="AW250" s="6">
        <f t="shared" si="154"/>
        <v>0.27136443037712787</v>
      </c>
      <c r="AX250" s="6">
        <f t="shared" si="155"/>
        <v>1.6834043318565455</v>
      </c>
      <c r="AY250" s="6">
        <f t="shared" si="156"/>
        <v>1.6834043318565455</v>
      </c>
      <c r="BF250" s="39"/>
      <c r="BG250" s="6">
        <f t="shared" si="157"/>
        <v>4.1015237421866528</v>
      </c>
      <c r="BH250" s="9">
        <f t="shared" ca="1" si="158"/>
        <v>37.507676678421774</v>
      </c>
      <c r="BI250" s="9">
        <f t="shared" ca="1" si="159"/>
        <v>-368.32944791150305</v>
      </c>
      <c r="BJ250">
        <f t="shared" ca="1" si="160"/>
        <v>370.23426098702112</v>
      </c>
      <c r="BK250" s="6">
        <f t="shared" ca="1" si="161"/>
        <v>0.10130795723342481</v>
      </c>
      <c r="BL250" s="6">
        <f t="shared" ca="1" si="162"/>
        <v>-0.99485511397448756</v>
      </c>
      <c r="BM250" s="6">
        <f t="shared" ca="1" si="163"/>
        <v>-1.4693142719259213</v>
      </c>
      <c r="BN250" s="6">
        <f t="shared" ca="1" si="164"/>
        <v>-0.74418172065807431</v>
      </c>
      <c r="BO250" s="9">
        <f t="shared" ca="1" si="165"/>
        <v>-29.408079919426257</v>
      </c>
      <c r="BP250" s="9">
        <f t="shared" ca="1" si="166"/>
        <v>-220.41040701099664</v>
      </c>
      <c r="BQ250">
        <f t="shared" ca="1" si="167"/>
        <v>222.36362715898605</v>
      </c>
      <c r="BR250">
        <f t="shared" ca="1" si="168"/>
        <v>-0.13225220462157689</v>
      </c>
      <c r="BS250">
        <f t="shared" ca="1" si="169"/>
        <v>-0.99121609872556682</v>
      </c>
      <c r="BT250">
        <f t="shared" ca="1" si="170"/>
        <v>-1.7034371272177082</v>
      </c>
      <c r="BU250" s="39">
        <f t="shared" ca="1" si="171"/>
        <v>-1.7034371272177082</v>
      </c>
    </row>
    <row r="251" spans="45:73" x14ac:dyDescent="0.25">
      <c r="AS251">
        <v>4.3458698374658562</v>
      </c>
      <c r="AT251">
        <v>-24.863831916919743</v>
      </c>
      <c r="AU251">
        <v>-222.84829883260215</v>
      </c>
      <c r="AV251" s="6">
        <f t="shared" si="153"/>
        <v>4.6012756208065184</v>
      </c>
      <c r="AW251" s="6">
        <f t="shared" si="154"/>
        <v>0.25540578334066222</v>
      </c>
      <c r="AX251" s="6">
        <f t="shared" si="155"/>
        <v>1.6819096863730678</v>
      </c>
      <c r="AY251" s="6">
        <f t="shared" si="156"/>
        <v>1.6819096863730678</v>
      </c>
      <c r="BF251" s="39"/>
      <c r="BG251" s="6">
        <f t="shared" si="157"/>
        <v>4.1189770347065959</v>
      </c>
      <c r="BH251" s="9">
        <f t="shared" ca="1" si="158"/>
        <v>37.900473585552376</v>
      </c>
      <c r="BI251" s="9">
        <f t="shared" ca="1" si="159"/>
        <v>-368.5890527447109</v>
      </c>
      <c r="BJ251">
        <f t="shared" ca="1" si="160"/>
        <v>370.53250289448619</v>
      </c>
      <c r="BK251" s="6">
        <f t="shared" ca="1" si="161"/>
        <v>0.10228650196537553</v>
      </c>
      <c r="BL251" s="6">
        <f t="shared" ca="1" si="162"/>
        <v>-0.99475498064382029</v>
      </c>
      <c r="BM251" s="6">
        <f t="shared" ca="1" si="163"/>
        <v>-1.4683306172332797</v>
      </c>
      <c r="BN251" s="6">
        <f t="shared" ca="1" si="164"/>
        <v>-0.7431980659654327</v>
      </c>
      <c r="BO251" s="9">
        <f t="shared" ca="1" si="165"/>
        <v>-29.015283012295654</v>
      </c>
      <c r="BP251" s="9">
        <f t="shared" ca="1" si="166"/>
        <v>-220.67001184420448</v>
      </c>
      <c r="BQ251">
        <f t="shared" ca="1" si="167"/>
        <v>222.569406647915</v>
      </c>
      <c r="BR251">
        <f t="shared" ca="1" si="168"/>
        <v>-0.13036510025924294</v>
      </c>
      <c r="BS251">
        <f t="shared" ca="1" si="169"/>
        <v>-0.99146605621896999</v>
      </c>
      <c r="BT251">
        <f t="shared" ca="1" si="170"/>
        <v>-1.7015335404145706</v>
      </c>
      <c r="BU251" s="39">
        <f t="shared" ca="1" si="171"/>
        <v>-1.7015335404145706</v>
      </c>
    </row>
    <row r="252" spans="45:73" x14ac:dyDescent="0.25">
      <c r="AS252">
        <v>4.3633231299857993</v>
      </c>
      <c r="AT252">
        <v>-24.544164506733296</v>
      </c>
      <c r="AU252">
        <v>-222.97025836319986</v>
      </c>
      <c r="AV252" s="6">
        <f t="shared" si="153"/>
        <v>4.6027521900057087</v>
      </c>
      <c r="AW252" s="6">
        <f t="shared" si="154"/>
        <v>0.23942906001990938</v>
      </c>
      <c r="AX252" s="6">
        <f t="shared" si="155"/>
        <v>1.6804331171738778</v>
      </c>
      <c r="AY252" s="6">
        <f t="shared" si="156"/>
        <v>1.6804331171738778</v>
      </c>
      <c r="BF252" s="39"/>
      <c r="BG252" s="6">
        <f t="shared" si="157"/>
        <v>4.136430327226539</v>
      </c>
      <c r="BH252" s="9">
        <f t="shared" ca="1" si="158"/>
        <v>38.285263015212635</v>
      </c>
      <c r="BI252" s="9">
        <f t="shared" ca="1" si="159"/>
        <v>-368.83426779533306</v>
      </c>
      <c r="BJ252">
        <f t="shared" ca="1" si="160"/>
        <v>370.81596306559334</v>
      </c>
      <c r="BK252" s="6">
        <f t="shared" ca="1" si="161"/>
        <v>0.10324599485605312</v>
      </c>
      <c r="BL252" s="6">
        <f t="shared" ca="1" si="162"/>
        <v>-0.99465585231585696</v>
      </c>
      <c r="BM252" s="6">
        <f t="shared" ca="1" si="163"/>
        <v>-1.4673660172618868</v>
      </c>
      <c r="BN252" s="6">
        <f t="shared" ca="1" si="164"/>
        <v>-0.74223346599403972</v>
      </c>
      <c r="BO252" s="9">
        <f t="shared" ca="1" si="165"/>
        <v>-28.630493582635395</v>
      </c>
      <c r="BP252" s="9">
        <f t="shared" ca="1" si="166"/>
        <v>-220.91522689482665</v>
      </c>
      <c r="BQ252">
        <f t="shared" ca="1" si="167"/>
        <v>222.76274966155825</v>
      </c>
      <c r="BR252">
        <f t="shared" ca="1" si="168"/>
        <v>-0.12852460129053661</v>
      </c>
      <c r="BS252">
        <f t="shared" ca="1" si="169"/>
        <v>-0.99170632087483868</v>
      </c>
      <c r="BT252">
        <f t="shared" ca="1" si="170"/>
        <v>-1.6996774249688709</v>
      </c>
      <c r="BU252" s="39">
        <f t="shared" ca="1" si="171"/>
        <v>-1.6996774249688709</v>
      </c>
    </row>
    <row r="253" spans="45:73" x14ac:dyDescent="0.25">
      <c r="AS253">
        <v>4.3807764225057424</v>
      </c>
      <c r="AT253">
        <v>-24.227265717465606</v>
      </c>
      <c r="AU253">
        <v>-223.08569265957914</v>
      </c>
      <c r="AV253" s="6">
        <f t="shared" si="153"/>
        <v>4.6042122191452481</v>
      </c>
      <c r="AW253" s="6">
        <f t="shared" si="154"/>
        <v>0.22343579663950575</v>
      </c>
      <c r="AX253" s="6">
        <f t="shared" si="155"/>
        <v>1.6789730880343383</v>
      </c>
      <c r="AY253" s="6">
        <f t="shared" si="156"/>
        <v>1.6789730880343383</v>
      </c>
      <c r="BF253" s="39"/>
      <c r="BG253" s="6">
        <f t="shared" si="157"/>
        <v>4.1538836197464821</v>
      </c>
      <c r="BH253" s="9">
        <f t="shared" ca="1" si="158"/>
        <v>38.662557313621264</v>
      </c>
      <c r="BI253" s="9">
        <f t="shared" ca="1" si="159"/>
        <v>-369.06601834955507</v>
      </c>
      <c r="BJ253">
        <f t="shared" ca="1" si="160"/>
        <v>371.08559556849303</v>
      </c>
      <c r="BK253" s="6">
        <f t="shared" ca="1" si="161"/>
        <v>0.10418770702859344</v>
      </c>
      <c r="BL253" s="6">
        <f t="shared" ca="1" si="162"/>
        <v>-0.99455765127222462</v>
      </c>
      <c r="BM253" s="6">
        <f t="shared" ca="1" si="163"/>
        <v>-1.4664191987323618</v>
      </c>
      <c r="BN253" s="6">
        <f t="shared" ca="1" si="164"/>
        <v>-0.74128664746451478</v>
      </c>
      <c r="BO253" s="9">
        <f t="shared" ca="1" si="165"/>
        <v>-28.253199284226767</v>
      </c>
      <c r="BP253" s="9">
        <f t="shared" ca="1" si="166"/>
        <v>-221.14697744904865</v>
      </c>
      <c r="BQ253">
        <f t="shared" ca="1" si="167"/>
        <v>222.94445250923889</v>
      </c>
      <c r="BR253">
        <f t="shared" ca="1" si="168"/>
        <v>-0.12672752771480575</v>
      </c>
      <c r="BS253">
        <f t="shared" ca="1" si="169"/>
        <v>-0.99193756543408163</v>
      </c>
      <c r="BT253">
        <f t="shared" ca="1" si="170"/>
        <v>-1.6978655341385736</v>
      </c>
      <c r="BU253" s="39">
        <f t="shared" ca="1" si="171"/>
        <v>-1.6978655341385736</v>
      </c>
    </row>
    <row r="254" spans="45:73" x14ac:dyDescent="0.25">
      <c r="AS254">
        <v>4.3982297150256855</v>
      </c>
      <c r="AT254">
        <v>-23.912862020360777</v>
      </c>
      <c r="AU254">
        <v>-223.19488669231464</v>
      </c>
      <c r="AV254" s="6">
        <f t="shared" si="153"/>
        <v>4.605657187303458</v>
      </c>
      <c r="AW254" s="6">
        <f t="shared" si="154"/>
        <v>0.20742747227777247</v>
      </c>
      <c r="AX254" s="6">
        <f t="shared" si="155"/>
        <v>1.6775281198761285</v>
      </c>
      <c r="AY254" s="6">
        <f t="shared" si="156"/>
        <v>1.6775281198761285</v>
      </c>
      <c r="BF254" s="39"/>
      <c r="BG254" s="6">
        <f t="shared" si="157"/>
        <v>4.1713369122664252</v>
      </c>
      <c r="BH254" s="9">
        <f t="shared" ca="1" si="158"/>
        <v>39.032838827592315</v>
      </c>
      <c r="BI254" s="9">
        <f t="shared" ca="1" si="159"/>
        <v>-369.28515030766414</v>
      </c>
      <c r="BJ254">
        <f t="shared" ca="1" si="160"/>
        <v>371.34227438401746</v>
      </c>
      <c r="BK254" s="6">
        <f t="shared" ca="1" si="161"/>
        <v>0.10511283395444267</v>
      </c>
      <c r="BL254" s="6">
        <f t="shared" ca="1" si="162"/>
        <v>-0.99446030194174451</v>
      </c>
      <c r="BM254" s="6">
        <f t="shared" ca="1" si="163"/>
        <v>-1.465488963932176</v>
      </c>
      <c r="BN254" s="6">
        <f t="shared" ca="1" si="164"/>
        <v>-0.74035641266432894</v>
      </c>
      <c r="BO254" s="9">
        <f t="shared" ca="1" si="165"/>
        <v>-27.882917770255716</v>
      </c>
      <c r="BP254" s="9">
        <f t="shared" ca="1" si="166"/>
        <v>-221.36610940715772</v>
      </c>
      <c r="BQ254">
        <f t="shared" ca="1" si="167"/>
        <v>223.11524263806936</v>
      </c>
      <c r="BR254">
        <f t="shared" ca="1" si="168"/>
        <v>-0.12497092283150964</v>
      </c>
      <c r="BS254">
        <f t="shared" ca="1" si="169"/>
        <v>-0.99216040459526544</v>
      </c>
      <c r="BT254">
        <f t="shared" ca="1" si="170"/>
        <v>-1.6960948509859564</v>
      </c>
      <c r="BU254" s="39">
        <f t="shared" ca="1" si="171"/>
        <v>-1.6960948509859564</v>
      </c>
    </row>
    <row r="255" spans="45:73" x14ac:dyDescent="0.25">
      <c r="AS255">
        <v>4.4156830075456286</v>
      </c>
      <c r="AT255">
        <v>-23.600686447563845</v>
      </c>
      <c r="AU255">
        <v>-223.29810281963779</v>
      </c>
      <c r="AV255" s="6">
        <f t="shared" si="153"/>
        <v>4.6070885232879002</v>
      </c>
      <c r="AW255" s="6">
        <f t="shared" si="154"/>
        <v>0.1914055157422716</v>
      </c>
      <c r="AX255" s="6">
        <f t="shared" si="155"/>
        <v>1.6760967838916863</v>
      </c>
      <c r="AY255" s="6">
        <f t="shared" si="156"/>
        <v>1.6760967838916863</v>
      </c>
      <c r="BF255" s="39"/>
      <c r="BG255" s="6">
        <f t="shared" si="157"/>
        <v>4.1887902047863683</v>
      </c>
      <c r="BH255" s="9">
        <f t="shared" ca="1" si="158"/>
        <v>39.396562623298145</v>
      </c>
      <c r="BI255" s="9">
        <f t="shared" ca="1" si="159"/>
        <v>-369.49243792962136</v>
      </c>
      <c r="BJ255">
        <f t="shared" ca="1" si="160"/>
        <v>371.58680121030477</v>
      </c>
      <c r="BK255" s="6">
        <f t="shared" ca="1" si="161"/>
        <v>0.10602250266957439</v>
      </c>
      <c r="BL255" s="6">
        <f t="shared" ca="1" si="162"/>
        <v>-0.99436373069801776</v>
      </c>
      <c r="BM255" s="6">
        <f t="shared" ca="1" si="163"/>
        <v>-1.4645741835023676</v>
      </c>
      <c r="BN255" s="6">
        <f t="shared" ca="1" si="164"/>
        <v>-0.73944163223452053</v>
      </c>
      <c r="BO255" s="9">
        <f t="shared" ca="1" si="165"/>
        <v>-27.519193974549886</v>
      </c>
      <c r="BP255" s="9">
        <f t="shared" ca="1" si="166"/>
        <v>-221.57339702911494</v>
      </c>
      <c r="BQ255">
        <f t="shared" ca="1" si="167"/>
        <v>223.27578531500163</v>
      </c>
      <c r="BR255">
        <f t="shared" ca="1" si="168"/>
        <v>-0.12325203082692239</v>
      </c>
      <c r="BS255">
        <f t="shared" ca="1" si="169"/>
        <v>-0.99237540119505152</v>
      </c>
      <c r="BT255">
        <f t="shared" ca="1" si="170"/>
        <v>-1.6943625652093708</v>
      </c>
      <c r="BU255" s="39">
        <f t="shared" ca="1" si="171"/>
        <v>-1.6943625652093708</v>
      </c>
    </row>
    <row r="256" spans="45:73" x14ac:dyDescent="0.25">
      <c r="AS256">
        <v>4.4331363000655717</v>
      </c>
      <c r="AT256">
        <v>-23.290477567160565</v>
      </c>
      <c r="AU256">
        <v>-223.39558238729114</v>
      </c>
      <c r="AV256" s="6">
        <f t="shared" si="153"/>
        <v>4.6085076121499924</v>
      </c>
      <c r="AW256" s="6">
        <f t="shared" si="154"/>
        <v>0.17537131208442069</v>
      </c>
      <c r="AX256" s="6">
        <f t="shared" si="155"/>
        <v>1.6746776950295941</v>
      </c>
      <c r="AY256" s="6">
        <f t="shared" si="156"/>
        <v>1.6746776950295941</v>
      </c>
      <c r="BF256" s="39"/>
      <c r="BG256" s="6">
        <f t="shared" si="157"/>
        <v>4.2062434973063114</v>
      </c>
      <c r="BH256" s="9">
        <f t="shared" ca="1" si="158"/>
        <v>39.754158953466685</v>
      </c>
      <c r="BI256" s="9">
        <f t="shared" ca="1" si="159"/>
        <v>-369.68859068729125</v>
      </c>
      <c r="BJ256">
        <f t="shared" ca="1" si="160"/>
        <v>371.81991237486602</v>
      </c>
      <c r="BK256" s="6">
        <f t="shared" ca="1" si="161"/>
        <v>0.10691777828559876</v>
      </c>
      <c r="BL256" s="6">
        <f t="shared" ca="1" si="162"/>
        <v>-0.99426786566119685</v>
      </c>
      <c r="BM256" s="6">
        <f t="shared" ca="1" si="163"/>
        <v>-1.463673789928033</v>
      </c>
      <c r="BN256" s="6">
        <f t="shared" ca="1" si="164"/>
        <v>-0.73854123866018595</v>
      </c>
      <c r="BO256" s="9">
        <f t="shared" ca="1" si="165"/>
        <v>-27.161597644381345</v>
      </c>
      <c r="BP256" s="9">
        <f t="shared" ca="1" si="166"/>
        <v>-221.76954978678484</v>
      </c>
      <c r="BQ256">
        <f t="shared" ca="1" si="167"/>
        <v>223.426689540951</v>
      </c>
      <c r="BR256">
        <f t="shared" ca="1" si="168"/>
        <v>-0.12156827682577735</v>
      </c>
      <c r="BS256">
        <f t="shared" ca="1" si="169"/>
        <v>-0.99258307162151982</v>
      </c>
      <c r="BT256">
        <f t="shared" ca="1" si="170"/>
        <v>-1.6926660525413615</v>
      </c>
      <c r="BU256" s="39">
        <f t="shared" ca="1" si="171"/>
        <v>-1.6926660525413615</v>
      </c>
    </row>
    <row r="257" spans="45:73" x14ac:dyDescent="0.25">
      <c r="AS257">
        <v>4.4505895925855148</v>
      </c>
      <c r="AT257">
        <v>-22.981978480378523</v>
      </c>
      <c r="AU257">
        <v>-223.48754717208442</v>
      </c>
      <c r="AV257" s="6">
        <f t="shared" si="153"/>
        <v>4.6099158014034547</v>
      </c>
      <c r="AW257" s="6">
        <f t="shared" si="154"/>
        <v>0.15932620881793991</v>
      </c>
      <c r="AX257" s="6">
        <f t="shared" si="155"/>
        <v>1.6732695057761318</v>
      </c>
      <c r="AY257" s="6">
        <f t="shared" si="156"/>
        <v>1.6732695057761318</v>
      </c>
      <c r="BF257" s="39"/>
      <c r="BG257" s="6">
        <f t="shared" si="157"/>
        <v>4.2236967898262545</v>
      </c>
      <c r="BH257" s="9">
        <f t="shared" ca="1" si="158"/>
        <v>40.10603551254961</v>
      </c>
      <c r="BI257" s="9">
        <f t="shared" ca="1" si="159"/>
        <v>-369.87425936716318</v>
      </c>
      <c r="BJ257">
        <f t="shared" ca="1" si="160"/>
        <v>372.04228499854878</v>
      </c>
      <c r="BK257" s="6">
        <f t="shared" ca="1" si="161"/>
        <v>0.1077996699023232</v>
      </c>
      <c r="BL257" s="6">
        <f t="shared" ca="1" si="162"/>
        <v>-0.99417263650180498</v>
      </c>
      <c r="BM257" s="6">
        <f t="shared" ca="1" si="163"/>
        <v>-1.4627867716260596</v>
      </c>
      <c r="BN257" s="6">
        <f t="shared" ca="1" si="164"/>
        <v>-0.7376542203582126</v>
      </c>
      <c r="BO257" s="9">
        <f t="shared" ca="1" si="165"/>
        <v>-26.80972108529842</v>
      </c>
      <c r="BP257" s="9">
        <f t="shared" ca="1" si="166"/>
        <v>-221.95521846665676</v>
      </c>
      <c r="BQ257">
        <f t="shared" ca="1" si="167"/>
        <v>223.56851332254465</v>
      </c>
      <c r="BR257">
        <f t="shared" ca="1" si="168"/>
        <v>-0.11991724902074986</v>
      </c>
      <c r="BS257">
        <f t="shared" ca="1" si="169"/>
        <v>-0.99278389057603844</v>
      </c>
      <c r="BT257">
        <f t="shared" ca="1" si="170"/>
        <v>-1.6910028563102653</v>
      </c>
      <c r="BU257" s="39">
        <f t="shared" ca="1" si="171"/>
        <v>-1.6910028563102653</v>
      </c>
    </row>
    <row r="258" spans="45:73" x14ac:dyDescent="0.25">
      <c r="AS258">
        <v>4.4680428851054579</v>
      </c>
      <c r="AT258">
        <v>-22.674935838822751</v>
      </c>
      <c r="AU258">
        <v>-223.57420066216304</v>
      </c>
      <c r="AV258" s="6">
        <f t="shared" si="153"/>
        <v>4.6113144069697389</v>
      </c>
      <c r="AW258" s="6">
        <f t="shared" si="154"/>
        <v>0.14327152186428105</v>
      </c>
      <c r="AX258" s="6">
        <f t="shared" si="155"/>
        <v>1.6718709002098475</v>
      </c>
      <c r="AY258" s="6">
        <f t="shared" si="156"/>
        <v>1.6718709002098475</v>
      </c>
      <c r="BF258" s="39"/>
      <c r="BG258" s="6">
        <f t="shared" si="157"/>
        <v>4.2411500823461976</v>
      </c>
      <c r="BH258" s="9">
        <f t="shared" ca="1" si="158"/>
        <v>40.452579489438136</v>
      </c>
      <c r="BI258" s="9">
        <f t="shared" ca="1" si="159"/>
        <v>-370.05004146898091</v>
      </c>
      <c r="BJ258">
        <f t="shared" ca="1" si="160"/>
        <v>372.25454245521814</v>
      </c>
      <c r="BK258" s="6">
        <f t="shared" ca="1" si="161"/>
        <v>0.10866913596979019</v>
      </c>
      <c r="BL258" s="6">
        <f t="shared" ca="1" si="162"/>
        <v>-0.99407797424929356</v>
      </c>
      <c r="BM258" s="6">
        <f t="shared" ca="1" si="163"/>
        <v>-1.4619121675823421</v>
      </c>
      <c r="BN258" s="6">
        <f t="shared" ca="1" si="164"/>
        <v>-0.73677961631449507</v>
      </c>
      <c r="BO258" s="9">
        <f t="shared" ca="1" si="165"/>
        <v>-26.463177108409894</v>
      </c>
      <c r="BP258" s="9">
        <f t="shared" ca="1" si="166"/>
        <v>-222.13100056847449</v>
      </c>
      <c r="BQ258">
        <f t="shared" ca="1" si="167"/>
        <v>223.70176833503729</v>
      </c>
      <c r="BR258">
        <f t="shared" ca="1" si="168"/>
        <v>-0.1182966827011224</v>
      </c>
      <c r="BS258">
        <f t="shared" ca="1" si="169"/>
        <v>-0.99297829526224279</v>
      </c>
      <c r="BT258">
        <f t="shared" ca="1" si="170"/>
        <v>-1.6893706709746645</v>
      </c>
      <c r="BU258" s="39">
        <f t="shared" ca="1" si="171"/>
        <v>-1.6893706709746645</v>
      </c>
    </row>
    <row r="259" spans="45:73" x14ac:dyDescent="0.25">
      <c r="AS259">
        <v>4.485496177625401</v>
      </c>
      <c r="AT259">
        <v>-22.369098868554751</v>
      </c>
      <c r="AU259">
        <v>-223.65572919904213</v>
      </c>
      <c r="AV259" s="6">
        <f t="shared" ref="AV259:AV322" si="172">IF(AS259&lt;&gt;"",IF(AND(AT259=0,AU259=0),0,MOD(ATAN2(AT259,AU259),2*PI())),NA())</f>
        <v>4.6127047189358183</v>
      </c>
      <c r="AW259" s="6">
        <f t="shared" ref="AW259:AW322" si="173">ABS(AS259-AV259)</f>
        <v>0.12720854131041737</v>
      </c>
      <c r="AX259" s="6">
        <f t="shared" ref="AX259:AX322" si="174">ATAN2(COS($U$13-AV259),SIN($U$13-AV259))</f>
        <v>1.6704805882437681</v>
      </c>
      <c r="AY259" s="6">
        <f t="shared" ref="AY259:AY322" si="175">ABS(AX259)</f>
        <v>1.6704805882437681</v>
      </c>
      <c r="BF259" s="39"/>
      <c r="BG259" s="6">
        <f t="shared" si="157"/>
        <v>4.2586033748661407</v>
      </c>
      <c r="BH259" s="9">
        <f t="shared" ca="1" si="158"/>
        <v>40.794159453793469</v>
      </c>
      <c r="BI259" s="9">
        <f t="shared" ca="1" si="159"/>
        <v>-370.2164860244327</v>
      </c>
      <c r="BJ259">
        <f t="shared" ca="1" si="160"/>
        <v>372.45725925241476</v>
      </c>
      <c r="BK259" s="6">
        <f t="shared" ca="1" si="161"/>
        <v>0.10952708919051357</v>
      </c>
      <c r="BL259" s="6">
        <f t="shared" ca="1" si="162"/>
        <v>-0.99398381110230027</v>
      </c>
      <c r="BM259" s="6">
        <f t="shared" ca="1" si="163"/>
        <v>-1.4610490624476991</v>
      </c>
      <c r="BN259" s="6">
        <f t="shared" ca="1" si="164"/>
        <v>-0.73591651117985202</v>
      </c>
      <c r="BO259" s="9">
        <f t="shared" ca="1" si="165"/>
        <v>-26.121597144054562</v>
      </c>
      <c r="BP259" s="9">
        <f t="shared" ca="1" si="166"/>
        <v>-222.29744512392628</v>
      </c>
      <c r="BQ259">
        <f t="shared" ca="1" si="167"/>
        <v>223.82692408640497</v>
      </c>
      <c r="BR259">
        <f t="shared" ca="1" si="168"/>
        <v>-0.11670444586001065</v>
      </c>
      <c r="BS259">
        <f t="shared" ca="1" si="169"/>
        <v>-0.99316668908925243</v>
      </c>
      <c r="BT259">
        <f t="shared" ca="1" si="170"/>
        <v>-1.6877673272987916</v>
      </c>
      <c r="BU259" s="39">
        <f t="shared" ca="1" si="171"/>
        <v>-1.6877673272987916</v>
      </c>
    </row>
    <row r="260" spans="45:73" x14ac:dyDescent="0.25">
      <c r="AS260">
        <v>4.5029494701453441</v>
      </c>
      <c r="AT260">
        <v>-22.064218382340258</v>
      </c>
      <c r="AU260">
        <v>-223.73230302075174</v>
      </c>
      <c r="AV260" s="6">
        <f t="shared" si="172"/>
        <v>4.6140880072378012</v>
      </c>
      <c r="AW260" s="6">
        <f t="shared" si="173"/>
        <v>0.11113853709245713</v>
      </c>
      <c r="AX260" s="6">
        <f t="shared" si="174"/>
        <v>1.6690972999417852</v>
      </c>
      <c r="AY260" s="6">
        <f t="shared" si="175"/>
        <v>1.6690972999417852</v>
      </c>
      <c r="BF260" s="39"/>
      <c r="BG260" s="6">
        <f t="shared" si="157"/>
        <v>4.2760566673860838</v>
      </c>
      <c r="BH260" s="9">
        <f t="shared" ca="1" si="158"/>
        <v>41.131127092769333</v>
      </c>
      <c r="BI260" s="9">
        <f t="shared" ca="1" si="159"/>
        <v>-370.3740978964355</v>
      </c>
      <c r="BJ260">
        <f t="shared" ca="1" si="160"/>
        <v>372.65096539324827</v>
      </c>
      <c r="BK260" s="6">
        <f t="shared" ca="1" si="161"/>
        <v>0.1103744010145386</v>
      </c>
      <c r="BL260" s="6">
        <f t="shared" ca="1" si="162"/>
        <v>-0.99389008024060788</v>
      </c>
      <c r="BM260" s="6">
        <f t="shared" ca="1" si="163"/>
        <v>-1.4601965820399614</v>
      </c>
      <c r="BN260" s="6">
        <f t="shared" ca="1" si="164"/>
        <v>-0.73506403077211435</v>
      </c>
      <c r="BO260" s="9">
        <f t="shared" ca="1" si="165"/>
        <v>-25.784629505078698</v>
      </c>
      <c r="BP260" s="9">
        <f t="shared" ca="1" si="166"/>
        <v>-222.45505699592908</v>
      </c>
      <c r="BQ260">
        <f t="shared" ca="1" si="167"/>
        <v>223.94441163328062</v>
      </c>
      <c r="BR260">
        <f t="shared" ca="1" si="168"/>
        <v>-0.11513852619507303</v>
      </c>
      <c r="BS260">
        <f t="shared" ca="1" si="169"/>
        <v>-0.99334944495158728</v>
      </c>
      <c r="BT260">
        <f t="shared" ca="1" si="170"/>
        <v>-1.6861907789750581</v>
      </c>
      <c r="BU260" s="39">
        <f t="shared" ca="1" si="171"/>
        <v>-1.6861907789750581</v>
      </c>
    </row>
    <row r="261" spans="45:73" x14ac:dyDescent="0.25">
      <c r="AS261">
        <v>4.5204027626652872</v>
      </c>
      <c r="AT261">
        <v>-21.760045790804256</v>
      </c>
      <c r="AU261">
        <v>-223.80407715063848</v>
      </c>
      <c r="AV261" s="6">
        <f t="shared" si="172"/>
        <v>4.6154655272099303</v>
      </c>
      <c r="AW261" s="6">
        <f t="shared" si="173"/>
        <v>9.506276454464313E-2</v>
      </c>
      <c r="AX261" s="6">
        <f t="shared" si="174"/>
        <v>1.6677197799696561</v>
      </c>
      <c r="AY261" s="6">
        <f t="shared" si="175"/>
        <v>1.6677197799696561</v>
      </c>
      <c r="BF261" s="39"/>
      <c r="BG261" s="6">
        <f t="shared" si="157"/>
        <v>4.2935099599060269</v>
      </c>
      <c r="BH261" s="9">
        <f t="shared" ca="1" si="158"/>
        <v>41.463818806812249</v>
      </c>
      <c r="BI261" s="9">
        <f t="shared" ca="1" si="159"/>
        <v>-370.5233415914978</v>
      </c>
      <c r="BJ261">
        <f t="shared" ca="1" si="160"/>
        <v>372.83615025125169</v>
      </c>
      <c r="BK261" s="6">
        <f t="shared" ca="1" si="161"/>
        <v>0.11121190576308136</v>
      </c>
      <c r="BL261" s="6">
        <f t="shared" ca="1" si="162"/>
        <v>-0.99379671563984529</v>
      </c>
      <c r="BM261" s="6">
        <f t="shared" ca="1" si="163"/>
        <v>-1.459353889216608</v>
      </c>
      <c r="BN261" s="6">
        <f t="shared" ca="1" si="164"/>
        <v>-0.73422133794876099</v>
      </c>
      <c r="BO261" s="9">
        <f t="shared" ca="1" si="165"/>
        <v>-25.451937791035782</v>
      </c>
      <c r="BP261" s="9">
        <f t="shared" ca="1" si="166"/>
        <v>-222.60430069099138</v>
      </c>
      <c r="BQ261">
        <f t="shared" ca="1" si="167"/>
        <v>224.05462687354631</v>
      </c>
      <c r="BR261">
        <f t="shared" ca="1" si="168"/>
        <v>-0.1135970193795665</v>
      </c>
      <c r="BS261">
        <f t="shared" ca="1" si="169"/>
        <v>-0.99352690813489208</v>
      </c>
      <c r="BT261">
        <f t="shared" ca="1" si="170"/>
        <v>-1.6846390905634296</v>
      </c>
      <c r="BU261" s="39">
        <f t="shared" ca="1" si="171"/>
        <v>-1.6846390905634296</v>
      </c>
    </row>
    <row r="262" spans="45:73" x14ac:dyDescent="0.25">
      <c r="AS262">
        <v>4.5378560551852303</v>
      </c>
      <c r="AT262">
        <v>-21.456332081656839</v>
      </c>
      <c r="AU262">
        <v>-223.87119220197121</v>
      </c>
      <c r="AV262" s="6">
        <f t="shared" si="172"/>
        <v>4.6168385251778901</v>
      </c>
      <c r="AW262" s="6">
        <f t="shared" si="173"/>
        <v>7.8982469992659787E-2</v>
      </c>
      <c r="AX262" s="6">
        <f t="shared" si="174"/>
        <v>1.6663467820016964</v>
      </c>
      <c r="AY262" s="6">
        <f t="shared" si="175"/>
        <v>1.6663467820016964</v>
      </c>
      <c r="BF262" s="39"/>
      <c r="BG262" s="6">
        <f t="shared" si="157"/>
        <v>4.31096325242597</v>
      </c>
      <c r="BH262" s="9">
        <f t="shared" ca="1" si="158"/>
        <v>41.792557204581414</v>
      </c>
      <c r="BI262" s="9">
        <f t="shared" ca="1" si="159"/>
        <v>-370.66464471304823</v>
      </c>
      <c r="BJ262">
        <f t="shared" ca="1" si="160"/>
        <v>373.01326608841737</v>
      </c>
      <c r="BK262" s="6">
        <f t="shared" ca="1" si="161"/>
        <v>0.11204040446828263</v>
      </c>
      <c r="BL262" s="6">
        <f t="shared" ca="1" si="162"/>
        <v>-0.99370365188348975</v>
      </c>
      <c r="BM262" s="6">
        <f t="shared" ca="1" si="163"/>
        <v>-1.4585201800301844</v>
      </c>
      <c r="BN262" s="6">
        <f t="shared" ca="1" si="164"/>
        <v>-0.73338762876233732</v>
      </c>
      <c r="BO262" s="9">
        <f t="shared" ca="1" si="165"/>
        <v>-25.123199393266617</v>
      </c>
      <c r="BP262" s="9">
        <f t="shared" ca="1" si="166"/>
        <v>-222.74560381254182</v>
      </c>
      <c r="BQ262">
        <f t="shared" ca="1" si="167"/>
        <v>224.15793353251559</v>
      </c>
      <c r="BR262">
        <f t="shared" ca="1" si="168"/>
        <v>-0.11207811830413011</v>
      </c>
      <c r="BS262">
        <f t="shared" ca="1" si="169"/>
        <v>-0.99369939891166559</v>
      </c>
      <c r="BT262">
        <f t="shared" ca="1" si="170"/>
        <v>-1.6831104264407095</v>
      </c>
      <c r="BU262" s="39">
        <f t="shared" ca="1" si="171"/>
        <v>-1.6831104264407095</v>
      </c>
    </row>
    <row r="263" spans="45:73" x14ac:dyDescent="0.25">
      <c r="AS263">
        <v>4.5553093477051734</v>
      </c>
      <c r="AT263">
        <v>-21.1528267591553</v>
      </c>
      <c r="AU263">
        <v>-223.933775092297</v>
      </c>
      <c r="AV263" s="6">
        <f t="shared" si="172"/>
        <v>4.6182082441375298</v>
      </c>
      <c r="AW263" s="6">
        <f t="shared" si="173"/>
        <v>6.2898896432356466E-2</v>
      </c>
      <c r="AX263" s="6">
        <f t="shared" si="174"/>
        <v>1.6649770630420566</v>
      </c>
      <c r="AY263" s="6">
        <f t="shared" si="175"/>
        <v>1.6649770630420566</v>
      </c>
      <c r="BF263" s="39"/>
      <c r="BG263" s="6">
        <f t="shared" si="157"/>
        <v>4.3284165449459131</v>
      </c>
      <c r="BH263" s="9">
        <f t="shared" ca="1" si="158"/>
        <v>41.72920750435074</v>
      </c>
      <c r="BI263" s="9">
        <f t="shared" ca="1" si="159"/>
        <v>-370.6385456136536</v>
      </c>
      <c r="BJ263">
        <f t="shared" ca="1" si="160"/>
        <v>372.98023842228633</v>
      </c>
      <c r="BK263" s="6">
        <f t="shared" ca="1" si="161"/>
        <v>0.11188047838905917</v>
      </c>
      <c r="BL263" s="6">
        <f t="shared" ca="1" si="162"/>
        <v>-0.99372167056748595</v>
      </c>
      <c r="BM263" s="6">
        <f t="shared" ca="1" si="163"/>
        <v>-1.4586811179804777</v>
      </c>
      <c r="BN263" s="6">
        <f t="shared" ca="1" si="164"/>
        <v>-0.73354856671263069</v>
      </c>
      <c r="BO263" s="9">
        <f t="shared" ca="1" si="165"/>
        <v>-25.186549093497291</v>
      </c>
      <c r="BP263" s="9">
        <f t="shared" ca="1" si="166"/>
        <v>-222.71950471314719</v>
      </c>
      <c r="BQ263">
        <f t="shared" ca="1" si="167"/>
        <v>224.13910866894412</v>
      </c>
      <c r="BR263">
        <f t="shared" ca="1" si="168"/>
        <v>-0.11237016709430256</v>
      </c>
      <c r="BS263">
        <f t="shared" ca="1" si="169"/>
        <v>-0.99366641562810132</v>
      </c>
      <c r="BT263">
        <f t="shared" ca="1" si="170"/>
        <v>-1.6834043318565455</v>
      </c>
      <c r="BU263" s="39">
        <f t="shared" ca="1" si="171"/>
        <v>-1.6834043318565455</v>
      </c>
    </row>
    <row r="264" spans="45:73" x14ac:dyDescent="0.25">
      <c r="AS264">
        <v>4.5727626402251165</v>
      </c>
      <c r="AT264">
        <v>-20.849276743235777</v>
      </c>
      <c r="AU264">
        <v>-223.99193963340514</v>
      </c>
      <c r="AV264" s="6">
        <f t="shared" si="172"/>
        <v>4.619575929516218</v>
      </c>
      <c r="AW264" s="6">
        <f t="shared" si="173"/>
        <v>4.6813289291101512E-2</v>
      </c>
      <c r="AX264" s="6">
        <f t="shared" si="174"/>
        <v>1.6636093776633685</v>
      </c>
      <c r="AY264" s="6">
        <f t="shared" si="175"/>
        <v>1.6636093776633685</v>
      </c>
      <c r="BF264" s="39"/>
      <c r="BG264" s="6">
        <f t="shared" si="157"/>
        <v>4.3458698374658562</v>
      </c>
      <c r="BH264" s="9">
        <f t="shared" ca="1" si="158"/>
        <v>42.051924680928288</v>
      </c>
      <c r="BI264" s="9">
        <f t="shared" ca="1" si="159"/>
        <v>-370.76733973310854</v>
      </c>
      <c r="BJ264">
        <f t="shared" ca="1" si="160"/>
        <v>373.14445538174198</v>
      </c>
      <c r="BK264" s="6">
        <f t="shared" ca="1" si="161"/>
        <v>0.11269609952506852</v>
      </c>
      <c r="BL264" s="6">
        <f t="shared" ca="1" si="162"/>
        <v>-0.99362950295964725</v>
      </c>
      <c r="BM264" s="6">
        <f t="shared" ca="1" si="163"/>
        <v>-1.4578603057344273</v>
      </c>
      <c r="BN264" s="6">
        <f t="shared" ca="1" si="164"/>
        <v>-0.73272775446658023</v>
      </c>
      <c r="BO264" s="9">
        <f t="shared" ca="1" si="165"/>
        <v>-24.863831916919743</v>
      </c>
      <c r="BP264" s="9">
        <f t="shared" ca="1" si="166"/>
        <v>-222.84829883260213</v>
      </c>
      <c r="BQ264">
        <f t="shared" ca="1" si="167"/>
        <v>224.23107373907297</v>
      </c>
      <c r="BR264">
        <f t="shared" ca="1" si="168"/>
        <v>-0.11088486311158016</v>
      </c>
      <c r="BS264">
        <f t="shared" ca="1" si="169"/>
        <v>-0.99383325922044186</v>
      </c>
      <c r="BT264">
        <f t="shared" ca="1" si="170"/>
        <v>-1.681909686373068</v>
      </c>
      <c r="BU264" s="39">
        <f t="shared" ca="1" si="171"/>
        <v>-1.681909686373068</v>
      </c>
    </row>
    <row r="265" spans="45:73" x14ac:dyDescent="0.25">
      <c r="AS265">
        <v>4.5902159327450596</v>
      </c>
      <c r="AT265">
        <v>-20.545425197846761</v>
      </c>
      <c r="AU265">
        <v>-224.04578704912345</v>
      </c>
      <c r="AV265" s="6">
        <f t="shared" si="172"/>
        <v>4.6209428351827926</v>
      </c>
      <c r="AW265" s="6">
        <f t="shared" si="173"/>
        <v>3.0726902437733017E-2</v>
      </c>
      <c r="AX265" s="6">
        <f t="shared" si="174"/>
        <v>1.6622424719967939</v>
      </c>
      <c r="AY265" s="6">
        <f t="shared" si="175"/>
        <v>1.6622424719967939</v>
      </c>
      <c r="BF265" s="39"/>
      <c r="BG265" s="6">
        <f t="shared" si="157"/>
        <v>4.3633231299857993</v>
      </c>
      <c r="BH265" s="9">
        <f t="shared" ca="1" si="158"/>
        <v>42.371592091114735</v>
      </c>
      <c r="BI265" s="9">
        <f t="shared" ca="1" si="159"/>
        <v>-370.88929926370628</v>
      </c>
      <c r="BJ265">
        <f t="shared" ca="1" si="160"/>
        <v>373.30178692936749</v>
      </c>
      <c r="BK265" s="6">
        <f t="shared" ca="1" si="161"/>
        <v>0.11350492704480912</v>
      </c>
      <c r="BL265" s="6">
        <f t="shared" ca="1" si="162"/>
        <v>-0.99353743338464739</v>
      </c>
      <c r="BM265" s="6">
        <f t="shared" ca="1" si="163"/>
        <v>-1.4570462548761109</v>
      </c>
      <c r="BN265" s="6">
        <f t="shared" ca="1" si="164"/>
        <v>-0.73191370360826391</v>
      </c>
      <c r="BO265" s="9">
        <f t="shared" ca="1" si="165"/>
        <v>-24.544164506733296</v>
      </c>
      <c r="BP265" s="9">
        <f t="shared" ca="1" si="166"/>
        <v>-222.97025836319986</v>
      </c>
      <c r="BQ265">
        <f t="shared" ca="1" si="167"/>
        <v>224.31707943419218</v>
      </c>
      <c r="BR265">
        <f t="shared" ca="1" si="168"/>
        <v>-0.10941727918641972</v>
      </c>
      <c r="BS265">
        <f t="shared" ca="1" si="169"/>
        <v>-0.99399590492890921</v>
      </c>
      <c r="BT265">
        <f t="shared" ca="1" si="170"/>
        <v>-1.6804331171738773</v>
      </c>
      <c r="BU265" s="39">
        <f t="shared" ca="1" si="171"/>
        <v>-1.6804331171738773</v>
      </c>
    </row>
    <row r="266" spans="45:73" x14ac:dyDescent="0.25">
      <c r="AS266">
        <v>4.6076692252650027</v>
      </c>
      <c r="AT266">
        <v>-20.241010273820933</v>
      </c>
      <c r="AU266">
        <v>-224.09540641582376</v>
      </c>
      <c r="AV266" s="6">
        <f t="shared" si="172"/>
        <v>4.6223102297763612</v>
      </c>
      <c r="AW266" s="6">
        <f t="shared" si="173"/>
        <v>1.4641004511358524E-2</v>
      </c>
      <c r="AX266" s="6">
        <f t="shared" si="174"/>
        <v>1.6608750774032253</v>
      </c>
      <c r="AY266" s="6">
        <f t="shared" si="175"/>
        <v>1.6608750774032253</v>
      </c>
      <c r="BF266" s="39"/>
      <c r="BG266" s="6">
        <f t="shared" si="157"/>
        <v>4.3807764225057424</v>
      </c>
      <c r="BH266" s="9">
        <f t="shared" ca="1" si="158"/>
        <v>42.688490880382425</v>
      </c>
      <c r="BI266" s="9">
        <f t="shared" ca="1" si="159"/>
        <v>-371.00473356008558</v>
      </c>
      <c r="BJ266">
        <f t="shared" ca="1" si="160"/>
        <v>373.45256670377103</v>
      </c>
      <c r="BK266" s="6">
        <f t="shared" ca="1" si="161"/>
        <v>0.11430766497916098</v>
      </c>
      <c r="BL266" s="6">
        <f t="shared" ca="1" si="162"/>
        <v>-0.99344539745625282</v>
      </c>
      <c r="BM266" s="6">
        <f t="shared" ca="1" si="163"/>
        <v>-1.4562382580698785</v>
      </c>
      <c r="BN266" s="6">
        <f t="shared" ca="1" si="164"/>
        <v>-0.73110570680203146</v>
      </c>
      <c r="BO266" s="9">
        <f t="shared" ca="1" si="165"/>
        <v>-24.227265717465606</v>
      </c>
      <c r="BP266" s="9">
        <f t="shared" ca="1" si="166"/>
        <v>-223.08569265957917</v>
      </c>
      <c r="BQ266">
        <f t="shared" ca="1" si="167"/>
        <v>224.39738562102033</v>
      </c>
      <c r="BR266">
        <f t="shared" ca="1" si="168"/>
        <v>-0.10796590009467617</v>
      </c>
      <c r="BS266">
        <f t="shared" ca="1" si="169"/>
        <v>-0.99415459784519744</v>
      </c>
      <c r="BT266">
        <f t="shared" ca="1" si="170"/>
        <v>-1.6789730880343381</v>
      </c>
      <c r="BU266" s="39">
        <f t="shared" ca="1" si="171"/>
        <v>-1.6789730880343381</v>
      </c>
    </row>
    <row r="267" spans="45:73" x14ac:dyDescent="0.25">
      <c r="AS267">
        <v>4.6251225177849458</v>
      </c>
      <c r="AT267">
        <v>-19.93576375851038</v>
      </c>
      <c r="AU267">
        <v>-224.14087498907068</v>
      </c>
      <c r="AV267" s="6">
        <f t="shared" si="172"/>
        <v>4.6236794033814963</v>
      </c>
      <c r="AW267" s="6">
        <f t="shared" si="173"/>
        <v>1.4431144034494636E-3</v>
      </c>
      <c r="AX267" s="6">
        <f t="shared" si="174"/>
        <v>1.6595059037980902</v>
      </c>
      <c r="AY267" s="6">
        <f t="shared" si="175"/>
        <v>1.6595059037980902</v>
      </c>
      <c r="BF267" s="39"/>
      <c r="BG267" s="6">
        <f t="shared" si="157"/>
        <v>4.3982297150256855</v>
      </c>
      <c r="BH267" s="9">
        <f t="shared" ca="1" si="158"/>
        <v>43.002894577487254</v>
      </c>
      <c r="BI267" s="9">
        <f t="shared" ca="1" si="159"/>
        <v>-371.11392759282103</v>
      </c>
      <c r="BJ267">
        <f t="shared" ca="1" si="160"/>
        <v>373.59710410469205</v>
      </c>
      <c r="BK267" s="6">
        <f t="shared" ca="1" si="161"/>
        <v>0.11510499975780507</v>
      </c>
      <c r="BL267" s="6">
        <f t="shared" ca="1" si="162"/>
        <v>-0.99335333040703877</v>
      </c>
      <c r="BM267" s="6">
        <f t="shared" ca="1" si="163"/>
        <v>-1.455435625448207</v>
      </c>
      <c r="BN267" s="6">
        <f t="shared" ca="1" si="164"/>
        <v>-0.73030307418036</v>
      </c>
      <c r="BO267" s="9">
        <f t="shared" ca="1" si="165"/>
        <v>-23.912862020360777</v>
      </c>
      <c r="BP267" s="9">
        <f t="shared" ca="1" si="166"/>
        <v>-223.19488669231461</v>
      </c>
      <c r="BQ267">
        <f t="shared" ca="1" si="167"/>
        <v>224.47223083401647</v>
      </c>
      <c r="BR267">
        <f t="shared" ca="1" si="168"/>
        <v>-0.10652926614358317</v>
      </c>
      <c r="BS267">
        <f t="shared" ca="1" si="169"/>
        <v>-0.99430956721481345</v>
      </c>
      <c r="BT267">
        <f t="shared" ca="1" si="170"/>
        <v>-1.677528119876128</v>
      </c>
      <c r="BU267" s="39">
        <f t="shared" ca="1" si="171"/>
        <v>-1.677528119876128</v>
      </c>
    </row>
    <row r="268" spans="45:73" x14ac:dyDescent="0.25">
      <c r="AS268">
        <v>4.6425758103048889</v>
      </c>
      <c r="AT268">
        <v>-19.629409594406766</v>
      </c>
      <c r="AU268">
        <v>-224.182258460762</v>
      </c>
      <c r="AV268" s="6">
        <f t="shared" si="172"/>
        <v>4.6250516747433394</v>
      </c>
      <c r="AW268" s="6">
        <f t="shared" si="173"/>
        <v>1.7524135561549414E-2</v>
      </c>
      <c r="AX268" s="6">
        <f t="shared" si="174"/>
        <v>1.658133632436247</v>
      </c>
      <c r="AY268" s="6">
        <f t="shared" si="175"/>
        <v>1.658133632436247</v>
      </c>
      <c r="BF268" s="39"/>
      <c r="BG268" s="6">
        <f t="shared" si="157"/>
        <v>4.4156830075456286</v>
      </c>
      <c r="BH268" s="9">
        <f t="shared" ca="1" si="158"/>
        <v>43.315070150284186</v>
      </c>
      <c r="BI268" s="9">
        <f t="shared" ca="1" si="159"/>
        <v>-371.21714372014424</v>
      </c>
      <c r="BJ268">
        <f t="shared" ca="1" si="160"/>
        <v>373.73568613910322</v>
      </c>
      <c r="BK268" s="6">
        <f t="shared" ca="1" si="161"/>
        <v>0.115897602922945</v>
      </c>
      <c r="BL268" s="6">
        <f t="shared" ca="1" si="162"/>
        <v>-0.99326116688246469</v>
      </c>
      <c r="BM268" s="6">
        <f t="shared" ca="1" si="163"/>
        <v>-1.4546376818872735</v>
      </c>
      <c r="BN268" s="6">
        <f t="shared" ca="1" si="164"/>
        <v>-0.72950513061942646</v>
      </c>
      <c r="BO268" s="9">
        <f t="shared" ca="1" si="165"/>
        <v>-23.600686447563845</v>
      </c>
      <c r="BP268" s="9">
        <f t="shared" ca="1" si="166"/>
        <v>-223.29810281963782</v>
      </c>
      <c r="BQ268">
        <f t="shared" ca="1" si="167"/>
        <v>224.54183379416355</v>
      </c>
      <c r="BR268">
        <f t="shared" ca="1" si="168"/>
        <v>-0.1051059664418635</v>
      </c>
      <c r="BS268">
        <f t="shared" ca="1" si="169"/>
        <v>-0.99446102780265944</v>
      </c>
      <c r="BT268">
        <f t="shared" ca="1" si="170"/>
        <v>-1.6760967838916863</v>
      </c>
      <c r="BU268" s="39">
        <f t="shared" ca="1" si="171"/>
        <v>-1.6760967838916863</v>
      </c>
    </row>
    <row r="269" spans="45:73" x14ac:dyDescent="0.25">
      <c r="AS269">
        <v>4.660029102824832</v>
      </c>
      <c r="AT269">
        <v>-19.321662244512162</v>
      </c>
      <c r="AU269">
        <v>-224.21961112725876</v>
      </c>
      <c r="AV269" s="6">
        <f t="shared" si="172"/>
        <v>4.6264283991209112</v>
      </c>
      <c r="AW269" s="6">
        <f t="shared" si="173"/>
        <v>3.3600703703920765E-2</v>
      </c>
      <c r="AX269" s="6">
        <f t="shared" si="174"/>
        <v>1.6567569080586753</v>
      </c>
      <c r="AY269" s="6">
        <f t="shared" si="175"/>
        <v>1.6567569080586753</v>
      </c>
      <c r="BF269" s="39"/>
      <c r="BG269" s="6">
        <f t="shared" si="157"/>
        <v>4.4331363000655717</v>
      </c>
      <c r="BH269" s="9">
        <f t="shared" ca="1" si="158"/>
        <v>43.625279030687466</v>
      </c>
      <c r="BI269" s="9">
        <f t="shared" ca="1" si="159"/>
        <v>-371.31462328779753</v>
      </c>
      <c r="BJ269">
        <f t="shared" ca="1" si="160"/>
        <v>373.86857909948026</v>
      </c>
      <c r="BK269" s="6">
        <f t="shared" ca="1" si="161"/>
        <v>0.11668613376327487</v>
      </c>
      <c r="BL269" s="6">
        <f t="shared" ca="1" si="162"/>
        <v>-0.99316884072517053</v>
      </c>
      <c r="BM269" s="6">
        <f t="shared" ca="1" si="163"/>
        <v>-1.4538437643609654</v>
      </c>
      <c r="BN269" s="6">
        <f t="shared" ca="1" si="164"/>
        <v>-0.72871121309311837</v>
      </c>
      <c r="BO269" s="9">
        <f t="shared" ca="1" si="165"/>
        <v>-23.290477567160565</v>
      </c>
      <c r="BP269" s="9">
        <f t="shared" ca="1" si="166"/>
        <v>-223.39558238729111</v>
      </c>
      <c r="BQ269">
        <f t="shared" ca="1" si="167"/>
        <v>224.60639477865135</v>
      </c>
      <c r="BR269">
        <f t="shared" ca="1" si="168"/>
        <v>-0.10369463251530853</v>
      </c>
      <c r="BS269">
        <f t="shared" ca="1" si="169"/>
        <v>-0.99460918112971142</v>
      </c>
      <c r="BT269">
        <f t="shared" ca="1" si="170"/>
        <v>-1.6746776950295936</v>
      </c>
      <c r="BU269" s="39">
        <f t="shared" ca="1" si="171"/>
        <v>-1.6746776950295936</v>
      </c>
    </row>
    <row r="270" spans="45:73" x14ac:dyDescent="0.25">
      <c r="AS270">
        <v>4.6774823953447751</v>
      </c>
      <c r="AT270">
        <v>-19.012224872481596</v>
      </c>
      <c r="AU270">
        <v>-224.25297595986279</v>
      </c>
      <c r="AV270" s="6">
        <f t="shared" si="172"/>
        <v>4.6278109769254048</v>
      </c>
      <c r="AW270" s="6">
        <f t="shared" si="173"/>
        <v>4.9671418419370283E-2</v>
      </c>
      <c r="AX270" s="6">
        <f t="shared" si="174"/>
        <v>1.6553743302541817</v>
      </c>
      <c r="AY270" s="6">
        <f t="shared" si="175"/>
        <v>1.6553743302541817</v>
      </c>
      <c r="BF270" s="39"/>
      <c r="BG270" s="6">
        <f t="shared" si="157"/>
        <v>4.4505895925855148</v>
      </c>
      <c r="BH270" s="9">
        <f t="shared" ca="1" si="158"/>
        <v>43.933778117469508</v>
      </c>
      <c r="BI270" s="9">
        <f t="shared" ca="1" si="159"/>
        <v>-371.40658807259081</v>
      </c>
      <c r="BJ270">
        <f t="shared" ca="1" si="160"/>
        <v>373.99603009042517</v>
      </c>
      <c r="BK270" s="6">
        <f t="shared" ca="1" si="161"/>
        <v>0.11747124189218573</v>
      </c>
      <c r="BL270" s="6">
        <f t="shared" ca="1" si="162"/>
        <v>-0.99307628474770637</v>
      </c>
      <c r="BM270" s="6">
        <f t="shared" ca="1" si="163"/>
        <v>-1.4530532193492207</v>
      </c>
      <c r="BN270" s="6">
        <f t="shared" ca="1" si="164"/>
        <v>-0.72792066808137368</v>
      </c>
      <c r="BO270" s="9">
        <f t="shared" ca="1" si="165"/>
        <v>-22.981978480378523</v>
      </c>
      <c r="BP270" s="9">
        <f t="shared" ca="1" si="166"/>
        <v>-223.48754717208439</v>
      </c>
      <c r="BQ270">
        <f t="shared" ca="1" si="167"/>
        <v>224.66609685457044</v>
      </c>
      <c r="BR270">
        <f t="shared" ca="1" si="168"/>
        <v>-0.1022939322048893</v>
      </c>
      <c r="BS270">
        <f t="shared" ca="1" si="169"/>
        <v>-0.99475421659526608</v>
      </c>
      <c r="BT270">
        <f t="shared" ca="1" si="170"/>
        <v>-1.6732695057761313</v>
      </c>
      <c r="BU270" s="39">
        <f t="shared" ca="1" si="171"/>
        <v>-1.6732695057761313</v>
      </c>
    </row>
    <row r="271" spans="45:73" x14ac:dyDescent="0.25">
      <c r="AS271">
        <v>4.6949356878647182</v>
      </c>
      <c r="AT271">
        <v>-18.700787294523465</v>
      </c>
      <c r="AU271">
        <v>-224.28238457870611</v>
      </c>
      <c r="AV271" s="6">
        <f t="shared" si="172"/>
        <v>4.629200863343538</v>
      </c>
      <c r="AW271" s="6">
        <f t="shared" si="173"/>
        <v>6.573482452118018E-2</v>
      </c>
      <c r="AX271" s="6">
        <f t="shared" si="174"/>
        <v>1.6539844438360485</v>
      </c>
      <c r="AY271" s="6">
        <f t="shared" si="175"/>
        <v>1.6539844438360485</v>
      </c>
      <c r="BF271" s="39"/>
      <c r="BG271" s="6">
        <f t="shared" si="157"/>
        <v>4.4680428851054579</v>
      </c>
      <c r="BH271" s="9">
        <f t="shared" ca="1" si="158"/>
        <v>44.240820759025283</v>
      </c>
      <c r="BI271" s="9">
        <f t="shared" ca="1" si="159"/>
        <v>-371.49324156266948</v>
      </c>
      <c r="BJ271">
        <f t="shared" ca="1" si="160"/>
        <v>374.11826839673591</v>
      </c>
      <c r="BK271" s="6">
        <f t="shared" ca="1" si="161"/>
        <v>0.11825356978320514</v>
      </c>
      <c r="BL271" s="6">
        <f t="shared" ca="1" si="162"/>
        <v>-0.99298343049294047</v>
      </c>
      <c r="BM271" s="6">
        <f t="shared" ca="1" si="163"/>
        <v>-1.4522654002876358</v>
      </c>
      <c r="BN271" s="6">
        <f t="shared" ca="1" si="164"/>
        <v>-0.72713284901978881</v>
      </c>
      <c r="BO271" s="9">
        <f t="shared" ca="1" si="165"/>
        <v>-22.674935838822748</v>
      </c>
      <c r="BP271" s="9">
        <f t="shared" ca="1" si="166"/>
        <v>-223.57420066216307</v>
      </c>
      <c r="BQ271">
        <f t="shared" ca="1" si="167"/>
        <v>224.72110696821491</v>
      </c>
      <c r="BR271">
        <f t="shared" ca="1" si="168"/>
        <v>-0.10090256382561316</v>
      </c>
      <c r="BS271">
        <f t="shared" ca="1" si="169"/>
        <v>-0.99489631249362764</v>
      </c>
      <c r="BT271">
        <f t="shared" ca="1" si="170"/>
        <v>-1.6718709002098473</v>
      </c>
      <c r="BU271" s="39">
        <f t="shared" ca="1" si="171"/>
        <v>-1.6718709002098473</v>
      </c>
    </row>
    <row r="272" spans="45:73" x14ac:dyDescent="0.25">
      <c r="AS272">
        <v>4.7123889803846613</v>
      </c>
      <c r="AT272">
        <v>-18.387023658242974</v>
      </c>
      <c r="AU272">
        <v>-224.30785710533388</v>
      </c>
      <c r="AV272" s="6">
        <f t="shared" si="172"/>
        <v>4.6305995791452759</v>
      </c>
      <c r="AW272" s="6">
        <f t="shared" si="173"/>
        <v>8.1789401239385384E-2</v>
      </c>
      <c r="AX272" s="6">
        <f t="shared" si="174"/>
        <v>1.6525857280343106</v>
      </c>
      <c r="AY272" s="6">
        <f t="shared" si="175"/>
        <v>1.6525857280343106</v>
      </c>
      <c r="BF272" s="39"/>
      <c r="BG272" s="6">
        <f t="shared" ref="BG272:BG335" si="176">AS259</f>
        <v>4.485496177625401</v>
      </c>
      <c r="BH272" s="9">
        <f t="shared" ref="BH272:BH335" ca="1" si="177">AT259-$BG$5</f>
        <v>44.54665772929328</v>
      </c>
      <c r="BI272" s="9">
        <f t="shared" ref="BI272:BI335" ca="1" si="178">AU259-$BH$5</f>
        <v>-371.57477009954857</v>
      </c>
      <c r="BJ272">
        <f t="shared" ref="BJ272:BJ335" ca="1" si="179">SQRT(POWER(BH272,2)+POWER(BI272,2))</f>
        <v>374.23550671920907</v>
      </c>
      <c r="BK272" s="6">
        <f t="shared" ref="BK272:BK335" ca="1" si="180">BH272/BJ272</f>
        <v>0.11903375529440845</v>
      </c>
      <c r="BL272" s="6">
        <f t="shared" ref="BL272:BL335" ca="1" si="181">BI272/BJ272</f>
        <v>-0.99289020797896421</v>
      </c>
      <c r="BM272" s="6">
        <f t="shared" ref="BM272:BM335" ca="1" si="182">ATAN2(BK272,BL272)</f>
        <v>-1.451479665026389</v>
      </c>
      <c r="BN272" s="6">
        <f t="shared" ref="BN272:BN335" ca="1" si="183">BM272-$BJ$11</f>
        <v>-0.726347113758542</v>
      </c>
      <c r="BO272" s="9">
        <f t="shared" ref="BO272:BO335" ca="1" si="184">BH272+$BG$5</f>
        <v>-22.369098868554751</v>
      </c>
      <c r="BP272" s="9">
        <f t="shared" ref="BP272:BP335" ca="1" si="185">BI272+$BH$5</f>
        <v>-223.65572919904216</v>
      </c>
      <c r="BQ272">
        <f t="shared" ref="BQ272:BQ335" ca="1" si="186">SQRT(POWER(BO272,2)+POWER(BP272,2))</f>
        <v>224.77157691253237</v>
      </c>
      <c r="BR272">
        <f t="shared" ref="BR272:BR335" ca="1" si="187">BO272/BQ272</f>
        <v>-9.9519250502297554E-2</v>
      </c>
      <c r="BS272">
        <f t="shared" ref="BS272:BS335" ca="1" si="188">BP272/BQ272</f>
        <v>-0.99503563693943198</v>
      </c>
      <c r="BT272">
        <f t="shared" ref="BT272:BT335" ca="1" si="189">ATAN2(BR272,BS272)</f>
        <v>-1.6704805882437674</v>
      </c>
      <c r="BU272" s="39">
        <f t="shared" ref="BU272:BU335" ca="1" si="190">BT272-$U$13</f>
        <v>-1.6704805882437674</v>
      </c>
    </row>
    <row r="273" spans="45:73" x14ac:dyDescent="0.25">
      <c r="AS273">
        <v>4.7298422729046044</v>
      </c>
      <c r="AT273">
        <v>-18.111487373827412</v>
      </c>
      <c r="AU273">
        <v>-224.31725923833449</v>
      </c>
      <c r="AV273" s="6">
        <f t="shared" si="172"/>
        <v>4.6318232484854382</v>
      </c>
      <c r="AW273" s="6">
        <f t="shared" si="173"/>
        <v>9.8019024419166101E-2</v>
      </c>
      <c r="AX273" s="6">
        <f t="shared" si="174"/>
        <v>1.6513620586941482</v>
      </c>
      <c r="AY273" s="6">
        <f t="shared" si="175"/>
        <v>1.6513620586941482</v>
      </c>
      <c r="BF273" s="39"/>
      <c r="BG273" s="6">
        <f t="shared" si="176"/>
        <v>4.5029494701453441</v>
      </c>
      <c r="BH273" s="9">
        <f t="shared" ca="1" si="177"/>
        <v>44.851538215507773</v>
      </c>
      <c r="BI273" s="9">
        <f t="shared" ca="1" si="178"/>
        <v>-371.65134392125816</v>
      </c>
      <c r="BJ273">
        <f t="shared" ca="1" si="179"/>
        <v>374.34794231940754</v>
      </c>
      <c r="BK273" s="6">
        <f t="shared" ca="1" si="180"/>
        <v>0.11981243422259492</v>
      </c>
      <c r="BL273" s="6">
        <f t="shared" ca="1" si="181"/>
        <v>-0.99279654542391327</v>
      </c>
      <c r="BM273" s="6">
        <f t="shared" ca="1" si="182"/>
        <v>-1.4506953732573702</v>
      </c>
      <c r="BN273" s="6">
        <f t="shared" ca="1" si="183"/>
        <v>-0.72556282198952315</v>
      </c>
      <c r="BO273" s="9">
        <f t="shared" ca="1" si="184"/>
        <v>-22.064218382340258</v>
      </c>
      <c r="BP273" s="9">
        <f t="shared" ca="1" si="185"/>
        <v>-223.73230302075174</v>
      </c>
      <c r="BQ273">
        <f t="shared" ca="1" si="186"/>
        <v>224.81764420924148</v>
      </c>
      <c r="BR273">
        <f t="shared" ca="1" si="187"/>
        <v>-9.814273457026676E-2</v>
      </c>
      <c r="BS273">
        <f t="shared" ca="1" si="188"/>
        <v>-0.99517234871708027</v>
      </c>
      <c r="BT273">
        <f t="shared" ca="1" si="189"/>
        <v>-1.669097299941785</v>
      </c>
      <c r="BU273" s="39">
        <f t="shared" ca="1" si="190"/>
        <v>-1.669097299941785</v>
      </c>
    </row>
    <row r="274" spans="45:73" x14ac:dyDescent="0.25">
      <c r="AS274">
        <v>4.7472955654245474</v>
      </c>
      <c r="AT274">
        <v>-17.836723798828451</v>
      </c>
      <c r="AU274">
        <v>-224.32209918022875</v>
      </c>
      <c r="AV274" s="6">
        <f t="shared" si="172"/>
        <v>4.6330420271961685</v>
      </c>
      <c r="AW274" s="6">
        <f t="shared" si="173"/>
        <v>0.11425353822837891</v>
      </c>
      <c r="AX274" s="6">
        <f t="shared" si="174"/>
        <v>1.6501432799834179</v>
      </c>
      <c r="AY274" s="6">
        <f t="shared" si="175"/>
        <v>1.6501432799834179</v>
      </c>
      <c r="BF274" s="39"/>
      <c r="BG274" s="6">
        <f t="shared" si="176"/>
        <v>4.5204027626652872</v>
      </c>
      <c r="BH274" s="9">
        <f t="shared" ca="1" si="177"/>
        <v>45.155710807043775</v>
      </c>
      <c r="BI274" s="9">
        <f t="shared" ca="1" si="178"/>
        <v>-371.72311805114487</v>
      </c>
      <c r="BJ274">
        <f t="shared" ca="1" si="179"/>
        <v>374.45575801709174</v>
      </c>
      <c r="BK274" s="6">
        <f t="shared" ca="1" si="180"/>
        <v>0.1205902428798616</v>
      </c>
      <c r="BL274" s="6">
        <f t="shared" ca="1" si="181"/>
        <v>-0.99270236895162889</v>
      </c>
      <c r="BM274" s="6">
        <f t="shared" ca="1" si="182"/>
        <v>-1.4499118839168859</v>
      </c>
      <c r="BN274" s="6">
        <f t="shared" ca="1" si="183"/>
        <v>-0.72477933264903882</v>
      </c>
      <c r="BO274" s="9">
        <f t="shared" ca="1" si="184"/>
        <v>-21.760045790804256</v>
      </c>
      <c r="BP274" s="9">
        <f t="shared" ca="1" si="185"/>
        <v>-223.80407715063845</v>
      </c>
      <c r="BQ274">
        <f t="shared" ca="1" si="186"/>
        <v>224.85943285098543</v>
      </c>
      <c r="BR274">
        <f t="shared" ca="1" si="187"/>
        <v>-9.6771772101838668E-2</v>
      </c>
      <c r="BS274">
        <f t="shared" ca="1" si="188"/>
        <v>-0.99530659805120847</v>
      </c>
      <c r="BT274">
        <f t="shared" ca="1" si="189"/>
        <v>-1.6677197799696561</v>
      </c>
      <c r="BU274" s="39">
        <f t="shared" ca="1" si="190"/>
        <v>-1.6677197799696561</v>
      </c>
    </row>
    <row r="275" spans="45:73" x14ac:dyDescent="0.25">
      <c r="AS275">
        <v>4.7647488579444905</v>
      </c>
      <c r="AT275">
        <v>-17.562537179133155</v>
      </c>
      <c r="AU275">
        <v>-224.32238658210053</v>
      </c>
      <c r="AV275" s="6">
        <f t="shared" si="172"/>
        <v>4.6342568541121771</v>
      </c>
      <c r="AW275" s="6">
        <f t="shared" si="173"/>
        <v>0.13049200383231341</v>
      </c>
      <c r="AX275" s="6">
        <f t="shared" si="174"/>
        <v>1.6489284530674093</v>
      </c>
      <c r="AY275" s="6">
        <f t="shared" si="175"/>
        <v>1.6489284530674093</v>
      </c>
      <c r="BF275" s="39"/>
      <c r="BG275" s="6">
        <f t="shared" si="176"/>
        <v>4.5378560551852303</v>
      </c>
      <c r="BH275" s="9">
        <f t="shared" ca="1" si="177"/>
        <v>45.459424516191191</v>
      </c>
      <c r="BI275" s="9">
        <f t="shared" ca="1" si="178"/>
        <v>-371.7902331024776</v>
      </c>
      <c r="BJ275">
        <f t="shared" ca="1" si="179"/>
        <v>374.55912311374539</v>
      </c>
      <c r="BK275" s="6">
        <f t="shared" ca="1" si="180"/>
        <v>0.12136782075492568</v>
      </c>
      <c r="BL275" s="6">
        <f t="shared" ca="1" si="181"/>
        <v>-0.99260760227050471</v>
      </c>
      <c r="BM275" s="6">
        <f t="shared" ca="1" si="182"/>
        <v>-1.449128552501062</v>
      </c>
      <c r="BN275" s="6">
        <f t="shared" ca="1" si="183"/>
        <v>-0.72399600123321495</v>
      </c>
      <c r="BO275" s="9">
        <f t="shared" ca="1" si="184"/>
        <v>-21.456332081656839</v>
      </c>
      <c r="BP275" s="9">
        <f t="shared" ca="1" si="185"/>
        <v>-223.87119220197118</v>
      </c>
      <c r="BQ275">
        <f t="shared" ca="1" si="186"/>
        <v>224.8970539698781</v>
      </c>
      <c r="BR275">
        <f t="shared" ca="1" si="187"/>
        <v>-9.5405127381217827E-2</v>
      </c>
      <c r="BS275">
        <f t="shared" ca="1" si="188"/>
        <v>-0.99543852731817328</v>
      </c>
      <c r="BT275">
        <f t="shared" ca="1" si="189"/>
        <v>-1.6663467820016957</v>
      </c>
      <c r="BU275" s="39">
        <f t="shared" ca="1" si="190"/>
        <v>-1.6663467820016957</v>
      </c>
    </row>
    <row r="276" spans="45:73" x14ac:dyDescent="0.25">
      <c r="AS276">
        <v>4.7822021504644336</v>
      </c>
      <c r="AT276">
        <v>-17.28873408131194</v>
      </c>
      <c r="AU276">
        <v>-224.31811906021997</v>
      </c>
      <c r="AV276" s="6">
        <f t="shared" si="172"/>
        <v>4.6354686537193466</v>
      </c>
      <c r="AW276" s="6">
        <f t="shared" si="173"/>
        <v>0.14673349674508707</v>
      </c>
      <c r="AX276" s="6">
        <f t="shared" si="174"/>
        <v>1.6477166534602399</v>
      </c>
      <c r="AY276" s="6">
        <f t="shared" si="175"/>
        <v>1.6477166534602399</v>
      </c>
      <c r="BF276" s="39"/>
      <c r="BG276" s="6">
        <f t="shared" si="176"/>
        <v>4.5553093477051734</v>
      </c>
      <c r="BH276" s="9">
        <f t="shared" ca="1" si="177"/>
        <v>45.762929838692727</v>
      </c>
      <c r="BI276" s="9">
        <f t="shared" ca="1" si="178"/>
        <v>-371.85281599280341</v>
      </c>
      <c r="BJ276">
        <f t="shared" ca="1" si="179"/>
        <v>374.65819423735928</v>
      </c>
      <c r="BK276" s="6">
        <f t="shared" ca="1" si="180"/>
        <v>0.1221458132841485</v>
      </c>
      <c r="BL276" s="6">
        <f t="shared" ca="1" si="181"/>
        <v>-0.99251216632198214</v>
      </c>
      <c r="BM276" s="6">
        <f t="shared" ca="1" si="182"/>
        <v>-1.4483447282686908</v>
      </c>
      <c r="BN276" s="6">
        <f t="shared" ca="1" si="183"/>
        <v>-0.72321217700084373</v>
      </c>
      <c r="BO276" s="9">
        <f t="shared" ca="1" si="184"/>
        <v>-21.152826759155303</v>
      </c>
      <c r="BP276" s="9">
        <f t="shared" ca="1" si="185"/>
        <v>-223.933775092297</v>
      </c>
      <c r="BQ276">
        <f t="shared" ca="1" si="186"/>
        <v>224.93060642560474</v>
      </c>
      <c r="BR276">
        <f t="shared" ca="1" si="187"/>
        <v>-9.4041567287338243E-2</v>
      </c>
      <c r="BS276">
        <f t="shared" ca="1" si="188"/>
        <v>-0.99556827170322226</v>
      </c>
      <c r="BT276">
        <f t="shared" ca="1" si="189"/>
        <v>-1.6649770630420566</v>
      </c>
      <c r="BU276" s="39">
        <f t="shared" ca="1" si="190"/>
        <v>-1.6649770630420566</v>
      </c>
    </row>
    <row r="277" spans="45:73" x14ac:dyDescent="0.25">
      <c r="AS277">
        <v>4.7996554429843767</v>
      </c>
      <c r="AT277">
        <v>-17.015122797335867</v>
      </c>
      <c r="AU277">
        <v>-224.30928223008152</v>
      </c>
      <c r="AV277" s="6">
        <f t="shared" si="172"/>
        <v>4.6366783392724695</v>
      </c>
      <c r="AW277" s="6">
        <f t="shared" si="173"/>
        <v>0.16297710371190721</v>
      </c>
      <c r="AX277" s="6">
        <f t="shared" si="174"/>
        <v>1.6465069679071169</v>
      </c>
      <c r="AY277" s="6">
        <f t="shared" si="175"/>
        <v>1.6465069679071169</v>
      </c>
      <c r="BF277" s="39"/>
      <c r="BG277" s="6">
        <f t="shared" si="176"/>
        <v>4.5727626402251165</v>
      </c>
      <c r="BH277" s="9">
        <f t="shared" ca="1" si="177"/>
        <v>46.066479854612254</v>
      </c>
      <c r="BI277" s="9">
        <f t="shared" ca="1" si="178"/>
        <v>-371.91098053391158</v>
      </c>
      <c r="BJ277">
        <f t="shared" ca="1" si="179"/>
        <v>374.75311607495803</v>
      </c>
      <c r="BK277" s="6">
        <f t="shared" ca="1" si="180"/>
        <v>0.12292487474713365</v>
      </c>
      <c r="BL277" s="6">
        <f t="shared" ca="1" si="181"/>
        <v>-0.99241597889614885</v>
      </c>
      <c r="BM277" s="6">
        <f t="shared" ca="1" si="182"/>
        <v>-1.4475597513163936</v>
      </c>
      <c r="BN277" s="6">
        <f t="shared" ca="1" si="183"/>
        <v>-0.72242720004854655</v>
      </c>
      <c r="BO277" s="9">
        <f t="shared" ca="1" si="184"/>
        <v>-20.849276743235777</v>
      </c>
      <c r="BP277" s="9">
        <f t="shared" ca="1" si="185"/>
        <v>-223.99193963340517</v>
      </c>
      <c r="BQ277">
        <f t="shared" ca="1" si="186"/>
        <v>224.96017727911547</v>
      </c>
      <c r="BR277">
        <f t="shared" ca="1" si="187"/>
        <v>-9.2679855587806531E-2</v>
      </c>
      <c r="BS277">
        <f t="shared" ca="1" si="188"/>
        <v>-0.99569595980310333</v>
      </c>
      <c r="BT277">
        <f t="shared" ca="1" si="189"/>
        <v>-1.6636093776633687</v>
      </c>
      <c r="BU277" s="39">
        <f t="shared" ca="1" si="190"/>
        <v>-1.6636093776633687</v>
      </c>
    </row>
    <row r="278" spans="45:73" x14ac:dyDescent="0.25">
      <c r="AS278">
        <v>4.8171087355043198</v>
      </c>
      <c r="AT278">
        <v>-16.741512771625914</v>
      </c>
      <c r="AU278">
        <v>-224.29584964544702</v>
      </c>
      <c r="AV278" s="6">
        <f t="shared" si="172"/>
        <v>4.6378868157819468</v>
      </c>
      <c r="AW278" s="6">
        <f t="shared" si="173"/>
        <v>0.179221919722373</v>
      </c>
      <c r="AX278" s="6">
        <f t="shared" si="174"/>
        <v>1.6452984913976396</v>
      </c>
      <c r="AY278" s="6">
        <f t="shared" si="175"/>
        <v>1.6452984913976396</v>
      </c>
      <c r="BF278" s="39"/>
      <c r="BG278" s="6">
        <f t="shared" si="176"/>
        <v>4.5902159327450596</v>
      </c>
      <c r="BH278" s="9">
        <f t="shared" ca="1" si="177"/>
        <v>46.37033140000127</v>
      </c>
      <c r="BI278" s="9">
        <f t="shared" ca="1" si="178"/>
        <v>-371.96482794962986</v>
      </c>
      <c r="BJ278">
        <f t="shared" ca="1" si="179"/>
        <v>374.84402204882991</v>
      </c>
      <c r="BK278" s="6">
        <f t="shared" ca="1" si="180"/>
        <v>0.12370567135244519</v>
      </c>
      <c r="BL278" s="6">
        <f t="shared" ca="1" si="181"/>
        <v>-0.99231895420537086</v>
      </c>
      <c r="BM278" s="6">
        <f t="shared" ca="1" si="182"/>
        <v>-1.4467729494598742</v>
      </c>
      <c r="BN278" s="6">
        <f t="shared" ca="1" si="183"/>
        <v>-0.72164039819202719</v>
      </c>
      <c r="BO278" s="9">
        <f t="shared" ca="1" si="184"/>
        <v>-20.545425197846761</v>
      </c>
      <c r="BP278" s="9">
        <f t="shared" ca="1" si="185"/>
        <v>-224.04578704912345</v>
      </c>
      <c r="BQ278">
        <f t="shared" ca="1" si="186"/>
        <v>224.98584220128492</v>
      </c>
      <c r="BR278">
        <f t="shared" ca="1" si="187"/>
        <v>-9.1318746979046239E-2</v>
      </c>
      <c r="BS278">
        <f t="shared" ca="1" si="188"/>
        <v>-0.99582171418892906</v>
      </c>
      <c r="BT278">
        <f t="shared" ca="1" si="189"/>
        <v>-1.6622424719967936</v>
      </c>
      <c r="BU278" s="39">
        <f t="shared" ca="1" si="190"/>
        <v>-1.6622424719967936</v>
      </c>
    </row>
    <row r="279" spans="45:73" x14ac:dyDescent="0.25">
      <c r="AS279">
        <v>4.8345620280242629</v>
      </c>
      <c r="AT279">
        <v>-16.467714024726774</v>
      </c>
      <c r="AU279">
        <v>-224.27778271069593</v>
      </c>
      <c r="AV279" s="6">
        <f t="shared" si="172"/>
        <v>4.6390949830116606</v>
      </c>
      <c r="AW279" s="6">
        <f t="shared" si="173"/>
        <v>0.19546704501260237</v>
      </c>
      <c r="AX279" s="6">
        <f t="shared" si="174"/>
        <v>1.6440903241679259</v>
      </c>
      <c r="AY279" s="6">
        <f t="shared" si="175"/>
        <v>1.6440903241679259</v>
      </c>
      <c r="BF279" s="39"/>
      <c r="BG279" s="6">
        <f t="shared" si="176"/>
        <v>4.6076692252650027</v>
      </c>
      <c r="BH279" s="9">
        <f t="shared" ca="1" si="177"/>
        <v>46.674746324027097</v>
      </c>
      <c r="BI279" s="9">
        <f t="shared" ca="1" si="178"/>
        <v>-372.01444731633018</v>
      </c>
      <c r="BJ279">
        <f t="shared" ca="1" si="179"/>
        <v>374.93103493374201</v>
      </c>
      <c r="BK279" s="6">
        <f t="shared" ca="1" si="180"/>
        <v>0.12448888455519688</v>
      </c>
      <c r="BL279" s="6">
        <f t="shared" ca="1" si="181"/>
        <v>-0.99222100240934374</v>
      </c>
      <c r="BM279" s="6">
        <f t="shared" ca="1" si="182"/>
        <v>-1.4459836348789525</v>
      </c>
      <c r="BN279" s="6">
        <f t="shared" ca="1" si="183"/>
        <v>-0.7208510836111055</v>
      </c>
      <c r="BO279" s="9">
        <f t="shared" ca="1" si="184"/>
        <v>-20.241010273820933</v>
      </c>
      <c r="BP279" s="9">
        <f t="shared" ca="1" si="185"/>
        <v>-224.09540641582376</v>
      </c>
      <c r="BQ279">
        <f t="shared" ca="1" si="186"/>
        <v>225.00766581069666</v>
      </c>
      <c r="BR279">
        <f t="shared" ca="1" si="187"/>
        <v>-8.9956980802823355E-2</v>
      </c>
      <c r="BS279">
        <f t="shared" ca="1" si="188"/>
        <v>-0.9959456519332972</v>
      </c>
      <c r="BT279">
        <f t="shared" ca="1" si="189"/>
        <v>-1.6608750774032253</v>
      </c>
      <c r="BU279" s="39">
        <f t="shared" ca="1" si="190"/>
        <v>-1.6608750774032253</v>
      </c>
    </row>
    <row r="280" spans="45:73" x14ac:dyDescent="0.25">
      <c r="AS280">
        <v>4.852015320544206</v>
      </c>
      <c r="AT280">
        <v>-16.193536599108263</v>
      </c>
      <c r="AU280">
        <v>-224.25503047446568</v>
      </c>
      <c r="AV280" s="6">
        <f t="shared" si="172"/>
        <v>4.64030373834904</v>
      </c>
      <c r="AW280" s="6">
        <f t="shared" si="173"/>
        <v>0.21171158219516606</v>
      </c>
      <c r="AX280" s="6">
        <f t="shared" si="174"/>
        <v>1.6428815688305465</v>
      </c>
      <c r="AY280" s="6">
        <f t="shared" si="175"/>
        <v>1.6428815688305465</v>
      </c>
      <c r="BF280" s="39"/>
      <c r="BG280" s="6">
        <f t="shared" si="176"/>
        <v>4.6251225177849458</v>
      </c>
      <c r="BH280" s="9">
        <f t="shared" ca="1" si="177"/>
        <v>46.979992839337655</v>
      </c>
      <c r="BI280" s="9">
        <f t="shared" ca="1" si="178"/>
        <v>-372.0599158895771</v>
      </c>
      <c r="BJ280">
        <f t="shared" ca="1" si="179"/>
        <v>375.01426738051367</v>
      </c>
      <c r="BK280" s="6">
        <f t="shared" ca="1" si="180"/>
        <v>0.12527521464048386</v>
      </c>
      <c r="BL280" s="6">
        <f t="shared" ca="1" si="181"/>
        <v>-0.99212202908552571</v>
      </c>
      <c r="BM280" s="6">
        <f t="shared" ca="1" si="182"/>
        <v>-1.4451911004918552</v>
      </c>
      <c r="BN280" s="6">
        <f t="shared" ca="1" si="183"/>
        <v>-0.72005854922400814</v>
      </c>
      <c r="BO280" s="9">
        <f t="shared" ca="1" si="184"/>
        <v>-19.935763758510376</v>
      </c>
      <c r="BP280" s="9">
        <f t="shared" ca="1" si="185"/>
        <v>-224.14087498907068</v>
      </c>
      <c r="BQ280">
        <f t="shared" ca="1" si="186"/>
        <v>225.02570190425214</v>
      </c>
      <c r="BR280">
        <f t="shared" ca="1" si="187"/>
        <v>-8.8593274411795819E-2</v>
      </c>
      <c r="BS280">
        <f t="shared" ca="1" si="188"/>
        <v>-0.99606788510070754</v>
      </c>
      <c r="BT280">
        <f t="shared" ca="1" si="189"/>
        <v>-1.6595059037980897</v>
      </c>
      <c r="BU280" s="39">
        <f t="shared" ca="1" si="190"/>
        <v>-1.6595059037980897</v>
      </c>
    </row>
    <row r="281" spans="45:73" x14ac:dyDescent="0.25">
      <c r="AS281">
        <v>4.8694686130641491</v>
      </c>
      <c r="AT281">
        <v>-15.91878999697208</v>
      </c>
      <c r="AU281">
        <v>-224.22752938596153</v>
      </c>
      <c r="AV281" s="6">
        <f t="shared" si="172"/>
        <v>4.6415139797134799</v>
      </c>
      <c r="AW281" s="6">
        <f t="shared" si="173"/>
        <v>0.22795463335066923</v>
      </c>
      <c r="AX281" s="6">
        <f t="shared" si="174"/>
        <v>1.6416713274661066</v>
      </c>
      <c r="AY281" s="6">
        <f t="shared" si="175"/>
        <v>1.6416713274661066</v>
      </c>
      <c r="BF281" s="39"/>
      <c r="BG281" s="6">
        <f t="shared" si="176"/>
        <v>4.6425758103048889</v>
      </c>
      <c r="BH281" s="9">
        <f t="shared" ca="1" si="177"/>
        <v>47.286347003441264</v>
      </c>
      <c r="BI281" s="9">
        <f t="shared" ca="1" si="178"/>
        <v>-372.10129936126839</v>
      </c>
      <c r="BJ281">
        <f t="shared" ca="1" si="179"/>
        <v>375.09382239550968</v>
      </c>
      <c r="BK281" s="6">
        <f t="shared" ca="1" si="180"/>
        <v>0.12606538465883127</v>
      </c>
      <c r="BL281" s="6">
        <f t="shared" ca="1" si="181"/>
        <v>-0.99202193463190158</v>
      </c>
      <c r="BM281" s="6">
        <f t="shared" ca="1" si="182"/>
        <v>-1.4443946159715544</v>
      </c>
      <c r="BN281" s="6">
        <f t="shared" ca="1" si="183"/>
        <v>-0.71926206470370735</v>
      </c>
      <c r="BO281" s="9">
        <f t="shared" ca="1" si="184"/>
        <v>-19.629409594406766</v>
      </c>
      <c r="BP281" s="9">
        <f t="shared" ca="1" si="185"/>
        <v>-224.18225846076197</v>
      </c>
      <c r="BQ281">
        <f t="shared" ca="1" si="186"/>
        <v>225.03999362245119</v>
      </c>
      <c r="BR281">
        <f t="shared" ca="1" si="187"/>
        <v>-8.7226315991365336E-2</v>
      </c>
      <c r="BS281">
        <f t="shared" ca="1" si="188"/>
        <v>-0.99618852121401924</v>
      </c>
      <c r="BT281">
        <f t="shared" ca="1" si="189"/>
        <v>-1.6581336324362466</v>
      </c>
      <c r="BU281" s="39">
        <f t="shared" ca="1" si="190"/>
        <v>-1.6581336324362466</v>
      </c>
    </row>
    <row r="282" spans="45:73" x14ac:dyDescent="0.25">
      <c r="AS282">
        <v>4.8869219055840922</v>
      </c>
      <c r="AT282">
        <v>-15.643282623187064</v>
      </c>
      <c r="AU282">
        <v>-224.19520295953885</v>
      </c>
      <c r="AV282" s="6">
        <f t="shared" si="172"/>
        <v>4.6427266084322012</v>
      </c>
      <c r="AW282" s="6">
        <f t="shared" si="173"/>
        <v>0.24419529715189103</v>
      </c>
      <c r="AX282" s="6">
        <f t="shared" si="174"/>
        <v>1.6404586987473853</v>
      </c>
      <c r="AY282" s="6">
        <f t="shared" si="175"/>
        <v>1.6404586987473853</v>
      </c>
      <c r="BF282" s="39"/>
      <c r="BG282" s="6">
        <f t="shared" si="176"/>
        <v>4.660029102824832</v>
      </c>
      <c r="BH282" s="9">
        <f t="shared" ca="1" si="177"/>
        <v>47.594094353335869</v>
      </c>
      <c r="BI282" s="9">
        <f t="shared" ca="1" si="178"/>
        <v>-372.13865202776515</v>
      </c>
      <c r="BJ282">
        <f t="shared" ca="1" si="179"/>
        <v>375.16979376058021</v>
      </c>
      <c r="BK282" s="6">
        <f t="shared" ca="1" si="180"/>
        <v>0.12686014477942939</v>
      </c>
      <c r="BL282" s="6">
        <f t="shared" ca="1" si="181"/>
        <v>-0.99192061359089745</v>
      </c>
      <c r="BM282" s="6">
        <f t="shared" ca="1" si="182"/>
        <v>-1.4435934233374266</v>
      </c>
      <c r="BN282" s="6">
        <f t="shared" ca="1" si="183"/>
        <v>-0.71846087206957954</v>
      </c>
      <c r="BO282" s="9">
        <f t="shared" ca="1" si="184"/>
        <v>-19.321662244512162</v>
      </c>
      <c r="BP282" s="9">
        <f t="shared" ca="1" si="185"/>
        <v>-224.21961112725873</v>
      </c>
      <c r="BQ282">
        <f t="shared" ca="1" si="186"/>
        <v>225.05057352948501</v>
      </c>
      <c r="BR282">
        <f t="shared" ca="1" si="187"/>
        <v>-8.5854756739736693E-2</v>
      </c>
      <c r="BS282">
        <f t="shared" ca="1" si="188"/>
        <v>-0.99630766369890011</v>
      </c>
      <c r="BT282">
        <f t="shared" ca="1" si="189"/>
        <v>-1.6567569080586746</v>
      </c>
      <c r="BU282" s="39">
        <f t="shared" ca="1" si="190"/>
        <v>-1.6567569080586746</v>
      </c>
    </row>
    <row r="283" spans="45:73" x14ac:dyDescent="0.25">
      <c r="AS283">
        <v>4.9043751981040353</v>
      </c>
      <c r="AT283">
        <v>-15.366821221048607</v>
      </c>
      <c r="AU283">
        <v>-224.15796137197628</v>
      </c>
      <c r="AV283" s="6">
        <f t="shared" si="172"/>
        <v>4.6439425321518453</v>
      </c>
      <c r="AW283" s="6">
        <f t="shared" si="173"/>
        <v>0.26043266595219006</v>
      </c>
      <c r="AX283" s="6">
        <f t="shared" si="174"/>
        <v>1.6392427750277412</v>
      </c>
      <c r="AY283" s="6">
        <f t="shared" si="175"/>
        <v>1.6392427750277412</v>
      </c>
      <c r="BF283" s="39"/>
      <c r="BG283" s="6">
        <f t="shared" si="176"/>
        <v>4.6774823953447751</v>
      </c>
      <c r="BH283" s="9">
        <f t="shared" ca="1" si="177"/>
        <v>47.903531725366435</v>
      </c>
      <c r="BI283" s="9">
        <f t="shared" ca="1" si="178"/>
        <v>-372.17201686036924</v>
      </c>
      <c r="BJ283">
        <f t="shared" ca="1" si="179"/>
        <v>375.24226639023243</v>
      </c>
      <c r="BK283" s="6">
        <f t="shared" ca="1" si="180"/>
        <v>0.12766027714892131</v>
      </c>
      <c r="BL283" s="6">
        <f t="shared" ca="1" si="181"/>
        <v>-0.99181795387977356</v>
      </c>
      <c r="BM283" s="6">
        <f t="shared" ca="1" si="182"/>
        <v>-1.4427867320332175</v>
      </c>
      <c r="BN283" s="6">
        <f t="shared" ca="1" si="183"/>
        <v>-0.71765418076537046</v>
      </c>
      <c r="BO283" s="9">
        <f t="shared" ca="1" si="184"/>
        <v>-19.012224872481596</v>
      </c>
      <c r="BP283" s="9">
        <f t="shared" ca="1" si="185"/>
        <v>-224.25297595986282</v>
      </c>
      <c r="BQ283">
        <f t="shared" ca="1" si="186"/>
        <v>225.05746359864767</v>
      </c>
      <c r="BR283">
        <f t="shared" ca="1" si="187"/>
        <v>-8.4477202259715847E-2</v>
      </c>
      <c r="BS283">
        <f t="shared" ca="1" si="188"/>
        <v>-0.99642541231061099</v>
      </c>
      <c r="BT283">
        <f t="shared" ca="1" si="189"/>
        <v>-1.6553743302541812</v>
      </c>
      <c r="BU283" s="39">
        <f t="shared" ca="1" si="190"/>
        <v>-1.6553743302541812</v>
      </c>
    </row>
    <row r="284" spans="45:73" x14ac:dyDescent="0.25">
      <c r="AS284">
        <v>4.9218284906239784</v>
      </c>
      <c r="AT284">
        <v>-15.089210307305912</v>
      </c>
      <c r="AU284">
        <v>-224.11570095716741</v>
      </c>
      <c r="AV284" s="6">
        <f t="shared" si="172"/>
        <v>4.6451626677522508</v>
      </c>
      <c r="AW284" s="6">
        <f t="shared" si="173"/>
        <v>0.27666582287172758</v>
      </c>
      <c r="AX284" s="6">
        <f t="shared" si="174"/>
        <v>1.6380226394273356</v>
      </c>
      <c r="AY284" s="6">
        <f t="shared" si="175"/>
        <v>1.6380226394273356</v>
      </c>
      <c r="BF284" s="39"/>
      <c r="BG284" s="6">
        <f t="shared" si="176"/>
        <v>4.6949356878647182</v>
      </c>
      <c r="BH284" s="9">
        <f t="shared" ca="1" si="177"/>
        <v>48.214969303324565</v>
      </c>
      <c r="BI284" s="9">
        <f t="shared" ca="1" si="178"/>
        <v>-372.2014254792125</v>
      </c>
      <c r="BJ284">
        <f t="shared" ca="1" si="179"/>
        <v>375.31131663417545</v>
      </c>
      <c r="BK284" s="6">
        <f t="shared" ca="1" si="180"/>
        <v>0.12846660136901975</v>
      </c>
      <c r="BL284" s="6">
        <f t="shared" ca="1" si="181"/>
        <v>-0.99171383590867246</v>
      </c>
      <c r="BM284" s="6">
        <f t="shared" ca="1" si="182"/>
        <v>-1.4419737133764614</v>
      </c>
      <c r="BN284" s="6">
        <f t="shared" ca="1" si="183"/>
        <v>-0.71684116210861437</v>
      </c>
      <c r="BO284" s="9">
        <f t="shared" ca="1" si="184"/>
        <v>-18.700787294523465</v>
      </c>
      <c r="BP284" s="9">
        <f t="shared" ca="1" si="185"/>
        <v>-224.28238457870609</v>
      </c>
      <c r="BQ284">
        <f t="shared" ca="1" si="186"/>
        <v>225.06067510283893</v>
      </c>
      <c r="BR284">
        <f t="shared" ca="1" si="187"/>
        <v>-8.3092202962504899E-2</v>
      </c>
      <c r="BS284">
        <f t="shared" ca="1" si="188"/>
        <v>-0.99654186354956409</v>
      </c>
      <c r="BT284">
        <f t="shared" ca="1" si="189"/>
        <v>-1.653984443836048</v>
      </c>
      <c r="BU284" s="39">
        <f t="shared" ca="1" si="190"/>
        <v>-1.653984443836048</v>
      </c>
    </row>
    <row r="285" spans="45:73" x14ac:dyDescent="0.25">
      <c r="AS285">
        <v>4.9392817831439215</v>
      </c>
      <c r="AT285">
        <v>-14.810251584353113</v>
      </c>
      <c r="AU285">
        <v>-224.0683036515932</v>
      </c>
      <c r="AV285" s="6">
        <f t="shared" si="172"/>
        <v>4.6463879443834335</v>
      </c>
      <c r="AW285" s="6">
        <f t="shared" si="173"/>
        <v>0.29289383876048802</v>
      </c>
      <c r="AX285" s="6">
        <f t="shared" si="174"/>
        <v>1.636797362796153</v>
      </c>
      <c r="AY285" s="6">
        <f t="shared" si="175"/>
        <v>1.636797362796153</v>
      </c>
      <c r="BF285" s="39"/>
      <c r="BG285" s="6">
        <f t="shared" si="176"/>
        <v>4.7123889803846613</v>
      </c>
      <c r="BH285" s="9">
        <f t="shared" ca="1" si="177"/>
        <v>48.528732939605057</v>
      </c>
      <c r="BI285" s="9">
        <f t="shared" ca="1" si="178"/>
        <v>-372.22689800584033</v>
      </c>
      <c r="BJ285">
        <f t="shared" ca="1" si="179"/>
        <v>375.37701250845629</v>
      </c>
      <c r="BK285" s="6">
        <f t="shared" ca="1" si="180"/>
        <v>0.1292799807194156</v>
      </c>
      <c r="BL285" s="6">
        <f t="shared" ca="1" si="181"/>
        <v>-0.99160813156467598</v>
      </c>
      <c r="BM285" s="6">
        <f t="shared" ca="1" si="182"/>
        <v>-1.4411534942510398</v>
      </c>
      <c r="BN285" s="6">
        <f t="shared" ca="1" si="183"/>
        <v>-0.71602094298319274</v>
      </c>
      <c r="BO285" s="9">
        <f t="shared" ca="1" si="184"/>
        <v>-18.387023658242974</v>
      </c>
      <c r="BP285" s="9">
        <f t="shared" ca="1" si="185"/>
        <v>-224.30785710533391</v>
      </c>
      <c r="BQ285">
        <f t="shared" ca="1" si="186"/>
        <v>225.06020838476908</v>
      </c>
      <c r="BR285">
        <f t="shared" ca="1" si="187"/>
        <v>-8.1698243284339347E-2</v>
      </c>
      <c r="BS285">
        <f t="shared" ca="1" si="188"/>
        <v>-0.99665711106892363</v>
      </c>
      <c r="BT285">
        <f t="shared" ca="1" si="189"/>
        <v>-1.6525857280343104</v>
      </c>
      <c r="BU285" s="39">
        <f t="shared" ca="1" si="190"/>
        <v>-1.6525857280343104</v>
      </c>
    </row>
    <row r="286" spans="45:73" x14ac:dyDescent="0.25">
      <c r="AS286">
        <v>4.9567350756638646</v>
      </c>
      <c r="AT286">
        <v>-14.529743348752248</v>
      </c>
      <c r="AU286">
        <v>-224.01563631296654</v>
      </c>
      <c r="AV286" s="6">
        <f t="shared" si="172"/>
        <v>4.6476193065238904</v>
      </c>
      <c r="AW286" s="6">
        <f t="shared" si="173"/>
        <v>0.30911576913997418</v>
      </c>
      <c r="AX286" s="6">
        <f t="shared" si="174"/>
        <v>1.635566000655696</v>
      </c>
      <c r="AY286" s="6">
        <f t="shared" si="175"/>
        <v>1.635566000655696</v>
      </c>
      <c r="BF286" s="39"/>
      <c r="BG286" s="6">
        <f t="shared" si="176"/>
        <v>4.7298422729046044</v>
      </c>
      <c r="BH286" s="9">
        <f t="shared" ca="1" si="177"/>
        <v>48.804269224020615</v>
      </c>
      <c r="BI286" s="9">
        <f t="shared" ca="1" si="178"/>
        <v>-372.23630013884087</v>
      </c>
      <c r="BJ286">
        <f t="shared" ca="1" si="179"/>
        <v>375.42205560614565</v>
      </c>
      <c r="BK286" s="6">
        <f t="shared" ca="1" si="180"/>
        <v>0.12999840711335578</v>
      </c>
      <c r="BL286" s="6">
        <f t="shared" ca="1" si="181"/>
        <v>-0.99151420269605328</v>
      </c>
      <c r="BM286" s="6">
        <f t="shared" ca="1" si="182"/>
        <v>-1.4404289536111612</v>
      </c>
      <c r="BN286" s="6">
        <f t="shared" ca="1" si="183"/>
        <v>-0.71529640234331415</v>
      </c>
      <c r="BO286" s="9">
        <f t="shared" ca="1" si="184"/>
        <v>-18.111487373827416</v>
      </c>
      <c r="BP286" s="9">
        <f t="shared" ca="1" si="185"/>
        <v>-224.31725923833446</v>
      </c>
      <c r="BQ286">
        <f t="shared" ca="1" si="186"/>
        <v>225.04723674617838</v>
      </c>
      <c r="BR286">
        <f t="shared" ca="1" si="187"/>
        <v>-8.047860367312408E-2</v>
      </c>
      <c r="BS286">
        <f t="shared" ca="1" si="188"/>
        <v>-0.99675633649895801</v>
      </c>
      <c r="BT286">
        <f t="shared" ca="1" si="189"/>
        <v>-1.6513620586941482</v>
      </c>
      <c r="BU286" s="39">
        <f t="shared" ca="1" si="190"/>
        <v>-1.6513620586941482</v>
      </c>
    </row>
    <row r="287" spans="45:73" x14ac:dyDescent="0.25">
      <c r="AS287">
        <v>4.9741883681838077</v>
      </c>
      <c r="AT287">
        <v>-14.247479876518661</v>
      </c>
      <c r="AU287">
        <v>-223.95754995469071</v>
      </c>
      <c r="AV287" s="6">
        <f t="shared" si="172"/>
        <v>4.6488577171680792</v>
      </c>
      <c r="AW287" s="6">
        <f t="shared" si="173"/>
        <v>0.32533065101572856</v>
      </c>
      <c r="AX287" s="6">
        <f t="shared" si="174"/>
        <v>1.6343275900115073</v>
      </c>
      <c r="AY287" s="6">
        <f t="shared" si="175"/>
        <v>1.6343275900115073</v>
      </c>
      <c r="BF287" s="39"/>
      <c r="BG287" s="6">
        <f t="shared" si="176"/>
        <v>4.7472955654245474</v>
      </c>
      <c r="BH287" s="9">
        <f t="shared" ca="1" si="177"/>
        <v>49.079032799019579</v>
      </c>
      <c r="BI287" s="9">
        <f t="shared" ca="1" si="178"/>
        <v>-372.24114008073514</v>
      </c>
      <c r="BJ287">
        <f t="shared" ca="1" si="179"/>
        <v>375.46267168533905</v>
      </c>
      <c r="BK287" s="6">
        <f t="shared" ca="1" si="180"/>
        <v>0.13071614437386961</v>
      </c>
      <c r="BL287" s="6">
        <f t="shared" ca="1" si="181"/>
        <v>-0.99141983518589627</v>
      </c>
      <c r="BM287" s="6">
        <f t="shared" ca="1" si="182"/>
        <v>-1.4397050392343258</v>
      </c>
      <c r="BN287" s="6">
        <f t="shared" ca="1" si="183"/>
        <v>-0.71457248796647876</v>
      </c>
      <c r="BO287" s="9">
        <f t="shared" ca="1" si="184"/>
        <v>-17.836723798828451</v>
      </c>
      <c r="BP287" s="9">
        <f t="shared" ca="1" si="185"/>
        <v>-224.32209918022872</v>
      </c>
      <c r="BQ287">
        <f t="shared" ca="1" si="186"/>
        <v>225.03011553234396</v>
      </c>
      <c r="BR287">
        <f t="shared" ca="1" si="187"/>
        <v>-7.9263718798850052E-2</v>
      </c>
      <c r="BS287">
        <f t="shared" ca="1" si="188"/>
        <v>-0.99685368178192368</v>
      </c>
      <c r="BT287">
        <f t="shared" ca="1" si="189"/>
        <v>-1.6501432799834184</v>
      </c>
      <c r="BU287" s="39">
        <f t="shared" ca="1" si="190"/>
        <v>-1.6501432799834184</v>
      </c>
    </row>
    <row r="288" spans="45:73" x14ac:dyDescent="0.25">
      <c r="AS288">
        <v>4.9916416607037508</v>
      </c>
      <c r="AT288">
        <v>-13.963250779979989</v>
      </c>
      <c r="AU288">
        <v>-223.8938788919958</v>
      </c>
      <c r="AV288" s="6">
        <f t="shared" si="172"/>
        <v>4.6501041611729175</v>
      </c>
      <c r="AW288" s="6">
        <f t="shared" si="173"/>
        <v>0.34153749953083334</v>
      </c>
      <c r="AX288" s="6">
        <f t="shared" si="174"/>
        <v>1.633081146006669</v>
      </c>
      <c r="AY288" s="6">
        <f t="shared" si="175"/>
        <v>1.633081146006669</v>
      </c>
      <c r="BF288" s="39"/>
      <c r="BG288" s="6">
        <f t="shared" si="176"/>
        <v>4.7647488579444905</v>
      </c>
      <c r="BH288" s="9">
        <f t="shared" ca="1" si="177"/>
        <v>49.353219418714872</v>
      </c>
      <c r="BI288" s="9">
        <f t="shared" ca="1" si="178"/>
        <v>-372.24142748260692</v>
      </c>
      <c r="BJ288">
        <f t="shared" ca="1" si="179"/>
        <v>375.49889560594011</v>
      </c>
      <c r="BK288" s="6">
        <f t="shared" ca="1" si="180"/>
        <v>0.13143372722594537</v>
      </c>
      <c r="BL288" s="6">
        <f t="shared" ca="1" si="181"/>
        <v>-0.99132495950999633</v>
      </c>
      <c r="BM288" s="6">
        <f t="shared" ca="1" si="182"/>
        <v>-1.4389812115156346</v>
      </c>
      <c r="BN288" s="6">
        <f t="shared" ca="1" si="183"/>
        <v>-0.71384866024778759</v>
      </c>
      <c r="BO288" s="9">
        <f t="shared" ca="1" si="184"/>
        <v>-17.562537179133159</v>
      </c>
      <c r="BP288" s="9">
        <f t="shared" ca="1" si="185"/>
        <v>-224.32238658210051</v>
      </c>
      <c r="BQ288">
        <f t="shared" ca="1" si="186"/>
        <v>225.00883501333405</v>
      </c>
      <c r="BR288">
        <f t="shared" ca="1" si="187"/>
        <v>-7.8052655923899164E-2</v>
      </c>
      <c r="BS288">
        <f t="shared" ca="1" si="188"/>
        <v>-0.99694923787684664</v>
      </c>
      <c r="BT288">
        <f t="shared" ca="1" si="189"/>
        <v>-1.6489284530674089</v>
      </c>
      <c r="BU288" s="39">
        <f t="shared" ca="1" si="190"/>
        <v>-1.6489284530674089</v>
      </c>
    </row>
    <row r="289" spans="45:73" x14ac:dyDescent="0.25">
      <c r="AS289">
        <v>5.0090949532236939</v>
      </c>
      <c r="AT289">
        <v>-13.676840347685806</v>
      </c>
      <c r="AU289">
        <v>-223.82443974095978</v>
      </c>
      <c r="AV289" s="6">
        <f t="shared" si="172"/>
        <v>4.6513596487048963</v>
      </c>
      <c r="AW289" s="6">
        <f t="shared" si="173"/>
        <v>0.35773530451879765</v>
      </c>
      <c r="AX289" s="6">
        <f t="shared" si="174"/>
        <v>1.6318256584746902</v>
      </c>
      <c r="AY289" s="6">
        <f t="shared" si="175"/>
        <v>1.6318256584746902</v>
      </c>
      <c r="BF289" s="39"/>
      <c r="BG289" s="6">
        <f t="shared" si="176"/>
        <v>4.7822021504644336</v>
      </c>
      <c r="BH289" s="9">
        <f t="shared" ca="1" si="177"/>
        <v>49.627022516536087</v>
      </c>
      <c r="BI289" s="9">
        <f t="shared" ca="1" si="178"/>
        <v>-372.23715996072639</v>
      </c>
      <c r="BJ289">
        <f t="shared" ca="1" si="179"/>
        <v>375.53075056443004</v>
      </c>
      <c r="BK289" s="6">
        <f t="shared" ca="1" si="180"/>
        <v>0.13215168782302303</v>
      </c>
      <c r="BL289" s="6">
        <f t="shared" ca="1" si="181"/>
        <v>-0.99122950491070749</v>
      </c>
      <c r="BM289" s="6">
        <f t="shared" ca="1" si="182"/>
        <v>-1.4382569332387178</v>
      </c>
      <c r="BN289" s="6">
        <f t="shared" ca="1" si="183"/>
        <v>-0.7131243819708708</v>
      </c>
      <c r="BO289" s="9">
        <f t="shared" ca="1" si="184"/>
        <v>-17.288734081311944</v>
      </c>
      <c r="BP289" s="9">
        <f t="shared" ca="1" si="185"/>
        <v>-224.31811906021997</v>
      </c>
      <c r="BQ289">
        <f t="shared" ca="1" si="186"/>
        <v>224.98337464099285</v>
      </c>
      <c r="BR289">
        <f t="shared" ca="1" si="187"/>
        <v>-7.6844496216218944E-2</v>
      </c>
      <c r="BS289">
        <f t="shared" ca="1" si="188"/>
        <v>-0.997043090042389</v>
      </c>
      <c r="BT289">
        <f t="shared" ca="1" si="189"/>
        <v>-1.6477166534602392</v>
      </c>
      <c r="BU289" s="39">
        <f t="shared" ca="1" si="190"/>
        <v>-1.6477166534602392</v>
      </c>
    </row>
    <row r="290" spans="45:73" x14ac:dyDescent="0.25">
      <c r="AS290">
        <v>5.026548245743637</v>
      </c>
      <c r="AT290">
        <v>-13.388026847698651</v>
      </c>
      <c r="AU290">
        <v>-223.74903030754291</v>
      </c>
      <c r="AV290" s="6">
        <f t="shared" si="172"/>
        <v>4.6526252188967785</v>
      </c>
      <c r="AW290" s="6">
        <f t="shared" si="173"/>
        <v>0.37392302684685852</v>
      </c>
      <c r="AX290" s="6">
        <f t="shared" si="174"/>
        <v>1.630560088282808</v>
      </c>
      <c r="AY290" s="6">
        <f t="shared" si="175"/>
        <v>1.630560088282808</v>
      </c>
      <c r="BF290" s="39"/>
      <c r="BG290" s="6">
        <f t="shared" si="176"/>
        <v>4.7996554429843767</v>
      </c>
      <c r="BH290" s="9">
        <f t="shared" ca="1" si="177"/>
        <v>49.900633800512168</v>
      </c>
      <c r="BI290" s="9">
        <f t="shared" ca="1" si="178"/>
        <v>-372.22832313058791</v>
      </c>
      <c r="BJ290">
        <f t="shared" ca="1" si="179"/>
        <v>375.55824820432605</v>
      </c>
      <c r="BK290" s="6">
        <f t="shared" ca="1" si="180"/>
        <v>0.13287055746772802</v>
      </c>
      <c r="BL290" s="6">
        <f t="shared" ca="1" si="181"/>
        <v>-0.99113339917400389</v>
      </c>
      <c r="BM290" s="6">
        <f t="shared" ca="1" si="182"/>
        <v>-1.4375316678378041</v>
      </c>
      <c r="BN290" s="6">
        <f t="shared" ca="1" si="183"/>
        <v>-0.71239911656995702</v>
      </c>
      <c r="BO290" s="9">
        <f t="shared" ca="1" si="184"/>
        <v>-17.015122797335863</v>
      </c>
      <c r="BP290" s="9">
        <f t="shared" ca="1" si="185"/>
        <v>-224.30928223008149</v>
      </c>
      <c r="BQ290">
        <f t="shared" ca="1" si="186"/>
        <v>224.95370301104796</v>
      </c>
      <c r="BR290">
        <f t="shared" ca="1" si="187"/>
        <v>-7.5638331663738886E-2</v>
      </c>
      <c r="BS290">
        <f t="shared" ca="1" si="188"/>
        <v>-0.99713531819062862</v>
      </c>
      <c r="BT290">
        <f t="shared" ca="1" si="189"/>
        <v>-1.6465069679071165</v>
      </c>
      <c r="BU290" s="39">
        <f t="shared" ca="1" si="190"/>
        <v>-1.6465069679071165</v>
      </c>
    </row>
    <row r="291" spans="45:73" x14ac:dyDescent="0.25">
      <c r="AS291">
        <v>5.0440015382635801</v>
      </c>
      <c r="AT291">
        <v>-13.096581788359979</v>
      </c>
      <c r="AU291">
        <v>-223.66742835787022</v>
      </c>
      <c r="AV291" s="6">
        <f t="shared" si="172"/>
        <v>4.6539019437490214</v>
      </c>
      <c r="AW291" s="6">
        <f t="shared" si="173"/>
        <v>0.39009959451455867</v>
      </c>
      <c r="AX291" s="6">
        <f t="shared" si="174"/>
        <v>1.629283363430565</v>
      </c>
      <c r="AY291" s="6">
        <f t="shared" si="175"/>
        <v>1.629283363430565</v>
      </c>
      <c r="BF291" s="39"/>
      <c r="BG291" s="6">
        <f t="shared" si="176"/>
        <v>4.8171087355043198</v>
      </c>
      <c r="BH291" s="9">
        <f t="shared" ca="1" si="177"/>
        <v>50.174243826222117</v>
      </c>
      <c r="BI291" s="9">
        <f t="shared" ca="1" si="178"/>
        <v>-372.21489054595344</v>
      </c>
      <c r="BJ291">
        <f t="shared" ca="1" si="179"/>
        <v>375.58138863323524</v>
      </c>
      <c r="BK291" s="6">
        <f t="shared" ca="1" si="180"/>
        <v>0.13359086830369685</v>
      </c>
      <c r="BL291" s="6">
        <f t="shared" ca="1" si="181"/>
        <v>-0.99103656839990739</v>
      </c>
      <c r="BM291" s="6">
        <f t="shared" ca="1" si="182"/>
        <v>-1.4368048776875695</v>
      </c>
      <c r="BN291" s="6">
        <f t="shared" ca="1" si="183"/>
        <v>-0.71167232641972245</v>
      </c>
      <c r="BO291" s="9">
        <f t="shared" ca="1" si="184"/>
        <v>-16.741512771625914</v>
      </c>
      <c r="BP291" s="9">
        <f t="shared" ca="1" si="185"/>
        <v>-224.29584964544702</v>
      </c>
      <c r="BQ291">
        <f t="shared" ca="1" si="186"/>
        <v>224.91977773876508</v>
      </c>
      <c r="BR291">
        <f t="shared" ca="1" si="187"/>
        <v>-7.4433262116551088E-2</v>
      </c>
      <c r="BS291">
        <f t="shared" ca="1" si="188"/>
        <v>-0.99722599719957605</v>
      </c>
      <c r="BT291">
        <f t="shared" ca="1" si="189"/>
        <v>-1.6452984913976394</v>
      </c>
      <c r="BU291" s="39">
        <f t="shared" ca="1" si="190"/>
        <v>-1.6452984913976394</v>
      </c>
    </row>
    <row r="292" spans="45:73" x14ac:dyDescent="0.25">
      <c r="AS292">
        <v>5.0614548307835232</v>
      </c>
      <c r="AT292">
        <v>-12.802269144077627</v>
      </c>
      <c r="AU292">
        <v>-223.57939021534753</v>
      </c>
      <c r="AV292" s="6">
        <f t="shared" si="172"/>
        <v>4.6551909322409486</v>
      </c>
      <c r="AW292" s="6">
        <f t="shared" si="173"/>
        <v>0.40626389854257461</v>
      </c>
      <c r="AX292" s="6">
        <f t="shared" si="174"/>
        <v>1.6279943749386379</v>
      </c>
      <c r="AY292" s="6">
        <f t="shared" si="175"/>
        <v>1.6279943749386379</v>
      </c>
      <c r="BF292" s="39"/>
      <c r="BG292" s="6">
        <f t="shared" si="176"/>
        <v>4.8345620280242629</v>
      </c>
      <c r="BH292" s="9">
        <f t="shared" ca="1" si="177"/>
        <v>50.448042573121256</v>
      </c>
      <c r="BI292" s="9">
        <f t="shared" ca="1" si="178"/>
        <v>-372.19682361120238</v>
      </c>
      <c r="BJ292">
        <f t="shared" ca="1" si="179"/>
        <v>375.60016041760144</v>
      </c>
      <c r="BK292" s="6">
        <f t="shared" ca="1" si="180"/>
        <v>0.13431315502376753</v>
      </c>
      <c r="BL292" s="6">
        <f t="shared" ca="1" si="181"/>
        <v>-0.99093893676026346</v>
      </c>
      <c r="BM292" s="6">
        <f t="shared" ca="1" si="182"/>
        <v>-1.4360760223750642</v>
      </c>
      <c r="BN292" s="6">
        <f t="shared" ca="1" si="183"/>
        <v>-0.71094347110721712</v>
      </c>
      <c r="BO292" s="9">
        <f t="shared" ca="1" si="184"/>
        <v>-16.467714024726774</v>
      </c>
      <c r="BP292" s="9">
        <f t="shared" ca="1" si="185"/>
        <v>-224.27778271069596</v>
      </c>
      <c r="BQ292">
        <f t="shared" ca="1" si="186"/>
        <v>224.88154531403046</v>
      </c>
      <c r="BR292">
        <f t="shared" ca="1" si="187"/>
        <v>-7.3228392315300164E-2</v>
      </c>
      <c r="BS292">
        <f t="shared" ca="1" si="188"/>
        <v>-0.99731519719641115</v>
      </c>
      <c r="BT292">
        <f t="shared" ca="1" si="189"/>
        <v>-1.6440903241679257</v>
      </c>
      <c r="BU292" s="39">
        <f t="shared" ca="1" si="190"/>
        <v>-1.6440903241679257</v>
      </c>
    </row>
    <row r="293" spans="45:73" x14ac:dyDescent="0.25">
      <c r="AS293">
        <v>5.0789081233034663</v>
      </c>
      <c r="AT293">
        <v>-12.504844533643379</v>
      </c>
      <c r="AU293">
        <v>-223.48464918999926</v>
      </c>
      <c r="AV293" s="6">
        <f t="shared" si="172"/>
        <v>4.656493334724388</v>
      </c>
      <c r="AW293" s="6">
        <f t="shared" si="173"/>
        <v>0.42241478857907833</v>
      </c>
      <c r="AX293" s="6">
        <f t="shared" si="174"/>
        <v>1.6266919724551985</v>
      </c>
      <c r="AY293" s="6">
        <f t="shared" si="175"/>
        <v>1.6266919724551985</v>
      </c>
      <c r="BF293" s="39"/>
      <c r="BG293" s="6">
        <f t="shared" si="176"/>
        <v>4.852015320544206</v>
      </c>
      <c r="BH293" s="9">
        <f t="shared" ca="1" si="177"/>
        <v>50.722219998739767</v>
      </c>
      <c r="BI293" s="9">
        <f t="shared" ca="1" si="178"/>
        <v>-372.17407137497207</v>
      </c>
      <c r="BJ293">
        <f t="shared" ca="1" si="179"/>
        <v>375.61454046059418</v>
      </c>
      <c r="BK293" s="6">
        <f t="shared" ca="1" si="180"/>
        <v>0.1350379565619107</v>
      </c>
      <c r="BL293" s="6">
        <f t="shared" ca="1" si="181"/>
        <v>-0.99084042624813384</v>
      </c>
      <c r="BM293" s="6">
        <f t="shared" ca="1" si="182"/>
        <v>-1.4353445569865799</v>
      </c>
      <c r="BN293" s="6">
        <f t="shared" ca="1" si="183"/>
        <v>-0.71021200571873289</v>
      </c>
      <c r="BO293" s="9">
        <f t="shared" ca="1" si="184"/>
        <v>-16.193536599108263</v>
      </c>
      <c r="BP293" s="9">
        <f t="shared" ca="1" si="185"/>
        <v>-224.25503047446566</v>
      </c>
      <c r="BQ293">
        <f t="shared" ca="1" si="186"/>
        <v>224.83894084586456</v>
      </c>
      <c r="BR293">
        <f t="shared" ca="1" si="187"/>
        <v>-7.2022829044589454E-2</v>
      </c>
      <c r="BS293">
        <f t="shared" ca="1" si="188"/>
        <v>-0.99740298380163961</v>
      </c>
      <c r="BT293">
        <f t="shared" ca="1" si="189"/>
        <v>-1.6428815688305465</v>
      </c>
      <c r="BU293" s="39">
        <f t="shared" ca="1" si="190"/>
        <v>-1.6428815688305465</v>
      </c>
    </row>
    <row r="294" spans="45:73" x14ac:dyDescent="0.25">
      <c r="AS294">
        <v>5.0963614158234094</v>
      </c>
      <c r="AT294">
        <v>-12.204054334796377</v>
      </c>
      <c r="AU294">
        <v>-223.38291385360642</v>
      </c>
      <c r="AV294" s="6">
        <f t="shared" si="172"/>
        <v>4.6578103476928439</v>
      </c>
      <c r="AW294" s="6">
        <f t="shared" si="173"/>
        <v>0.43855106813056555</v>
      </c>
      <c r="AX294" s="6">
        <f t="shared" si="174"/>
        <v>1.6253749594867426</v>
      </c>
      <c r="AY294" s="6">
        <f t="shared" si="175"/>
        <v>1.6253749594867426</v>
      </c>
      <c r="BF294" s="39"/>
      <c r="BG294" s="6">
        <f t="shared" si="176"/>
        <v>4.8694686130641491</v>
      </c>
      <c r="BH294" s="9">
        <f t="shared" ca="1" si="177"/>
        <v>50.99696660087595</v>
      </c>
      <c r="BI294" s="9">
        <f t="shared" ca="1" si="178"/>
        <v>-372.14657028646798</v>
      </c>
      <c r="BJ294">
        <f t="shared" ca="1" si="179"/>
        <v>375.62449384787448</v>
      </c>
      <c r="BK294" s="6">
        <f t="shared" ca="1" si="180"/>
        <v>0.13576581782105349</v>
      </c>
      <c r="BL294" s="6">
        <f t="shared" ca="1" si="181"/>
        <v>-0.99074095641160442</v>
      </c>
      <c r="BM294" s="6">
        <f t="shared" ca="1" si="182"/>
        <v>-1.4346099303567801</v>
      </c>
      <c r="BN294" s="6">
        <f t="shared" ca="1" si="183"/>
        <v>-0.70947737908893305</v>
      </c>
      <c r="BO294" s="9">
        <f t="shared" ca="1" si="184"/>
        <v>-15.91878999697208</v>
      </c>
      <c r="BP294" s="9">
        <f t="shared" ca="1" si="185"/>
        <v>-224.22752938596156</v>
      </c>
      <c r="BQ294">
        <f t="shared" ca="1" si="186"/>
        <v>224.79188777511513</v>
      </c>
      <c r="BR294">
        <f t="shared" ca="1" si="187"/>
        <v>-7.0815678245904748E-2</v>
      </c>
      <c r="BS294">
        <f t="shared" ca="1" si="188"/>
        <v>-0.99748941834716842</v>
      </c>
      <c r="BT294">
        <f t="shared" ca="1" si="189"/>
        <v>-1.6416713274661068</v>
      </c>
      <c r="BU294" s="39">
        <f t="shared" ca="1" si="190"/>
        <v>-1.6416713274661068</v>
      </c>
    </row>
    <row r="295" spans="45:73" x14ac:dyDescent="0.25">
      <c r="AS295">
        <v>5.1138147083433525</v>
      </c>
      <c r="AT295">
        <v>-11.899634751172709</v>
      </c>
      <c r="AU295">
        <v>-223.27386606679619</v>
      </c>
      <c r="AV295" s="6">
        <f t="shared" si="172"/>
        <v>4.6591432188501383</v>
      </c>
      <c r="AW295" s="6">
        <f t="shared" si="173"/>
        <v>0.45467148949321423</v>
      </c>
      <c r="AX295" s="6">
        <f t="shared" si="174"/>
        <v>1.6240420883294482</v>
      </c>
      <c r="AY295" s="6">
        <f t="shared" si="175"/>
        <v>1.6240420883294482</v>
      </c>
      <c r="BF295" s="39"/>
      <c r="BG295" s="6">
        <f t="shared" si="176"/>
        <v>4.8869219055840922</v>
      </c>
      <c r="BH295" s="9">
        <f t="shared" ca="1" si="177"/>
        <v>51.272473974660969</v>
      </c>
      <c r="BI295" s="9">
        <f t="shared" ca="1" si="178"/>
        <v>-372.11424386004524</v>
      </c>
      <c r="BJ295">
        <f t="shared" ca="1" si="179"/>
        <v>375.62997360569545</v>
      </c>
      <c r="BK295" s="6">
        <f t="shared" ca="1" si="180"/>
        <v>0.13649729142350731</v>
      </c>
      <c r="BL295" s="6">
        <f t="shared" ca="1" si="181"/>
        <v>-0.99064044407345209</v>
      </c>
      <c r="BM295" s="6">
        <f t="shared" ca="1" si="182"/>
        <v>-1.433871583293419</v>
      </c>
      <c r="BN295" s="6">
        <f t="shared" ca="1" si="183"/>
        <v>-0.70873903202557198</v>
      </c>
      <c r="BO295" s="9">
        <f t="shared" ca="1" si="184"/>
        <v>-15.643282623187062</v>
      </c>
      <c r="BP295" s="9">
        <f t="shared" ca="1" si="185"/>
        <v>-224.19520295953882</v>
      </c>
      <c r="BQ295">
        <f t="shared" ca="1" si="186"/>
        <v>224.7402975020228</v>
      </c>
      <c r="BR295">
        <f t="shared" ca="1" si="187"/>
        <v>-6.9606042160935841E-2</v>
      </c>
      <c r="BS295">
        <f t="shared" ca="1" si="188"/>
        <v>-0.99757455806305018</v>
      </c>
      <c r="BT295">
        <f t="shared" ca="1" si="189"/>
        <v>-1.6404586987473848</v>
      </c>
      <c r="BU295" s="39">
        <f t="shared" ca="1" si="190"/>
        <v>-1.6404586987473848</v>
      </c>
    </row>
    <row r="296" spans="45:73" x14ac:dyDescent="0.25">
      <c r="AS296">
        <v>5.1312680008632956</v>
      </c>
      <c r="AT296">
        <v>-11.591310796734497</v>
      </c>
      <c r="AU296">
        <v>-223.15715882079317</v>
      </c>
      <c r="AV296" s="6">
        <f t="shared" si="172"/>
        <v>4.6604932526728966</v>
      </c>
      <c r="AW296" s="6">
        <f t="shared" si="173"/>
        <v>0.470774748190399</v>
      </c>
      <c r="AX296" s="6">
        <f t="shared" si="174"/>
        <v>1.6226920545066899</v>
      </c>
      <c r="AY296" s="6">
        <f t="shared" si="175"/>
        <v>1.6226920545066899</v>
      </c>
      <c r="BF296" s="39"/>
      <c r="BG296" s="6">
        <f t="shared" si="176"/>
        <v>4.9043751981040353</v>
      </c>
      <c r="BH296" s="9">
        <f t="shared" ca="1" si="177"/>
        <v>51.54893537679942</v>
      </c>
      <c r="BI296" s="9">
        <f t="shared" ca="1" si="178"/>
        <v>-372.07700227248267</v>
      </c>
      <c r="BJ296">
        <f t="shared" ca="1" si="179"/>
        <v>375.63092039734767</v>
      </c>
      <c r="BK296" s="6">
        <f t="shared" ca="1" si="180"/>
        <v>0.137232939509533</v>
      </c>
      <c r="BL296" s="6">
        <f t="shared" ca="1" si="181"/>
        <v>-0.99053880303275987</v>
      </c>
      <c r="BM296" s="6">
        <f t="shared" ca="1" si="182"/>
        <v>-1.4331289467517829</v>
      </c>
      <c r="BN296" s="6">
        <f t="shared" ca="1" si="183"/>
        <v>-0.70799639548393589</v>
      </c>
      <c r="BO296" s="9">
        <f t="shared" ca="1" si="184"/>
        <v>-15.36682122104861</v>
      </c>
      <c r="BP296" s="9">
        <f t="shared" ca="1" si="185"/>
        <v>-224.15796137197626</v>
      </c>
      <c r="BQ296">
        <f t="shared" ca="1" si="186"/>
        <v>224.68406895211788</v>
      </c>
      <c r="BR296">
        <f t="shared" ca="1" si="187"/>
        <v>-6.8393016437331006E-2</v>
      </c>
      <c r="BS296">
        <f t="shared" ca="1" si="188"/>
        <v>-0.99765845623770621</v>
      </c>
      <c r="BT296">
        <f t="shared" ca="1" si="189"/>
        <v>-1.6392427750277405</v>
      </c>
      <c r="BU296" s="39">
        <f t="shared" ca="1" si="190"/>
        <v>-1.6392427750277405</v>
      </c>
    </row>
    <row r="297" spans="45:73" x14ac:dyDescent="0.25">
      <c r="AS297">
        <v>5.1487212933832387</v>
      </c>
      <c r="AT297">
        <v>-11.278795206143947</v>
      </c>
      <c r="AU297">
        <v>-223.03241381297599</v>
      </c>
      <c r="AV297" s="6">
        <f t="shared" si="172"/>
        <v>4.66186181643487</v>
      </c>
      <c r="AW297" s="6">
        <f t="shared" si="173"/>
        <v>0.48685947694836873</v>
      </c>
      <c r="AX297" s="6">
        <f t="shared" si="174"/>
        <v>1.6213234907447165</v>
      </c>
      <c r="AY297" s="6">
        <f t="shared" si="175"/>
        <v>1.6213234907447165</v>
      </c>
      <c r="BF297" s="39"/>
      <c r="BG297" s="6">
        <f t="shared" si="176"/>
        <v>4.9218284906239784</v>
      </c>
      <c r="BH297" s="9">
        <f t="shared" ca="1" si="177"/>
        <v>51.826546290542119</v>
      </c>
      <c r="BI297" s="9">
        <f t="shared" ca="1" si="178"/>
        <v>-372.03474185767379</v>
      </c>
      <c r="BJ297">
        <f t="shared" ca="1" si="179"/>
        <v>375.62726212232212</v>
      </c>
      <c r="BK297" s="6">
        <f t="shared" ca="1" si="180"/>
        <v>0.13797333558197628</v>
      </c>
      <c r="BL297" s="6">
        <f t="shared" ca="1" si="181"/>
        <v>-0.99043594374819788</v>
      </c>
      <c r="BM297" s="6">
        <f t="shared" ca="1" si="182"/>
        <v>-1.432381439960825</v>
      </c>
      <c r="BN297" s="6">
        <f t="shared" ca="1" si="183"/>
        <v>-0.70724888869297797</v>
      </c>
      <c r="BO297" s="9">
        <f t="shared" ca="1" si="184"/>
        <v>-15.089210307305912</v>
      </c>
      <c r="BP297" s="9">
        <f t="shared" ca="1" si="185"/>
        <v>-224.11570095716738</v>
      </c>
      <c r="BQ297">
        <f t="shared" ca="1" si="186"/>
        <v>224.62308804577634</v>
      </c>
      <c r="BR297">
        <f t="shared" ca="1" si="187"/>
        <v>-6.7175687230472292E-2</v>
      </c>
      <c r="BS297">
        <f t="shared" ca="1" si="188"/>
        <v>-0.99774116234878951</v>
      </c>
      <c r="BT297">
        <f t="shared" ca="1" si="189"/>
        <v>-1.6380226394273356</v>
      </c>
      <c r="BU297" s="39">
        <f t="shared" ca="1" si="190"/>
        <v>-1.6380226394273356</v>
      </c>
    </row>
    <row r="298" spans="45:73" x14ac:dyDescent="0.25">
      <c r="AS298">
        <v>5.1661745859031818</v>
      </c>
      <c r="AT298">
        <v>-10.961787264585109</v>
      </c>
      <c r="AU298">
        <v>-222.89921871564982</v>
      </c>
      <c r="AV298" s="6">
        <f t="shared" si="172"/>
        <v>4.6632503467433057</v>
      </c>
      <c r="AW298" s="6">
        <f t="shared" si="173"/>
        <v>0.50292423915987605</v>
      </c>
      <c r="AX298" s="6">
        <f t="shared" si="174"/>
        <v>1.6199349604362807</v>
      </c>
      <c r="AY298" s="6">
        <f t="shared" si="175"/>
        <v>1.6199349604362807</v>
      </c>
      <c r="BF298" s="39"/>
      <c r="BG298" s="6">
        <f t="shared" si="176"/>
        <v>4.9392817831439215</v>
      </c>
      <c r="BH298" s="9">
        <f t="shared" ca="1" si="177"/>
        <v>52.10550501349492</v>
      </c>
      <c r="BI298" s="9">
        <f t="shared" ca="1" si="178"/>
        <v>-371.98734455209961</v>
      </c>
      <c r="BJ298">
        <f t="shared" ca="1" si="179"/>
        <v>375.61891347432686</v>
      </c>
      <c r="BK298" s="6">
        <f t="shared" ca="1" si="180"/>
        <v>0.13871906643768159</v>
      </c>
      <c r="BL298" s="6">
        <f t="shared" ca="1" si="181"/>
        <v>-0.99033177299663466</v>
      </c>
      <c r="BM298" s="6">
        <f t="shared" ca="1" si="182"/>
        <v>-1.4316284684597576</v>
      </c>
      <c r="BN298" s="6">
        <f t="shared" ca="1" si="183"/>
        <v>-0.70649591719191052</v>
      </c>
      <c r="BO298" s="9">
        <f t="shared" ca="1" si="184"/>
        <v>-14.810251584353111</v>
      </c>
      <c r="BP298" s="9">
        <f t="shared" ca="1" si="185"/>
        <v>-224.0683036515932</v>
      </c>
      <c r="BQ298">
        <f t="shared" ca="1" si="186"/>
        <v>224.55722712327565</v>
      </c>
      <c r="BR298">
        <f t="shared" ca="1" si="187"/>
        <v>-6.5953128180651674E-2</v>
      </c>
      <c r="BS298">
        <f t="shared" ca="1" si="188"/>
        <v>-0.99782272217222356</v>
      </c>
      <c r="BT298">
        <f t="shared" ca="1" si="189"/>
        <v>-1.636797362796153</v>
      </c>
      <c r="BU298" s="39">
        <f t="shared" ca="1" si="190"/>
        <v>-1.636797362796153</v>
      </c>
    </row>
    <row r="299" spans="45:73" x14ac:dyDescent="0.25">
      <c r="AS299">
        <v>5.1836278784231249</v>
      </c>
      <c r="AT299">
        <v>-10.639971531412488</v>
      </c>
      <c r="AU299">
        <v>-222.7571241502306</v>
      </c>
      <c r="AV299" s="6">
        <f t="shared" si="172"/>
        <v>4.6646603567397609</v>
      </c>
      <c r="AW299" s="6">
        <f t="shared" si="173"/>
        <v>0.51896752168336402</v>
      </c>
      <c r="AX299" s="6">
        <f t="shared" si="174"/>
        <v>1.6185249504398256</v>
      </c>
      <c r="AY299" s="6">
        <f t="shared" si="175"/>
        <v>1.6185249504398256</v>
      </c>
      <c r="BF299" s="39"/>
      <c r="BG299" s="6">
        <f t="shared" si="176"/>
        <v>4.9567350756638646</v>
      </c>
      <c r="BH299" s="9">
        <f t="shared" ca="1" si="177"/>
        <v>52.386013249095782</v>
      </c>
      <c r="BI299" s="9">
        <f t="shared" ca="1" si="178"/>
        <v>-371.93467721347292</v>
      </c>
      <c r="BJ299">
        <f t="shared" ca="1" si="179"/>
        <v>375.6057753789533</v>
      </c>
      <c r="BK299" s="6">
        <f t="shared" ca="1" si="180"/>
        <v>0.13947073416600927</v>
      </c>
      <c r="BL299" s="6">
        <f t="shared" ca="1" si="181"/>
        <v>-0.99022619350893482</v>
      </c>
      <c r="BM299" s="6">
        <f t="shared" ca="1" si="182"/>
        <v>-1.4308694220648022</v>
      </c>
      <c r="BN299" s="6">
        <f t="shared" ca="1" si="183"/>
        <v>-0.70573687079695513</v>
      </c>
      <c r="BO299" s="9">
        <f t="shared" ca="1" si="184"/>
        <v>-14.529743348752248</v>
      </c>
      <c r="BP299" s="9">
        <f t="shared" ca="1" si="185"/>
        <v>-224.01563631296651</v>
      </c>
      <c r="BQ299">
        <f t="shared" ca="1" si="186"/>
        <v>224.48634424945294</v>
      </c>
      <c r="BR299">
        <f t="shared" ca="1" si="187"/>
        <v>-6.4724397367380879E-2</v>
      </c>
      <c r="BS299">
        <f t="shared" ca="1" si="188"/>
        <v>-0.99790317786117366</v>
      </c>
      <c r="BT299">
        <f t="shared" ca="1" si="189"/>
        <v>-1.6355660006556958</v>
      </c>
      <c r="BU299" s="39">
        <f t="shared" ca="1" si="190"/>
        <v>-1.6355660006556958</v>
      </c>
    </row>
    <row r="300" spans="45:73" x14ac:dyDescent="0.25">
      <c r="AS300">
        <v>5.201081170943068</v>
      </c>
      <c r="AT300">
        <v>-10.313016452827076</v>
      </c>
      <c r="AU300">
        <v>-222.60564030351168</v>
      </c>
      <c r="AV300" s="6">
        <f t="shared" si="172"/>
        <v>4.6660934440127537</v>
      </c>
      <c r="AW300" s="6">
        <f t="shared" si="173"/>
        <v>0.53498772693031427</v>
      </c>
      <c r="AX300" s="6">
        <f t="shared" si="174"/>
        <v>1.6170918631668327</v>
      </c>
      <c r="AY300" s="6">
        <f t="shared" si="175"/>
        <v>1.6170918631668327</v>
      </c>
      <c r="BF300" s="39"/>
      <c r="BG300" s="6">
        <f t="shared" si="176"/>
        <v>4.9741883681838077</v>
      </c>
      <c r="BH300" s="9">
        <f t="shared" ca="1" si="177"/>
        <v>52.66827672132937</v>
      </c>
      <c r="BI300" s="9">
        <f t="shared" ca="1" si="178"/>
        <v>-371.87659085519715</v>
      </c>
      <c r="BJ300">
        <f t="shared" ca="1" si="179"/>
        <v>375.5877343562729</v>
      </c>
      <c r="BK300" s="6">
        <f t="shared" ca="1" si="180"/>
        <v>0.14022895825285284</v>
      </c>
      <c r="BL300" s="6">
        <f t="shared" ca="1" si="181"/>
        <v>-0.99011910357659483</v>
      </c>
      <c r="BM300" s="6">
        <f t="shared" ca="1" si="182"/>
        <v>-1.4301036727271392</v>
      </c>
      <c r="BN300" s="6">
        <f t="shared" ca="1" si="183"/>
        <v>-0.70497112145929219</v>
      </c>
      <c r="BO300" s="9">
        <f t="shared" ca="1" si="184"/>
        <v>-14.247479876518661</v>
      </c>
      <c r="BP300" s="9">
        <f t="shared" ca="1" si="185"/>
        <v>-223.95754995469073</v>
      </c>
      <c r="BQ300">
        <f t="shared" ca="1" si="186"/>
        <v>224.41028243941855</v>
      </c>
      <c r="BR300">
        <f t="shared" ca="1" si="187"/>
        <v>-6.3488534133300634E-2</v>
      </c>
      <c r="BS300">
        <f t="shared" ca="1" si="188"/>
        <v>-0.99798256800086671</v>
      </c>
      <c r="BT300">
        <f t="shared" ca="1" si="189"/>
        <v>-1.6343275900115066</v>
      </c>
      <c r="BU300" s="39">
        <f t="shared" ca="1" si="190"/>
        <v>-1.6343275900115066</v>
      </c>
    </row>
    <row r="301" spans="45:73" x14ac:dyDescent="0.25">
      <c r="AS301">
        <v>5.2185344634630111</v>
      </c>
      <c r="AT301">
        <v>-9.980572857049907</v>
      </c>
      <c r="AU301">
        <v>-222.4442331171719</v>
      </c>
      <c r="AV301" s="6">
        <f t="shared" si="172"/>
        <v>4.6675512992840442</v>
      </c>
      <c r="AW301" s="6">
        <f t="shared" si="173"/>
        <v>0.55098316417896687</v>
      </c>
      <c r="AX301" s="6">
        <f t="shared" si="174"/>
        <v>1.6156340078955422</v>
      </c>
      <c r="AY301" s="6">
        <f t="shared" si="175"/>
        <v>1.6156340078955422</v>
      </c>
      <c r="BF301" s="39"/>
      <c r="BG301" s="6">
        <f t="shared" si="176"/>
        <v>4.9916416607037508</v>
      </c>
      <c r="BH301" s="9">
        <f t="shared" ca="1" si="177"/>
        <v>52.952505817868044</v>
      </c>
      <c r="BI301" s="9">
        <f t="shared" ca="1" si="178"/>
        <v>-371.81291979250221</v>
      </c>
      <c r="BJ301">
        <f t="shared" ca="1" si="179"/>
        <v>375.56466180541668</v>
      </c>
      <c r="BK301" s="6">
        <f t="shared" ca="1" si="180"/>
        <v>0.14099437780784391</v>
      </c>
      <c r="BL301" s="6">
        <f t="shared" ca="1" si="181"/>
        <v>-0.99001039662549972</v>
      </c>
      <c r="BM301" s="6">
        <f t="shared" ca="1" si="182"/>
        <v>-1.4293305722639731</v>
      </c>
      <c r="BN301" s="6">
        <f t="shared" ca="1" si="183"/>
        <v>-0.70419802099612605</v>
      </c>
      <c r="BO301" s="9">
        <f t="shared" ca="1" si="184"/>
        <v>-13.963250779979987</v>
      </c>
      <c r="BP301" s="9">
        <f t="shared" ca="1" si="185"/>
        <v>-223.8938788919958</v>
      </c>
      <c r="BQ301">
        <f t="shared" ca="1" si="186"/>
        <v>224.32886880124968</v>
      </c>
      <c r="BR301">
        <f t="shared" ca="1" si="187"/>
        <v>-6.2244555747976923E-2</v>
      </c>
      <c r="BS301">
        <f t="shared" ca="1" si="188"/>
        <v>-0.99806092763905796</v>
      </c>
      <c r="BT301">
        <f t="shared" ca="1" si="189"/>
        <v>-1.633081146006669</v>
      </c>
      <c r="BU301" s="39">
        <f t="shared" ca="1" si="190"/>
        <v>-1.633081146006669</v>
      </c>
    </row>
    <row r="302" spans="45:73" x14ac:dyDescent="0.25">
      <c r="AS302">
        <v>5.2359877559829542</v>
      </c>
      <c r="AT302">
        <v>-9.6422723073188248</v>
      </c>
      <c r="AU302">
        <v>-222.2723200268554</v>
      </c>
      <c r="AV302" s="6">
        <f t="shared" si="172"/>
        <v>4.6690357160298808</v>
      </c>
      <c r="AW302" s="6">
        <f t="shared" si="173"/>
        <v>0.56695203995307342</v>
      </c>
      <c r="AX302" s="6">
        <f t="shared" si="174"/>
        <v>1.6141495911497057</v>
      </c>
      <c r="AY302" s="6">
        <f t="shared" si="175"/>
        <v>1.6141495911497057</v>
      </c>
      <c r="BF302" s="39"/>
      <c r="BG302" s="6">
        <f t="shared" si="176"/>
        <v>5.0090949532236939</v>
      </c>
      <c r="BH302" s="9">
        <f t="shared" ca="1" si="177"/>
        <v>53.238916250162227</v>
      </c>
      <c r="BI302" s="9">
        <f t="shared" ca="1" si="178"/>
        <v>-371.74348064146619</v>
      </c>
      <c r="BJ302">
        <f t="shared" ca="1" si="179"/>
        <v>375.53641315180602</v>
      </c>
      <c r="BK302" s="6">
        <f t="shared" ca="1" si="180"/>
        <v>0.1417676539096118</v>
      </c>
      <c r="BL302" s="6">
        <f t="shared" ca="1" si="181"/>
        <v>-0.9898999607561183</v>
      </c>
      <c r="BM302" s="6">
        <f t="shared" ca="1" si="182"/>
        <v>-1.4285494499676357</v>
      </c>
      <c r="BN302" s="6">
        <f t="shared" ca="1" si="183"/>
        <v>-0.70341689869978863</v>
      </c>
      <c r="BO302" s="9">
        <f t="shared" ca="1" si="184"/>
        <v>-13.676840347685804</v>
      </c>
      <c r="BP302" s="9">
        <f t="shared" ca="1" si="185"/>
        <v>-223.82443974095978</v>
      </c>
      <c r="BQ302">
        <f t="shared" ca="1" si="186"/>
        <v>224.24191353814882</v>
      </c>
      <c r="BR302">
        <f t="shared" ca="1" si="187"/>
        <v>-6.0991453969906712E-2</v>
      </c>
      <c r="BS302">
        <f t="shared" ca="1" si="188"/>
        <v>-0.99813828828606554</v>
      </c>
      <c r="BT302">
        <f t="shared" ca="1" si="189"/>
        <v>-1.63182565847469</v>
      </c>
      <c r="BU302" s="39">
        <f t="shared" ca="1" si="190"/>
        <v>-1.63182565847469</v>
      </c>
    </row>
    <row r="303" spans="45:73" x14ac:dyDescent="0.25">
      <c r="AS303">
        <v>5.2534410485028973</v>
      </c>
      <c r="AT303">
        <v>-9.2977252950444544</v>
      </c>
      <c r="AU303">
        <v>-222.08926519020409</v>
      </c>
      <c r="AV303" s="6">
        <f t="shared" si="172"/>
        <v>4.6705486011686146</v>
      </c>
      <c r="AW303" s="6">
        <f t="shared" si="173"/>
        <v>0.58289244733428269</v>
      </c>
      <c r="AX303" s="6">
        <f t="shared" si="174"/>
        <v>1.6126367060109719</v>
      </c>
      <c r="AY303" s="6">
        <f t="shared" si="175"/>
        <v>1.6126367060109719</v>
      </c>
      <c r="BF303" s="39"/>
      <c r="BG303" s="6">
        <f t="shared" si="176"/>
        <v>5.026548245743637</v>
      </c>
      <c r="BH303" s="9">
        <f t="shared" ca="1" si="177"/>
        <v>53.527729750149376</v>
      </c>
      <c r="BI303" s="9">
        <f t="shared" ca="1" si="178"/>
        <v>-371.66807120804935</v>
      </c>
      <c r="BJ303">
        <f t="shared" ca="1" si="179"/>
        <v>375.50282689710434</v>
      </c>
      <c r="BK303" s="6">
        <f t="shared" ca="1" si="180"/>
        <v>0.1425494721104113</v>
      </c>
      <c r="BL303" s="6">
        <f t="shared" ca="1" si="181"/>
        <v>-0.98978767824268399</v>
      </c>
      <c r="BM303" s="6">
        <f t="shared" ca="1" si="182"/>
        <v>-1.4277596100507179</v>
      </c>
      <c r="BN303" s="6">
        <f t="shared" ca="1" si="183"/>
        <v>-0.70262705878287091</v>
      </c>
      <c r="BO303" s="9">
        <f t="shared" ca="1" si="184"/>
        <v>-13.388026847698654</v>
      </c>
      <c r="BP303" s="9">
        <f t="shared" ca="1" si="185"/>
        <v>-223.74903030754294</v>
      </c>
      <c r="BQ303">
        <f t="shared" ca="1" si="186"/>
        <v>224.14920884634071</v>
      </c>
      <c r="BR303">
        <f t="shared" ca="1" si="187"/>
        <v>-5.9728191398063089E-2</v>
      </c>
      <c r="BS303">
        <f t="shared" ca="1" si="188"/>
        <v>-0.99821467788863749</v>
      </c>
      <c r="BT303">
        <f t="shared" ca="1" si="189"/>
        <v>-1.630560088282808</v>
      </c>
      <c r="BU303" s="39">
        <f t="shared" ca="1" si="190"/>
        <v>-1.630560088282808</v>
      </c>
    </row>
    <row r="304" spans="45:73" x14ac:dyDescent="0.25">
      <c r="AS304">
        <v>5.2708943410228404</v>
      </c>
      <c r="AT304">
        <v>-8.9465192601002848</v>
      </c>
      <c r="AU304">
        <v>-221.89437411118084</v>
      </c>
      <c r="AV304" s="6">
        <f t="shared" si="172"/>
        <v>4.6720919869311999</v>
      </c>
      <c r="AW304" s="6">
        <f t="shared" si="173"/>
        <v>0.59880235409164051</v>
      </c>
      <c r="AX304" s="6">
        <f t="shared" si="174"/>
        <v>1.6110933202483866</v>
      </c>
      <c r="AY304" s="6">
        <f t="shared" si="175"/>
        <v>1.6110933202483866</v>
      </c>
      <c r="BF304" s="39"/>
      <c r="BG304" s="6">
        <f t="shared" si="176"/>
        <v>5.0440015382635801</v>
      </c>
      <c r="BH304" s="9">
        <f t="shared" ca="1" si="177"/>
        <v>53.819174809488054</v>
      </c>
      <c r="BI304" s="9">
        <f t="shared" ca="1" si="178"/>
        <v>-371.58646925837661</v>
      </c>
      <c r="BJ304">
        <f t="shared" ca="1" si="179"/>
        <v>375.463723564715</v>
      </c>
      <c r="BK304" s="6">
        <f t="shared" ca="1" si="180"/>
        <v>0.14334054512249508</v>
      </c>
      <c r="BL304" s="6">
        <f t="shared" ca="1" si="181"/>
        <v>-0.98967342498623545</v>
      </c>
      <c r="BM304" s="6">
        <f t="shared" ca="1" si="182"/>
        <v>-1.42696032890427</v>
      </c>
      <c r="BN304" s="6">
        <f t="shared" ca="1" si="183"/>
        <v>-0.70182777763642301</v>
      </c>
      <c r="BO304" s="9">
        <f t="shared" ca="1" si="184"/>
        <v>-13.096581788359977</v>
      </c>
      <c r="BP304" s="9">
        <f t="shared" ca="1" si="185"/>
        <v>-223.66742835787019</v>
      </c>
      <c r="BQ304">
        <f t="shared" ca="1" si="186"/>
        <v>224.05052770025381</v>
      </c>
      <c r="BR304">
        <f t="shared" ca="1" si="187"/>
        <v>-5.8453697577901934E-2</v>
      </c>
      <c r="BS304">
        <f t="shared" ca="1" si="188"/>
        <v>-0.99829012077625567</v>
      </c>
      <c r="BT304">
        <f t="shared" ca="1" si="189"/>
        <v>-1.6292833634305643</v>
      </c>
      <c r="BU304" s="39">
        <f t="shared" ca="1" si="190"/>
        <v>-1.6292833634305643</v>
      </c>
    </row>
    <row r="305" spans="45:73" x14ac:dyDescent="0.25">
      <c r="AS305">
        <v>5.2883476335427835</v>
      </c>
      <c r="AT305">
        <v>-8.5882164174593285</v>
      </c>
      <c r="AU305">
        <v>-221.68688757265306</v>
      </c>
      <c r="AV305" s="6">
        <f t="shared" si="172"/>
        <v>4.6736680440819072</v>
      </c>
      <c r="AW305" s="6">
        <f t="shared" si="173"/>
        <v>0.61467958946087631</v>
      </c>
      <c r="AX305" s="6">
        <f t="shared" si="174"/>
        <v>1.6095172630976793</v>
      </c>
      <c r="AY305" s="6">
        <f t="shared" si="175"/>
        <v>1.6095172630976793</v>
      </c>
      <c r="BF305" s="39"/>
      <c r="BG305" s="6">
        <f t="shared" si="176"/>
        <v>5.0614548307835232</v>
      </c>
      <c r="BH305" s="9">
        <f t="shared" ca="1" si="177"/>
        <v>54.113487453770404</v>
      </c>
      <c r="BI305" s="9">
        <f t="shared" ca="1" si="178"/>
        <v>-371.49843111585392</v>
      </c>
      <c r="BJ305">
        <f t="shared" ca="1" si="179"/>
        <v>375.41890448664174</v>
      </c>
      <c r="BK305" s="6">
        <f t="shared" ca="1" si="180"/>
        <v>0.14414161569132139</v>
      </c>
      <c r="BL305" s="6">
        <f t="shared" ca="1" si="181"/>
        <v>-0.98955706991860526</v>
      </c>
      <c r="BM305" s="6">
        <f t="shared" ca="1" si="182"/>
        <v>-1.4261508521635402</v>
      </c>
      <c r="BN305" s="6">
        <f t="shared" ca="1" si="183"/>
        <v>-0.70101830089569317</v>
      </c>
      <c r="BO305" s="9">
        <f t="shared" ca="1" si="184"/>
        <v>-12.802269144077627</v>
      </c>
      <c r="BP305" s="9">
        <f t="shared" ca="1" si="185"/>
        <v>-223.5793902153475</v>
      </c>
      <c r="BQ305">
        <f t="shared" ca="1" si="186"/>
        <v>223.94562247184925</v>
      </c>
      <c r="BR305">
        <f t="shared" ca="1" si="187"/>
        <v>-5.7166864896798404E-2</v>
      </c>
      <c r="BS305">
        <f t="shared" ca="1" si="188"/>
        <v>-0.99836463757380312</v>
      </c>
      <c r="BT305">
        <f t="shared" ca="1" si="189"/>
        <v>-1.6279943749386379</v>
      </c>
      <c r="BU305" s="39">
        <f t="shared" ca="1" si="190"/>
        <v>-1.6279943749386379</v>
      </c>
    </row>
    <row r="306" spans="45:73" x14ac:dyDescent="0.25">
      <c r="AS306">
        <v>5.3058009260627266</v>
      </c>
      <c r="AT306">
        <v>-8.2223513481176091</v>
      </c>
      <c r="AU306">
        <v>-221.4659748337705</v>
      </c>
      <c r="AV306" s="6">
        <f t="shared" si="172"/>
        <v>4.6752790967773104</v>
      </c>
      <c r="AW306" s="6">
        <f t="shared" si="173"/>
        <v>0.63052182928541622</v>
      </c>
      <c r="AX306" s="6">
        <f t="shared" si="174"/>
        <v>1.6079062104022761</v>
      </c>
      <c r="AY306" s="6">
        <f t="shared" si="175"/>
        <v>1.6079062104022761</v>
      </c>
      <c r="BF306" s="39"/>
      <c r="BG306" s="6">
        <f t="shared" si="176"/>
        <v>5.0789081233034663</v>
      </c>
      <c r="BH306" s="9">
        <f t="shared" ca="1" si="177"/>
        <v>54.410912064204652</v>
      </c>
      <c r="BI306" s="9">
        <f t="shared" ca="1" si="178"/>
        <v>-371.40369009050568</v>
      </c>
      <c r="BJ306">
        <f t="shared" ca="1" si="179"/>
        <v>375.36815043967567</v>
      </c>
      <c r="BK306" s="6">
        <f t="shared" ca="1" si="180"/>
        <v>0.14495345969143131</v>
      </c>
      <c r="BL306" s="6">
        <f t="shared" ca="1" si="181"/>
        <v>-0.98943847434971144</v>
      </c>
      <c r="BM306" s="6">
        <f t="shared" ca="1" si="182"/>
        <v>-1.4253303915445967</v>
      </c>
      <c r="BN306" s="6">
        <f t="shared" ca="1" si="183"/>
        <v>-0.70019784027674969</v>
      </c>
      <c r="BO306" s="9">
        <f t="shared" ca="1" si="184"/>
        <v>-12.504844533643379</v>
      </c>
      <c r="BP306" s="9">
        <f t="shared" ca="1" si="185"/>
        <v>-223.48464918999926</v>
      </c>
      <c r="BQ306">
        <f t="shared" ca="1" si="186"/>
        <v>223.83422338951573</v>
      </c>
      <c r="BR306">
        <f t="shared" ca="1" si="187"/>
        <v>-5.5866544196338026E-2</v>
      </c>
      <c r="BS306">
        <f t="shared" ca="1" si="188"/>
        <v>-0.99843824508056511</v>
      </c>
      <c r="BT306">
        <f t="shared" ca="1" si="189"/>
        <v>-1.626691972455198</v>
      </c>
      <c r="BU306" s="39">
        <f t="shared" ca="1" si="190"/>
        <v>-1.626691972455198</v>
      </c>
    </row>
    <row r="307" spans="45:73" x14ac:dyDescent="0.25">
      <c r="AS307">
        <v>5.3232542185826697</v>
      </c>
      <c r="AT307">
        <v>-7.8484283512389874</v>
      </c>
      <c r="AU307">
        <v>-221.23072589620315</v>
      </c>
      <c r="AV307" s="6">
        <f t="shared" si="172"/>
        <v>4.6769276391695644</v>
      </c>
      <c r="AW307" s="6">
        <f t="shared" si="173"/>
        <v>0.64632657941310523</v>
      </c>
      <c r="AX307" s="6">
        <f t="shared" si="174"/>
        <v>1.606257668010022</v>
      </c>
      <c r="AY307" s="6">
        <f t="shared" si="175"/>
        <v>1.606257668010022</v>
      </c>
      <c r="BF307" s="39"/>
      <c r="BG307" s="6">
        <f t="shared" si="176"/>
        <v>5.0963614158234094</v>
      </c>
      <c r="BH307" s="9">
        <f t="shared" ca="1" si="177"/>
        <v>54.711702263051656</v>
      </c>
      <c r="BI307" s="9">
        <f t="shared" ca="1" si="178"/>
        <v>-371.30195475411284</v>
      </c>
      <c r="BJ307">
        <f t="shared" ca="1" si="179"/>
        <v>375.31122014768766</v>
      </c>
      <c r="BK307" s="6">
        <f t="shared" ca="1" si="180"/>
        <v>0.14577688948793538</v>
      </c>
      <c r="BL307" s="6">
        <f t="shared" ca="1" si="181"/>
        <v>-0.98931749124900359</v>
      </c>
      <c r="BM307" s="6">
        <f t="shared" ca="1" si="182"/>
        <v>-1.4244981214079158</v>
      </c>
      <c r="BN307" s="6">
        <f t="shared" ca="1" si="183"/>
        <v>-0.69936557014006873</v>
      </c>
      <c r="BO307" s="9">
        <f t="shared" ca="1" si="184"/>
        <v>-12.204054334796375</v>
      </c>
      <c r="BP307" s="9">
        <f t="shared" ca="1" si="185"/>
        <v>-223.38291385360642</v>
      </c>
      <c r="BQ307">
        <f t="shared" ca="1" si="186"/>
        <v>223.7160368501427</v>
      </c>
      <c r="BR307">
        <f t="shared" ca="1" si="187"/>
        <v>-5.4551540008601712E-2</v>
      </c>
      <c r="BS307">
        <f t="shared" ca="1" si="188"/>
        <v>-0.9985109561155</v>
      </c>
      <c r="BT307">
        <f t="shared" ca="1" si="189"/>
        <v>-1.6253749594867426</v>
      </c>
      <c r="BU307" s="39">
        <f t="shared" ca="1" si="190"/>
        <v>-1.6253749594867426</v>
      </c>
    </row>
    <row r="308" spans="45:73" x14ac:dyDescent="0.25">
      <c r="AS308">
        <v>5.3407075111026128</v>
      </c>
      <c r="AT308">
        <v>-7.465918499759721</v>
      </c>
      <c r="AU308">
        <v>-220.98014278567325</v>
      </c>
      <c r="AV308" s="6">
        <f t="shared" si="172"/>
        <v>4.6786163541577892</v>
      </c>
      <c r="AW308" s="6">
        <f t="shared" si="173"/>
        <v>0.66209115694482357</v>
      </c>
      <c r="AX308" s="6">
        <f t="shared" si="174"/>
        <v>1.6045689530217973</v>
      </c>
      <c r="AY308" s="6">
        <f t="shared" si="175"/>
        <v>1.6045689530217973</v>
      </c>
      <c r="BF308" s="39"/>
      <c r="BG308" s="6">
        <f t="shared" si="176"/>
        <v>5.1138147083433525</v>
      </c>
      <c r="BH308" s="9">
        <f t="shared" ca="1" si="177"/>
        <v>55.016121846675318</v>
      </c>
      <c r="BI308" s="9">
        <f t="shared" ca="1" si="178"/>
        <v>-371.19290696730263</v>
      </c>
      <c r="BJ308">
        <f t="shared" ca="1" si="179"/>
        <v>375.24784855597079</v>
      </c>
      <c r="BK308" s="6">
        <f t="shared" ca="1" si="180"/>
        <v>0.14661275756380329</v>
      </c>
      <c r="BL308" s="6">
        <f t="shared" ca="1" si="181"/>
        <v>-0.98919396445769803</v>
      </c>
      <c r="BM308" s="6">
        <f t="shared" ca="1" si="182"/>
        <v>-1.4236531750481387</v>
      </c>
      <c r="BN308" s="6">
        <f t="shared" ca="1" si="183"/>
        <v>-0.69852062378029167</v>
      </c>
      <c r="BO308" s="9">
        <f t="shared" ca="1" si="184"/>
        <v>-11.899634751172712</v>
      </c>
      <c r="BP308" s="9">
        <f t="shared" ca="1" si="185"/>
        <v>-223.27386606679622</v>
      </c>
      <c r="BQ308">
        <f t="shared" ca="1" si="186"/>
        <v>223.59074349271478</v>
      </c>
      <c r="BR308">
        <f t="shared" ca="1" si="187"/>
        <v>-5.3220605492375568E-2</v>
      </c>
      <c r="BS308">
        <f t="shared" ca="1" si="188"/>
        <v>-0.9985827793182821</v>
      </c>
      <c r="BT308">
        <f t="shared" ca="1" si="189"/>
        <v>-1.6240420883294475</v>
      </c>
      <c r="BU308" s="39">
        <f t="shared" ca="1" si="190"/>
        <v>-1.6240420883294475</v>
      </c>
    </row>
    <row r="309" spans="45:73" x14ac:dyDescent="0.25">
      <c r="AS309">
        <v>5.3581608036225559</v>
      </c>
      <c r="AT309">
        <v>-7.0742563751033796</v>
      </c>
      <c r="AU309">
        <v>-220.71312964972677</v>
      </c>
      <c r="AV309" s="6">
        <f t="shared" si="172"/>
        <v>4.6803481345463354</v>
      </c>
      <c r="AW309" s="6">
        <f t="shared" si="173"/>
        <v>0.67781266907622051</v>
      </c>
      <c r="AX309" s="6">
        <f t="shared" si="174"/>
        <v>1.6028371726332511</v>
      </c>
      <c r="AY309" s="6">
        <f t="shared" si="175"/>
        <v>1.6028371726332511</v>
      </c>
      <c r="BF309" s="39"/>
      <c r="BG309" s="6">
        <f t="shared" si="176"/>
        <v>5.1312680008632956</v>
      </c>
      <c r="BH309" s="9">
        <f t="shared" ca="1" si="177"/>
        <v>55.324445801113534</v>
      </c>
      <c r="BI309" s="9">
        <f t="shared" ca="1" si="178"/>
        <v>-371.07619972129959</v>
      </c>
      <c r="BJ309">
        <f t="shared" ca="1" si="179"/>
        <v>375.17774494604845</v>
      </c>
      <c r="BK309" s="6">
        <f t="shared" ca="1" si="180"/>
        <v>0.14746196048773985</v>
      </c>
      <c r="BL309" s="6">
        <f t="shared" ca="1" si="181"/>
        <v>-0.98906772781701469</v>
      </c>
      <c r="BM309" s="6">
        <f t="shared" ca="1" si="182"/>
        <v>-1.4227946406337164</v>
      </c>
      <c r="BN309" s="6">
        <f t="shared" ca="1" si="183"/>
        <v>-0.69766208936586938</v>
      </c>
      <c r="BO309" s="9">
        <f t="shared" ca="1" si="184"/>
        <v>-11.591310796734497</v>
      </c>
      <c r="BP309" s="9">
        <f t="shared" ca="1" si="185"/>
        <v>-223.15715882079317</v>
      </c>
      <c r="BQ309">
        <f t="shared" ca="1" si="186"/>
        <v>223.45799609536286</v>
      </c>
      <c r="BR309">
        <f t="shared" ca="1" si="187"/>
        <v>-5.187243687528547E-2</v>
      </c>
      <c r="BS309">
        <f t="shared" ca="1" si="188"/>
        <v>-0.99865371890992305</v>
      </c>
      <c r="BT309">
        <f t="shared" ca="1" si="189"/>
        <v>-1.6226920545066901</v>
      </c>
      <c r="BU309" s="39">
        <f t="shared" ca="1" si="190"/>
        <v>-1.6226920545066901</v>
      </c>
    </row>
    <row r="310" spans="45:73" x14ac:dyDescent="0.25">
      <c r="AS310">
        <v>5.375614096142499</v>
      </c>
      <c r="AT310">
        <v>-6.6728364372380327</v>
      </c>
      <c r="AU310">
        <v>-220.42848148899617</v>
      </c>
      <c r="AV310" s="6">
        <f t="shared" si="172"/>
        <v>4.6821261069985791</v>
      </c>
      <c r="AW310" s="6">
        <f t="shared" si="173"/>
        <v>0.69348798914391985</v>
      </c>
      <c r="AX310" s="6">
        <f t="shared" si="174"/>
        <v>1.6010592001810073</v>
      </c>
      <c r="AY310" s="6">
        <f t="shared" si="175"/>
        <v>1.6010592001810073</v>
      </c>
      <c r="BF310" s="39"/>
      <c r="BG310" s="6">
        <f t="shared" si="176"/>
        <v>5.1487212933832387</v>
      </c>
      <c r="BH310" s="9">
        <f t="shared" ca="1" si="177"/>
        <v>55.636961391704084</v>
      </c>
      <c r="BI310" s="9">
        <f t="shared" ca="1" si="178"/>
        <v>-370.95145471348241</v>
      </c>
      <c r="BJ310">
        <f t="shared" ca="1" si="179"/>
        <v>375.10059081125257</v>
      </c>
      <c r="BK310" s="6">
        <f t="shared" ca="1" si="180"/>
        <v>0.14832544324010444</v>
      </c>
      <c r="BL310" s="6">
        <f t="shared" ca="1" si="181"/>
        <v>-0.9889386042053504</v>
      </c>
      <c r="BM310" s="6">
        <f t="shared" ca="1" si="182"/>
        <v>-1.421921556777983</v>
      </c>
      <c r="BN310" s="6">
        <f t="shared" ca="1" si="183"/>
        <v>-0.69678900551013601</v>
      </c>
      <c r="BO310" s="9">
        <f t="shared" ca="1" si="184"/>
        <v>-11.278795206143947</v>
      </c>
      <c r="BP310" s="9">
        <f t="shared" ca="1" si="185"/>
        <v>-223.03241381297599</v>
      </c>
      <c r="BQ310">
        <f t="shared" ca="1" si="186"/>
        <v>223.31741721716358</v>
      </c>
      <c r="BR310">
        <f t="shared" ca="1" si="187"/>
        <v>-5.0505667433794275E-2</v>
      </c>
      <c r="BS310">
        <f t="shared" ca="1" si="188"/>
        <v>-0.9987237744026457</v>
      </c>
      <c r="BT310">
        <f t="shared" ca="1" si="189"/>
        <v>-1.621323490744716</v>
      </c>
      <c r="BU310" s="39">
        <f t="shared" ca="1" si="190"/>
        <v>-1.621323490744716</v>
      </c>
    </row>
    <row r="311" spans="45:73" x14ac:dyDescent="0.25">
      <c r="AS311">
        <v>5.3930673886624421</v>
      </c>
      <c r="AT311">
        <v>-6.2610089672283955</v>
      </c>
      <c r="AU311">
        <v>-220.12487134606221</v>
      </c>
      <c r="AV311" s="6">
        <f t="shared" si="172"/>
        <v>4.6839536593088598</v>
      </c>
      <c r="AW311" s="6">
        <f t="shared" si="173"/>
        <v>0.7091137293535823</v>
      </c>
      <c r="AX311" s="6">
        <f t="shared" si="174"/>
        <v>1.5992316478707267</v>
      </c>
      <c r="AY311" s="6">
        <f t="shared" si="175"/>
        <v>1.5992316478707267</v>
      </c>
      <c r="BF311" s="39"/>
      <c r="BG311" s="6">
        <f t="shared" si="176"/>
        <v>5.1661745859031818</v>
      </c>
      <c r="BH311" s="9">
        <f t="shared" ca="1" si="177"/>
        <v>55.953969333262918</v>
      </c>
      <c r="BI311" s="9">
        <f t="shared" ca="1" si="178"/>
        <v>-370.81825961615624</v>
      </c>
      <c r="BJ311">
        <f t="shared" ca="1" si="179"/>
        <v>375.01603745560374</v>
      </c>
      <c r="BK311" s="6">
        <f t="shared" ca="1" si="180"/>
        <v>0.14920420393991024</v>
      </c>
      <c r="BL311" s="6">
        <f t="shared" ca="1" si="181"/>
        <v>-0.98880640447291679</v>
      </c>
      <c r="BM311" s="6">
        <f t="shared" ca="1" si="182"/>
        <v>-1.4210329076972166</v>
      </c>
      <c r="BN311" s="6">
        <f t="shared" ca="1" si="183"/>
        <v>-0.69590035642936954</v>
      </c>
      <c r="BO311" s="9">
        <f t="shared" ca="1" si="184"/>
        <v>-10.961787264585112</v>
      </c>
      <c r="BP311" s="9">
        <f t="shared" ca="1" si="185"/>
        <v>-222.89921871564982</v>
      </c>
      <c r="BQ311">
        <f t="shared" ca="1" si="186"/>
        <v>223.16859654548423</v>
      </c>
      <c r="BR311">
        <f t="shared" ca="1" si="187"/>
        <v>-4.9118860961026738E-2</v>
      </c>
      <c r="BS311">
        <f t="shared" ca="1" si="188"/>
        <v>-0.99879294025232845</v>
      </c>
      <c r="BT311">
        <f t="shared" ca="1" si="189"/>
        <v>-1.6199349604362812</v>
      </c>
      <c r="BU311" s="39">
        <f t="shared" ca="1" si="190"/>
        <v>-1.6199349604362812</v>
      </c>
    </row>
    <row r="312" spans="45:73" x14ac:dyDescent="0.25">
      <c r="AS312">
        <v>5.4105206811823852</v>
      </c>
      <c r="AT312">
        <v>-5.8380755421088901</v>
      </c>
      <c r="AU312">
        <v>-219.80083563818317</v>
      </c>
      <c r="AV312" s="6">
        <f t="shared" si="172"/>
        <v>4.6858344714508631</v>
      </c>
      <c r="AW312" s="6">
        <f t="shared" si="173"/>
        <v>0.72468620973152209</v>
      </c>
      <c r="AX312" s="6">
        <f t="shared" si="174"/>
        <v>1.5973508357287234</v>
      </c>
      <c r="AY312" s="6">
        <f t="shared" si="175"/>
        <v>1.5973508357287234</v>
      </c>
      <c r="BF312" s="39"/>
      <c r="BG312" s="6">
        <f t="shared" si="176"/>
        <v>5.1836278784231249</v>
      </c>
      <c r="BH312" s="9">
        <f t="shared" ca="1" si="177"/>
        <v>56.275785066435546</v>
      </c>
      <c r="BI312" s="9">
        <f t="shared" ca="1" si="178"/>
        <v>-370.67616505073704</v>
      </c>
      <c r="BJ312">
        <f t="shared" ca="1" si="179"/>
        <v>374.92370333384486</v>
      </c>
      <c r="BK312" s="6">
        <f t="shared" ca="1" si="180"/>
        <v>0.15009929904678676</v>
      </c>
      <c r="BL312" s="6">
        <f t="shared" ca="1" si="181"/>
        <v>-0.98867092625689323</v>
      </c>
      <c r="BM312" s="6">
        <f t="shared" ca="1" si="182"/>
        <v>-1.4201276178798967</v>
      </c>
      <c r="BN312" s="6">
        <f t="shared" ca="1" si="183"/>
        <v>-0.69499506661204968</v>
      </c>
      <c r="BO312" s="9">
        <f t="shared" ca="1" si="184"/>
        <v>-10.639971531412485</v>
      </c>
      <c r="BP312" s="9">
        <f t="shared" ca="1" si="185"/>
        <v>-222.75712415023062</v>
      </c>
      <c r="BQ312">
        <f t="shared" ca="1" si="186"/>
        <v>223.01108796172116</v>
      </c>
      <c r="BR312">
        <f t="shared" ca="1" si="187"/>
        <v>-4.7710504570242659E-2</v>
      </c>
      <c r="BS312">
        <f t="shared" ca="1" si="188"/>
        <v>-0.99886120545031321</v>
      </c>
      <c r="BT312">
        <f t="shared" ca="1" si="189"/>
        <v>-1.6185249504398249</v>
      </c>
      <c r="BU312" s="39">
        <f t="shared" ca="1" si="190"/>
        <v>-1.6185249504398249</v>
      </c>
    </row>
    <row r="313" spans="45:73" x14ac:dyDescent="0.25">
      <c r="AS313">
        <v>5.4279739737023283</v>
      </c>
      <c r="AT313">
        <v>-5.4110927862833416</v>
      </c>
      <c r="AU313">
        <v>-219.46093844402043</v>
      </c>
      <c r="AV313" s="6">
        <f t="shared" si="172"/>
        <v>4.6877376839047713</v>
      </c>
      <c r="AW313" s="6">
        <f t="shared" si="173"/>
        <v>0.74023628979755696</v>
      </c>
      <c r="AX313" s="6">
        <f t="shared" si="174"/>
        <v>1.5954476232748152</v>
      </c>
      <c r="AY313" s="6">
        <f t="shared" si="175"/>
        <v>1.5954476232748152</v>
      </c>
      <c r="BF313" s="39"/>
      <c r="BG313" s="6">
        <f t="shared" si="176"/>
        <v>5.201081170943068</v>
      </c>
      <c r="BH313" s="9">
        <f t="shared" ca="1" si="177"/>
        <v>56.602740145020952</v>
      </c>
      <c r="BI313" s="9">
        <f t="shared" ca="1" si="178"/>
        <v>-370.52468120401807</v>
      </c>
      <c r="BJ313">
        <f t="shared" ca="1" si="179"/>
        <v>374.82317107305943</v>
      </c>
      <c r="BK313" s="6">
        <f t="shared" ca="1" si="180"/>
        <v>0.1510118490886683</v>
      </c>
      <c r="BL313" s="6">
        <f t="shared" ca="1" si="181"/>
        <v>-0.98853195266254357</v>
      </c>
      <c r="BM313" s="6">
        <f t="shared" ca="1" si="182"/>
        <v>-1.4192045462145504</v>
      </c>
      <c r="BN313" s="6">
        <f t="shared" ca="1" si="183"/>
        <v>-0.69407199494670335</v>
      </c>
      <c r="BO313" s="9">
        <f t="shared" ca="1" si="184"/>
        <v>-10.313016452827078</v>
      </c>
      <c r="BP313" s="9">
        <f t="shared" ca="1" si="185"/>
        <v>-222.60564030351165</v>
      </c>
      <c r="BQ313">
        <f t="shared" ca="1" si="186"/>
        <v>222.84440626430967</v>
      </c>
      <c r="BR313">
        <f t="shared" ca="1" si="187"/>
        <v>-4.6279000786742165E-2</v>
      </c>
      <c r="BS313">
        <f t="shared" ca="1" si="188"/>
        <v>-0.99892855304380035</v>
      </c>
      <c r="BT313">
        <f t="shared" ca="1" si="189"/>
        <v>-1.617091863166833</v>
      </c>
      <c r="BU313" s="39">
        <f t="shared" ca="1" si="190"/>
        <v>-1.617091863166833</v>
      </c>
    </row>
    <row r="314" spans="45:73" x14ac:dyDescent="0.25">
      <c r="AS314">
        <v>5.4454272662222714</v>
      </c>
      <c r="AT314">
        <v>-4.9957467765524992</v>
      </c>
      <c r="AU314">
        <v>-219.11722334724811</v>
      </c>
      <c r="AV314" s="6">
        <f t="shared" si="172"/>
        <v>4.689593504288557</v>
      </c>
      <c r="AW314" s="6">
        <f t="shared" si="173"/>
        <v>0.75583376193371432</v>
      </c>
      <c r="AX314" s="6">
        <f t="shared" si="174"/>
        <v>1.5935918028910294</v>
      </c>
      <c r="AY314" s="6">
        <f t="shared" si="175"/>
        <v>1.5935918028910294</v>
      </c>
      <c r="BF314" s="39"/>
      <c r="BG314" s="6">
        <f t="shared" si="176"/>
        <v>5.2185344634630111</v>
      </c>
      <c r="BH314" s="9">
        <f t="shared" ca="1" si="177"/>
        <v>56.935183740798124</v>
      </c>
      <c r="BI314" s="9">
        <f t="shared" ca="1" si="178"/>
        <v>-370.36327401767835</v>
      </c>
      <c r="BJ314">
        <f t="shared" ca="1" si="179"/>
        <v>374.7139841114718</v>
      </c>
      <c r="BK314" s="6">
        <f t="shared" ca="1" si="180"/>
        <v>0.15194304497549993</v>
      </c>
      <c r="BL314" s="6">
        <f t="shared" ca="1" si="181"/>
        <v>-0.98838925079321516</v>
      </c>
      <c r="BM314" s="6">
        <f t="shared" ca="1" si="182"/>
        <v>-1.418262479513728</v>
      </c>
      <c r="BN314" s="6">
        <f t="shared" ca="1" si="183"/>
        <v>-0.69312992824588093</v>
      </c>
      <c r="BO314" s="9">
        <f t="shared" ca="1" si="184"/>
        <v>-9.980572857049907</v>
      </c>
      <c r="BP314" s="9">
        <f t="shared" ca="1" si="185"/>
        <v>-222.44423311717193</v>
      </c>
      <c r="BQ314">
        <f t="shared" ca="1" si="186"/>
        <v>222.66802348258634</v>
      </c>
      <c r="BR314">
        <f t="shared" ca="1" si="187"/>
        <v>-4.4822658866554468E-2</v>
      </c>
      <c r="BS314">
        <f t="shared" ca="1" si="188"/>
        <v>-0.99899495957293616</v>
      </c>
      <c r="BT314">
        <f t="shared" ca="1" si="189"/>
        <v>-1.615634007895542</v>
      </c>
      <c r="BU314" s="39">
        <f t="shared" ca="1" si="190"/>
        <v>-1.615634007895542</v>
      </c>
    </row>
    <row r="315" spans="45:73" x14ac:dyDescent="0.25">
      <c r="AS315">
        <v>5.4628805587422145</v>
      </c>
      <c r="AT315">
        <v>-4.5228162936265672</v>
      </c>
      <c r="AU315">
        <v>-218.34428000787517</v>
      </c>
      <c r="AV315" s="6">
        <f t="shared" si="172"/>
        <v>4.6916777916941097</v>
      </c>
      <c r="AW315" s="6">
        <f t="shared" si="173"/>
        <v>0.77120276704810475</v>
      </c>
      <c r="AX315" s="6">
        <f t="shared" si="174"/>
        <v>1.5915075154854768</v>
      </c>
      <c r="AY315" s="6">
        <f t="shared" si="175"/>
        <v>1.5915075154854768</v>
      </c>
      <c r="BF315" s="39"/>
      <c r="BG315" s="6">
        <f t="shared" si="176"/>
        <v>5.2359877559829542</v>
      </c>
      <c r="BH315" s="9">
        <f t="shared" ca="1" si="177"/>
        <v>57.273484290529204</v>
      </c>
      <c r="BI315" s="9">
        <f t="shared" ca="1" si="178"/>
        <v>-370.19136092736181</v>
      </c>
      <c r="BJ315">
        <f t="shared" ca="1" si="179"/>
        <v>374.59564293786144</v>
      </c>
      <c r="BK315" s="6">
        <f t="shared" ca="1" si="180"/>
        <v>0.15289415499162606</v>
      </c>
      <c r="BL315" s="6">
        <f t="shared" ca="1" si="181"/>
        <v>-0.98824257010584016</v>
      </c>
      <c r="BM315" s="6">
        <f t="shared" ca="1" si="182"/>
        <v>-1.4173001253386448</v>
      </c>
      <c r="BN315" s="6">
        <f t="shared" ca="1" si="183"/>
        <v>-0.69216757407079776</v>
      </c>
      <c r="BO315" s="9">
        <f t="shared" ca="1" si="184"/>
        <v>-9.6422723073188266</v>
      </c>
      <c r="BP315" s="9">
        <f t="shared" ca="1" si="185"/>
        <v>-222.2723200268554</v>
      </c>
      <c r="BQ315">
        <f t="shared" ca="1" si="186"/>
        <v>222.48136475976884</v>
      </c>
      <c r="BR315">
        <f t="shared" ca="1" si="187"/>
        <v>-4.3339685180960527E-2</v>
      </c>
      <c r="BS315">
        <f t="shared" ca="1" si="188"/>
        <v>-0.99906039441487982</v>
      </c>
      <c r="BT315">
        <f t="shared" ca="1" si="189"/>
        <v>-1.6141495911497055</v>
      </c>
      <c r="BU315" s="39">
        <f t="shared" ca="1" si="190"/>
        <v>-1.6141495911497055</v>
      </c>
    </row>
    <row r="316" spans="45:73" x14ac:dyDescent="0.25">
      <c r="AS316">
        <v>5.4803338512621576</v>
      </c>
      <c r="AT316">
        <v>-4.0211076591727988</v>
      </c>
      <c r="AU316">
        <v>-217.28260200460875</v>
      </c>
      <c r="AV316" s="6">
        <f t="shared" si="172"/>
        <v>4.6938847436897149</v>
      </c>
      <c r="AW316" s="6">
        <f t="shared" si="173"/>
        <v>0.78644910757244268</v>
      </c>
      <c r="AX316" s="6">
        <f t="shared" si="174"/>
        <v>1.5893005634898716</v>
      </c>
      <c r="AY316" s="6">
        <f t="shared" si="175"/>
        <v>1.5893005634898716</v>
      </c>
      <c r="BF316" s="39"/>
      <c r="BG316" s="6">
        <f t="shared" si="176"/>
        <v>5.2534410485028973</v>
      </c>
      <c r="BH316" s="9">
        <f t="shared" ca="1" si="177"/>
        <v>57.618031302803573</v>
      </c>
      <c r="BI316" s="9">
        <f t="shared" ca="1" si="178"/>
        <v>-370.00830609071051</v>
      </c>
      <c r="BJ316">
        <f t="shared" ca="1" si="179"/>
        <v>374.46760087800357</v>
      </c>
      <c r="BK316" s="6">
        <f t="shared" ca="1" si="180"/>
        <v>0.15386653255904706</v>
      </c>
      <c r="BL316" s="6">
        <f t="shared" ca="1" si="181"/>
        <v>-0.98809164056693433</v>
      </c>
      <c r="BM316" s="6">
        <f t="shared" ca="1" si="182"/>
        <v>-1.4163161040291847</v>
      </c>
      <c r="BN316" s="6">
        <f t="shared" ca="1" si="183"/>
        <v>-0.69118355276133769</v>
      </c>
      <c r="BO316" s="9">
        <f t="shared" ca="1" si="184"/>
        <v>-9.297725295044458</v>
      </c>
      <c r="BP316" s="9">
        <f t="shared" ca="1" si="185"/>
        <v>-222.08926519020409</v>
      </c>
      <c r="BQ316">
        <f t="shared" ca="1" si="186"/>
        <v>222.28380374734212</v>
      </c>
      <c r="BR316">
        <f t="shared" ca="1" si="187"/>
        <v>-4.1828172535740282E-2</v>
      </c>
      <c r="BS316">
        <f t="shared" ca="1" si="188"/>
        <v>-0.9991248190202866</v>
      </c>
      <c r="BT316">
        <f t="shared" ca="1" si="189"/>
        <v>-1.6126367060109719</v>
      </c>
      <c r="BU316" s="39">
        <f t="shared" ca="1" si="190"/>
        <v>-1.6126367060109719</v>
      </c>
    </row>
    <row r="317" spans="45:73" x14ac:dyDescent="0.25">
      <c r="AS317">
        <v>5.4977871437821006</v>
      </c>
      <c r="AT317">
        <v>-3.540152542522105</v>
      </c>
      <c r="AU317">
        <v>-216.23507248547813</v>
      </c>
      <c r="AV317" s="6">
        <f t="shared" si="172"/>
        <v>4.6960186651641411</v>
      </c>
      <c r="AW317" s="6">
        <f t="shared" si="173"/>
        <v>0.80176847861795952</v>
      </c>
      <c r="AX317" s="6">
        <f t="shared" si="174"/>
        <v>1.5871666420154453</v>
      </c>
      <c r="AY317" s="6">
        <f t="shared" si="175"/>
        <v>1.5871666420154453</v>
      </c>
      <c r="BF317" s="39"/>
      <c r="BG317" s="6">
        <f t="shared" si="176"/>
        <v>5.2708943410228404</v>
      </c>
      <c r="BH317" s="9">
        <f t="shared" ca="1" si="177"/>
        <v>57.969237337747742</v>
      </c>
      <c r="BI317" s="9">
        <f t="shared" ca="1" si="178"/>
        <v>-369.81341501168725</v>
      </c>
      <c r="BJ317">
        <f t="shared" ca="1" si="179"/>
        <v>374.32925934279643</v>
      </c>
      <c r="BK317" s="6">
        <f t="shared" ca="1" si="180"/>
        <v>0.15486162486876756</v>
      </c>
      <c r="BL317" s="6">
        <f t="shared" ca="1" si="181"/>
        <v>-0.98793617058138183</v>
      </c>
      <c r="BM317" s="6">
        <f t="shared" ca="1" si="182"/>
        <v>-1.415308939838489</v>
      </c>
      <c r="BN317" s="6">
        <f t="shared" ca="1" si="183"/>
        <v>-0.69017638857064201</v>
      </c>
      <c r="BO317" s="9">
        <f t="shared" ca="1" si="184"/>
        <v>-8.9465192601002883</v>
      </c>
      <c r="BP317" s="9">
        <f t="shared" ca="1" si="185"/>
        <v>-221.89437411118084</v>
      </c>
      <c r="BQ317">
        <f t="shared" ca="1" si="186"/>
        <v>222.07465742192201</v>
      </c>
      <c r="BR317">
        <f t="shared" ca="1" si="187"/>
        <v>-4.0286088309044198E-2</v>
      </c>
      <c r="BS317">
        <f t="shared" ca="1" si="188"/>
        <v>-0.99918818602341175</v>
      </c>
      <c r="BT317">
        <f t="shared" ca="1" si="189"/>
        <v>-1.6110933202483861</v>
      </c>
      <c r="BU317" s="39">
        <f t="shared" ca="1" si="190"/>
        <v>-1.6110933202483861</v>
      </c>
    </row>
    <row r="318" spans="45:73" x14ac:dyDescent="0.25">
      <c r="AS318">
        <v>5.5152404363020437</v>
      </c>
      <c r="AT318">
        <v>-3.0784766501511971</v>
      </c>
      <c r="AU318">
        <v>-215.20013799665884</v>
      </c>
      <c r="AV318" s="6">
        <f t="shared" si="172"/>
        <v>4.6980847763385674</v>
      </c>
      <c r="AW318" s="6">
        <f t="shared" si="173"/>
        <v>0.81715565996347639</v>
      </c>
      <c r="AX318" s="6">
        <f t="shared" si="174"/>
        <v>1.5851005308410191</v>
      </c>
      <c r="AY318" s="6">
        <f t="shared" si="175"/>
        <v>1.5851005308410191</v>
      </c>
      <c r="BF318" s="39"/>
      <c r="BG318" s="6">
        <f t="shared" si="176"/>
        <v>5.2883476335427835</v>
      </c>
      <c r="BH318" s="9">
        <f t="shared" ca="1" si="177"/>
        <v>58.327540180388702</v>
      </c>
      <c r="BI318" s="9">
        <f t="shared" ca="1" si="178"/>
        <v>-369.60592847315945</v>
      </c>
      <c r="BJ318">
        <f t="shared" ca="1" si="179"/>
        <v>374.17996245924382</v>
      </c>
      <c r="BK318" s="6">
        <f t="shared" ca="1" si="180"/>
        <v>0.1558809825011456</v>
      </c>
      <c r="BL318" s="6">
        <f t="shared" ca="1" si="181"/>
        <v>-0.98777584466035484</v>
      </c>
      <c r="BM318" s="6">
        <f t="shared" ca="1" si="182"/>
        <v>-1.4142770510469409</v>
      </c>
      <c r="BN318" s="6">
        <f t="shared" ca="1" si="183"/>
        <v>-0.68914449977909387</v>
      </c>
      <c r="BO318" s="9">
        <f t="shared" ca="1" si="184"/>
        <v>-8.5882164174593285</v>
      </c>
      <c r="BP318" s="9">
        <f t="shared" ca="1" si="185"/>
        <v>-221.68688757265303</v>
      </c>
      <c r="BQ318">
        <f t="shared" ca="1" si="186"/>
        <v>221.85318024063398</v>
      </c>
      <c r="BR318">
        <f t="shared" ca="1" si="187"/>
        <v>-3.8711261241078827E-2</v>
      </c>
      <c r="BS318">
        <f t="shared" ca="1" si="188"/>
        <v>-0.99925043820512027</v>
      </c>
      <c r="BT318">
        <f t="shared" ca="1" si="189"/>
        <v>-1.6095172630976795</v>
      </c>
      <c r="BU318" s="39">
        <f t="shared" ca="1" si="190"/>
        <v>-1.6095172630976795</v>
      </c>
    </row>
    <row r="319" spans="45:73" x14ac:dyDescent="0.25">
      <c r="AS319">
        <v>5.5326937288219868</v>
      </c>
      <c r="AT319">
        <v>-2.6347300959900735</v>
      </c>
      <c r="AU319">
        <v>-214.17630346446768</v>
      </c>
      <c r="AV319" s="6">
        <f t="shared" si="172"/>
        <v>4.7000879127150821</v>
      </c>
      <c r="AW319" s="6">
        <f t="shared" si="173"/>
        <v>0.83260581610690476</v>
      </c>
      <c r="AX319" s="6">
        <f t="shared" si="174"/>
        <v>1.5830973944645044</v>
      </c>
      <c r="AY319" s="6">
        <f t="shared" si="175"/>
        <v>1.5830973944645044</v>
      </c>
      <c r="BF319" s="39"/>
      <c r="BG319" s="6">
        <f t="shared" si="176"/>
        <v>5.3058009260627266</v>
      </c>
      <c r="BH319" s="9">
        <f t="shared" ca="1" si="177"/>
        <v>58.693405249730418</v>
      </c>
      <c r="BI319" s="9">
        <f t="shared" ca="1" si="178"/>
        <v>-369.38501573427692</v>
      </c>
      <c r="BJ319">
        <f t="shared" ca="1" si="179"/>
        <v>374.01899105369114</v>
      </c>
      <c r="BK319" s="6">
        <f t="shared" ca="1" si="180"/>
        <v>0.15692627019921795</v>
      </c>
      <c r="BL319" s="6">
        <f t="shared" ca="1" si="181"/>
        <v>-0.98761032078515765</v>
      </c>
      <c r="BM319" s="6">
        <f t="shared" ca="1" si="182"/>
        <v>-1.4132187388862154</v>
      </c>
      <c r="BN319" s="6">
        <f t="shared" ca="1" si="183"/>
        <v>-0.68808618761836837</v>
      </c>
      <c r="BO319" s="9">
        <f t="shared" ca="1" si="184"/>
        <v>-8.2223513481176127</v>
      </c>
      <c r="BP319" s="9">
        <f t="shared" ca="1" si="185"/>
        <v>-221.4659748337705</v>
      </c>
      <c r="BQ319">
        <f t="shared" ca="1" si="186"/>
        <v>221.61855759562232</v>
      </c>
      <c r="BR319">
        <f t="shared" ca="1" si="187"/>
        <v>-3.7101366588264587E-2</v>
      </c>
      <c r="BS319">
        <f t="shared" ca="1" si="188"/>
        <v>-0.99931150728753393</v>
      </c>
      <c r="BT319">
        <f t="shared" ca="1" si="189"/>
        <v>-1.6079062104022757</v>
      </c>
      <c r="BU319" s="39">
        <f t="shared" ca="1" si="190"/>
        <v>-1.6079062104022757</v>
      </c>
    </row>
    <row r="320" spans="45:73" x14ac:dyDescent="0.25">
      <c r="AS320">
        <v>5.5501470213419299</v>
      </c>
      <c r="AT320">
        <v>-2.2076735245109376</v>
      </c>
      <c r="AU320">
        <v>-213.1621213884016</v>
      </c>
      <c r="AV320" s="6">
        <f t="shared" si="172"/>
        <v>4.702032569117188</v>
      </c>
      <c r="AW320" s="6">
        <f t="shared" si="173"/>
        <v>0.84811445222474191</v>
      </c>
      <c r="AX320" s="6">
        <f t="shared" si="174"/>
        <v>1.5811527380623984</v>
      </c>
      <c r="AY320" s="6">
        <f t="shared" si="175"/>
        <v>1.5811527380623984</v>
      </c>
      <c r="BF320" s="39"/>
      <c r="BG320" s="6">
        <f t="shared" si="176"/>
        <v>5.3232542185826697</v>
      </c>
      <c r="BH320" s="9">
        <f t="shared" ca="1" si="177"/>
        <v>59.067328246609044</v>
      </c>
      <c r="BI320" s="9">
        <f t="shared" ca="1" si="178"/>
        <v>-369.14976679670957</v>
      </c>
      <c r="BJ320">
        <f t="shared" ca="1" si="179"/>
        <v>373.84555580113255</v>
      </c>
      <c r="BK320" s="6">
        <f t="shared" ca="1" si="180"/>
        <v>0.15799927892691054</v>
      </c>
      <c r="BL320" s="6">
        <f t="shared" ca="1" si="181"/>
        <v>-0.98743922742545343</v>
      </c>
      <c r="BM320" s="6">
        <f t="shared" ca="1" si="182"/>
        <v>-1.412132175135856</v>
      </c>
      <c r="BN320" s="6">
        <f t="shared" ca="1" si="183"/>
        <v>-0.68699962386800895</v>
      </c>
      <c r="BO320" s="9">
        <f t="shared" ca="1" si="184"/>
        <v>-7.8484283512389865</v>
      </c>
      <c r="BP320" s="9">
        <f t="shared" ca="1" si="185"/>
        <v>-221.23072589620315</v>
      </c>
      <c r="BQ320">
        <f t="shared" ca="1" si="186"/>
        <v>221.36989837858604</v>
      </c>
      <c r="BR320">
        <f t="shared" ca="1" si="187"/>
        <v>-3.5453909536592151E-2</v>
      </c>
      <c r="BS320">
        <f t="shared" ca="1" si="188"/>
        <v>-0.99937131252531508</v>
      </c>
      <c r="BT320">
        <f t="shared" ca="1" si="189"/>
        <v>-1.6062576680100216</v>
      </c>
      <c r="BU320" s="39">
        <f t="shared" ca="1" si="190"/>
        <v>-1.6062576680100216</v>
      </c>
    </row>
    <row r="321" spans="45:73" x14ac:dyDescent="0.25">
      <c r="AS321">
        <v>5.567600313861873</v>
      </c>
      <c r="AT321">
        <v>-1.7961658567161918</v>
      </c>
      <c r="AU321">
        <v>-212.15618155199917</v>
      </c>
      <c r="AV321" s="6">
        <f t="shared" si="172"/>
        <v>4.7039229393263344</v>
      </c>
      <c r="AW321" s="6">
        <f t="shared" si="173"/>
        <v>0.86367737453553861</v>
      </c>
      <c r="AX321" s="6">
        <f t="shared" si="174"/>
        <v>1.579262367853252</v>
      </c>
      <c r="AY321" s="6">
        <f t="shared" si="175"/>
        <v>1.579262367853252</v>
      </c>
      <c r="BF321" s="39"/>
      <c r="BG321" s="6">
        <f t="shared" si="176"/>
        <v>5.3407075111026128</v>
      </c>
      <c r="BH321" s="9">
        <f t="shared" ca="1" si="177"/>
        <v>59.449838098088307</v>
      </c>
      <c r="BI321" s="9">
        <f t="shared" ca="1" si="178"/>
        <v>-368.89918368617964</v>
      </c>
      <c r="BJ321">
        <f t="shared" ca="1" si="179"/>
        <v>373.65878950483506</v>
      </c>
      <c r="BK321" s="6">
        <f t="shared" ca="1" si="180"/>
        <v>0.15910193943750128</v>
      </c>
      <c r="BL321" s="6">
        <f t="shared" ca="1" si="181"/>
        <v>-0.98726216015161117</v>
      </c>
      <c r="BM321" s="6">
        <f t="shared" ca="1" si="182"/>
        <v>-1.4110153881594318</v>
      </c>
      <c r="BN321" s="6">
        <f t="shared" ca="1" si="183"/>
        <v>-0.6858828368915848</v>
      </c>
      <c r="BO321" s="9">
        <f t="shared" ca="1" si="184"/>
        <v>-7.4659184997597237</v>
      </c>
      <c r="BP321" s="9">
        <f t="shared" ca="1" si="185"/>
        <v>-220.98014278567322</v>
      </c>
      <c r="BQ321">
        <f t="shared" ca="1" si="186"/>
        <v>221.10622660753265</v>
      </c>
      <c r="BR321">
        <f t="shared" ca="1" si="187"/>
        <v>-3.3766206471479689E-2</v>
      </c>
      <c r="BS321">
        <f t="shared" ca="1" si="188"/>
        <v>-0.99942975906289955</v>
      </c>
      <c r="BT321">
        <f t="shared" ca="1" si="189"/>
        <v>-1.6045689530217966</v>
      </c>
      <c r="BU321" s="39">
        <f t="shared" ca="1" si="190"/>
        <v>-1.6045689530217966</v>
      </c>
    </row>
    <row r="322" spans="45:73" x14ac:dyDescent="0.25">
      <c r="AS322">
        <v>5.5850536063818161</v>
      </c>
      <c r="AT322">
        <v>-1.3991534494100961</v>
      </c>
      <c r="AU322">
        <v>-211.15710097238949</v>
      </c>
      <c r="AV322" s="6">
        <f t="shared" si="172"/>
        <v>4.7057629518654291</v>
      </c>
      <c r="AW322" s="6">
        <f t="shared" si="173"/>
        <v>0.87929065451638699</v>
      </c>
      <c r="AX322" s="6">
        <f t="shared" si="174"/>
        <v>1.5774223553141573</v>
      </c>
      <c r="AY322" s="6">
        <f t="shared" si="175"/>
        <v>1.5774223553141573</v>
      </c>
      <c r="BF322" s="39"/>
      <c r="BG322" s="6">
        <f t="shared" si="176"/>
        <v>5.3581608036225559</v>
      </c>
      <c r="BH322" s="9">
        <f t="shared" ca="1" si="177"/>
        <v>59.841500222744649</v>
      </c>
      <c r="BI322" s="9">
        <f t="shared" ca="1" si="178"/>
        <v>-368.63217055023318</v>
      </c>
      <c r="BJ322">
        <f t="shared" ca="1" si="179"/>
        <v>373.45773832320697</v>
      </c>
      <c r="BK322" s="6">
        <f t="shared" ca="1" si="180"/>
        <v>0.16023633756105263</v>
      </c>
      <c r="BL322" s="6">
        <f t="shared" ca="1" si="181"/>
        <v>-0.98707867777853486</v>
      </c>
      <c r="BM322" s="6">
        <f t="shared" ca="1" si="182"/>
        <v>-1.4098662471631822</v>
      </c>
      <c r="BN322" s="6">
        <f t="shared" ca="1" si="183"/>
        <v>-0.68473369589533517</v>
      </c>
      <c r="BO322" s="9">
        <f t="shared" ca="1" si="184"/>
        <v>-7.0742563751033813</v>
      </c>
      <c r="BP322" s="9">
        <f t="shared" ca="1" si="185"/>
        <v>-220.71312964972677</v>
      </c>
      <c r="BQ322">
        <f t="shared" ca="1" si="186"/>
        <v>220.82647192544147</v>
      </c>
      <c r="BR322">
        <f t="shared" ca="1" si="187"/>
        <v>-3.2035363846649199E-2</v>
      </c>
      <c r="BS322">
        <f t="shared" ca="1" si="188"/>
        <v>-0.9994867360116455</v>
      </c>
      <c r="BT322">
        <f t="shared" ca="1" si="189"/>
        <v>-1.6028371726332513</v>
      </c>
      <c r="BU322" s="39">
        <f t="shared" ca="1" si="190"/>
        <v>-1.6028371726332513</v>
      </c>
    </row>
    <row r="323" spans="45:73" x14ac:dyDescent="0.25">
      <c r="AS323">
        <v>5.6025068989017592</v>
      </c>
      <c r="AT323">
        <v>-1.0156604121326325</v>
      </c>
      <c r="AU323">
        <v>-210.16351402411058</v>
      </c>
      <c r="AV323" s="6">
        <f t="shared" ref="AV323:AV362" si="191">IF(AS323&lt;&gt;"",IF(AND(AT323=0,AU323=0),0,MOD(ATAN2(AT323,AU323),2*PI())),NA())</f>
        <v>4.707556302790783</v>
      </c>
      <c r="AW323" s="6">
        <f t="shared" ref="AW323:AW362" si="192">ABS(AS323-AV323)</f>
        <v>0.89495059611097627</v>
      </c>
      <c r="AX323" s="6">
        <f t="shared" ref="AX323:AX362" si="193">ATAN2(COS($U$13-AV323),SIN($U$13-AV323))</f>
        <v>1.5756290043888035</v>
      </c>
      <c r="AY323" s="6">
        <f t="shared" ref="AY323:AY362" si="194">ABS(AX323)</f>
        <v>1.5756290043888035</v>
      </c>
      <c r="BF323" s="39"/>
      <c r="BG323" s="6">
        <f t="shared" si="176"/>
        <v>5.375614096142499</v>
      </c>
      <c r="BH323" s="9">
        <f t="shared" ca="1" si="177"/>
        <v>60.242920160609998</v>
      </c>
      <c r="BI323" s="9">
        <f t="shared" ca="1" si="178"/>
        <v>-368.34752238950261</v>
      </c>
      <c r="BJ323">
        <f t="shared" ca="1" si="179"/>
        <v>373.24135178187692</v>
      </c>
      <c r="BK323" s="6">
        <f t="shared" ca="1" si="180"/>
        <v>0.16140473147738491</v>
      </c>
      <c r="BL323" s="6">
        <f t="shared" ca="1" si="181"/>
        <v>-0.98688829796320565</v>
      </c>
      <c r="BM323" s="6">
        <f t="shared" ca="1" si="182"/>
        <v>-1.4086824444002757</v>
      </c>
      <c r="BN323" s="6">
        <f t="shared" ca="1" si="183"/>
        <v>-0.68354989313242864</v>
      </c>
      <c r="BO323" s="9">
        <f t="shared" ca="1" si="184"/>
        <v>-6.6728364372380327</v>
      </c>
      <c r="BP323" s="9">
        <f t="shared" ca="1" si="185"/>
        <v>-220.4284814889962</v>
      </c>
      <c r="BQ323">
        <f t="shared" ca="1" si="186"/>
        <v>220.52945879782789</v>
      </c>
      <c r="BR323">
        <f t="shared" ca="1" si="187"/>
        <v>-3.0258254265047684E-2</v>
      </c>
      <c r="BS323">
        <f t="shared" ca="1" si="188"/>
        <v>-0.99954211419471051</v>
      </c>
      <c r="BT323">
        <f t="shared" ca="1" si="189"/>
        <v>-1.6010592001810076</v>
      </c>
      <c r="BU323" s="39">
        <f t="shared" ca="1" si="190"/>
        <v>-1.6010592001810076</v>
      </c>
    </row>
    <row r="324" spans="45:73" x14ac:dyDescent="0.25">
      <c r="AS324">
        <v>5.6199601914217023</v>
      </c>
      <c r="AT324">
        <v>-0.64477992732751088</v>
      </c>
      <c r="AU324">
        <v>-209.17406248383895</v>
      </c>
      <c r="AV324" s="6">
        <f t="shared" si="191"/>
        <v>4.7093064859420908</v>
      </c>
      <c r="AW324" s="6">
        <f t="shared" si="192"/>
        <v>0.91065370547961155</v>
      </c>
      <c r="AX324" s="6">
        <f t="shared" si="193"/>
        <v>1.5738788212374957</v>
      </c>
      <c r="AY324" s="6">
        <f t="shared" si="194"/>
        <v>1.5738788212374957</v>
      </c>
      <c r="BF324" s="39"/>
      <c r="BG324" s="6">
        <f t="shared" si="176"/>
        <v>5.3930673886624421</v>
      </c>
      <c r="BH324" s="9">
        <f t="shared" ca="1" si="177"/>
        <v>60.654747630619639</v>
      </c>
      <c r="BI324" s="9">
        <f t="shared" ca="1" si="178"/>
        <v>-368.04391224656865</v>
      </c>
      <c r="BJ324">
        <f t="shared" ca="1" si="179"/>
        <v>373.00847142108461</v>
      </c>
      <c r="BK324" s="6">
        <f t="shared" ca="1" si="180"/>
        <v>0.16260957130420572</v>
      </c>
      <c r="BL324" s="6">
        <f t="shared" ca="1" si="181"/>
        <v>-0.98669049216066862</v>
      </c>
      <c r="BM324" s="6">
        <f t="shared" ca="1" si="182"/>
        <v>-1.4074614749784597</v>
      </c>
      <c r="BN324" s="6">
        <f t="shared" ca="1" si="183"/>
        <v>-0.68232892371061271</v>
      </c>
      <c r="BO324" s="9">
        <f t="shared" ca="1" si="184"/>
        <v>-6.261008967228392</v>
      </c>
      <c r="BP324" s="9">
        <f t="shared" ca="1" si="185"/>
        <v>-220.12487134606224</v>
      </c>
      <c r="BQ324">
        <f t="shared" ca="1" si="186"/>
        <v>220.21389424468239</v>
      </c>
      <c r="BR324">
        <f t="shared" ca="1" si="187"/>
        <v>-2.8431489251408031E-2</v>
      </c>
      <c r="BS324">
        <f t="shared" ca="1" si="188"/>
        <v>-0.99959574349781377</v>
      </c>
      <c r="BT324">
        <f t="shared" ca="1" si="189"/>
        <v>-1.5992316478707265</v>
      </c>
      <c r="BU324" s="39">
        <f t="shared" ca="1" si="190"/>
        <v>-1.5992316478707265</v>
      </c>
    </row>
    <row r="325" spans="45:73" x14ac:dyDescent="0.25">
      <c r="AS325">
        <v>5.6374134839416454</v>
      </c>
      <c r="AT325">
        <v>-0.28566641611108706</v>
      </c>
      <c r="AU325">
        <v>-208.18738530257647</v>
      </c>
      <c r="AV325" s="6">
        <f t="shared" si="191"/>
        <v>4.7110168211810493</v>
      </c>
      <c r="AW325" s="6">
        <f t="shared" si="192"/>
        <v>0.92639666276059618</v>
      </c>
      <c r="AX325" s="6">
        <f t="shared" si="193"/>
        <v>1.5721684859985372</v>
      </c>
      <c r="AY325" s="6">
        <f t="shared" si="194"/>
        <v>1.5721684859985372</v>
      </c>
      <c r="BF325" s="39"/>
      <c r="BG325" s="6">
        <f t="shared" si="176"/>
        <v>5.4105206811823852</v>
      </c>
      <c r="BH325" s="9">
        <f t="shared" ca="1" si="177"/>
        <v>61.077681055739141</v>
      </c>
      <c r="BI325" s="9">
        <f t="shared" ca="1" si="178"/>
        <v>-367.71987653868962</v>
      </c>
      <c r="BJ325">
        <f t="shared" ca="1" si="179"/>
        <v>372.75781779162691</v>
      </c>
      <c r="BK325" s="6">
        <f t="shared" ca="1" si="180"/>
        <v>0.16385352134956913</v>
      </c>
      <c r="BL325" s="6">
        <f t="shared" ca="1" si="181"/>
        <v>-0.98648467983103838</v>
      </c>
      <c r="BM325" s="6">
        <f t="shared" ca="1" si="182"/>
        <v>-1.4062006139072067</v>
      </c>
      <c r="BN325" s="6">
        <f t="shared" ca="1" si="183"/>
        <v>-0.68106806263935971</v>
      </c>
      <c r="BO325" s="9">
        <f t="shared" ca="1" si="184"/>
        <v>-5.8380755421088892</v>
      </c>
      <c r="BP325" s="9">
        <f t="shared" ca="1" si="185"/>
        <v>-219.8008356381832</v>
      </c>
      <c r="BQ325">
        <f t="shared" ca="1" si="186"/>
        <v>219.8783538079158</v>
      </c>
      <c r="BR325">
        <f t="shared" ca="1" si="187"/>
        <v>-2.6551388260842589E-2</v>
      </c>
      <c r="BS325">
        <f t="shared" ca="1" si="188"/>
        <v>-0.99964744974486974</v>
      </c>
      <c r="BT325">
        <f t="shared" ca="1" si="189"/>
        <v>-1.5973508357287229</v>
      </c>
      <c r="BU325" s="39">
        <f t="shared" ca="1" si="190"/>
        <v>-1.5973508357287229</v>
      </c>
    </row>
    <row r="326" spans="45:73" x14ac:dyDescent="0.25">
      <c r="AS326">
        <v>5.6548667764615885</v>
      </c>
      <c r="AT326">
        <v>6.2471626160652251E-2</v>
      </c>
      <c r="AU326">
        <v>-207.20210798577776</v>
      </c>
      <c r="AV326" s="6">
        <f t="shared" si="191"/>
        <v>4.7126904812954429</v>
      </c>
      <c r="AW326" s="6">
        <f t="shared" si="192"/>
        <v>0.94217629516614565</v>
      </c>
      <c r="AX326" s="6">
        <f t="shared" si="193"/>
        <v>1.5704948258841436</v>
      </c>
      <c r="AY326" s="6">
        <f t="shared" si="194"/>
        <v>1.5704948258841436</v>
      </c>
      <c r="BF326" s="39"/>
      <c r="BG326" s="6">
        <f t="shared" si="176"/>
        <v>5.4279739737023283</v>
      </c>
      <c r="BH326" s="9">
        <f t="shared" ca="1" si="177"/>
        <v>61.50466381156469</v>
      </c>
      <c r="BI326" s="9">
        <f t="shared" ca="1" si="178"/>
        <v>-367.37997934452687</v>
      </c>
      <c r="BJ326">
        <f t="shared" ca="1" si="179"/>
        <v>372.49278233780393</v>
      </c>
      <c r="BK326" s="6">
        <f t="shared" ca="1" si="180"/>
        <v>0.16511639078092988</v>
      </c>
      <c r="BL326" s="6">
        <f t="shared" ca="1" si="181"/>
        <v>-0.98627408842343589</v>
      </c>
      <c r="BM326" s="6">
        <f t="shared" ca="1" si="182"/>
        <v>-1.4049203060670632</v>
      </c>
      <c r="BN326" s="6">
        <f t="shared" ca="1" si="183"/>
        <v>-0.67978775479921616</v>
      </c>
      <c r="BO326" s="9">
        <f t="shared" ca="1" si="184"/>
        <v>-5.4110927862833407</v>
      </c>
      <c r="BP326" s="9">
        <f t="shared" ca="1" si="185"/>
        <v>-219.46093844402046</v>
      </c>
      <c r="BQ326">
        <f t="shared" ca="1" si="186"/>
        <v>219.52763704798514</v>
      </c>
      <c r="BR326">
        <f t="shared" ca="1" si="187"/>
        <v>-2.4648799846101219E-2</v>
      </c>
      <c r="BS326">
        <f t="shared" ca="1" si="188"/>
        <v>-0.99969617217740059</v>
      </c>
      <c r="BT326">
        <f t="shared" ca="1" si="189"/>
        <v>-1.5954476232748147</v>
      </c>
      <c r="BU326" s="39">
        <f t="shared" ca="1" si="190"/>
        <v>-1.5954476232748147</v>
      </c>
    </row>
    <row r="327" spans="45:73" x14ac:dyDescent="0.25">
      <c r="AS327">
        <v>5.6723200689815316</v>
      </c>
      <c r="AT327">
        <v>0.40037819780378642</v>
      </c>
      <c r="AU327">
        <v>-206.21683121445074</v>
      </c>
      <c r="AV327" s="6">
        <f t="shared" si="191"/>
        <v>4.7143305178060606</v>
      </c>
      <c r="AW327" s="6">
        <f t="shared" si="192"/>
        <v>0.95798955117547102</v>
      </c>
      <c r="AX327" s="6">
        <f t="shared" si="193"/>
        <v>1.5688547893735258</v>
      </c>
      <c r="AY327" s="6">
        <f t="shared" si="194"/>
        <v>1.5688547893735258</v>
      </c>
      <c r="BF327" s="39"/>
      <c r="BG327" s="6">
        <f t="shared" si="176"/>
        <v>5.4454272662222714</v>
      </c>
      <c r="BH327" s="9">
        <f t="shared" ca="1" si="177"/>
        <v>61.92000982129553</v>
      </c>
      <c r="BI327" s="9">
        <f t="shared" ca="1" si="178"/>
        <v>-367.0362642477545</v>
      </c>
      <c r="BJ327">
        <f t="shared" ca="1" si="179"/>
        <v>372.22265767846102</v>
      </c>
      <c r="BK327" s="6">
        <f t="shared" ca="1" si="180"/>
        <v>0.16635207057917523</v>
      </c>
      <c r="BL327" s="6">
        <f t="shared" ca="1" si="181"/>
        <v>-0.98606642200919781</v>
      </c>
      <c r="BM327" s="6">
        <f t="shared" ca="1" si="182"/>
        <v>-1.4036672976437832</v>
      </c>
      <c r="BN327" s="6">
        <f t="shared" ca="1" si="183"/>
        <v>-0.67853474637593614</v>
      </c>
      <c r="BO327" s="9">
        <f t="shared" ca="1" si="184"/>
        <v>-4.995746776552501</v>
      </c>
      <c r="BP327" s="9">
        <f t="shared" ca="1" si="185"/>
        <v>-219.11722334724809</v>
      </c>
      <c r="BQ327">
        <f t="shared" ca="1" si="186"/>
        <v>219.17416602616112</v>
      </c>
      <c r="BR327">
        <f t="shared" ca="1" si="187"/>
        <v>-2.2793501931045092E-2</v>
      </c>
      <c r="BS327">
        <f t="shared" ca="1" si="188"/>
        <v>-0.99974019438538098</v>
      </c>
      <c r="BT327">
        <f t="shared" ca="1" si="189"/>
        <v>-1.593591802891029</v>
      </c>
      <c r="BU327" s="39">
        <f t="shared" ca="1" si="190"/>
        <v>-1.593591802891029</v>
      </c>
    </row>
    <row r="328" spans="45:73" x14ac:dyDescent="0.25">
      <c r="AS328">
        <v>5.6897733615014747</v>
      </c>
      <c r="AT328">
        <v>0.728755934503306</v>
      </c>
      <c r="AU328">
        <v>-205.23011857833677</v>
      </c>
      <c r="AV328" s="6">
        <f t="shared" si="191"/>
        <v>4.7159398864437216</v>
      </c>
      <c r="AW328" s="6">
        <f t="shared" si="192"/>
        <v>0.97383347505775308</v>
      </c>
      <c r="AX328" s="6">
        <f t="shared" si="193"/>
        <v>1.5672454207358648</v>
      </c>
      <c r="AY328" s="6">
        <f t="shared" si="194"/>
        <v>1.5672454207358648</v>
      </c>
      <c r="BF328" s="39"/>
      <c r="BG328" s="6">
        <f t="shared" si="176"/>
        <v>5.4628805587422145</v>
      </c>
      <c r="BH328" s="9">
        <f t="shared" ca="1" si="177"/>
        <v>62.392940304221462</v>
      </c>
      <c r="BI328" s="9">
        <f t="shared" ca="1" si="178"/>
        <v>-366.26332090838162</v>
      </c>
      <c r="BJ328">
        <f t="shared" ca="1" si="179"/>
        <v>371.53963347487212</v>
      </c>
      <c r="BK328" s="6">
        <f t="shared" ca="1" si="180"/>
        <v>0.16793077960669628</v>
      </c>
      <c r="BL328" s="6">
        <f t="shared" ca="1" si="181"/>
        <v>-0.98579878943965382</v>
      </c>
      <c r="BM328" s="6">
        <f t="shared" ca="1" si="182"/>
        <v>-1.4020660637652766</v>
      </c>
      <c r="BN328" s="6">
        <f t="shared" ca="1" si="183"/>
        <v>-0.67693351249742961</v>
      </c>
      <c r="BO328" s="9">
        <f t="shared" ca="1" si="184"/>
        <v>-4.522816293626569</v>
      </c>
      <c r="BP328" s="9">
        <f t="shared" ca="1" si="185"/>
        <v>-218.3442800078752</v>
      </c>
      <c r="BQ328">
        <f t="shared" ca="1" si="186"/>
        <v>218.39111813300306</v>
      </c>
      <c r="BR328">
        <f t="shared" ca="1" si="187"/>
        <v>-2.0709708033419722E-2</v>
      </c>
      <c r="BS328">
        <f t="shared" ca="1" si="188"/>
        <v>-0.99978553099810896</v>
      </c>
      <c r="BT328">
        <f t="shared" ca="1" si="189"/>
        <v>-1.5915075154854761</v>
      </c>
      <c r="BU328" s="39">
        <f t="shared" ca="1" si="190"/>
        <v>-1.5915075154854761</v>
      </c>
    </row>
    <row r="329" spans="45:73" x14ac:dyDescent="0.25">
      <c r="AS329">
        <v>5.7072266540214178</v>
      </c>
      <c r="AT329">
        <v>1.0482718936574313</v>
      </c>
      <c r="AU329">
        <v>-204.24048299127054</v>
      </c>
      <c r="AV329" s="6">
        <f t="shared" si="191"/>
        <v>4.7175214725997296</v>
      </c>
      <c r="AW329" s="6">
        <f t="shared" si="192"/>
        <v>0.98970518142168817</v>
      </c>
      <c r="AX329" s="6">
        <f t="shared" si="193"/>
        <v>1.5656638345798568</v>
      </c>
      <c r="AY329" s="6">
        <f t="shared" si="194"/>
        <v>1.5656638345798568</v>
      </c>
      <c r="BF329" s="39"/>
      <c r="BG329" s="6">
        <f t="shared" si="176"/>
        <v>5.4803338512621576</v>
      </c>
      <c r="BH329" s="9">
        <f t="shared" ca="1" si="177"/>
        <v>62.894648938675232</v>
      </c>
      <c r="BI329" s="9">
        <f t="shared" ca="1" si="178"/>
        <v>-365.20164290511514</v>
      </c>
      <c r="BJ329">
        <f t="shared" ca="1" si="179"/>
        <v>370.5778957867218</v>
      </c>
      <c r="BK329" s="6">
        <f t="shared" ca="1" si="180"/>
        <v>0.16972045460281016</v>
      </c>
      <c r="BL329" s="6">
        <f t="shared" ca="1" si="181"/>
        <v>-0.98549224618431952</v>
      </c>
      <c r="BM329" s="6">
        <f t="shared" ca="1" si="182"/>
        <v>-1.400250325275046</v>
      </c>
      <c r="BN329" s="6">
        <f t="shared" ca="1" si="183"/>
        <v>-0.67511777400719897</v>
      </c>
      <c r="BO329" s="9">
        <f t="shared" ca="1" si="184"/>
        <v>-4.0211076591727988</v>
      </c>
      <c r="BP329" s="9">
        <f t="shared" ca="1" si="185"/>
        <v>-217.28260200460872</v>
      </c>
      <c r="BQ329">
        <f t="shared" ca="1" si="186"/>
        <v>217.31980683016411</v>
      </c>
      <c r="BR329">
        <f t="shared" ca="1" si="187"/>
        <v>-1.8503180717049428E-2</v>
      </c>
      <c r="BS329">
        <f t="shared" ca="1" si="188"/>
        <v>-0.99982880149721254</v>
      </c>
      <c r="BT329">
        <f t="shared" ca="1" si="189"/>
        <v>-1.5893005634898709</v>
      </c>
      <c r="BU329" s="39">
        <f t="shared" ca="1" si="190"/>
        <v>-1.5893005634898709</v>
      </c>
    </row>
    <row r="330" spans="45:73" x14ac:dyDescent="0.25">
      <c r="AS330">
        <v>5.7246799465413609</v>
      </c>
      <c r="AT330">
        <v>1.3595631232176801</v>
      </c>
      <c r="AU330">
        <v>-203.24637149725072</v>
      </c>
      <c r="AV330" s="6">
        <f t="shared" si="191"/>
        <v>4.7190781174918346</v>
      </c>
      <c r="AW330" s="6">
        <f t="shared" si="192"/>
        <v>1.0056018290495263</v>
      </c>
      <c r="AX330" s="6">
        <f t="shared" si="193"/>
        <v>1.5641071896877519</v>
      </c>
      <c r="AY330" s="6">
        <f t="shared" si="194"/>
        <v>1.5641071896877519</v>
      </c>
      <c r="BF330" s="39"/>
      <c r="BG330" s="6">
        <f t="shared" si="176"/>
        <v>5.4977871437821006</v>
      </c>
      <c r="BH330" s="9">
        <f t="shared" ca="1" si="177"/>
        <v>63.375604055325923</v>
      </c>
      <c r="BI330" s="9">
        <f t="shared" ca="1" si="178"/>
        <v>-364.15411338598454</v>
      </c>
      <c r="BJ330">
        <f t="shared" ca="1" si="179"/>
        <v>369.62776611790127</v>
      </c>
      <c r="BK330" s="6">
        <f t="shared" ca="1" si="180"/>
        <v>0.17145790945561923</v>
      </c>
      <c r="BL330" s="6">
        <f t="shared" ca="1" si="181"/>
        <v>-0.9851914460068707</v>
      </c>
      <c r="BM330" s="6">
        <f t="shared" ca="1" si="182"/>
        <v>-1.3984870241328946</v>
      </c>
      <c r="BN330" s="6">
        <f t="shared" ca="1" si="183"/>
        <v>-0.67335447286504757</v>
      </c>
      <c r="BO330" s="9">
        <f t="shared" ca="1" si="184"/>
        <v>-3.5401525425221081</v>
      </c>
      <c r="BP330" s="9">
        <f t="shared" ca="1" si="185"/>
        <v>-216.23507248547813</v>
      </c>
      <c r="BQ330">
        <f t="shared" ca="1" si="186"/>
        <v>216.26404983913602</v>
      </c>
      <c r="BR330">
        <f t="shared" ca="1" si="187"/>
        <v>-1.6369584057800566E-2</v>
      </c>
      <c r="BS330">
        <f t="shared" ca="1" si="188"/>
        <v>-0.99986600938214443</v>
      </c>
      <c r="BT330">
        <f t="shared" ca="1" si="189"/>
        <v>-1.5871666420154456</v>
      </c>
      <c r="BU330" s="39">
        <f t="shared" ca="1" si="190"/>
        <v>-1.5871666420154456</v>
      </c>
    </row>
    <row r="331" spans="45:73" x14ac:dyDescent="0.25">
      <c r="AS331">
        <v>5.742133239061304</v>
      </c>
      <c r="AT331">
        <v>1.6632421036686422</v>
      </c>
      <c r="AU331">
        <v>-202.24614794969673</v>
      </c>
      <c r="AV331" s="6">
        <f t="shared" si="191"/>
        <v>4.7206126455871029</v>
      </c>
      <c r="AW331" s="6">
        <f t="shared" si="192"/>
        <v>1.0215205934742011</v>
      </c>
      <c r="AX331" s="6">
        <f t="shared" si="193"/>
        <v>1.5625726615924835</v>
      </c>
      <c r="AY331" s="6">
        <f t="shared" si="194"/>
        <v>1.5625726615924835</v>
      </c>
      <c r="BF331" s="39"/>
      <c r="BG331" s="6">
        <f t="shared" si="176"/>
        <v>5.5152404363020437</v>
      </c>
      <c r="BH331" s="9">
        <f t="shared" ca="1" si="177"/>
        <v>63.837279947696835</v>
      </c>
      <c r="BI331" s="9">
        <f t="shared" ca="1" si="178"/>
        <v>-363.11917889716528</v>
      </c>
      <c r="BJ331">
        <f t="shared" ca="1" si="179"/>
        <v>368.68785767105504</v>
      </c>
      <c r="BK331" s="6">
        <f t="shared" ca="1" si="180"/>
        <v>0.17314722635821855</v>
      </c>
      <c r="BL331" s="6">
        <f t="shared" ca="1" si="181"/>
        <v>-0.98489595288256504</v>
      </c>
      <c r="BM331" s="6">
        <f t="shared" ca="1" si="182"/>
        <v>-1.3967720580968568</v>
      </c>
      <c r="BN331" s="6">
        <f t="shared" ca="1" si="183"/>
        <v>-0.67163950682900975</v>
      </c>
      <c r="BO331" s="9">
        <f t="shared" ca="1" si="184"/>
        <v>-3.0784766501511953</v>
      </c>
      <c r="BP331" s="9">
        <f t="shared" ca="1" si="185"/>
        <v>-215.20013799665887</v>
      </c>
      <c r="BQ331">
        <f t="shared" ca="1" si="186"/>
        <v>215.22215595116259</v>
      </c>
      <c r="BR331">
        <f t="shared" ca="1" si="187"/>
        <v>-1.4303716253310611E-2</v>
      </c>
      <c r="BS331">
        <f t="shared" ca="1" si="188"/>
        <v>-0.99989769661768135</v>
      </c>
      <c r="BT331">
        <f t="shared" ca="1" si="189"/>
        <v>-1.5851005308410191</v>
      </c>
      <c r="BU331" s="39">
        <f t="shared" ca="1" si="190"/>
        <v>-1.5851005308410191</v>
      </c>
    </row>
    <row r="332" spans="45:73" x14ac:dyDescent="0.25">
      <c r="AS332">
        <v>5.7595865315812471</v>
      </c>
      <c r="AT332">
        <v>1.9599021835135604</v>
      </c>
      <c r="AU332">
        <v>-201.23807299726494</v>
      </c>
      <c r="AV332" s="6">
        <f t="shared" si="191"/>
        <v>4.7221278940538767</v>
      </c>
      <c r="AW332" s="6">
        <f t="shared" si="192"/>
        <v>1.0374586375273704</v>
      </c>
      <c r="AX332" s="6">
        <f t="shared" si="193"/>
        <v>1.5610574131257098</v>
      </c>
      <c r="AY332" s="6">
        <f t="shared" si="194"/>
        <v>1.5610574131257098</v>
      </c>
      <c r="BF332" s="39"/>
      <c r="BG332" s="6">
        <f t="shared" si="176"/>
        <v>5.5326937288219868</v>
      </c>
      <c r="BH332" s="9">
        <f t="shared" ca="1" si="177"/>
        <v>64.281026501857951</v>
      </c>
      <c r="BI332" s="9">
        <f t="shared" ca="1" si="178"/>
        <v>-362.0953443649741</v>
      </c>
      <c r="BJ332">
        <f t="shared" ca="1" si="179"/>
        <v>367.75683376236771</v>
      </c>
      <c r="BK332" s="6">
        <f t="shared" ca="1" si="180"/>
        <v>0.17479220126034212</v>
      </c>
      <c r="BL332" s="6">
        <f t="shared" ca="1" si="181"/>
        <v>-0.9846053454956275</v>
      </c>
      <c r="BM332" s="6">
        <f t="shared" ca="1" si="182"/>
        <v>-1.3951016103332863</v>
      </c>
      <c r="BN332" s="6">
        <f t="shared" ca="1" si="183"/>
        <v>-0.66996905906543924</v>
      </c>
      <c r="BO332" s="9">
        <f t="shared" ca="1" si="184"/>
        <v>-2.6347300959900792</v>
      </c>
      <c r="BP332" s="9">
        <f t="shared" ca="1" si="185"/>
        <v>-214.17630346446768</v>
      </c>
      <c r="BQ332">
        <f t="shared" ca="1" si="186"/>
        <v>214.19250866541171</v>
      </c>
      <c r="BR332">
        <f t="shared" ca="1" si="187"/>
        <v>-1.2300757446684416E-2</v>
      </c>
      <c r="BS332">
        <f t="shared" ca="1" si="188"/>
        <v>-0.99992434282111453</v>
      </c>
      <c r="BT332">
        <f t="shared" ca="1" si="189"/>
        <v>-1.5830973944645046</v>
      </c>
      <c r="BU332" s="39">
        <f t="shared" ca="1" si="190"/>
        <v>-1.5830973944645046</v>
      </c>
    </row>
    <row r="333" spans="45:73" x14ac:dyDescent="0.25">
      <c r="AS333">
        <v>5.7770398241011902</v>
      </c>
      <c r="AT333">
        <v>2.2501231444723944</v>
      </c>
      <c r="AU333">
        <v>-200.22028066949693</v>
      </c>
      <c r="AV333" s="6">
        <f t="shared" si="191"/>
        <v>4.7236267451877811</v>
      </c>
      <c r="AW333" s="6">
        <f t="shared" si="192"/>
        <v>1.0534130789134091</v>
      </c>
      <c r="AX333" s="6">
        <f t="shared" si="193"/>
        <v>1.5595585619918053</v>
      </c>
      <c r="AY333" s="6">
        <f t="shared" si="194"/>
        <v>1.5595585619918053</v>
      </c>
      <c r="BF333" s="39"/>
      <c r="BG333" s="6">
        <f t="shared" si="176"/>
        <v>5.5501470213419299</v>
      </c>
      <c r="BH333" s="9">
        <f t="shared" ca="1" si="177"/>
        <v>64.708083073337093</v>
      </c>
      <c r="BI333" s="9">
        <f t="shared" ca="1" si="178"/>
        <v>-361.08116228890799</v>
      </c>
      <c r="BJ333">
        <f t="shared" ca="1" si="179"/>
        <v>366.83339784558137</v>
      </c>
      <c r="BK333" s="6">
        <f t="shared" ca="1" si="180"/>
        <v>0.17639637899212213</v>
      </c>
      <c r="BL333" s="6">
        <f t="shared" ca="1" si="181"/>
        <v>-0.98431921523379184</v>
      </c>
      <c r="BM333" s="6">
        <f t="shared" ca="1" si="182"/>
        <v>-1.3934721143040154</v>
      </c>
      <c r="BN333" s="6">
        <f t="shared" ca="1" si="183"/>
        <v>-0.66833956303616837</v>
      </c>
      <c r="BO333" s="9">
        <f t="shared" ca="1" si="184"/>
        <v>-2.2076735245109376</v>
      </c>
      <c r="BP333" s="9">
        <f t="shared" ca="1" si="185"/>
        <v>-213.16212138840157</v>
      </c>
      <c r="BQ333">
        <f t="shared" ca="1" si="186"/>
        <v>213.17355327806138</v>
      </c>
      <c r="BR333">
        <f t="shared" ca="1" si="187"/>
        <v>-1.0356226138573911E-2</v>
      </c>
      <c r="BS333">
        <f t="shared" ca="1" si="188"/>
        <v>-0.99994637285214794</v>
      </c>
      <c r="BT333">
        <f t="shared" ca="1" si="189"/>
        <v>-1.5811527380623984</v>
      </c>
      <c r="BU333" s="39">
        <f t="shared" ca="1" si="190"/>
        <v>-1.5811527380623984</v>
      </c>
    </row>
    <row r="334" spans="45:73" x14ac:dyDescent="0.25">
      <c r="AS334">
        <v>5.7944931166211333</v>
      </c>
      <c r="AT334">
        <v>2.5344770224528701</v>
      </c>
      <c r="AU334">
        <v>-199.19075058711306</v>
      </c>
      <c r="AV334" s="6">
        <f t="shared" si="191"/>
        <v>4.7251121628299479</v>
      </c>
      <c r="AW334" s="6">
        <f t="shared" si="192"/>
        <v>1.0693809537911854</v>
      </c>
      <c r="AX334" s="6">
        <f t="shared" si="193"/>
        <v>1.5580731443496385</v>
      </c>
      <c r="AY334" s="6">
        <f t="shared" si="194"/>
        <v>1.5580731443496385</v>
      </c>
      <c r="BF334" s="39"/>
      <c r="BG334" s="6">
        <f t="shared" si="176"/>
        <v>5.567600313861873</v>
      </c>
      <c r="BH334" s="9">
        <f t="shared" ca="1" si="177"/>
        <v>65.119590741131844</v>
      </c>
      <c r="BI334" s="9">
        <f t="shared" ca="1" si="178"/>
        <v>-360.07522245250561</v>
      </c>
      <c r="BJ334">
        <f t="shared" ca="1" si="179"/>
        <v>365.91628403572577</v>
      </c>
      <c r="BK334" s="6">
        <f t="shared" ca="1" si="180"/>
        <v>0.17796308495189567</v>
      </c>
      <c r="BL334" s="6">
        <f t="shared" ca="1" si="181"/>
        <v>-0.98403716413273956</v>
      </c>
      <c r="BM334" s="6">
        <f t="shared" ca="1" si="182"/>
        <v>-1.3918802220579314</v>
      </c>
      <c r="BN334" s="6">
        <f t="shared" ca="1" si="183"/>
        <v>-0.66674767079008435</v>
      </c>
      <c r="BO334" s="9">
        <f t="shared" ca="1" si="184"/>
        <v>-1.7961658567161862</v>
      </c>
      <c r="BP334" s="9">
        <f t="shared" ca="1" si="185"/>
        <v>-212.1561815519992</v>
      </c>
      <c r="BQ334">
        <f t="shared" ca="1" si="186"/>
        <v>212.16378480435739</v>
      </c>
      <c r="BR334">
        <f t="shared" ca="1" si="187"/>
        <v>-8.4659399264228104E-3</v>
      </c>
      <c r="BS334">
        <f t="shared" ca="1" si="188"/>
        <v>-0.99996416328844617</v>
      </c>
      <c r="BT334">
        <f t="shared" ca="1" si="189"/>
        <v>-1.5792623678532514</v>
      </c>
      <c r="BU334" s="39">
        <f t="shared" ca="1" si="190"/>
        <v>-1.5792623678532514</v>
      </c>
    </row>
    <row r="335" spans="45:73" x14ac:dyDescent="0.25">
      <c r="AS335">
        <v>5.8119464091410764</v>
      </c>
      <c r="AT335">
        <v>2.8135343792905303</v>
      </c>
      <c r="AU335">
        <v>-198.14727465405917</v>
      </c>
      <c r="AV335" s="6">
        <f t="shared" si="191"/>
        <v>4.726587234290232</v>
      </c>
      <c r="AW335" s="6">
        <f t="shared" si="192"/>
        <v>1.0853591748508444</v>
      </c>
      <c r="AX335" s="6">
        <f t="shared" si="193"/>
        <v>1.5565980728893545</v>
      </c>
      <c r="AY335" s="6">
        <f t="shared" si="194"/>
        <v>1.5565980728893545</v>
      </c>
      <c r="BF335" s="39"/>
      <c r="BG335" s="6">
        <f t="shared" si="176"/>
        <v>5.5850536063818161</v>
      </c>
      <c r="BH335" s="9">
        <f t="shared" ca="1" si="177"/>
        <v>65.516603148437937</v>
      </c>
      <c r="BI335" s="9">
        <f t="shared" ca="1" si="178"/>
        <v>-359.0761418728959</v>
      </c>
      <c r="BJ335">
        <f t="shared" ca="1" si="179"/>
        <v>365.00424785258866</v>
      </c>
      <c r="BK335" s="6">
        <f t="shared" ca="1" si="180"/>
        <v>0.17949545391290242</v>
      </c>
      <c r="BL335" s="6">
        <f t="shared" ca="1" si="181"/>
        <v>-0.9837588027685451</v>
      </c>
      <c r="BM335" s="6">
        <f t="shared" ca="1" si="182"/>
        <v>-1.3903227753743996</v>
      </c>
      <c r="BN335" s="6">
        <f t="shared" ca="1" si="183"/>
        <v>-0.6651902241065526</v>
      </c>
      <c r="BO335" s="9">
        <f t="shared" ca="1" si="184"/>
        <v>-1.3991534494100932</v>
      </c>
      <c r="BP335" s="9">
        <f t="shared" ca="1" si="185"/>
        <v>-211.15710097238949</v>
      </c>
      <c r="BQ335">
        <f t="shared" ca="1" si="186"/>
        <v>211.16173640467841</v>
      </c>
      <c r="BR335">
        <f t="shared" ca="1" si="187"/>
        <v>-6.6259800342269503E-3</v>
      </c>
      <c r="BS335">
        <f t="shared" ca="1" si="188"/>
        <v>-0.99997804795334677</v>
      </c>
      <c r="BT335">
        <f t="shared" ca="1" si="189"/>
        <v>-1.5774223553141569</v>
      </c>
      <c r="BU335" s="39">
        <f t="shared" ca="1" si="190"/>
        <v>-1.5774223553141569</v>
      </c>
    </row>
    <row r="336" spans="45:73" x14ac:dyDescent="0.25">
      <c r="AS336">
        <v>5.8293997016610195</v>
      </c>
      <c r="AT336">
        <v>3.0878711995885681</v>
      </c>
      <c r="AU336">
        <v>-197.08741658251031</v>
      </c>
      <c r="AV336" s="6">
        <f t="shared" si="191"/>
        <v>4.7280552194027656</v>
      </c>
      <c r="AW336" s="6">
        <f t="shared" si="192"/>
        <v>1.1013444822582539</v>
      </c>
      <c r="AX336" s="6">
        <f t="shared" si="193"/>
        <v>1.5551300877768208</v>
      </c>
      <c r="AY336" s="6">
        <f t="shared" si="194"/>
        <v>1.5551300877768208</v>
      </c>
      <c r="BF336" s="39"/>
      <c r="BG336" s="6">
        <f t="shared" ref="BG336:BG348" si="195">AS323</f>
        <v>5.6025068989017592</v>
      </c>
      <c r="BH336" s="9">
        <f t="shared" ref="BH336:BH375" ca="1" si="196">AT323-$BG$5</f>
        <v>65.900096185715398</v>
      </c>
      <c r="BI336" s="9">
        <f t="shared" ref="BI336:BI375" ca="1" si="197">AU323-$BH$5</f>
        <v>-358.082554924617</v>
      </c>
      <c r="BJ336">
        <f t="shared" ref="BJ336:BJ375" ca="1" si="198">SQRT(POWER(BH336,2)+POWER(BI336,2))</f>
        <v>364.09605713139479</v>
      </c>
      <c r="BK336" s="6">
        <f t="shared" ref="BK336:BK375" ca="1" si="199">BH336/BJ336</f>
        <v>0.18099645655303925</v>
      </c>
      <c r="BL336" s="6">
        <f t="shared" ref="BL336:BL375" ca="1" si="200">BI336/BJ336</f>
        <v>-0.98348374806869265</v>
      </c>
      <c r="BM336" s="6">
        <f t="shared" ref="BM336:BM375" ca="1" si="201">ATAN2(BK336,BL336)</f>
        <v>-1.3887967791537299</v>
      </c>
      <c r="BN336" s="6">
        <f t="shared" ref="BN336:BN375" ca="1" si="202">BM336-$BJ$11</f>
        <v>-0.66366422788588286</v>
      </c>
      <c r="BO336" s="9">
        <f t="shared" ref="BO336:BO375" ca="1" si="203">BH336+$BG$5</f>
        <v>-1.0156604121326325</v>
      </c>
      <c r="BP336" s="9">
        <f t="shared" ref="BP336:BP375" ca="1" si="204">BI336+$BH$5</f>
        <v>-210.16351402411058</v>
      </c>
      <c r="BQ336">
        <f t="shared" ref="BQ336:BQ375" ca="1" si="205">SQRT(POWER(BO336,2)+POWER(BP336,2))</f>
        <v>210.16596820854537</v>
      </c>
      <c r="BR336">
        <f t="shared" ref="BR336:BR375" ca="1" si="206">BO336/BQ336</f>
        <v>-4.8326587829139109E-3</v>
      </c>
      <c r="BS336">
        <f t="shared" ref="BS336:BS375" ca="1" si="207">BP336/BQ336</f>
        <v>-0.9999883226363635</v>
      </c>
      <c r="BT336">
        <f t="shared" ref="BT336:BT375" ca="1" si="208">ATAN2(BR336,BS336)</f>
        <v>-1.5756290043888028</v>
      </c>
      <c r="BU336" s="39">
        <f t="shared" ref="BU336:BU375" ca="1" si="209">BT336-$U$13</f>
        <v>-1.5756290043888028</v>
      </c>
    </row>
    <row r="337" spans="45:73" x14ac:dyDescent="0.25">
      <c r="AS337">
        <v>5.8468529941809626</v>
      </c>
      <c r="AT337">
        <v>3.3580767016212403</v>
      </c>
      <c r="AU337">
        <v>-196.00846224813964</v>
      </c>
      <c r="AV337" s="6">
        <f t="shared" si="191"/>
        <v>4.7295196091920486</v>
      </c>
      <c r="AW337" s="6">
        <f t="shared" si="192"/>
        <v>1.117333384988914</v>
      </c>
      <c r="AX337" s="6">
        <f t="shared" si="193"/>
        <v>1.5536656979875378</v>
      </c>
      <c r="AY337" s="6">
        <f t="shared" si="194"/>
        <v>1.5536656979875378</v>
      </c>
      <c r="BF337" s="39"/>
      <c r="BG337" s="6">
        <f t="shared" si="195"/>
        <v>5.6199601914217023</v>
      </c>
      <c r="BH337" s="9">
        <f t="shared" ca="1" si="196"/>
        <v>66.270976670520525</v>
      </c>
      <c r="BI337" s="9">
        <f t="shared" ca="1" si="197"/>
        <v>-357.09310338434534</v>
      </c>
      <c r="BJ337">
        <f t="shared" ca="1" si="198"/>
        <v>363.19048285097921</v>
      </c>
      <c r="BK337" s="6">
        <f t="shared" ca="1" si="199"/>
        <v>0.18246892415876489</v>
      </c>
      <c r="BL337" s="6">
        <f t="shared" ca="1" si="200"/>
        <v>-0.98321162102384796</v>
      </c>
      <c r="BM337" s="6">
        <f t="shared" ca="1" si="201"/>
        <v>-1.3872993766035091</v>
      </c>
      <c r="BN337" s="6">
        <f t="shared" ca="1" si="202"/>
        <v>-0.66216682533566207</v>
      </c>
      <c r="BO337" s="9">
        <f t="shared" ca="1" si="203"/>
        <v>-0.64477992732750522</v>
      </c>
      <c r="BP337" s="9">
        <f t="shared" ca="1" si="204"/>
        <v>-209.17406248383892</v>
      </c>
      <c r="BQ337">
        <f t="shared" ca="1" si="205"/>
        <v>209.17505624989715</v>
      </c>
      <c r="BR337">
        <f t="shared" ca="1" si="206"/>
        <v>-3.0824895610746237E-3</v>
      </c>
      <c r="BS337">
        <f t="shared" ca="1" si="207"/>
        <v>-0.99999524911776749</v>
      </c>
      <c r="BT337">
        <f t="shared" ca="1" si="208"/>
        <v>-1.5738788212374955</v>
      </c>
      <c r="BU337" s="39">
        <f t="shared" ca="1" si="209"/>
        <v>-1.5738788212374955</v>
      </c>
    </row>
    <row r="338" spans="45:73" x14ac:dyDescent="0.25">
      <c r="AS338">
        <v>5.8643062867009057</v>
      </c>
      <c r="AT338">
        <v>3.624762355012189</v>
      </c>
      <c r="AU338">
        <v>-194.90735801221285</v>
      </c>
      <c r="AV338" s="6">
        <f t="shared" si="191"/>
        <v>4.7309841970543856</v>
      </c>
      <c r="AW338" s="6">
        <f t="shared" si="192"/>
        <v>1.1333220896465201</v>
      </c>
      <c r="AX338" s="6">
        <f t="shared" si="193"/>
        <v>1.5522011101252009</v>
      </c>
      <c r="AY338" s="6">
        <f t="shared" si="194"/>
        <v>1.5522011101252009</v>
      </c>
      <c r="BF338" s="39"/>
      <c r="BG338" s="6">
        <f t="shared" si="195"/>
        <v>5.6374134839416454</v>
      </c>
      <c r="BH338" s="9">
        <f t="shared" ca="1" si="196"/>
        <v>66.630090181736946</v>
      </c>
      <c r="BI338" s="9">
        <f t="shared" ca="1" si="197"/>
        <v>-356.10642620308289</v>
      </c>
      <c r="BJ338">
        <f t="shared" ca="1" si="198"/>
        <v>362.28628969470833</v>
      </c>
      <c r="BK338" s="6">
        <f t="shared" ca="1" si="199"/>
        <v>0.18391557195798064</v>
      </c>
      <c r="BL338" s="6">
        <f t="shared" ca="1" si="200"/>
        <v>-0.98294204426882092</v>
      </c>
      <c r="BM338" s="6">
        <f t="shared" ca="1" si="201"/>
        <v>-1.3858278257642258</v>
      </c>
      <c r="BN338" s="6">
        <f t="shared" ca="1" si="202"/>
        <v>-0.66069527449637877</v>
      </c>
      <c r="BO338" s="9">
        <f t="shared" ca="1" si="203"/>
        <v>-0.28566641611108423</v>
      </c>
      <c r="BP338" s="9">
        <f t="shared" ca="1" si="204"/>
        <v>-208.18738530257647</v>
      </c>
      <c r="BQ338">
        <f t="shared" ca="1" si="205"/>
        <v>208.18758129250824</v>
      </c>
      <c r="BR338">
        <f t="shared" ca="1" si="206"/>
        <v>-1.3721587730524448E-3</v>
      </c>
      <c r="BS338">
        <f t="shared" ca="1" si="207"/>
        <v>-0.99999905858970761</v>
      </c>
      <c r="BT338">
        <f t="shared" ca="1" si="208"/>
        <v>-1.5721684859985372</v>
      </c>
      <c r="BU338" s="39">
        <f t="shared" ca="1" si="209"/>
        <v>-1.5721684859985372</v>
      </c>
    </row>
    <row r="339" spans="45:73" x14ac:dyDescent="0.25">
      <c r="AS339">
        <v>5.8817595792208488</v>
      </c>
      <c r="AT339">
        <v>3.8885725616209355</v>
      </c>
      <c r="AU339">
        <v>-193.78063331713716</v>
      </c>
      <c r="AV339" s="6">
        <f t="shared" si="191"/>
        <v>4.7324531667353495</v>
      </c>
      <c r="AW339" s="6">
        <f t="shared" si="192"/>
        <v>1.1493064124854993</v>
      </c>
      <c r="AX339" s="6">
        <f t="shared" si="193"/>
        <v>1.5507321404442369</v>
      </c>
      <c r="AY339" s="6">
        <f t="shared" si="194"/>
        <v>1.5507321404442369</v>
      </c>
      <c r="BF339" s="39"/>
      <c r="BG339" s="6">
        <f t="shared" si="195"/>
        <v>5.6548667764615885</v>
      </c>
      <c r="BH339" s="9">
        <f t="shared" ca="1" si="196"/>
        <v>66.978228224008689</v>
      </c>
      <c r="BI339" s="9">
        <f t="shared" ca="1" si="197"/>
        <v>-355.12114888628417</v>
      </c>
      <c r="BJ339">
        <f t="shared" ca="1" si="198"/>
        <v>361.38222624022586</v>
      </c>
      <c r="BK339" s="6">
        <f t="shared" ca="1" si="199"/>
        <v>0.18533902156960388</v>
      </c>
      <c r="BL339" s="6">
        <f t="shared" ca="1" si="200"/>
        <v>-0.98267463948329414</v>
      </c>
      <c r="BM339" s="6">
        <f t="shared" ca="1" si="201"/>
        <v>-1.3843794768826183</v>
      </c>
      <c r="BN339" s="6">
        <f t="shared" ca="1" si="202"/>
        <v>-0.65924692561477127</v>
      </c>
      <c r="BO339" s="9">
        <f t="shared" ca="1" si="203"/>
        <v>6.2471626160657934E-2</v>
      </c>
      <c r="BP339" s="9">
        <f t="shared" ca="1" si="204"/>
        <v>-207.20210798577776</v>
      </c>
      <c r="BQ339">
        <f t="shared" ca="1" si="205"/>
        <v>207.20211740340392</v>
      </c>
      <c r="BR339">
        <f t="shared" ca="1" si="206"/>
        <v>3.0150090618539041E-4</v>
      </c>
      <c r="BS339">
        <f t="shared" ca="1" si="207"/>
        <v>-0.9999999545486008</v>
      </c>
      <c r="BT339">
        <f t="shared" ca="1" si="208"/>
        <v>-1.5704948258841434</v>
      </c>
      <c r="BU339" s="39">
        <f t="shared" ca="1" si="209"/>
        <v>-1.5704948258841434</v>
      </c>
    </row>
    <row r="340" spans="45:73" x14ac:dyDescent="0.25">
      <c r="AS340">
        <v>5.8992128717407919</v>
      </c>
      <c r="AT340">
        <v>4.1501975164851244</v>
      </c>
      <c r="AU340">
        <v>-192.62430228203363</v>
      </c>
      <c r="AV340" s="6">
        <f t="shared" si="191"/>
        <v>4.7339312025087761</v>
      </c>
      <c r="AW340" s="6">
        <f t="shared" si="192"/>
        <v>1.1652816692320158</v>
      </c>
      <c r="AX340" s="6">
        <f t="shared" si="193"/>
        <v>1.5492541046708104</v>
      </c>
      <c r="AY340" s="6">
        <f t="shared" si="194"/>
        <v>1.5492541046708104</v>
      </c>
      <c r="BF340" s="39"/>
      <c r="BG340" s="6">
        <f t="shared" si="195"/>
        <v>5.6723200689815316</v>
      </c>
      <c r="BH340" s="9">
        <f t="shared" ca="1" si="196"/>
        <v>67.31613479565182</v>
      </c>
      <c r="BI340" s="9">
        <f t="shared" ca="1" si="197"/>
        <v>-354.13587211495712</v>
      </c>
      <c r="BJ340">
        <f t="shared" ca="1" si="198"/>
        <v>360.47701441624213</v>
      </c>
      <c r="BK340" s="6">
        <f t="shared" ca="1" si="199"/>
        <v>0.18674182292777761</v>
      </c>
      <c r="BL340" s="6">
        <f t="shared" ca="1" si="200"/>
        <v>-0.98240902457663248</v>
      </c>
      <c r="BM340" s="6">
        <f t="shared" ca="1" si="201"/>
        <v>-1.3829517502717463</v>
      </c>
      <c r="BN340" s="6">
        <f t="shared" ca="1" si="202"/>
        <v>-0.65781919900389929</v>
      </c>
      <c r="BO340" s="9">
        <f t="shared" ca="1" si="203"/>
        <v>0.40037819780378925</v>
      </c>
      <c r="BP340" s="9">
        <f t="shared" ca="1" si="204"/>
        <v>-206.21683121445071</v>
      </c>
      <c r="BQ340">
        <f t="shared" ca="1" si="205"/>
        <v>206.21721988919967</v>
      </c>
      <c r="BR340">
        <f t="shared" ca="1" si="206"/>
        <v>1.9415362015786659E-3</v>
      </c>
      <c r="BS340">
        <f t="shared" ca="1" si="207"/>
        <v>-0.99999811521681281</v>
      </c>
      <c r="BT340">
        <f t="shared" ca="1" si="208"/>
        <v>-1.5688547893735254</v>
      </c>
      <c r="BU340" s="39">
        <f t="shared" ca="1" si="209"/>
        <v>-1.5688547893735254</v>
      </c>
    </row>
    <row r="341" spans="45:73" x14ac:dyDescent="0.25">
      <c r="AS341">
        <v>5.916666164260735</v>
      </c>
      <c r="AT341">
        <v>4.4103890440046118</v>
      </c>
      <c r="AU341">
        <v>-191.43373720468151</v>
      </c>
      <c r="AV341" s="6">
        <f t="shared" si="191"/>
        <v>4.7354236295392793</v>
      </c>
      <c r="AW341" s="6">
        <f t="shared" si="192"/>
        <v>1.1812425347214557</v>
      </c>
      <c r="AX341" s="6">
        <f t="shared" si="193"/>
        <v>1.5477616776403071</v>
      </c>
      <c r="AY341" s="6">
        <f t="shared" si="194"/>
        <v>1.5477616776403071</v>
      </c>
      <c r="BF341" s="39"/>
      <c r="BG341" s="6">
        <f t="shared" si="195"/>
        <v>5.6897733615014747</v>
      </c>
      <c r="BH341" s="9">
        <f t="shared" ca="1" si="196"/>
        <v>67.644512532351342</v>
      </c>
      <c r="BI341" s="9">
        <f t="shared" ca="1" si="197"/>
        <v>-353.14915947884322</v>
      </c>
      <c r="BJ341">
        <f t="shared" ca="1" si="198"/>
        <v>359.56933812041439</v>
      </c>
      <c r="BK341" s="6">
        <f t="shared" ca="1" si="199"/>
        <v>0.18812647620609466</v>
      </c>
      <c r="BL341" s="6">
        <f t="shared" ca="1" si="200"/>
        <v>-0.98214481058053638</v>
      </c>
      <c r="BM341" s="6">
        <f t="shared" ca="1" si="201"/>
        <v>-1.3815421141251021</v>
      </c>
      <c r="BN341" s="6">
        <f t="shared" ca="1" si="202"/>
        <v>-0.65640956285725505</v>
      </c>
      <c r="BO341" s="9">
        <f t="shared" ca="1" si="203"/>
        <v>0.72875593450331166</v>
      </c>
      <c r="BP341" s="9">
        <f t="shared" ca="1" si="204"/>
        <v>-205.2301185783368</v>
      </c>
      <c r="BQ341">
        <f t="shared" ca="1" si="205"/>
        <v>205.23141245162805</v>
      </c>
      <c r="BR341">
        <f t="shared" ca="1" si="206"/>
        <v>3.5508985968465017E-3</v>
      </c>
      <c r="BS341">
        <f t="shared" ca="1" si="207"/>
        <v>-0.99999369553970419</v>
      </c>
      <c r="BT341">
        <f t="shared" ca="1" si="208"/>
        <v>-1.5672454207358648</v>
      </c>
      <c r="BU341" s="39">
        <f t="shared" ca="1" si="209"/>
        <v>-1.5672454207358648</v>
      </c>
    </row>
    <row r="342" spans="45:73" x14ac:dyDescent="0.25">
      <c r="AS342">
        <v>5.9341194567806781</v>
      </c>
      <c r="AT342">
        <v>4.669980394602109</v>
      </c>
      <c r="AU342">
        <v>-190.20350372144097</v>
      </c>
      <c r="AV342" s="6">
        <f t="shared" si="191"/>
        <v>4.7369365951494622</v>
      </c>
      <c r="AW342" s="6">
        <f t="shared" si="192"/>
        <v>1.1971828616312159</v>
      </c>
      <c r="AX342" s="6">
        <f t="shared" si="193"/>
        <v>1.5462487120301243</v>
      </c>
      <c r="AY342" s="6">
        <f t="shared" si="194"/>
        <v>1.5462487120301243</v>
      </c>
      <c r="BF342" s="39"/>
      <c r="BG342" s="6">
        <f t="shared" si="195"/>
        <v>5.7072266540214178</v>
      </c>
      <c r="BH342" s="9">
        <f t="shared" ca="1" si="196"/>
        <v>67.964028491505459</v>
      </c>
      <c r="BI342" s="9">
        <f t="shared" ca="1" si="197"/>
        <v>-352.15952389177698</v>
      </c>
      <c r="BJ342">
        <f t="shared" ca="1" si="198"/>
        <v>358.65783058017456</v>
      </c>
      <c r="BK342" s="6">
        <f t="shared" ca="1" si="199"/>
        <v>0.18949545415351735</v>
      </c>
      <c r="BL342" s="6">
        <f t="shared" ca="1" si="200"/>
        <v>-0.98188159818541887</v>
      </c>
      <c r="BM342" s="6">
        <f t="shared" ca="1" si="201"/>
        <v>-1.3801480618663253</v>
      </c>
      <c r="BN342" s="6">
        <f t="shared" ca="1" si="202"/>
        <v>-0.65501551059847829</v>
      </c>
      <c r="BO342" s="9">
        <f t="shared" ca="1" si="203"/>
        <v>1.0482718936574287</v>
      </c>
      <c r="BP342" s="9">
        <f t="shared" ca="1" si="204"/>
        <v>-204.24048299127057</v>
      </c>
      <c r="BQ342">
        <f t="shared" ca="1" si="205"/>
        <v>204.24317312084267</v>
      </c>
      <c r="BR342">
        <f t="shared" ca="1" si="206"/>
        <v>5.132469681310755E-3</v>
      </c>
      <c r="BS342">
        <f t="shared" ca="1" si="207"/>
        <v>-0.99998682879074485</v>
      </c>
      <c r="BT342">
        <f t="shared" ca="1" si="208"/>
        <v>-1.5656638345798564</v>
      </c>
      <c r="BU342" s="39">
        <f t="shared" ca="1" si="209"/>
        <v>-1.5656638345798564</v>
      </c>
    </row>
    <row r="343" spans="45:73" x14ac:dyDescent="0.25">
      <c r="AS343">
        <v>5.9515727493006212</v>
      </c>
      <c r="AT343">
        <v>4.9299114351780329</v>
      </c>
      <c r="AU343">
        <v>-188.92714309362285</v>
      </c>
      <c r="AV343" s="6">
        <f t="shared" si="191"/>
        <v>4.7384773066563115</v>
      </c>
      <c r="AW343" s="6">
        <f t="shared" si="192"/>
        <v>1.2130954426443097</v>
      </c>
      <c r="AX343" s="6">
        <f t="shared" si="193"/>
        <v>1.5447080005232749</v>
      </c>
      <c r="AY343" s="6">
        <f t="shared" si="194"/>
        <v>1.5447080005232749</v>
      </c>
      <c r="BF343" s="39"/>
      <c r="BG343" s="6">
        <f t="shared" si="195"/>
        <v>5.7246799465413609</v>
      </c>
      <c r="BH343" s="9">
        <f t="shared" ca="1" si="196"/>
        <v>68.275319721065713</v>
      </c>
      <c r="BI343" s="9">
        <f t="shared" ca="1" si="197"/>
        <v>-351.16541239775711</v>
      </c>
      <c r="BJ343">
        <f t="shared" ca="1" si="198"/>
        <v>357.74106019228566</v>
      </c>
      <c r="BK343" s="6">
        <f t="shared" ca="1" si="199"/>
        <v>0.19085122542088895</v>
      </c>
      <c r="BL343" s="6">
        <f t="shared" ca="1" si="200"/>
        <v>-0.98161897381588192</v>
      </c>
      <c r="BM343" s="6">
        <f t="shared" ca="1" si="201"/>
        <v>-1.3787670884444279</v>
      </c>
      <c r="BN343" s="6">
        <f t="shared" ca="1" si="202"/>
        <v>-0.65363453717658082</v>
      </c>
      <c r="BO343" s="9">
        <f t="shared" ca="1" si="203"/>
        <v>1.3595631232176828</v>
      </c>
      <c r="BP343" s="9">
        <f t="shared" ca="1" si="204"/>
        <v>-203.24637149725069</v>
      </c>
      <c r="BQ343">
        <f t="shared" ca="1" si="205"/>
        <v>203.25091866627432</v>
      </c>
      <c r="BR343">
        <f t="shared" ca="1" si="206"/>
        <v>6.6890872235121504E-3</v>
      </c>
      <c r="BS343">
        <f t="shared" ca="1" si="207"/>
        <v>-0.99997762780580057</v>
      </c>
      <c r="BT343">
        <f t="shared" ca="1" si="208"/>
        <v>-1.5641071896877519</v>
      </c>
      <c r="BU343" s="39">
        <f t="shared" ca="1" si="209"/>
        <v>-1.5641071896877519</v>
      </c>
    </row>
    <row r="344" spans="45:73" x14ac:dyDescent="0.25">
      <c r="AS344">
        <v>5.9690260418205643</v>
      </c>
      <c r="AT344">
        <v>5.1912612330088761</v>
      </c>
      <c r="AU344">
        <v>-187.59688037710069</v>
      </c>
      <c r="AV344" s="6">
        <f t="shared" si="191"/>
        <v>4.7400543484795019</v>
      </c>
      <c r="AW344" s="6">
        <f t="shared" si="192"/>
        <v>1.2289716933410624</v>
      </c>
      <c r="AX344" s="6">
        <f t="shared" si="193"/>
        <v>1.5431309587000845</v>
      </c>
      <c r="AY344" s="6">
        <f t="shared" si="194"/>
        <v>1.5431309587000845</v>
      </c>
      <c r="BF344" s="39"/>
      <c r="BG344" s="6">
        <f t="shared" si="195"/>
        <v>5.742133239061304</v>
      </c>
      <c r="BH344" s="9">
        <f t="shared" ca="1" si="196"/>
        <v>68.578998701516667</v>
      </c>
      <c r="BI344" s="9">
        <f t="shared" ca="1" si="197"/>
        <v>-350.16518885020315</v>
      </c>
      <c r="BJ344">
        <f t="shared" ca="1" si="198"/>
        <v>356.81751434788214</v>
      </c>
      <c r="BK344" s="6">
        <f t="shared" ca="1" si="199"/>
        <v>0.19219627945352205</v>
      </c>
      <c r="BL344" s="6">
        <f t="shared" ca="1" si="200"/>
        <v>-0.98135650513165884</v>
      </c>
      <c r="BM344" s="6">
        <f t="shared" ca="1" si="201"/>
        <v>-1.3773966649862128</v>
      </c>
      <c r="BN344" s="6">
        <f t="shared" ca="1" si="202"/>
        <v>-0.65226411371836579</v>
      </c>
      <c r="BO344" s="9">
        <f t="shared" ca="1" si="203"/>
        <v>1.6632421036686367</v>
      </c>
      <c r="BP344" s="9">
        <f t="shared" ca="1" si="204"/>
        <v>-202.24614794969673</v>
      </c>
      <c r="BQ344">
        <f t="shared" ca="1" si="205"/>
        <v>202.25298696134513</v>
      </c>
      <c r="BR344">
        <f t="shared" ca="1" si="206"/>
        <v>8.2235725101380969E-3</v>
      </c>
      <c r="BS344">
        <f t="shared" ca="1" si="207"/>
        <v>-0.99996618585588704</v>
      </c>
      <c r="BT344">
        <f t="shared" ca="1" si="208"/>
        <v>-1.5625726615924829</v>
      </c>
      <c r="BU344" s="39">
        <f t="shared" ca="1" si="209"/>
        <v>-1.5625726615924829</v>
      </c>
    </row>
    <row r="345" spans="45:73" x14ac:dyDescent="0.25">
      <c r="AS345">
        <v>5.9864793343405074</v>
      </c>
      <c r="AT345">
        <v>5.4039590291943655</v>
      </c>
      <c r="AU345">
        <v>-184.45113739518729</v>
      </c>
      <c r="AV345" s="6">
        <f t="shared" si="191"/>
        <v>4.7416781121796063</v>
      </c>
      <c r="AW345" s="6">
        <f t="shared" si="192"/>
        <v>1.2448012221609011</v>
      </c>
      <c r="AX345" s="6">
        <f t="shared" si="193"/>
        <v>1.5415071949999801</v>
      </c>
      <c r="AY345" s="6">
        <f t="shared" si="194"/>
        <v>1.5415071949999801</v>
      </c>
      <c r="BF345" s="39"/>
      <c r="BG345" s="6">
        <f t="shared" si="195"/>
        <v>5.7595865315812471</v>
      </c>
      <c r="BH345" s="9">
        <f t="shared" ca="1" si="196"/>
        <v>68.875658781361594</v>
      </c>
      <c r="BI345" s="9">
        <f t="shared" ca="1" si="197"/>
        <v>-349.15711389777135</v>
      </c>
      <c r="BJ345">
        <f t="shared" ca="1" si="198"/>
        <v>355.88558071097492</v>
      </c>
      <c r="BK345" s="6">
        <f t="shared" ca="1" si="199"/>
        <v>0.19353315367193122</v>
      </c>
      <c r="BL345" s="6">
        <f t="shared" ca="1" si="200"/>
        <v>-0.98109373580193471</v>
      </c>
      <c r="BM345" s="6">
        <f t="shared" ca="1" si="201"/>
        <v>-1.3760342110663906</v>
      </c>
      <c r="BN345" s="6">
        <f t="shared" ca="1" si="202"/>
        <v>-0.65090165979854353</v>
      </c>
      <c r="BO345" s="9">
        <f t="shared" ca="1" si="203"/>
        <v>1.959902183513563</v>
      </c>
      <c r="BP345" s="9">
        <f t="shared" ca="1" si="204"/>
        <v>-201.23807299726494</v>
      </c>
      <c r="BQ345">
        <f t="shared" ca="1" si="205"/>
        <v>201.24761673178014</v>
      </c>
      <c r="BR345">
        <f t="shared" ca="1" si="206"/>
        <v>9.7387597197023789E-3</v>
      </c>
      <c r="BS345">
        <f t="shared" ca="1" si="207"/>
        <v>-0.99995257715509778</v>
      </c>
      <c r="BT345">
        <f t="shared" ca="1" si="208"/>
        <v>-1.56105741312571</v>
      </c>
      <c r="BU345" s="39">
        <f t="shared" ca="1" si="209"/>
        <v>-1.56105741312571</v>
      </c>
    </row>
    <row r="346" spans="45:73" x14ac:dyDescent="0.25">
      <c r="AS346">
        <v>6.0039326268604505</v>
      </c>
      <c r="AT346">
        <v>5.5866053183865789</v>
      </c>
      <c r="AU346">
        <v>-180.3159249647826</v>
      </c>
      <c r="AV346" s="6">
        <f t="shared" si="191"/>
        <v>4.7433613906879462</v>
      </c>
      <c r="AW346" s="6">
        <f t="shared" si="192"/>
        <v>1.2605712361725043</v>
      </c>
      <c r="AX346" s="6">
        <f t="shared" si="193"/>
        <v>1.5398239164916403</v>
      </c>
      <c r="AY346" s="6">
        <f t="shared" si="194"/>
        <v>1.5398239164916403</v>
      </c>
      <c r="BF346" s="39"/>
      <c r="BG346" s="6">
        <f t="shared" si="195"/>
        <v>5.7770398241011902</v>
      </c>
      <c r="BH346" s="9">
        <f t="shared" ca="1" si="196"/>
        <v>69.165879742320428</v>
      </c>
      <c r="BI346" s="9">
        <f t="shared" ca="1" si="197"/>
        <v>-348.13932157000335</v>
      </c>
      <c r="BJ346">
        <f t="shared" ca="1" si="198"/>
        <v>354.94352528782849</v>
      </c>
      <c r="BK346" s="6">
        <f t="shared" ca="1" si="199"/>
        <v>0.19486446382204856</v>
      </c>
      <c r="BL346" s="6">
        <f t="shared" ca="1" si="200"/>
        <v>-0.98083017935794847</v>
      </c>
      <c r="BM346" s="6">
        <f t="shared" ca="1" si="201"/>
        <v>-1.3746770636913157</v>
      </c>
      <c r="BN346" s="6">
        <f t="shared" ca="1" si="202"/>
        <v>-0.64954451242346867</v>
      </c>
      <c r="BO346" s="9">
        <f t="shared" ca="1" si="203"/>
        <v>2.250123144472397</v>
      </c>
      <c r="BP346" s="9">
        <f t="shared" ca="1" si="204"/>
        <v>-200.22028066949693</v>
      </c>
      <c r="BQ346">
        <f t="shared" ca="1" si="205"/>
        <v>200.23292397989252</v>
      </c>
      <c r="BR346">
        <f t="shared" ca="1" si="206"/>
        <v>1.1237528273314109E-2</v>
      </c>
      <c r="BS346">
        <f t="shared" ca="1" si="207"/>
        <v>-0.99993685698563306</v>
      </c>
      <c r="BT346">
        <f t="shared" ca="1" si="208"/>
        <v>-1.5595585619918053</v>
      </c>
      <c r="BU346" s="39">
        <f t="shared" ca="1" si="209"/>
        <v>-1.5595585619918053</v>
      </c>
    </row>
    <row r="347" spans="45:73" x14ac:dyDescent="0.25">
      <c r="AS347">
        <v>6.0213859193803936</v>
      </c>
      <c r="AT347">
        <v>5.7648791873592931</v>
      </c>
      <c r="AU347">
        <v>-176.06485600463225</v>
      </c>
      <c r="AV347" s="6">
        <f t="shared" si="191"/>
        <v>4.7451202162926602</v>
      </c>
      <c r="AW347" s="6">
        <f t="shared" si="192"/>
        <v>1.2762657030877333</v>
      </c>
      <c r="AX347" s="6">
        <f t="shared" si="193"/>
        <v>1.5380650908869262</v>
      </c>
      <c r="AY347" s="6">
        <f t="shared" si="194"/>
        <v>1.5380650908869262</v>
      </c>
      <c r="BF347" s="39"/>
      <c r="BG347" s="6">
        <f t="shared" si="195"/>
        <v>5.7944931166211333</v>
      </c>
      <c r="BH347" s="9">
        <f t="shared" ca="1" si="196"/>
        <v>69.450233620300907</v>
      </c>
      <c r="BI347" s="9">
        <f t="shared" ca="1" si="197"/>
        <v>-347.10979148761947</v>
      </c>
      <c r="BJ347">
        <f t="shared" ca="1" si="198"/>
        <v>353.98946636375081</v>
      </c>
      <c r="BK347" s="6">
        <f t="shared" ca="1" si="199"/>
        <v>0.19619293854618705</v>
      </c>
      <c r="BL347" s="6">
        <f t="shared" ca="1" si="200"/>
        <v>-0.9805653118811678</v>
      </c>
      <c r="BM347" s="6">
        <f t="shared" ca="1" si="201"/>
        <v>-1.3733224419162311</v>
      </c>
      <c r="BN347" s="6">
        <f t="shared" ca="1" si="202"/>
        <v>-0.64818989064838406</v>
      </c>
      <c r="BO347" s="9">
        <f t="shared" ca="1" si="203"/>
        <v>2.5344770224528759</v>
      </c>
      <c r="BP347" s="9">
        <f t="shared" ca="1" si="204"/>
        <v>-199.19075058711306</v>
      </c>
      <c r="BQ347">
        <f t="shared" ca="1" si="205"/>
        <v>199.20687411139915</v>
      </c>
      <c r="BR347">
        <f t="shared" ca="1" si="206"/>
        <v>1.2722839177906895E-2</v>
      </c>
      <c r="BS347">
        <f t="shared" ca="1" si="207"/>
        <v>-0.99991906140609854</v>
      </c>
      <c r="BT347">
        <f t="shared" ca="1" si="208"/>
        <v>-1.5580731443496385</v>
      </c>
      <c r="BU347" s="39">
        <f t="shared" ca="1" si="209"/>
        <v>-1.5580731443496385</v>
      </c>
    </row>
    <row r="348" spans="45:73" x14ac:dyDescent="0.25">
      <c r="AS348">
        <v>6.0388392119003367</v>
      </c>
      <c r="AT348">
        <v>5.9400880789785386</v>
      </c>
      <c r="AU348">
        <v>-171.67940754750788</v>
      </c>
      <c r="AV348" s="6">
        <f t="shared" si="191"/>
        <v>4.7469750700534155</v>
      </c>
      <c r="AW348" s="6">
        <f t="shared" si="192"/>
        <v>1.2918641418469212</v>
      </c>
      <c r="AX348" s="6">
        <f t="shared" si="193"/>
        <v>1.536210237126171</v>
      </c>
      <c r="AY348" s="6">
        <f t="shared" si="194"/>
        <v>1.536210237126171</v>
      </c>
      <c r="BF348" s="39"/>
      <c r="BG348" s="6">
        <f t="shared" si="195"/>
        <v>5.8119464091410764</v>
      </c>
      <c r="BH348" s="9">
        <f t="shared" ca="1" si="196"/>
        <v>69.729290977138561</v>
      </c>
      <c r="BI348" s="9">
        <f t="shared" ca="1" si="197"/>
        <v>-346.06631555456556</v>
      </c>
      <c r="BJ348">
        <f t="shared" ca="1" si="198"/>
        <v>353.02134323817677</v>
      </c>
      <c r="BK348" s="6">
        <f t="shared" ca="1" si="199"/>
        <v>0.19752145957388625</v>
      </c>
      <c r="BL348" s="6">
        <f t="shared" ca="1" si="200"/>
        <v>-0.98029856319786657</v>
      </c>
      <c r="BM348" s="6">
        <f t="shared" ca="1" si="201"/>
        <v>-1.3719674056576656</v>
      </c>
      <c r="BN348" s="6">
        <f t="shared" ca="1" si="202"/>
        <v>-0.64683485438981858</v>
      </c>
      <c r="BO348" s="9">
        <f t="shared" ca="1" si="203"/>
        <v>2.8135343792905303</v>
      </c>
      <c r="BP348" s="9">
        <f t="shared" ca="1" si="204"/>
        <v>-198.14727465405915</v>
      </c>
      <c r="BQ348">
        <f t="shared" ca="1" si="205"/>
        <v>198.16724862735165</v>
      </c>
      <c r="BR348">
        <f t="shared" ca="1" si="206"/>
        <v>1.41977768717035E-2</v>
      </c>
      <c r="BS348">
        <f t="shared" ca="1" si="207"/>
        <v>-0.99989920648628439</v>
      </c>
      <c r="BT348">
        <f t="shared" ca="1" si="208"/>
        <v>-1.5565980728893543</v>
      </c>
      <c r="BU348" s="39">
        <f t="shared" ca="1" si="209"/>
        <v>-1.5565980728893543</v>
      </c>
    </row>
    <row r="349" spans="45:73" x14ac:dyDescent="0.25">
      <c r="AS349">
        <v>6.0562925044202798</v>
      </c>
      <c r="AT349">
        <v>6.1138682437831591</v>
      </c>
      <c r="AU349">
        <v>-167.13693281363345</v>
      </c>
      <c r="AV349" s="6">
        <f t="shared" si="191"/>
        <v>4.7489526730836911</v>
      </c>
      <c r="AW349" s="6">
        <f t="shared" si="192"/>
        <v>1.3073398313365887</v>
      </c>
      <c r="AX349" s="6">
        <f t="shared" si="193"/>
        <v>1.5342326340958954</v>
      </c>
      <c r="AY349" s="6">
        <f t="shared" si="194"/>
        <v>1.5342326340958954</v>
      </c>
      <c r="BF349" s="39"/>
      <c r="BG349" s="6">
        <f>AS336</f>
        <v>5.8293997016610195</v>
      </c>
      <c r="BH349" s="9">
        <f t="shared" ca="1" si="196"/>
        <v>70.003627797436593</v>
      </c>
      <c r="BI349" s="9">
        <f t="shared" ca="1" si="197"/>
        <v>-345.00645748301673</v>
      </c>
      <c r="BJ349">
        <f t="shared" ca="1" si="198"/>
        <v>352.03687819571218</v>
      </c>
      <c r="BK349" s="6">
        <f t="shared" ca="1" si="199"/>
        <v>0.19885310924305669</v>
      </c>
      <c r="BL349" s="6">
        <f t="shared" ca="1" si="200"/>
        <v>-0.98002930616608031</v>
      </c>
      <c r="BM349" s="6">
        <f t="shared" ca="1" si="201"/>
        <v>-1.3706088069404279</v>
      </c>
      <c r="BN349" s="6">
        <f t="shared" ca="1" si="202"/>
        <v>-0.64547625567258082</v>
      </c>
      <c r="BO349" s="9">
        <f t="shared" ca="1" si="203"/>
        <v>3.0878711995885624</v>
      </c>
      <c r="BP349" s="9">
        <f t="shared" ca="1" si="204"/>
        <v>-197.08741658251031</v>
      </c>
      <c r="BQ349">
        <f t="shared" ca="1" si="205"/>
        <v>197.11160474135764</v>
      </c>
      <c r="BR349">
        <f t="shared" ca="1" si="206"/>
        <v>1.5665598195704154E-2</v>
      </c>
      <c r="BS349">
        <f t="shared" ca="1" si="207"/>
        <v>-0.99987728698734368</v>
      </c>
      <c r="BT349">
        <f t="shared" ca="1" si="208"/>
        <v>-1.5551300877768208</v>
      </c>
      <c r="BU349" s="39">
        <f t="shared" ca="1" si="209"/>
        <v>-1.5551300877768208</v>
      </c>
    </row>
    <row r="350" spans="45:73" x14ac:dyDescent="0.25">
      <c r="AS350">
        <v>6.0737457969402229</v>
      </c>
      <c r="AT350">
        <v>6.2883287269504473</v>
      </c>
      <c r="AU350">
        <v>-162.4090786117348</v>
      </c>
      <c r="AV350" s="6">
        <f t="shared" si="191"/>
        <v>4.7510887204916168</v>
      </c>
      <c r="AW350" s="6">
        <f t="shared" si="192"/>
        <v>1.3226570764486061</v>
      </c>
      <c r="AX350" s="6">
        <f t="shared" si="193"/>
        <v>1.5320965866879697</v>
      </c>
      <c r="AY350" s="6">
        <f t="shared" si="194"/>
        <v>1.5320965866879697</v>
      </c>
      <c r="BF350" s="39"/>
      <c r="BG350" s="6">
        <f t="shared" ref="BG350:BG361" si="210">AS337</f>
        <v>5.8468529941809626</v>
      </c>
      <c r="BH350" s="9">
        <f t="shared" ca="1" si="196"/>
        <v>70.273833299469274</v>
      </c>
      <c r="BI350" s="9">
        <f t="shared" ca="1" si="197"/>
        <v>-343.92750314864605</v>
      </c>
      <c r="BJ350">
        <f t="shared" ca="1" si="198"/>
        <v>351.03352983534711</v>
      </c>
      <c r="BK350" s="6">
        <f t="shared" ca="1" si="199"/>
        <v>0.20019122769392239</v>
      </c>
      <c r="BL350" s="6">
        <f t="shared" ca="1" si="200"/>
        <v>-0.97975684348434133</v>
      </c>
      <c r="BM350" s="6">
        <f t="shared" ca="1" si="201"/>
        <v>-1.369243231167621</v>
      </c>
      <c r="BN350" s="6">
        <f t="shared" ca="1" si="202"/>
        <v>-0.644110679899774</v>
      </c>
      <c r="BO350" s="9">
        <f t="shared" ca="1" si="203"/>
        <v>3.3580767016212434</v>
      </c>
      <c r="BP350" s="9">
        <f t="shared" ca="1" si="204"/>
        <v>-196.00846224813964</v>
      </c>
      <c r="BQ350">
        <f t="shared" ca="1" si="205"/>
        <v>196.03722593429637</v>
      </c>
      <c r="BR350">
        <f t="shared" ca="1" si="206"/>
        <v>1.7129790965042184E-2</v>
      </c>
      <c r="BS350">
        <f t="shared" ca="1" si="207"/>
        <v>-0.99985327436654114</v>
      </c>
      <c r="BT350">
        <f t="shared" ca="1" si="208"/>
        <v>-1.5536656979875376</v>
      </c>
      <c r="BU350" s="39">
        <f t="shared" ca="1" si="209"/>
        <v>-1.5536656979875376</v>
      </c>
    </row>
    <row r="351" spans="45:73" x14ac:dyDescent="0.25">
      <c r="AS351">
        <v>6.091199089460166</v>
      </c>
      <c r="AT351">
        <v>6.4662701183811686</v>
      </c>
      <c r="AU351">
        <v>-157.45934547858343</v>
      </c>
      <c r="AV351" s="6">
        <f t="shared" si="191"/>
        <v>4.7534322019287334</v>
      </c>
      <c r="AW351" s="6">
        <f t="shared" si="192"/>
        <v>1.3377668875314326</v>
      </c>
      <c r="AX351" s="6">
        <f t="shared" si="193"/>
        <v>1.5297531052508531</v>
      </c>
      <c r="AY351" s="6">
        <f t="shared" si="194"/>
        <v>1.5297531052508531</v>
      </c>
      <c r="BF351" s="39"/>
      <c r="BG351" s="6">
        <f t="shared" si="210"/>
        <v>5.8643062867009057</v>
      </c>
      <c r="BH351" s="9">
        <f t="shared" ca="1" si="196"/>
        <v>70.540518952860225</v>
      </c>
      <c r="BI351" s="9">
        <f t="shared" ca="1" si="197"/>
        <v>-342.82639891271924</v>
      </c>
      <c r="BJ351">
        <f t="shared" ca="1" si="198"/>
        <v>350.0084350492167</v>
      </c>
      <c r="BK351" s="6">
        <f t="shared" ca="1" si="199"/>
        <v>0.2015394827354407</v>
      </c>
      <c r="BL351" s="6">
        <f t="shared" ca="1" si="200"/>
        <v>-0.97948039127832009</v>
      </c>
      <c r="BM351" s="6">
        <f t="shared" ca="1" si="201"/>
        <v>-1.3678669253229054</v>
      </c>
      <c r="BN351" s="6">
        <f t="shared" ca="1" si="202"/>
        <v>-0.6427343740550584</v>
      </c>
      <c r="BO351" s="9">
        <f t="shared" ca="1" si="203"/>
        <v>3.6247623550121943</v>
      </c>
      <c r="BP351" s="9">
        <f t="shared" ca="1" si="204"/>
        <v>-194.90735801221282</v>
      </c>
      <c r="BQ351">
        <f t="shared" ca="1" si="205"/>
        <v>194.94106060404826</v>
      </c>
      <c r="BR351">
        <f t="shared" ca="1" si="206"/>
        <v>1.8594145039431065E-2</v>
      </c>
      <c r="BS351">
        <f t="shared" ca="1" si="207"/>
        <v>-0.99982711394033152</v>
      </c>
      <c r="BT351">
        <f t="shared" ca="1" si="208"/>
        <v>-1.5522011101252009</v>
      </c>
      <c r="BU351" s="39">
        <f t="shared" ca="1" si="209"/>
        <v>-1.5522011101252009</v>
      </c>
    </row>
    <row r="352" spans="45:73" x14ac:dyDescent="0.25">
      <c r="AS352">
        <v>6.1086523819801091</v>
      </c>
      <c r="AT352">
        <v>6.6515280649347037</v>
      </c>
      <c r="AU352">
        <v>-152.2391691390018</v>
      </c>
      <c r="AV352" s="6">
        <f t="shared" si="191"/>
        <v>4.7560525165780767</v>
      </c>
      <c r="AW352" s="6">
        <f t="shared" si="192"/>
        <v>1.3525998654020324</v>
      </c>
      <c r="AX352" s="6">
        <f t="shared" si="193"/>
        <v>1.5271327906015097</v>
      </c>
      <c r="AY352" s="6">
        <f t="shared" si="194"/>
        <v>1.5271327906015097</v>
      </c>
      <c r="BF352" s="39"/>
      <c r="BG352" s="6">
        <f t="shared" si="210"/>
        <v>5.8817595792208488</v>
      </c>
      <c r="BH352" s="9">
        <f t="shared" ca="1" si="196"/>
        <v>70.804329159468963</v>
      </c>
      <c r="BI352" s="9">
        <f t="shared" ca="1" si="197"/>
        <v>-341.69967421764358</v>
      </c>
      <c r="BJ352">
        <f t="shared" ca="1" si="198"/>
        <v>348.95833617806892</v>
      </c>
      <c r="BK352" s="6">
        <f t="shared" ca="1" si="199"/>
        <v>0.20290195653425638</v>
      </c>
      <c r="BL352" s="6">
        <f t="shared" ca="1" si="200"/>
        <v>-0.97919905843223265</v>
      </c>
      <c r="BM352" s="6">
        <f t="shared" ca="1" si="201"/>
        <v>-1.3664757088282786</v>
      </c>
      <c r="BN352" s="6">
        <f t="shared" ca="1" si="202"/>
        <v>-0.64134315756043159</v>
      </c>
      <c r="BO352" s="9">
        <f t="shared" ca="1" si="203"/>
        <v>3.8885725616209328</v>
      </c>
      <c r="BP352" s="9">
        <f t="shared" ca="1" si="204"/>
        <v>-193.78063331713716</v>
      </c>
      <c r="BQ352">
        <f t="shared" ca="1" si="205"/>
        <v>193.81964514815766</v>
      </c>
      <c r="BR352">
        <f t="shared" ca="1" si="206"/>
        <v>2.0062840165910267E-2</v>
      </c>
      <c r="BS352">
        <f t="shared" ca="1" si="207"/>
        <v>-0.99979872096561373</v>
      </c>
      <c r="BT352">
        <f t="shared" ca="1" si="208"/>
        <v>-1.5507321404442369</v>
      </c>
      <c r="BU352" s="39">
        <f t="shared" ca="1" si="209"/>
        <v>-1.5507321404442369</v>
      </c>
    </row>
    <row r="353" spans="45:73" x14ac:dyDescent="0.25">
      <c r="AS353">
        <v>6.1261056745000522</v>
      </c>
      <c r="AT353">
        <v>6.849533904440781</v>
      </c>
      <c r="AU353">
        <v>-146.68132074822</v>
      </c>
      <c r="AV353" s="6">
        <f t="shared" si="191"/>
        <v>4.759051784595334</v>
      </c>
      <c r="AW353" s="6">
        <f t="shared" si="192"/>
        <v>1.3670538899047182</v>
      </c>
      <c r="AX353" s="6">
        <f t="shared" si="193"/>
        <v>1.5241335225842525</v>
      </c>
      <c r="AY353" s="6">
        <f t="shared" si="194"/>
        <v>1.5241335225842525</v>
      </c>
      <c r="BF353" s="39"/>
      <c r="BG353" s="6">
        <f t="shared" si="210"/>
        <v>5.8992128717407919</v>
      </c>
      <c r="BH353" s="9">
        <f t="shared" ca="1" si="196"/>
        <v>71.065954114333152</v>
      </c>
      <c r="BI353" s="9">
        <f t="shared" ca="1" si="197"/>
        <v>-340.54334318254007</v>
      </c>
      <c r="BJ353">
        <f t="shared" ca="1" si="198"/>
        <v>347.87948835785323</v>
      </c>
      <c r="BK353" s="6">
        <f t="shared" ca="1" si="199"/>
        <v>0.20428325466901265</v>
      </c>
      <c r="BL353" s="6">
        <f t="shared" ca="1" si="200"/>
        <v>-0.97891182026872858</v>
      </c>
      <c r="BM353" s="6">
        <f t="shared" ca="1" si="201"/>
        <v>-1.3650648613418985</v>
      </c>
      <c r="BN353" s="6">
        <f t="shared" ca="1" si="202"/>
        <v>-0.63993231007405149</v>
      </c>
      <c r="BO353" s="9">
        <f t="shared" ca="1" si="203"/>
        <v>4.1501975164851217</v>
      </c>
      <c r="BP353" s="9">
        <f t="shared" ca="1" si="204"/>
        <v>-192.62430228203365</v>
      </c>
      <c r="BQ353">
        <f t="shared" ca="1" si="205"/>
        <v>192.66900624923073</v>
      </c>
      <c r="BR353">
        <f t="shared" ca="1" si="206"/>
        <v>2.1540555989148318E-2</v>
      </c>
      <c r="BS353">
        <f t="shared" ca="1" si="207"/>
        <v>-0.99976797530610995</v>
      </c>
      <c r="BT353">
        <f t="shared" ca="1" si="208"/>
        <v>-1.5492541046708104</v>
      </c>
      <c r="BU353" s="39">
        <f t="shared" ca="1" si="209"/>
        <v>-1.5492541046708104</v>
      </c>
    </row>
    <row r="354" spans="45:73" x14ac:dyDescent="0.25">
      <c r="AS354">
        <v>6.1435589670199953</v>
      </c>
      <c r="AT354">
        <v>7.0467663858619645</v>
      </c>
      <c r="AU354">
        <v>-139.67618490897144</v>
      </c>
      <c r="AV354" s="6">
        <f t="shared" si="191"/>
        <v>4.762796978335663</v>
      </c>
      <c r="AW354" s="6">
        <f t="shared" si="192"/>
        <v>1.3807619886843323</v>
      </c>
      <c r="AX354" s="6">
        <f t="shared" si="193"/>
        <v>1.5203883288439235</v>
      </c>
      <c r="AY354" s="6">
        <f t="shared" si="194"/>
        <v>1.5203883288439235</v>
      </c>
      <c r="BF354" s="39"/>
      <c r="BG354" s="6">
        <f t="shared" si="210"/>
        <v>5.916666164260735</v>
      </c>
      <c r="BH354" s="9">
        <f t="shared" ca="1" si="196"/>
        <v>71.326145641852648</v>
      </c>
      <c r="BI354" s="9">
        <f t="shared" ca="1" si="197"/>
        <v>-339.35277810518789</v>
      </c>
      <c r="BJ354">
        <f t="shared" ca="1" si="198"/>
        <v>346.76754037803431</v>
      </c>
      <c r="BK354" s="6">
        <f t="shared" ca="1" si="199"/>
        <v>0.20568864537925113</v>
      </c>
      <c r="BL354" s="6">
        <f t="shared" ca="1" si="200"/>
        <v>-0.97861748459857834</v>
      </c>
      <c r="BM354" s="6">
        <f t="shared" ca="1" si="201"/>
        <v>-1.3636289794214802</v>
      </c>
      <c r="BN354" s="6">
        <f t="shared" ca="1" si="202"/>
        <v>-0.63849642815363317</v>
      </c>
      <c r="BO354" s="9">
        <f t="shared" ca="1" si="203"/>
        <v>4.4103890440046172</v>
      </c>
      <c r="BP354" s="9">
        <f t="shared" ca="1" si="204"/>
        <v>-191.43373720468148</v>
      </c>
      <c r="BQ354">
        <f t="shared" ca="1" si="205"/>
        <v>191.48453533293628</v>
      </c>
      <c r="BR354">
        <f t="shared" ca="1" si="206"/>
        <v>2.3032612196782497E-2</v>
      </c>
      <c r="BS354">
        <f t="shared" ca="1" si="207"/>
        <v>-0.99973471419941839</v>
      </c>
      <c r="BT354">
        <f t="shared" ca="1" si="208"/>
        <v>-1.5477616776403067</v>
      </c>
      <c r="BU354" s="39">
        <f t="shared" ca="1" si="209"/>
        <v>-1.5477616776403067</v>
      </c>
    </row>
    <row r="355" spans="45:73" x14ac:dyDescent="0.25">
      <c r="AS355">
        <v>6.1610122595399384</v>
      </c>
      <c r="AT355">
        <v>7.230935100090381</v>
      </c>
      <c r="AU355">
        <v>-134.80104213355693</v>
      </c>
      <c r="AV355" s="6">
        <f t="shared" si="191"/>
        <v>4.7659791564626195</v>
      </c>
      <c r="AW355" s="6">
        <f t="shared" si="192"/>
        <v>1.3950331030773189</v>
      </c>
      <c r="AX355" s="6">
        <f t="shared" si="193"/>
        <v>1.517206150716967</v>
      </c>
      <c r="AY355" s="6">
        <f t="shared" si="194"/>
        <v>1.517206150716967</v>
      </c>
      <c r="BF355" s="39"/>
      <c r="BG355" s="6">
        <f t="shared" si="210"/>
        <v>5.9341194567806781</v>
      </c>
      <c r="BH355" s="9">
        <f t="shared" ca="1" si="196"/>
        <v>71.585736992450137</v>
      </c>
      <c r="BI355" s="9">
        <f t="shared" ca="1" si="197"/>
        <v>-338.12254462194738</v>
      </c>
      <c r="BJ355">
        <f t="shared" ca="1" si="198"/>
        <v>345.61737936969121</v>
      </c>
      <c r="BK355" s="6">
        <f t="shared" ca="1" si="199"/>
        <v>0.20712423988342937</v>
      </c>
      <c r="BL355" s="6">
        <f t="shared" ca="1" si="200"/>
        <v>-0.97831464736694584</v>
      </c>
      <c r="BM355" s="6">
        <f t="shared" ca="1" si="201"/>
        <v>-1.3621617908325641</v>
      </c>
      <c r="BN355" s="6">
        <f t="shared" ca="1" si="202"/>
        <v>-0.63702923956471702</v>
      </c>
      <c r="BO355" s="9">
        <f t="shared" ca="1" si="203"/>
        <v>4.6699803946021063</v>
      </c>
      <c r="BP355" s="9">
        <f t="shared" ca="1" si="204"/>
        <v>-190.20350372144097</v>
      </c>
      <c r="BQ355">
        <f t="shared" ca="1" si="205"/>
        <v>190.2608250397285</v>
      </c>
      <c r="BR355">
        <f t="shared" ca="1" si="206"/>
        <v>2.4545149500045341E-2</v>
      </c>
      <c r="BS355">
        <f t="shared" ca="1" si="207"/>
        <v>-0.99969872243392421</v>
      </c>
      <c r="BT355">
        <f t="shared" ca="1" si="208"/>
        <v>-1.5462487120301236</v>
      </c>
      <c r="BU355" s="39">
        <f t="shared" ca="1" si="209"/>
        <v>-1.5462487120301236</v>
      </c>
    </row>
    <row r="356" spans="45:73" x14ac:dyDescent="0.25">
      <c r="AS356">
        <v>6.1784655520598815</v>
      </c>
      <c r="AT356">
        <v>7.4920722703117537</v>
      </c>
      <c r="AU356">
        <v>-126.39223752447731</v>
      </c>
      <c r="AV356" s="6">
        <f t="shared" si="191"/>
        <v>4.7715960641177091</v>
      </c>
      <c r="AW356" s="6">
        <f t="shared" si="192"/>
        <v>1.4068694879421724</v>
      </c>
      <c r="AX356" s="6">
        <f t="shared" si="193"/>
        <v>1.5115892430618774</v>
      </c>
      <c r="AY356" s="6">
        <f t="shared" si="194"/>
        <v>1.5115892430618774</v>
      </c>
      <c r="BF356" s="39"/>
      <c r="BG356" s="6">
        <f t="shared" si="210"/>
        <v>5.9515727493006212</v>
      </c>
      <c r="BH356" s="9">
        <f t="shared" ca="1" si="196"/>
        <v>71.845668033026058</v>
      </c>
      <c r="BI356" s="9">
        <f t="shared" ca="1" si="197"/>
        <v>-336.84618399412926</v>
      </c>
      <c r="BJ356">
        <f t="shared" ca="1" si="198"/>
        <v>344.42292561111344</v>
      </c>
      <c r="BK356" s="6">
        <f t="shared" ca="1" si="199"/>
        <v>0.20859722942527559</v>
      </c>
      <c r="BL356" s="6">
        <f t="shared" ca="1" si="200"/>
        <v>-0.97800163388212125</v>
      </c>
      <c r="BM356" s="6">
        <f t="shared" ca="1" si="201"/>
        <v>-1.3606559103390987</v>
      </c>
      <c r="BN356" s="6">
        <f t="shared" ca="1" si="202"/>
        <v>-0.63552335907125168</v>
      </c>
      <c r="BO356" s="9">
        <f t="shared" ca="1" si="203"/>
        <v>4.9299114351780275</v>
      </c>
      <c r="BP356" s="9">
        <f t="shared" ca="1" si="204"/>
        <v>-188.92714309362285</v>
      </c>
      <c r="BQ356">
        <f t="shared" ca="1" si="205"/>
        <v>188.991453310135</v>
      </c>
      <c r="BR356">
        <f t="shared" ca="1" si="206"/>
        <v>2.6085367083177258E-2</v>
      </c>
      <c r="BS356">
        <f t="shared" ca="1" si="207"/>
        <v>-0.9996597189164601</v>
      </c>
      <c r="BT356">
        <f t="shared" ca="1" si="208"/>
        <v>-1.5447080005232745</v>
      </c>
      <c r="BU356" s="39">
        <f t="shared" ca="1" si="209"/>
        <v>-1.5447080005232745</v>
      </c>
    </row>
    <row r="357" spans="45:73" x14ac:dyDescent="0.25">
      <c r="AS357">
        <v>6.1959188445798246</v>
      </c>
      <c r="AT357">
        <v>7.8343125500966018</v>
      </c>
      <c r="AU357">
        <v>-116.87933449714205</v>
      </c>
      <c r="AV357" s="6">
        <f t="shared" si="191"/>
        <v>4.7793179306163918</v>
      </c>
      <c r="AW357" s="6">
        <f t="shared" si="192"/>
        <v>1.4166009139634328</v>
      </c>
      <c r="AX357" s="6">
        <f t="shared" si="193"/>
        <v>1.5038673765631947</v>
      </c>
      <c r="AY357" s="6">
        <f t="shared" si="194"/>
        <v>1.5038673765631947</v>
      </c>
      <c r="BF357" s="39"/>
      <c r="BG357" s="6">
        <f t="shared" si="210"/>
        <v>5.9690260418205643</v>
      </c>
      <c r="BH357" s="9">
        <f t="shared" ca="1" si="196"/>
        <v>72.107017830856904</v>
      </c>
      <c r="BI357" s="9">
        <f t="shared" ca="1" si="197"/>
        <v>-335.51592127760711</v>
      </c>
      <c r="BJ357">
        <f t="shared" ca="1" si="198"/>
        <v>343.17685739458153</v>
      </c>
      <c r="BK357" s="6">
        <f t="shared" ca="1" si="199"/>
        <v>0.21011620182752863</v>
      </c>
      <c r="BL357" s="6">
        <f t="shared" ca="1" si="200"/>
        <v>-0.9776764197471336</v>
      </c>
      <c r="BM357" s="6">
        <f t="shared" ca="1" si="201"/>
        <v>-1.3591025134556096</v>
      </c>
      <c r="BN357" s="6">
        <f t="shared" ca="1" si="202"/>
        <v>-0.63396996218776258</v>
      </c>
      <c r="BO357" s="9">
        <f t="shared" ca="1" si="203"/>
        <v>5.1912612330088734</v>
      </c>
      <c r="BP357" s="9">
        <f t="shared" ca="1" si="204"/>
        <v>-187.59688037710069</v>
      </c>
      <c r="BQ357">
        <f t="shared" ca="1" si="205"/>
        <v>187.66869403395327</v>
      </c>
      <c r="BR357">
        <f t="shared" ca="1" si="206"/>
        <v>2.7661839177447804E-2</v>
      </c>
      <c r="BS357">
        <f t="shared" ca="1" si="207"/>
        <v>-0.99961733811160003</v>
      </c>
      <c r="BT357">
        <f t="shared" ca="1" si="208"/>
        <v>-1.5431309587000845</v>
      </c>
      <c r="BU357" s="39">
        <f t="shared" ca="1" si="209"/>
        <v>-1.5431309587000845</v>
      </c>
    </row>
    <row r="358" spans="45:73" x14ac:dyDescent="0.25">
      <c r="AS358">
        <v>6.2133721370997677</v>
      </c>
      <c r="AT358">
        <v>8.3265655661718192</v>
      </c>
      <c r="AU358">
        <v>-105.47463510644845</v>
      </c>
      <c r="AV358" s="6">
        <f t="shared" si="191"/>
        <v>4.7911693674218778</v>
      </c>
      <c r="AW358" s="6">
        <f t="shared" si="192"/>
        <v>1.4222027696778898</v>
      </c>
      <c r="AX358" s="6">
        <f t="shared" si="193"/>
        <v>1.4920159397577086</v>
      </c>
      <c r="AY358" s="6">
        <f t="shared" si="194"/>
        <v>1.4920159397577086</v>
      </c>
      <c r="BF358" s="39"/>
      <c r="BG358" s="6">
        <f t="shared" si="210"/>
        <v>5.9864793343405074</v>
      </c>
      <c r="BH358" s="9">
        <f t="shared" ca="1" si="196"/>
        <v>72.319715627042399</v>
      </c>
      <c r="BI358" s="9">
        <f t="shared" ca="1" si="197"/>
        <v>-332.37017829569368</v>
      </c>
      <c r="BJ358">
        <f t="shared" ca="1" si="198"/>
        <v>340.1471397626143</v>
      </c>
      <c r="BK358" s="6">
        <f t="shared" ca="1" si="199"/>
        <v>0.21261303469290876</v>
      </c>
      <c r="BL358" s="6">
        <f t="shared" ca="1" si="200"/>
        <v>-0.97713647843004614</v>
      </c>
      <c r="BM358" s="6">
        <f t="shared" ca="1" si="201"/>
        <v>-1.3565479656419477</v>
      </c>
      <c r="BN358" s="6">
        <f t="shared" ca="1" si="202"/>
        <v>-0.63141541437410065</v>
      </c>
      <c r="BO358" s="9">
        <f t="shared" ca="1" si="203"/>
        <v>5.4039590291943682</v>
      </c>
      <c r="BP358" s="9">
        <f t="shared" ca="1" si="204"/>
        <v>-184.45113739518726</v>
      </c>
      <c r="BQ358">
        <f t="shared" ca="1" si="205"/>
        <v>184.5302816872273</v>
      </c>
      <c r="BR358">
        <f t="shared" ca="1" si="206"/>
        <v>2.9284944345090737E-2</v>
      </c>
      <c r="BS358">
        <f t="shared" ca="1" si="207"/>
        <v>-0.99957110404148086</v>
      </c>
      <c r="BT358">
        <f t="shared" ca="1" si="208"/>
        <v>-1.5415071949999799</v>
      </c>
      <c r="BU358" s="39">
        <f t="shared" ca="1" si="209"/>
        <v>-1.5415071949999799</v>
      </c>
    </row>
    <row r="359" spans="45:73" x14ac:dyDescent="0.25">
      <c r="AS359">
        <v>6.2308254296197108</v>
      </c>
      <c r="AT359">
        <v>9.1220117863600798</v>
      </c>
      <c r="AU359">
        <v>-90.154221443562932</v>
      </c>
      <c r="AV359" s="6">
        <f t="shared" si="191"/>
        <v>4.8132280927474431</v>
      </c>
      <c r="AW359" s="6">
        <f t="shared" si="192"/>
        <v>1.4175973368722676</v>
      </c>
      <c r="AX359" s="6">
        <f t="shared" si="193"/>
        <v>1.4699572144321433</v>
      </c>
      <c r="AY359" s="6">
        <f t="shared" si="194"/>
        <v>1.4699572144321433</v>
      </c>
      <c r="BF359" s="39"/>
      <c r="BG359" s="6">
        <f t="shared" si="210"/>
        <v>6.0039326268604505</v>
      </c>
      <c r="BH359" s="9">
        <f t="shared" ca="1" si="196"/>
        <v>72.502361916234605</v>
      </c>
      <c r="BI359" s="9">
        <f t="shared" ca="1" si="197"/>
        <v>-328.23496586528904</v>
      </c>
      <c r="BJ359">
        <f t="shared" ca="1" si="198"/>
        <v>336.14696979151864</v>
      </c>
      <c r="BK359" s="6">
        <f t="shared" ca="1" si="199"/>
        <v>0.21568649558614561</v>
      </c>
      <c r="BL359" s="6">
        <f t="shared" ca="1" si="200"/>
        <v>-0.97646266473519994</v>
      </c>
      <c r="BM359" s="6">
        <f t="shared" ca="1" si="201"/>
        <v>-1.3534015081219044</v>
      </c>
      <c r="BN359" s="6">
        <f t="shared" ca="1" si="202"/>
        <v>-0.62826895685405737</v>
      </c>
      <c r="BO359" s="9">
        <f t="shared" ca="1" si="203"/>
        <v>5.5866053183865745</v>
      </c>
      <c r="BP359" s="9">
        <f t="shared" ca="1" si="204"/>
        <v>-180.31592496478262</v>
      </c>
      <c r="BQ359">
        <f t="shared" ca="1" si="205"/>
        <v>180.40244719761574</v>
      </c>
      <c r="BR359">
        <f t="shared" ca="1" si="206"/>
        <v>3.0967458619155633E-2</v>
      </c>
      <c r="BS359">
        <f t="shared" ca="1" si="207"/>
        <v>-0.99952039324201436</v>
      </c>
      <c r="BT359">
        <f t="shared" ca="1" si="208"/>
        <v>-1.5398239164916396</v>
      </c>
      <c r="BU359" s="39">
        <f t="shared" ca="1" si="209"/>
        <v>-1.5398239164916396</v>
      </c>
    </row>
    <row r="360" spans="45:73" x14ac:dyDescent="0.25">
      <c r="AS360">
        <v>6.2482787221396539</v>
      </c>
      <c r="AT360">
        <v>10.647143291798729</v>
      </c>
      <c r="AU360">
        <v>-63.856012490316459</v>
      </c>
      <c r="AV360" s="6">
        <f t="shared" si="191"/>
        <v>4.8776058355661469</v>
      </c>
      <c r="AW360" s="6">
        <f t="shared" si="192"/>
        <v>1.3706728865735069</v>
      </c>
      <c r="AX360" s="6">
        <f t="shared" si="193"/>
        <v>1.4055794716134395</v>
      </c>
      <c r="AY360" s="6">
        <f t="shared" si="194"/>
        <v>1.4055794716134395</v>
      </c>
      <c r="BF360" s="39"/>
      <c r="BG360" s="6">
        <f t="shared" si="210"/>
        <v>6.0213859193803936</v>
      </c>
      <c r="BH360" s="9">
        <f t="shared" ca="1" si="196"/>
        <v>72.680635785207329</v>
      </c>
      <c r="BI360" s="9">
        <f t="shared" ca="1" si="197"/>
        <v>-323.98389690513864</v>
      </c>
      <c r="BJ360">
        <f t="shared" ca="1" si="198"/>
        <v>332.0362032549786</v>
      </c>
      <c r="BK360" s="6">
        <f t="shared" ca="1" si="199"/>
        <v>0.21889370819420592</v>
      </c>
      <c r="BL360" s="6">
        <f t="shared" ca="1" si="200"/>
        <v>-0.97574870971628236</v>
      </c>
      <c r="BM360" s="6">
        <f t="shared" ca="1" si="201"/>
        <v>-1.3501157883841521</v>
      </c>
      <c r="BN360" s="6">
        <f t="shared" ca="1" si="202"/>
        <v>-0.6249832371163051</v>
      </c>
      <c r="BO360" s="9">
        <f t="shared" ca="1" si="203"/>
        <v>5.7648791873592984</v>
      </c>
      <c r="BP360" s="9">
        <f t="shared" ca="1" si="204"/>
        <v>-176.06485600463222</v>
      </c>
      <c r="BQ360">
        <f t="shared" ca="1" si="205"/>
        <v>176.15921023885389</v>
      </c>
      <c r="BR360">
        <f t="shared" ca="1" si="206"/>
        <v>3.2725391874445349E-2</v>
      </c>
      <c r="BS360">
        <f t="shared" ca="1" si="207"/>
        <v>-0.99946438091943224</v>
      </c>
      <c r="BT360">
        <f t="shared" ca="1" si="208"/>
        <v>-1.538065090886926</v>
      </c>
      <c r="BU360" s="39">
        <f t="shared" ca="1" si="209"/>
        <v>-1.538065090886926</v>
      </c>
    </row>
    <row r="361" spans="45:73" x14ac:dyDescent="0.25">
      <c r="AS361">
        <v>6.2657320146595969</v>
      </c>
      <c r="AT361">
        <v>14.655027113289927</v>
      </c>
      <c r="AU361">
        <v>15.46656974323701</v>
      </c>
      <c r="AV361" s="6">
        <f t="shared" si="191"/>
        <v>0.81233386529904406</v>
      </c>
      <c r="AW361" s="6">
        <f t="shared" si="192"/>
        <v>5.4533981493605532</v>
      </c>
      <c r="AX361" s="6">
        <f t="shared" si="193"/>
        <v>-0.81233386529904406</v>
      </c>
      <c r="AY361" s="6">
        <f t="shared" si="194"/>
        <v>0.81233386529904406</v>
      </c>
      <c r="BF361" s="39"/>
      <c r="BG361" s="6">
        <f t="shared" si="210"/>
        <v>6.0388392119003367</v>
      </c>
      <c r="BH361" s="9">
        <f t="shared" ca="1" si="196"/>
        <v>72.855844676826564</v>
      </c>
      <c r="BI361" s="9">
        <f t="shared" ca="1" si="197"/>
        <v>-319.59844844801432</v>
      </c>
      <c r="BJ361">
        <f t="shared" ca="1" si="198"/>
        <v>327.79741053576362</v>
      </c>
      <c r="BK361" s="6">
        <f t="shared" ca="1" si="199"/>
        <v>0.22225875597292977</v>
      </c>
      <c r="BL361" s="6">
        <f t="shared" ca="1" si="200"/>
        <v>-0.97498771550895225</v>
      </c>
      <c r="BM361" s="6">
        <f t="shared" ca="1" si="201"/>
        <v>-1.3466657636678914</v>
      </c>
      <c r="BN361" s="6">
        <f t="shared" ca="1" si="202"/>
        <v>-0.62153321240004433</v>
      </c>
      <c r="BO361" s="9">
        <f t="shared" ca="1" si="203"/>
        <v>5.9400880789785333</v>
      </c>
      <c r="BP361" s="9">
        <f t="shared" ca="1" si="204"/>
        <v>-171.67940754750791</v>
      </c>
      <c r="BQ361">
        <f t="shared" ca="1" si="205"/>
        <v>171.78213999787445</v>
      </c>
      <c r="BR361">
        <f t="shared" ca="1" si="206"/>
        <v>3.4579194781553149E-2</v>
      </c>
      <c r="BS361">
        <f t="shared" ca="1" si="207"/>
        <v>-0.99940196081869848</v>
      </c>
      <c r="BT361">
        <f t="shared" ca="1" si="208"/>
        <v>-1.5362102371261712</v>
      </c>
      <c r="BU361" s="39">
        <f t="shared" ca="1" si="209"/>
        <v>-1.5362102371261712</v>
      </c>
    </row>
    <row r="362" spans="45:73" x14ac:dyDescent="0.25">
      <c r="AS362">
        <v>6.28318530717954</v>
      </c>
      <c r="AT362">
        <v>19.842760784081861</v>
      </c>
      <c r="AU362">
        <v>146.23999999983778</v>
      </c>
      <c r="AV362" s="6">
        <f t="shared" si="191"/>
        <v>1.4359336692425584</v>
      </c>
      <c r="AW362" s="6">
        <f t="shared" si="192"/>
        <v>4.8472516379369814</v>
      </c>
      <c r="AX362" s="6">
        <f t="shared" si="193"/>
        <v>-1.4359336692425584</v>
      </c>
      <c r="AY362" s="6">
        <f t="shared" si="194"/>
        <v>1.4359336692425584</v>
      </c>
      <c r="BF362" s="39"/>
      <c r="BG362" s="6">
        <f>AS349</f>
        <v>6.0562925044202798</v>
      </c>
      <c r="BH362" s="9">
        <f t="shared" ca="1" si="196"/>
        <v>73.02962484163119</v>
      </c>
      <c r="BI362" s="9">
        <f t="shared" ca="1" si="197"/>
        <v>-315.0559737141399</v>
      </c>
      <c r="BJ362">
        <f t="shared" ca="1" si="198"/>
        <v>323.40932682511527</v>
      </c>
      <c r="BK362" s="6">
        <f t="shared" ca="1" si="199"/>
        <v>0.22581174624293446</v>
      </c>
      <c r="BL362" s="6">
        <f t="shared" ca="1" si="200"/>
        <v>-0.97417095792202524</v>
      </c>
      <c r="BM362" s="6">
        <f t="shared" ca="1" si="201"/>
        <v>-1.3430201022004624</v>
      </c>
      <c r="BN362" s="6">
        <f t="shared" ca="1" si="202"/>
        <v>-0.61788755093261538</v>
      </c>
      <c r="BO362" s="9">
        <f t="shared" ca="1" si="203"/>
        <v>6.1138682437831591</v>
      </c>
      <c r="BP362" s="9">
        <f t="shared" ca="1" si="204"/>
        <v>-167.13693281363348</v>
      </c>
      <c r="BQ362">
        <f t="shared" ca="1" si="205"/>
        <v>167.2487180675875</v>
      </c>
      <c r="BR362">
        <f t="shared" ca="1" si="206"/>
        <v>3.6555546221361535E-2</v>
      </c>
      <c r="BS362">
        <f t="shared" ca="1" si="207"/>
        <v>-0.99933162265609199</v>
      </c>
      <c r="BT362">
        <f t="shared" ca="1" si="208"/>
        <v>-1.5342326340958956</v>
      </c>
      <c r="BU362" s="39">
        <f t="shared" ca="1" si="209"/>
        <v>-1.5342326340958956</v>
      </c>
    </row>
    <row r="363" spans="45:73" x14ac:dyDescent="0.25">
      <c r="AT363" s="6">
        <f>SUM(AT2:AT362)</f>
        <v>-24080.356384687675</v>
      </c>
      <c r="AU363" s="6">
        <f>SUM(AU2:AU362)</f>
        <v>59129.960616306038</v>
      </c>
      <c r="BG363" s="6">
        <f t="shared" ref="BG363:BG368" si="211">AS350</f>
        <v>6.0737457969402229</v>
      </c>
      <c r="BH363" s="9">
        <f t="shared" ca="1" si="196"/>
        <v>73.204085324798484</v>
      </c>
      <c r="BI363" s="9">
        <f t="shared" ca="1" si="197"/>
        <v>-310.32811951224119</v>
      </c>
      <c r="BJ363">
        <f t="shared" ca="1" si="198"/>
        <v>318.8453855213279</v>
      </c>
      <c r="BK363" s="6">
        <f t="shared" ca="1" si="199"/>
        <v>0.2295911706707193</v>
      </c>
      <c r="BL363" s="6">
        <f t="shared" ca="1" si="200"/>
        <v>-0.97328715924440756</v>
      </c>
      <c r="BM363" s="6">
        <f t="shared" ca="1" si="201"/>
        <v>-1.3391387148169152</v>
      </c>
      <c r="BN363" s="6">
        <f t="shared" ca="1" si="202"/>
        <v>-0.61400616354906812</v>
      </c>
      <c r="BO363" s="9">
        <f t="shared" ca="1" si="203"/>
        <v>6.2883287269504535</v>
      </c>
      <c r="BP363" s="9">
        <f t="shared" ca="1" si="204"/>
        <v>-162.40907861173477</v>
      </c>
      <c r="BQ363">
        <f t="shared" ca="1" si="205"/>
        <v>162.53077214389538</v>
      </c>
      <c r="BR363">
        <f t="shared" ca="1" si="206"/>
        <v>3.8690080924387228E-2</v>
      </c>
      <c r="BS363">
        <f t="shared" ca="1" si="207"/>
        <v>-0.99925125851212426</v>
      </c>
      <c r="BT363">
        <f t="shared" ca="1" si="208"/>
        <v>-1.5320965866879694</v>
      </c>
      <c r="BU363" s="39">
        <f t="shared" ca="1" si="209"/>
        <v>-1.5320965866879694</v>
      </c>
    </row>
    <row r="364" spans="45:73" x14ac:dyDescent="0.25">
      <c r="AT364" s="6">
        <f>AT363/360</f>
        <v>-66.889878846354648</v>
      </c>
      <c r="AU364" s="6">
        <f>AU363/360</f>
        <v>164.24989060085011</v>
      </c>
      <c r="BG364" s="6">
        <f t="shared" si="211"/>
        <v>6.091199089460166</v>
      </c>
      <c r="BH364" s="9">
        <f t="shared" ca="1" si="196"/>
        <v>73.382026716229205</v>
      </c>
      <c r="BI364" s="9">
        <f t="shared" ca="1" si="197"/>
        <v>-305.37838637908987</v>
      </c>
      <c r="BJ364">
        <f t="shared" ca="1" si="198"/>
        <v>314.07145797171398</v>
      </c>
      <c r="BK364" s="6">
        <f t="shared" ca="1" si="199"/>
        <v>0.23364755011529306</v>
      </c>
      <c r="BL364" s="6">
        <f t="shared" ca="1" si="200"/>
        <v>-0.9723213575382994</v>
      </c>
      <c r="BM364" s="6">
        <f t="shared" ca="1" si="201"/>
        <v>-1.3349689411628403</v>
      </c>
      <c r="BN364" s="6">
        <f t="shared" ca="1" si="202"/>
        <v>-0.60983638989499322</v>
      </c>
      <c r="BO364" s="9">
        <f t="shared" ca="1" si="203"/>
        <v>6.4662701183811748</v>
      </c>
      <c r="BP364" s="9">
        <f t="shared" ca="1" si="204"/>
        <v>-157.45934547858346</v>
      </c>
      <c r="BQ364">
        <f t="shared" ca="1" si="205"/>
        <v>157.59206238826806</v>
      </c>
      <c r="BR364">
        <f t="shared" ca="1" si="206"/>
        <v>4.1031699315222339E-2</v>
      </c>
      <c r="BS364">
        <f t="shared" ca="1" si="207"/>
        <v>-0.99915784521331019</v>
      </c>
      <c r="BT364">
        <f t="shared" ca="1" si="208"/>
        <v>-1.5297531052508526</v>
      </c>
      <c r="BU364" s="39">
        <f t="shared" ca="1" si="209"/>
        <v>-1.5297531052508526</v>
      </c>
    </row>
    <row r="365" spans="45:73" x14ac:dyDescent="0.25">
      <c r="BG365" s="6">
        <f t="shared" si="211"/>
        <v>6.1086523819801091</v>
      </c>
      <c r="BH365" s="9">
        <f t="shared" ca="1" si="196"/>
        <v>73.56728466278274</v>
      </c>
      <c r="BI365" s="9">
        <f t="shared" ca="1" si="197"/>
        <v>-300.15821003950822</v>
      </c>
      <c r="BJ365">
        <f t="shared" ca="1" si="198"/>
        <v>309.04222434285003</v>
      </c>
      <c r="BK365" s="6">
        <f t="shared" ca="1" si="199"/>
        <v>0.23804929834172928</v>
      </c>
      <c r="BL365" s="6">
        <f t="shared" ca="1" si="200"/>
        <v>-0.97125307286979035</v>
      </c>
      <c r="BM365" s="6">
        <f t="shared" ca="1" si="201"/>
        <v>-1.330439409767691</v>
      </c>
      <c r="BN365" s="6">
        <f t="shared" ca="1" si="202"/>
        <v>-0.605306858499844</v>
      </c>
      <c r="BO365" s="9">
        <f t="shared" ca="1" si="203"/>
        <v>6.6515280649347091</v>
      </c>
      <c r="BP365" s="9">
        <f t="shared" ca="1" si="204"/>
        <v>-152.2391691390018</v>
      </c>
      <c r="BQ365">
        <f t="shared" ca="1" si="205"/>
        <v>152.38440683262908</v>
      </c>
      <c r="BR365">
        <f t="shared" ca="1" si="206"/>
        <v>4.364966339528685E-2</v>
      </c>
      <c r="BS365">
        <f t="shared" ca="1" si="207"/>
        <v>-0.99904689924221179</v>
      </c>
      <c r="BT365">
        <f t="shared" ca="1" si="208"/>
        <v>-1.5271327906015095</v>
      </c>
      <c r="BU365" s="39">
        <f t="shared" ca="1" si="209"/>
        <v>-1.5271327906015095</v>
      </c>
    </row>
    <row r="366" spans="45:73" x14ac:dyDescent="0.25">
      <c r="BG366" s="6">
        <f t="shared" si="211"/>
        <v>6.1261056745000522</v>
      </c>
      <c r="BH366" s="9">
        <f t="shared" ca="1" si="196"/>
        <v>73.765290502288806</v>
      </c>
      <c r="BI366" s="9">
        <f t="shared" ca="1" si="197"/>
        <v>-294.60036164872645</v>
      </c>
      <c r="BJ366">
        <f t="shared" ca="1" si="198"/>
        <v>303.69506279563956</v>
      </c>
      <c r="BK366" s="6">
        <f t="shared" ca="1" si="199"/>
        <v>0.24289262335465245</v>
      </c>
      <c r="BL366" s="6">
        <f t="shared" ca="1" si="200"/>
        <v>-0.970053180768918</v>
      </c>
      <c r="BM366" s="6">
        <f t="shared" ca="1" si="201"/>
        <v>-1.3254496612878577</v>
      </c>
      <c r="BN366" s="6">
        <f t="shared" ca="1" si="202"/>
        <v>-0.60031711002001065</v>
      </c>
      <c r="BO366" s="9">
        <f t="shared" ca="1" si="203"/>
        <v>6.8495339044407757</v>
      </c>
      <c r="BP366" s="9">
        <f t="shared" ca="1" si="204"/>
        <v>-146.68132074822003</v>
      </c>
      <c r="BQ366">
        <f t="shared" ca="1" si="205"/>
        <v>146.84115898190905</v>
      </c>
      <c r="BR366">
        <f t="shared" ca="1" si="206"/>
        <v>4.6645871988007424E-2</v>
      </c>
      <c r="BS366">
        <f t="shared" ca="1" si="207"/>
        <v>-0.99891148888501546</v>
      </c>
      <c r="BT366">
        <f t="shared" ca="1" si="208"/>
        <v>-1.5241335225842525</v>
      </c>
      <c r="BU366" s="39">
        <f t="shared" ca="1" si="209"/>
        <v>-1.5241335225842525</v>
      </c>
    </row>
    <row r="367" spans="45:73" x14ac:dyDescent="0.25">
      <c r="BG367" s="6">
        <f t="shared" si="211"/>
        <v>6.1435589670199953</v>
      </c>
      <c r="BH367" s="9">
        <f t="shared" ca="1" si="196"/>
        <v>73.962522983709988</v>
      </c>
      <c r="BI367" s="9">
        <f t="shared" ca="1" si="197"/>
        <v>-287.59522580947782</v>
      </c>
      <c r="BJ367">
        <f t="shared" ca="1" si="198"/>
        <v>296.9536474174385</v>
      </c>
      <c r="BK367" s="6">
        <f t="shared" ca="1" si="199"/>
        <v>0.2490709362452726</v>
      </c>
      <c r="BL367" s="6">
        <f t="shared" ca="1" si="200"/>
        <v>-0.96848524445027206</v>
      </c>
      <c r="BM367" s="6">
        <f t="shared" ca="1" si="201"/>
        <v>-1.3190754858870146</v>
      </c>
      <c r="BN367" s="6">
        <f t="shared" ca="1" si="202"/>
        <v>-0.59394293461916758</v>
      </c>
      <c r="BO367" s="9">
        <f t="shared" ca="1" si="203"/>
        <v>7.0467663858619574</v>
      </c>
      <c r="BP367" s="9">
        <f t="shared" ca="1" si="204"/>
        <v>-139.67618490897141</v>
      </c>
      <c r="BQ367">
        <f t="shared" ca="1" si="205"/>
        <v>139.8538292190174</v>
      </c>
      <c r="BR367">
        <f t="shared" ca="1" si="206"/>
        <v>5.0386653159323967E-2</v>
      </c>
      <c r="BS367">
        <f t="shared" ca="1" si="207"/>
        <v>-0.99872978586973271</v>
      </c>
      <c r="BT367">
        <f t="shared" ca="1" si="208"/>
        <v>-1.5203883288439233</v>
      </c>
      <c r="BU367" s="39">
        <f t="shared" ca="1" si="209"/>
        <v>-1.5203883288439233</v>
      </c>
    </row>
    <row r="368" spans="45:73" x14ac:dyDescent="0.25">
      <c r="BG368" s="6">
        <f t="shared" si="211"/>
        <v>6.1610122595399384</v>
      </c>
      <c r="BH368" s="9">
        <f t="shared" ca="1" si="196"/>
        <v>74.146691697938408</v>
      </c>
      <c r="BI368" s="9">
        <f t="shared" ca="1" si="197"/>
        <v>-282.72008303406335</v>
      </c>
      <c r="BJ368">
        <f t="shared" ca="1" si="198"/>
        <v>292.28133235042026</v>
      </c>
      <c r="BK368" s="6">
        <f t="shared" ca="1" si="199"/>
        <v>0.25368261154989835</v>
      </c>
      <c r="BL368" s="6">
        <f t="shared" ca="1" si="200"/>
        <v>-0.96728751289222337</v>
      </c>
      <c r="BM368" s="6">
        <f t="shared" ca="1" si="201"/>
        <v>-1.3143108082537023</v>
      </c>
      <c r="BN368" s="6">
        <f t="shared" ca="1" si="202"/>
        <v>-0.58917825698585524</v>
      </c>
      <c r="BO368" s="9">
        <f t="shared" ca="1" si="203"/>
        <v>7.2309351000903774</v>
      </c>
      <c r="BP368" s="9">
        <f t="shared" ca="1" si="204"/>
        <v>-134.80104213355693</v>
      </c>
      <c r="BQ368">
        <f t="shared" ca="1" si="205"/>
        <v>134.994842059668</v>
      </c>
      <c r="BR368">
        <f t="shared" ca="1" si="206"/>
        <v>5.356452876098991E-2</v>
      </c>
      <c r="BS368">
        <f t="shared" ca="1" si="207"/>
        <v>-0.99856439014147369</v>
      </c>
      <c r="BT368">
        <f t="shared" ca="1" si="208"/>
        <v>-1.5172061507169672</v>
      </c>
      <c r="BU368" s="39">
        <f t="shared" ca="1" si="209"/>
        <v>-1.5172061507169672</v>
      </c>
    </row>
    <row r="369" spans="59:73" x14ac:dyDescent="0.25">
      <c r="BG369" s="6">
        <f>AS356</f>
        <v>6.1784655520598815</v>
      </c>
      <c r="BH369" s="9">
        <f t="shared" ca="1" si="196"/>
        <v>74.407828868159783</v>
      </c>
      <c r="BI369" s="9">
        <f t="shared" ca="1" si="197"/>
        <v>-274.3112784249837</v>
      </c>
      <c r="BJ369">
        <f t="shared" ca="1" si="198"/>
        <v>284.22385977961505</v>
      </c>
      <c r="BK369" s="6">
        <f t="shared" ca="1" si="199"/>
        <v>0.26179304202629233</v>
      </c>
      <c r="BL369" s="6">
        <f t="shared" ca="1" si="200"/>
        <v>-0.96512403510979872</v>
      </c>
      <c r="BM369" s="6">
        <f t="shared" ca="1" si="201"/>
        <v>-1.3059167548618253</v>
      </c>
      <c r="BN369" s="6">
        <f t="shared" ca="1" si="202"/>
        <v>-0.58078420359397831</v>
      </c>
      <c r="BO369" s="9">
        <f t="shared" ca="1" si="203"/>
        <v>7.4920722703117519</v>
      </c>
      <c r="BP369" s="9">
        <f t="shared" ca="1" si="204"/>
        <v>-126.39223752447728</v>
      </c>
      <c r="BQ369">
        <f t="shared" ca="1" si="205"/>
        <v>126.61409421287765</v>
      </c>
      <c r="BR369">
        <f t="shared" ca="1" si="206"/>
        <v>5.9172498266387707E-2</v>
      </c>
      <c r="BS369">
        <f t="shared" ca="1" si="207"/>
        <v>-0.9982477725739809</v>
      </c>
      <c r="BT369">
        <f t="shared" ca="1" si="208"/>
        <v>-1.5115892430618774</v>
      </c>
      <c r="BU369" s="39">
        <f t="shared" ca="1" si="209"/>
        <v>-1.5115892430618774</v>
      </c>
    </row>
    <row r="370" spans="59:73" x14ac:dyDescent="0.25">
      <c r="BG370" s="6">
        <f t="shared" ref="BG370:BG373" si="212">AS357</f>
        <v>6.1959188445798246</v>
      </c>
      <c r="BH370" s="9">
        <f t="shared" ca="1" si="196"/>
        <v>74.750069147944629</v>
      </c>
      <c r="BI370" s="9">
        <f t="shared" ca="1" si="197"/>
        <v>-264.79837539764844</v>
      </c>
      <c r="BJ370">
        <f t="shared" ca="1" si="198"/>
        <v>275.14678346449273</v>
      </c>
      <c r="BK370" s="6">
        <f t="shared" ca="1" si="199"/>
        <v>0.27167342538674821</v>
      </c>
      <c r="BL370" s="6">
        <f t="shared" ca="1" si="200"/>
        <v>-0.9623895001186531</v>
      </c>
      <c r="BM370" s="6">
        <f t="shared" ca="1" si="201"/>
        <v>-1.2956648975922815</v>
      </c>
      <c r="BN370" s="6">
        <f t="shared" ca="1" si="202"/>
        <v>-0.5705323463244345</v>
      </c>
      <c r="BO370" s="9">
        <f t="shared" ca="1" si="203"/>
        <v>7.8343125500965982</v>
      </c>
      <c r="BP370" s="9">
        <f t="shared" ca="1" si="204"/>
        <v>-116.87933449714203</v>
      </c>
      <c r="BQ370">
        <f t="shared" ca="1" si="205"/>
        <v>117.14160356435033</v>
      </c>
      <c r="BR370">
        <f t="shared" ca="1" si="206"/>
        <v>6.6878993557510188E-2</v>
      </c>
      <c r="BS370">
        <f t="shared" ca="1" si="207"/>
        <v>-0.99776109375979105</v>
      </c>
      <c r="BT370">
        <f t="shared" ca="1" si="208"/>
        <v>-1.503867376563194</v>
      </c>
      <c r="BU370" s="39">
        <f t="shared" ca="1" si="209"/>
        <v>-1.503867376563194</v>
      </c>
    </row>
    <row r="371" spans="59:73" x14ac:dyDescent="0.25">
      <c r="BG371" s="6">
        <f t="shared" si="212"/>
        <v>6.2133721370997677</v>
      </c>
      <c r="BH371" s="9">
        <f t="shared" ca="1" si="196"/>
        <v>75.242322164019853</v>
      </c>
      <c r="BI371" s="9">
        <f t="shared" ca="1" si="197"/>
        <v>-253.39367600695488</v>
      </c>
      <c r="BJ371">
        <f t="shared" ca="1" si="198"/>
        <v>264.32888999303833</v>
      </c>
      <c r="BK371" s="6">
        <f t="shared" ca="1" si="199"/>
        <v>0.28465417520575037</v>
      </c>
      <c r="BL371" s="6">
        <f t="shared" ca="1" si="200"/>
        <v>-0.95863027311781368</v>
      </c>
      <c r="BM371" s="6">
        <f t="shared" ca="1" si="201"/>
        <v>-1.2821506668297931</v>
      </c>
      <c r="BN371" s="6">
        <f t="shared" ca="1" si="202"/>
        <v>-0.55701811556194603</v>
      </c>
      <c r="BO371" s="9">
        <f t="shared" ca="1" si="203"/>
        <v>8.3265655661718228</v>
      </c>
      <c r="BP371" s="9">
        <f t="shared" ca="1" si="204"/>
        <v>-105.47463510644846</v>
      </c>
      <c r="BQ371">
        <f t="shared" ca="1" si="205"/>
        <v>105.80278987326473</v>
      </c>
      <c r="BR371">
        <f t="shared" ca="1" si="206"/>
        <v>7.8698922553419925E-2</v>
      </c>
      <c r="BS371">
        <f t="shared" ca="1" si="207"/>
        <v>-0.99689842992600342</v>
      </c>
      <c r="BT371">
        <f t="shared" ca="1" si="208"/>
        <v>-1.4920159397577086</v>
      </c>
      <c r="BU371" s="39">
        <f t="shared" ca="1" si="209"/>
        <v>-1.4920159397577086</v>
      </c>
    </row>
    <row r="372" spans="59:73" x14ac:dyDescent="0.25">
      <c r="BG372" s="6">
        <f t="shared" si="212"/>
        <v>6.2308254296197108</v>
      </c>
      <c r="BH372" s="9">
        <f t="shared" ca="1" si="196"/>
        <v>76.037768384208107</v>
      </c>
      <c r="BI372" s="9">
        <f t="shared" ca="1" si="197"/>
        <v>-238.07326234406935</v>
      </c>
      <c r="BJ372">
        <f t="shared" ca="1" si="198"/>
        <v>249.92122851810436</v>
      </c>
      <c r="BK372" s="6">
        <f t="shared" ca="1" si="199"/>
        <v>0.30424693746533787</v>
      </c>
      <c r="BL372" s="6">
        <f t="shared" ca="1" si="200"/>
        <v>-0.95259319808770571</v>
      </c>
      <c r="BM372" s="6">
        <f t="shared" ca="1" si="201"/>
        <v>-1.2616485369088253</v>
      </c>
      <c r="BN372" s="6">
        <f t="shared" ca="1" si="202"/>
        <v>-0.53651598564097824</v>
      </c>
      <c r="BO372" s="9">
        <f t="shared" ca="1" si="203"/>
        <v>9.1220117863600763</v>
      </c>
      <c r="BP372" s="9">
        <f t="shared" ca="1" si="204"/>
        <v>-90.154221443562932</v>
      </c>
      <c r="BQ372">
        <f t="shared" ca="1" si="205"/>
        <v>90.614539358347315</v>
      </c>
      <c r="BR372">
        <f t="shared" ca="1" si="206"/>
        <v>0.10066830169809572</v>
      </c>
      <c r="BS372">
        <f t="shared" ca="1" si="207"/>
        <v>-0.99492004353778152</v>
      </c>
      <c r="BT372">
        <f t="shared" ca="1" si="208"/>
        <v>-1.4699572144321431</v>
      </c>
      <c r="BU372" s="39">
        <f t="shared" ca="1" si="209"/>
        <v>-1.4699572144321431</v>
      </c>
    </row>
    <row r="373" spans="59:73" x14ac:dyDescent="0.25">
      <c r="BG373" s="6">
        <f t="shared" si="212"/>
        <v>6.2482787221396539</v>
      </c>
      <c r="BH373" s="9">
        <f t="shared" ca="1" si="196"/>
        <v>77.562899889646758</v>
      </c>
      <c r="BI373" s="9">
        <f t="shared" ca="1" si="197"/>
        <v>-211.77505339082288</v>
      </c>
      <c r="BJ373">
        <f t="shared" ca="1" si="198"/>
        <v>225.53198593099216</v>
      </c>
      <c r="BK373" s="6">
        <f t="shared" ca="1" si="199"/>
        <v>0.34391086288478523</v>
      </c>
      <c r="BL373" s="6">
        <f t="shared" ca="1" si="200"/>
        <v>-0.93900229945929437</v>
      </c>
      <c r="BM373" s="6">
        <f t="shared" ca="1" si="201"/>
        <v>-1.219717676020186</v>
      </c>
      <c r="BN373" s="6">
        <f t="shared" ca="1" si="202"/>
        <v>-0.49458512475233896</v>
      </c>
      <c r="BO373" s="9">
        <f t="shared" ca="1" si="203"/>
        <v>10.647143291798727</v>
      </c>
      <c r="BP373" s="9">
        <f t="shared" ca="1" si="204"/>
        <v>-63.856012490316459</v>
      </c>
      <c r="BQ373">
        <f t="shared" ca="1" si="205"/>
        <v>64.737562445921199</v>
      </c>
      <c r="BR373">
        <f t="shared" ca="1" si="206"/>
        <v>0.1644662370581664</v>
      </c>
      <c r="BS373">
        <f t="shared" ca="1" si="207"/>
        <v>-0.98638271318384674</v>
      </c>
      <c r="BT373">
        <f t="shared" ca="1" si="208"/>
        <v>-1.4055794716134398</v>
      </c>
      <c r="BU373" s="39">
        <f t="shared" ca="1" si="209"/>
        <v>-1.4055794716134398</v>
      </c>
    </row>
    <row r="374" spans="59:73" x14ac:dyDescent="0.25">
      <c r="BG374" s="6">
        <f>AS361</f>
        <v>6.2657320146595969</v>
      </c>
      <c r="BH374" s="9">
        <f t="shared" ca="1" si="196"/>
        <v>81.570783711137963</v>
      </c>
      <c r="BI374" s="9">
        <f t="shared" ca="1" si="197"/>
        <v>-132.4524711572694</v>
      </c>
      <c r="BJ374">
        <f t="shared" ca="1" si="198"/>
        <v>155.55529521979165</v>
      </c>
      <c r="BK374" s="6">
        <f t="shared" ca="1" si="199"/>
        <v>0.52438448717469011</v>
      </c>
      <c r="BL374" s="6">
        <f t="shared" ca="1" si="200"/>
        <v>-0.85148159675388013</v>
      </c>
      <c r="BM374" s="6">
        <f t="shared" ca="1" si="201"/>
        <v>-1.018804247466059</v>
      </c>
      <c r="BN374" s="6">
        <f t="shared" ca="1" si="202"/>
        <v>-0.29367169619821198</v>
      </c>
      <c r="BO374" s="9">
        <f t="shared" ca="1" si="203"/>
        <v>14.655027113289933</v>
      </c>
      <c r="BP374" s="9">
        <f t="shared" ca="1" si="204"/>
        <v>15.466569743237017</v>
      </c>
      <c r="BQ374">
        <f t="shared" ca="1" si="205"/>
        <v>21.306914354586347</v>
      </c>
      <c r="BR374">
        <f t="shared" ca="1" si="206"/>
        <v>0.68780616796046845</v>
      </c>
      <c r="BS374">
        <f t="shared" ca="1" si="207"/>
        <v>0.72589439680681933</v>
      </c>
      <c r="BT374">
        <f t="shared" ca="1" si="208"/>
        <v>0.81233386529904406</v>
      </c>
      <c r="BU374" s="39">
        <f t="shared" ca="1" si="209"/>
        <v>0.81233386529904406</v>
      </c>
    </row>
    <row r="375" spans="59:73" x14ac:dyDescent="0.25">
      <c r="BG375" s="6">
        <f t="shared" ref="BG375" si="213">AS362</f>
        <v>6.28318530717954</v>
      </c>
      <c r="BH375" s="9">
        <f t="shared" ca="1" si="196"/>
        <v>86.758517381929892</v>
      </c>
      <c r="BI375" s="9">
        <f t="shared" ca="1" si="197"/>
        <v>-1.6790409006686389</v>
      </c>
      <c r="BJ375">
        <f t="shared" ca="1" si="198"/>
        <v>86.774763132242256</v>
      </c>
      <c r="BK375" s="6">
        <f t="shared" ca="1" si="199"/>
        <v>0.99981278254499406</v>
      </c>
      <c r="BL375" s="6">
        <f t="shared" ca="1" si="200"/>
        <v>-1.9349414968840982E-2</v>
      </c>
      <c r="BM375" s="6">
        <f t="shared" ca="1" si="201"/>
        <v>-1.9350622575350914E-2</v>
      </c>
      <c r="BN375" s="6">
        <f t="shared" ca="1" si="202"/>
        <v>0.70578192869249612</v>
      </c>
      <c r="BO375" s="9">
        <f t="shared" ca="1" si="203"/>
        <v>19.842760784081861</v>
      </c>
      <c r="BP375" s="9">
        <f t="shared" ca="1" si="204"/>
        <v>146.23999999983778</v>
      </c>
      <c r="BQ375">
        <f t="shared" ca="1" si="205"/>
        <v>147.58005541226379</v>
      </c>
      <c r="BR375">
        <f t="shared" ca="1" si="206"/>
        <v>0.13445421692417214</v>
      </c>
      <c r="BS375">
        <f t="shared" ca="1" si="207"/>
        <v>0.9909198068215751</v>
      </c>
      <c r="BT375">
        <f t="shared" ca="1" si="208"/>
        <v>1.4359336692425584</v>
      </c>
      <c r="BU375" s="39">
        <f t="shared" ca="1" si="209"/>
        <v>1.4359336692425584</v>
      </c>
    </row>
    <row r="376" spans="59:73" x14ac:dyDescent="0.25">
      <c r="BG376" s="6"/>
    </row>
    <row r="377" spans="59:73" x14ac:dyDescent="0.25">
      <c r="BG377" s="6"/>
    </row>
    <row r="378" spans="59:73" x14ac:dyDescent="0.25">
      <c r="BG378" s="6"/>
    </row>
  </sheetData>
  <phoneticPr fontId="3" type="noConversion"/>
  <dataValidations disablePrompts="1" count="3">
    <dataValidation type="list" allowBlank="1" showInputMessage="1" showErrorMessage="1" sqref="F26" xr:uid="{4CE73F95-5EFB-4CF7-8296-522B2E0DD06E}">
      <formula1>"gross,web"</formula1>
    </dataValidation>
    <dataValidation type="list" allowBlank="1" showInputMessage="1" showErrorMessage="1" sqref="B15:B24" xr:uid="{BECF4FF3-0F1C-45C0-9B4F-612E97CB0852}">
      <formula1>$G$14:$G$29</formula1>
    </dataValidation>
    <dataValidation type="list" allowBlank="1" showInputMessage="1" showErrorMessage="1" sqref="AE2" xr:uid="{FC993A26-B9CA-4338-9813-199EC9B1DB94}">
      <formula1>"6,8,12,24,36,72,180,360"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isection_method_for_p">
                <anchor moveWithCells="1" sizeWithCells="1">
                  <from>
                    <xdr:col>7</xdr:col>
                    <xdr:colOff>47625</xdr:colOff>
                    <xdr:row>3</xdr:row>
                    <xdr:rowOff>9525</xdr:rowOff>
                  </from>
                  <to>
                    <xdr:col>9</xdr:col>
                    <xdr:colOff>190500</xdr:colOff>
                    <xdr:row>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waterfall_solver">
                <anchor moveWithCells="1" sizeWithCells="1">
                  <from>
                    <xdr:col>7</xdr:col>
                    <xdr:colOff>66675</xdr:colOff>
                    <xdr:row>8</xdr:row>
                    <xdr:rowOff>28575</xdr:rowOff>
                  </from>
                  <to>
                    <xdr:col>9</xdr:col>
                    <xdr:colOff>200025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bisection_method_for_na_vector">
                <anchor moveWithCells="1" sizeWithCells="1">
                  <from>
                    <xdr:col>19</xdr:col>
                    <xdr:colOff>295275</xdr:colOff>
                    <xdr:row>24</xdr:row>
                    <xdr:rowOff>85725</xdr:rowOff>
                  </from>
                  <to>
                    <xdr:col>20</xdr:col>
                    <xdr:colOff>800100</xdr:colOff>
                    <xdr:row>27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mx_my">
                <anchor moveWithCells="1" sizeWithCells="1">
                  <from>
                    <xdr:col>29</xdr:col>
                    <xdr:colOff>295275</xdr:colOff>
                    <xdr:row>2</xdr:row>
                    <xdr:rowOff>85725</xdr:rowOff>
                  </from>
                  <to>
                    <xdr:col>31</xdr:col>
                    <xdr:colOff>180975</xdr:colOff>
                    <xdr:row>5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L_Section_Capacity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Donald Bockoven III</dc:creator>
  <cp:lastModifiedBy>Donald Bockoven III</cp:lastModifiedBy>
  <dcterms:created xsi:type="dcterms:W3CDTF">2020-11-07T15:23:03Z</dcterms:created>
  <dcterms:modified xsi:type="dcterms:W3CDTF">2020-11-12T05:26:45Z</dcterms:modified>
</cp:coreProperties>
</file>