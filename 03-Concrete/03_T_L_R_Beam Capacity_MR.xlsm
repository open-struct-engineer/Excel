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432161" documentId="114_{E47FFB45-1E57-4E4B-AA59-D4BC55DAC61C}" xr6:coauthVersionLast="45" xr6:coauthVersionMax="45" xr10:uidLastSave="{2D6539B9-F1A1-4618-B5A0-E6013EA44D8B}"/>
  <bookViews>
    <workbookView xWindow="-120" yWindow="-120" windowWidth="29040" windowHeight="158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0" i="1" l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E365" i="1" l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F24" i="1" s="1"/>
  <c r="CD26" i="1"/>
  <c r="CF26" i="1" s="1"/>
  <c r="CD28" i="1"/>
  <c r="CD30" i="1"/>
  <c r="CD32" i="1"/>
  <c r="CD34" i="1"/>
  <c r="CD36" i="1"/>
  <c r="CD38" i="1"/>
  <c r="CF38" i="1" s="1"/>
  <c r="CD40" i="1"/>
  <c r="CF40" i="1" s="1"/>
  <c r="CD42" i="1"/>
  <c r="CF42" i="1" s="1"/>
  <c r="CD44" i="1"/>
  <c r="CD46" i="1"/>
  <c r="CD48" i="1"/>
  <c r="CD50" i="1"/>
  <c r="CD52" i="1"/>
  <c r="CD54" i="1"/>
  <c r="CF54" i="1" s="1"/>
  <c r="CD56" i="1"/>
  <c r="CD58" i="1"/>
  <c r="CF58" i="1" s="1"/>
  <c r="CD60" i="1"/>
  <c r="CD62" i="1"/>
  <c r="CD64" i="1"/>
  <c r="CD66" i="1"/>
  <c r="CD68" i="1"/>
  <c r="CD70" i="1"/>
  <c r="CF70" i="1" s="1"/>
  <c r="CD72" i="1"/>
  <c r="CD74" i="1"/>
  <c r="CF74" i="1" s="1"/>
  <c r="CD76" i="1"/>
  <c r="CD78" i="1"/>
  <c r="CD80" i="1"/>
  <c r="CD82" i="1"/>
  <c r="CD84" i="1"/>
  <c r="CD86" i="1"/>
  <c r="CF86" i="1" s="1"/>
  <c r="CD88" i="1"/>
  <c r="CD90" i="1"/>
  <c r="CF90" i="1" s="1"/>
  <c r="CD92" i="1"/>
  <c r="CD94" i="1"/>
  <c r="CD96" i="1"/>
  <c r="CD98" i="1"/>
  <c r="CD100" i="1"/>
  <c r="CD102" i="1"/>
  <c r="CF102" i="1" s="1"/>
  <c r="CD104" i="1"/>
  <c r="CD106" i="1"/>
  <c r="CF106" i="1" s="1"/>
  <c r="CD108" i="1"/>
  <c r="CD110" i="1"/>
  <c r="CD112" i="1"/>
  <c r="CD114" i="1"/>
  <c r="CD116" i="1"/>
  <c r="CD118" i="1"/>
  <c r="CF118" i="1" s="1"/>
  <c r="CD120" i="1"/>
  <c r="CD122" i="1"/>
  <c r="CF122" i="1" s="1"/>
  <c r="CD124" i="1"/>
  <c r="CD126" i="1"/>
  <c r="CD128" i="1"/>
  <c r="CD130" i="1"/>
  <c r="CD132" i="1"/>
  <c r="CD134" i="1"/>
  <c r="CF134" i="1" s="1"/>
  <c r="CD136" i="1"/>
  <c r="CD138" i="1"/>
  <c r="CF138" i="1" s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F170" i="1" s="1"/>
  <c r="CD172" i="1"/>
  <c r="CD174" i="1"/>
  <c r="CD176" i="1"/>
  <c r="CD178" i="1"/>
  <c r="CD180" i="1"/>
  <c r="CD182" i="1"/>
  <c r="CD184" i="1"/>
  <c r="CD17" i="1"/>
  <c r="CF17" i="1" s="1"/>
  <c r="CD21" i="1"/>
  <c r="CD25" i="1"/>
  <c r="CD29" i="1"/>
  <c r="CD33" i="1"/>
  <c r="CD37" i="1"/>
  <c r="CF37" i="1" s="1"/>
  <c r="CD41" i="1"/>
  <c r="CD45" i="1"/>
  <c r="CD49" i="1"/>
  <c r="CD53" i="1"/>
  <c r="CD57" i="1"/>
  <c r="CD61" i="1"/>
  <c r="CD65" i="1"/>
  <c r="CD69" i="1"/>
  <c r="CF69" i="1" s="1"/>
  <c r="CD73" i="1"/>
  <c r="CD77" i="1"/>
  <c r="CD81" i="1"/>
  <c r="CF81" i="1" s="1"/>
  <c r="CD85" i="1"/>
  <c r="CD89" i="1"/>
  <c r="CD93" i="1"/>
  <c r="CD97" i="1"/>
  <c r="CD101" i="1"/>
  <c r="CF101" i="1" s="1"/>
  <c r="CD105" i="1"/>
  <c r="CD109" i="1"/>
  <c r="CD113" i="1"/>
  <c r="CF113" i="1" s="1"/>
  <c r="CD117" i="1"/>
  <c r="CD121" i="1"/>
  <c r="CD125" i="1"/>
  <c r="CD129" i="1"/>
  <c r="CD133" i="1"/>
  <c r="CF133" i="1" s="1"/>
  <c r="CD137" i="1"/>
  <c r="CD141" i="1"/>
  <c r="CD145" i="1"/>
  <c r="CF145" i="1" s="1"/>
  <c r="CD149" i="1"/>
  <c r="CD153" i="1"/>
  <c r="CD157" i="1"/>
  <c r="CD161" i="1"/>
  <c r="CD165" i="1"/>
  <c r="CF165" i="1" s="1"/>
  <c r="CD169" i="1"/>
  <c r="CD173" i="1"/>
  <c r="CD177" i="1"/>
  <c r="CF177" i="1" s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F277" i="1" s="1"/>
  <c r="CD279" i="1"/>
  <c r="CD281" i="1"/>
  <c r="CD283" i="1"/>
  <c r="CD285" i="1"/>
  <c r="CD287" i="1"/>
  <c r="CD289" i="1"/>
  <c r="CD291" i="1"/>
  <c r="CD293" i="1"/>
  <c r="CF293" i="1" s="1"/>
  <c r="CD295" i="1"/>
  <c r="CD297" i="1"/>
  <c r="CD299" i="1"/>
  <c r="CD301" i="1"/>
  <c r="CD303" i="1"/>
  <c r="CD305" i="1"/>
  <c r="CD307" i="1"/>
  <c r="CD309" i="1"/>
  <c r="CF309" i="1" s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F341" i="1" s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F373" i="1" s="1"/>
  <c r="CD375" i="1"/>
  <c r="CF375" i="1" s="1"/>
  <c r="CD19" i="1"/>
  <c r="CD23" i="1"/>
  <c r="CD27" i="1"/>
  <c r="CD31" i="1"/>
  <c r="CF31" i="1" s="1"/>
  <c r="CD35" i="1"/>
  <c r="CD39" i="1"/>
  <c r="CD43" i="1"/>
  <c r="CD47" i="1"/>
  <c r="CF47" i="1" s="1"/>
  <c r="CD51" i="1"/>
  <c r="CD55" i="1"/>
  <c r="CD59" i="1"/>
  <c r="CD63" i="1"/>
  <c r="CF63" i="1" s="1"/>
  <c r="CD67" i="1"/>
  <c r="CD71" i="1"/>
  <c r="CD75" i="1"/>
  <c r="CD79" i="1"/>
  <c r="CF79" i="1" s="1"/>
  <c r="CD83" i="1"/>
  <c r="CD87" i="1"/>
  <c r="CD91" i="1"/>
  <c r="CD95" i="1"/>
  <c r="CF95" i="1" s="1"/>
  <c r="CD99" i="1"/>
  <c r="CD103" i="1"/>
  <c r="CD107" i="1"/>
  <c r="CF107" i="1" s="1"/>
  <c r="CD111" i="1"/>
  <c r="CF111" i="1" s="1"/>
  <c r="CD115" i="1"/>
  <c r="CD119" i="1"/>
  <c r="CD123" i="1"/>
  <c r="CD127" i="1"/>
  <c r="CF127" i="1" s="1"/>
  <c r="CD131" i="1"/>
  <c r="CD135" i="1"/>
  <c r="CD139" i="1"/>
  <c r="CF139" i="1" s="1"/>
  <c r="CD143" i="1"/>
  <c r="CF143" i="1" s="1"/>
  <c r="CD147" i="1"/>
  <c r="CD155" i="1"/>
  <c r="CD163" i="1"/>
  <c r="CF163" i="1" s="1"/>
  <c r="CD171" i="1"/>
  <c r="CD179" i="1"/>
  <c r="CD186" i="1"/>
  <c r="CD190" i="1"/>
  <c r="CF190" i="1" s="1"/>
  <c r="CD194" i="1"/>
  <c r="CD198" i="1"/>
  <c r="CD202" i="1"/>
  <c r="CF202" i="1" s="1"/>
  <c r="CD206" i="1"/>
  <c r="CF206" i="1" s="1"/>
  <c r="CD210" i="1"/>
  <c r="CD214" i="1"/>
  <c r="CD218" i="1"/>
  <c r="CF218" i="1" s="1"/>
  <c r="CD222" i="1"/>
  <c r="CF222" i="1" s="1"/>
  <c r="CD226" i="1"/>
  <c r="CD230" i="1"/>
  <c r="CD234" i="1"/>
  <c r="CF234" i="1" s="1"/>
  <c r="CD238" i="1"/>
  <c r="CF238" i="1" s="1"/>
  <c r="CD242" i="1"/>
  <c r="CD246" i="1"/>
  <c r="CD250" i="1"/>
  <c r="CF250" i="1" s="1"/>
  <c r="CD254" i="1"/>
  <c r="CF254" i="1" s="1"/>
  <c r="CD258" i="1"/>
  <c r="CD262" i="1"/>
  <c r="CD266" i="1"/>
  <c r="CF266" i="1" s="1"/>
  <c r="CD270" i="1"/>
  <c r="CF270" i="1" s="1"/>
  <c r="CD274" i="1"/>
  <c r="CD278" i="1"/>
  <c r="CD282" i="1"/>
  <c r="CF282" i="1" s="1"/>
  <c r="CD286" i="1"/>
  <c r="CF286" i="1" s="1"/>
  <c r="CD290" i="1"/>
  <c r="CD294" i="1"/>
  <c r="CD298" i="1"/>
  <c r="CD302" i="1"/>
  <c r="CD306" i="1"/>
  <c r="CD310" i="1"/>
  <c r="CD314" i="1"/>
  <c r="CD318" i="1"/>
  <c r="CD322" i="1"/>
  <c r="CD326" i="1"/>
  <c r="CD330" i="1"/>
  <c r="CF330" i="1" s="1"/>
  <c r="CD334" i="1"/>
  <c r="CD338" i="1"/>
  <c r="CD342" i="1"/>
  <c r="CD346" i="1"/>
  <c r="CF346" i="1" s="1"/>
  <c r="CD350" i="1"/>
  <c r="CD354" i="1"/>
  <c r="CD358" i="1"/>
  <c r="CD362" i="1"/>
  <c r="CD366" i="1"/>
  <c r="CD370" i="1"/>
  <c r="CD374" i="1"/>
  <c r="CD151" i="1"/>
  <c r="CD159" i="1"/>
  <c r="CF159" i="1" s="1"/>
  <c r="CD167" i="1"/>
  <c r="CD175" i="1"/>
  <c r="CF175" i="1" s="1"/>
  <c r="CD183" i="1"/>
  <c r="CD188" i="1"/>
  <c r="CD192" i="1"/>
  <c r="CF192" i="1" s="1"/>
  <c r="CD196" i="1"/>
  <c r="CD200" i="1"/>
  <c r="CD204" i="1"/>
  <c r="CF204" i="1" s="1"/>
  <c r="CD208" i="1"/>
  <c r="CD212" i="1"/>
  <c r="CD216" i="1"/>
  <c r="CD220" i="1"/>
  <c r="CD224" i="1"/>
  <c r="CF224" i="1" s="1"/>
  <c r="CD228" i="1"/>
  <c r="CD232" i="1"/>
  <c r="CD236" i="1"/>
  <c r="CF236" i="1" s="1"/>
  <c r="CD240" i="1"/>
  <c r="CD244" i="1"/>
  <c r="CD248" i="1"/>
  <c r="CD252" i="1"/>
  <c r="CD256" i="1"/>
  <c r="CF256" i="1" s="1"/>
  <c r="CD260" i="1"/>
  <c r="CD264" i="1"/>
  <c r="CD268" i="1"/>
  <c r="CF268" i="1" s="1"/>
  <c r="CD272" i="1"/>
  <c r="CD276" i="1"/>
  <c r="CD280" i="1"/>
  <c r="CD284" i="1"/>
  <c r="CD288" i="1"/>
  <c r="CF288" i="1" s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F352" i="1" s="1"/>
  <c r="CD356" i="1"/>
  <c r="CD360" i="1"/>
  <c r="CD364" i="1"/>
  <c r="CD368" i="1"/>
  <c r="CD372" i="1"/>
  <c r="CD15" i="1"/>
  <c r="CF15" i="1" s="1"/>
  <c r="CF6" i="1"/>
  <c r="CE6" i="1"/>
  <c r="CF94" i="1"/>
  <c r="CF19" i="1"/>
  <c r="CF33" i="1"/>
  <c r="BY6" i="1"/>
  <c r="CA6" i="1" s="1"/>
  <c r="I2" i="1"/>
  <c r="CF161" i="1" l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J189" i="1" s="1"/>
  <c r="D189" i="1"/>
  <c r="E189" i="1"/>
  <c r="B190" i="1"/>
  <c r="J190" i="1" s="1"/>
  <c r="D190" i="1"/>
  <c r="E190" i="1"/>
  <c r="B191" i="1"/>
  <c r="J191" i="1" s="1"/>
  <c r="D191" i="1"/>
  <c r="E191" i="1"/>
  <c r="B192" i="1"/>
  <c r="J192" i="1" s="1"/>
  <c r="D192" i="1"/>
  <c r="E192" i="1"/>
  <c r="B193" i="1"/>
  <c r="J193" i="1" s="1"/>
  <c r="D193" i="1"/>
  <c r="E193" i="1"/>
  <c r="B194" i="1"/>
  <c r="J194" i="1" s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BH363" i="1" l="1"/>
  <c r="BI363" i="1" s="1"/>
  <c r="W14" i="1"/>
  <c r="AD46" i="1"/>
  <c r="AD45" i="1"/>
  <c r="F189" i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J66" i="1" s="1"/>
  <c r="B67" i="1"/>
  <c r="J67" i="1" s="1"/>
  <c r="D67" i="1"/>
  <c r="B68" i="1"/>
  <c r="J68" i="1" s="1"/>
  <c r="D68" i="1"/>
  <c r="B69" i="1"/>
  <c r="J69" i="1" s="1"/>
  <c r="D69" i="1"/>
  <c r="B70" i="1"/>
  <c r="J70" i="1" s="1"/>
  <c r="D70" i="1"/>
  <c r="B71" i="1"/>
  <c r="J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 l="1"/>
  <c r="D95" i="1"/>
  <c r="X4" i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376" i="1" l="1"/>
  <c r="CE5" i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Y376" i="1" l="1"/>
  <c r="BZ376" i="1"/>
  <c r="BZ15" i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BY175" i="1"/>
  <c r="BY177" i="1"/>
  <c r="BY179" i="1"/>
  <c r="BY181" i="1"/>
  <c r="BY183" i="1"/>
  <c r="BY185" i="1"/>
  <c r="BY187" i="1"/>
  <c r="BY189" i="1"/>
  <c r="BY191" i="1"/>
  <c r="BY193" i="1"/>
  <c r="BY195" i="1"/>
  <c r="BY197" i="1"/>
  <c r="BY199" i="1"/>
  <c r="BY201" i="1"/>
  <c r="BY203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Y271" i="1"/>
  <c r="BY273" i="1"/>
  <c r="BY275" i="1"/>
  <c r="BY277" i="1"/>
  <c r="BY279" i="1"/>
  <c r="BY281" i="1"/>
  <c r="BY283" i="1"/>
  <c r="BY285" i="1"/>
  <c r="BY287" i="1"/>
  <c r="BY289" i="1"/>
  <c r="BY291" i="1"/>
  <c r="BY293" i="1"/>
  <c r="BY295" i="1"/>
  <c r="BY297" i="1"/>
  <c r="BY299" i="1"/>
  <c r="BY301" i="1"/>
  <c r="BY303" i="1"/>
  <c r="BY305" i="1"/>
  <c r="BY307" i="1"/>
  <c r="BY309" i="1"/>
  <c r="BY311" i="1"/>
  <c r="BY313" i="1"/>
  <c r="BY315" i="1"/>
  <c r="BY317" i="1"/>
  <c r="BY319" i="1"/>
  <c r="BY321" i="1"/>
  <c r="BY323" i="1"/>
  <c r="BY325" i="1"/>
  <c r="BY327" i="1"/>
  <c r="BY329" i="1"/>
  <c r="BY331" i="1"/>
  <c r="BY333" i="1"/>
  <c r="BY335" i="1"/>
  <c r="BY337" i="1"/>
  <c r="BY339" i="1"/>
  <c r="BY341" i="1"/>
  <c r="BY343" i="1"/>
  <c r="BY345" i="1"/>
  <c r="BY347" i="1"/>
  <c r="BY349" i="1"/>
  <c r="BY351" i="1"/>
  <c r="BY353" i="1"/>
  <c r="BY355" i="1"/>
  <c r="BY357" i="1"/>
  <c r="BY359" i="1"/>
  <c r="BY361" i="1"/>
  <c r="BY363" i="1"/>
  <c r="BY365" i="1"/>
  <c r="BY367" i="1"/>
  <c r="BY369" i="1"/>
  <c r="BY371" i="1"/>
  <c r="BY373" i="1"/>
  <c r="BY375" i="1"/>
  <c r="BY272" i="1"/>
  <c r="BY274" i="1"/>
  <c r="BY276" i="1"/>
  <c r="BY278" i="1"/>
  <c r="BY280" i="1"/>
  <c r="BY282" i="1"/>
  <c r="BY284" i="1"/>
  <c r="BY286" i="1"/>
  <c r="BY288" i="1"/>
  <c r="BY290" i="1"/>
  <c r="BY292" i="1"/>
  <c r="BY294" i="1"/>
  <c r="BY296" i="1"/>
  <c r="BY298" i="1"/>
  <c r="BY300" i="1"/>
  <c r="BY302" i="1"/>
  <c r="BY304" i="1"/>
  <c r="BY306" i="1"/>
  <c r="BY308" i="1"/>
  <c r="BY310" i="1"/>
  <c r="BY312" i="1"/>
  <c r="BY314" i="1"/>
  <c r="BY316" i="1"/>
  <c r="BY318" i="1"/>
  <c r="BY320" i="1"/>
  <c r="BY322" i="1"/>
  <c r="BY324" i="1"/>
  <c r="BY330" i="1"/>
  <c r="BY334" i="1"/>
  <c r="BY338" i="1"/>
  <c r="BY340" i="1"/>
  <c r="BY344" i="1"/>
  <c r="BY346" i="1"/>
  <c r="BY348" i="1"/>
  <c r="BY352" i="1"/>
  <c r="BY356" i="1"/>
  <c r="BY360" i="1"/>
  <c r="BY366" i="1"/>
  <c r="BY372" i="1"/>
  <c r="BY326" i="1"/>
  <c r="BY328" i="1"/>
  <c r="BY332" i="1"/>
  <c r="BY336" i="1"/>
  <c r="BY342" i="1"/>
  <c r="BY350" i="1"/>
  <c r="BY354" i="1"/>
  <c r="BY358" i="1"/>
  <c r="BY362" i="1"/>
  <c r="BY364" i="1"/>
  <c r="BY368" i="1"/>
  <c r="BY370" i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A376" i="1" l="1"/>
  <c r="CB376" i="1" s="1"/>
  <c r="CC376" i="1" s="1"/>
  <c r="CA370" i="1"/>
  <c r="CB370" i="1" s="1"/>
  <c r="CC370" i="1" s="1"/>
  <c r="CA276" i="1"/>
  <c r="CB276" i="1" s="1"/>
  <c r="CC276" i="1" s="1"/>
  <c r="CA317" i="1"/>
  <c r="CB317" i="1" s="1"/>
  <c r="CC317" i="1" s="1"/>
  <c r="CA237" i="1"/>
  <c r="CB237" i="1" s="1"/>
  <c r="CC237" i="1" s="1"/>
  <c r="CA301" i="1"/>
  <c r="CB301" i="1" s="1"/>
  <c r="CC301" i="1" s="1"/>
  <c r="CA205" i="1"/>
  <c r="CB205" i="1" s="1"/>
  <c r="CC205" i="1" s="1"/>
  <c r="CA352" i="1"/>
  <c r="CB352" i="1" s="1"/>
  <c r="CC352" i="1" s="1"/>
  <c r="CA349" i="1"/>
  <c r="CB349" i="1" s="1"/>
  <c r="CC349" i="1" s="1"/>
  <c r="CA269" i="1"/>
  <c r="CB269" i="1" s="1"/>
  <c r="CC269" i="1" s="1"/>
  <c r="CA173" i="1"/>
  <c r="CB173" i="1" s="1"/>
  <c r="CC173" i="1" s="1"/>
  <c r="CA308" i="1"/>
  <c r="CB308" i="1" s="1"/>
  <c r="CC308" i="1" s="1"/>
  <c r="CA253" i="1"/>
  <c r="CB253" i="1" s="1"/>
  <c r="CC253" i="1" s="1"/>
  <c r="CA336" i="1"/>
  <c r="CB336" i="1" s="1"/>
  <c r="CC336" i="1" s="1"/>
  <c r="CA292" i="1"/>
  <c r="CB292" i="1" s="1"/>
  <c r="CC292" i="1" s="1"/>
  <c r="CA333" i="1"/>
  <c r="CB333" i="1" s="1"/>
  <c r="CC333" i="1" s="1"/>
  <c r="CA221" i="1"/>
  <c r="CB221" i="1" s="1"/>
  <c r="CC221" i="1" s="1"/>
  <c r="CA324" i="1"/>
  <c r="CB324" i="1" s="1"/>
  <c r="CC324" i="1" s="1"/>
  <c r="CA365" i="1"/>
  <c r="CB365" i="1" s="1"/>
  <c r="CC365" i="1" s="1"/>
  <c r="CA285" i="1"/>
  <c r="CB285" i="1" s="1"/>
  <c r="CC285" i="1" s="1"/>
  <c r="CA189" i="1"/>
  <c r="CB189" i="1" s="1"/>
  <c r="CC189" i="1" s="1"/>
  <c r="CA157" i="1"/>
  <c r="CB157" i="1" s="1"/>
  <c r="CC157" i="1" s="1"/>
  <c r="CA256" i="1"/>
  <c r="CB256" i="1" s="1"/>
  <c r="CC256" i="1" s="1"/>
  <c r="CA224" i="1"/>
  <c r="CB224" i="1" s="1"/>
  <c r="CC224" i="1" s="1"/>
  <c r="CA125" i="1"/>
  <c r="CB125" i="1" s="1"/>
  <c r="CC125" i="1" s="1"/>
  <c r="CA208" i="1"/>
  <c r="CB208" i="1" s="1"/>
  <c r="CC208" i="1" s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B240" i="1" s="1"/>
  <c r="CC240" i="1" s="1"/>
  <c r="CA176" i="1"/>
  <c r="CB176" i="1" s="1"/>
  <c r="CC176" i="1" s="1"/>
  <c r="CA160" i="1"/>
  <c r="CB160" i="1" s="1"/>
  <c r="CC160" i="1" s="1"/>
  <c r="CA144" i="1"/>
  <c r="CB144" i="1" s="1"/>
  <c r="CC144" i="1" s="1"/>
  <c r="CA76" i="1"/>
  <c r="CB76" i="1" s="1"/>
  <c r="CC76" i="1" s="1"/>
  <c r="CA112" i="1"/>
  <c r="CB112" i="1" s="1"/>
  <c r="CC112" i="1" s="1"/>
  <c r="CA92" i="1"/>
  <c r="CB92" i="1" s="1"/>
  <c r="CC92" i="1" s="1"/>
  <c r="CA47" i="1"/>
  <c r="CB47" i="1" s="1"/>
  <c r="CC47" i="1" s="1"/>
  <c r="CA31" i="1"/>
  <c r="CB31" i="1" s="1"/>
  <c r="CC31" i="1" s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J186" i="1" l="1"/>
  <c r="J187" i="1"/>
  <c r="K187" i="1" s="1"/>
  <c r="J185" i="1"/>
  <c r="J188" i="1"/>
  <c r="K188" i="1" s="1"/>
  <c r="L188" i="1" s="1"/>
  <c r="M188" i="1" s="1"/>
  <c r="N188" i="1" s="1"/>
  <c r="J63" i="1"/>
  <c r="K63" i="1" s="1"/>
  <c r="L63" i="1" s="1"/>
  <c r="M63" i="1" s="1"/>
  <c r="O63" i="1" s="1"/>
  <c r="J64" i="1"/>
  <c r="K64" i="1" s="1"/>
  <c r="L64" i="1" s="1"/>
  <c r="M64" i="1" s="1"/>
  <c r="O64" i="1" s="1"/>
  <c r="J62" i="1"/>
  <c r="K62" i="1" s="1"/>
  <c r="L62" i="1" s="1"/>
  <c r="M62" i="1" s="1"/>
  <c r="N62" i="1" s="1"/>
  <c r="J65" i="1"/>
  <c r="K65" i="1" s="1"/>
  <c r="L65" i="1" s="1"/>
  <c r="M65" i="1" s="1"/>
  <c r="O65" i="1" s="1"/>
  <c r="CA5" i="1"/>
  <c r="DZ21" i="1"/>
  <c r="DX21" i="1"/>
  <c r="DY20" i="1"/>
  <c r="DZ20" i="1"/>
  <c r="DX20" i="1"/>
  <c r="DW24" i="1" s="1"/>
  <c r="DY21" i="1"/>
  <c r="ED20" i="1"/>
  <c r="EE20" i="1"/>
  <c r="EC20" i="1"/>
  <c r="K190" i="1"/>
  <c r="L190" i="1" s="1"/>
  <c r="M190" i="1" s="1"/>
  <c r="N190" i="1" s="1"/>
  <c r="K189" i="1"/>
  <c r="L189" i="1" s="1"/>
  <c r="M189" i="1" s="1"/>
  <c r="N189" i="1" s="1"/>
  <c r="K191" i="1"/>
  <c r="K185" i="1"/>
  <c r="K192" i="1"/>
  <c r="K193" i="1"/>
  <c r="K186" i="1"/>
  <c r="K194" i="1"/>
  <c r="F56" i="1"/>
  <c r="G56" i="1" s="1"/>
  <c r="E171" i="1"/>
  <c r="F53" i="1"/>
  <c r="G53" i="1" s="1"/>
  <c r="C161" i="1"/>
  <c r="B148" i="1"/>
  <c r="F170" i="1" s="1"/>
  <c r="F50" i="1"/>
  <c r="G50" i="1" s="1"/>
  <c r="B158" i="1"/>
  <c r="B169" i="1" s="1"/>
  <c r="G41" i="1"/>
  <c r="O38" i="1" s="1"/>
  <c r="O33" i="1" s="1"/>
  <c r="K66" i="1"/>
  <c r="L66" i="1" s="1"/>
  <c r="M66" i="1" s="1"/>
  <c r="N66" i="1" s="1"/>
  <c r="K68" i="1"/>
  <c r="L68" i="1" s="1"/>
  <c r="M68" i="1" s="1"/>
  <c r="K67" i="1"/>
  <c r="L67" i="1" s="1"/>
  <c r="M67" i="1" s="1"/>
  <c r="O67" i="1" s="1"/>
  <c r="G40" i="1"/>
  <c r="K38" i="1" s="1"/>
  <c r="K39" i="1" s="1"/>
  <c r="J34" i="1" s="1"/>
  <c r="J72" i="1" l="1"/>
  <c r="CE8" i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B196" i="1" l="1"/>
  <c r="U3" i="1"/>
  <c r="AC17" i="1" s="1"/>
  <c r="L72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O73" i="1" l="1"/>
  <c r="R73" i="1" s="1"/>
  <c r="B198" i="1"/>
  <c r="B197" i="1"/>
  <c r="O196" i="1"/>
  <c r="AE17" i="1"/>
  <c r="AD17" i="1"/>
  <c r="DW44" i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E76" i="1"/>
  <c r="P57" i="1"/>
  <c r="N57" i="1"/>
  <c r="O57" i="1"/>
  <c r="F76" i="1" l="1"/>
  <c r="S73" i="1"/>
  <c r="R75" i="1" s="1"/>
  <c r="T196" i="1"/>
  <c r="S196" i="1"/>
  <c r="B75" i="1"/>
  <c r="DW44" i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Q36" i="1" l="1"/>
  <c r="S198" i="1"/>
  <c r="S58" i="1"/>
  <c r="R36" i="1"/>
  <c r="Q35" i="1"/>
  <c r="Z159" i="1"/>
  <c r="N159" i="1" s="1"/>
  <c r="AW159" i="1"/>
  <c r="O159" i="1" s="1"/>
  <c r="AW163" i="1"/>
  <c r="O163" i="1" s="1"/>
  <c r="B178" i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B200" i="1"/>
  <c r="U4" i="1" s="1"/>
  <c r="Z18" i="1" s="1"/>
  <c r="AC18" i="1" s="1"/>
  <c r="O165" i="1"/>
  <c r="B180" i="1" s="1"/>
  <c r="F178" i="1" s="1"/>
  <c r="N165" i="1"/>
  <c r="B179" i="1" s="1"/>
  <c r="B83" i="1"/>
  <c r="AB7" i="1" l="1"/>
  <c r="EB5" i="1"/>
  <c r="EB6" i="1" s="1"/>
  <c r="W4" i="1"/>
  <c r="B201" i="1"/>
  <c r="E178" i="1"/>
  <c r="B202" i="1"/>
  <c r="EB11" i="1" l="1"/>
  <c r="B205" i="1"/>
  <c r="U6" i="1" s="1"/>
  <c r="AF11" i="1" s="1"/>
  <c r="B204" i="1"/>
  <c r="U5" i="1" s="1"/>
  <c r="AE11" i="1" s="1"/>
  <c r="G178" i="1"/>
  <c r="H178" i="1"/>
  <c r="R33" i="1" s="1"/>
  <c r="EB12" i="1"/>
  <c r="EB22" i="1" s="1" a="1"/>
  <c r="EB22" i="1" s="1"/>
  <c r="EG6" i="1"/>
  <c r="Q33" i="1" l="1"/>
  <c r="J178" i="1"/>
  <c r="Q32" i="1" s="1"/>
  <c r="AB9" i="1"/>
  <c r="ED5" i="1"/>
  <c r="ED11" i="1" s="1"/>
  <c r="AB18" i="1"/>
  <c r="AE18" i="1" s="1"/>
  <c r="W6" i="1"/>
  <c r="BX7" i="1"/>
  <c r="CJ9" i="1" s="1"/>
  <c r="U18" i="1"/>
  <c r="U19" i="1" s="1"/>
  <c r="U21" i="1" s="1"/>
  <c r="AA18" i="1"/>
  <c r="AD18" i="1" s="1"/>
  <c r="AA9" i="1"/>
  <c r="U7" i="1"/>
  <c r="W7" i="1" s="1"/>
  <c r="Y8" i="1" s="1"/>
  <c r="U8" i="1"/>
  <c r="AA7" i="1" s="1"/>
  <c r="EC5" i="1"/>
  <c r="BW7" i="1"/>
  <c r="CI9" i="1" s="1"/>
  <c r="EG12" i="1"/>
  <c r="EI12" i="1" s="1"/>
  <c r="EJ6" i="1"/>
  <c r="EI6" i="1"/>
  <c r="EH6" i="1"/>
  <c r="ED22" i="1"/>
  <c r="EC22" i="1"/>
  <c r="EE22" i="1"/>
  <c r="CJ7" i="1" l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W8" i="1"/>
  <c r="X7" i="1"/>
  <c r="EC11" i="1"/>
  <c r="EG11" i="1" s="1"/>
  <c r="CI6" i="1"/>
  <c r="EG5" i="1"/>
  <c r="EH5" i="1" s="1"/>
  <c r="BY7" i="1"/>
  <c r="CA7" i="1" s="1"/>
  <c r="EH12" i="1"/>
  <c r="EJ12" i="1"/>
  <c r="EB32" i="1" a="1"/>
  <c r="CK10" i="1" l="1"/>
  <c r="CK11" i="1" s="1"/>
  <c r="CJ8" i="1"/>
  <c r="U23" i="1"/>
  <c r="V23" i="1" s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<sst xmlns="http://schemas.openxmlformats.org/spreadsheetml/2006/main" count="409" uniqueCount="245">
  <si>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</si>
  <si>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</si>
  <si>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</si>
  <si>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</si>
  <si>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</si>
  <si>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</si>
  <si>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</si>
  <si>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</si>
  <si>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</si>
  <si>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</si>
  <si>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</si>
  <si>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</si>
  <si>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</si>
  <si>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</si>
  <si>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</si>
  <si>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</si>
  <si>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</si>
  <si>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</si>
  <si>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</si>
  <si>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</si>
  <si>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</si>
  <si>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</si>
  <si>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</si>
  <si>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</si>
  <si>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</si>
  <si>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</si>
  <si>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</si>
  <si>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</si>
  <si>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</si>
  <si>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</si>
  <si>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</si>
  <si>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</si>
  <si>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</si>
  <si>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</si>
  <si>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</si>
  <si>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</si>
  <si>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</si>
  <si>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</si>
  <si>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</si>
  <si>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</si>
  <si>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</si>
  <si>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</si>
  <si>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</si>
  <si>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</si>
  <si>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</si>
  <si>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</si>
  <si>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</si>
  <si>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</si>
  <si>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</si>
  <si>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</si>
  <si>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</si>
  <si>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</si>
  <si>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</si>
  <si>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</si>
  <si>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</si>
  <si>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</si>
  <si>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</si>
  <si>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</si>
  <si>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</si>
  <si>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</si>
  <si>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</si>
  <si>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</si>
  <si>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</si>
  <si>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</si>
  <si>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</si>
  <si>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</si>
  <si>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</si>
  <si>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</si>
  <si>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</si>
  <si>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</si>
  <si>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</si>
  <si>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</si>
  <si>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</si>
  <si>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</si>
  <si>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</si>
  <si>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</si>
  <si>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</si>
  <si>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</si>
  <si>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</si>
  <si>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</si>
  <si>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</si>
  <si>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</si>
  <si>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</si>
  <si>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</si>
  <si>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</si>
  <si>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</si>
  <si>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</si>
  <si>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</si>
  <si>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</si>
  <si>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</si>
  <si>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</si>
  <si>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</si>
  <si>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</si>
  <si>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</si>
  <si>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</si>
  <si>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</si>
  <si>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</si>
  <si>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</si>
  <si>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</si>
  <si>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</si>
  <si>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</si>
  <si>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</si>
  <si>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</si>
  <si>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</si>
  <si>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</si>
  <si>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</si>
  <si>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</si>
  <si>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</si>
  <si>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</si>
  <si>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</si>
  <si>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</si>
  <si>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</si>
  <si>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</si>
  <si>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</si>
  <si>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</si>
  <si>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</si>
  <si>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</si>
  <si>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</si>
  <si>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</si>
  <si>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</si>
  <si>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</si>
  <si>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</si>
  <si>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</si>
  <si>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</si>
  <si>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</si>
  <si>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</si>
  <si>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</si>
  <si>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</si>
  <si>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</si>
  <si>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</si>
  <si>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</si>
  <si>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</si>
  <si>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</si>
  <si>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</si>
  <si>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</si>
  <si>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</si>
  <si>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</si>
  <si>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</si>
  <si>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</si>
  <si>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</si>
  <si>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</si>
  <si>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</si>
  <si>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</si>
  <si>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</si>
  <si>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</si>
  <si>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</si>
  <si>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</si>
  <si>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</si>
  <si>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</si>
  <si>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</si>
  <si>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</si>
  <si>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</si>
  <si>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</si>
  <si>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</si>
  <si>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</si>
  <si>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</si>
  <si>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</si>
  <si>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</si>
  <si>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</si>
  <si>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</si>
  <si>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</si>
  <si>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</si>
  <si>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</si>
  <si>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</si>
  <si>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</si>
  <si>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</si>
  <si>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</si>
  <si>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</si>
  <si>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</si>
  <si>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</si>
  <si>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</si>
  <si>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</si>
  <si>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</si>
  <si>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</si>
  <si>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</si>
  <si>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</si>
  <si>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</si>
  <si>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</si>
  <si>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</si>
  <si>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</si>
  <si>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</si>
  <si>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</si>
  <si>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</si>
  <si>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</si>
  <si>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</si>
  <si>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</si>
  <si>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</si>
  <si>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</si>
  <si>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</si>
  <si>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</si>
  <si>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</si>
  <si>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</si>
  <si>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</si>
  <si>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</si>
  <si>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</si>
  <si>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</si>
  <si>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</si>
  <si>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</si>
  <si>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</si>
  <si>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</si>
  <si>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</si>
  <si>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</si>
  <si>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</si>
  <si>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</si>
  <si>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</si>
  <si>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</si>
  <si>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</si>
  <si>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</si>
  <si>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</si>
  <si>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</si>
  <si>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</si>
  <si>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</si>
  <si>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</si>
  <si>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</si>
  <si>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</si>
  <si>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</si>
  <si>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</si>
  <si>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</si>
  <si>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</si>
  <si>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</si>
  <si>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</si>
  <si>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</si>
  <si>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</si>
  <si>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</si>
  <si>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</si>
  <si>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</si>
  <si>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</si>
  <si>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</si>
  <si>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</si>
  <si>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</si>
  <si>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</si>
  <si>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</si>
  <si>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</si>
  <si>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</si>
  <si>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</si>
  <si>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</si>
  <si>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</si>
  <si>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</si>
  <si>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</si>
  <si>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</si>
  <si>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</si>
  <si>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</si>
  <si>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Whitney</t>
  </si>
  <si>
    <t>NA Angle Iters</t>
  </si>
  <si>
    <t>Total Iters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</si>
</sst>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-13.435177732872329</c:v>
                </c:pt>
                <c:pt idx="1">
                  <c:v>37.015016010011678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21.458333258499934</c:v>
                </c:pt>
                <c:pt idx="1">
                  <c:v>23.681219354468418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-13.456975848637114</c:v>
                </c:pt>
                <c:pt idx="1">
                  <c:v>36.993217894246889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21.953059086133528</c:v>
                </c:pt>
                <c:pt idx="1">
                  <c:v>24.175945182102012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L_Section_Capacity!$Q$32</c:f>
              <c:strCache>
                <c:ptCount val="1"/>
                <c:pt idx="0">
                  <c:v>Cc = 189.6 kips
 @ ( 3 , 23.3391 )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L_Section_Capacity!$Q$33</c:f>
              <c:numCache>
                <c:formatCode>General</c:formatCode>
                <c:ptCount val="1"/>
                <c:pt idx="0">
                  <c:v>3.0000000015176149</c:v>
                </c:pt>
              </c:numCache>
            </c:numRef>
          </c:xVal>
          <c:yVal>
            <c:numRef>
              <c:f>L_Section_Capacity!$R$33</c:f>
              <c:numCache>
                <c:formatCode>General</c:formatCode>
                <c:ptCount val="1"/>
                <c:pt idx="0">
                  <c:v>23.339084967387191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ser>
          <c:idx val="7"/>
          <c:order val="7"/>
          <c:tx>
            <c:strRef>
              <c:f>L_Section_Capacity!$Q$35</c:f>
              <c:strCache>
                <c:ptCount val="1"/>
                <c:pt idx="0">
                  <c:v>Ts = -189.6 kips
 @ ( 3 , 3 )</c:v>
                </c:pt>
              </c:strCache>
            </c:strRef>
          </c:tx>
          <c:spPr>
            <a:ln>
              <a:noFill/>
            </a:ln>
          </c:spPr>
          <c:marker>
            <c:symbol val="star"/>
            <c:size val="8"/>
            <c:spPr>
              <a:ln w="15875">
                <a:solidFill>
                  <a:srgbClr val="FF0000"/>
                </a:solidFill>
              </a:ln>
            </c:spPr>
          </c:marker>
          <c:xVal>
            <c:numRef>
              <c:f>L_Section_Capacity!$Q$36</c:f>
              <c:numCache>
                <c:formatCode>General</c:formatCode>
                <c:ptCount val="1"/>
                <c:pt idx="0">
                  <c:v>2.9999999999999996</c:v>
                </c:pt>
              </c:numCache>
            </c:numRef>
          </c:xVal>
          <c:yVal>
            <c:numRef>
              <c:f>L_Section_Capacity!$R$36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3-4956-A4F3-2324585C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-6.5224038900078964</c:v>
                </c:pt>
                <c:pt idx="1">
                  <c:v>5.4659648112891643</c:v>
                </c:pt>
                <c:pt idx="2">
                  <c:v>6.170257530434986</c:v>
                </c:pt>
                <c:pt idx="3">
                  <c:v>30.146994933029109</c:v>
                </c:pt>
                <c:pt idx="4">
                  <c:v>30.499141292602019</c:v>
                </c:pt>
                <c:pt idx="5">
                  <c:v>-17.454333512586224</c:v>
                </c:pt>
                <c:pt idx="6">
                  <c:v>-17.806479872159134</c:v>
                </c:pt>
                <c:pt idx="7">
                  <c:v>-5.8181111708620747</c:v>
                </c:pt>
                <c:pt idx="8">
                  <c:v>-6.5224038900078964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-11.724258931617378</c:v>
                </c:pt>
                <c:pt idx="1">
                  <c:v>-12.252478470976744</c:v>
                </c:pt>
                <c:pt idx="2">
                  <c:v>3.7320131307526707</c:v>
                </c:pt>
                <c:pt idx="3">
                  <c:v>2.6755740520339386</c:v>
                </c:pt>
                <c:pt idx="4">
                  <c:v>10.667819852898646</c:v>
                </c:pt>
                <c:pt idx="5">
                  <c:v>12.78069801033611</c:v>
                </c:pt>
                <c:pt idx="6">
                  <c:v>4.7884522094714033</c:v>
                </c:pt>
                <c:pt idx="7">
                  <c:v>4.2602326701120372</c:v>
                </c:pt>
                <c:pt idx="8">
                  <c:v>-11.724258931617378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-4.436305849898492</c:v>
                </c:pt>
                <c:pt idx="1">
                  <c:v>-4.3482692600052646</c:v>
                </c:pt>
                <c:pt idx="2">
                  <c:v>-2.4382443996823153</c:v>
                </c:pt>
                <c:pt idx="3">
                  <c:v>-2.3502078097890875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-9.8142340712944289</c:v>
                </c:pt>
                <c:pt idx="1">
                  <c:v>-7.8161726210782518</c:v>
                </c:pt>
                <c:pt idx="2">
                  <c:v>-9.9022706611876554</c:v>
                </c:pt>
                <c:pt idx="3">
                  <c:v>-7.9042092109714801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-19</c:v>
                </c:pt>
                <c:pt idx="1">
                  <c:v>31.499141292602019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10.304668919338573</c:v>
                </c:pt>
                <c:pt idx="1">
                  <c:v>10.304668919338573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-19</c:v>
                </c:pt>
                <c:pt idx="1">
                  <c:v>31.499141292602019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10.799874737538079</c:v>
                </c:pt>
                <c:pt idx="1">
                  <c:v>10.799874737538079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27.502049121826179</c:v>
                </c:pt>
                <c:pt idx="5">
                  <c:v>-17.454333512586224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10.799874737538079</c:v>
                </c:pt>
                <c:pt idx="5">
                  <c:v>12.78069801033611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-17.454333512586224</c:v>
                </c:pt>
                <c:pt idx="5">
                  <c:v>-17.54161057110683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12.78069801033611</c:v>
                </c:pt>
                <c:pt idx="5">
                  <c:v>10.799874737538079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289.22178823623068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-1.6115109247039072E-11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50</c:v>
                </c:pt>
                <c:pt idx="1">
                  <c:v>289.22178823623068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-1.6115109247039072E-11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L_Section_Capacity!$BD$2:$BD$363</c:f>
              <c:numCache>
                <c:formatCode>General</c:formatCode>
                <c:ptCount val="362"/>
                <c:pt idx="0">
                  <c:v>291.71102725668004</c:v>
                </c:pt>
                <c:pt idx="1">
                  <c:v>278.72835816280337</c:v>
                </c:pt>
                <c:pt idx="2">
                  <c:v>270.04118747967789</c:v>
                </c:pt>
                <c:pt idx="3">
                  <c:v>262.81494642675545</c:v>
                </c:pt>
                <c:pt idx="4">
                  <c:v>257.23446384482412</c:v>
                </c:pt>
                <c:pt idx="5">
                  <c:v>252.99080595422316</c:v>
                </c:pt>
                <c:pt idx="6">
                  <c:v>249.57634101089468</c:v>
                </c:pt>
                <c:pt idx="7">
                  <c:v>243.66295472164731</c:v>
                </c:pt>
                <c:pt idx="8">
                  <c:v>228.15675091874857</c:v>
                </c:pt>
                <c:pt idx="9">
                  <c:v>210.67862860828453</c:v>
                </c:pt>
                <c:pt idx="10">
                  <c:v>167.49507531497792</c:v>
                </c:pt>
                <c:pt idx="11">
                  <c:v>117.33213086549411</c:v>
                </c:pt>
                <c:pt idx="12">
                  <c:v>59.527798375994294</c:v>
                </c:pt>
                <c:pt idx="13">
                  <c:v>5.1849636795053806</c:v>
                </c:pt>
                <c:pt idx="14">
                  <c:v>-6.2685101700526742</c:v>
                </c:pt>
                <c:pt idx="15">
                  <c:v>-7.410015899299788</c:v>
                </c:pt>
                <c:pt idx="16">
                  <c:v>-9.0305825375953148</c:v>
                </c:pt>
                <c:pt idx="17">
                  <c:v>-12.202869343505967</c:v>
                </c:pt>
                <c:pt idx="18">
                  <c:v>-16.496013931207571</c:v>
                </c:pt>
                <c:pt idx="19">
                  <c:v>-13.201886673787211</c:v>
                </c:pt>
                <c:pt idx="20">
                  <c:v>-10.614063840701233</c:v>
                </c:pt>
                <c:pt idx="21">
                  <c:v>10.527789628229202</c:v>
                </c:pt>
                <c:pt idx="22">
                  <c:v>111.95757191984598</c:v>
                </c:pt>
                <c:pt idx="23">
                  <c:v>191.63567148983924</c:v>
                </c:pt>
                <c:pt idx="24">
                  <c:v>232.02536260369061</c:v>
                </c:pt>
                <c:pt idx="25">
                  <c:v>236.79000646161776</c:v>
                </c:pt>
                <c:pt idx="26">
                  <c:v>239.34195306234213</c:v>
                </c:pt>
                <c:pt idx="27">
                  <c:v>241.73999999995374</c:v>
                </c:pt>
                <c:pt idx="28">
                  <c:v>244.13804693758027</c:v>
                </c:pt>
                <c:pt idx="29">
                  <c:v>246.68999353837546</c:v>
                </c:pt>
                <c:pt idx="30">
                  <c:v>249.57634101096011</c:v>
                </c:pt>
                <c:pt idx="31">
                  <c:v>252.99080595431178</c:v>
                </c:pt>
                <c:pt idx="32">
                  <c:v>257.23446384480059</c:v>
                </c:pt>
                <c:pt idx="33">
                  <c:v>262.81494642678518</c:v>
                </c:pt>
                <c:pt idx="34">
                  <c:v>270.04118747971296</c:v>
                </c:pt>
                <c:pt idx="35">
                  <c:v>278.72835816278598</c:v>
                </c:pt>
                <c:pt idx="36">
                  <c:v>291.71102725666196</c:v>
                </c:pt>
                <c:pt idx="37">
                  <c:v>291.71102725667146</c:v>
                </c:pt>
                <c:pt idx="361" formatCode="0.000">
                  <c:v>148.21567446332048</c:v>
                </c:pt>
              </c:numCache>
            </c:numRef>
          </c:xVal>
          <c:yVal>
            <c:numRef>
              <c:f>L_Section_Capacity!$BE$2:$BE$363</c:f>
              <c:numCache>
                <c:formatCode>General</c:formatCode>
                <c:ptCount val="362"/>
                <c:pt idx="0">
                  <c:v>-127.97999999996405</c:v>
                </c:pt>
                <c:pt idx="1">
                  <c:v>100.48889328633791</c:v>
                </c:pt>
                <c:pt idx="2">
                  <c:v>134.78035792559811</c:v>
                </c:pt>
                <c:pt idx="3">
                  <c:v>150.7006215934135</c:v>
                </c:pt>
                <c:pt idx="4">
                  <c:v>159.4248195915888</c:v>
                </c:pt>
                <c:pt idx="5">
                  <c:v>164.559515815201</c:v>
                </c:pt>
                <c:pt idx="6">
                  <c:v>167.80273630277867</c:v>
                </c:pt>
                <c:pt idx="7">
                  <c:v>167.79522086796035</c:v>
                </c:pt>
                <c:pt idx="8">
                  <c:v>159.94580035289394</c:v>
                </c:pt>
                <c:pt idx="9">
                  <c:v>149.76550867174356</c:v>
                </c:pt>
                <c:pt idx="10">
                  <c:v>123.75110093305304</c:v>
                </c:pt>
                <c:pt idx="11">
                  <c:v>93.917378986355672</c:v>
                </c:pt>
                <c:pt idx="12">
                  <c:v>57.336414646254923</c:v>
                </c:pt>
                <c:pt idx="13">
                  <c:v>16.759473953449227</c:v>
                </c:pt>
                <c:pt idx="14">
                  <c:v>5.2531929098978658</c:v>
                </c:pt>
                <c:pt idx="15">
                  <c:v>4.0968924178175588</c:v>
                </c:pt>
                <c:pt idx="16">
                  <c:v>2.1938897971938958</c:v>
                </c:pt>
                <c:pt idx="17">
                  <c:v>-3.5059474519157163</c:v>
                </c:pt>
                <c:pt idx="18">
                  <c:v>-14.764959780357611</c:v>
                </c:pt>
                <c:pt idx="19">
                  <c:v>-20.14613902724907</c:v>
                </c:pt>
                <c:pt idx="20">
                  <c:v>-25.278281247397143</c:v>
                </c:pt>
                <c:pt idx="21">
                  <c:v>-70.308057373255551</c:v>
                </c:pt>
                <c:pt idx="22">
                  <c:v>-236.02082111967823</c:v>
                </c:pt>
                <c:pt idx="23">
                  <c:v>-349.86995112067927</c:v>
                </c:pt>
                <c:pt idx="24">
                  <c:v>-420.35983093862228</c:v>
                </c:pt>
                <c:pt idx="25">
                  <c:v>-425.83975048966124</c:v>
                </c:pt>
                <c:pt idx="26">
                  <c:v>-427.10924347746453</c:v>
                </c:pt>
                <c:pt idx="27">
                  <c:v>-427.80616354033799</c:v>
                </c:pt>
                <c:pt idx="28">
                  <c:v>-427.10924347737341</c:v>
                </c:pt>
                <c:pt idx="29">
                  <c:v>-425.83975048958456</c:v>
                </c:pt>
                <c:pt idx="30">
                  <c:v>-423.76273630296845</c:v>
                </c:pt>
                <c:pt idx="31">
                  <c:v>-420.51951581537674</c:v>
                </c:pt>
                <c:pt idx="32">
                  <c:v>-415.38481959155308</c:v>
                </c:pt>
                <c:pt idx="33">
                  <c:v>-406.66062159345705</c:v>
                </c:pt>
                <c:pt idx="34">
                  <c:v>-390.74035792567639</c:v>
                </c:pt>
                <c:pt idx="35">
                  <c:v>-356.44889328631365</c:v>
                </c:pt>
                <c:pt idx="36">
                  <c:v>-127.979999999969</c:v>
                </c:pt>
                <c:pt idx="37">
                  <c:v>-127.97999999996044</c:v>
                </c:pt>
                <c:pt idx="361" formatCode="0.000">
                  <c:v>-42.660000000000174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L_Section_Capacity!$BJ$2:$BJ$363</c:f>
              <c:numCache>
                <c:formatCode>General</c:formatCode>
                <c:ptCount val="362"/>
                <c:pt idx="0">
                  <c:v>324.12336361853335</c:v>
                </c:pt>
                <c:pt idx="1">
                  <c:v>309.69817573644821</c:v>
                </c:pt>
                <c:pt idx="2">
                  <c:v>300.04576386630873</c:v>
                </c:pt>
                <c:pt idx="3">
                  <c:v>292.01660714083937</c:v>
                </c:pt>
                <c:pt idx="4">
                  <c:v>285.81607093869349</c:v>
                </c:pt>
                <c:pt idx="5">
                  <c:v>281.1008955046924</c:v>
                </c:pt>
                <c:pt idx="6">
                  <c:v>277.30704556766074</c:v>
                </c:pt>
                <c:pt idx="7">
                  <c:v>274.09999282049017</c:v>
                </c:pt>
                <c:pt idx="8">
                  <c:v>271.26449659734476</c:v>
                </c:pt>
                <c:pt idx="9">
                  <c:v>268.60000000002401</c:v>
                </c:pt>
                <c:pt idx="10">
                  <c:v>240.61105606106116</c:v>
                </c:pt>
                <c:pt idx="11">
                  <c:v>179.8030448094276</c:v>
                </c:pt>
                <c:pt idx="12">
                  <c:v>91.581228270760448</c:v>
                </c:pt>
                <c:pt idx="13">
                  <c:v>7.976867199239047</c:v>
                </c:pt>
                <c:pt idx="14">
                  <c:v>-9.6438618000810372</c:v>
                </c:pt>
                <c:pt idx="15">
                  <c:v>-11.400024460461212</c:v>
                </c:pt>
                <c:pt idx="16">
                  <c:v>-13.893203903992791</c:v>
                </c:pt>
                <c:pt idx="17">
                  <c:v>-18.773645143855333</c:v>
                </c:pt>
                <c:pt idx="18">
                  <c:v>-23.799581206693816</c:v>
                </c:pt>
                <c:pt idx="19">
                  <c:v>-20.310594882749555</c:v>
                </c:pt>
                <c:pt idx="20">
                  <c:v>-16.329328985694204</c:v>
                </c:pt>
                <c:pt idx="21">
                  <c:v>16.196599428044927</c:v>
                </c:pt>
                <c:pt idx="22">
                  <c:v>163.63775660233262</c:v>
                </c:pt>
                <c:pt idx="23">
                  <c:v>255.74645807476568</c:v>
                </c:pt>
                <c:pt idx="24">
                  <c:v>259.89295443232555</c:v>
                </c:pt>
                <c:pt idx="25">
                  <c:v>263.1000071795753</c:v>
                </c:pt>
                <c:pt idx="26">
                  <c:v>265.93550340260236</c:v>
                </c:pt>
                <c:pt idx="27">
                  <c:v>268.59999999994858</c:v>
                </c:pt>
                <c:pt idx="28">
                  <c:v>271.26449659731139</c:v>
                </c:pt>
                <c:pt idx="29">
                  <c:v>274.09999282041719</c:v>
                </c:pt>
                <c:pt idx="30">
                  <c:v>277.30704556773344</c:v>
                </c:pt>
                <c:pt idx="31">
                  <c:v>281.10089550479086</c:v>
                </c:pt>
                <c:pt idx="32">
                  <c:v>285.81607093866734</c:v>
                </c:pt>
                <c:pt idx="33">
                  <c:v>292.0166071408724</c:v>
                </c:pt>
                <c:pt idx="34">
                  <c:v>300.04576386634773</c:v>
                </c:pt>
                <c:pt idx="35">
                  <c:v>309.69817573642888</c:v>
                </c:pt>
                <c:pt idx="36">
                  <c:v>324.12336361851328</c:v>
                </c:pt>
                <c:pt idx="37">
                  <c:v>324.12336361852385</c:v>
                </c:pt>
                <c:pt idx="361">
                  <c:v>164.68408273702275</c:v>
                </c:pt>
              </c:numCache>
            </c:numRef>
          </c:xVal>
          <c:yVal>
            <c:numRef>
              <c:f>L_Section_Capacity!$BK$2:$BK$363</c:f>
              <c:numCache>
                <c:formatCode>General</c:formatCode>
                <c:ptCount val="362"/>
                <c:pt idx="0">
                  <c:v>-142.19999999996006</c:v>
                </c:pt>
                <c:pt idx="1">
                  <c:v>111.65432587370879</c:v>
                </c:pt>
                <c:pt idx="2">
                  <c:v>149.75595325066456</c:v>
                </c:pt>
                <c:pt idx="3">
                  <c:v>167.44513510379278</c:v>
                </c:pt>
                <c:pt idx="4">
                  <c:v>177.13868843509866</c:v>
                </c:pt>
                <c:pt idx="5">
                  <c:v>182.84390646133443</c:v>
                </c:pt>
                <c:pt idx="6">
                  <c:v>186.44748478086518</c:v>
                </c:pt>
                <c:pt idx="7">
                  <c:v>188.75527832189772</c:v>
                </c:pt>
                <c:pt idx="8">
                  <c:v>190.1658260861123</c:v>
                </c:pt>
                <c:pt idx="9">
                  <c:v>190.9401817116825</c:v>
                </c:pt>
                <c:pt idx="10">
                  <c:v>177.77169285859122</c:v>
                </c:pt>
                <c:pt idx="11">
                  <c:v>143.92162298344354</c:v>
                </c:pt>
                <c:pt idx="12">
                  <c:v>88.209868686546031</c:v>
                </c:pt>
                <c:pt idx="13">
                  <c:v>25.783806082229578</c:v>
                </c:pt>
                <c:pt idx="14">
                  <c:v>8.0818352459967162</c:v>
                </c:pt>
                <c:pt idx="15">
                  <c:v>6.3029114120270133</c:v>
                </c:pt>
                <c:pt idx="16">
                  <c:v>3.3752150726059935</c:v>
                </c:pt>
                <c:pt idx="17">
                  <c:v>-5.3937653106395631</c:v>
                </c:pt>
                <c:pt idx="18">
                  <c:v>-21.302107331602212</c:v>
                </c:pt>
                <c:pt idx="19">
                  <c:v>-30.994060041921646</c:v>
                </c:pt>
                <c:pt idx="20">
                  <c:v>-38.889663457534063</c:v>
                </c:pt>
                <c:pt idx="21">
                  <c:v>-108.16624211270084</c:v>
                </c:pt>
                <c:pt idx="22">
                  <c:v>-344.96923269392857</c:v>
                </c:pt>
                <c:pt idx="23">
                  <c:v>-466.9172502711707</c:v>
                </c:pt>
                <c:pt idx="24">
                  <c:v>-470.84748478084578</c:v>
                </c:pt>
                <c:pt idx="25">
                  <c:v>-473.1552783218458</c:v>
                </c:pt>
                <c:pt idx="26">
                  <c:v>-474.5658260860717</c:v>
                </c:pt>
                <c:pt idx="27">
                  <c:v>-475.34018171148665</c:v>
                </c:pt>
                <c:pt idx="28">
                  <c:v>-474.56582608597046</c:v>
                </c:pt>
                <c:pt idx="29">
                  <c:v>-473.15527832176059</c:v>
                </c:pt>
                <c:pt idx="30">
                  <c:v>-470.84748478107605</c:v>
                </c:pt>
                <c:pt idx="31">
                  <c:v>-467.24390646152972</c:v>
                </c:pt>
                <c:pt idx="32">
                  <c:v>-461.53868843505899</c:v>
                </c:pt>
                <c:pt idx="33">
                  <c:v>-451.84513510384113</c:v>
                </c:pt>
                <c:pt idx="34">
                  <c:v>-434.15595325075151</c:v>
                </c:pt>
                <c:pt idx="35">
                  <c:v>-396.05432587368182</c:v>
                </c:pt>
                <c:pt idx="36">
                  <c:v>-142.19999999996554</c:v>
                </c:pt>
                <c:pt idx="37">
                  <c:v>-142.19999999995605</c:v>
                </c:pt>
                <c:pt idx="361">
                  <c:v>-47.40000000000019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289.22178823623068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-2.1584515508266122E-8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50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289.22178823623068</c:v>
                </c:pt>
              </c:numCache>
            </c:numRef>
          </c:xVal>
          <c:yVal>
            <c:numRef>
              <c:f>L_Section_Capacity!$AF$9:$AF$11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-2.1584515508266122E-8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156.7666765884093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-84.412825855297342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L_Section_Capacity!$BD$365</c:f>
              <c:numCache>
                <c:formatCode>0.000</c:formatCode>
                <c:ptCount val="1"/>
                <c:pt idx="0">
                  <c:v>176.35337737748324</c:v>
                </c:pt>
              </c:numCache>
            </c:numRef>
          </c:xVal>
          <c:yVal>
            <c:numRef>
              <c:f>L_Section_Capacity!$BE$365</c:f>
              <c:numCache>
                <c:formatCode>0.000</c:formatCode>
                <c:ptCount val="1"/>
                <c:pt idx="0">
                  <c:v>-114.24367348710966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5.8697497775294716</c:v>
                </c:pt>
                <c:pt idx="1">
                  <c:v>0.34602138657194392</c:v>
                </c:pt>
                <c:pt idx="2">
                  <c:v>0.46293565451897045</c:v>
                </c:pt>
                <c:pt idx="3">
                  <c:v>0.52063825432057509</c:v>
                </c:pt>
                <c:pt idx="4">
                  <c:v>0.55482568589602044</c:v>
                </c:pt>
                <c:pt idx="5">
                  <c:v>0.57669607209826401</c:v>
                </c:pt>
                <c:pt idx="6">
                  <c:v>0.59192713518963924</c:v>
                </c:pt>
                <c:pt idx="7">
                  <c:v>0.60305871755923812</c:v>
                </c:pt>
                <c:pt idx="8">
                  <c:v>0.61142005911172559</c:v>
                </c:pt>
                <c:pt idx="9">
                  <c:v>0.61798530911849758</c:v>
                </c:pt>
                <c:pt idx="10">
                  <c:v>0.63631665616691868</c:v>
                </c:pt>
                <c:pt idx="11">
                  <c:v>0.67500942748108184</c:v>
                </c:pt>
                <c:pt idx="12">
                  <c:v>0.76664882275384016</c:v>
                </c:pt>
                <c:pt idx="13">
                  <c:v>1.2707608833401602</c:v>
                </c:pt>
                <c:pt idx="14">
                  <c:v>2.4440895936926457</c:v>
                </c:pt>
                <c:pt idx="15">
                  <c:v>2.6365365729995767</c:v>
                </c:pt>
                <c:pt idx="16">
                  <c:v>2.9032696465663577</c:v>
                </c:pt>
                <c:pt idx="17">
                  <c:v>3.4213625113078843</c:v>
                </c:pt>
                <c:pt idx="18">
                  <c:v>3.8716730237015433</c:v>
                </c:pt>
                <c:pt idx="19">
                  <c:v>4.132292715021471</c:v>
                </c:pt>
                <c:pt idx="20">
                  <c:v>4.3148556305560906</c:v>
                </c:pt>
                <c:pt idx="21">
                  <c:v>4.8610227075440777</c:v>
                </c:pt>
                <c:pt idx="22">
                  <c:v>5.1553106302684482</c:v>
                </c:pt>
                <c:pt idx="23">
                  <c:v>5.2134908036235039</c:v>
                </c:pt>
                <c:pt idx="24">
                  <c:v>5.2167422178652307</c:v>
                </c:pt>
                <c:pt idx="25">
                  <c:v>5.2198684879958055</c:v>
                </c:pt>
                <c:pt idx="26">
                  <c:v>5.2231638199251318</c:v>
                </c:pt>
                <c:pt idx="27">
                  <c:v>5.2267278217270547</c:v>
                </c:pt>
                <c:pt idx="28">
                  <c:v>5.2316685571519406</c:v>
                </c:pt>
                <c:pt idx="29">
                  <c:v>5.2374506236403082</c:v>
                </c:pt>
                <c:pt idx="30">
                  <c:v>5.2446460968835975</c:v>
                </c:pt>
                <c:pt idx="31">
                  <c:v>5.2539950603075205</c:v>
                </c:pt>
                <c:pt idx="32">
                  <c:v>5.2668556765082739</c:v>
                </c:pt>
                <c:pt idx="33">
                  <c:v>5.2861417256880667</c:v>
                </c:pt>
                <c:pt idx="34">
                  <c:v>5.3171176937184281</c:v>
                </c:pt>
                <c:pt idx="35">
                  <c:v>5.3760319902978351</c:v>
                </c:pt>
                <c:pt idx="36">
                  <c:v>5.8697497775294343</c:v>
                </c:pt>
                <c:pt idx="37">
                  <c:v>5.8697497775294716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4.4032522405586312E-2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6.283185307104957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L_Section_Capacity!$CB$15:$CB$375</c:f>
              <c:numCache>
                <c:formatCode>0.000</c:formatCode>
                <c:ptCount val="361"/>
                <c:pt idx="0">
                  <c:v>-0.4134355296501146</c:v>
                </c:pt>
                <c:pt idx="1">
                  <c:v>0.34602138657194392</c:v>
                </c:pt>
                <c:pt idx="2">
                  <c:v>0.46293565451897045</c:v>
                </c:pt>
                <c:pt idx="3">
                  <c:v>0.52063825432057509</c:v>
                </c:pt>
                <c:pt idx="4">
                  <c:v>0.55482568589602044</c:v>
                </c:pt>
                <c:pt idx="5">
                  <c:v>0.57669607209826401</c:v>
                </c:pt>
                <c:pt idx="6">
                  <c:v>0.59192713518963924</c:v>
                </c:pt>
                <c:pt idx="7">
                  <c:v>0.60305871755923812</c:v>
                </c:pt>
                <c:pt idx="8">
                  <c:v>0.61142005911172559</c:v>
                </c:pt>
                <c:pt idx="9">
                  <c:v>0.61798530911849758</c:v>
                </c:pt>
                <c:pt idx="10">
                  <c:v>0.63631665616691868</c:v>
                </c:pt>
                <c:pt idx="11">
                  <c:v>0.67500942748108184</c:v>
                </c:pt>
                <c:pt idx="12">
                  <c:v>0.76664882275384016</c:v>
                </c:pt>
                <c:pt idx="13">
                  <c:v>1.2707608833401598</c:v>
                </c:pt>
                <c:pt idx="14">
                  <c:v>2.4440895936926466</c:v>
                </c:pt>
                <c:pt idx="15">
                  <c:v>2.6365365729995771</c:v>
                </c:pt>
                <c:pt idx="16">
                  <c:v>2.9032696465663581</c:v>
                </c:pt>
                <c:pt idx="17">
                  <c:v>-2.861822795871702</c:v>
                </c:pt>
                <c:pt idx="18">
                  <c:v>-2.4115122834780425</c:v>
                </c:pt>
                <c:pt idx="19">
                  <c:v>-2.1508925921581161</c:v>
                </c:pt>
                <c:pt idx="20">
                  <c:v>-1.9683296766234957</c:v>
                </c:pt>
                <c:pt idx="21">
                  <c:v>-1.4221625996355085</c:v>
                </c:pt>
                <c:pt idx="22">
                  <c:v>-1.1278746769111381</c:v>
                </c:pt>
                <c:pt idx="23">
                  <c:v>-1.0696945035560828</c:v>
                </c:pt>
                <c:pt idx="24">
                  <c:v>-1.0664430893143555</c:v>
                </c:pt>
                <c:pt idx="25">
                  <c:v>-1.0633168191837803</c:v>
                </c:pt>
                <c:pt idx="26">
                  <c:v>-1.0600214872544549</c:v>
                </c:pt>
                <c:pt idx="27">
                  <c:v>-1.0564574854525315</c:v>
                </c:pt>
                <c:pt idx="28">
                  <c:v>-1.0515167500276454</c:v>
                </c:pt>
                <c:pt idx="29">
                  <c:v>-1.0457346835392776</c:v>
                </c:pt>
                <c:pt idx="30">
                  <c:v>-1.0385392102959885</c:v>
                </c:pt>
                <c:pt idx="31">
                  <c:v>-1.029190246872066</c:v>
                </c:pt>
                <c:pt idx="32">
                  <c:v>-1.0163296306713125</c:v>
                </c:pt>
                <c:pt idx="33">
                  <c:v>-0.99704358149151928</c:v>
                </c:pt>
                <c:pt idx="34">
                  <c:v>-0.96606761346115855</c:v>
                </c:pt>
                <c:pt idx="35">
                  <c:v>-0.90715331688175105</c:v>
                </c:pt>
                <c:pt idx="36">
                  <c:v>-0.41343552965015157</c:v>
                </c:pt>
                <c:pt idx="37">
                  <c:v>-0.41343552965011504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0.41343552965011487</c:v>
                </c:pt>
                <c:pt idx="1">
                  <c:v>-0.34602138657194392</c:v>
                </c:pt>
                <c:pt idx="2">
                  <c:v>-0.46293565451897045</c:v>
                </c:pt>
                <c:pt idx="3">
                  <c:v>-0.52063825432057509</c:v>
                </c:pt>
                <c:pt idx="4">
                  <c:v>-0.55482568589602044</c:v>
                </c:pt>
                <c:pt idx="5">
                  <c:v>-0.57669607209826401</c:v>
                </c:pt>
                <c:pt idx="6">
                  <c:v>-0.59192713518963924</c:v>
                </c:pt>
                <c:pt idx="7">
                  <c:v>-0.60305871755923812</c:v>
                </c:pt>
                <c:pt idx="8">
                  <c:v>-0.61142005911172559</c:v>
                </c:pt>
                <c:pt idx="9">
                  <c:v>-0.61798530911849758</c:v>
                </c:pt>
                <c:pt idx="10">
                  <c:v>-0.63631665616691868</c:v>
                </c:pt>
                <c:pt idx="11">
                  <c:v>-0.67500942748108184</c:v>
                </c:pt>
                <c:pt idx="12">
                  <c:v>-0.76664882275384028</c:v>
                </c:pt>
                <c:pt idx="13">
                  <c:v>-1.2707608833401602</c:v>
                </c:pt>
                <c:pt idx="14">
                  <c:v>-2.4440895936926452</c:v>
                </c:pt>
                <c:pt idx="15">
                  <c:v>-2.6365365729995767</c:v>
                </c:pt>
                <c:pt idx="16">
                  <c:v>-2.9032696465663577</c:v>
                </c:pt>
                <c:pt idx="17">
                  <c:v>2.861822795871702</c:v>
                </c:pt>
                <c:pt idx="18">
                  <c:v>2.4115122834780429</c:v>
                </c:pt>
                <c:pt idx="19">
                  <c:v>2.1508925921581152</c:v>
                </c:pt>
                <c:pt idx="20">
                  <c:v>1.9683296766234957</c:v>
                </c:pt>
                <c:pt idx="21">
                  <c:v>1.4221625996355087</c:v>
                </c:pt>
                <c:pt idx="22">
                  <c:v>1.1278746769111383</c:v>
                </c:pt>
                <c:pt idx="23">
                  <c:v>1.0696945035560825</c:v>
                </c:pt>
                <c:pt idx="24">
                  <c:v>1.0664430893143557</c:v>
                </c:pt>
                <c:pt idx="25">
                  <c:v>1.063316819183781</c:v>
                </c:pt>
                <c:pt idx="26">
                  <c:v>1.0600214872544547</c:v>
                </c:pt>
                <c:pt idx="27">
                  <c:v>1.0564574854525317</c:v>
                </c:pt>
                <c:pt idx="28">
                  <c:v>1.0515167500276459</c:v>
                </c:pt>
                <c:pt idx="29">
                  <c:v>1.0457346835392782</c:v>
                </c:pt>
                <c:pt idx="30">
                  <c:v>1.0385392102959889</c:v>
                </c:pt>
                <c:pt idx="31">
                  <c:v>1.029190246872066</c:v>
                </c:pt>
                <c:pt idx="32">
                  <c:v>1.0163296306713125</c:v>
                </c:pt>
                <c:pt idx="33">
                  <c:v>0.99704358149151973</c:v>
                </c:pt>
                <c:pt idx="34">
                  <c:v>0.96606761346115833</c:v>
                </c:pt>
                <c:pt idx="35">
                  <c:v>0.90715331688175138</c:v>
                </c:pt>
                <c:pt idx="36">
                  <c:v>0.41343552965015218</c:v>
                </c:pt>
                <c:pt idx="37">
                  <c:v>0.41343552965011487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4.4032522405586312E-2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7.4629436744994004E-11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-0.73513266744996864</c:v>
                </c:pt>
                <c:pt idx="1">
                  <c:v>0.67930119206841111</c:v>
                </c:pt>
                <c:pt idx="2">
                  <c:v>0.8664131437214817</c:v>
                </c:pt>
                <c:pt idx="3">
                  <c:v>0.95523188562324446</c:v>
                </c:pt>
                <c:pt idx="4">
                  <c:v>1.0091145245963609</c:v>
                </c:pt>
                <c:pt idx="5">
                  <c:v>1.0452004047988772</c:v>
                </c:pt>
                <c:pt idx="6">
                  <c:v>1.0719846213421813</c:v>
                </c:pt>
                <c:pt idx="7">
                  <c:v>1.1089630270639672</c:v>
                </c:pt>
                <c:pt idx="8">
                  <c:v>1.2016789118875182</c:v>
                </c:pt>
                <c:pt idx="9">
                  <c:v>1.3227407516395751</c:v>
                </c:pt>
                <c:pt idx="10">
                  <c:v>1.7500782009721594</c:v>
                </c:pt>
                <c:pt idx="11">
                  <c:v>2.7378904768448855</c:v>
                </c:pt>
                <c:pt idx="12">
                  <c:v>6.3947860645687697</c:v>
                </c:pt>
                <c:pt idx="13">
                  <c:v>15.129645207144758</c:v>
                </c:pt>
                <c:pt idx="14">
                  <c:v>6.0441351502060927</c:v>
                </c:pt>
                <c:pt idx="15">
                  <c:v>4.3381486932160795</c:v>
                </c:pt>
                <c:pt idx="16">
                  <c:v>2.011747962419137</c:v>
                </c:pt>
                <c:pt idx="17">
                  <c:v>-2.234663144268132</c:v>
                </c:pt>
                <c:pt idx="18">
                  <c:v>-5.1158242878636262</c:v>
                </c:pt>
                <c:pt idx="19">
                  <c:v>-6.8212369542100735</c:v>
                </c:pt>
                <c:pt idx="20">
                  <c:v>-7.7815671518674101</c:v>
                </c:pt>
                <c:pt idx="21">
                  <c:v>-6.6020088807810318</c:v>
                </c:pt>
                <c:pt idx="22">
                  <c:v>-1.8620497024780103</c:v>
                </c:pt>
                <c:pt idx="23">
                  <c:v>-1.1644395584864919</c:v>
                </c:pt>
                <c:pt idx="24">
                  <c:v>-0.95706935631492351</c:v>
                </c:pt>
                <c:pt idx="25">
                  <c:v>-0.94113287163772208</c:v>
                </c:pt>
                <c:pt idx="26">
                  <c:v>-0.93497926283308219</c:v>
                </c:pt>
                <c:pt idx="27">
                  <c:v>-0.9298810388943779</c:v>
                </c:pt>
                <c:pt idx="28">
                  <c:v>-0.92656970146222994</c:v>
                </c:pt>
                <c:pt idx="29">
                  <c:v>-0.92366286282876908</c:v>
                </c:pt>
                <c:pt idx="30">
                  <c:v>-0.92108200745783619</c:v>
                </c:pt>
                <c:pt idx="31">
                  <c:v>-0.91882368362142797</c:v>
                </c:pt>
                <c:pt idx="32">
                  <c:v>-0.91701445546592542</c:v>
                </c:pt>
                <c:pt idx="33">
                  <c:v>-0.91621127001792146</c:v>
                </c:pt>
                <c:pt idx="34">
                  <c:v>-0.91853870007113647</c:v>
                </c:pt>
                <c:pt idx="35">
                  <c:v>-0.93134464228081904</c:v>
                </c:pt>
                <c:pt idx="36">
                  <c:v>-0.735132667450068</c:v>
                </c:pt>
                <c:pt idx="37">
                  <c:v>-0.73513266744999428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4.4032522405586312E-2</c:v>
                </c:pt>
              </c:numCache>
            </c:numRef>
          </c:xVal>
          <c:yVal>
            <c:numRef>
              <c:f>L_Section_Capacity!$CK$11</c:f>
              <c:numCache>
                <c:formatCode>0.000E+00</c:formatCode>
                <c:ptCount val="1"/>
                <c:pt idx="0">
                  <c:v>-1.5598430838179699E-10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0.17453292519943295</c:v>
                </c:pt>
                <c:pt idx="2">
                  <c:v>0.3490658503988659</c:v>
                </c:pt>
                <c:pt idx="3">
                  <c:v>0.52359877559829882</c:v>
                </c:pt>
                <c:pt idx="4">
                  <c:v>0.69813170079773179</c:v>
                </c:pt>
                <c:pt idx="5">
                  <c:v>0.87266462599716477</c:v>
                </c:pt>
                <c:pt idx="6">
                  <c:v>1.0471975511965976</c:v>
                </c:pt>
                <c:pt idx="7">
                  <c:v>1.2217304763960306</c:v>
                </c:pt>
                <c:pt idx="8">
                  <c:v>1.3962634015954636</c:v>
                </c:pt>
                <c:pt idx="9">
                  <c:v>1.5707963267948966</c:v>
                </c:pt>
                <c:pt idx="10">
                  <c:v>1.7453292519943295</c:v>
                </c:pt>
                <c:pt idx="11">
                  <c:v>1.9198621771937625</c:v>
                </c:pt>
                <c:pt idx="12">
                  <c:v>2.0943951023931953</c:v>
                </c:pt>
                <c:pt idx="13">
                  <c:v>2.268928027592628</c:v>
                </c:pt>
                <c:pt idx="14">
                  <c:v>2.4434609527920608</c:v>
                </c:pt>
                <c:pt idx="15">
                  <c:v>2.6179938779914935</c:v>
                </c:pt>
                <c:pt idx="16">
                  <c:v>2.7925268031909263</c:v>
                </c:pt>
                <c:pt idx="17">
                  <c:v>2.967059728390359</c:v>
                </c:pt>
                <c:pt idx="18">
                  <c:v>3.1415926535897918</c:v>
                </c:pt>
                <c:pt idx="19">
                  <c:v>3.3161255787892245</c:v>
                </c:pt>
                <c:pt idx="20">
                  <c:v>3.4906585039886573</c:v>
                </c:pt>
                <c:pt idx="21">
                  <c:v>3.66519142918809</c:v>
                </c:pt>
                <c:pt idx="22">
                  <c:v>3.8397243543875228</c:v>
                </c:pt>
                <c:pt idx="23">
                  <c:v>4.014257279586956</c:v>
                </c:pt>
                <c:pt idx="24">
                  <c:v>4.1887902047863887</c:v>
                </c:pt>
                <c:pt idx="25">
                  <c:v>4.3633231299858215</c:v>
                </c:pt>
                <c:pt idx="26">
                  <c:v>4.5378560551852543</c:v>
                </c:pt>
                <c:pt idx="27">
                  <c:v>4.712388980384687</c:v>
                </c:pt>
                <c:pt idx="28">
                  <c:v>4.8869219055841198</c:v>
                </c:pt>
                <c:pt idx="29">
                  <c:v>5.0614548307835525</c:v>
                </c:pt>
                <c:pt idx="30">
                  <c:v>5.2359877559829853</c:v>
                </c:pt>
                <c:pt idx="31">
                  <c:v>5.410520681182418</c:v>
                </c:pt>
                <c:pt idx="32">
                  <c:v>5.5850536063818508</c:v>
                </c:pt>
                <c:pt idx="33">
                  <c:v>5.7595865315812835</c:v>
                </c:pt>
                <c:pt idx="34">
                  <c:v>5.9341194567807163</c:v>
                </c:pt>
                <c:pt idx="35">
                  <c:v>6.108652381980149</c:v>
                </c:pt>
                <c:pt idx="36">
                  <c:v>6.2831853071795818</c:v>
                </c:pt>
                <c:pt idx="37">
                  <c:v>6.4577182323790145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-0.73513266744996864</c:v>
                </c:pt>
                <c:pt idx="1">
                  <c:v>0.67930119206841111</c:v>
                </c:pt>
                <c:pt idx="2">
                  <c:v>0.8664131437214817</c:v>
                </c:pt>
                <c:pt idx="3">
                  <c:v>0.95523188562324446</c:v>
                </c:pt>
                <c:pt idx="4">
                  <c:v>1.0091145245963609</c:v>
                </c:pt>
                <c:pt idx="5">
                  <c:v>1.0452004047988772</c:v>
                </c:pt>
                <c:pt idx="6">
                  <c:v>1.0719846213421813</c:v>
                </c:pt>
                <c:pt idx="7">
                  <c:v>1.1089630270639672</c:v>
                </c:pt>
                <c:pt idx="8">
                  <c:v>1.2016789118875182</c:v>
                </c:pt>
                <c:pt idx="9">
                  <c:v>1.3227407516395751</c:v>
                </c:pt>
                <c:pt idx="10">
                  <c:v>1.7500782009721594</c:v>
                </c:pt>
                <c:pt idx="11">
                  <c:v>2.7378904768448855</c:v>
                </c:pt>
                <c:pt idx="12">
                  <c:v>6.3947860645687697</c:v>
                </c:pt>
                <c:pt idx="13">
                  <c:v>15.129645207144758</c:v>
                </c:pt>
                <c:pt idx="14">
                  <c:v>6.0441351502060927</c:v>
                </c:pt>
                <c:pt idx="15">
                  <c:v>4.3381486932160795</c:v>
                </c:pt>
                <c:pt idx="16">
                  <c:v>2.011747962419137</c:v>
                </c:pt>
                <c:pt idx="17">
                  <c:v>-2.234663144268132</c:v>
                </c:pt>
                <c:pt idx="18">
                  <c:v>-5.1158242878636262</c:v>
                </c:pt>
                <c:pt idx="19">
                  <c:v>-6.8212369542100735</c:v>
                </c:pt>
                <c:pt idx="20">
                  <c:v>-7.7815671518674101</c:v>
                </c:pt>
                <c:pt idx="21">
                  <c:v>-6.6020088807810318</c:v>
                </c:pt>
                <c:pt idx="22">
                  <c:v>-1.8620497024780103</c:v>
                </c:pt>
                <c:pt idx="23">
                  <c:v>-1.1644395584864919</c:v>
                </c:pt>
                <c:pt idx="24">
                  <c:v>-0.95706935631492351</c:v>
                </c:pt>
                <c:pt idx="25">
                  <c:v>-0.94113287163772208</c:v>
                </c:pt>
                <c:pt idx="26">
                  <c:v>-0.93497926283308219</c:v>
                </c:pt>
                <c:pt idx="27">
                  <c:v>-0.9298810388943779</c:v>
                </c:pt>
                <c:pt idx="28">
                  <c:v>-0.92656970146222994</c:v>
                </c:pt>
                <c:pt idx="29">
                  <c:v>-0.92366286282876908</c:v>
                </c:pt>
                <c:pt idx="30">
                  <c:v>-0.92108200745783619</c:v>
                </c:pt>
                <c:pt idx="31">
                  <c:v>-0.91882368362142797</c:v>
                </c:pt>
                <c:pt idx="32">
                  <c:v>-0.91701445546592542</c:v>
                </c:pt>
                <c:pt idx="33">
                  <c:v>-0.91621127001792146</c:v>
                </c:pt>
                <c:pt idx="34">
                  <c:v>-0.91853870007113647</c:v>
                </c:pt>
                <c:pt idx="35">
                  <c:v>-0.93134464228081904</c:v>
                </c:pt>
                <c:pt idx="36">
                  <c:v>-0.735132667450068</c:v>
                </c:pt>
                <c:pt idx="37">
                  <c:v>-0.73513266744999428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topLeftCell="C1" zoomScale="80" zoomScaleNormal="80" workbookViewId="0">
      <selection activeCell="B1" sqref="B1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242</v>
      </c>
      <c r="K1" s="8" t="s">
        <v>71</v>
      </c>
      <c r="L1" s="53">
        <v>1E-10</v>
      </c>
      <c r="M1" s="1" t="s">
        <v>244</v>
      </c>
      <c r="N1" s="1" t="s">
        <v>243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0</v>
      </c>
      <c r="Z1" s="1" t="s">
        <v>212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210</v>
      </c>
      <c r="BK1" s="6" t="s">
        <v>211</v>
      </c>
      <c r="BW1" s="45" t="s">
        <v>146</v>
      </c>
      <c r="CU1" t="s">
        <v>113</v>
      </c>
      <c r="DC1" t="s">
        <v>136</v>
      </c>
      <c r="DK1" t="s">
        <v>141</v>
      </c>
      <c r="DN1" s="1" t="s">
        <v>218</v>
      </c>
      <c r="DO1">
        <v>1E-10</v>
      </c>
      <c r="DV1" t="s">
        <v>195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 s="1">
        <v>1673</v>
      </c>
      <c r="N2" s="1">
        <v>36</v>
      </c>
      <c r="O2" s="1">
        <v>1</v>
      </c>
      <c r="AD2" s="8" t="s">
        <v>153</v>
      </c>
      <c r="AE2" s="20">
        <v>36</v>
      </c>
      <c r="BC2">
        <v>0</v>
      </c>
      <c r="BD2">
        <v>291.71102725668004</v>
      </c>
      <c r="BE2">
        <v>-127.97999999996405</v>
      </c>
      <c r="BF2" s="6">
        <f t="shared" ref="BF2:BF33" si="0">IF(BC2&lt;&gt;"",IF(AND(BD2=0,BE2=0),0,MOD(ATAN2(BD2,BE2),2*PI())),NA())</f>
        <v>5.8697497775294716</v>
      </c>
      <c r="BG2" s="6">
        <f t="shared" ref="BG2:BG33" si="1">ABS(BC2-BF2)</f>
        <v>5.8697497775294716</v>
      </c>
      <c r="BH2" s="6">
        <f>ATAN2(COS($U$13-BF2),SIN($U$13-BF2))</f>
        <v>0.41343552965011487</v>
      </c>
      <c r="BI2" s="6">
        <f>ABS(BH2)</f>
        <v>0.41343552965011487</v>
      </c>
      <c r="BJ2">
        <v>324.12336361853335</v>
      </c>
      <c r="BK2">
        <v>-142.19999999996006</v>
      </c>
      <c r="BT2">
        <v>0.78539816339744828</v>
      </c>
      <c r="BV2" s="38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3.1415926535897931</v>
      </c>
      <c r="DK2" s="1" t="s">
        <v>224</v>
      </c>
      <c r="DL2" s="1" t="s">
        <v>216</v>
      </c>
      <c r="DM2" s="1" t="s">
        <v>217</v>
      </c>
      <c r="DN2" s="1" t="s">
        <v>219</v>
      </c>
      <c r="DO2" s="1" t="s">
        <v>220</v>
      </c>
      <c r="DP2" s="1" t="s">
        <v>221</v>
      </c>
      <c r="DQ2" s="1" t="s">
        <v>222</v>
      </c>
      <c r="DR2" s="1" t="s">
        <v>223</v>
      </c>
    </row>
    <row r="3" spans="1:141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0.17453292519943295</v>
      </c>
      <c r="BD3">
        <v>278.72835816280337</v>
      </c>
      <c r="BE3">
        <v>100.48889328633791</v>
      </c>
      <c r="BF3" s="6">
        <f t="shared" si="0"/>
        <v>0.34602138657194392</v>
      </c>
      <c r="BG3" s="6">
        <f t="shared" si="1"/>
        <v>0.17148846137251098</v>
      </c>
      <c r="BH3" s="6">
        <f t="shared" ref="BH3:BH66" si="2">ATAN2(COS($U$13-BF3),SIN($U$13-BF3))</f>
        <v>-0.34602138657194392</v>
      </c>
      <c r="BI3" s="6">
        <f t="shared" ref="BI3:BI66" si="3">ABS(BH3)</f>
        <v>0.34602138657194392</v>
      </c>
      <c r="BJ3">
        <v>309.69817573644821</v>
      </c>
      <c r="BK3">
        <v>111.65432587370879</v>
      </c>
      <c r="BV3" s="38"/>
      <c r="BW3" s="20" t="s">
        <v>241</v>
      </c>
      <c r="DC3" s="1" t="s">
        <v>213</v>
      </c>
      <c r="DD3" s="1" t="s">
        <v>214</v>
      </c>
      <c r="DE3" s="1" t="s">
        <v>140</v>
      </c>
      <c r="DF3" s="1" t="s">
        <v>139</v>
      </c>
      <c r="DG3" s="1" t="s">
        <v>138</v>
      </c>
      <c r="DH3" s="1" t="s">
        <v>215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-1.6115109247039072E-11</v>
      </c>
      <c r="V4" s="16" t="s">
        <v>68</v>
      </c>
      <c r="W4" s="30">
        <f ca="1">U4-U10</f>
        <v>-1.6115109247039072E-11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BC4">
        <v>0.3490658503988659</v>
      </c>
      <c r="BD4">
        <v>270.04118747967789</v>
      </c>
      <c r="BE4">
        <v>134.78035792559811</v>
      </c>
      <c r="BF4" s="6">
        <f t="shared" si="0"/>
        <v>0.46293565451897045</v>
      </c>
      <c r="BG4" s="6">
        <f t="shared" si="1"/>
        <v>0.11386980412010456</v>
      </c>
      <c r="BH4" s="6">
        <f t="shared" si="2"/>
        <v>-0.46293565451897045</v>
      </c>
      <c r="BI4" s="6">
        <f t="shared" si="3"/>
        <v>0.46293565451897045</v>
      </c>
      <c r="BJ4">
        <v>300.04576386630873</v>
      </c>
      <c r="BK4">
        <v>149.75595325066456</v>
      </c>
      <c r="BV4" s="38"/>
      <c r="BW4" s="1" t="s">
        <v>100</v>
      </c>
      <c r="BX4" s="1" t="s">
        <v>101</v>
      </c>
      <c r="BY4" s="1" t="s">
        <v>202</v>
      </c>
      <c r="BZ4" s="1" t="s">
        <v>148</v>
      </c>
      <c r="CA4" s="1" t="s">
        <v>149</v>
      </c>
      <c r="CB4" s="1" t="s">
        <v>226</v>
      </c>
      <c r="CD4" s="1" t="s">
        <v>229</v>
      </c>
      <c r="CE4" s="1" t="s">
        <v>233</v>
      </c>
      <c r="CF4" s="1" t="s">
        <v>234</v>
      </c>
      <c r="CG4" s="1" t="s">
        <v>226</v>
      </c>
      <c r="CH4" s="1"/>
      <c r="CI4" s="1"/>
      <c r="CK4" s="1" t="s">
        <v>226</v>
      </c>
      <c r="DV4" s="9" t="str">
        <f>Y15</f>
        <v>Max</v>
      </c>
      <c r="DW4" s="9">
        <f t="shared" ca="1" si="4"/>
        <v>1705.7105000000001</v>
      </c>
      <c r="DX4" s="9">
        <f t="shared" ca="1" si="4"/>
        <v>444.51712500000002</v>
      </c>
      <c r="DY4" s="9">
        <f t="shared" ca="1" si="4"/>
        <v>-501.77237500000001</v>
      </c>
      <c r="DZ4" s="9"/>
      <c r="EA4" t="s">
        <v>203</v>
      </c>
      <c r="EB4" s="9">
        <f>U10</f>
        <v>0</v>
      </c>
      <c r="EC4" s="9">
        <f>U11</f>
        <v>50</v>
      </c>
      <c r="ED4" s="9">
        <f>U12</f>
        <v>0</v>
      </c>
      <c r="EF4">
        <f>ATAN2(EC4,ED4)</f>
        <v>0</v>
      </c>
      <c r="EG4" s="9">
        <f>SQRT(POWER(EB4,2)+POWER(EC4,2)+POWER(ED4,2))</f>
        <v>50</v>
      </c>
      <c r="EH4">
        <f>EB4/EG4</f>
        <v>0</v>
      </c>
      <c r="EI4">
        <f>EC4/EG4</f>
        <v>1</v>
      </c>
      <c r="EJ4">
        <f>ED4/EG4</f>
        <v>0</v>
      </c>
      <c r="EK4">
        <v>0</v>
      </c>
    </row>
    <row r="5" spans="1:141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289.22178823623068</v>
      </c>
      <c r="V5" s="16" t="s">
        <v>70</v>
      </c>
      <c r="W5" s="31"/>
      <c r="X5">
        <f>X4</f>
        <v>46</v>
      </c>
      <c r="Y5">
        <f>X5</f>
        <v>46</v>
      </c>
      <c r="AA5">
        <v>0</v>
      </c>
      <c r="AB5">
        <v>0</v>
      </c>
      <c r="BC5">
        <v>0.52359877559829882</v>
      </c>
      <c r="BD5">
        <v>262.81494642675545</v>
      </c>
      <c r="BE5">
        <v>150.7006215934135</v>
      </c>
      <c r="BF5" s="6">
        <f t="shared" si="0"/>
        <v>0.52063825432057509</v>
      </c>
      <c r="BG5" s="6">
        <f t="shared" si="1"/>
        <v>2.9605212777237266E-3</v>
      </c>
      <c r="BH5" s="6">
        <f t="shared" si="2"/>
        <v>-0.52063825432057509</v>
      </c>
      <c r="BI5" s="6">
        <f t="shared" si="3"/>
        <v>0.52063825432057509</v>
      </c>
      <c r="BJ5">
        <v>292.01660714083937</v>
      </c>
      <c r="BK5">
        <v>167.44513510379278</v>
      </c>
      <c r="BU5" s="6"/>
      <c r="BV5" s="73" t="s">
        <v>237</v>
      </c>
      <c r="BW5">
        <f ca="1">IF(BW3="parametric",B132,BD365)</f>
        <v>156.7666765884093</v>
      </c>
      <c r="BX5">
        <f ca="1">IF(BW3="parametric",B133,BE365)</f>
        <v>-84.412825855297342</v>
      </c>
      <c r="BY5">
        <f ca="1">SQRT(POWER(BW5,2)+POWER(BX5,2))</f>
        <v>178.04863396682288</v>
      </c>
      <c r="BZ5">
        <f ca="1">BW5/BY5</f>
        <v>0.8804710999221752</v>
      </c>
      <c r="CA5">
        <f ca="1">BX5/BY5</f>
        <v>-0.47409982303501758</v>
      </c>
      <c r="CB5">
        <f ca="1">ATAN2(BZ5,CA5)</f>
        <v>-0.49394136891958135</v>
      </c>
      <c r="CD5" s="1" t="s">
        <v>230</v>
      </c>
      <c r="CE5" s="6">
        <f ca="1">0-BW5</f>
        <v>-156.7666765884093</v>
      </c>
      <c r="CF5" s="6">
        <f ca="1">0-BX5</f>
        <v>84.412825855297342</v>
      </c>
      <c r="CG5">
        <f ca="1">ATAN2(CE5,CF5)</f>
        <v>2.6476512846702116</v>
      </c>
      <c r="CH5" s="1"/>
      <c r="CI5" s="6"/>
      <c r="CJ5" s="6"/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204</v>
      </c>
      <c r="EB5" s="9">
        <f ca="1">U4</f>
        <v>-1.6115109247039072E-11</v>
      </c>
      <c r="EC5" s="9">
        <f ca="1">U5</f>
        <v>289.22178823623068</v>
      </c>
      <c r="ED5" s="9">
        <f ca="1">U6</f>
        <v>-2.1584515508266122E-8</v>
      </c>
      <c r="EF5">
        <f ca="1">ATAN2(EC5,ED5)</f>
        <v>-7.4629631605196748E-11</v>
      </c>
      <c r="EG5" s="9">
        <f t="shared" ref="EG5:EG6" ca="1" si="6">SQRT(POWER(EB5,2)+POWER(EC5,2)+POWER(ED5,2))</f>
        <v>289.22178823623068</v>
      </c>
      <c r="EH5">
        <f t="shared" ref="EH5:EH6" ca="1" si="7">EB5/EG5</f>
        <v>-5.5718863178719326E-14</v>
      </c>
      <c r="EI5">
        <f t="shared" ref="EI5:EI6" ca="1" si="8">EC5/EG5</f>
        <v>1</v>
      </c>
      <c r="EJ5">
        <f t="shared" ref="EJ5:EJ6" ca="1" si="9">ED5/EG5</f>
        <v>-7.4629631605196748E-11</v>
      </c>
      <c r="EK5">
        <v>0</v>
      </c>
    </row>
    <row r="6" spans="1:141" x14ac:dyDescent="0.25">
      <c r="A6" s="8" t="s">
        <v>92</v>
      </c>
      <c r="B6" s="44">
        <v>12</v>
      </c>
      <c r="C6" t="s">
        <v>4</v>
      </c>
      <c r="E6" s="5">
        <f>B7+B5</f>
        <v>36</v>
      </c>
      <c r="F6">
        <f>F5</f>
        <v>16</v>
      </c>
      <c r="G6">
        <f t="shared" si="5"/>
        <v>-192</v>
      </c>
      <c r="T6" s="26" t="s">
        <v>76</v>
      </c>
      <c r="U6" s="10">
        <f ca="1">U3*IF(B1="PCA_Parabolic",B205*(1/12),B80*(1/12))</f>
        <v>-2.1584515508266122E-8</v>
      </c>
      <c r="V6" s="16" t="s">
        <v>70</v>
      </c>
      <c r="W6" s="75">
        <f ca="1">IF(U12=0,U6,"")</f>
        <v>-2.1584515508266122E-8</v>
      </c>
      <c r="X6">
        <f>IF(B6=0,0,-1*X5)</f>
        <v>-46</v>
      </c>
      <c r="Y6">
        <f>IF(B6=0,0,Y5)</f>
        <v>46</v>
      </c>
      <c r="AA6">
        <f>U14</f>
        <v>50</v>
      </c>
      <c r="AB6">
        <f>U10</f>
        <v>0</v>
      </c>
      <c r="BC6">
        <v>0.69813170079773179</v>
      </c>
      <c r="BD6">
        <v>257.23446384482412</v>
      </c>
      <c r="BE6">
        <v>159.4248195915888</v>
      </c>
      <c r="BF6" s="6">
        <f t="shared" si="0"/>
        <v>0.55482568589602044</v>
      </c>
      <c r="BG6" s="6">
        <f t="shared" si="1"/>
        <v>0.14330601490171135</v>
      </c>
      <c r="BH6" s="6">
        <f t="shared" si="2"/>
        <v>-0.55482568589602044</v>
      </c>
      <c r="BI6" s="6">
        <f t="shared" si="3"/>
        <v>0.55482568589602044</v>
      </c>
      <c r="BJ6">
        <v>285.81607093869349</v>
      </c>
      <c r="BK6">
        <v>177.13868843509866</v>
      </c>
      <c r="BV6" s="38" t="s">
        <v>227</v>
      </c>
      <c r="BW6" s="9">
        <f>U11</f>
        <v>50</v>
      </c>
      <c r="BX6" s="9">
        <f>U12</f>
        <v>0</v>
      </c>
      <c r="BY6">
        <f t="shared" ref="BY6:BY7" si="10">SQRT(POWER(BW6,2)+POWER(BX6,2))</f>
        <v>50</v>
      </c>
      <c r="BZ6">
        <f t="shared" ref="BZ6:BZ7" si="11">BW6/BY6</f>
        <v>1</v>
      </c>
      <c r="CA6">
        <f t="shared" ref="CA6:CA7" si="12">BX6/BY6</f>
        <v>0</v>
      </c>
      <c r="CB6">
        <f t="shared" ref="CB6:CB7" si="13">ATAN2(BZ6,CA6)</f>
        <v>0</v>
      </c>
      <c r="CD6" s="1" t="s">
        <v>231</v>
      </c>
      <c r="CE6" s="6">
        <f>BW6-0</f>
        <v>50</v>
      </c>
      <c r="CF6" s="6">
        <f>BX6-0</f>
        <v>0</v>
      </c>
      <c r="CG6">
        <f t="shared" ref="CG6:CG8" si="14">ATAN2(CE6,CF6)</f>
        <v>0</v>
      </c>
      <c r="CH6" s="1" t="s">
        <v>236</v>
      </c>
      <c r="CI6" s="6">
        <f ca="1">BW7</f>
        <v>289.22178823623068</v>
      </c>
      <c r="CJ6" s="6">
        <f ca="1">BX7</f>
        <v>-2.1584515508266122E-8</v>
      </c>
      <c r="CK6">
        <f ca="1">ATAN2(CI6,CJ6)</f>
        <v>-7.4629631605196748E-11</v>
      </c>
      <c r="DZ6" s="9"/>
      <c r="EA6" t="s">
        <v>207</v>
      </c>
      <c r="EB6" s="9">
        <f ca="1">EB5</f>
        <v>-1.6115109247039072E-11</v>
      </c>
      <c r="EC6" s="9">
        <f>EC4+5</f>
        <v>55</v>
      </c>
      <c r="ED6" s="9">
        <f>ED4+5</f>
        <v>5</v>
      </c>
      <c r="EF6">
        <f>ATAN2(EC6,ED6)</f>
        <v>9.065988720074511E-2</v>
      </c>
      <c r="EG6" s="9">
        <f t="shared" ca="1" si="6"/>
        <v>55.226805085936306</v>
      </c>
      <c r="EH6">
        <f t="shared" ca="1" si="7"/>
        <v>-2.9179868764747431E-13</v>
      </c>
      <c r="EI6">
        <f t="shared" ca="1" si="8"/>
        <v>0.99589320646770385</v>
      </c>
      <c r="EJ6">
        <f t="shared" ca="1" si="9"/>
        <v>9.0535746042518531E-2</v>
      </c>
      <c r="EK6">
        <v>0</v>
      </c>
    </row>
    <row r="7" spans="1:141" ht="15.75" thickBot="1" x14ac:dyDescent="0.3">
      <c r="A7" s="8" t="s">
        <v>91</v>
      </c>
      <c r="B7" s="44">
        <v>24</v>
      </c>
      <c r="C7" t="s">
        <v>4</v>
      </c>
      <c r="E7" s="5">
        <f>E6</f>
        <v>36</v>
      </c>
      <c r="F7">
        <f>B8</f>
        <v>24</v>
      </c>
      <c r="G7">
        <f t="shared" si="5"/>
        <v>144</v>
      </c>
      <c r="T7" s="27" t="s">
        <v>96</v>
      </c>
      <c r="U7" s="28">
        <f ca="1">IF(AND(U5=0,U6=0),0,MOD(ATAN2(U5,U6),2*PI()))</f>
        <v>6.283185307104957</v>
      </c>
      <c r="V7" s="17" t="s">
        <v>97</v>
      </c>
      <c r="W7" s="32">
        <f ca="1">IF((U13-U7)=0,0,ATAN2(COS(U13-U7),SIN(U13-U7)))</f>
        <v>7.4629436744994004E-11</v>
      </c>
      <c r="X7" s="38">
        <f ca="1">U7+2*PI()</f>
        <v>12.566370614284544</v>
      </c>
      <c r="AA7">
        <f ca="1">U8</f>
        <v>289.22178823623068</v>
      </c>
      <c r="AB7" s="9">
        <f ca="1">U4</f>
        <v>-1.6115109247039072E-11</v>
      </c>
      <c r="AE7" s="49"/>
      <c r="AF7" s="49"/>
      <c r="BC7">
        <v>0.87266462599716477</v>
      </c>
      <c r="BD7">
        <v>252.99080595422316</v>
      </c>
      <c r="BE7">
        <v>164.559515815201</v>
      </c>
      <c r="BF7" s="6">
        <f t="shared" si="0"/>
        <v>0.57669607209826401</v>
      </c>
      <c r="BG7" s="6">
        <f t="shared" si="1"/>
        <v>0.29596855389890075</v>
      </c>
      <c r="BH7" s="6">
        <f t="shared" si="2"/>
        <v>-0.57669607209826401</v>
      </c>
      <c r="BI7" s="6">
        <f t="shared" si="3"/>
        <v>0.57669607209826401</v>
      </c>
      <c r="BJ7">
        <v>281.1008955046924</v>
      </c>
      <c r="BK7">
        <v>182.84390646133443</v>
      </c>
      <c r="BV7" s="38" t="s">
        <v>228</v>
      </c>
      <c r="BW7" s="9">
        <f ca="1">U5</f>
        <v>289.22178823623068</v>
      </c>
      <c r="BX7" s="9">
        <f ca="1">U6</f>
        <v>-2.1584515508266122E-8</v>
      </c>
      <c r="BY7">
        <f t="shared" ca="1" si="10"/>
        <v>289.22178823623068</v>
      </c>
      <c r="BZ7">
        <f t="shared" ca="1" si="11"/>
        <v>1</v>
      </c>
      <c r="CA7">
        <f t="shared" ca="1" si="12"/>
        <v>-7.4629631605196748E-11</v>
      </c>
      <c r="CB7">
        <f t="shared" ca="1" si="13"/>
        <v>-7.4629631605196748E-11</v>
      </c>
      <c r="CD7" s="1" t="s">
        <v>232</v>
      </c>
      <c r="CE7" s="6">
        <f ca="1">BW6-BW5</f>
        <v>-106.7666765884093</v>
      </c>
      <c r="CF7" s="6">
        <f ca="1">BX6-BX5</f>
        <v>84.412825855297342</v>
      </c>
      <c r="CG7">
        <f t="shared" ca="1" si="14"/>
        <v>2.4725919408963106</v>
      </c>
      <c r="CH7" s="1" t="s">
        <v>235</v>
      </c>
      <c r="CI7" s="6">
        <f ca="1">BW7-BW5</f>
        <v>132.45511164782138</v>
      </c>
      <c r="CJ7" s="6">
        <f ca="1">BX7-BX5</f>
        <v>84.41282583371283</v>
      </c>
      <c r="CK7">
        <f t="shared" ref="CK7:CK10" ca="1" si="15">ATAN2(CI7,CJ7)</f>
        <v>0.56739101989642671</v>
      </c>
      <c r="DV7" t="s">
        <v>196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-12</v>
      </c>
      <c r="F8">
        <f>F7</f>
        <v>24</v>
      </c>
      <c r="G8">
        <f t="shared" si="5"/>
        <v>576</v>
      </c>
      <c r="T8" s="36" t="s">
        <v>109</v>
      </c>
      <c r="U8" s="6">
        <f ca="1">SQRT(POWER(U5,2)+POWER(U6,2))</f>
        <v>289.22178823623068</v>
      </c>
      <c r="V8" s="40" t="s">
        <v>70</v>
      </c>
      <c r="W8" s="74" t="str">
        <f ca="1">IF((ABS(ABS(W7)-PI()))/10&lt;=L1,"ALT SOLUTION","")</f>
        <v/>
      </c>
      <c r="X8">
        <f ca="1">DEGREES(U7)</f>
        <v>359.99999999572407</v>
      </c>
      <c r="Y8" s="50">
        <f ca="1">DEGREES(W7)</f>
        <v>4.2759517529267007E-9</v>
      </c>
      <c r="AE8" s="6" t="s">
        <v>8</v>
      </c>
      <c r="AF8" s="6" t="s">
        <v>9</v>
      </c>
      <c r="BC8">
        <v>1.0471975511965976</v>
      </c>
      <c r="BD8">
        <v>249.57634101089468</v>
      </c>
      <c r="BE8">
        <v>167.80273630277867</v>
      </c>
      <c r="BF8" s="6">
        <f t="shared" si="0"/>
        <v>0.59192713518963924</v>
      </c>
      <c r="BG8" s="6">
        <f t="shared" si="1"/>
        <v>0.45527041600695839</v>
      </c>
      <c r="BH8" s="6">
        <f t="shared" si="2"/>
        <v>-0.59192713518963924</v>
      </c>
      <c r="BI8" s="6">
        <f t="shared" si="3"/>
        <v>0.59192713518963924</v>
      </c>
      <c r="BJ8">
        <v>277.30704556766074</v>
      </c>
      <c r="BK8">
        <v>186.44748478086518</v>
      </c>
      <c r="BV8" s="38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50</v>
      </c>
      <c r="CF8" s="6">
        <f ca="1">CF7-CF5</f>
        <v>0</v>
      </c>
      <c r="CG8">
        <f t="shared" ca="1" si="14"/>
        <v>0</v>
      </c>
      <c r="CH8" s="1" t="s">
        <v>238</v>
      </c>
      <c r="CI8" s="6">
        <f ca="1">CI7-CE7</f>
        <v>239.22178823623068</v>
      </c>
      <c r="CJ8" s="6">
        <f ca="1">CJ7-CF7</f>
        <v>-2.1584511955552443E-8</v>
      </c>
      <c r="CK8">
        <f t="shared" ca="1" si="15"/>
        <v>-9.0228035308547291E-11</v>
      </c>
      <c r="CL8" s="6">
        <f ca="1">ATAN2(COS($CG$8-CK8),SIN($CG$8-CK8))</f>
        <v>9.0228035308547291E-11</v>
      </c>
      <c r="CN8" s="1"/>
      <c r="CO8" s="1"/>
      <c r="CP8" s="1"/>
      <c r="CQ8" s="1"/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-12</v>
      </c>
      <c r="F9">
        <f>F6</f>
        <v>16</v>
      </c>
      <c r="G9">
        <f t="shared" si="5"/>
        <v>48</v>
      </c>
      <c r="T9" s="34" t="s">
        <v>98</v>
      </c>
      <c r="U9" s="35"/>
      <c r="V9" s="15"/>
      <c r="Y9" s="38"/>
      <c r="AA9" s="9">
        <f ca="1">U5-U11</f>
        <v>239.22178823623068</v>
      </c>
      <c r="AB9" s="9">
        <f ca="1">U6-U12</f>
        <v>-2.1584515508266122E-8</v>
      </c>
      <c r="AC9" s="9">
        <f ca="1">AA9+AB9</f>
        <v>239.22178821464615</v>
      </c>
      <c r="AE9" s="6">
        <v>0</v>
      </c>
      <c r="AF9" s="6">
        <v>0</v>
      </c>
      <c r="BC9">
        <v>1.2217304763960306</v>
      </c>
      <c r="BD9">
        <v>243.66295472164731</v>
      </c>
      <c r="BE9">
        <v>167.79522086796035</v>
      </c>
      <c r="BF9" s="6">
        <f t="shared" si="0"/>
        <v>0.60305871755923812</v>
      </c>
      <c r="BG9" s="6">
        <f t="shared" si="1"/>
        <v>0.61867175883679248</v>
      </c>
      <c r="BH9" s="6">
        <f t="shared" si="2"/>
        <v>-0.60305871755923812</v>
      </c>
      <c r="BI9" s="6">
        <f t="shared" si="3"/>
        <v>0.60305871755923812</v>
      </c>
      <c r="BJ9">
        <v>274.09999282049017</v>
      </c>
      <c r="BK9">
        <v>188.75527832189772</v>
      </c>
      <c r="BV9" s="38"/>
      <c r="BW9" s="6"/>
      <c r="BX9" s="6"/>
      <c r="BY9" s="1"/>
      <c r="CD9" s="6"/>
      <c r="CF9" s="9"/>
      <c r="CH9" s="1" t="s">
        <v>239</v>
      </c>
      <c r="CI9" s="6">
        <f ca="1">BW7-BW6</f>
        <v>239.22178823623068</v>
      </c>
      <c r="CJ9" s="6">
        <f ca="1">BX7-BX6</f>
        <v>-2.1584515508266122E-8</v>
      </c>
      <c r="CK9">
        <f t="shared" ca="1" si="15"/>
        <v>-9.0228050159676458E-11</v>
      </c>
      <c r="CL9" s="1"/>
      <c r="CM9" s="9"/>
      <c r="CR9" s="38"/>
      <c r="DW9" s="9" t="s">
        <v>200</v>
      </c>
      <c r="DX9" s="9" t="s">
        <v>8</v>
      </c>
      <c r="DY9" s="9" t="s">
        <v>9</v>
      </c>
      <c r="DZ9" s="9" t="s">
        <v>202</v>
      </c>
    </row>
    <row r="10" spans="1:141" x14ac:dyDescent="0.25">
      <c r="E10">
        <v>0</v>
      </c>
      <c r="F10">
        <f>F9</f>
        <v>16</v>
      </c>
      <c r="G10">
        <f t="shared" si="5"/>
        <v>-96</v>
      </c>
      <c r="T10" s="36" t="s">
        <v>99</v>
      </c>
      <c r="U10" s="47">
        <v>0</v>
      </c>
      <c r="V10" s="16" t="s">
        <v>68</v>
      </c>
      <c r="W10" t="str">
        <f>"+ Compression"</f>
        <v>+ Compression</v>
      </c>
      <c r="AE10" s="6">
        <f>U11</f>
        <v>50</v>
      </c>
      <c r="AF10" s="6">
        <f>U12</f>
        <v>0</v>
      </c>
      <c r="BC10">
        <v>1.3962634015954636</v>
      </c>
      <c r="BD10">
        <v>228.15675091874857</v>
      </c>
      <c r="BE10">
        <v>159.94580035289394</v>
      </c>
      <c r="BF10" s="6">
        <f t="shared" si="0"/>
        <v>0.61142005911172559</v>
      </c>
      <c r="BG10" s="6">
        <f t="shared" si="1"/>
        <v>0.78484334248373799</v>
      </c>
      <c r="BH10" s="6">
        <f t="shared" si="2"/>
        <v>-0.61142005911172559</v>
      </c>
      <c r="BI10" s="6">
        <f t="shared" si="3"/>
        <v>0.61142005911172559</v>
      </c>
      <c r="BJ10">
        <v>271.26449659734476</v>
      </c>
      <c r="BK10">
        <v>190.1658260861123</v>
      </c>
      <c r="BU10" s="9"/>
      <c r="BV10" s="38"/>
      <c r="BW10" s="9"/>
      <c r="BX10" s="6"/>
      <c r="BY10" s="1"/>
      <c r="CD10" s="1"/>
      <c r="CE10" s="1"/>
      <c r="CH10" s="39" t="s">
        <v>240</v>
      </c>
      <c r="CI10" s="6">
        <f ca="1">CI7-CE5</f>
        <v>289.22178823623068</v>
      </c>
      <c r="CJ10" s="6">
        <f ca="1">CJ7-CF5</f>
        <v>-2.1584511955552443E-8</v>
      </c>
      <c r="CK10">
        <f t="shared" ca="1" si="15"/>
        <v>-7.4629619321496758E-11</v>
      </c>
      <c r="CL10" s="1"/>
      <c r="DV10" t="s">
        <v>193</v>
      </c>
      <c r="DW10" s="9">
        <f ca="1">DW4-$DW$8</f>
        <v>1876.3505000000002</v>
      </c>
      <c r="DX10" s="9">
        <f ca="1">DX4-$DX$8</f>
        <v>316.537125</v>
      </c>
      <c r="DY10" s="9">
        <f ca="1">DY4-$DY$8</f>
        <v>-459.11237499999999</v>
      </c>
      <c r="DZ10" s="9">
        <v>0</v>
      </c>
      <c r="EB10" s="9">
        <f ca="1">EB4-$DW$8</f>
        <v>170.64000000000001</v>
      </c>
      <c r="EC10" s="9">
        <f ca="1">EC4-$DX$8</f>
        <v>-77.98</v>
      </c>
      <c r="ED10" s="9">
        <f ca="1">ED4-$DY$8</f>
        <v>42.660000000000004</v>
      </c>
      <c r="EE10" s="9">
        <v>0</v>
      </c>
      <c r="EF10">
        <f ca="1">ATAN2(EC10,ED10)</f>
        <v>2.6410068641795221</v>
      </c>
      <c r="EG10" s="9">
        <f ca="1">SQRT(POWER(EB10,2)+POWER(EC10,2)+POWER(ED10,2))</f>
        <v>192.40261328786573</v>
      </c>
      <c r="EH10">
        <f ca="1">EB10/EG10</f>
        <v>0.88689024064706801</v>
      </c>
      <c r="EI10">
        <f ca="1">EC10/EG10</f>
        <v>-0.40529595033789478</v>
      </c>
      <c r="EJ10">
        <f ca="1">ED10/EG10</f>
        <v>0.221722560161767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6" t="s">
        <v>100</v>
      </c>
      <c r="U11" s="47">
        <v>50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289.22178823623068</v>
      </c>
      <c r="AF11" s="6">
        <f ca="1">U6</f>
        <v>-2.1584515508266122E-8</v>
      </c>
      <c r="BC11">
        <v>1.5707963267948966</v>
      </c>
      <c r="BD11">
        <v>210.67862860828453</v>
      </c>
      <c r="BE11">
        <v>149.76550867174356</v>
      </c>
      <c r="BF11" s="6">
        <f t="shared" si="0"/>
        <v>0.61798530911849758</v>
      </c>
      <c r="BG11" s="6">
        <f t="shared" si="1"/>
        <v>0.95281101767639897</v>
      </c>
      <c r="BH11" s="6">
        <f t="shared" si="2"/>
        <v>-0.61798530911849758</v>
      </c>
      <c r="BI11" s="6">
        <f t="shared" si="3"/>
        <v>0.61798530911849758</v>
      </c>
      <c r="BJ11">
        <v>268.60000000002401</v>
      </c>
      <c r="BK11">
        <v>190.9401817116825</v>
      </c>
      <c r="BV11" s="38"/>
      <c r="BW11" s="6"/>
      <c r="BX11" s="1"/>
      <c r="BY11" s="1"/>
      <c r="CC11" s="1"/>
      <c r="CD11" s="1"/>
      <c r="CE11" s="1"/>
      <c r="CF11" s="9"/>
      <c r="CH11" s="39"/>
      <c r="CI11" s="1"/>
      <c r="CK11" s="39">
        <f ca="1">ATAN2(COS(CK9-CK10),SIN(CK9-CK10))*10</f>
        <v>-1.5598430838179699E-10</v>
      </c>
      <c r="CL11" s="1"/>
      <c r="CM11" s="38"/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170.6399999999839</v>
      </c>
      <c r="EC11" s="9">
        <f ca="1">EC5-$DX$8</f>
        <v>161.24178823623066</v>
      </c>
      <c r="ED11" s="9">
        <f ca="1">ED5-$DY$8</f>
        <v>42.659999978415485</v>
      </c>
      <c r="EE11" s="9">
        <v>0</v>
      </c>
      <c r="EF11">
        <f ca="1">ATAN2(EC11,ED11)</f>
        <v>0.25864541042965816</v>
      </c>
      <c r="EG11" s="9">
        <f t="shared" ref="EG11:EG12" ca="1" si="16">SQRT(POWER(EB11,2)+POWER(EC11,2)+POWER(ED11,2))</f>
        <v>238.61433207536041</v>
      </c>
      <c r="EH11">
        <f t="shared" ref="EH11:EH12" ca="1" si="17">EB11/EG11</f>
        <v>0.71512887979457784</v>
      </c>
      <c r="EI11">
        <f t="shared" ref="EI11:EI12" ca="1" si="18">EC11/EG11</f>
        <v>0.67574226088526168</v>
      </c>
      <c r="EJ11">
        <f t="shared" ref="EJ11:EJ12" ca="1" si="19">ED11/EG11</f>
        <v>0.17878221985820358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6" t="s">
        <v>101</v>
      </c>
      <c r="U12" s="47">
        <v>0</v>
      </c>
      <c r="V12" s="16" t="s">
        <v>70</v>
      </c>
      <c r="W12" t="str">
        <f>"+ Puts Left of Section in Compression"</f>
        <v>+ Puts Left of Section in Compression</v>
      </c>
      <c r="BC12">
        <v>1.7453292519943295</v>
      </c>
      <c r="BD12">
        <v>167.49507531497792</v>
      </c>
      <c r="BE12">
        <v>123.75110093305304</v>
      </c>
      <c r="BF12" s="6">
        <f t="shared" si="0"/>
        <v>0.63631665616691868</v>
      </c>
      <c r="BG12" s="6">
        <f t="shared" si="1"/>
        <v>1.1090125958274109</v>
      </c>
      <c r="BH12" s="6">
        <f t="shared" si="2"/>
        <v>-0.63631665616691868</v>
      </c>
      <c r="BI12" s="6">
        <f t="shared" si="3"/>
        <v>0.63631665616691868</v>
      </c>
      <c r="BJ12">
        <v>240.61105606106116</v>
      </c>
      <c r="BK12">
        <v>177.77169285859122</v>
      </c>
      <c r="BV12" s="38"/>
      <c r="CE12" s="9"/>
      <c r="CF12" s="9"/>
      <c r="CG12" s="1"/>
      <c r="CH12" s="38"/>
      <c r="CK12" s="39"/>
      <c r="CN12" s="1"/>
      <c r="CO12" s="1"/>
      <c r="CP12" s="1"/>
      <c r="CQ12" s="1"/>
      <c r="EB12" s="9">
        <f ca="1">EB6-$DW$8</f>
        <v>170.6399999999839</v>
      </c>
      <c r="EC12" s="9">
        <f ca="1">EC6-$DX$8</f>
        <v>-72.98</v>
      </c>
      <c r="ED12" s="9">
        <f ca="1">ED6-$DY$8</f>
        <v>47.660000000000004</v>
      </c>
      <c r="EE12" s="9">
        <v>0</v>
      </c>
      <c r="EF12">
        <f ca="1">ATAN2(EC12,ED12)</f>
        <v>2.563072359864325</v>
      </c>
      <c r="EG12" s="9">
        <f t="shared" ca="1" si="16"/>
        <v>191.61306218521352</v>
      </c>
      <c r="EH12">
        <f t="shared" ca="1" si="17"/>
        <v>0.89054471576182515</v>
      </c>
      <c r="EI12">
        <f t="shared" ca="1" si="18"/>
        <v>-0.38087173790614237</v>
      </c>
      <c r="EJ12">
        <f t="shared" ca="1" si="19"/>
        <v>0.24873043338732181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</v>
      </c>
      <c r="V13" s="17" t="s">
        <v>97</v>
      </c>
      <c r="X13" s="38"/>
      <c r="Y13" s="9"/>
      <c r="Z13" s="1">
        <f ca="1">Z15*0.8</f>
        <v>1364.5684000000001</v>
      </c>
      <c r="AA13" s="48"/>
      <c r="BC13">
        <v>1.9198621771937625</v>
      </c>
      <c r="BD13">
        <v>117.33213086549411</v>
      </c>
      <c r="BE13">
        <v>93.917378986355672</v>
      </c>
      <c r="BF13" s="6">
        <f t="shared" si="0"/>
        <v>0.67500942748108184</v>
      </c>
      <c r="BG13" s="6">
        <f t="shared" si="1"/>
        <v>1.2448527497126807</v>
      </c>
      <c r="BH13" s="6">
        <f t="shared" si="2"/>
        <v>-0.67500942748108184</v>
      </c>
      <c r="BI13" s="6">
        <f t="shared" si="3"/>
        <v>0.67500942748108184</v>
      </c>
      <c r="BJ13">
        <v>179.8030448094276</v>
      </c>
      <c r="BK13">
        <v>143.92162298344354</v>
      </c>
      <c r="BV13" s="38"/>
      <c r="BW13" t="s">
        <v>147</v>
      </c>
      <c r="CF13" s="1"/>
      <c r="CG13" s="39"/>
      <c r="CH13" s="1"/>
      <c r="CI13" s="9"/>
      <c r="CJ13" s="9"/>
      <c r="DV13" t="s">
        <v>208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50</v>
      </c>
      <c r="V14" s="43" t="s">
        <v>70</v>
      </c>
      <c r="W14">
        <f>DEGREES(U13)</f>
        <v>0</v>
      </c>
      <c r="Y14" s="54"/>
      <c r="Z14" s="55" t="s">
        <v>99</v>
      </c>
      <c r="AA14" s="56" t="s">
        <v>100</v>
      </c>
      <c r="AB14" s="57" t="s">
        <v>101</v>
      </c>
      <c r="AC14" s="60" t="s">
        <v>209</v>
      </c>
      <c r="AD14" s="55" t="s">
        <v>210</v>
      </c>
      <c r="AE14" s="57" t="s">
        <v>211</v>
      </c>
      <c r="BC14">
        <v>2.0943951023931953</v>
      </c>
      <c r="BD14">
        <v>59.527798375994294</v>
      </c>
      <c r="BE14">
        <v>57.336414646254923</v>
      </c>
      <c r="BF14" s="6">
        <f t="shared" si="0"/>
        <v>0.76664882275384016</v>
      </c>
      <c r="BG14" s="6">
        <f t="shared" si="1"/>
        <v>1.3277462796393551</v>
      </c>
      <c r="BH14" s="6">
        <f t="shared" si="2"/>
        <v>-0.76664882275384028</v>
      </c>
      <c r="BI14" s="6">
        <f t="shared" si="3"/>
        <v>0.76664882275384028</v>
      </c>
      <c r="BJ14">
        <v>91.581228270760448</v>
      </c>
      <c r="BK14">
        <v>88.209868686546031</v>
      </c>
      <c r="BV14" s="38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9"/>
      <c r="CH14" s="1"/>
      <c r="CI14" s="1"/>
      <c r="CJ14" s="1"/>
      <c r="CL14" s="1"/>
      <c r="CM14" s="1"/>
      <c r="CN14" s="1"/>
      <c r="CO14" s="1"/>
      <c r="CP14" s="1"/>
      <c r="DV14" t="s">
        <v>197</v>
      </c>
      <c r="DW14">
        <f ca="1">ATAN2(-1*DX10,-1*DY10)</f>
        <v>2.1744097032161758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0">IF($B15=0,NA(),D15)</f>
        <v>2</v>
      </c>
      <c r="L15" s="1">
        <f t="shared" ref="L15:L24" si="21">IF($B15=0,NA(),E15)</f>
        <v>2</v>
      </c>
      <c r="T15" s="37" t="s">
        <v>103</v>
      </c>
      <c r="U15" s="6">
        <f>SQRT(POWER(U12,2)+POWER(U11,2)+POWER(U10,2))</f>
        <v>50</v>
      </c>
      <c r="Y15" s="58" t="s">
        <v>193</v>
      </c>
      <c r="Z15" s="62">
        <f ca="1">B115</f>
        <v>1705.7105000000001</v>
      </c>
      <c r="AA15" s="62">
        <f ca="1">C116</f>
        <v>444.51712500000002</v>
      </c>
      <c r="AB15" s="63">
        <f ca="1">C117</f>
        <v>-501.77237500000001</v>
      </c>
      <c r="AC15" s="64">
        <f ca="1">Z15/0.65</f>
        <v>2624.17</v>
      </c>
      <c r="AD15" s="62">
        <f t="shared" ref="AD15:AE15" ca="1" si="22">AA15/0.65</f>
        <v>683.87250000000006</v>
      </c>
      <c r="AE15" s="63">
        <f t="shared" ca="1" si="22"/>
        <v>-771.95749999999998</v>
      </c>
      <c r="BC15">
        <v>2.268928027592628</v>
      </c>
      <c r="BD15">
        <v>5.1849636795053806</v>
      </c>
      <c r="BE15">
        <v>16.759473953449227</v>
      </c>
      <c r="BF15" s="6">
        <f t="shared" si="0"/>
        <v>1.2707608833401602</v>
      </c>
      <c r="BG15" s="6">
        <f t="shared" si="1"/>
        <v>0.99816714425246778</v>
      </c>
      <c r="BH15" s="6">
        <f t="shared" si="2"/>
        <v>-1.2707608833401602</v>
      </c>
      <c r="BI15" s="6">
        <f t="shared" si="3"/>
        <v>1.2707608833401602</v>
      </c>
      <c r="BJ15">
        <v>7.976867199239047</v>
      </c>
      <c r="BK15">
        <v>25.783806082229578</v>
      </c>
      <c r="BV15" s="38"/>
      <c r="BW15" s="6">
        <f>IF(BC2="",NA(),BC2)</f>
        <v>0</v>
      </c>
      <c r="BX15" s="9">
        <f ca="1">BD2-$BW$5</f>
        <v>134.94435066827074</v>
      </c>
      <c r="BY15" s="9">
        <f ca="1">BE2-$BX$5</f>
        <v>-43.567174144666708</v>
      </c>
      <c r="BZ15" s="9">
        <f ca="1">BX15-$CE$5</f>
        <v>291.71102725668004</v>
      </c>
      <c r="CA15" s="6">
        <f ca="1">BY15-$CF$5</f>
        <v>-127.97999999996405</v>
      </c>
      <c r="CB15" s="6">
        <f ca="1">ATAN2(BZ15,CA15)</f>
        <v>-0.4134355296501146</v>
      </c>
      <c r="CC15" s="6">
        <f ca="1">ATAN2(COS(CF15-CB15),SIN(CF15-CB15))*10</f>
        <v>-0.73513266744996864</v>
      </c>
      <c r="CD15" s="9">
        <f>BD2-$BW$6</f>
        <v>241.71102725668004</v>
      </c>
      <c r="CE15" s="9">
        <f>BE2-$BX$6</f>
        <v>-127.97999999996405</v>
      </c>
      <c r="CF15" s="6">
        <f>ATAN2(CD15,CE15)</f>
        <v>-0.48694879639511146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DV15" t="s">
        <v>198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3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0"/>
        <v>2</v>
      </c>
      <c r="L16" s="1">
        <f t="shared" si="21"/>
        <v>4</v>
      </c>
      <c r="T16" s="37" t="s">
        <v>104</v>
      </c>
      <c r="U16" s="39">
        <f>U10/U15</f>
        <v>0</v>
      </c>
      <c r="V16" s="39">
        <f>U11/U15</f>
        <v>1</v>
      </c>
      <c r="W16" s="39">
        <f>U12/U15</f>
        <v>0</v>
      </c>
      <c r="X16" s="38"/>
      <c r="Y16" s="59" t="s">
        <v>194</v>
      </c>
      <c r="Z16" s="65">
        <f ca="1">J115</f>
        <v>-170.64000000000001</v>
      </c>
      <c r="AA16" s="65">
        <f ca="1">K116</f>
        <v>127.98</v>
      </c>
      <c r="AB16" s="66">
        <f ca="1">K117</f>
        <v>-42.660000000000004</v>
      </c>
      <c r="AC16" s="67">
        <f ca="1">Z16/0.9</f>
        <v>-189.60000000000002</v>
      </c>
      <c r="AD16" s="65">
        <f t="shared" ref="AD16:AE16" ca="1" si="24">AA16/0.9</f>
        <v>142.19999999999999</v>
      </c>
      <c r="AE16" s="66">
        <f t="shared" ca="1" si="24"/>
        <v>-47.400000000000006</v>
      </c>
      <c r="BC16">
        <v>2.4434609527920608</v>
      </c>
      <c r="BD16">
        <v>-6.2685101700526742</v>
      </c>
      <c r="BE16">
        <v>5.2531929098978658</v>
      </c>
      <c r="BF16" s="6">
        <f t="shared" si="0"/>
        <v>2.4440895936926457</v>
      </c>
      <c r="BG16" s="6">
        <f t="shared" si="1"/>
        <v>6.2864090058489808E-4</v>
      </c>
      <c r="BH16" s="6">
        <f t="shared" si="2"/>
        <v>-2.4440895936926452</v>
      </c>
      <c r="BI16" s="6">
        <f t="shared" si="3"/>
        <v>2.4440895936926452</v>
      </c>
      <c r="BJ16">
        <v>-9.6438618000810372</v>
      </c>
      <c r="BK16">
        <v>8.0818352459967162</v>
      </c>
      <c r="BV16" s="38"/>
      <c r="BW16" s="6">
        <f t="shared" ref="BW16:BW79" si="25">IF(BC3="",NA(),BC3)</f>
        <v>0.17453292519943295</v>
      </c>
      <c r="BX16" s="9">
        <f t="shared" ref="BX16:BX79" ca="1" si="26">BD3-$BW$5</f>
        <v>121.96168157439408</v>
      </c>
      <c r="BY16" s="9">
        <f t="shared" ref="BY16:BY79" ca="1" si="27">BE3-$BX$5</f>
        <v>184.90171914163525</v>
      </c>
      <c r="BZ16" s="9">
        <f t="shared" ref="BZ16:BZ79" ca="1" si="28">BX16-$CE$5</f>
        <v>278.72835816280337</v>
      </c>
      <c r="CA16" s="6">
        <f t="shared" ref="CA16:CA79" ca="1" si="29">BY16-$CF$5</f>
        <v>100.48889328633791</v>
      </c>
      <c r="CB16" s="6">
        <f t="shared" ref="CB16:CB79" ca="1" si="30">ATAN2(BZ16,CA16)</f>
        <v>0.34602138657194392</v>
      </c>
      <c r="CC16" s="6">
        <f t="shared" ref="CC16:CC79" ca="1" si="31">ATAN2(COS(CF16-CB16),SIN(CF16-CB16))*10</f>
        <v>0.67930119206841111</v>
      </c>
      <c r="CD16" s="9">
        <f t="shared" ref="CD16:CD79" si="32">BD3-$BW$6</f>
        <v>228.72835816280337</v>
      </c>
      <c r="CE16" s="9">
        <f t="shared" ref="CE16:CE79" si="33">BE3-$BX$6</f>
        <v>100.48889328633791</v>
      </c>
      <c r="CF16" s="6">
        <f t="shared" ref="CF16:CF79" si="34">ATAN2(CD16,CE16)</f>
        <v>0.41395150577878503</v>
      </c>
      <c r="CG16" s="6"/>
      <c r="CH16" s="6"/>
      <c r="CI16" s="6"/>
      <c r="CJ16" s="1"/>
      <c r="CK16" s="6"/>
      <c r="DV16" t="s">
        <v>199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3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0"/>
        <v>4</v>
      </c>
      <c r="L17" s="1">
        <f t="shared" si="21"/>
        <v>2</v>
      </c>
      <c r="Y17" s="60" t="s">
        <v>203</v>
      </c>
      <c r="Z17" s="68">
        <f>U10</f>
        <v>0</v>
      </c>
      <c r="AA17" s="68">
        <f>U11</f>
        <v>50</v>
      </c>
      <c r="AB17" s="69">
        <f>U12</f>
        <v>0</v>
      </c>
      <c r="AC17" s="70">
        <f ca="1">Z17/$U$3</f>
        <v>0</v>
      </c>
      <c r="AD17" s="68">
        <f t="shared" ref="AD17:AE17" ca="1" si="35">AA17/$U$3</f>
        <v>55.555555555555557</v>
      </c>
      <c r="AE17" s="69">
        <f t="shared" ca="1" si="35"/>
        <v>0</v>
      </c>
      <c r="BC17">
        <v>2.6179938779914935</v>
      </c>
      <c r="BD17">
        <v>-7.410015899299788</v>
      </c>
      <c r="BE17">
        <v>4.0968924178175588</v>
      </c>
      <c r="BF17" s="6">
        <f t="shared" si="0"/>
        <v>2.6365365729995767</v>
      </c>
      <c r="BG17" s="6">
        <f t="shared" si="1"/>
        <v>1.8542695008083143E-2</v>
      </c>
      <c r="BH17" s="6">
        <f t="shared" si="2"/>
        <v>-2.6365365729995767</v>
      </c>
      <c r="BI17" s="6">
        <f t="shared" si="3"/>
        <v>2.6365365729995767</v>
      </c>
      <c r="BJ17">
        <v>-11.400024460461212</v>
      </c>
      <c r="BK17">
        <v>6.3029114120270133</v>
      </c>
      <c r="BV17" s="38"/>
      <c r="BW17" s="6">
        <f t="shared" si="25"/>
        <v>0.3490658503988659</v>
      </c>
      <c r="BX17" s="9">
        <f t="shared" ca="1" si="26"/>
        <v>113.27451089126859</v>
      </c>
      <c r="BY17" s="9">
        <f t="shared" ca="1" si="27"/>
        <v>219.19318378089545</v>
      </c>
      <c r="BZ17" s="9">
        <f t="shared" ca="1" si="28"/>
        <v>270.04118747967789</v>
      </c>
      <c r="CA17" s="6">
        <f t="shared" ca="1" si="29"/>
        <v>134.78035792559811</v>
      </c>
      <c r="CB17" s="6">
        <f t="shared" ca="1" si="30"/>
        <v>0.46293565451897045</v>
      </c>
      <c r="CC17" s="6">
        <f t="shared" ca="1" si="31"/>
        <v>0.8664131437214817</v>
      </c>
      <c r="CD17" s="9">
        <f t="shared" si="32"/>
        <v>220.04118747967789</v>
      </c>
      <c r="CE17" s="9">
        <f t="shared" si="33"/>
        <v>134.78035792559811</v>
      </c>
      <c r="CF17" s="6">
        <f t="shared" si="34"/>
        <v>0.54957696889111862</v>
      </c>
      <c r="CG17" s="6"/>
      <c r="CH17" s="6"/>
      <c r="CI17" s="6"/>
      <c r="CJ17" s="1"/>
      <c r="CK17" s="6"/>
      <c r="DW17">
        <f ca="1">(DW15*DX15*(1-COS(DW14)))+(DY15*SIN(DW14))</f>
        <v>0</v>
      </c>
      <c r="DX17">
        <f ca="1">(DX15*DX15*(1-COS(DW14)))+COS(DW14)</f>
        <v>-0.56762102903582434</v>
      </c>
      <c r="DY17">
        <f ca="1">(DY15*DX15*(1-COS(DW14)))-(DW15*SIN(DW14))</f>
        <v>-0.82328996556274858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3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0"/>
        <v>4</v>
      </c>
      <c r="L18" s="1">
        <f t="shared" si="21"/>
        <v>4</v>
      </c>
      <c r="T18" s="8" t="s">
        <v>105</v>
      </c>
      <c r="U18" s="6">
        <f ca="1">SQRT(POWER(U6,2)+POWER(U5,2)+POWER(U4,2))</f>
        <v>289.22178823623068</v>
      </c>
      <c r="Y18" s="61" t="s">
        <v>204</v>
      </c>
      <c r="Z18" s="65">
        <f ca="1">U4</f>
        <v>-1.6115109247039072E-11</v>
      </c>
      <c r="AA18" s="65">
        <f ca="1">U5</f>
        <v>289.22178823623068</v>
      </c>
      <c r="AB18" s="66">
        <f ca="1">U6</f>
        <v>-2.1584515508266122E-8</v>
      </c>
      <c r="AC18" s="67">
        <f ca="1">Z18/$U$3</f>
        <v>-1.7905676941154525E-11</v>
      </c>
      <c r="AD18" s="65">
        <f t="shared" ref="AD18" ca="1" si="36">AA18/$U$3</f>
        <v>321.35754248470073</v>
      </c>
      <c r="AE18" s="66">
        <f t="shared" ref="AE18" ca="1" si="37">AB18/$U$3</f>
        <v>-2.3982795009184578E-8</v>
      </c>
      <c r="BC18">
        <v>2.7925268031909263</v>
      </c>
      <c r="BD18">
        <v>-9.0305825375953148</v>
      </c>
      <c r="BE18">
        <v>2.1938897971938958</v>
      </c>
      <c r="BF18" s="6">
        <f t="shared" si="0"/>
        <v>2.9032696465663577</v>
      </c>
      <c r="BG18" s="6">
        <f t="shared" si="1"/>
        <v>0.11074284337543139</v>
      </c>
      <c r="BH18" s="6">
        <f t="shared" si="2"/>
        <v>-2.9032696465663577</v>
      </c>
      <c r="BI18" s="6">
        <f t="shared" si="3"/>
        <v>2.9032696465663577</v>
      </c>
      <c r="BJ18">
        <v>-13.893203903992791</v>
      </c>
      <c r="BK18">
        <v>3.3752150726059935</v>
      </c>
      <c r="BV18" s="38"/>
      <c r="BW18" s="6">
        <f t="shared" si="25"/>
        <v>0.52359877559829882</v>
      </c>
      <c r="BX18" s="9">
        <f t="shared" ca="1" si="26"/>
        <v>106.04826983834616</v>
      </c>
      <c r="BY18" s="9">
        <f t="shared" ca="1" si="27"/>
        <v>235.11344744871084</v>
      </c>
      <c r="BZ18" s="9">
        <f t="shared" ca="1" si="28"/>
        <v>262.81494642675545</v>
      </c>
      <c r="CA18" s="6">
        <f t="shared" ca="1" si="29"/>
        <v>150.7006215934135</v>
      </c>
      <c r="CB18" s="6">
        <f t="shared" ca="1" si="30"/>
        <v>0.52063825432057509</v>
      </c>
      <c r="CC18" s="6">
        <f t="shared" ca="1" si="31"/>
        <v>0.95523188562324446</v>
      </c>
      <c r="CD18" s="9">
        <f t="shared" si="32"/>
        <v>212.81494642675545</v>
      </c>
      <c r="CE18" s="9">
        <f t="shared" si="33"/>
        <v>150.7006215934135</v>
      </c>
      <c r="CF18" s="6">
        <f t="shared" si="34"/>
        <v>0.61616144288289953</v>
      </c>
      <c r="CG18" s="6"/>
      <c r="CH18" s="6"/>
      <c r="CI18" s="6"/>
      <c r="CJ18" s="1"/>
      <c r="CK18" s="6"/>
      <c r="DW18">
        <f ca="1">(DW15*DY15*(1-COS(DW14)))-(DX15*SIN(DW14))</f>
        <v>0</v>
      </c>
      <c r="DX18">
        <f ca="1">(DX15*DY15*(1-COS(DW14)))+(DW15*SIN(DW14))</f>
        <v>0.82328996556274858</v>
      </c>
      <c r="DY18">
        <f ca="1">(DY15*DY15*(1-COS(DW14)))+COS(DW14)</f>
        <v>-0.56762102903582434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3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20"/>
        <v>#N/A</v>
      </c>
      <c r="L19" s="1" t="e">
        <f t="shared" si="21"/>
        <v>#N/A</v>
      </c>
      <c r="T19" s="8" t="s">
        <v>106</v>
      </c>
      <c r="U19" s="39">
        <f ca="1">U4/U18</f>
        <v>-5.5718863178719326E-14</v>
      </c>
      <c r="V19" s="39">
        <f ca="1">U5/U18</f>
        <v>1</v>
      </c>
      <c r="W19" s="39">
        <f ca="1">U6/U18</f>
        <v>-7.4629631605196748E-11</v>
      </c>
      <c r="X19" s="38"/>
      <c r="BC19">
        <v>2.967059728390359</v>
      </c>
      <c r="BD19">
        <v>-12.202869343505967</v>
      </c>
      <c r="BE19">
        <v>-3.5059474519157163</v>
      </c>
      <c r="BF19" s="6">
        <f t="shared" si="0"/>
        <v>3.4213625113078843</v>
      </c>
      <c r="BG19" s="6">
        <f t="shared" si="1"/>
        <v>0.45430278291752524</v>
      </c>
      <c r="BH19" s="6">
        <f t="shared" si="2"/>
        <v>2.861822795871702</v>
      </c>
      <c r="BI19" s="6">
        <f t="shared" si="3"/>
        <v>2.861822795871702</v>
      </c>
      <c r="BJ19">
        <v>-18.773645143855333</v>
      </c>
      <c r="BK19">
        <v>-5.3937653106395631</v>
      </c>
      <c r="BV19" s="38"/>
      <c r="BW19" s="6">
        <f t="shared" si="25"/>
        <v>0.69813170079773179</v>
      </c>
      <c r="BX19" s="9">
        <f t="shared" ca="1" si="26"/>
        <v>100.46778725641482</v>
      </c>
      <c r="BY19" s="9">
        <f t="shared" ca="1" si="27"/>
        <v>243.83764544688614</v>
      </c>
      <c r="BZ19" s="9">
        <f t="shared" ca="1" si="28"/>
        <v>257.23446384482412</v>
      </c>
      <c r="CA19" s="6">
        <f t="shared" ca="1" si="29"/>
        <v>159.4248195915888</v>
      </c>
      <c r="CB19" s="6">
        <f t="shared" ca="1" si="30"/>
        <v>0.55482568589602044</v>
      </c>
      <c r="CC19" s="6">
        <f t="shared" ca="1" si="31"/>
        <v>1.0091145245963609</v>
      </c>
      <c r="CD19" s="9">
        <f t="shared" si="32"/>
        <v>207.23446384482412</v>
      </c>
      <c r="CE19" s="9">
        <f t="shared" si="33"/>
        <v>159.4248195915888</v>
      </c>
      <c r="CF19" s="6">
        <f t="shared" si="34"/>
        <v>0.6557371383556565</v>
      </c>
      <c r="CG19" s="6"/>
      <c r="CH19" s="6"/>
      <c r="CI19" s="6"/>
      <c r="CJ19" s="1"/>
      <c r="CK19" s="6"/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3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20"/>
        <v>#N/A</v>
      </c>
      <c r="L20" s="1" t="e">
        <f t="shared" si="21"/>
        <v>#N/A</v>
      </c>
      <c r="Y20" s="38"/>
      <c r="BC20">
        <v>3.1415926535897918</v>
      </c>
      <c r="BD20">
        <v>-16.496013931207571</v>
      </c>
      <c r="BE20">
        <v>-14.764959780357611</v>
      </c>
      <c r="BF20" s="6">
        <f t="shared" si="0"/>
        <v>3.8716730237015433</v>
      </c>
      <c r="BG20" s="6">
        <f t="shared" si="1"/>
        <v>0.73008037011175153</v>
      </c>
      <c r="BH20" s="6">
        <f t="shared" si="2"/>
        <v>2.4115122834780429</v>
      </c>
      <c r="BI20" s="6">
        <f t="shared" si="3"/>
        <v>2.4115122834780429</v>
      </c>
      <c r="BJ20">
        <v>-23.799581206693816</v>
      </c>
      <c r="BK20">
        <v>-21.302107331602212</v>
      </c>
      <c r="BV20" s="38"/>
      <c r="BW20" s="6">
        <f t="shared" si="25"/>
        <v>0.87266462599716477</v>
      </c>
      <c r="BX20" s="9">
        <f t="shared" ca="1" si="26"/>
        <v>96.224129365813866</v>
      </c>
      <c r="BY20" s="9">
        <f t="shared" ca="1" si="27"/>
        <v>248.97234167049834</v>
      </c>
      <c r="BZ20" s="9">
        <f t="shared" ca="1" si="28"/>
        <v>252.99080595422316</v>
      </c>
      <c r="CA20" s="6">
        <f t="shared" ca="1" si="29"/>
        <v>164.559515815201</v>
      </c>
      <c r="CB20" s="6">
        <f t="shared" ca="1" si="30"/>
        <v>0.57669607209826401</v>
      </c>
      <c r="CC20" s="6">
        <f t="shared" ca="1" si="31"/>
        <v>1.0452004047988772</v>
      </c>
      <c r="CD20" s="9">
        <f t="shared" si="32"/>
        <v>202.99080595422316</v>
      </c>
      <c r="CE20" s="9">
        <f t="shared" si="33"/>
        <v>164.559515815201</v>
      </c>
      <c r="CF20" s="6">
        <f t="shared" si="34"/>
        <v>0.68121611257815173</v>
      </c>
      <c r="CG20" s="6"/>
      <c r="CH20" s="6"/>
      <c r="CI20" s="6"/>
      <c r="CJ20" s="1"/>
      <c r="CK20" s="6"/>
      <c r="DV20" t="s">
        <v>193</v>
      </c>
      <c r="DW20">
        <f t="array" aca="1" ref="DW20:DZ20" ca="1">MMULT(DW10:DZ10,DW16:DZ19)</f>
        <v>1876.3505000000002</v>
      </c>
      <c r="DX20">
        <f ca="1"/>
        <v>-557.65574002372307</v>
      </c>
      <c r="DY20">
        <f ca="1"/>
        <v>-1.7053025658242404E-13</v>
      </c>
      <c r="DZ20" s="9">
        <f ca="1"/>
        <v>0</v>
      </c>
      <c r="EB20">
        <f t="array" aca="1" ref="EB20:EE20" ca="1">MMULT(EB10:EE10,DW16:DZ19)</f>
        <v>170.64000000000001</v>
      </c>
      <c r="EC20">
        <f ca="1"/>
        <v>79.384637775120439</v>
      </c>
      <c r="ED20">
        <f ca="1"/>
        <v>39.985438415914871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3"/>
        <v>0</v>
      </c>
      <c r="D21" s="2">
        <v>2</v>
      </c>
      <c r="E21" s="2">
        <v>22</v>
      </c>
      <c r="G21" s="1">
        <v>9</v>
      </c>
      <c r="H21" s="6">
        <v>1.1279999999999999</v>
      </c>
      <c r="I21" s="6">
        <v>1</v>
      </c>
      <c r="K21" s="1" t="e">
        <f t="shared" si="20"/>
        <v>#N/A</v>
      </c>
      <c r="L21" s="1" t="e">
        <f t="shared" si="21"/>
        <v>#N/A</v>
      </c>
      <c r="T21" s="8" t="s">
        <v>107</v>
      </c>
      <c r="U21" s="39">
        <f ca="1">U16-U19</f>
        <v>5.5718863178719326E-14</v>
      </c>
      <c r="V21" s="39">
        <f t="shared" ref="V21:W21" ca="1" si="38">V16-V19</f>
        <v>0</v>
      </c>
      <c r="W21" s="39">
        <f t="shared" ca="1" si="38"/>
        <v>7.4629631605196748E-11</v>
      </c>
      <c r="BC21">
        <v>3.3161255787892245</v>
      </c>
      <c r="BD21">
        <v>-13.201886673787211</v>
      </c>
      <c r="BE21">
        <v>-20.14613902724907</v>
      </c>
      <c r="BF21" s="6">
        <f t="shared" si="0"/>
        <v>4.132292715021471</v>
      </c>
      <c r="BG21" s="6">
        <f t="shared" si="1"/>
        <v>0.81616713623224646</v>
      </c>
      <c r="BH21" s="6">
        <f t="shared" si="2"/>
        <v>2.1508925921581152</v>
      </c>
      <c r="BI21" s="6">
        <f t="shared" si="3"/>
        <v>2.1508925921581152</v>
      </c>
      <c r="BJ21">
        <v>-20.310594882749555</v>
      </c>
      <c r="BK21">
        <v>-30.994060041921646</v>
      </c>
      <c r="BV21" s="38"/>
      <c r="BW21" s="6">
        <f t="shared" si="25"/>
        <v>1.0471975511965976</v>
      </c>
      <c r="BX21" s="9">
        <f t="shared" ca="1" si="26"/>
        <v>92.809664422485383</v>
      </c>
      <c r="BY21" s="9">
        <f t="shared" ca="1" si="27"/>
        <v>252.21556215807601</v>
      </c>
      <c r="BZ21" s="9">
        <f t="shared" ca="1" si="28"/>
        <v>249.57634101089468</v>
      </c>
      <c r="CA21" s="6">
        <f t="shared" ca="1" si="29"/>
        <v>167.80273630277867</v>
      </c>
      <c r="CB21" s="6">
        <f t="shared" ca="1" si="30"/>
        <v>0.59192713518963924</v>
      </c>
      <c r="CC21" s="6">
        <f t="shared" ca="1" si="31"/>
        <v>1.0719846213421813</v>
      </c>
      <c r="CD21" s="9">
        <f t="shared" si="32"/>
        <v>199.57634101089468</v>
      </c>
      <c r="CE21" s="9">
        <f t="shared" si="33"/>
        <v>167.80273630277867</v>
      </c>
      <c r="CF21" s="6">
        <f t="shared" si="34"/>
        <v>0.69912559732385737</v>
      </c>
      <c r="CG21" s="6"/>
      <c r="CH21" s="6"/>
      <c r="CI21" s="6"/>
      <c r="CJ21" s="1"/>
      <c r="CK21" s="6"/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170.6399999999839</v>
      </c>
      <c r="EC21">
        <f ca="1"/>
        <v>-56.402679849089189</v>
      </c>
      <c r="ED21">
        <f ca="1"/>
        <v>-156.96345937069879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3"/>
        <v>0</v>
      </c>
      <c r="D22" s="2">
        <v>10</v>
      </c>
      <c r="E22" s="2">
        <v>22</v>
      </c>
      <c r="G22" s="1">
        <v>10</v>
      </c>
      <c r="H22" s="6">
        <v>1.27</v>
      </c>
      <c r="I22" s="6">
        <v>1.27</v>
      </c>
      <c r="K22" s="1" t="e">
        <f t="shared" si="20"/>
        <v>#N/A</v>
      </c>
      <c r="L22" s="1" t="e">
        <f t="shared" si="21"/>
        <v>#N/A</v>
      </c>
      <c r="U22" s="1" t="s">
        <v>99</v>
      </c>
      <c r="V22" s="1" t="s">
        <v>100</v>
      </c>
      <c r="W22" s="1" t="s">
        <v>101</v>
      </c>
      <c r="BC22">
        <v>3.4906585039886573</v>
      </c>
      <c r="BD22">
        <v>-10.614063840701233</v>
      </c>
      <c r="BE22">
        <v>-25.278281247397143</v>
      </c>
      <c r="BF22" s="6">
        <f t="shared" si="0"/>
        <v>4.3148556305560906</v>
      </c>
      <c r="BG22" s="6">
        <f t="shared" si="1"/>
        <v>0.82419712656743327</v>
      </c>
      <c r="BH22" s="6">
        <f t="shared" si="2"/>
        <v>1.9683296766234957</v>
      </c>
      <c r="BI22" s="6">
        <f t="shared" si="3"/>
        <v>1.9683296766234957</v>
      </c>
      <c r="BJ22">
        <v>-16.329328985694204</v>
      </c>
      <c r="BK22">
        <v>-38.889663457534063</v>
      </c>
      <c r="BV22" s="38"/>
      <c r="BW22" s="6">
        <f t="shared" si="25"/>
        <v>1.2217304763960306</v>
      </c>
      <c r="BX22" s="9">
        <f t="shared" ca="1" si="26"/>
        <v>86.896278133238013</v>
      </c>
      <c r="BY22" s="9">
        <f t="shared" ca="1" si="27"/>
        <v>252.2080467232577</v>
      </c>
      <c r="BZ22" s="9">
        <f t="shared" ca="1" si="28"/>
        <v>243.66295472164731</v>
      </c>
      <c r="CA22" s="6">
        <f t="shared" ca="1" si="29"/>
        <v>167.79522086796035</v>
      </c>
      <c r="CB22" s="6">
        <f t="shared" ca="1" si="30"/>
        <v>0.60305871755923812</v>
      </c>
      <c r="CC22" s="6">
        <f t="shared" ca="1" si="31"/>
        <v>1.1089630270639672</v>
      </c>
      <c r="CD22" s="9">
        <f t="shared" si="32"/>
        <v>193.66295472164731</v>
      </c>
      <c r="CE22" s="9">
        <f t="shared" si="33"/>
        <v>167.79522086796035</v>
      </c>
      <c r="CF22" s="6">
        <f t="shared" si="34"/>
        <v>0.71395502026563484</v>
      </c>
      <c r="CG22" s="6"/>
      <c r="CH22" s="6"/>
      <c r="CI22" s="6"/>
      <c r="CJ22" s="1"/>
      <c r="CK22" s="6"/>
      <c r="EB22">
        <f t="array" aca="1" ref="EB22:EE22" ca="1">MMULT(EB12:EE12,DW16:DZ19)</f>
        <v>170.6399999999839</v>
      </c>
      <c r="EC22">
        <f ca="1"/>
        <v>80.662982457755064</v>
      </c>
      <c r="ED22">
        <f ca="1"/>
        <v>33.030883442922004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3"/>
        <v>0</v>
      </c>
      <c r="D23" s="2">
        <v>2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20"/>
        <v>#N/A</v>
      </c>
      <c r="L23" s="1" t="e">
        <f t="shared" si="21"/>
        <v>#N/A</v>
      </c>
      <c r="T23" s="8" t="s">
        <v>108</v>
      </c>
      <c r="U23" s="39">
        <f ca="1">SQRT(POWER(U21,2)+POWER(V21,2)+POWER(W21,2))</f>
        <v>7.4629652405187416E-11</v>
      </c>
      <c r="V23" t="str">
        <f ca="1">IF(ABS(U23)&lt;=L1,"","NG")</f>
        <v/>
      </c>
      <c r="BC23">
        <v>3.66519142918809</v>
      </c>
      <c r="BD23">
        <v>10.527789628229202</v>
      </c>
      <c r="BE23">
        <v>-70.308057373255551</v>
      </c>
      <c r="BF23" s="6">
        <f t="shared" si="0"/>
        <v>4.8610227075440777</v>
      </c>
      <c r="BG23" s="6">
        <f t="shared" si="1"/>
        <v>1.1958312783559877</v>
      </c>
      <c r="BH23" s="6">
        <f t="shared" si="2"/>
        <v>1.4221625996355087</v>
      </c>
      <c r="BI23" s="6">
        <f t="shared" si="3"/>
        <v>1.4221625996355087</v>
      </c>
      <c r="BJ23">
        <v>16.196599428044927</v>
      </c>
      <c r="BK23">
        <v>-108.16624211270084</v>
      </c>
      <c r="BV23" s="38"/>
      <c r="BW23" s="6">
        <f t="shared" si="25"/>
        <v>1.3962634015954636</v>
      </c>
      <c r="BX23" s="9">
        <f t="shared" ca="1" si="26"/>
        <v>71.390074330339274</v>
      </c>
      <c r="BY23" s="9">
        <f t="shared" ca="1" si="27"/>
        <v>244.35862620819128</v>
      </c>
      <c r="BZ23" s="9">
        <f t="shared" ca="1" si="28"/>
        <v>228.15675091874857</v>
      </c>
      <c r="CA23" s="6">
        <f t="shared" ca="1" si="29"/>
        <v>159.94580035289394</v>
      </c>
      <c r="CB23" s="6">
        <f t="shared" ca="1" si="30"/>
        <v>0.61142005911172559</v>
      </c>
      <c r="CC23" s="6">
        <f t="shared" ca="1" si="31"/>
        <v>1.2016789118875182</v>
      </c>
      <c r="CD23" s="9">
        <f t="shared" si="32"/>
        <v>178.15675091874857</v>
      </c>
      <c r="CE23" s="9">
        <f t="shared" si="33"/>
        <v>159.94580035289394</v>
      </c>
      <c r="CF23" s="6">
        <f t="shared" si="34"/>
        <v>0.73158795030047741</v>
      </c>
      <c r="CG23" s="6"/>
      <c r="CH23" s="6"/>
      <c r="CI23" s="6"/>
      <c r="CJ23" s="1"/>
      <c r="CK23" s="6"/>
      <c r="DV23" t="s">
        <v>201</v>
      </c>
    </row>
    <row r="24" spans="1:136" ht="15.75" thickBot="1" x14ac:dyDescent="0.3">
      <c r="A24">
        <v>10</v>
      </c>
      <c r="B24" s="19">
        <v>0</v>
      </c>
      <c r="C24" s="11">
        <f t="shared" ca="1" si="23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20"/>
        <v>#N/A</v>
      </c>
      <c r="L24" s="1" t="e">
        <f t="shared" si="21"/>
        <v>#N/A</v>
      </c>
      <c r="BC24">
        <v>3.8397243543875228</v>
      </c>
      <c r="BD24">
        <v>111.95757191984598</v>
      </c>
      <c r="BE24">
        <v>-236.02082111967823</v>
      </c>
      <c r="BF24" s="6">
        <f t="shared" si="0"/>
        <v>5.1553106302684482</v>
      </c>
      <c r="BG24" s="6">
        <f t="shared" si="1"/>
        <v>1.3155862758809254</v>
      </c>
      <c r="BH24" s="6">
        <f t="shared" si="2"/>
        <v>1.1278746769111383</v>
      </c>
      <c r="BI24" s="6">
        <f t="shared" si="3"/>
        <v>1.1278746769111383</v>
      </c>
      <c r="BJ24">
        <v>163.63775660233262</v>
      </c>
      <c r="BK24">
        <v>-344.96923269392857</v>
      </c>
      <c r="BV24" s="38"/>
      <c r="BW24" s="6">
        <f t="shared" si="25"/>
        <v>1.5707963267948966</v>
      </c>
      <c r="BX24" s="9">
        <f t="shared" ca="1" si="26"/>
        <v>53.91195201987523</v>
      </c>
      <c r="BY24" s="9">
        <f t="shared" ca="1" si="27"/>
        <v>234.1783345270409</v>
      </c>
      <c r="BZ24" s="9">
        <f t="shared" ca="1" si="28"/>
        <v>210.67862860828453</v>
      </c>
      <c r="CA24" s="6">
        <f t="shared" ca="1" si="29"/>
        <v>149.76550867174356</v>
      </c>
      <c r="CB24" s="6">
        <f t="shared" ca="1" si="30"/>
        <v>0.61798530911849758</v>
      </c>
      <c r="CC24" s="6">
        <f t="shared" ca="1" si="31"/>
        <v>1.3227407516395751</v>
      </c>
      <c r="CD24" s="9">
        <f t="shared" si="32"/>
        <v>160.67862860828453</v>
      </c>
      <c r="CE24" s="9">
        <f t="shared" si="33"/>
        <v>149.76550867174356</v>
      </c>
      <c r="CF24" s="6">
        <f t="shared" si="34"/>
        <v>0.75025938428245509</v>
      </c>
      <c r="CG24" s="6"/>
      <c r="CH24" s="6"/>
      <c r="CI24" s="6"/>
      <c r="CJ24" s="1"/>
      <c r="CK24" s="6"/>
      <c r="DV24" t="s">
        <v>197</v>
      </c>
      <c r="DW24">
        <f ca="1">ATAN2(DW20,DX20)</f>
        <v>-0.2888881523097489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4.014257279586956</v>
      </c>
      <c r="BD25">
        <v>191.63567148983924</v>
      </c>
      <c r="BE25">
        <v>-349.86995112067927</v>
      </c>
      <c r="BF25" s="6">
        <f t="shared" si="0"/>
        <v>5.2134908036235039</v>
      </c>
      <c r="BG25" s="6">
        <f t="shared" si="1"/>
        <v>1.1992335240365479</v>
      </c>
      <c r="BH25" s="6">
        <f t="shared" si="2"/>
        <v>1.0696945035560825</v>
      </c>
      <c r="BI25" s="6">
        <f t="shared" si="3"/>
        <v>1.0696945035560825</v>
      </c>
      <c r="BJ25">
        <v>255.74645807476568</v>
      </c>
      <c r="BK25">
        <v>-466.9172502711707</v>
      </c>
      <c r="BV25" s="38"/>
      <c r="BW25" s="6">
        <f t="shared" si="25"/>
        <v>1.7453292519943295</v>
      </c>
      <c r="BX25" s="9">
        <f t="shared" ca="1" si="26"/>
        <v>10.728398726568628</v>
      </c>
      <c r="BY25" s="9">
        <f t="shared" ca="1" si="27"/>
        <v>208.16392678835038</v>
      </c>
      <c r="BZ25" s="9">
        <f t="shared" ca="1" si="28"/>
        <v>167.49507531497792</v>
      </c>
      <c r="CA25" s="6">
        <f t="shared" ca="1" si="29"/>
        <v>123.75110093305304</v>
      </c>
      <c r="CB25" s="6">
        <f t="shared" ca="1" si="30"/>
        <v>0.63631665616691868</v>
      </c>
      <c r="CC25" s="6">
        <f t="shared" ca="1" si="31"/>
        <v>1.7500782009721594</v>
      </c>
      <c r="CD25" s="9">
        <f t="shared" si="32"/>
        <v>117.49507531497792</v>
      </c>
      <c r="CE25" s="9">
        <f t="shared" si="33"/>
        <v>123.75110093305304</v>
      </c>
      <c r="CF25" s="6">
        <f t="shared" si="34"/>
        <v>0.81132447626413462</v>
      </c>
      <c r="CG25" s="6"/>
      <c r="CH25" s="6"/>
      <c r="CI25" s="6"/>
      <c r="CJ25" s="1"/>
      <c r="CK25" s="6"/>
      <c r="DV25" t="s">
        <v>198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4.1887902047863887</v>
      </c>
      <c r="BD26">
        <v>232.02536260369061</v>
      </c>
      <c r="BE26">
        <v>-420.35983093862228</v>
      </c>
      <c r="BF26" s="6">
        <f t="shared" si="0"/>
        <v>5.2167422178652307</v>
      </c>
      <c r="BG26" s="6">
        <f t="shared" si="1"/>
        <v>1.027952013078842</v>
      </c>
      <c r="BH26" s="6">
        <f t="shared" si="2"/>
        <v>1.0664430893143557</v>
      </c>
      <c r="BI26" s="6">
        <f t="shared" si="3"/>
        <v>1.0664430893143557</v>
      </c>
      <c r="BJ26">
        <v>259.89295443232555</v>
      </c>
      <c r="BK26">
        <v>-470.84748478084578</v>
      </c>
      <c r="BV26" s="38"/>
      <c r="BW26" s="6">
        <f t="shared" si="25"/>
        <v>1.9198621771937625</v>
      </c>
      <c r="BX26" s="9">
        <f t="shared" ca="1" si="26"/>
        <v>-39.434545722915189</v>
      </c>
      <c r="BY26" s="9">
        <f t="shared" ca="1" si="27"/>
        <v>178.33020484165303</v>
      </c>
      <c r="BZ26" s="9">
        <f t="shared" ca="1" si="28"/>
        <v>117.33213086549411</v>
      </c>
      <c r="CA26" s="6">
        <f t="shared" ca="1" si="29"/>
        <v>93.917378986355686</v>
      </c>
      <c r="CB26" s="6">
        <f t="shared" ca="1" si="30"/>
        <v>0.67500942748108184</v>
      </c>
      <c r="CC26" s="6">
        <f t="shared" ca="1" si="31"/>
        <v>2.7378904768448855</v>
      </c>
      <c r="CD26" s="9">
        <f t="shared" si="32"/>
        <v>67.332130865494108</v>
      </c>
      <c r="CE26" s="9">
        <f t="shared" si="33"/>
        <v>93.917378986355672</v>
      </c>
      <c r="CF26" s="6">
        <f t="shared" si="34"/>
        <v>0.94879847516557037</v>
      </c>
      <c r="CG26" s="6"/>
      <c r="CH26" s="6"/>
      <c r="CI26" s="6"/>
      <c r="CJ26" s="1"/>
      <c r="CK26" s="6"/>
      <c r="DW26">
        <f ca="1">(DW25*DW25*(1-COS(DW24)))+COS(DW24)</f>
        <v>0.95856121847518538</v>
      </c>
      <c r="DX26">
        <f ca="1">(DX25*DW25*(1-COS(DW24)))-(DY25*SIN(DW24))</f>
        <v>0.28488662733685477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3">
        <v>4.4032522405586312E-2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4.3633231299858215</v>
      </c>
      <c r="BD27">
        <v>236.79000646161776</v>
      </c>
      <c r="BE27">
        <v>-425.83975048966124</v>
      </c>
      <c r="BF27" s="6">
        <f t="shared" si="0"/>
        <v>5.2198684879958055</v>
      </c>
      <c r="BG27" s="6">
        <f t="shared" si="1"/>
        <v>0.85654535800998399</v>
      </c>
      <c r="BH27" s="6">
        <f t="shared" si="2"/>
        <v>1.063316819183781</v>
      </c>
      <c r="BI27" s="6">
        <f t="shared" si="3"/>
        <v>1.063316819183781</v>
      </c>
      <c r="BJ27">
        <v>263.1000071795753</v>
      </c>
      <c r="BK27">
        <v>-473.1552783218458</v>
      </c>
      <c r="BV27" s="38"/>
      <c r="BW27" s="6">
        <f t="shared" si="25"/>
        <v>2.0943951023931953</v>
      </c>
      <c r="BX27" s="9">
        <f t="shared" ca="1" si="26"/>
        <v>-97.238878212415003</v>
      </c>
      <c r="BY27" s="9">
        <f t="shared" ca="1" si="27"/>
        <v>141.74924050155226</v>
      </c>
      <c r="BZ27" s="9">
        <f t="shared" ca="1" si="28"/>
        <v>59.527798375994294</v>
      </c>
      <c r="CA27" s="6">
        <f t="shared" ca="1" si="29"/>
        <v>57.336414646254923</v>
      </c>
      <c r="CB27" s="6">
        <f t="shared" ca="1" si="30"/>
        <v>0.76664882275384016</v>
      </c>
      <c r="CC27" s="6">
        <f t="shared" ca="1" si="31"/>
        <v>6.3947860645687697</v>
      </c>
      <c r="CD27" s="9">
        <f t="shared" si="32"/>
        <v>9.5277983759942941</v>
      </c>
      <c r="CE27" s="9">
        <f t="shared" si="33"/>
        <v>57.336414646254923</v>
      </c>
      <c r="CF27" s="6">
        <f t="shared" si="34"/>
        <v>1.4061274292107171</v>
      </c>
      <c r="CG27" s="6"/>
      <c r="CH27" s="6"/>
      <c r="CI27" s="6"/>
      <c r="CJ27" s="1"/>
      <c r="CK27" s="6"/>
      <c r="DW27">
        <f ca="1">(DW25*DX25*(1-COS(DW24)))+(DY25*SIN(DW24))</f>
        <v>-0.28488662733685477</v>
      </c>
      <c r="DX27">
        <f ca="1">(DX25*DX25*(1-COS(DW24)))+COS(DW24)</f>
        <v>0.95856121847518538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3">
        <v>2.4760290909975371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4.5378560551852543</v>
      </c>
      <c r="BD28">
        <v>239.34195306234213</v>
      </c>
      <c r="BE28">
        <v>-427.10924347746453</v>
      </c>
      <c r="BF28" s="6">
        <f t="shared" si="0"/>
        <v>5.2231638199251318</v>
      </c>
      <c r="BG28" s="6">
        <f t="shared" si="1"/>
        <v>0.68530776473987753</v>
      </c>
      <c r="BH28" s="6">
        <f t="shared" si="2"/>
        <v>1.0600214872544547</v>
      </c>
      <c r="BI28" s="6">
        <f t="shared" si="3"/>
        <v>1.0600214872544547</v>
      </c>
      <c r="BJ28">
        <v>265.93550340260236</v>
      </c>
      <c r="BK28">
        <v>-474.5658260860717</v>
      </c>
      <c r="BV28" s="38"/>
      <c r="BW28" s="6">
        <f t="shared" si="25"/>
        <v>2.268928027592628</v>
      </c>
      <c r="BX28" s="9">
        <f t="shared" ca="1" si="26"/>
        <v>-151.58171290890391</v>
      </c>
      <c r="BY28" s="9">
        <f t="shared" ca="1" si="27"/>
        <v>101.17229980874657</v>
      </c>
      <c r="BZ28" s="9">
        <f t="shared" ca="1" si="28"/>
        <v>5.1849636795053868</v>
      </c>
      <c r="CA28" s="6">
        <f t="shared" ca="1" si="29"/>
        <v>16.759473953449231</v>
      </c>
      <c r="CB28" s="6">
        <f t="shared" ca="1" si="30"/>
        <v>1.2707608833401598</v>
      </c>
      <c r="CC28" s="6">
        <f t="shared" ca="1" si="31"/>
        <v>15.129645207144758</v>
      </c>
      <c r="CD28" s="9">
        <f t="shared" si="32"/>
        <v>-44.81503632049462</v>
      </c>
      <c r="CE28" s="9">
        <f t="shared" si="33"/>
        <v>16.759473953449227</v>
      </c>
      <c r="CF28" s="6">
        <f t="shared" si="34"/>
        <v>2.7837254040546355</v>
      </c>
      <c r="CG28" s="6"/>
      <c r="CH28" s="6"/>
      <c r="CI28" s="6"/>
      <c r="CJ28" s="1"/>
      <c r="CK28" s="6"/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1.9808232727980295</v>
      </c>
      <c r="C29" t="s">
        <v>4</v>
      </c>
      <c r="G29" s="1" t="s">
        <v>84</v>
      </c>
      <c r="H29" s="21" t="s">
        <v>85</v>
      </c>
      <c r="I29" s="7">
        <v>5</v>
      </c>
      <c r="BC29">
        <v>4.712388980384687</v>
      </c>
      <c r="BD29">
        <v>241.73999999995374</v>
      </c>
      <c r="BE29">
        <v>-427.80616354033799</v>
      </c>
      <c r="BF29" s="6">
        <f t="shared" si="0"/>
        <v>5.2267278217270547</v>
      </c>
      <c r="BG29" s="6">
        <f t="shared" si="1"/>
        <v>0.51433884134236774</v>
      </c>
      <c r="BH29" s="6">
        <f t="shared" si="2"/>
        <v>1.0564574854525317</v>
      </c>
      <c r="BI29" s="6">
        <f t="shared" si="3"/>
        <v>1.0564574854525317</v>
      </c>
      <c r="BJ29">
        <v>268.59999999994858</v>
      </c>
      <c r="BK29">
        <v>-475.34018171148665</v>
      </c>
      <c r="BV29" s="38"/>
      <c r="BW29" s="6">
        <f t="shared" si="25"/>
        <v>2.4434609527920608</v>
      </c>
      <c r="BX29" s="9">
        <f t="shared" ca="1" si="26"/>
        <v>-163.03518675846198</v>
      </c>
      <c r="BY29" s="9">
        <f t="shared" ca="1" si="27"/>
        <v>89.666018765195204</v>
      </c>
      <c r="BZ29" s="9">
        <f t="shared" ca="1" si="28"/>
        <v>-6.2685101700526786</v>
      </c>
      <c r="CA29" s="6">
        <f t="shared" ca="1" si="29"/>
        <v>5.2531929098978623</v>
      </c>
      <c r="CB29" s="6">
        <f t="shared" ca="1" si="30"/>
        <v>2.4440895936926466</v>
      </c>
      <c r="CC29" s="6">
        <f t="shared" ca="1" si="31"/>
        <v>6.0441351502060927</v>
      </c>
      <c r="CD29" s="9">
        <f t="shared" si="32"/>
        <v>-56.268510170052672</v>
      </c>
      <c r="CE29" s="9">
        <f t="shared" si="33"/>
        <v>5.2531929098978658</v>
      </c>
      <c r="CF29" s="6">
        <f t="shared" si="34"/>
        <v>3.0485031087132559</v>
      </c>
      <c r="CG29" s="6"/>
      <c r="CH29" s="6"/>
      <c r="CI29" s="6"/>
      <c r="CJ29" s="1"/>
      <c r="CK29" s="6"/>
      <c r="DW29">
        <v>0</v>
      </c>
      <c r="DX29">
        <v>0</v>
      </c>
      <c r="DY29">
        <v>0</v>
      </c>
      <c r="DZ29">
        <v>1</v>
      </c>
      <c r="EF29" t="s">
        <v>205</v>
      </c>
    </row>
    <row r="30" spans="1:136" x14ac:dyDescent="0.25">
      <c r="A30" s="8" t="s">
        <v>102</v>
      </c>
      <c r="B30" s="1">
        <v>3.0000000000000001E-3</v>
      </c>
      <c r="BC30">
        <v>4.8869219055841198</v>
      </c>
      <c r="BD30">
        <v>244.13804693758027</v>
      </c>
      <c r="BE30">
        <v>-427.10924347737341</v>
      </c>
      <c r="BF30" s="6">
        <f t="shared" si="0"/>
        <v>5.2316685571519406</v>
      </c>
      <c r="BG30" s="6">
        <f t="shared" si="1"/>
        <v>0.34474665156782081</v>
      </c>
      <c r="BH30" s="6">
        <f t="shared" si="2"/>
        <v>1.0515167500276459</v>
      </c>
      <c r="BI30" s="6">
        <f t="shared" si="3"/>
        <v>1.0515167500276459</v>
      </c>
      <c r="BJ30">
        <v>271.26449659731139</v>
      </c>
      <c r="BK30">
        <v>-474.56582608597046</v>
      </c>
      <c r="BV30" s="38"/>
      <c r="BW30" s="6">
        <f t="shared" si="25"/>
        <v>2.6179938779914935</v>
      </c>
      <c r="BX30" s="9">
        <f t="shared" ca="1" si="26"/>
        <v>-164.17669248770909</v>
      </c>
      <c r="BY30" s="9">
        <f t="shared" ca="1" si="27"/>
        <v>88.509718273114899</v>
      </c>
      <c r="BZ30" s="9">
        <f t="shared" ca="1" si="28"/>
        <v>-7.4100158992997933</v>
      </c>
      <c r="CA30" s="6">
        <f t="shared" ca="1" si="29"/>
        <v>4.096892417817557</v>
      </c>
      <c r="CB30" s="6">
        <f t="shared" ca="1" si="30"/>
        <v>2.6365365729995771</v>
      </c>
      <c r="CC30" s="6">
        <f t="shared" ca="1" si="31"/>
        <v>4.3381486932160795</v>
      </c>
      <c r="CD30" s="9">
        <f t="shared" si="32"/>
        <v>-57.410015899299786</v>
      </c>
      <c r="CE30" s="9">
        <f t="shared" si="33"/>
        <v>4.0968924178175588</v>
      </c>
      <c r="CF30" s="6">
        <f t="shared" si="34"/>
        <v>3.0703514423211851</v>
      </c>
      <c r="CG30" s="6"/>
      <c r="CH30" s="6"/>
      <c r="CI30" s="6"/>
      <c r="CJ30" s="1"/>
      <c r="CK30" s="6"/>
      <c r="DV30" t="s">
        <v>193</v>
      </c>
      <c r="DW30">
        <f t="array" aca="1" ref="DW30:DZ30" ca="1">MMULT(DW20:DZ20,DW26:DZ29)</f>
        <v>1957.46548455692</v>
      </c>
      <c r="DX30">
        <f ca="1"/>
        <v>0</v>
      </c>
      <c r="DY30">
        <f ca="1"/>
        <v>-1.7053025658242404E-13</v>
      </c>
      <c r="DZ30" s="9">
        <f ca="1"/>
        <v>0</v>
      </c>
      <c r="EB30">
        <f t="array" aca="1" ref="EB30:EE30" ca="1">MMULT(EB20:EE20,DW26:DZ29)</f>
        <v>140.95326460249373</v>
      </c>
      <c r="EC30">
        <f ca="1"/>
        <v>124.70808920269158</v>
      </c>
      <c r="ED30">
        <f ca="1"/>
        <v>39.985438415914871</v>
      </c>
      <c r="EE30" s="9">
        <f ca="1"/>
        <v>0</v>
      </c>
      <c r="EF30">
        <f ca="1">ATAN2(EC30,ED30)</f>
        <v>0.31027638378466199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5.0614548307835525</v>
      </c>
      <c r="BD31">
        <v>246.68999353837546</v>
      </c>
      <c r="BE31">
        <v>-425.83975048958456</v>
      </c>
      <c r="BF31" s="6">
        <f t="shared" si="0"/>
        <v>5.2374506236403082</v>
      </c>
      <c r="BG31" s="6">
        <f t="shared" si="1"/>
        <v>0.17599579285675571</v>
      </c>
      <c r="BH31" s="6">
        <f t="shared" si="2"/>
        <v>1.0457346835392782</v>
      </c>
      <c r="BI31" s="6">
        <f t="shared" si="3"/>
        <v>1.0457346835392782</v>
      </c>
      <c r="BJ31">
        <v>274.09999282041719</v>
      </c>
      <c r="BK31">
        <v>-473.15527832176059</v>
      </c>
      <c r="BV31" s="38"/>
      <c r="BW31" s="6">
        <f t="shared" si="25"/>
        <v>2.7925268031909263</v>
      </c>
      <c r="BX31" s="9">
        <f t="shared" ca="1" si="26"/>
        <v>-165.7972591260046</v>
      </c>
      <c r="BY31" s="9">
        <f t="shared" ca="1" si="27"/>
        <v>86.606715652491232</v>
      </c>
      <c r="BZ31" s="9">
        <f t="shared" ca="1" si="28"/>
        <v>-9.0305825375953077</v>
      </c>
      <c r="CA31" s="6">
        <f t="shared" ca="1" si="29"/>
        <v>2.19388979719389</v>
      </c>
      <c r="CB31" s="6">
        <f t="shared" ca="1" si="30"/>
        <v>2.9032696465663581</v>
      </c>
      <c r="CC31" s="6">
        <f t="shared" ca="1" si="31"/>
        <v>2.011747962419137</v>
      </c>
      <c r="CD31" s="9">
        <f t="shared" si="32"/>
        <v>-59.030582537595315</v>
      </c>
      <c r="CE31" s="9">
        <f t="shared" si="33"/>
        <v>2.1938897971938958</v>
      </c>
      <c r="CF31" s="6">
        <f t="shared" si="34"/>
        <v>3.1044444428082718</v>
      </c>
      <c r="CG31" s="6"/>
      <c r="CH31" s="6"/>
      <c r="CI31" s="6"/>
      <c r="CJ31" s="1"/>
      <c r="CK31" s="6"/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179.6372555555576</v>
      </c>
      <c r="EC31">
        <f ca="1"/>
        <v>-5.4523674326524016</v>
      </c>
      <c r="ED31">
        <f ca="1"/>
        <v>-156.96345937069879</v>
      </c>
      <c r="EE31" s="9">
        <f ca="1"/>
        <v>0</v>
      </c>
      <c r="EF31">
        <f ca="1">ATAN2(EC31,ED31)</f>
        <v>-1.6055189052167522</v>
      </c>
    </row>
    <row r="32" spans="1:136" x14ac:dyDescent="0.25">
      <c r="J32" t="s">
        <v>88</v>
      </c>
      <c r="N32" t="s">
        <v>89</v>
      </c>
      <c r="Q32" t="str">
        <f>IF(B1="Whitney",S60,J178)</f>
        <v>Cc = 189.6 kips
 @ ( 3 , 23.3391 )</v>
      </c>
      <c r="BC32">
        <v>5.2359877559829853</v>
      </c>
      <c r="BD32">
        <v>249.57634101096011</v>
      </c>
      <c r="BE32">
        <v>-423.76273630296845</v>
      </c>
      <c r="BF32" s="6">
        <f t="shared" si="0"/>
        <v>5.2446460968835975</v>
      </c>
      <c r="BG32" s="6">
        <f t="shared" si="1"/>
        <v>8.658340900612238E-3</v>
      </c>
      <c r="BH32" s="6">
        <f t="shared" si="2"/>
        <v>1.0385392102959889</v>
      </c>
      <c r="BI32" s="6">
        <f t="shared" si="3"/>
        <v>1.0385392102959889</v>
      </c>
      <c r="BJ32">
        <v>277.30704556773344</v>
      </c>
      <c r="BK32">
        <v>-470.84748478107605</v>
      </c>
      <c r="BV32" s="38"/>
      <c r="BW32" s="6">
        <f t="shared" si="25"/>
        <v>2.967059728390359</v>
      </c>
      <c r="BX32" s="9">
        <f t="shared" ca="1" si="26"/>
        <v>-168.96954593191526</v>
      </c>
      <c r="BY32" s="9">
        <f t="shared" ca="1" si="27"/>
        <v>80.906878403381626</v>
      </c>
      <c r="BZ32" s="9">
        <f t="shared" ca="1" si="28"/>
        <v>-12.202869343505967</v>
      </c>
      <c r="CA32" s="6">
        <f t="shared" ca="1" si="29"/>
        <v>-3.5059474519157163</v>
      </c>
      <c r="CB32" s="6">
        <f t="shared" ca="1" si="30"/>
        <v>-2.861822795871702</v>
      </c>
      <c r="CC32" s="6">
        <f t="shared" ca="1" si="31"/>
        <v>-2.234663144268132</v>
      </c>
      <c r="CD32" s="9">
        <f t="shared" si="32"/>
        <v>-62.202869343505967</v>
      </c>
      <c r="CE32" s="9">
        <f t="shared" si="33"/>
        <v>-3.5059474519157163</v>
      </c>
      <c r="CF32" s="6">
        <f t="shared" si="34"/>
        <v>-3.0852891102985152</v>
      </c>
      <c r="CG32" s="6"/>
      <c r="CH32" s="6"/>
      <c r="CI32" s="6"/>
      <c r="CJ32" s="1"/>
      <c r="CK32" s="6"/>
      <c r="EB32">
        <f t="array" aca="1" ref="EB32:EE32" ca="1">MMULT(EB22:EE22,DW26:DZ29)</f>
        <v>140.58908129726848</v>
      </c>
      <c r="EC32">
        <f ca="1"/>
        <v>125.93346083930452</v>
      </c>
      <c r="ED32">
        <f ca="1"/>
        <v>33.030883442922004</v>
      </c>
      <c r="EE32" s="9">
        <f ca="1"/>
        <v>0</v>
      </c>
      <c r="EF32">
        <f ca="1">ATAN2(COS(EF30-EF31),SIN(EF30-EF31))</f>
        <v>1.915795289001414</v>
      </c>
    </row>
    <row r="33" spans="1:139" x14ac:dyDescent="0.25">
      <c r="A33" t="s">
        <v>19</v>
      </c>
      <c r="J33">
        <f>(J38*COS(-1*$B$27))+(K38*SIN(-1*$B$27))+$I$2</f>
        <v>-13.435177732872329</v>
      </c>
      <c r="K33">
        <f>(-1*J38*SIN(-1*$B$27))+(K38*COS(-1*$B$27))+$I$3</f>
        <v>21.458333258499934</v>
      </c>
      <c r="N33">
        <f>IF(B1="PCA_Parabolic",NA(),(N38*COS(-1*$B$27))+(O38*SIN(-1*$B$27))+$I$2)</f>
        <v>-13.456975848637114</v>
      </c>
      <c r="O33">
        <f>(-1*N38*SIN(-1*$B$27))+(O38*COS(-1*$B$27))+$I$3</f>
        <v>21.953059086133528</v>
      </c>
      <c r="Q33" s="1">
        <f>IF(B1="Whitney",S58,G178)</f>
        <v>3.0000000015176149</v>
      </c>
      <c r="R33" s="1">
        <f>IF(B1="Whitney",T58,H178)</f>
        <v>23.339084967387191</v>
      </c>
      <c r="BC33">
        <v>5.410520681182418</v>
      </c>
      <c r="BD33">
        <v>252.99080595431178</v>
      </c>
      <c r="BE33">
        <v>-420.51951581537674</v>
      </c>
      <c r="BF33" s="6">
        <f t="shared" si="0"/>
        <v>5.2539950603075205</v>
      </c>
      <c r="BG33" s="6">
        <f t="shared" si="1"/>
        <v>0.15652562087489752</v>
      </c>
      <c r="BH33" s="6">
        <f t="shared" si="2"/>
        <v>1.029190246872066</v>
      </c>
      <c r="BI33" s="6">
        <f t="shared" si="3"/>
        <v>1.029190246872066</v>
      </c>
      <c r="BJ33">
        <v>281.10089550479086</v>
      </c>
      <c r="BK33">
        <v>-467.24390646152972</v>
      </c>
      <c r="BV33" s="38"/>
      <c r="BW33" s="6">
        <f t="shared" si="25"/>
        <v>3.1415926535897918</v>
      </c>
      <c r="BX33" s="9">
        <f t="shared" ca="1" si="26"/>
        <v>-173.26269051961685</v>
      </c>
      <c r="BY33" s="9">
        <f t="shared" ca="1" si="27"/>
        <v>69.647866074939728</v>
      </c>
      <c r="BZ33" s="9">
        <f t="shared" ca="1" si="28"/>
        <v>-16.496013931207557</v>
      </c>
      <c r="CA33" s="6">
        <f t="shared" ca="1" si="29"/>
        <v>-14.764959780357614</v>
      </c>
      <c r="CB33" s="6">
        <f t="shared" ca="1" si="30"/>
        <v>-2.4115122834780425</v>
      </c>
      <c r="CC33" s="6">
        <f t="shared" ca="1" si="31"/>
        <v>-5.1158242878636262</v>
      </c>
      <c r="CD33" s="9">
        <f t="shared" si="32"/>
        <v>-66.496013931207571</v>
      </c>
      <c r="CE33" s="9">
        <f t="shared" si="33"/>
        <v>-14.764959780357611</v>
      </c>
      <c r="CF33" s="6">
        <f t="shared" si="34"/>
        <v>-2.9230947122644051</v>
      </c>
      <c r="CG33" s="6"/>
      <c r="CH33" s="6"/>
      <c r="CI33" s="6"/>
      <c r="CJ33" s="1"/>
      <c r="CK33" s="6"/>
    </row>
    <row r="34" spans="1:139" x14ac:dyDescent="0.25">
      <c r="J34">
        <f>(J39*COS(-1*$B$27))+(K39*SIN(-1*$B$27))+$I$2</f>
        <v>37.015016010011678</v>
      </c>
      <c r="K34">
        <f>(-1*J39*SIN(-1*$B$27))+(K39*COS(-1*$B$27))+$I$3</f>
        <v>23.681219354468418</v>
      </c>
      <c r="N34">
        <f>IF(B1="PCA_Parabolic",NA(),(N39*COS(-1*$B$27))+(O39*SIN(-1*$B$27))+$I$2)</f>
        <v>36.993217894246889</v>
      </c>
      <c r="O34">
        <f>(-1*N39*SIN(-1*$B$27))+(O39*COS(-1*$B$27))+$I$3</f>
        <v>24.175945182102012</v>
      </c>
      <c r="BC34">
        <v>5.5850536063818508</v>
      </c>
      <c r="BD34">
        <v>257.23446384480059</v>
      </c>
      <c r="BE34">
        <v>-415.38481959155308</v>
      </c>
      <c r="BF34" s="6">
        <f t="shared" ref="BF34:BF65" si="39">IF(BC34&lt;&gt;"",IF(AND(BD34=0,BE34=0),0,MOD(ATAN2(BD34,BE34),2*PI())),NA())</f>
        <v>5.2668556765082739</v>
      </c>
      <c r="BG34" s="6">
        <f t="shared" ref="BG34:BG65" si="40">ABS(BC34-BF34)</f>
        <v>0.31819792987357687</v>
      </c>
      <c r="BH34" s="6">
        <f t="shared" si="2"/>
        <v>1.0163296306713125</v>
      </c>
      <c r="BI34" s="6">
        <f t="shared" si="3"/>
        <v>1.0163296306713125</v>
      </c>
      <c r="BJ34">
        <v>285.81607093866734</v>
      </c>
      <c r="BK34">
        <v>-461.53868843505899</v>
      </c>
      <c r="BV34" s="38"/>
      <c r="BW34" s="6">
        <f t="shared" si="25"/>
        <v>3.3161255787892245</v>
      </c>
      <c r="BX34" s="9">
        <f t="shared" ca="1" si="26"/>
        <v>-169.96856326219651</v>
      </c>
      <c r="BY34" s="9">
        <f t="shared" ca="1" si="27"/>
        <v>64.266686828048279</v>
      </c>
      <c r="BZ34" s="9">
        <f t="shared" ca="1" si="28"/>
        <v>-13.201886673787214</v>
      </c>
      <c r="CA34" s="6">
        <f t="shared" ca="1" si="29"/>
        <v>-20.146139027249063</v>
      </c>
      <c r="CB34" s="6">
        <f t="shared" ca="1" si="30"/>
        <v>-2.1508925921581161</v>
      </c>
      <c r="CC34" s="6">
        <f t="shared" ca="1" si="31"/>
        <v>-6.8212369542100735</v>
      </c>
      <c r="CD34" s="9">
        <f t="shared" si="32"/>
        <v>-63.201886673787214</v>
      </c>
      <c r="CE34" s="9">
        <f t="shared" si="33"/>
        <v>-20.14613902724907</v>
      </c>
      <c r="CF34" s="6">
        <f t="shared" si="34"/>
        <v>-2.8330162875791234</v>
      </c>
      <c r="CG34" s="6"/>
      <c r="CH34" s="6"/>
      <c r="CI34" s="6"/>
      <c r="CJ34" s="1"/>
      <c r="CK34" s="6"/>
      <c r="EB34" t="s">
        <v>206</v>
      </c>
    </row>
    <row r="35" spans="1:139" x14ac:dyDescent="0.25">
      <c r="A35" s="8" t="s">
        <v>20</v>
      </c>
      <c r="Q35" t="str">
        <f ca="1">IF(B1="Whitney",R75,S198)</f>
        <v>Ts = -189.6 kips
 @ ( 3 , 3 )</v>
      </c>
      <c r="AD35" t="s">
        <v>135</v>
      </c>
      <c r="BC35">
        <v>5.7595865315812835</v>
      </c>
      <c r="BD35">
        <v>262.81494642678518</v>
      </c>
      <c r="BE35">
        <v>-406.66062159345705</v>
      </c>
      <c r="BF35" s="6">
        <f t="shared" si="39"/>
        <v>5.2861417256880667</v>
      </c>
      <c r="BG35" s="6">
        <f t="shared" si="40"/>
        <v>0.4734448058932168</v>
      </c>
      <c r="BH35" s="6">
        <f t="shared" si="2"/>
        <v>0.99704358149151973</v>
      </c>
      <c r="BI35" s="6">
        <f t="shared" si="3"/>
        <v>0.99704358149151973</v>
      </c>
      <c r="BJ35">
        <v>292.0166071408724</v>
      </c>
      <c r="BK35">
        <v>-451.84513510384113</v>
      </c>
      <c r="BV35" s="38"/>
      <c r="BW35" s="6">
        <f t="shared" si="25"/>
        <v>3.4906585039886573</v>
      </c>
      <c r="BX35" s="9">
        <f t="shared" ca="1" si="26"/>
        <v>-167.38074042911052</v>
      </c>
      <c r="BY35" s="9">
        <f t="shared" ca="1" si="27"/>
        <v>59.134544607900196</v>
      </c>
      <c r="BZ35" s="9">
        <f t="shared" ca="1" si="28"/>
        <v>-10.61406384070122</v>
      </c>
      <c r="CA35" s="6">
        <f t="shared" ca="1" si="29"/>
        <v>-25.278281247397146</v>
      </c>
      <c r="CB35" s="6">
        <f t="shared" ca="1" si="30"/>
        <v>-1.9683296766234957</v>
      </c>
      <c r="CC35" s="6">
        <f t="shared" ca="1" si="31"/>
        <v>-7.7815671518674101</v>
      </c>
      <c r="CD35" s="9">
        <f t="shared" si="32"/>
        <v>-60.614063840701235</v>
      </c>
      <c r="CE35" s="9">
        <f t="shared" si="33"/>
        <v>-25.278281247397143</v>
      </c>
      <c r="CF35" s="6">
        <f t="shared" si="34"/>
        <v>-2.7464863918102367</v>
      </c>
      <c r="CG35" s="6"/>
      <c r="CH35" s="6"/>
      <c r="CI35" s="6"/>
      <c r="CJ35" s="1"/>
      <c r="CK35" s="6"/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73.089565719354368</v>
      </c>
      <c r="H36" s="14" t="s">
        <v>4</v>
      </c>
      <c r="J36" t="s">
        <v>52</v>
      </c>
      <c r="N36" t="s">
        <v>53</v>
      </c>
      <c r="Q36" s="1">
        <f ca="1">IF(B1="Whitney",R73,S196)</f>
        <v>2.9999999999999996</v>
      </c>
      <c r="R36" s="1">
        <f ca="1">IF(B1="Whitney",S73,T196)</f>
        <v>3</v>
      </c>
      <c r="AD36" t="s">
        <v>8</v>
      </c>
      <c r="AE36" t="s">
        <v>9</v>
      </c>
      <c r="BC36">
        <v>5.9341194567807163</v>
      </c>
      <c r="BD36">
        <v>270.04118747971296</v>
      </c>
      <c r="BE36">
        <v>-390.74035792567639</v>
      </c>
      <c r="BF36" s="6">
        <f t="shared" si="39"/>
        <v>5.3171176937184281</v>
      </c>
      <c r="BG36" s="6">
        <f t="shared" si="40"/>
        <v>0.61700176306228816</v>
      </c>
      <c r="BH36" s="6">
        <f t="shared" si="2"/>
        <v>0.96606761346115833</v>
      </c>
      <c r="BI36" s="6">
        <f t="shared" si="3"/>
        <v>0.96606761346115833</v>
      </c>
      <c r="BJ36">
        <v>300.04576386634773</v>
      </c>
      <c r="BK36">
        <v>-434.15595325075151</v>
      </c>
      <c r="BV36" s="38"/>
      <c r="BW36" s="6">
        <f t="shared" si="25"/>
        <v>3.66519142918809</v>
      </c>
      <c r="BX36" s="9">
        <f t="shared" ca="1" si="26"/>
        <v>-146.23888696018008</v>
      </c>
      <c r="BY36" s="9">
        <f t="shared" ca="1" si="27"/>
        <v>14.104768482041791</v>
      </c>
      <c r="BZ36" s="9">
        <f t="shared" ca="1" si="28"/>
        <v>10.527789628229215</v>
      </c>
      <c r="CA36" s="6">
        <f t="shared" ca="1" si="29"/>
        <v>-70.308057373255551</v>
      </c>
      <c r="CB36" s="6">
        <f t="shared" ca="1" si="30"/>
        <v>-1.4221625996355085</v>
      </c>
      <c r="CC36" s="6">
        <f t="shared" ca="1" si="31"/>
        <v>-6.6020088807810318</v>
      </c>
      <c r="CD36" s="9">
        <f t="shared" si="32"/>
        <v>-39.472210371770799</v>
      </c>
      <c r="CE36" s="9">
        <f t="shared" si="33"/>
        <v>-70.308057373255551</v>
      </c>
      <c r="CF36" s="6">
        <f t="shared" si="34"/>
        <v>-2.0823634877136117</v>
      </c>
      <c r="CG36" s="6"/>
      <c r="CH36" s="6"/>
      <c r="CI36" s="6"/>
      <c r="CJ36" s="1"/>
      <c r="CK36" s="6"/>
      <c r="EB36">
        <f ca="1">(EB32-EB30)</f>
        <v>-0.36418330522525366</v>
      </c>
      <c r="EC36">
        <f t="shared" ref="EC36:ED36" ca="1" si="41">(EC32-EC30)</f>
        <v>1.2253716366129339</v>
      </c>
      <c r="ED36">
        <f t="shared" ca="1" si="41"/>
        <v>-6.9545549729928666</v>
      </c>
      <c r="EE36" s="9">
        <f ca="1">SQRT(POWER(EB36,2)+POWER(EC36,2)+POWER(ED36,2))</f>
        <v>7.0710678118654799</v>
      </c>
      <c r="EF36">
        <f ca="1">EB36/EE36</f>
        <v>-5.1503296943941387E-2</v>
      </c>
      <c r="EG36">
        <f ca="1">EC36/EE36</f>
        <v>0.17329371874453259</v>
      </c>
      <c r="EH36">
        <f ca="1">ED36/EE36</f>
        <v>-0.98352259630757588</v>
      </c>
    </row>
    <row r="37" spans="1:139" x14ac:dyDescent="0.25">
      <c r="A37" s="3">
        <f t="shared" ref="A37:A45" si="42">E3-$I$2</f>
        <v>-6</v>
      </c>
      <c r="B37" s="6">
        <f t="shared" ref="B37:B45" si="43">F3-$I$3</f>
        <v>-12</v>
      </c>
      <c r="C37" s="6">
        <f t="shared" ref="C37:C45" si="44">A37*COS($B$27)+B37*SIN($B$27)</f>
        <v>-6.5224038900078964</v>
      </c>
      <c r="D37" s="6">
        <f t="shared" ref="D37:D45" si="45">-1*A37*SIN($B$27)+B37*COS($B$27)</f>
        <v>-11.724258931617378</v>
      </c>
      <c r="F37" s="8" t="s">
        <v>23</v>
      </c>
      <c r="G37" s="1">
        <f>MAX(D37:D41)-MIN(D37:D41)</f>
        <v>22.920298323875389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6.108652381980149</v>
      </c>
      <c r="BD37">
        <v>278.72835816278598</v>
      </c>
      <c r="BE37">
        <v>-356.44889328631365</v>
      </c>
      <c r="BF37" s="6">
        <f t="shared" si="39"/>
        <v>5.3760319902978351</v>
      </c>
      <c r="BG37" s="6">
        <f t="shared" si="40"/>
        <v>0.73262039168231397</v>
      </c>
      <c r="BH37" s="6">
        <f t="shared" si="2"/>
        <v>0.90715331688175138</v>
      </c>
      <c r="BI37" s="6">
        <f t="shared" si="3"/>
        <v>0.90715331688175138</v>
      </c>
      <c r="BJ37">
        <v>309.69817573642888</v>
      </c>
      <c r="BK37">
        <v>-396.05432587368182</v>
      </c>
      <c r="BV37" s="38"/>
      <c r="BW37" s="6">
        <f t="shared" si="25"/>
        <v>3.8397243543875228</v>
      </c>
      <c r="BX37" s="9">
        <f t="shared" ca="1" si="26"/>
        <v>-44.809104668563322</v>
      </c>
      <c r="BY37" s="9">
        <f t="shared" ca="1" si="27"/>
        <v>-151.60799526438089</v>
      </c>
      <c r="BZ37" s="9">
        <f t="shared" ca="1" si="28"/>
        <v>111.95757191984598</v>
      </c>
      <c r="CA37" s="6">
        <f t="shared" ca="1" si="29"/>
        <v>-236.02082111967823</v>
      </c>
      <c r="CB37" s="6">
        <f t="shared" ca="1" si="30"/>
        <v>-1.1278746769111381</v>
      </c>
      <c r="CC37" s="6">
        <f t="shared" ca="1" si="31"/>
        <v>-1.8620497024780103</v>
      </c>
      <c r="CD37" s="9">
        <f t="shared" si="32"/>
        <v>61.957571919845975</v>
      </c>
      <c r="CE37" s="9">
        <f t="shared" si="33"/>
        <v>-236.02082111967823</v>
      </c>
      <c r="CF37" s="6">
        <f t="shared" si="34"/>
        <v>-1.3140796471589391</v>
      </c>
      <c r="CG37" s="6"/>
      <c r="CH37" s="6"/>
      <c r="CI37" s="6"/>
      <c r="CJ37" s="1"/>
      <c r="CK37" s="6"/>
      <c r="EB37">
        <f ca="1">EB31-EB30</f>
        <v>38.683990953063869</v>
      </c>
      <c r="EC37">
        <f t="shared" ref="EC37:ED37" ca="1" si="46">EC31-EC30</f>
        <v>-130.16045663534399</v>
      </c>
      <c r="ED37">
        <f t="shared" ca="1" si="46"/>
        <v>-196.94889778661366</v>
      </c>
      <c r="EE37" s="9">
        <f ca="1">SQRT(POWER(EB37,2)+POWER(EC37,2)+POWER(ED37,2))</f>
        <v>239.22178823623065</v>
      </c>
      <c r="EF37">
        <f ca="1">EB37/EE37</f>
        <v>0.16170764058858872</v>
      </c>
      <c r="EG37">
        <f ca="1">EC37/EE37</f>
        <v>-0.5440995052959432</v>
      </c>
      <c r="EH37">
        <f ca="1">ED37/EE37</f>
        <v>-0.82328996551153333</v>
      </c>
    </row>
    <row r="38" spans="1:139" x14ac:dyDescent="0.25">
      <c r="A38" s="3">
        <f t="shared" si="42"/>
        <v>6</v>
      </c>
      <c r="B38" s="6">
        <f t="shared" si="43"/>
        <v>-12</v>
      </c>
      <c r="C38" s="6">
        <f t="shared" si="44"/>
        <v>5.4659648112891643</v>
      </c>
      <c r="D38" s="6">
        <f t="shared" si="45"/>
        <v>-12.252478470976744</v>
      </c>
      <c r="F38" s="8" t="s">
        <v>24</v>
      </c>
      <c r="G38" s="6">
        <f>MAX(D37:D43)</f>
        <v>12.78069801033611</v>
      </c>
      <c r="H38" t="s">
        <v>4</v>
      </c>
      <c r="J38" s="9">
        <f>MIN(C37:C43,A37:A43)-1</f>
        <v>-19</v>
      </c>
      <c r="K38" s="9">
        <f>G40</f>
        <v>10.304668919338573</v>
      </c>
      <c r="N38" s="9">
        <f>J38</f>
        <v>-19</v>
      </c>
      <c r="O38" s="9">
        <f>G41</f>
        <v>10.799874737538079</v>
      </c>
      <c r="AD38">
        <f>AE37</f>
        <v>6.2831853071795862</v>
      </c>
      <c r="AE38">
        <f>AE37</f>
        <v>6.2831853071795862</v>
      </c>
      <c r="BC38">
        <v>6.2831853071795818</v>
      </c>
      <c r="BD38">
        <v>291.71102725666196</v>
      </c>
      <c r="BE38">
        <v>-127.979999999969</v>
      </c>
      <c r="BF38" s="6">
        <f t="shared" si="39"/>
        <v>5.8697497775294343</v>
      </c>
      <c r="BG38" s="6">
        <f t="shared" si="40"/>
        <v>0.41343552965014752</v>
      </c>
      <c r="BH38" s="6">
        <f t="shared" si="2"/>
        <v>0.41343552965015218</v>
      </c>
      <c r="BI38" s="6">
        <f t="shared" si="3"/>
        <v>0.41343552965015218</v>
      </c>
      <c r="BJ38">
        <v>324.12336361851328</v>
      </c>
      <c r="BK38">
        <v>-142.19999999996554</v>
      </c>
      <c r="BV38" s="38"/>
      <c r="BW38" s="6">
        <f t="shared" si="25"/>
        <v>4.014257279586956</v>
      </c>
      <c r="BX38" s="9">
        <f t="shared" ca="1" si="26"/>
        <v>34.868994901429943</v>
      </c>
      <c r="BY38" s="9">
        <f t="shared" ca="1" si="27"/>
        <v>-265.45712526538193</v>
      </c>
      <c r="BZ38" s="9">
        <f t="shared" ca="1" si="28"/>
        <v>191.63567148983924</v>
      </c>
      <c r="CA38" s="6">
        <f t="shared" ca="1" si="29"/>
        <v>-349.86995112067927</v>
      </c>
      <c r="CB38" s="6">
        <f t="shared" ca="1" si="30"/>
        <v>-1.0696945035560828</v>
      </c>
      <c r="CC38" s="6">
        <f t="shared" ca="1" si="31"/>
        <v>-1.1644395584864919</v>
      </c>
      <c r="CD38" s="9">
        <f t="shared" si="32"/>
        <v>141.63567148983924</v>
      </c>
      <c r="CE38" s="9">
        <f t="shared" si="33"/>
        <v>-349.86995112067927</v>
      </c>
      <c r="CF38" s="6">
        <f t="shared" si="34"/>
        <v>-1.1861384594047319</v>
      </c>
      <c r="CG38" s="6"/>
      <c r="CH38" s="6"/>
      <c r="CI38" s="6"/>
      <c r="CJ38" s="1"/>
      <c r="CK38" s="6"/>
      <c r="EF38">
        <f ca="1">EF36-EF37</f>
        <v>-0.21321093753253012</v>
      </c>
      <c r="EG38">
        <f ca="1">EG36-EG37</f>
        <v>0.71739322404047579</v>
      </c>
      <c r="EH38">
        <f ca="1">EH36-EH37</f>
        <v>-0.16023263079604255</v>
      </c>
      <c r="EI38" s="9"/>
    </row>
    <row r="39" spans="1:139" x14ac:dyDescent="0.25">
      <c r="A39" s="3">
        <f t="shared" si="42"/>
        <v>6</v>
      </c>
      <c r="B39" s="6">
        <f t="shared" si="43"/>
        <v>4</v>
      </c>
      <c r="C39" s="6">
        <f t="shared" si="44"/>
        <v>6.170257530434986</v>
      </c>
      <c r="D39" s="6">
        <f t="shared" si="45"/>
        <v>3.7320131307526707</v>
      </c>
      <c r="J39" s="9">
        <f>MAX(C37:C43,A37:A43)+1</f>
        <v>31.499141292602019</v>
      </c>
      <c r="K39" s="9">
        <f>K38</f>
        <v>10.304668919338573</v>
      </c>
      <c r="N39" s="9">
        <f>J39</f>
        <v>31.499141292602019</v>
      </c>
      <c r="O39" s="9">
        <f>G41</f>
        <v>10.799874737538079</v>
      </c>
      <c r="AD39">
        <f>AD38</f>
        <v>6.2831853071795862</v>
      </c>
      <c r="AE39">
        <v>0</v>
      </c>
      <c r="BC39">
        <v>6.4577182323790145</v>
      </c>
      <c r="BD39">
        <v>291.71102725667146</v>
      </c>
      <c r="BE39">
        <v>-127.97999999996044</v>
      </c>
      <c r="BF39" s="6">
        <f t="shared" si="39"/>
        <v>5.8697497775294716</v>
      </c>
      <c r="BG39" s="6">
        <f t="shared" si="40"/>
        <v>0.58796845484954297</v>
      </c>
      <c r="BH39" s="6">
        <f t="shared" si="2"/>
        <v>0.41343552965011487</v>
      </c>
      <c r="BI39" s="6">
        <f t="shared" si="3"/>
        <v>0.41343552965011487</v>
      </c>
      <c r="BJ39">
        <v>324.12336361852385</v>
      </c>
      <c r="BK39">
        <v>-142.19999999995605</v>
      </c>
      <c r="BV39" s="38"/>
      <c r="BW39" s="6">
        <f t="shared" si="25"/>
        <v>4.1887902047863887</v>
      </c>
      <c r="BX39" s="9">
        <f t="shared" ca="1" si="26"/>
        <v>75.258686015281313</v>
      </c>
      <c r="BY39" s="9">
        <f t="shared" ca="1" si="27"/>
        <v>-335.94700508332494</v>
      </c>
      <c r="BZ39" s="9">
        <f t="shared" ca="1" si="28"/>
        <v>232.02536260369061</v>
      </c>
      <c r="CA39" s="6">
        <f t="shared" ca="1" si="29"/>
        <v>-420.35983093862228</v>
      </c>
      <c r="CB39" s="6">
        <f t="shared" ca="1" si="30"/>
        <v>-1.0664430893143555</v>
      </c>
      <c r="CC39" s="6">
        <f t="shared" ca="1" si="31"/>
        <v>-0.95706935631492351</v>
      </c>
      <c r="CD39" s="9">
        <f t="shared" si="32"/>
        <v>182.02536260369061</v>
      </c>
      <c r="CE39" s="9">
        <f t="shared" si="33"/>
        <v>-420.35983093862228</v>
      </c>
      <c r="CF39" s="6">
        <f t="shared" si="34"/>
        <v>-1.1621500249458478</v>
      </c>
      <c r="CG39" s="6"/>
      <c r="CH39" s="6"/>
      <c r="CI39" s="6"/>
      <c r="CJ39" s="1"/>
      <c r="CK39" s="6"/>
    </row>
    <row r="40" spans="1:139" x14ac:dyDescent="0.25">
      <c r="A40" s="3">
        <f t="shared" si="42"/>
        <v>30</v>
      </c>
      <c r="B40" s="6">
        <f t="shared" si="43"/>
        <v>4</v>
      </c>
      <c r="C40" s="6">
        <f t="shared" si="44"/>
        <v>30.146994933029109</v>
      </c>
      <c r="D40" s="6">
        <f t="shared" si="45"/>
        <v>2.6755740520339386</v>
      </c>
      <c r="F40" s="8" t="s">
        <v>50</v>
      </c>
      <c r="G40" s="9">
        <f>G38-B28</f>
        <v>10.304668919338573</v>
      </c>
      <c r="AD40">
        <f>AE39</f>
        <v>0</v>
      </c>
      <c r="AE40">
        <f>AE39</f>
        <v>0</v>
      </c>
      <c r="BC40"/>
      <c r="BD40"/>
      <c r="BF40" s="6" t="e">
        <f t="shared" si="39"/>
        <v>#N/A</v>
      </c>
      <c r="BG40" s="6" t="e">
        <f t="shared" si="40"/>
        <v>#N/A</v>
      </c>
      <c r="BH40" s="6" t="e">
        <f t="shared" si="2"/>
        <v>#N/A</v>
      </c>
      <c r="BI40" s="6" t="e">
        <f t="shared" si="3"/>
        <v>#N/A</v>
      </c>
      <c r="BV40" s="38"/>
      <c r="BW40" s="6">
        <f t="shared" si="25"/>
        <v>4.3633231299858215</v>
      </c>
      <c r="BX40" s="9">
        <f t="shared" ca="1" si="26"/>
        <v>80.023329873208468</v>
      </c>
      <c r="BY40" s="9">
        <f t="shared" ca="1" si="27"/>
        <v>-341.4269246343639</v>
      </c>
      <c r="BZ40" s="9">
        <f t="shared" ca="1" si="28"/>
        <v>236.79000646161776</v>
      </c>
      <c r="CA40" s="6">
        <f t="shared" ca="1" si="29"/>
        <v>-425.83975048966124</v>
      </c>
      <c r="CB40" s="6">
        <f t="shared" ca="1" si="30"/>
        <v>-1.0633168191837803</v>
      </c>
      <c r="CC40" s="6">
        <f t="shared" ca="1" si="31"/>
        <v>-0.94113287163772208</v>
      </c>
      <c r="CD40" s="9">
        <f t="shared" si="32"/>
        <v>186.79000646161776</v>
      </c>
      <c r="CE40" s="9">
        <f t="shared" si="33"/>
        <v>-425.83975048966124</v>
      </c>
      <c r="CF40" s="6">
        <f t="shared" si="34"/>
        <v>-1.1574301063475525</v>
      </c>
      <c r="CG40" s="6"/>
      <c r="CH40" s="6"/>
      <c r="CI40" s="6"/>
      <c r="CJ40" s="1"/>
      <c r="CK40" s="6"/>
      <c r="DW40">
        <f t="array" aca="1" ref="DW40:DZ43" ca="1">MMULT(DW16:DZ19,DW26:DZ29)</f>
        <v>0.95856121847518538</v>
      </c>
      <c r="DX40">
        <f ca="1"/>
        <v>0.28488662733685477</v>
      </c>
      <c r="DY40">
        <f ca="1"/>
        <v>0</v>
      </c>
      <c r="DZ40">
        <f ca="1"/>
        <v>0</v>
      </c>
    </row>
    <row r="41" spans="1:139" x14ac:dyDescent="0.25">
      <c r="A41" s="3">
        <f t="shared" si="42"/>
        <v>30</v>
      </c>
      <c r="B41" s="6">
        <f t="shared" si="43"/>
        <v>12</v>
      </c>
      <c r="C41" s="6">
        <f t="shared" si="44"/>
        <v>30.499141292602019</v>
      </c>
      <c r="D41" s="6">
        <f t="shared" si="45"/>
        <v>10.667819852898646</v>
      </c>
      <c r="F41" s="8" t="s">
        <v>51</v>
      </c>
      <c r="G41" s="9">
        <f>G38-B29</f>
        <v>10.799874737538079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/>
      <c r="BD41"/>
      <c r="BF41" s="6" t="e">
        <f t="shared" si="39"/>
        <v>#N/A</v>
      </c>
      <c r="BG41" s="6" t="e">
        <f t="shared" si="40"/>
        <v>#N/A</v>
      </c>
      <c r="BH41" s="6" t="e">
        <f t="shared" si="2"/>
        <v>#N/A</v>
      </c>
      <c r="BI41" s="6" t="e">
        <f t="shared" si="3"/>
        <v>#N/A</v>
      </c>
      <c r="BV41" s="38"/>
      <c r="BW41" s="6">
        <f t="shared" si="25"/>
        <v>4.5378560551852543</v>
      </c>
      <c r="BX41" s="9">
        <f t="shared" ca="1" si="26"/>
        <v>82.575276473932831</v>
      </c>
      <c r="BY41" s="9">
        <f t="shared" ca="1" si="27"/>
        <v>-342.69641762216719</v>
      </c>
      <c r="BZ41" s="9">
        <f t="shared" ca="1" si="28"/>
        <v>239.34195306234213</v>
      </c>
      <c r="CA41" s="6">
        <f t="shared" ca="1" si="29"/>
        <v>-427.10924347746453</v>
      </c>
      <c r="CB41" s="6">
        <f t="shared" ca="1" si="30"/>
        <v>-1.0600214872544549</v>
      </c>
      <c r="CC41" s="6">
        <f t="shared" ca="1" si="31"/>
        <v>-0.93497926283308219</v>
      </c>
      <c r="CD41" s="9">
        <f t="shared" si="32"/>
        <v>189.34195306234213</v>
      </c>
      <c r="CE41" s="9">
        <f t="shared" si="33"/>
        <v>-427.10924347746453</v>
      </c>
      <c r="CF41" s="6">
        <f t="shared" si="34"/>
        <v>-1.1535194135377631</v>
      </c>
      <c r="CG41" s="6"/>
      <c r="CH41" s="6"/>
      <c r="CI41" s="6"/>
      <c r="CJ41" s="1"/>
      <c r="CK41" s="6"/>
      <c r="DW41">
        <f ca="1"/>
        <v>0.1617076405674909</v>
      </c>
      <c r="DX41">
        <f ca="1"/>
        <v>-0.54409950522471839</v>
      </c>
      <c r="DY41">
        <f ca="1"/>
        <v>-0.82328996556274858</v>
      </c>
      <c r="DZ41">
        <f ca="1"/>
        <v>0</v>
      </c>
    </row>
    <row r="42" spans="1:139" x14ac:dyDescent="0.25">
      <c r="A42" s="3">
        <f t="shared" si="42"/>
        <v>-18</v>
      </c>
      <c r="B42" s="6">
        <f t="shared" si="43"/>
        <v>12</v>
      </c>
      <c r="C42" s="6">
        <f t="shared" si="44"/>
        <v>-17.454333512586224</v>
      </c>
      <c r="D42" s="6">
        <f t="shared" si="45"/>
        <v>12.78069801033611</v>
      </c>
      <c r="J42" s="9"/>
      <c r="K42" s="9"/>
      <c r="N42" s="9"/>
      <c r="O42" s="9"/>
      <c r="BC42"/>
      <c r="BD42"/>
      <c r="BF42" s="6" t="e">
        <f t="shared" si="39"/>
        <v>#N/A</v>
      </c>
      <c r="BG42" s="6" t="e">
        <f t="shared" si="40"/>
        <v>#N/A</v>
      </c>
      <c r="BH42" s="6" t="e">
        <f t="shared" si="2"/>
        <v>#N/A</v>
      </c>
      <c r="BI42" s="6" t="e">
        <f t="shared" si="3"/>
        <v>#N/A</v>
      </c>
      <c r="BV42" s="38"/>
      <c r="BW42" s="6">
        <f t="shared" si="25"/>
        <v>4.712388980384687</v>
      </c>
      <c r="BX42" s="9">
        <f t="shared" ca="1" si="26"/>
        <v>84.973323411544442</v>
      </c>
      <c r="BY42" s="9">
        <f t="shared" ca="1" si="27"/>
        <v>-343.39333768504065</v>
      </c>
      <c r="BZ42" s="9">
        <f t="shared" ca="1" si="28"/>
        <v>241.73999999995374</v>
      </c>
      <c r="CA42" s="6">
        <f t="shared" ca="1" si="29"/>
        <v>-427.80616354033799</v>
      </c>
      <c r="CB42" s="6">
        <f t="shared" ca="1" si="30"/>
        <v>-1.0564574854525315</v>
      </c>
      <c r="CC42" s="6">
        <f t="shared" ca="1" si="31"/>
        <v>-0.9298810388943779</v>
      </c>
      <c r="CD42" s="9">
        <f t="shared" si="32"/>
        <v>191.73999999995374</v>
      </c>
      <c r="CE42" s="9">
        <f t="shared" si="33"/>
        <v>-427.80616354033799</v>
      </c>
      <c r="CF42" s="6">
        <f t="shared" si="34"/>
        <v>-1.1494455893419693</v>
      </c>
      <c r="CG42" s="6"/>
      <c r="CH42" s="6"/>
      <c r="CI42" s="6"/>
      <c r="CJ42" s="1"/>
      <c r="CK42" s="6"/>
      <c r="DW42">
        <f ca="1"/>
        <v>-0.23454430160944675</v>
      </c>
      <c r="DX42">
        <f ca="1"/>
        <v>0.78917383254822171</v>
      </c>
      <c r="DY42">
        <f ca="1"/>
        <v>-0.56762102903582434</v>
      </c>
      <c r="DZ42">
        <f ca="1"/>
        <v>0</v>
      </c>
    </row>
    <row r="43" spans="1:139" x14ac:dyDescent="0.25">
      <c r="A43" s="3">
        <f t="shared" si="42"/>
        <v>-18</v>
      </c>
      <c r="B43" s="6">
        <f t="shared" si="43"/>
        <v>4</v>
      </c>
      <c r="C43" s="6">
        <f t="shared" si="44"/>
        <v>-17.806479872159134</v>
      </c>
      <c r="D43" s="6">
        <f t="shared" si="45"/>
        <v>4.7884522094714033</v>
      </c>
      <c r="AD43" t="s">
        <v>134</v>
      </c>
      <c r="BC43"/>
      <c r="BD43"/>
      <c r="BF43" s="6" t="e">
        <f t="shared" si="39"/>
        <v>#N/A</v>
      </c>
      <c r="BG43" s="6" t="e">
        <f t="shared" si="40"/>
        <v>#N/A</v>
      </c>
      <c r="BH43" s="6" t="e">
        <f t="shared" si="2"/>
        <v>#N/A</v>
      </c>
      <c r="BI43" s="6" t="e">
        <f t="shared" si="3"/>
        <v>#N/A</v>
      </c>
      <c r="BV43" s="38"/>
      <c r="BW43" s="6">
        <f t="shared" si="25"/>
        <v>4.8869219055841198</v>
      </c>
      <c r="BX43" s="9">
        <f t="shared" ca="1" si="26"/>
        <v>87.371370349170974</v>
      </c>
      <c r="BY43" s="9">
        <f t="shared" ca="1" si="27"/>
        <v>-342.69641762207607</v>
      </c>
      <c r="BZ43" s="9">
        <f t="shared" ca="1" si="28"/>
        <v>244.13804693758027</v>
      </c>
      <c r="CA43" s="6">
        <f t="shared" ca="1" si="29"/>
        <v>-427.10924347737341</v>
      </c>
      <c r="CB43" s="6">
        <f t="shared" ca="1" si="30"/>
        <v>-1.0515167500276454</v>
      </c>
      <c r="CC43" s="6">
        <f t="shared" ca="1" si="31"/>
        <v>-0.92656970146222994</v>
      </c>
      <c r="CD43" s="9">
        <f t="shared" si="32"/>
        <v>194.13804693758027</v>
      </c>
      <c r="CE43" s="9">
        <f t="shared" si="33"/>
        <v>-427.10924347737341</v>
      </c>
      <c r="CF43" s="6">
        <f t="shared" si="34"/>
        <v>-1.1441737201738684</v>
      </c>
      <c r="CG43" s="6"/>
      <c r="CH43" s="6"/>
      <c r="CI43" s="6"/>
      <c r="CJ43" s="1"/>
      <c r="CK43" s="6"/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2"/>
        <v>-6</v>
      </c>
      <c r="B44" s="6">
        <f t="shared" si="43"/>
        <v>4</v>
      </c>
      <c r="C44" s="6">
        <f t="shared" si="44"/>
        <v>-5.8181111708620747</v>
      </c>
      <c r="D44" s="6">
        <f t="shared" si="45"/>
        <v>4.2602326701120372</v>
      </c>
      <c r="AD44" t="s">
        <v>8</v>
      </c>
      <c r="AE44" t="s">
        <v>9</v>
      </c>
      <c r="BC44"/>
      <c r="BD44"/>
      <c r="BF44" s="6" t="e">
        <f t="shared" si="39"/>
        <v>#N/A</v>
      </c>
      <c r="BG44" s="6" t="e">
        <f t="shared" si="40"/>
        <v>#N/A</v>
      </c>
      <c r="BH44" s="6" t="e">
        <f t="shared" si="2"/>
        <v>#N/A</v>
      </c>
      <c r="BI44" s="6" t="e">
        <f t="shared" si="3"/>
        <v>#N/A</v>
      </c>
      <c r="BV44" s="38"/>
      <c r="BW44" s="6">
        <f t="shared" si="25"/>
        <v>5.0614548307835525</v>
      </c>
      <c r="BX44" s="9">
        <f t="shared" ca="1" si="26"/>
        <v>89.923316949966164</v>
      </c>
      <c r="BY44" s="9">
        <f t="shared" ca="1" si="27"/>
        <v>-341.42692463428722</v>
      </c>
      <c r="BZ44" s="9">
        <f t="shared" ca="1" si="28"/>
        <v>246.68999353837546</v>
      </c>
      <c r="CA44" s="6">
        <f t="shared" ca="1" si="29"/>
        <v>-425.83975048958456</v>
      </c>
      <c r="CB44" s="6">
        <f t="shared" ca="1" si="30"/>
        <v>-1.0457346835392776</v>
      </c>
      <c r="CC44" s="6">
        <f t="shared" ca="1" si="31"/>
        <v>-0.92366286282876908</v>
      </c>
      <c r="CD44" s="9">
        <f t="shared" si="32"/>
        <v>196.68999353837546</v>
      </c>
      <c r="CE44" s="9">
        <f t="shared" si="33"/>
        <v>-425.83975048958456</v>
      </c>
      <c r="CF44" s="6">
        <f t="shared" si="34"/>
        <v>-1.1381009698221545</v>
      </c>
      <c r="CG44" s="6"/>
      <c r="CH44" s="6"/>
      <c r="CI44" s="6"/>
      <c r="CJ44" s="1"/>
      <c r="CK44" s="6"/>
      <c r="DV44" s="5"/>
      <c r="DW44">
        <f t="array" aca="1" ref="DW44:DZ44" ca="1">MMULT(DW10:DZ10,DW40:DZ43)</f>
        <v>1957.46548455692</v>
      </c>
      <c r="DX44">
        <f ca="1"/>
        <v>5.6843418860808015E-14</v>
      </c>
      <c r="DY44">
        <f ca="1"/>
        <v>-1.7053025658242404E-13</v>
      </c>
      <c r="DZ44">
        <f ca="1"/>
        <v>0</v>
      </c>
    </row>
    <row r="45" spans="1:139" x14ac:dyDescent="0.25">
      <c r="A45" s="3">
        <f t="shared" si="42"/>
        <v>-6</v>
      </c>
      <c r="B45" s="6">
        <f t="shared" si="43"/>
        <v>-12</v>
      </c>
      <c r="C45" s="6">
        <f t="shared" si="44"/>
        <v>-6.5224038900078964</v>
      </c>
      <c r="D45" s="6">
        <f t="shared" si="45"/>
        <v>-11.724258931617378</v>
      </c>
      <c r="AD45" s="38">
        <f>U13+PI()/2</f>
        <v>1.5707963267948966</v>
      </c>
      <c r="AE45">
        <v>0</v>
      </c>
      <c r="BC45"/>
      <c r="BD45"/>
      <c r="BF45" s="6" t="e">
        <f t="shared" si="39"/>
        <v>#N/A</v>
      </c>
      <c r="BG45" s="6" t="e">
        <f t="shared" si="40"/>
        <v>#N/A</v>
      </c>
      <c r="BH45" s="6" t="e">
        <f t="shared" si="2"/>
        <v>#N/A</v>
      </c>
      <c r="BI45" s="6" t="e">
        <f t="shared" si="3"/>
        <v>#N/A</v>
      </c>
      <c r="BV45" s="38"/>
      <c r="BW45" s="6">
        <f t="shared" si="25"/>
        <v>5.2359877559829853</v>
      </c>
      <c r="BX45" s="9">
        <f t="shared" ca="1" si="26"/>
        <v>92.80966442255081</v>
      </c>
      <c r="BY45" s="9">
        <f t="shared" ca="1" si="27"/>
        <v>-339.34991044767111</v>
      </c>
      <c r="BZ45" s="9">
        <f t="shared" ca="1" si="28"/>
        <v>249.57634101096011</v>
      </c>
      <c r="CA45" s="6">
        <f t="shared" ca="1" si="29"/>
        <v>-423.76273630296845</v>
      </c>
      <c r="CB45" s="6">
        <f t="shared" ca="1" si="30"/>
        <v>-1.0385392102959885</v>
      </c>
      <c r="CC45" s="6">
        <f t="shared" ca="1" si="31"/>
        <v>-0.92108200745783619</v>
      </c>
      <c r="CD45" s="9">
        <f t="shared" si="32"/>
        <v>199.57634101096011</v>
      </c>
      <c r="CE45" s="9">
        <f t="shared" si="33"/>
        <v>-423.76273630296845</v>
      </c>
      <c r="CF45" s="6">
        <f t="shared" si="34"/>
        <v>-1.1306474110417721</v>
      </c>
      <c r="CG45" s="6"/>
      <c r="CH45" s="6"/>
      <c r="CI45" s="6"/>
      <c r="CJ45" s="1"/>
      <c r="CK45" s="6"/>
      <c r="DV45" s="5"/>
    </row>
    <row r="46" spans="1:139" x14ac:dyDescent="0.25">
      <c r="AD46" s="38">
        <f>U13-PI()/2</f>
        <v>-1.5707963267948966</v>
      </c>
      <c r="AE46">
        <f>AE45</f>
        <v>0</v>
      </c>
      <c r="BC46"/>
      <c r="BD46"/>
      <c r="BF46" s="6" t="e">
        <f t="shared" si="39"/>
        <v>#N/A</v>
      </c>
      <c r="BG46" s="6" t="e">
        <f t="shared" si="40"/>
        <v>#N/A</v>
      </c>
      <c r="BH46" s="6" t="e">
        <f t="shared" si="2"/>
        <v>#N/A</v>
      </c>
      <c r="BI46" s="6" t="e">
        <f t="shared" si="3"/>
        <v>#N/A</v>
      </c>
      <c r="BV46" s="38"/>
      <c r="BW46" s="6">
        <f t="shared" si="25"/>
        <v>5.410520681182418</v>
      </c>
      <c r="BX46" s="9">
        <f t="shared" ca="1" si="26"/>
        <v>96.224129365902485</v>
      </c>
      <c r="BY46" s="9">
        <f t="shared" ca="1" si="27"/>
        <v>-336.10668996007939</v>
      </c>
      <c r="BZ46" s="9">
        <f t="shared" ca="1" si="28"/>
        <v>252.99080595431178</v>
      </c>
      <c r="CA46" s="6">
        <f t="shared" ca="1" si="29"/>
        <v>-420.51951581537674</v>
      </c>
      <c r="CB46" s="6">
        <f t="shared" ca="1" si="30"/>
        <v>-1.029190246872066</v>
      </c>
      <c r="CC46" s="6">
        <f t="shared" ca="1" si="31"/>
        <v>-0.91882368362142797</v>
      </c>
      <c r="CD46" s="9">
        <f t="shared" si="32"/>
        <v>202.99080595431178</v>
      </c>
      <c r="CE46" s="9">
        <f t="shared" si="33"/>
        <v>-420.51951581537674</v>
      </c>
      <c r="CF46" s="6">
        <f t="shared" si="34"/>
        <v>-1.1210726152342088</v>
      </c>
      <c r="CG46" s="6"/>
      <c r="CH46" s="6"/>
      <c r="CI46" s="6"/>
      <c r="CJ46" s="1"/>
      <c r="CK46" s="6"/>
    </row>
    <row r="47" spans="1:139" x14ac:dyDescent="0.25">
      <c r="A47" t="s">
        <v>27</v>
      </c>
      <c r="BC47"/>
      <c r="BD47"/>
      <c r="BF47" s="6" t="e">
        <f t="shared" si="39"/>
        <v>#N/A</v>
      </c>
      <c r="BG47" s="6" t="e">
        <f t="shared" si="40"/>
        <v>#N/A</v>
      </c>
      <c r="BH47" s="6" t="e">
        <f t="shared" si="2"/>
        <v>#N/A</v>
      </c>
      <c r="BI47" s="6" t="e">
        <f t="shared" si="3"/>
        <v>#N/A</v>
      </c>
      <c r="BV47" s="38"/>
      <c r="BW47" s="6">
        <f t="shared" si="25"/>
        <v>5.5850536063818508</v>
      </c>
      <c r="BX47" s="9">
        <f t="shared" ca="1" si="26"/>
        <v>100.46778725639129</v>
      </c>
      <c r="BY47" s="9">
        <f t="shared" ca="1" si="27"/>
        <v>-330.97199373625574</v>
      </c>
      <c r="BZ47" s="9">
        <f t="shared" ca="1" si="28"/>
        <v>257.23446384480059</v>
      </c>
      <c r="CA47" s="6">
        <f t="shared" ca="1" si="29"/>
        <v>-415.38481959155308</v>
      </c>
      <c r="CB47" s="6">
        <f t="shared" ca="1" si="30"/>
        <v>-1.0163296306713125</v>
      </c>
      <c r="CC47" s="6">
        <f t="shared" ca="1" si="31"/>
        <v>-0.91701445546592542</v>
      </c>
      <c r="CD47" s="9">
        <f t="shared" si="32"/>
        <v>207.23446384480059</v>
      </c>
      <c r="CE47" s="9">
        <f t="shared" si="33"/>
        <v>-415.38481959155308</v>
      </c>
      <c r="CF47" s="6">
        <f t="shared" si="34"/>
        <v>-1.1080310762179051</v>
      </c>
      <c r="CG47" s="6"/>
      <c r="CH47" s="6"/>
      <c r="CI47" s="6"/>
      <c r="CJ47" s="1"/>
      <c r="CK47" s="6"/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/>
      <c r="BD48"/>
      <c r="BF48" s="6" t="e">
        <f t="shared" si="39"/>
        <v>#N/A</v>
      </c>
      <c r="BG48" s="6" t="e">
        <f t="shared" si="40"/>
        <v>#N/A</v>
      </c>
      <c r="BH48" s="6" t="e">
        <f t="shared" si="2"/>
        <v>#N/A</v>
      </c>
      <c r="BI48" s="6" t="e">
        <f t="shared" si="3"/>
        <v>#N/A</v>
      </c>
      <c r="BV48" s="38"/>
      <c r="BW48" s="6">
        <f t="shared" si="25"/>
        <v>5.7595865315812835</v>
      </c>
      <c r="BX48" s="9">
        <f t="shared" ca="1" si="26"/>
        <v>106.04826983837589</v>
      </c>
      <c r="BY48" s="9">
        <f t="shared" ca="1" si="27"/>
        <v>-322.24779573815971</v>
      </c>
      <c r="BZ48" s="9">
        <f t="shared" ca="1" si="28"/>
        <v>262.81494642678518</v>
      </c>
      <c r="CA48" s="6">
        <f t="shared" ca="1" si="29"/>
        <v>-406.66062159345705</v>
      </c>
      <c r="CB48" s="6">
        <f t="shared" ca="1" si="30"/>
        <v>-0.99704358149151928</v>
      </c>
      <c r="CC48" s="6">
        <f t="shared" ca="1" si="31"/>
        <v>-0.91621127001792146</v>
      </c>
      <c r="CD48" s="9">
        <f t="shared" si="32"/>
        <v>212.81494642678518</v>
      </c>
      <c r="CE48" s="9">
        <f t="shared" si="33"/>
        <v>-406.66062159345705</v>
      </c>
      <c r="CF48" s="6">
        <f t="shared" si="34"/>
        <v>-1.0886647084933114</v>
      </c>
      <c r="CG48" s="6"/>
      <c r="CH48" s="6"/>
      <c r="CI48" s="6"/>
      <c r="CJ48" s="1"/>
      <c r="CK48" s="6"/>
    </row>
    <row r="49" spans="1:89" x14ac:dyDescent="0.25">
      <c r="A49" t="s">
        <v>43</v>
      </c>
      <c r="B49" s="6">
        <f>C37</f>
        <v>-6.5224038900078964</v>
      </c>
      <c r="C49" s="6">
        <f>D37</f>
        <v>-11.724258931617378</v>
      </c>
      <c r="D49" s="6">
        <f t="shared" ref="D49:E56" si="47">C38</f>
        <v>5.4659648112891643</v>
      </c>
      <c r="E49" s="6">
        <f t="shared" si="47"/>
        <v>-12.252478470976744</v>
      </c>
      <c r="F49" s="6">
        <f t="shared" ref="F49:F56" si="48">IF(B49=D49,"V",(C49-E49)/(B49-D49))</f>
        <v>-4.406100216972942E-2</v>
      </c>
      <c r="G49" s="6">
        <f t="shared" ref="G49:G56" si="49">IF(F49="V",0,(-1*B49*F49)+C49)</f>
        <v>-12.011642583566868</v>
      </c>
      <c r="H49" s="6">
        <f t="shared" ref="H49:H56" si="50">IF(AND(C49&lt;$G$41,E49&lt;$G$41),0,IF(AND(C49&lt;$G$41,E49&gt;$G$41),IF(F49="V",B49,($G$41-G49)/F49),B49))</f>
        <v>0</v>
      </c>
      <c r="I49" s="6">
        <f t="shared" ref="I49:I56" si="51">IF(AND(C49&lt;$G$41,E49&lt;$G$41),0,IF(AND(C49&lt;$G$41,E49&gt;$G$41),$G$41,C49))</f>
        <v>0</v>
      </c>
      <c r="J49" s="6">
        <f t="shared" ref="J49:J56" si="52">IF(AND(C49&lt;$G$41,E49&lt;$G$41),0,IF(E49&gt;=$G$41,D49,IF(F49="V",D49,($G$41-G49)/F49)))</f>
        <v>0</v>
      </c>
      <c r="K49" s="6">
        <f t="shared" ref="K49:K56" si="53">IF(AND(C49&lt;$G$41,E49&lt;$G$41),0,IF(E49&gt;=$G$41,E49,$G$41))</f>
        <v>0</v>
      </c>
      <c r="L49" s="6">
        <f t="shared" ref="L49:L56" si="54">IF(AND(I49=0,K49=0,H49=0,J49=0),0,$B$31)</f>
        <v>0</v>
      </c>
      <c r="M49" s="6">
        <f t="shared" ref="M49:M56" si="55">IF(AND(I49=0,K49=0,H49=0,J49=0),0,$B$31)</f>
        <v>0</v>
      </c>
      <c r="N49" s="10">
        <f t="shared" ref="N49:N56" si="56">(1/6)*(K49-I49)*((L49*((2*H49)+J49))+(M49*(H49+(2*J49))))</f>
        <v>0</v>
      </c>
      <c r="O49" s="10">
        <f t="shared" ref="O49:O56" si="57">((1/12)*(K49-I49)*(L49*H49*((3*I49)+K49)+L49*J49*(I49+K49)+M49*H49*(I49+K49)+M49*J49*(I49+(3*K49))))</f>
        <v>0</v>
      </c>
      <c r="P49" s="10">
        <f t="shared" ref="P49:P56" si="58">((-1/24)*(K49-I49)*(H49*H49*((3*L49)+M49)+2*H49*J49*(L49+M49)+J49*J49*(L49+(3*M49))))</f>
        <v>0</v>
      </c>
      <c r="S49" t="e">
        <f t="shared" ref="S49:S56" si="59">IF(AND(I49=0,K49=0,H49=0,J49=0),NA(),H49)</f>
        <v>#N/A</v>
      </c>
      <c r="T49" t="e">
        <f t="shared" ref="T49:T56" si="60">IF(AND(I49=0,K49=0,H49=0,J49=0),NA(),I49)</f>
        <v>#N/A</v>
      </c>
      <c r="V49" t="e">
        <f t="shared" ref="V49:V56" si="61">IF(AND(I49=0,K49=0,H49=0,J49=0),NA(),J49)</f>
        <v>#N/A</v>
      </c>
      <c r="W49" t="e">
        <f t="shared" ref="W49:W56" si="62">IF(AND(I49=0,K49=0,H49=0,J49=0),NA(),K49)</f>
        <v>#N/A</v>
      </c>
      <c r="AC49">
        <v>0</v>
      </c>
      <c r="AD49">
        <f>-PI()</f>
        <v>-3.1415926535897931</v>
      </c>
      <c r="BC49"/>
      <c r="BD49"/>
      <c r="BF49" s="6" t="e">
        <f t="shared" si="39"/>
        <v>#N/A</v>
      </c>
      <c r="BG49" s="6" t="e">
        <f t="shared" si="40"/>
        <v>#N/A</v>
      </c>
      <c r="BH49" s="6" t="e">
        <f t="shared" si="2"/>
        <v>#N/A</v>
      </c>
      <c r="BI49" s="6" t="e">
        <f t="shared" si="3"/>
        <v>#N/A</v>
      </c>
      <c r="BV49" s="38"/>
      <c r="BW49" s="6">
        <f t="shared" si="25"/>
        <v>5.9341194567807163</v>
      </c>
      <c r="BX49" s="9">
        <f t="shared" ca="1" si="26"/>
        <v>113.27451089130366</v>
      </c>
      <c r="BY49" s="9">
        <f t="shared" ca="1" si="27"/>
        <v>-306.32753207037905</v>
      </c>
      <c r="BZ49" s="9">
        <f t="shared" ca="1" si="28"/>
        <v>270.04118747971296</v>
      </c>
      <c r="CA49" s="6">
        <f t="shared" ca="1" si="29"/>
        <v>-390.74035792567639</v>
      </c>
      <c r="CB49" s="6">
        <f t="shared" ca="1" si="30"/>
        <v>-0.96606761346115855</v>
      </c>
      <c r="CC49" s="6">
        <f t="shared" ca="1" si="31"/>
        <v>-0.91853870007113647</v>
      </c>
      <c r="CD49" s="9">
        <f t="shared" si="32"/>
        <v>220.04118747971296</v>
      </c>
      <c r="CE49" s="9">
        <f t="shared" si="33"/>
        <v>-390.74035792567639</v>
      </c>
      <c r="CF49" s="6">
        <f t="shared" si="34"/>
        <v>-1.0579214834682722</v>
      </c>
      <c r="CG49" s="6"/>
      <c r="CH49" s="6"/>
      <c r="CI49" s="6"/>
      <c r="CJ49" s="1"/>
      <c r="CK49" s="6"/>
    </row>
    <row r="50" spans="1:89" x14ac:dyDescent="0.25">
      <c r="A50" t="s">
        <v>44</v>
      </c>
      <c r="B50" s="6">
        <f t="shared" ref="B50:C56" si="63">D49</f>
        <v>5.4659648112891643</v>
      </c>
      <c r="C50" s="6">
        <f t="shared" si="63"/>
        <v>-12.252478470976744</v>
      </c>
      <c r="D50" s="6">
        <f t="shared" si="47"/>
        <v>6.170257530434986</v>
      </c>
      <c r="E50" s="6">
        <f t="shared" si="47"/>
        <v>3.7320131307526707</v>
      </c>
      <c r="F50" s="6">
        <f t="shared" si="48"/>
        <v>22.695806966619902</v>
      </c>
      <c r="G50" s="6">
        <f t="shared" si="49"/>
        <v>-136.3069607143326</v>
      </c>
      <c r="H50" s="6">
        <f t="shared" si="50"/>
        <v>0</v>
      </c>
      <c r="I50" s="6">
        <f t="shared" si="51"/>
        <v>0</v>
      </c>
      <c r="J50" s="6">
        <f t="shared" si="52"/>
        <v>0</v>
      </c>
      <c r="K50" s="6">
        <f t="shared" si="53"/>
        <v>0</v>
      </c>
      <c r="L50" s="6">
        <f t="shared" si="54"/>
        <v>0</v>
      </c>
      <c r="M50" s="6">
        <f t="shared" si="55"/>
        <v>0</v>
      </c>
      <c r="N50" s="10">
        <f t="shared" si="56"/>
        <v>0</v>
      </c>
      <c r="O50" s="10">
        <f t="shared" si="57"/>
        <v>0</v>
      </c>
      <c r="P50" s="10">
        <f t="shared" si="58"/>
        <v>0</v>
      </c>
      <c r="S50" t="e">
        <f t="shared" si="59"/>
        <v>#N/A</v>
      </c>
      <c r="T50" t="e">
        <f t="shared" si="60"/>
        <v>#N/A</v>
      </c>
      <c r="V50" t="e">
        <f t="shared" si="61"/>
        <v>#N/A</v>
      </c>
      <c r="W50" t="e">
        <f t="shared" si="62"/>
        <v>#N/A</v>
      </c>
      <c r="AC50">
        <f>2*PI()</f>
        <v>6.2831853071795862</v>
      </c>
      <c r="AD50">
        <f>AD49</f>
        <v>-3.1415926535897931</v>
      </c>
      <c r="BC50"/>
      <c r="BD50"/>
      <c r="BF50" s="6" t="e">
        <f t="shared" si="39"/>
        <v>#N/A</v>
      </c>
      <c r="BG50" s="6" t="e">
        <f t="shared" si="40"/>
        <v>#N/A</v>
      </c>
      <c r="BH50" s="6" t="e">
        <f t="shared" si="2"/>
        <v>#N/A</v>
      </c>
      <c r="BI50" s="6" t="e">
        <f t="shared" si="3"/>
        <v>#N/A</v>
      </c>
      <c r="BV50" s="38"/>
      <c r="BW50" s="6">
        <f t="shared" si="25"/>
        <v>6.108652381980149</v>
      </c>
      <c r="BX50" s="9">
        <f t="shared" ca="1" si="26"/>
        <v>121.96168157437668</v>
      </c>
      <c r="BY50" s="9">
        <f t="shared" ca="1" si="27"/>
        <v>-272.03606743101631</v>
      </c>
      <c r="BZ50" s="9">
        <f t="shared" ca="1" si="28"/>
        <v>278.72835816278598</v>
      </c>
      <c r="CA50" s="6">
        <f t="shared" ca="1" si="29"/>
        <v>-356.44889328631365</v>
      </c>
      <c r="CB50" s="6">
        <f t="shared" ca="1" si="30"/>
        <v>-0.90715331688175105</v>
      </c>
      <c r="CC50" s="6">
        <f t="shared" ca="1" si="31"/>
        <v>-0.93134464228081904</v>
      </c>
      <c r="CD50" s="9">
        <f t="shared" si="32"/>
        <v>228.72835816278598</v>
      </c>
      <c r="CE50" s="9">
        <f t="shared" si="33"/>
        <v>-356.44889328631365</v>
      </c>
      <c r="CF50" s="6">
        <f t="shared" si="34"/>
        <v>-1.000287781109833</v>
      </c>
      <c r="CG50" s="6"/>
      <c r="CH50" s="6"/>
      <c r="CI50" s="6"/>
      <c r="CJ50" s="1"/>
      <c r="CK50" s="6"/>
    </row>
    <row r="51" spans="1:89" x14ac:dyDescent="0.25">
      <c r="A51" t="s">
        <v>45</v>
      </c>
      <c r="B51" s="6">
        <f t="shared" si="63"/>
        <v>6.170257530434986</v>
      </c>
      <c r="C51" s="6">
        <f t="shared" si="63"/>
        <v>3.7320131307526707</v>
      </c>
      <c r="D51" s="6">
        <f t="shared" si="47"/>
        <v>30.146994933029109</v>
      </c>
      <c r="E51" s="6">
        <f t="shared" si="47"/>
        <v>2.6755740520339386</v>
      </c>
      <c r="F51" s="6">
        <f t="shared" si="48"/>
        <v>-4.4061002169729413E-2</v>
      </c>
      <c r="G51" s="6">
        <f t="shared" si="49"/>
        <v>4.0038808611889563</v>
      </c>
      <c r="H51" s="6">
        <f t="shared" si="50"/>
        <v>0</v>
      </c>
      <c r="I51" s="6">
        <f t="shared" si="51"/>
        <v>0</v>
      </c>
      <c r="J51" s="6">
        <f t="shared" si="52"/>
        <v>0</v>
      </c>
      <c r="K51" s="6">
        <f t="shared" si="53"/>
        <v>0</v>
      </c>
      <c r="L51" s="6">
        <f t="shared" si="54"/>
        <v>0</v>
      </c>
      <c r="M51" s="6">
        <f t="shared" si="55"/>
        <v>0</v>
      </c>
      <c r="N51" s="10">
        <f t="shared" si="56"/>
        <v>0</v>
      </c>
      <c r="O51" s="10">
        <f t="shared" si="57"/>
        <v>0</v>
      </c>
      <c r="P51" s="10">
        <f t="shared" si="58"/>
        <v>0</v>
      </c>
      <c r="S51" t="e">
        <f t="shared" si="59"/>
        <v>#N/A</v>
      </c>
      <c r="T51" t="e">
        <f t="shared" si="60"/>
        <v>#N/A</v>
      </c>
      <c r="V51" t="e">
        <f t="shared" si="61"/>
        <v>#N/A</v>
      </c>
      <c r="W51" t="e">
        <f t="shared" si="62"/>
        <v>#N/A</v>
      </c>
      <c r="AC51">
        <f>AC50</f>
        <v>6.2831853071795862</v>
      </c>
      <c r="AD51">
        <f>-1*AD50</f>
        <v>3.1415926535897931</v>
      </c>
      <c r="BC51"/>
      <c r="BD51"/>
      <c r="BF51" s="6" t="e">
        <f t="shared" si="39"/>
        <v>#N/A</v>
      </c>
      <c r="BG51" s="6" t="e">
        <f t="shared" si="40"/>
        <v>#N/A</v>
      </c>
      <c r="BH51" s="6" t="e">
        <f t="shared" si="2"/>
        <v>#N/A</v>
      </c>
      <c r="BI51" s="6" t="e">
        <f t="shared" si="3"/>
        <v>#N/A</v>
      </c>
      <c r="BV51" s="38"/>
      <c r="BW51" s="6">
        <f t="shared" si="25"/>
        <v>6.2831853071795818</v>
      </c>
      <c r="BX51" s="9">
        <f t="shared" ca="1" si="26"/>
        <v>134.94435066825267</v>
      </c>
      <c r="BY51" s="9">
        <f t="shared" ca="1" si="27"/>
        <v>-43.567174144671654</v>
      </c>
      <c r="BZ51" s="9">
        <f t="shared" ca="1" si="28"/>
        <v>291.71102725666196</v>
      </c>
      <c r="CA51" s="6">
        <f t="shared" ca="1" si="29"/>
        <v>-127.979999999969</v>
      </c>
      <c r="CB51" s="6">
        <f t="shared" ca="1" si="30"/>
        <v>-0.41343552965015157</v>
      </c>
      <c r="CC51" s="6">
        <f t="shared" ca="1" si="31"/>
        <v>-0.735132667450068</v>
      </c>
      <c r="CD51" s="9">
        <f t="shared" si="32"/>
        <v>241.71102725666196</v>
      </c>
      <c r="CE51" s="9">
        <f t="shared" si="33"/>
        <v>-127.979999999969</v>
      </c>
      <c r="CF51" s="6">
        <f t="shared" si="34"/>
        <v>-0.48694879639515837</v>
      </c>
      <c r="CG51" s="6"/>
      <c r="CH51" s="6"/>
      <c r="CI51" s="6"/>
      <c r="CJ51" s="1"/>
      <c r="CK51" s="6"/>
    </row>
    <row r="52" spans="1:89" x14ac:dyDescent="0.25">
      <c r="A52" t="s">
        <v>46</v>
      </c>
      <c r="B52" s="6">
        <f t="shared" si="63"/>
        <v>30.146994933029109</v>
      </c>
      <c r="C52" s="6">
        <f t="shared" si="63"/>
        <v>2.6755740520339386</v>
      </c>
      <c r="D52" s="6">
        <f t="shared" si="47"/>
        <v>30.499141292602019</v>
      </c>
      <c r="E52" s="6">
        <f t="shared" si="47"/>
        <v>10.667819852898646</v>
      </c>
      <c r="F52" s="6">
        <f t="shared" si="48"/>
        <v>22.695806966619987</v>
      </c>
      <c r="G52" s="6">
        <f t="shared" si="49"/>
        <v>-681.53480357166552</v>
      </c>
      <c r="H52" s="6">
        <f t="shared" si="50"/>
        <v>0</v>
      </c>
      <c r="I52" s="6">
        <f t="shared" si="51"/>
        <v>0</v>
      </c>
      <c r="J52" s="6">
        <f t="shared" si="52"/>
        <v>0</v>
      </c>
      <c r="K52" s="6">
        <f t="shared" si="53"/>
        <v>0</v>
      </c>
      <c r="L52" s="6">
        <f t="shared" si="54"/>
        <v>0</v>
      </c>
      <c r="M52" s="6">
        <f t="shared" si="55"/>
        <v>0</v>
      </c>
      <c r="N52" s="10">
        <f t="shared" si="56"/>
        <v>0</v>
      </c>
      <c r="O52" s="10">
        <f t="shared" si="57"/>
        <v>0</v>
      </c>
      <c r="P52" s="10">
        <f t="shared" si="58"/>
        <v>0</v>
      </c>
      <c r="S52" t="e">
        <f t="shared" si="59"/>
        <v>#N/A</v>
      </c>
      <c r="T52" t="e">
        <f t="shared" si="60"/>
        <v>#N/A</v>
      </c>
      <c r="V52" t="e">
        <f t="shared" si="61"/>
        <v>#N/A</v>
      </c>
      <c r="W52" t="e">
        <f t="shared" si="62"/>
        <v>#N/A</v>
      </c>
      <c r="AC52">
        <f>0</f>
        <v>0</v>
      </c>
      <c r="AD52">
        <f>AD51</f>
        <v>3.1415926535897931</v>
      </c>
      <c r="BC52"/>
      <c r="BD52"/>
      <c r="BF52" s="6" t="e">
        <f t="shared" si="39"/>
        <v>#N/A</v>
      </c>
      <c r="BG52" s="6" t="e">
        <f t="shared" si="40"/>
        <v>#N/A</v>
      </c>
      <c r="BH52" s="6" t="e">
        <f t="shared" si="2"/>
        <v>#N/A</v>
      </c>
      <c r="BI52" s="6" t="e">
        <f t="shared" si="3"/>
        <v>#N/A</v>
      </c>
      <c r="BV52" s="38"/>
      <c r="BW52" s="6">
        <f t="shared" si="25"/>
        <v>6.4577182323790145</v>
      </c>
      <c r="BX52" s="9">
        <f t="shared" ca="1" si="26"/>
        <v>134.94435066826216</v>
      </c>
      <c r="BY52" s="9">
        <f t="shared" ca="1" si="27"/>
        <v>-43.567174144663099</v>
      </c>
      <c r="BZ52" s="9">
        <f t="shared" ca="1" si="28"/>
        <v>291.71102725667146</v>
      </c>
      <c r="CA52" s="6">
        <f t="shared" ca="1" si="29"/>
        <v>-127.97999999996044</v>
      </c>
      <c r="CB52" s="6">
        <f t="shared" ca="1" si="30"/>
        <v>-0.41343552965011504</v>
      </c>
      <c r="CC52" s="6">
        <f t="shared" ca="1" si="31"/>
        <v>-0.73513266744999428</v>
      </c>
      <c r="CD52" s="9">
        <f t="shared" si="32"/>
        <v>241.71102725667146</v>
      </c>
      <c r="CE52" s="9">
        <f t="shared" si="33"/>
        <v>-127.97999999996044</v>
      </c>
      <c r="CF52" s="6">
        <f t="shared" si="34"/>
        <v>-0.48694879639511446</v>
      </c>
      <c r="CG52" s="6"/>
      <c r="CH52" s="6"/>
      <c r="CI52" s="6"/>
      <c r="CJ52" s="1"/>
      <c r="CK52" s="6"/>
    </row>
    <row r="53" spans="1:89" x14ac:dyDescent="0.25">
      <c r="A53" t="s">
        <v>47</v>
      </c>
      <c r="B53" s="6">
        <f t="shared" si="63"/>
        <v>30.499141292602019</v>
      </c>
      <c r="C53" s="6">
        <f t="shared" si="63"/>
        <v>10.667819852898646</v>
      </c>
      <c r="D53" s="6">
        <f t="shared" si="47"/>
        <v>-17.454333512586224</v>
      </c>
      <c r="E53" s="6">
        <f t="shared" si="47"/>
        <v>12.78069801033611</v>
      </c>
      <c r="F53" s="6">
        <f t="shared" si="48"/>
        <v>-4.406100216972942E-2</v>
      </c>
      <c r="G53" s="6">
        <f t="shared" si="49"/>
        <v>12.011642583566868</v>
      </c>
      <c r="H53" s="6">
        <f t="shared" si="50"/>
        <v>27.502049121826179</v>
      </c>
      <c r="I53" s="6">
        <f t="shared" si="51"/>
        <v>10.799874737538079</v>
      </c>
      <c r="J53" s="6">
        <f t="shared" si="52"/>
        <v>-17.454333512586224</v>
      </c>
      <c r="K53" s="6">
        <f t="shared" si="53"/>
        <v>12.78069801033611</v>
      </c>
      <c r="L53" s="6">
        <f t="shared" si="54"/>
        <v>4.25</v>
      </c>
      <c r="M53" s="6">
        <f t="shared" si="55"/>
        <v>4.25</v>
      </c>
      <c r="N53" s="10">
        <f t="shared" si="56"/>
        <v>42.293341449131901</v>
      </c>
      <c r="O53" s="10">
        <f t="shared" si="57"/>
        <v>436.17787478392842</v>
      </c>
      <c r="P53" s="10">
        <f t="shared" si="58"/>
        <v>-815.17240678140445</v>
      </c>
      <c r="S53">
        <f t="shared" si="59"/>
        <v>27.502049121826179</v>
      </c>
      <c r="T53">
        <f t="shared" si="60"/>
        <v>10.799874737538079</v>
      </c>
      <c r="V53">
        <f t="shared" si="61"/>
        <v>-17.454333512586224</v>
      </c>
      <c r="W53">
        <f t="shared" si="62"/>
        <v>12.78069801033611</v>
      </c>
      <c r="AC53">
        <f>AC49</f>
        <v>0</v>
      </c>
      <c r="AD53">
        <f>AD49</f>
        <v>-3.1415926535897931</v>
      </c>
      <c r="BC53"/>
      <c r="BD53"/>
      <c r="BF53" s="6" t="e">
        <f t="shared" si="39"/>
        <v>#N/A</v>
      </c>
      <c r="BG53" s="6" t="e">
        <f t="shared" si="40"/>
        <v>#N/A</v>
      </c>
      <c r="BH53" s="6" t="e">
        <f t="shared" si="2"/>
        <v>#N/A</v>
      </c>
      <c r="BI53" s="6" t="e">
        <f t="shared" si="3"/>
        <v>#N/A</v>
      </c>
      <c r="BV53" s="38"/>
      <c r="BW53" s="6" t="e">
        <f t="shared" si="25"/>
        <v>#N/A</v>
      </c>
      <c r="BX53" s="9">
        <f t="shared" ca="1" si="26"/>
        <v>-156.7666765884093</v>
      </c>
      <c r="BY53" s="9">
        <f t="shared" ca="1" si="27"/>
        <v>84.412825855297342</v>
      </c>
      <c r="BZ53" s="9">
        <f t="shared" ca="1" si="28"/>
        <v>0</v>
      </c>
      <c r="CA53" s="6">
        <f t="shared" ca="1" si="29"/>
        <v>0</v>
      </c>
      <c r="CB53" s="6" t="e">
        <f t="shared" ca="1" si="30"/>
        <v>#DIV/0!</v>
      </c>
      <c r="CC53" s="6" t="e">
        <f t="shared" ca="1" si="31"/>
        <v>#DIV/0!</v>
      </c>
      <c r="CD53" s="9">
        <f t="shared" si="32"/>
        <v>-50</v>
      </c>
      <c r="CE53" s="9">
        <f t="shared" si="33"/>
        <v>0</v>
      </c>
      <c r="CF53" s="6">
        <f t="shared" si="34"/>
        <v>3.1415926535897931</v>
      </c>
      <c r="CG53" s="6"/>
      <c r="CH53" s="6"/>
      <c r="CI53" s="6"/>
      <c r="CJ53" s="1"/>
      <c r="CK53" s="6"/>
    </row>
    <row r="54" spans="1:89" x14ac:dyDescent="0.25">
      <c r="A54" t="s">
        <v>48</v>
      </c>
      <c r="B54" s="6">
        <f t="shared" si="63"/>
        <v>-17.454333512586224</v>
      </c>
      <c r="C54" s="6">
        <f t="shared" si="63"/>
        <v>12.78069801033611</v>
      </c>
      <c r="D54" s="6">
        <f t="shared" si="47"/>
        <v>-17.806479872159134</v>
      </c>
      <c r="E54" s="6">
        <f t="shared" si="47"/>
        <v>4.7884522094714033</v>
      </c>
      <c r="F54" s="6">
        <f t="shared" si="48"/>
        <v>22.695806966619987</v>
      </c>
      <c r="G54" s="6">
        <f t="shared" si="49"/>
        <v>408.92088214299923</v>
      </c>
      <c r="H54" s="6">
        <f t="shared" si="50"/>
        <v>-17.454333512586224</v>
      </c>
      <c r="I54" s="6">
        <f t="shared" si="51"/>
        <v>12.78069801033611</v>
      </c>
      <c r="J54" s="6">
        <f t="shared" si="52"/>
        <v>-17.54161057110683</v>
      </c>
      <c r="K54" s="6">
        <f t="shared" si="53"/>
        <v>10.799874737538079</v>
      </c>
      <c r="L54" s="6">
        <f t="shared" si="54"/>
        <v>4.25</v>
      </c>
      <c r="M54" s="6">
        <f t="shared" si="55"/>
        <v>4.25</v>
      </c>
      <c r="N54" s="10">
        <f t="shared" si="56"/>
        <v>147.30665855085022</v>
      </c>
      <c r="O54" s="10">
        <f t="shared" si="57"/>
        <v>1736.6664062939221</v>
      </c>
      <c r="P54" s="10">
        <f t="shared" si="58"/>
        <v>1288.786568371346</v>
      </c>
      <c r="S54">
        <f t="shared" si="59"/>
        <v>-17.454333512586224</v>
      </c>
      <c r="T54">
        <f t="shared" si="60"/>
        <v>12.78069801033611</v>
      </c>
      <c r="V54">
        <f t="shared" si="61"/>
        <v>-17.54161057110683</v>
      </c>
      <c r="W54">
        <f t="shared" si="62"/>
        <v>10.799874737538079</v>
      </c>
      <c r="BC54"/>
      <c r="BD54"/>
      <c r="BF54" s="6" t="e">
        <f t="shared" si="39"/>
        <v>#N/A</v>
      </c>
      <c r="BG54" s="6" t="e">
        <f t="shared" si="40"/>
        <v>#N/A</v>
      </c>
      <c r="BH54" s="6" t="e">
        <f t="shared" si="2"/>
        <v>#N/A</v>
      </c>
      <c r="BI54" s="6" t="e">
        <f t="shared" si="3"/>
        <v>#N/A</v>
      </c>
      <c r="BV54" s="38"/>
      <c r="BW54" s="6" t="e">
        <f t="shared" si="25"/>
        <v>#N/A</v>
      </c>
      <c r="BX54" s="9">
        <f t="shared" ca="1" si="26"/>
        <v>-156.7666765884093</v>
      </c>
      <c r="BY54" s="9">
        <f t="shared" ca="1" si="27"/>
        <v>84.412825855297342</v>
      </c>
      <c r="BZ54" s="9">
        <f t="shared" ca="1" si="28"/>
        <v>0</v>
      </c>
      <c r="CA54" s="6">
        <f t="shared" ca="1" si="29"/>
        <v>0</v>
      </c>
      <c r="CB54" s="6" t="e">
        <f t="shared" ca="1" si="30"/>
        <v>#DIV/0!</v>
      </c>
      <c r="CC54" s="6" t="e">
        <f t="shared" ca="1" si="31"/>
        <v>#DIV/0!</v>
      </c>
      <c r="CD54" s="9">
        <f t="shared" si="32"/>
        <v>-50</v>
      </c>
      <c r="CE54" s="9">
        <f t="shared" si="33"/>
        <v>0</v>
      </c>
      <c r="CF54" s="6">
        <f t="shared" si="34"/>
        <v>3.1415926535897931</v>
      </c>
      <c r="CG54" s="6"/>
      <c r="CH54" s="6"/>
      <c r="CI54" s="6"/>
      <c r="CJ54" s="1"/>
      <c r="CK54" s="6"/>
    </row>
    <row r="55" spans="1:89" x14ac:dyDescent="0.25">
      <c r="A55" t="s">
        <v>93</v>
      </c>
      <c r="B55" s="6">
        <f t="shared" si="63"/>
        <v>-17.806479872159134</v>
      </c>
      <c r="C55" s="6">
        <f t="shared" si="63"/>
        <v>4.7884522094714033</v>
      </c>
      <c r="D55" s="6">
        <f t="shared" si="47"/>
        <v>-5.8181111708620747</v>
      </c>
      <c r="E55" s="6">
        <f t="shared" si="47"/>
        <v>4.2602326701120372</v>
      </c>
      <c r="F55" s="6">
        <f t="shared" si="48"/>
        <v>-4.4061002169729427E-2</v>
      </c>
      <c r="G55" s="6">
        <f t="shared" si="49"/>
        <v>4.0038808611889563</v>
      </c>
      <c r="H55" s="6">
        <f t="shared" si="50"/>
        <v>0</v>
      </c>
      <c r="I55" s="6">
        <f t="shared" si="51"/>
        <v>0</v>
      </c>
      <c r="J55" s="6">
        <f t="shared" si="52"/>
        <v>0</v>
      </c>
      <c r="K55" s="6">
        <f t="shared" si="53"/>
        <v>0</v>
      </c>
      <c r="L55" s="6">
        <f t="shared" si="54"/>
        <v>0</v>
      </c>
      <c r="M55" s="6">
        <f t="shared" si="55"/>
        <v>0</v>
      </c>
      <c r="N55" s="10">
        <f t="shared" si="56"/>
        <v>0</v>
      </c>
      <c r="O55" s="10">
        <f t="shared" si="57"/>
        <v>0</v>
      </c>
      <c r="P55" s="10">
        <f t="shared" si="58"/>
        <v>0</v>
      </c>
      <c r="S55" t="e">
        <f t="shared" si="59"/>
        <v>#N/A</v>
      </c>
      <c r="T55" t="e">
        <f t="shared" si="60"/>
        <v>#N/A</v>
      </c>
      <c r="V55" t="e">
        <f t="shared" si="61"/>
        <v>#N/A</v>
      </c>
      <c r="W55" t="e">
        <f t="shared" si="62"/>
        <v>#N/A</v>
      </c>
      <c r="BC55"/>
      <c r="BD55"/>
      <c r="BF55" s="6" t="e">
        <f t="shared" si="39"/>
        <v>#N/A</v>
      </c>
      <c r="BG55" s="6" t="e">
        <f t="shared" si="40"/>
        <v>#N/A</v>
      </c>
      <c r="BH55" s="6" t="e">
        <f t="shared" si="2"/>
        <v>#N/A</v>
      </c>
      <c r="BI55" s="6" t="e">
        <f t="shared" si="3"/>
        <v>#N/A</v>
      </c>
      <c r="BV55" s="38"/>
      <c r="BW55" s="6" t="e">
        <f t="shared" si="25"/>
        <v>#N/A</v>
      </c>
      <c r="BX55" s="9">
        <f t="shared" ca="1" si="26"/>
        <v>-156.7666765884093</v>
      </c>
      <c r="BY55" s="9">
        <f t="shared" ca="1" si="27"/>
        <v>84.412825855297342</v>
      </c>
      <c r="BZ55" s="9">
        <f t="shared" ca="1" si="28"/>
        <v>0</v>
      </c>
      <c r="CA55" s="6">
        <f t="shared" ca="1" si="29"/>
        <v>0</v>
      </c>
      <c r="CB55" s="6" t="e">
        <f t="shared" ca="1" si="30"/>
        <v>#DIV/0!</v>
      </c>
      <c r="CC55" s="6" t="e">
        <f t="shared" ca="1" si="31"/>
        <v>#DIV/0!</v>
      </c>
      <c r="CD55" s="9">
        <f t="shared" si="32"/>
        <v>-50</v>
      </c>
      <c r="CE55" s="9">
        <f t="shared" si="33"/>
        <v>0</v>
      </c>
      <c r="CF55" s="6">
        <f t="shared" si="34"/>
        <v>3.1415926535897931</v>
      </c>
      <c r="CG55" s="6"/>
      <c r="CH55" s="6"/>
      <c r="CI55" s="6"/>
      <c r="CJ55" s="1"/>
      <c r="CK55" s="6"/>
    </row>
    <row r="56" spans="1:89" ht="15.75" thickBot="1" x14ac:dyDescent="0.3">
      <c r="A56" t="s">
        <v>94</v>
      </c>
      <c r="B56" s="6">
        <f t="shared" si="63"/>
        <v>-5.8181111708620747</v>
      </c>
      <c r="C56" s="6">
        <f t="shared" si="63"/>
        <v>4.2602326701120372</v>
      </c>
      <c r="D56" s="6">
        <f t="shared" si="47"/>
        <v>-6.5224038900078964</v>
      </c>
      <c r="E56" s="6">
        <f t="shared" si="47"/>
        <v>-11.724258931617378</v>
      </c>
      <c r="F56" s="6">
        <f t="shared" si="48"/>
        <v>22.695806966619902</v>
      </c>
      <c r="G56" s="6">
        <f t="shared" si="49"/>
        <v>136.30696071433258</v>
      </c>
      <c r="H56" s="6">
        <f t="shared" si="50"/>
        <v>0</v>
      </c>
      <c r="I56" s="6">
        <f t="shared" si="51"/>
        <v>0</v>
      </c>
      <c r="J56" s="6">
        <f t="shared" si="52"/>
        <v>0</v>
      </c>
      <c r="K56" s="6">
        <f t="shared" si="53"/>
        <v>0</v>
      </c>
      <c r="L56" s="6">
        <f t="shared" si="54"/>
        <v>0</v>
      </c>
      <c r="M56" s="6">
        <f t="shared" si="55"/>
        <v>0</v>
      </c>
      <c r="N56" s="11">
        <f t="shared" si="56"/>
        <v>0</v>
      </c>
      <c r="O56" s="11">
        <f t="shared" si="57"/>
        <v>0</v>
      </c>
      <c r="P56" s="11">
        <f t="shared" si="58"/>
        <v>0</v>
      </c>
      <c r="S56" t="e">
        <f t="shared" si="59"/>
        <v>#N/A</v>
      </c>
      <c r="T56" t="e">
        <f t="shared" si="60"/>
        <v>#N/A</v>
      </c>
      <c r="V56" t="e">
        <f t="shared" si="61"/>
        <v>#N/A</v>
      </c>
      <c r="W56" t="e">
        <f t="shared" si="62"/>
        <v>#N/A</v>
      </c>
      <c r="BC56"/>
      <c r="BD56"/>
      <c r="BF56" s="6" t="e">
        <f t="shared" si="39"/>
        <v>#N/A</v>
      </c>
      <c r="BG56" s="6" t="e">
        <f t="shared" si="40"/>
        <v>#N/A</v>
      </c>
      <c r="BH56" s="6" t="e">
        <f t="shared" si="2"/>
        <v>#N/A</v>
      </c>
      <c r="BI56" s="6" t="e">
        <f t="shared" si="3"/>
        <v>#N/A</v>
      </c>
      <c r="BV56" s="38"/>
      <c r="BW56" s="6" t="e">
        <f t="shared" si="25"/>
        <v>#N/A</v>
      </c>
      <c r="BX56" s="9">
        <f t="shared" ca="1" si="26"/>
        <v>-156.7666765884093</v>
      </c>
      <c r="BY56" s="9">
        <f t="shared" ca="1" si="27"/>
        <v>84.412825855297342</v>
      </c>
      <c r="BZ56" s="9">
        <f t="shared" ca="1" si="28"/>
        <v>0</v>
      </c>
      <c r="CA56" s="6">
        <f t="shared" ca="1" si="29"/>
        <v>0</v>
      </c>
      <c r="CB56" s="6" t="e">
        <f t="shared" ca="1" si="30"/>
        <v>#DIV/0!</v>
      </c>
      <c r="CC56" s="6" t="e">
        <f t="shared" ca="1" si="31"/>
        <v>#DIV/0!</v>
      </c>
      <c r="CD56" s="9">
        <f t="shared" si="32"/>
        <v>-50</v>
      </c>
      <c r="CE56" s="9">
        <f t="shared" si="33"/>
        <v>0</v>
      </c>
      <c r="CF56" s="6">
        <f t="shared" si="34"/>
        <v>3.1415926535897931</v>
      </c>
      <c r="CG56" s="6"/>
      <c r="CH56" s="6"/>
      <c r="CI56" s="6"/>
      <c r="CJ56" s="1"/>
      <c r="CK56" s="6"/>
    </row>
    <row r="57" spans="1:89" ht="15.75" thickTop="1" x14ac:dyDescent="0.25">
      <c r="N57" s="6">
        <f>SUM(N49:N56)</f>
        <v>189.59999999998212</v>
      </c>
      <c r="O57" s="6">
        <f>SUM(O49:O56)</f>
        <v>2172.8442810778506</v>
      </c>
      <c r="P57" s="6">
        <f>SUM(P49:P56)</f>
        <v>473.61416158994155</v>
      </c>
      <c r="BC57"/>
      <c r="BD57"/>
      <c r="BF57" s="6" t="e">
        <f t="shared" si="39"/>
        <v>#N/A</v>
      </c>
      <c r="BG57" s="6" t="e">
        <f t="shared" si="40"/>
        <v>#N/A</v>
      </c>
      <c r="BH57" s="6" t="e">
        <f t="shared" si="2"/>
        <v>#N/A</v>
      </c>
      <c r="BI57" s="6" t="e">
        <f t="shared" si="3"/>
        <v>#N/A</v>
      </c>
      <c r="BV57" s="38"/>
      <c r="BW57" s="6" t="e">
        <f t="shared" si="25"/>
        <v>#N/A</v>
      </c>
      <c r="BX57" s="9">
        <f t="shared" ca="1" si="26"/>
        <v>-156.7666765884093</v>
      </c>
      <c r="BY57" s="9">
        <f t="shared" ca="1" si="27"/>
        <v>84.412825855297342</v>
      </c>
      <c r="BZ57" s="9">
        <f t="shared" ca="1" si="28"/>
        <v>0</v>
      </c>
      <c r="CA57" s="6">
        <f t="shared" ca="1" si="29"/>
        <v>0</v>
      </c>
      <c r="CB57" s="6" t="e">
        <f t="shared" ca="1" si="30"/>
        <v>#DIV/0!</v>
      </c>
      <c r="CC57" s="6" t="e">
        <f t="shared" ca="1" si="31"/>
        <v>#DIV/0!</v>
      </c>
      <c r="CD57" s="9">
        <f t="shared" si="32"/>
        <v>-50</v>
      </c>
      <c r="CE57" s="9">
        <f t="shared" si="33"/>
        <v>0</v>
      </c>
      <c r="CF57" s="6">
        <f t="shared" si="34"/>
        <v>3.1415926535897931</v>
      </c>
      <c r="CG57" s="6"/>
      <c r="CH57" s="6"/>
      <c r="CI57" s="6"/>
      <c r="CJ57" s="1"/>
      <c r="CK57" s="6"/>
    </row>
    <row r="58" spans="1:89" x14ac:dyDescent="0.25">
      <c r="O58" s="6">
        <f>O57/N57</f>
        <v>11.46014916180409</v>
      </c>
      <c r="P58" s="6">
        <f>-1*P57/N57</f>
        <v>-2.4979649872889569</v>
      </c>
      <c r="S58">
        <f>(P58*COS(-1*$B$27))+(O58*SIN(-1*$B$27))+$I$2</f>
        <v>3.0000000015176149</v>
      </c>
      <c r="T58">
        <f>(-1*P58*SIN(-1*$B$27))+(O58*COS(-1*$B$27))+$I$3</f>
        <v>23.339084967387191</v>
      </c>
      <c r="BC58"/>
      <c r="BD58"/>
      <c r="BF58" s="6" t="e">
        <f t="shared" si="39"/>
        <v>#N/A</v>
      </c>
      <c r="BG58" s="6" t="e">
        <f t="shared" si="40"/>
        <v>#N/A</v>
      </c>
      <c r="BH58" s="6" t="e">
        <f t="shared" si="2"/>
        <v>#N/A</v>
      </c>
      <c r="BI58" s="6" t="e">
        <f t="shared" si="3"/>
        <v>#N/A</v>
      </c>
      <c r="BV58" s="38"/>
      <c r="BW58" s="6" t="e">
        <f t="shared" si="25"/>
        <v>#N/A</v>
      </c>
      <c r="BX58" s="9">
        <f t="shared" ca="1" si="26"/>
        <v>-156.7666765884093</v>
      </c>
      <c r="BY58" s="9">
        <f t="shared" ca="1" si="27"/>
        <v>84.412825855297342</v>
      </c>
      <c r="BZ58" s="9">
        <f t="shared" ca="1" si="28"/>
        <v>0</v>
      </c>
      <c r="CA58" s="6">
        <f t="shared" ca="1" si="29"/>
        <v>0</v>
      </c>
      <c r="CB58" s="6" t="e">
        <f t="shared" ca="1" si="30"/>
        <v>#DIV/0!</v>
      </c>
      <c r="CC58" s="6" t="e">
        <f t="shared" ca="1" si="31"/>
        <v>#DIV/0!</v>
      </c>
      <c r="CD58" s="9">
        <f t="shared" si="32"/>
        <v>-50</v>
      </c>
      <c r="CE58" s="9">
        <f t="shared" si="33"/>
        <v>0</v>
      </c>
      <c r="CF58" s="6">
        <f t="shared" si="34"/>
        <v>3.1415926535897931</v>
      </c>
      <c r="CG58" s="6"/>
      <c r="CH58" s="6"/>
      <c r="CI58" s="6"/>
      <c r="CJ58" s="1"/>
      <c r="CK58" s="6"/>
    </row>
    <row r="59" spans="1:89" x14ac:dyDescent="0.25">
      <c r="A59" t="s">
        <v>54</v>
      </c>
      <c r="O59">
        <f>O57/12</f>
        <v>181.07035675648754</v>
      </c>
      <c r="P59">
        <f>P57/12</f>
        <v>39.467846799161798</v>
      </c>
      <c r="BC59"/>
      <c r="BD59"/>
      <c r="BF59" s="6" t="e">
        <f t="shared" si="39"/>
        <v>#N/A</v>
      </c>
      <c r="BG59" s="6" t="e">
        <f t="shared" si="40"/>
        <v>#N/A</v>
      </c>
      <c r="BH59" s="6" t="e">
        <f t="shared" si="2"/>
        <v>#N/A</v>
      </c>
      <c r="BI59" s="6" t="e">
        <f t="shared" si="3"/>
        <v>#N/A</v>
      </c>
      <c r="BV59" s="38"/>
      <c r="BW59" s="6" t="e">
        <f t="shared" si="25"/>
        <v>#N/A</v>
      </c>
      <c r="BX59" s="9">
        <f t="shared" ca="1" si="26"/>
        <v>-156.7666765884093</v>
      </c>
      <c r="BY59" s="9">
        <f t="shared" ca="1" si="27"/>
        <v>84.412825855297342</v>
      </c>
      <c r="BZ59" s="9">
        <f t="shared" ca="1" si="28"/>
        <v>0</v>
      </c>
      <c r="CA59" s="6">
        <f t="shared" ca="1" si="29"/>
        <v>0</v>
      </c>
      <c r="CB59" s="6" t="e">
        <f t="shared" ca="1" si="30"/>
        <v>#DIV/0!</v>
      </c>
      <c r="CC59" s="6" t="e">
        <f t="shared" ca="1" si="31"/>
        <v>#DIV/0!</v>
      </c>
      <c r="CD59" s="9">
        <f t="shared" si="32"/>
        <v>-50</v>
      </c>
      <c r="CE59" s="9">
        <f t="shared" si="33"/>
        <v>0</v>
      </c>
      <c r="CF59" s="6">
        <f t="shared" si="34"/>
        <v>3.1415926535897931</v>
      </c>
      <c r="CG59" s="6"/>
      <c r="CH59" s="6"/>
      <c r="CI59" s="6"/>
      <c r="CJ59" s="1"/>
      <c r="CK59" s="6"/>
    </row>
    <row r="60" spans="1:89" x14ac:dyDescent="0.25">
      <c r="S60" t="str">
        <f>"Cc = "&amp;ROUND(N57,4)&amp;" "&amp;C178&amp;CHAR(10)&amp;" @ ( "&amp;ROUND(S58,4)&amp;" , "&amp;ROUND(T58,4)&amp;" )"</f>
        <v>Cc = 189.6 kips
 @ ( 3 , 23.3391 )</v>
      </c>
      <c r="BC60"/>
      <c r="BD60"/>
      <c r="BF60" s="6" t="e">
        <f t="shared" si="39"/>
        <v>#N/A</v>
      </c>
      <c r="BG60" s="6" t="e">
        <f t="shared" si="40"/>
        <v>#N/A</v>
      </c>
      <c r="BH60" s="6" t="e">
        <f t="shared" si="2"/>
        <v>#N/A</v>
      </c>
      <c r="BI60" s="6" t="e">
        <f t="shared" si="3"/>
        <v>#N/A</v>
      </c>
      <c r="BV60" s="38"/>
      <c r="BW60" s="6" t="e">
        <f t="shared" si="25"/>
        <v>#N/A</v>
      </c>
      <c r="BX60" s="9">
        <f t="shared" ca="1" si="26"/>
        <v>-156.7666765884093</v>
      </c>
      <c r="BY60" s="9">
        <f t="shared" ca="1" si="27"/>
        <v>84.412825855297342</v>
      </c>
      <c r="BZ60" s="9">
        <f t="shared" ca="1" si="28"/>
        <v>0</v>
      </c>
      <c r="CA60" s="6">
        <f t="shared" ca="1" si="29"/>
        <v>0</v>
      </c>
      <c r="CB60" s="6" t="e">
        <f t="shared" ca="1" si="30"/>
        <v>#DIV/0!</v>
      </c>
      <c r="CC60" s="6" t="e">
        <f t="shared" ca="1" si="31"/>
        <v>#DIV/0!</v>
      </c>
      <c r="CD60" s="9">
        <f t="shared" si="32"/>
        <v>-50</v>
      </c>
      <c r="CE60" s="9">
        <f t="shared" si="33"/>
        <v>0</v>
      </c>
      <c r="CF60" s="6">
        <f t="shared" si="34"/>
        <v>3.1415926535897931</v>
      </c>
      <c r="CG60" s="6"/>
      <c r="CH60" s="6"/>
      <c r="CI60" s="6"/>
      <c r="CJ60" s="1"/>
      <c r="CK60" s="6"/>
    </row>
    <row r="61" spans="1:89" x14ac:dyDescent="0.25">
      <c r="A61">
        <f t="shared" ref="A61:E71" si="64">A14</f>
        <v>0</v>
      </c>
      <c r="B61" s="1" t="str">
        <f t="shared" si="64"/>
        <v>Bar #</v>
      </c>
      <c r="C61" s="1" t="str">
        <f t="shared" si="64"/>
        <v>As (in^2)</v>
      </c>
      <c r="D61" s="1" t="str">
        <f t="shared" si="64"/>
        <v>x</v>
      </c>
      <c r="E61" s="1" t="str">
        <f t="shared" si="6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/>
      <c r="BD61"/>
      <c r="BF61" s="6" t="e">
        <f t="shared" si="39"/>
        <v>#N/A</v>
      </c>
      <c r="BG61" s="6" t="e">
        <f t="shared" si="40"/>
        <v>#N/A</v>
      </c>
      <c r="BH61" s="6" t="e">
        <f t="shared" si="2"/>
        <v>#N/A</v>
      </c>
      <c r="BI61" s="6" t="e">
        <f t="shared" si="3"/>
        <v>#N/A</v>
      </c>
      <c r="BV61" s="38"/>
      <c r="BW61" s="6" t="e">
        <f t="shared" si="25"/>
        <v>#N/A</v>
      </c>
      <c r="BX61" s="9">
        <f t="shared" ca="1" si="26"/>
        <v>-156.7666765884093</v>
      </c>
      <c r="BY61" s="9">
        <f t="shared" ca="1" si="27"/>
        <v>84.412825855297342</v>
      </c>
      <c r="BZ61" s="9">
        <f t="shared" ca="1" si="28"/>
        <v>0</v>
      </c>
      <c r="CA61" s="6">
        <f t="shared" ca="1" si="29"/>
        <v>0</v>
      </c>
      <c r="CB61" s="6" t="e">
        <f t="shared" ca="1" si="30"/>
        <v>#DIV/0!</v>
      </c>
      <c r="CC61" s="6" t="e">
        <f t="shared" ca="1" si="31"/>
        <v>#DIV/0!</v>
      </c>
      <c r="CD61" s="9">
        <f t="shared" si="32"/>
        <v>-50</v>
      </c>
      <c r="CE61" s="9">
        <f t="shared" si="33"/>
        <v>0</v>
      </c>
      <c r="CF61" s="6">
        <f t="shared" si="34"/>
        <v>3.1415926535897931</v>
      </c>
      <c r="CG61" s="6"/>
      <c r="CH61" s="6"/>
      <c r="CI61" s="6"/>
      <c r="CJ61" s="1"/>
      <c r="CK61" s="6"/>
    </row>
    <row r="62" spans="1:89" x14ac:dyDescent="0.25">
      <c r="A62">
        <f t="shared" si="64"/>
        <v>1</v>
      </c>
      <c r="B62" s="1">
        <f t="shared" si="64"/>
        <v>8</v>
      </c>
      <c r="C62" s="1">
        <f t="shared" ca="1" si="64"/>
        <v>0.79</v>
      </c>
      <c r="D62" s="1">
        <f t="shared" si="64"/>
        <v>2</v>
      </c>
      <c r="E62" s="1">
        <f t="shared" si="64"/>
        <v>2</v>
      </c>
      <c r="F62" s="1">
        <f t="shared" ref="F62:F71" si="65">D62-$I$2</f>
        <v>-4</v>
      </c>
      <c r="G62" s="1">
        <f t="shared" ref="G62:G71" si="66">E62-$I$3</f>
        <v>-10</v>
      </c>
      <c r="H62" s="6">
        <f t="shared" ref="H62:H71" si="67">F62*COS($B$27)+G62*SIN($B$27)</f>
        <v>-4.436305849898492</v>
      </c>
      <c r="I62" s="6">
        <f t="shared" ref="I62:I71" si="68">-1*F62*SIN($B$27)+G62*COS($B$27)</f>
        <v>-9.8142340712944289</v>
      </c>
      <c r="J62" s="6">
        <f t="shared" ref="J62:J65" si="69">IF(B62=0,0,$G$38-I62)</f>
        <v>22.594932081630539</v>
      </c>
      <c r="K62">
        <f t="shared" ref="K62:K71" ca="1" si="70">IF($B$28=0,-1,IF(C62=0,0,(($B$28-J62)/$B$28)*$B$30)*IF($B$28&lt;0,-1,1))</f>
        <v>-2.4376413504730927E-2</v>
      </c>
      <c r="L62">
        <f t="shared" ref="L62:L72" ca="1" si="71">IF(AND(K62&gt;0,J62&lt;=$B$29),MIN((K62*B$13),B$12)-$B$31,MAX(K62*B$13,-1*B$12))</f>
        <v>-60</v>
      </c>
      <c r="M62" s="6">
        <f t="shared" ref="M62:M71" ca="1" si="72">L62*C62</f>
        <v>-47.400000000000006</v>
      </c>
      <c r="N62" s="6">
        <f t="shared" ref="N62:N71" ca="1" si="73">M62*I62</f>
        <v>465.19469497935597</v>
      </c>
      <c r="O62" s="6">
        <f t="shared" ref="O62:O71" ca="1" si="74">M62*H62*-1</f>
        <v>-210.28089728518856</v>
      </c>
      <c r="Q62">
        <f t="shared" ref="Q62:Q71" si="75">IF($B62=0,NA(),H62)</f>
        <v>-4.436305849898492</v>
      </c>
      <c r="R62">
        <f t="shared" ref="R62:R71" si="76">IF($B62=0,NA(),I62)</f>
        <v>-9.8142340712944289</v>
      </c>
      <c r="BC62"/>
      <c r="BD62"/>
      <c r="BF62" s="6" t="e">
        <f t="shared" si="39"/>
        <v>#N/A</v>
      </c>
      <c r="BG62" s="6" t="e">
        <f t="shared" si="40"/>
        <v>#N/A</v>
      </c>
      <c r="BH62" s="6" t="e">
        <f t="shared" si="2"/>
        <v>#N/A</v>
      </c>
      <c r="BI62" s="6" t="e">
        <f t="shared" si="3"/>
        <v>#N/A</v>
      </c>
      <c r="BV62" s="38"/>
      <c r="BW62" s="6" t="e">
        <f t="shared" si="25"/>
        <v>#N/A</v>
      </c>
      <c r="BX62" s="9">
        <f t="shared" ca="1" si="26"/>
        <v>-156.7666765884093</v>
      </c>
      <c r="BY62" s="9">
        <f t="shared" ca="1" si="27"/>
        <v>84.412825855297342</v>
      </c>
      <c r="BZ62" s="9">
        <f t="shared" ca="1" si="28"/>
        <v>0</v>
      </c>
      <c r="CA62" s="6">
        <f t="shared" ca="1" si="29"/>
        <v>0</v>
      </c>
      <c r="CB62" s="6" t="e">
        <f t="shared" ca="1" si="30"/>
        <v>#DIV/0!</v>
      </c>
      <c r="CC62" s="6" t="e">
        <f t="shared" ca="1" si="31"/>
        <v>#DIV/0!</v>
      </c>
      <c r="CD62" s="9">
        <f t="shared" si="32"/>
        <v>-50</v>
      </c>
      <c r="CE62" s="9">
        <f t="shared" si="33"/>
        <v>0</v>
      </c>
      <c r="CF62" s="6">
        <f t="shared" si="34"/>
        <v>3.1415926535897931</v>
      </c>
      <c r="CG62" s="6"/>
      <c r="CH62" s="6"/>
      <c r="CI62" s="6"/>
      <c r="CJ62" s="1"/>
      <c r="CK62" s="6"/>
    </row>
    <row r="63" spans="1:89" x14ac:dyDescent="0.25">
      <c r="A63">
        <f t="shared" si="64"/>
        <v>2</v>
      </c>
      <c r="B63" s="1">
        <f t="shared" si="64"/>
        <v>8</v>
      </c>
      <c r="C63" s="1">
        <f t="shared" ca="1" si="64"/>
        <v>0.79</v>
      </c>
      <c r="D63" s="1">
        <f t="shared" si="64"/>
        <v>2</v>
      </c>
      <c r="E63" s="1">
        <f t="shared" si="64"/>
        <v>4</v>
      </c>
      <c r="F63" s="1">
        <f t="shared" si="65"/>
        <v>-4</v>
      </c>
      <c r="G63" s="1">
        <f t="shared" si="66"/>
        <v>-8</v>
      </c>
      <c r="H63" s="6">
        <f t="shared" si="67"/>
        <v>-4.3482692600052646</v>
      </c>
      <c r="I63" s="6">
        <f t="shared" si="68"/>
        <v>-7.8161726210782518</v>
      </c>
      <c r="J63" s="6">
        <f t="shared" si="69"/>
        <v>20.596870631414362</v>
      </c>
      <c r="K63">
        <f t="shared" ca="1" si="70"/>
        <v>-2.19555274285364E-2</v>
      </c>
      <c r="L63">
        <f t="shared" ca="1" si="71"/>
        <v>-60</v>
      </c>
      <c r="M63" s="6">
        <f t="shared" ca="1" si="72"/>
        <v>-47.400000000000006</v>
      </c>
      <c r="N63" s="6">
        <f t="shared" ca="1" si="73"/>
        <v>370.48658223910917</v>
      </c>
      <c r="O63" s="6">
        <f t="shared" ca="1" si="74"/>
        <v>-206.10796292424956</v>
      </c>
      <c r="Q63">
        <f t="shared" si="75"/>
        <v>-4.3482692600052646</v>
      </c>
      <c r="R63">
        <f t="shared" si="76"/>
        <v>-7.8161726210782518</v>
      </c>
      <c r="BC63"/>
      <c r="BD63"/>
      <c r="BF63" s="6" t="e">
        <f t="shared" si="39"/>
        <v>#N/A</v>
      </c>
      <c r="BG63" s="6" t="e">
        <f t="shared" si="40"/>
        <v>#N/A</v>
      </c>
      <c r="BH63" s="6" t="e">
        <f t="shared" si="2"/>
        <v>#N/A</v>
      </c>
      <c r="BI63" s="6" t="e">
        <f t="shared" si="3"/>
        <v>#N/A</v>
      </c>
      <c r="BV63" s="38"/>
      <c r="BW63" s="6" t="e">
        <f t="shared" si="25"/>
        <v>#N/A</v>
      </c>
      <c r="BX63" s="9">
        <f t="shared" ca="1" si="26"/>
        <v>-156.7666765884093</v>
      </c>
      <c r="BY63" s="9">
        <f t="shared" ca="1" si="27"/>
        <v>84.412825855297342</v>
      </c>
      <c r="BZ63" s="9">
        <f t="shared" ca="1" si="28"/>
        <v>0</v>
      </c>
      <c r="CA63" s="6">
        <f t="shared" ca="1" si="29"/>
        <v>0</v>
      </c>
      <c r="CB63" s="6" t="e">
        <f t="shared" ca="1" si="30"/>
        <v>#DIV/0!</v>
      </c>
      <c r="CC63" s="6" t="e">
        <f t="shared" ca="1" si="31"/>
        <v>#DIV/0!</v>
      </c>
      <c r="CD63" s="9">
        <f t="shared" si="32"/>
        <v>-50</v>
      </c>
      <c r="CE63" s="9">
        <f t="shared" si="33"/>
        <v>0</v>
      </c>
      <c r="CF63" s="6">
        <f t="shared" si="34"/>
        <v>3.1415926535897931</v>
      </c>
      <c r="CG63" s="6"/>
      <c r="CH63" s="6"/>
      <c r="CI63" s="6"/>
      <c r="CJ63" s="1"/>
      <c r="CK63" s="6"/>
    </row>
    <row r="64" spans="1:89" x14ac:dyDescent="0.25">
      <c r="A64">
        <f t="shared" si="64"/>
        <v>3</v>
      </c>
      <c r="B64" s="1">
        <f t="shared" si="64"/>
        <v>8</v>
      </c>
      <c r="C64" s="1">
        <f t="shared" ca="1" si="64"/>
        <v>0.79</v>
      </c>
      <c r="D64" s="1">
        <f t="shared" si="64"/>
        <v>4</v>
      </c>
      <c r="E64" s="1">
        <f t="shared" si="64"/>
        <v>2</v>
      </c>
      <c r="F64" s="1">
        <f t="shared" si="65"/>
        <v>-2</v>
      </c>
      <c r="G64" s="1">
        <f t="shared" si="66"/>
        <v>-10</v>
      </c>
      <c r="H64" s="6">
        <f t="shared" si="67"/>
        <v>-2.4382443996823153</v>
      </c>
      <c r="I64" s="6">
        <f t="shared" si="68"/>
        <v>-9.9022706611876554</v>
      </c>
      <c r="J64" s="6">
        <f t="shared" si="69"/>
        <v>22.682968671523767</v>
      </c>
      <c r="K64">
        <f t="shared" ca="1" si="70"/>
        <v>-2.4483080171386805E-2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469.36762934029491</v>
      </c>
      <c r="O64" s="6">
        <f t="shared" ca="1" si="74"/>
        <v>-115.57278454494175</v>
      </c>
      <c r="Q64">
        <f t="shared" si="75"/>
        <v>-2.4382443996823153</v>
      </c>
      <c r="R64">
        <f t="shared" si="76"/>
        <v>-9.9022706611876554</v>
      </c>
      <c r="BC64"/>
      <c r="BD64"/>
      <c r="BF64" s="6" t="e">
        <f t="shared" si="39"/>
        <v>#N/A</v>
      </c>
      <c r="BG64" s="6" t="e">
        <f t="shared" si="40"/>
        <v>#N/A</v>
      </c>
      <c r="BH64" s="6" t="e">
        <f t="shared" si="2"/>
        <v>#N/A</v>
      </c>
      <c r="BI64" s="6" t="e">
        <f t="shared" si="3"/>
        <v>#N/A</v>
      </c>
      <c r="BV64" s="38"/>
      <c r="BW64" s="6" t="e">
        <f t="shared" si="25"/>
        <v>#N/A</v>
      </c>
      <c r="BX64" s="9">
        <f t="shared" ca="1" si="26"/>
        <v>-156.7666765884093</v>
      </c>
      <c r="BY64" s="9">
        <f t="shared" ca="1" si="27"/>
        <v>84.412825855297342</v>
      </c>
      <c r="BZ64" s="9">
        <f t="shared" ca="1" si="28"/>
        <v>0</v>
      </c>
      <c r="CA64" s="6">
        <f t="shared" ca="1" si="29"/>
        <v>0</v>
      </c>
      <c r="CB64" s="6" t="e">
        <f t="shared" ca="1" si="30"/>
        <v>#DIV/0!</v>
      </c>
      <c r="CC64" s="6" t="e">
        <f t="shared" ca="1" si="31"/>
        <v>#DIV/0!</v>
      </c>
      <c r="CD64" s="9">
        <f t="shared" si="32"/>
        <v>-50</v>
      </c>
      <c r="CE64" s="9">
        <f t="shared" si="33"/>
        <v>0</v>
      </c>
      <c r="CF64" s="6">
        <f t="shared" si="34"/>
        <v>3.1415926535897931</v>
      </c>
      <c r="CG64" s="6"/>
      <c r="CH64" s="6"/>
      <c r="CI64" s="6"/>
      <c r="CJ64" s="1"/>
      <c r="CK64" s="6"/>
    </row>
    <row r="65" spans="1:89" x14ac:dyDescent="0.25">
      <c r="A65">
        <f t="shared" si="64"/>
        <v>4</v>
      </c>
      <c r="B65" s="1">
        <f t="shared" si="64"/>
        <v>8</v>
      </c>
      <c r="C65" s="1">
        <f t="shared" ca="1" si="64"/>
        <v>0.79</v>
      </c>
      <c r="D65" s="1">
        <f t="shared" si="64"/>
        <v>4</v>
      </c>
      <c r="E65" s="1">
        <f t="shared" si="64"/>
        <v>4</v>
      </c>
      <c r="F65" s="1">
        <f t="shared" si="65"/>
        <v>-2</v>
      </c>
      <c r="G65" s="1">
        <f t="shared" si="66"/>
        <v>-8</v>
      </c>
      <c r="H65" s="6">
        <f t="shared" si="67"/>
        <v>-2.3502078097890875</v>
      </c>
      <c r="I65" s="6">
        <f t="shared" si="68"/>
        <v>-7.9042092109714801</v>
      </c>
      <c r="J65" s="6">
        <f t="shared" si="69"/>
        <v>20.68490722130759</v>
      </c>
      <c r="K65">
        <f t="shared" ca="1" si="70"/>
        <v>-2.2062194095192278E-2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374.65951660004822</v>
      </c>
      <c r="O65" s="6">
        <f t="shared" ca="1" si="74"/>
        <v>-111.39985018400276</v>
      </c>
      <c r="Q65">
        <f t="shared" si="75"/>
        <v>-2.3502078097890875</v>
      </c>
      <c r="R65">
        <f t="shared" si="76"/>
        <v>-7.9042092109714801</v>
      </c>
      <c r="BC65"/>
      <c r="BD65"/>
      <c r="BF65" s="6" t="e">
        <f t="shared" si="39"/>
        <v>#N/A</v>
      </c>
      <c r="BG65" s="6" t="e">
        <f t="shared" si="40"/>
        <v>#N/A</v>
      </c>
      <c r="BH65" s="6" t="e">
        <f t="shared" si="2"/>
        <v>#N/A</v>
      </c>
      <c r="BI65" s="6" t="e">
        <f t="shared" si="3"/>
        <v>#N/A</v>
      </c>
      <c r="BV65" s="38"/>
      <c r="BW65" s="6" t="e">
        <f t="shared" si="25"/>
        <v>#N/A</v>
      </c>
      <c r="BX65" s="9">
        <f t="shared" ca="1" si="26"/>
        <v>-156.7666765884093</v>
      </c>
      <c r="BY65" s="9">
        <f t="shared" ca="1" si="27"/>
        <v>84.412825855297342</v>
      </c>
      <c r="BZ65" s="9">
        <f t="shared" ca="1" si="28"/>
        <v>0</v>
      </c>
      <c r="CA65" s="6">
        <f t="shared" ca="1" si="29"/>
        <v>0</v>
      </c>
      <c r="CB65" s="6" t="e">
        <f t="shared" ca="1" si="30"/>
        <v>#DIV/0!</v>
      </c>
      <c r="CC65" s="6" t="e">
        <f t="shared" ca="1" si="31"/>
        <v>#DIV/0!</v>
      </c>
      <c r="CD65" s="9">
        <f t="shared" si="32"/>
        <v>-50</v>
      </c>
      <c r="CE65" s="9">
        <f t="shared" si="33"/>
        <v>0</v>
      </c>
      <c r="CF65" s="6">
        <f t="shared" si="34"/>
        <v>3.1415926535897931</v>
      </c>
      <c r="CG65" s="6"/>
      <c r="CH65" s="6"/>
      <c r="CI65" s="6"/>
      <c r="CJ65" s="1"/>
      <c r="CK65" s="6"/>
    </row>
    <row r="66" spans="1:89" x14ac:dyDescent="0.25">
      <c r="A66">
        <f t="shared" si="64"/>
        <v>5</v>
      </c>
      <c r="B66" s="1">
        <f t="shared" si="64"/>
        <v>0</v>
      </c>
      <c r="C66" s="1">
        <f t="shared" ca="1" si="64"/>
        <v>0</v>
      </c>
      <c r="D66" s="1">
        <f t="shared" si="64"/>
        <v>6</v>
      </c>
      <c r="E66" s="1">
        <f t="shared" si="64"/>
        <v>2</v>
      </c>
      <c r="F66" s="1">
        <f t="shared" si="65"/>
        <v>0</v>
      </c>
      <c r="G66" s="1">
        <f t="shared" si="66"/>
        <v>-10</v>
      </c>
      <c r="H66" s="6">
        <f t="shared" si="67"/>
        <v>-0.44018294946613834</v>
      </c>
      <c r="I66" s="6">
        <f t="shared" si="68"/>
        <v>-9.9903072510808837</v>
      </c>
      <c r="J66" s="6">
        <f>IF(B66=0,0,$G$38-I66)</f>
        <v>0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BC66"/>
      <c r="BD66"/>
      <c r="BF66" s="6" t="e">
        <f t="shared" ref="BF66:BF97" si="77">IF(BC66&lt;&gt;"",IF(AND(BD66=0,BE66=0),0,MOD(ATAN2(BD66,BE66),2*PI())),NA())</f>
        <v>#N/A</v>
      </c>
      <c r="BG66" s="6" t="e">
        <f t="shared" ref="BG66:BG97" si="78">ABS(BC66-BF66)</f>
        <v>#N/A</v>
      </c>
      <c r="BH66" s="6" t="e">
        <f t="shared" si="2"/>
        <v>#N/A</v>
      </c>
      <c r="BI66" s="6" t="e">
        <f t="shared" si="3"/>
        <v>#N/A</v>
      </c>
      <c r="BV66" s="38"/>
      <c r="BW66" s="6" t="e">
        <f t="shared" si="25"/>
        <v>#N/A</v>
      </c>
      <c r="BX66" s="9">
        <f t="shared" ca="1" si="26"/>
        <v>-156.7666765884093</v>
      </c>
      <c r="BY66" s="9">
        <f t="shared" ca="1" si="27"/>
        <v>84.412825855297342</v>
      </c>
      <c r="BZ66" s="9">
        <f t="shared" ca="1" si="28"/>
        <v>0</v>
      </c>
      <c r="CA66" s="6">
        <f t="shared" ca="1" si="29"/>
        <v>0</v>
      </c>
      <c r="CB66" s="6" t="e">
        <f t="shared" ca="1" si="30"/>
        <v>#DIV/0!</v>
      </c>
      <c r="CC66" s="6" t="e">
        <f t="shared" ca="1" si="31"/>
        <v>#DIV/0!</v>
      </c>
      <c r="CD66" s="9">
        <f t="shared" si="32"/>
        <v>-50</v>
      </c>
      <c r="CE66" s="9">
        <f t="shared" si="33"/>
        <v>0</v>
      </c>
      <c r="CF66" s="6">
        <f t="shared" si="34"/>
        <v>3.1415926535897931</v>
      </c>
      <c r="CG66" s="6"/>
      <c r="CH66" s="6"/>
      <c r="CI66" s="6"/>
      <c r="CJ66" s="1"/>
      <c r="CK66" s="6"/>
    </row>
    <row r="67" spans="1:89" x14ac:dyDescent="0.25">
      <c r="A67">
        <f t="shared" si="64"/>
        <v>6</v>
      </c>
      <c r="B67" s="1">
        <f t="shared" si="64"/>
        <v>0</v>
      </c>
      <c r="C67" s="1">
        <f t="shared" ca="1" si="64"/>
        <v>0</v>
      </c>
      <c r="D67" s="1">
        <f t="shared" si="64"/>
        <v>0</v>
      </c>
      <c r="E67" s="1">
        <f t="shared" si="64"/>
        <v>8.66</v>
      </c>
      <c r="F67" s="1">
        <f t="shared" si="65"/>
        <v>-6</v>
      </c>
      <c r="G67" s="1">
        <f t="shared" si="66"/>
        <v>-3.34</v>
      </c>
      <c r="H67" s="6">
        <f t="shared" si="67"/>
        <v>-6.1412054557702209</v>
      </c>
      <c r="I67" s="6">
        <f t="shared" si="68"/>
        <v>-3.0726528521813323</v>
      </c>
      <c r="J67" s="6">
        <f t="shared" ref="J67:J71" si="79">IF(B67=0,0,$G$38-I67)</f>
        <v>0</v>
      </c>
      <c r="K67">
        <f t="shared" ca="1" si="70"/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BC67"/>
      <c r="BD67"/>
      <c r="BF67" s="6" t="e">
        <f t="shared" si="77"/>
        <v>#N/A</v>
      </c>
      <c r="BG67" s="6" t="e">
        <f t="shared" si="78"/>
        <v>#N/A</v>
      </c>
      <c r="BH67" s="6" t="e">
        <f t="shared" ref="BH67:BH130" si="80">ATAN2(COS($U$13-BF67),SIN($U$13-BF67))</f>
        <v>#N/A</v>
      </c>
      <c r="BI67" s="6" t="e">
        <f t="shared" ref="BI67:BI130" si="81">ABS(BH67)</f>
        <v>#N/A</v>
      </c>
      <c r="BV67" s="38"/>
      <c r="BW67" s="6" t="e">
        <f t="shared" si="25"/>
        <v>#N/A</v>
      </c>
      <c r="BX67" s="9">
        <f t="shared" ca="1" si="26"/>
        <v>-156.7666765884093</v>
      </c>
      <c r="BY67" s="9">
        <f t="shared" ca="1" si="27"/>
        <v>84.412825855297342</v>
      </c>
      <c r="BZ67" s="9">
        <f t="shared" ca="1" si="28"/>
        <v>0</v>
      </c>
      <c r="CA67" s="6">
        <f t="shared" ca="1" si="29"/>
        <v>0</v>
      </c>
      <c r="CB67" s="6" t="e">
        <f t="shared" ca="1" si="30"/>
        <v>#DIV/0!</v>
      </c>
      <c r="CC67" s="6" t="e">
        <f t="shared" ca="1" si="31"/>
        <v>#DIV/0!</v>
      </c>
      <c r="CD67" s="9">
        <f t="shared" si="32"/>
        <v>-50</v>
      </c>
      <c r="CE67" s="9">
        <f t="shared" si="33"/>
        <v>0</v>
      </c>
      <c r="CF67" s="6">
        <f t="shared" si="34"/>
        <v>3.1415926535897931</v>
      </c>
      <c r="CG67" s="6"/>
      <c r="CH67" s="6"/>
      <c r="CI67" s="6"/>
      <c r="CJ67" s="1"/>
      <c r="CK67" s="6"/>
    </row>
    <row r="68" spans="1:89" x14ac:dyDescent="0.25">
      <c r="A68">
        <f t="shared" si="64"/>
        <v>7</v>
      </c>
      <c r="B68" s="1">
        <f t="shared" si="64"/>
        <v>0</v>
      </c>
      <c r="C68" s="1">
        <f t="shared" ca="1" si="64"/>
        <v>0</v>
      </c>
      <c r="D68" s="1">
        <f t="shared" si="64"/>
        <v>2</v>
      </c>
      <c r="E68" s="1">
        <f t="shared" si="64"/>
        <v>22</v>
      </c>
      <c r="F68" s="1">
        <f t="shared" si="65"/>
        <v>-4</v>
      </c>
      <c r="G68" s="1">
        <f t="shared" si="66"/>
        <v>10</v>
      </c>
      <c r="H68" s="6">
        <f t="shared" si="67"/>
        <v>-3.5559399509662155</v>
      </c>
      <c r="I68" s="6">
        <f t="shared" si="68"/>
        <v>10.166380430867338</v>
      </c>
      <c r="J68" s="6">
        <f t="shared" si="79"/>
        <v>0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BC68"/>
      <c r="BD68"/>
      <c r="BF68" s="6" t="e">
        <f t="shared" si="77"/>
        <v>#N/A</v>
      </c>
      <c r="BG68" s="6" t="e">
        <f t="shared" si="78"/>
        <v>#N/A</v>
      </c>
      <c r="BH68" s="6" t="e">
        <f t="shared" si="80"/>
        <v>#N/A</v>
      </c>
      <c r="BI68" s="6" t="e">
        <f t="shared" si="81"/>
        <v>#N/A</v>
      </c>
      <c r="BV68" s="38"/>
      <c r="BW68" s="6" t="e">
        <f t="shared" si="25"/>
        <v>#N/A</v>
      </c>
      <c r="BX68" s="9">
        <f t="shared" ca="1" si="26"/>
        <v>-156.7666765884093</v>
      </c>
      <c r="BY68" s="9">
        <f t="shared" ca="1" si="27"/>
        <v>84.412825855297342</v>
      </c>
      <c r="BZ68" s="9">
        <f t="shared" ca="1" si="28"/>
        <v>0</v>
      </c>
      <c r="CA68" s="6">
        <f t="shared" ca="1" si="29"/>
        <v>0</v>
      </c>
      <c r="CB68" s="6" t="e">
        <f t="shared" ca="1" si="30"/>
        <v>#DIV/0!</v>
      </c>
      <c r="CC68" s="6" t="e">
        <f t="shared" ca="1" si="31"/>
        <v>#DIV/0!</v>
      </c>
      <c r="CD68" s="9">
        <f t="shared" si="32"/>
        <v>-50</v>
      </c>
      <c r="CE68" s="9">
        <f t="shared" si="33"/>
        <v>0</v>
      </c>
      <c r="CF68" s="6">
        <f t="shared" si="34"/>
        <v>3.1415926535897931</v>
      </c>
      <c r="CG68" s="6"/>
      <c r="CH68" s="6"/>
      <c r="CI68" s="6"/>
      <c r="CJ68" s="1"/>
      <c r="CK68" s="6"/>
    </row>
    <row r="69" spans="1:89" x14ac:dyDescent="0.25">
      <c r="A69">
        <f t="shared" si="64"/>
        <v>8</v>
      </c>
      <c r="B69" s="1">
        <f t="shared" si="64"/>
        <v>0</v>
      </c>
      <c r="C69" s="1">
        <f t="shared" ca="1" si="64"/>
        <v>0</v>
      </c>
      <c r="D69" s="1">
        <f t="shared" si="64"/>
        <v>10</v>
      </c>
      <c r="E69" s="1">
        <f t="shared" si="64"/>
        <v>22</v>
      </c>
      <c r="F69" s="1">
        <f t="shared" si="65"/>
        <v>4</v>
      </c>
      <c r="G69" s="1">
        <f t="shared" si="66"/>
        <v>10</v>
      </c>
      <c r="H69" s="6">
        <f t="shared" si="67"/>
        <v>4.436305849898492</v>
      </c>
      <c r="I69" s="6">
        <f t="shared" si="68"/>
        <v>9.8142340712944289</v>
      </c>
      <c r="J69" s="6">
        <f t="shared" si="79"/>
        <v>0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BC69"/>
      <c r="BD69"/>
      <c r="BF69" s="6" t="e">
        <f t="shared" si="77"/>
        <v>#N/A</v>
      </c>
      <c r="BG69" s="6" t="e">
        <f t="shared" si="78"/>
        <v>#N/A</v>
      </c>
      <c r="BH69" s="6" t="e">
        <f t="shared" si="80"/>
        <v>#N/A</v>
      </c>
      <c r="BI69" s="6" t="e">
        <f t="shared" si="81"/>
        <v>#N/A</v>
      </c>
      <c r="BV69" s="38"/>
      <c r="BW69" s="6" t="e">
        <f t="shared" si="25"/>
        <v>#N/A</v>
      </c>
      <c r="BX69" s="9">
        <f t="shared" ca="1" si="26"/>
        <v>-156.7666765884093</v>
      </c>
      <c r="BY69" s="9">
        <f t="shared" ca="1" si="27"/>
        <v>84.412825855297342</v>
      </c>
      <c r="BZ69" s="9">
        <f t="shared" ca="1" si="28"/>
        <v>0</v>
      </c>
      <c r="CA69" s="6">
        <f t="shared" ca="1" si="29"/>
        <v>0</v>
      </c>
      <c r="CB69" s="6" t="e">
        <f t="shared" ca="1" si="30"/>
        <v>#DIV/0!</v>
      </c>
      <c r="CC69" s="6" t="e">
        <f t="shared" ca="1" si="31"/>
        <v>#DIV/0!</v>
      </c>
      <c r="CD69" s="9">
        <f t="shared" si="32"/>
        <v>-50</v>
      </c>
      <c r="CE69" s="9">
        <f t="shared" si="33"/>
        <v>0</v>
      </c>
      <c r="CF69" s="6">
        <f t="shared" si="34"/>
        <v>3.1415926535897931</v>
      </c>
      <c r="CG69" s="6"/>
      <c r="CH69" s="6"/>
      <c r="CI69" s="6"/>
      <c r="CJ69" s="1"/>
      <c r="CK69" s="6"/>
    </row>
    <row r="70" spans="1:89" x14ac:dyDescent="0.25">
      <c r="A70">
        <f t="shared" si="64"/>
        <v>9</v>
      </c>
      <c r="B70" s="1">
        <f t="shared" si="64"/>
        <v>0</v>
      </c>
      <c r="C70" s="1">
        <f t="shared" ca="1" si="64"/>
        <v>0</v>
      </c>
      <c r="D70" s="1">
        <f t="shared" si="64"/>
        <v>2</v>
      </c>
      <c r="E70" s="1">
        <f t="shared" si="64"/>
        <v>2</v>
      </c>
      <c r="F70" s="1">
        <f t="shared" si="65"/>
        <v>-4</v>
      </c>
      <c r="G70" s="1">
        <f t="shared" si="66"/>
        <v>-10</v>
      </c>
      <c r="H70" s="6">
        <f t="shared" si="67"/>
        <v>-4.436305849898492</v>
      </c>
      <c r="I70" s="6">
        <f t="shared" si="68"/>
        <v>-9.8142340712944289</v>
      </c>
      <c r="J70" s="6">
        <f t="shared" si="79"/>
        <v>0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BC70"/>
      <c r="BD70"/>
      <c r="BF70" s="6" t="e">
        <f t="shared" si="77"/>
        <v>#N/A</v>
      </c>
      <c r="BG70" s="6" t="e">
        <f t="shared" si="78"/>
        <v>#N/A</v>
      </c>
      <c r="BH70" s="6" t="e">
        <f t="shared" si="80"/>
        <v>#N/A</v>
      </c>
      <c r="BI70" s="6" t="e">
        <f t="shared" si="81"/>
        <v>#N/A</v>
      </c>
      <c r="BV70" s="38"/>
      <c r="BW70" s="6" t="e">
        <f t="shared" si="25"/>
        <v>#N/A</v>
      </c>
      <c r="BX70" s="9">
        <f t="shared" ca="1" si="26"/>
        <v>-156.7666765884093</v>
      </c>
      <c r="BY70" s="9">
        <f t="shared" ca="1" si="27"/>
        <v>84.412825855297342</v>
      </c>
      <c r="BZ70" s="9">
        <f t="shared" ca="1" si="28"/>
        <v>0</v>
      </c>
      <c r="CA70" s="6">
        <f t="shared" ca="1" si="29"/>
        <v>0</v>
      </c>
      <c r="CB70" s="6" t="e">
        <f t="shared" ca="1" si="30"/>
        <v>#DIV/0!</v>
      </c>
      <c r="CC70" s="6" t="e">
        <f t="shared" ca="1" si="31"/>
        <v>#DIV/0!</v>
      </c>
      <c r="CD70" s="9">
        <f t="shared" si="32"/>
        <v>-50</v>
      </c>
      <c r="CE70" s="9">
        <f t="shared" si="33"/>
        <v>0</v>
      </c>
      <c r="CF70" s="6">
        <f t="shared" si="34"/>
        <v>3.1415926535897931</v>
      </c>
      <c r="CG70" s="6"/>
      <c r="CH70" s="6"/>
      <c r="CI70" s="6"/>
      <c r="CJ70" s="1"/>
      <c r="CK70" s="6"/>
    </row>
    <row r="71" spans="1:89" ht="15.75" thickBot="1" x14ac:dyDescent="0.3">
      <c r="A71">
        <f t="shared" si="64"/>
        <v>10</v>
      </c>
      <c r="B71" s="1">
        <f t="shared" si="64"/>
        <v>0</v>
      </c>
      <c r="C71" s="1">
        <f t="shared" ca="1" si="64"/>
        <v>0</v>
      </c>
      <c r="D71" s="1">
        <f t="shared" si="64"/>
        <v>10</v>
      </c>
      <c r="E71" s="1">
        <f t="shared" si="64"/>
        <v>2</v>
      </c>
      <c r="F71" s="1">
        <f t="shared" si="65"/>
        <v>4</v>
      </c>
      <c r="G71" s="1">
        <f t="shared" si="66"/>
        <v>-10</v>
      </c>
      <c r="H71" s="6">
        <f t="shared" si="67"/>
        <v>3.5559399509662155</v>
      </c>
      <c r="I71" s="6">
        <f t="shared" si="68"/>
        <v>-10.166380430867338</v>
      </c>
      <c r="J71" s="6">
        <f t="shared" si="79"/>
        <v>0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BC71"/>
      <c r="BD71"/>
      <c r="BF71" s="6" t="e">
        <f t="shared" si="77"/>
        <v>#N/A</v>
      </c>
      <c r="BG71" s="6" t="e">
        <f t="shared" si="78"/>
        <v>#N/A</v>
      </c>
      <c r="BH71" s="6" t="e">
        <f t="shared" si="80"/>
        <v>#N/A</v>
      </c>
      <c r="BI71" s="6" t="e">
        <f t="shared" si="81"/>
        <v>#N/A</v>
      </c>
      <c r="BV71" s="38"/>
      <c r="BW71" s="6" t="e">
        <f t="shared" si="25"/>
        <v>#N/A</v>
      </c>
      <c r="BX71" s="9">
        <f t="shared" ca="1" si="26"/>
        <v>-156.7666765884093</v>
      </c>
      <c r="BY71" s="9">
        <f t="shared" ca="1" si="27"/>
        <v>84.412825855297342</v>
      </c>
      <c r="BZ71" s="9">
        <f t="shared" ca="1" si="28"/>
        <v>0</v>
      </c>
      <c r="CA71" s="6">
        <f t="shared" ca="1" si="29"/>
        <v>0</v>
      </c>
      <c r="CB71" s="6" t="e">
        <f t="shared" ca="1" si="30"/>
        <v>#DIV/0!</v>
      </c>
      <c r="CC71" s="6" t="e">
        <f t="shared" ca="1" si="31"/>
        <v>#DIV/0!</v>
      </c>
      <c r="CD71" s="9">
        <f t="shared" si="32"/>
        <v>-50</v>
      </c>
      <c r="CE71" s="9">
        <f t="shared" si="33"/>
        <v>0</v>
      </c>
      <c r="CF71" s="6">
        <f t="shared" si="34"/>
        <v>3.1415926535897931</v>
      </c>
      <c r="CG71" s="6"/>
      <c r="CH71" s="6"/>
      <c r="CI71" s="6"/>
      <c r="CJ71" s="1"/>
      <c r="CK71" s="6"/>
    </row>
    <row r="72" spans="1:89" ht="15.75" thickTop="1" x14ac:dyDescent="0.25">
      <c r="J72" s="6">
        <f>MAX(J62:J71)</f>
        <v>22.682968671523767</v>
      </c>
      <c r="K72" s="13">
        <f ca="1">MIN(K62:K71)</f>
        <v>-2.4483080171386805E-2</v>
      </c>
      <c r="L72">
        <f t="shared" ca="1" si="71"/>
        <v>-60</v>
      </c>
      <c r="M72" s="6">
        <f ca="1">SUM(M62:M71)</f>
        <v>-189.60000000000002</v>
      </c>
      <c r="N72" s="6">
        <f ca="1">SUM(N62:N71)</f>
        <v>1679.708423158808</v>
      </c>
      <c r="O72" s="6">
        <f ca="1">SUM(O62:O71)</f>
        <v>-643.36149493838263</v>
      </c>
      <c r="BC72"/>
      <c r="BD72"/>
      <c r="BF72" s="6" t="e">
        <f t="shared" si="77"/>
        <v>#N/A</v>
      </c>
      <c r="BG72" s="6" t="e">
        <f t="shared" si="78"/>
        <v>#N/A</v>
      </c>
      <c r="BH72" s="6" t="e">
        <f t="shared" si="80"/>
        <v>#N/A</v>
      </c>
      <c r="BI72" s="6" t="e">
        <f t="shared" si="81"/>
        <v>#N/A</v>
      </c>
      <c r="BV72" s="38"/>
      <c r="BW72" s="6" t="e">
        <f t="shared" si="25"/>
        <v>#N/A</v>
      </c>
      <c r="BX72" s="9">
        <f t="shared" ca="1" si="26"/>
        <v>-156.7666765884093</v>
      </c>
      <c r="BY72" s="9">
        <f t="shared" ca="1" si="27"/>
        <v>84.412825855297342</v>
      </c>
      <c r="BZ72" s="9">
        <f t="shared" ca="1" si="28"/>
        <v>0</v>
      </c>
      <c r="CA72" s="6">
        <f t="shared" ca="1" si="29"/>
        <v>0</v>
      </c>
      <c r="CB72" s="6" t="e">
        <f t="shared" ca="1" si="30"/>
        <v>#DIV/0!</v>
      </c>
      <c r="CC72" s="6" t="e">
        <f t="shared" ca="1" si="31"/>
        <v>#DIV/0!</v>
      </c>
      <c r="CD72" s="9">
        <f t="shared" si="32"/>
        <v>-50</v>
      </c>
      <c r="CE72" s="9">
        <f t="shared" si="33"/>
        <v>0</v>
      </c>
      <c r="CF72" s="6">
        <f t="shared" si="34"/>
        <v>3.1415926535897931</v>
      </c>
      <c r="CG72" s="6"/>
      <c r="CH72" s="6"/>
      <c r="CI72" s="6"/>
      <c r="CJ72" s="1"/>
      <c r="CK72" s="6"/>
    </row>
    <row r="73" spans="1:89" x14ac:dyDescent="0.25">
      <c r="M73" s="1"/>
      <c r="N73" s="46">
        <f ca="1">N72/M72</f>
        <v>-8.8592216411329527</v>
      </c>
      <c r="O73" s="46">
        <f ca="1">-1*O72/M72</f>
        <v>-3.3932568298437897</v>
      </c>
      <c r="R73">
        <f ca="1">(O73*COS(-1*$B$27))+(N73*SIN(-1*$B$27))+$I$2</f>
        <v>2.9999999999999996</v>
      </c>
      <c r="S73">
        <f ca="1">(-1*O73*SIN(-1*$B$27))+(N73*COS(-1*$B$27))+$I$3</f>
        <v>3</v>
      </c>
      <c r="BC73"/>
      <c r="BD73"/>
      <c r="BF73" s="6" t="e">
        <f t="shared" si="77"/>
        <v>#N/A</v>
      </c>
      <c r="BG73" s="6" t="e">
        <f t="shared" si="78"/>
        <v>#N/A</v>
      </c>
      <c r="BH73" s="6" t="e">
        <f t="shared" si="80"/>
        <v>#N/A</v>
      </c>
      <c r="BI73" s="6" t="e">
        <f t="shared" si="81"/>
        <v>#N/A</v>
      </c>
      <c r="BV73" s="38"/>
      <c r="BW73" s="6" t="e">
        <f t="shared" si="25"/>
        <v>#N/A</v>
      </c>
      <c r="BX73" s="9">
        <f t="shared" ca="1" si="26"/>
        <v>-156.7666765884093</v>
      </c>
      <c r="BY73" s="9">
        <f t="shared" ca="1" si="27"/>
        <v>84.412825855297342</v>
      </c>
      <c r="BZ73" s="9">
        <f t="shared" ca="1" si="28"/>
        <v>0</v>
      </c>
      <c r="CA73" s="6">
        <f t="shared" ca="1" si="29"/>
        <v>0</v>
      </c>
      <c r="CB73" s="6" t="e">
        <f t="shared" ca="1" si="30"/>
        <v>#DIV/0!</v>
      </c>
      <c r="CC73" s="6" t="e">
        <f t="shared" ca="1" si="31"/>
        <v>#DIV/0!</v>
      </c>
      <c r="CD73" s="9">
        <f t="shared" si="32"/>
        <v>-50</v>
      </c>
      <c r="CE73" s="9">
        <f t="shared" si="33"/>
        <v>0</v>
      </c>
      <c r="CF73" s="6">
        <f t="shared" si="34"/>
        <v>3.1415926535897931</v>
      </c>
      <c r="CG73" s="6"/>
      <c r="CH73" s="6"/>
      <c r="CI73" s="6"/>
      <c r="CJ73" s="1"/>
      <c r="CK73" s="6"/>
    </row>
    <row r="74" spans="1:89" x14ac:dyDescent="0.25">
      <c r="BC74"/>
      <c r="BD74"/>
      <c r="BF74" s="6" t="e">
        <f t="shared" si="77"/>
        <v>#N/A</v>
      </c>
      <c r="BG74" s="6" t="e">
        <f t="shared" si="78"/>
        <v>#N/A</v>
      </c>
      <c r="BH74" s="6" t="e">
        <f t="shared" si="80"/>
        <v>#N/A</v>
      </c>
      <c r="BI74" s="6" t="e">
        <f t="shared" si="81"/>
        <v>#N/A</v>
      </c>
      <c r="BV74" s="38"/>
      <c r="BW74" s="6" t="e">
        <f t="shared" si="25"/>
        <v>#N/A</v>
      </c>
      <c r="BX74" s="9">
        <f t="shared" ca="1" si="26"/>
        <v>-156.7666765884093</v>
      </c>
      <c r="BY74" s="9">
        <f t="shared" ca="1" si="27"/>
        <v>84.412825855297342</v>
      </c>
      <c r="BZ74" s="9">
        <f t="shared" ca="1" si="28"/>
        <v>0</v>
      </c>
      <c r="CA74" s="6">
        <f t="shared" ca="1" si="29"/>
        <v>0</v>
      </c>
      <c r="CB74" s="6" t="e">
        <f t="shared" ca="1" si="30"/>
        <v>#DIV/0!</v>
      </c>
      <c r="CC74" s="6" t="e">
        <f t="shared" ca="1" si="31"/>
        <v>#DIV/0!</v>
      </c>
      <c r="CD74" s="9">
        <f t="shared" si="32"/>
        <v>-50</v>
      </c>
      <c r="CE74" s="9">
        <f t="shared" si="33"/>
        <v>0</v>
      </c>
      <c r="CF74" s="6">
        <f t="shared" si="34"/>
        <v>3.1415926535897931</v>
      </c>
      <c r="CG74" s="6"/>
      <c r="CH74" s="6"/>
      <c r="CI74" s="6"/>
      <c r="CJ74" s="1"/>
      <c r="CK74" s="6"/>
    </row>
    <row r="75" spans="1:89" x14ac:dyDescent="0.25">
      <c r="A75" s="8" t="s">
        <v>63</v>
      </c>
      <c r="B75" s="9">
        <f ca="1">N57+M72</f>
        <v>-1.7905676941154525E-11</v>
      </c>
      <c r="C75" t="s">
        <v>68</v>
      </c>
      <c r="E75">
        <f>((O59*COS(-1*B27))+(P59*SIN(-1*B27)))</f>
        <v>179.15754248470074</v>
      </c>
      <c r="F75">
        <f>(-1*(O59)*SIN(-1*B27))+((P59)*COS(-1*B27))</f>
        <v>47.399999976017213</v>
      </c>
      <c r="R75" t="str">
        <f ca="1">"Ts = "&amp;ROUND(M72,4)&amp;" "&amp;V10&amp;CHAR(10)&amp;" @ ( "&amp;ROUND(R73,4)&amp;" , "&amp;ROUND(S73,4)&amp;" )"</f>
        <v>Ts = -189.6 kips
 @ ( 3 , 3 )</v>
      </c>
      <c r="BC75"/>
      <c r="BD75"/>
      <c r="BF75" s="6" t="e">
        <f t="shared" si="77"/>
        <v>#N/A</v>
      </c>
      <c r="BG75" s="6" t="e">
        <f t="shared" si="78"/>
        <v>#N/A</v>
      </c>
      <c r="BH75" s="6" t="e">
        <f t="shared" si="80"/>
        <v>#N/A</v>
      </c>
      <c r="BI75" s="6" t="e">
        <f t="shared" si="81"/>
        <v>#N/A</v>
      </c>
      <c r="BV75" s="38"/>
      <c r="BW75" s="6" t="e">
        <f t="shared" si="25"/>
        <v>#N/A</v>
      </c>
      <c r="BX75" s="9">
        <f t="shared" ca="1" si="26"/>
        <v>-156.7666765884093</v>
      </c>
      <c r="BY75" s="9">
        <f t="shared" ca="1" si="27"/>
        <v>84.412825855297342</v>
      </c>
      <c r="BZ75" s="9">
        <f t="shared" ca="1" si="28"/>
        <v>0</v>
      </c>
      <c r="CA75" s="6">
        <f t="shared" ca="1" si="29"/>
        <v>0</v>
      </c>
      <c r="CB75" s="6" t="e">
        <f t="shared" ca="1" si="30"/>
        <v>#DIV/0!</v>
      </c>
      <c r="CC75" s="6" t="e">
        <f t="shared" ca="1" si="31"/>
        <v>#DIV/0!</v>
      </c>
      <c r="CD75" s="9">
        <f t="shared" si="32"/>
        <v>-50</v>
      </c>
      <c r="CE75" s="9">
        <f t="shared" si="33"/>
        <v>0</v>
      </c>
      <c r="CF75" s="6">
        <f t="shared" si="34"/>
        <v>3.1415926535897931</v>
      </c>
      <c r="CG75" s="6"/>
      <c r="CH75" s="6"/>
      <c r="CI75" s="6"/>
      <c r="CJ75" s="1"/>
      <c r="CK75" s="6"/>
    </row>
    <row r="76" spans="1:89" x14ac:dyDescent="0.25">
      <c r="A76" s="8" t="s">
        <v>66</v>
      </c>
      <c r="B76" s="9">
        <f ca="1">O57+N72</f>
        <v>3852.5527042366584</v>
      </c>
      <c r="C76" t="s">
        <v>69</v>
      </c>
      <c r="E76">
        <f ca="1">((N73*COS(-1*B27))+(O73*SIN(-1*B27)))</f>
        <v>-8.7012692400686475</v>
      </c>
      <c r="F76">
        <f ca="1">(-1*(N73)*SIN(-1*B27))+((O73)*COS(-1*B27))</f>
        <v>-3.7799356623936293</v>
      </c>
      <c r="BC76"/>
      <c r="BD76"/>
      <c r="BF76" s="6" t="e">
        <f t="shared" si="77"/>
        <v>#N/A</v>
      </c>
      <c r="BG76" s="6" t="e">
        <f t="shared" si="78"/>
        <v>#N/A</v>
      </c>
      <c r="BH76" s="6" t="e">
        <f t="shared" si="80"/>
        <v>#N/A</v>
      </c>
      <c r="BI76" s="6" t="e">
        <f t="shared" si="81"/>
        <v>#N/A</v>
      </c>
      <c r="BV76" s="38"/>
      <c r="BW76" s="6" t="e">
        <f t="shared" si="25"/>
        <v>#N/A</v>
      </c>
      <c r="BX76" s="9">
        <f t="shared" ca="1" si="26"/>
        <v>-156.7666765884093</v>
      </c>
      <c r="BY76" s="9">
        <f t="shared" ca="1" si="27"/>
        <v>84.412825855297342</v>
      </c>
      <c r="BZ76" s="9">
        <f t="shared" ca="1" si="28"/>
        <v>0</v>
      </c>
      <c r="CA76" s="6">
        <f t="shared" ca="1" si="29"/>
        <v>0</v>
      </c>
      <c r="CB76" s="6" t="e">
        <f t="shared" ca="1" si="30"/>
        <v>#DIV/0!</v>
      </c>
      <c r="CC76" s="6" t="e">
        <f t="shared" ca="1" si="31"/>
        <v>#DIV/0!</v>
      </c>
      <c r="CD76" s="9">
        <f t="shared" si="32"/>
        <v>-50</v>
      </c>
      <c r="CE76" s="9">
        <f t="shared" si="33"/>
        <v>0</v>
      </c>
      <c r="CF76" s="6">
        <f t="shared" si="34"/>
        <v>3.1415926535897931</v>
      </c>
      <c r="CG76" s="6"/>
      <c r="CH76" s="6"/>
      <c r="CI76" s="6"/>
      <c r="CJ76" s="1"/>
      <c r="CK76" s="6"/>
    </row>
    <row r="77" spans="1:89" x14ac:dyDescent="0.25">
      <c r="A77" s="8" t="s">
        <v>67</v>
      </c>
      <c r="B77" s="9">
        <f ca="1">P57+O72</f>
        <v>-169.74733334844109</v>
      </c>
      <c r="C77" t="s">
        <v>69</v>
      </c>
      <c r="BC77"/>
      <c r="BD77"/>
      <c r="BF77" s="6" t="e">
        <f t="shared" si="77"/>
        <v>#N/A</v>
      </c>
      <c r="BG77" s="6" t="e">
        <f t="shared" si="78"/>
        <v>#N/A</v>
      </c>
      <c r="BH77" s="6" t="e">
        <f t="shared" si="80"/>
        <v>#N/A</v>
      </c>
      <c r="BI77" s="6" t="e">
        <f t="shared" si="81"/>
        <v>#N/A</v>
      </c>
      <c r="BV77" s="38"/>
      <c r="BW77" s="6" t="e">
        <f t="shared" si="25"/>
        <v>#N/A</v>
      </c>
      <c r="BX77" s="9">
        <f t="shared" ca="1" si="26"/>
        <v>-156.7666765884093</v>
      </c>
      <c r="BY77" s="9">
        <f t="shared" ca="1" si="27"/>
        <v>84.412825855297342</v>
      </c>
      <c r="BZ77" s="9">
        <f t="shared" ca="1" si="28"/>
        <v>0</v>
      </c>
      <c r="CA77" s="6">
        <f t="shared" ca="1" si="29"/>
        <v>0</v>
      </c>
      <c r="CB77" s="6" t="e">
        <f t="shared" ca="1" si="30"/>
        <v>#DIV/0!</v>
      </c>
      <c r="CC77" s="6" t="e">
        <f t="shared" ca="1" si="31"/>
        <v>#DIV/0!</v>
      </c>
      <c r="CD77" s="9">
        <f t="shared" si="32"/>
        <v>-50</v>
      </c>
      <c r="CE77" s="9">
        <f t="shared" si="33"/>
        <v>0</v>
      </c>
      <c r="CF77" s="6">
        <f t="shared" si="34"/>
        <v>3.1415926535897931</v>
      </c>
      <c r="CG77" s="6"/>
      <c r="CH77" s="6"/>
      <c r="CI77" s="6"/>
      <c r="CJ77" s="1"/>
      <c r="CK77" s="6"/>
    </row>
    <row r="78" spans="1:89" x14ac:dyDescent="0.25">
      <c r="BC78"/>
      <c r="BD78"/>
      <c r="BF78" s="6" t="e">
        <f t="shared" si="77"/>
        <v>#N/A</v>
      </c>
      <c r="BG78" s="6" t="e">
        <f t="shared" si="78"/>
        <v>#N/A</v>
      </c>
      <c r="BH78" s="6" t="e">
        <f t="shared" si="80"/>
        <v>#N/A</v>
      </c>
      <c r="BI78" s="6" t="e">
        <f t="shared" si="81"/>
        <v>#N/A</v>
      </c>
      <c r="BV78" s="38"/>
      <c r="BW78" s="6" t="e">
        <f t="shared" si="25"/>
        <v>#N/A</v>
      </c>
      <c r="BX78" s="9">
        <f t="shared" ca="1" si="26"/>
        <v>-156.7666765884093</v>
      </c>
      <c r="BY78" s="9">
        <f t="shared" ca="1" si="27"/>
        <v>84.412825855297342</v>
      </c>
      <c r="BZ78" s="9">
        <f t="shared" ca="1" si="28"/>
        <v>0</v>
      </c>
      <c r="CA78" s="6">
        <f t="shared" ca="1" si="29"/>
        <v>0</v>
      </c>
      <c r="CB78" s="6" t="e">
        <f t="shared" ca="1" si="30"/>
        <v>#DIV/0!</v>
      </c>
      <c r="CC78" s="6" t="e">
        <f t="shared" ca="1" si="31"/>
        <v>#DIV/0!</v>
      </c>
      <c r="CD78" s="9">
        <f t="shared" si="32"/>
        <v>-50</v>
      </c>
      <c r="CE78" s="9">
        <f t="shared" si="33"/>
        <v>0</v>
      </c>
      <c r="CF78" s="6">
        <f t="shared" si="34"/>
        <v>3.1415926535897931</v>
      </c>
      <c r="CG78" s="6"/>
      <c r="CH78" s="6"/>
      <c r="CI78" s="6"/>
      <c r="CJ78" s="1"/>
      <c r="CK78" s="6"/>
    </row>
    <row r="79" spans="1:89" x14ac:dyDescent="0.25">
      <c r="A79" s="8" t="s">
        <v>64</v>
      </c>
      <c r="B79">
        <f ca="1">((B76*COS(-1*B27))+(B77*SIN(-1*B27)))</f>
        <v>3856.2905098164088</v>
      </c>
      <c r="C79" t="s">
        <v>69</v>
      </c>
      <c r="BC79"/>
      <c r="BD79"/>
      <c r="BF79" s="6" t="e">
        <f t="shared" si="77"/>
        <v>#N/A</v>
      </c>
      <c r="BG79" s="6" t="e">
        <f t="shared" si="78"/>
        <v>#N/A</v>
      </c>
      <c r="BH79" s="6" t="e">
        <f t="shared" si="80"/>
        <v>#N/A</v>
      </c>
      <c r="BI79" s="6" t="e">
        <f t="shared" si="81"/>
        <v>#N/A</v>
      </c>
      <c r="BV79" s="38"/>
      <c r="BW79" s="6" t="e">
        <f t="shared" si="25"/>
        <v>#N/A</v>
      </c>
      <c r="BX79" s="9">
        <f t="shared" ca="1" si="26"/>
        <v>-156.7666765884093</v>
      </c>
      <c r="BY79" s="9">
        <f t="shared" ca="1" si="27"/>
        <v>84.412825855297342</v>
      </c>
      <c r="BZ79" s="9">
        <f t="shared" ca="1" si="28"/>
        <v>0</v>
      </c>
      <c r="CA79" s="6">
        <f t="shared" ca="1" si="29"/>
        <v>0</v>
      </c>
      <c r="CB79" s="6" t="e">
        <f t="shared" ca="1" si="30"/>
        <v>#DIV/0!</v>
      </c>
      <c r="CC79" s="6" t="e">
        <f t="shared" ca="1" si="31"/>
        <v>#DIV/0!</v>
      </c>
      <c r="CD79" s="9">
        <f t="shared" si="32"/>
        <v>-50</v>
      </c>
      <c r="CE79" s="9">
        <f t="shared" si="33"/>
        <v>0</v>
      </c>
      <c r="CF79" s="6">
        <f t="shared" si="34"/>
        <v>3.1415926535897931</v>
      </c>
      <c r="CG79" s="6"/>
      <c r="CH79" s="6"/>
      <c r="CI79" s="6"/>
      <c r="CJ79" s="1"/>
      <c r="CK79" s="6"/>
    </row>
    <row r="80" spans="1:89" x14ac:dyDescent="0.25">
      <c r="A80" s="8" t="s">
        <v>65</v>
      </c>
      <c r="B80">
        <f ca="1">(-1*(B76)*SIN(-1*B27))+((B77)*COS(-1*B27))</f>
        <v>-2.8779354011021496E-7</v>
      </c>
      <c r="C80" t="s">
        <v>69</v>
      </c>
      <c r="BC80"/>
      <c r="BD80"/>
      <c r="BF80" s="6" t="e">
        <f t="shared" si="77"/>
        <v>#N/A</v>
      </c>
      <c r="BG80" s="6" t="e">
        <f t="shared" si="78"/>
        <v>#N/A</v>
      </c>
      <c r="BH80" s="6" t="e">
        <f t="shared" si="80"/>
        <v>#N/A</v>
      </c>
      <c r="BI80" s="6" t="e">
        <f t="shared" si="81"/>
        <v>#N/A</v>
      </c>
      <c r="BV80" s="38"/>
      <c r="BW80" s="6" t="e">
        <f t="shared" ref="BW80:BW143" si="82">IF(BC67="",NA(),BC67)</f>
        <v>#N/A</v>
      </c>
      <c r="BX80" s="9">
        <f t="shared" ref="BX80:BX143" ca="1" si="83">BD67-$BW$5</f>
        <v>-156.7666765884093</v>
      </c>
      <c r="BY80" s="9">
        <f t="shared" ref="BY80:BY143" ca="1" si="84">BE67-$BX$5</f>
        <v>84.412825855297342</v>
      </c>
      <c r="BZ80" s="9">
        <f t="shared" ref="BZ80:BZ143" ca="1" si="85">BX80-$CE$5</f>
        <v>0</v>
      </c>
      <c r="CA80" s="6">
        <f t="shared" ref="CA80:CA143" ca="1" si="86">BY80-$CF$5</f>
        <v>0</v>
      </c>
      <c r="CB80" s="6" t="e">
        <f t="shared" ref="CB80:CB143" ca="1" si="87">ATAN2(BZ80,CA80)</f>
        <v>#DIV/0!</v>
      </c>
      <c r="CC80" s="6" t="e">
        <f t="shared" ref="CC80:CC143" ca="1" si="88">ATAN2(COS(CF80-CB80),SIN(CF80-CB80))*10</f>
        <v>#DIV/0!</v>
      </c>
      <c r="CD80" s="9">
        <f t="shared" ref="CD80:CD143" si="89">BD67-$BW$6</f>
        <v>-50</v>
      </c>
      <c r="CE80" s="9">
        <f t="shared" ref="CE80:CE143" si="90">BE67-$BX$6</f>
        <v>0</v>
      </c>
      <c r="CF80" s="6">
        <f t="shared" ref="CF80:CF143" si="91">ATAN2(CD80,CE80)</f>
        <v>3.1415926535897931</v>
      </c>
      <c r="CG80" s="6"/>
      <c r="CH80" s="6"/>
      <c r="CI80" s="6"/>
      <c r="CJ80" s="1"/>
      <c r="CK80" s="6"/>
    </row>
    <row r="81" spans="1:89" x14ac:dyDescent="0.25">
      <c r="BC81"/>
      <c r="BD81"/>
      <c r="BF81" s="6" t="e">
        <f t="shared" si="77"/>
        <v>#N/A</v>
      </c>
      <c r="BG81" s="6" t="e">
        <f t="shared" si="78"/>
        <v>#N/A</v>
      </c>
      <c r="BH81" s="6" t="e">
        <f t="shared" si="80"/>
        <v>#N/A</v>
      </c>
      <c r="BI81" s="6" t="e">
        <f t="shared" si="81"/>
        <v>#N/A</v>
      </c>
      <c r="BV81" s="38"/>
      <c r="BW81" s="6" t="e">
        <f t="shared" si="82"/>
        <v>#N/A</v>
      </c>
      <c r="BX81" s="9">
        <f t="shared" ca="1" si="83"/>
        <v>-156.7666765884093</v>
      </c>
      <c r="BY81" s="9">
        <f t="shared" ca="1" si="84"/>
        <v>84.412825855297342</v>
      </c>
      <c r="BZ81" s="9">
        <f t="shared" ca="1" si="85"/>
        <v>0</v>
      </c>
      <c r="CA81" s="6">
        <f t="shared" ca="1" si="86"/>
        <v>0</v>
      </c>
      <c r="CB81" s="6" t="e">
        <f t="shared" ca="1" si="87"/>
        <v>#DIV/0!</v>
      </c>
      <c r="CC81" s="6" t="e">
        <f t="shared" ca="1" si="88"/>
        <v>#DIV/0!</v>
      </c>
      <c r="CD81" s="9">
        <f t="shared" si="89"/>
        <v>-50</v>
      </c>
      <c r="CE81" s="9">
        <f t="shared" si="90"/>
        <v>0</v>
      </c>
      <c r="CF81" s="6">
        <f t="shared" si="91"/>
        <v>3.1415926535897931</v>
      </c>
      <c r="CG81" s="6"/>
      <c r="CH81" s="6"/>
      <c r="CI81" s="6"/>
      <c r="CJ81" s="1"/>
      <c r="CK81" s="6"/>
    </row>
    <row r="82" spans="1:89" x14ac:dyDescent="0.25">
      <c r="B82">
        <f>ATAN2(1,0)</f>
        <v>0</v>
      </c>
      <c r="BC82"/>
      <c r="BD82"/>
      <c r="BF82" s="6" t="e">
        <f t="shared" si="77"/>
        <v>#N/A</v>
      </c>
      <c r="BG82" s="6" t="e">
        <f t="shared" si="78"/>
        <v>#N/A</v>
      </c>
      <c r="BH82" s="6" t="e">
        <f t="shared" si="80"/>
        <v>#N/A</v>
      </c>
      <c r="BI82" s="6" t="e">
        <f t="shared" si="81"/>
        <v>#N/A</v>
      </c>
      <c r="BV82" s="38"/>
      <c r="BW82" s="6" t="e">
        <f t="shared" si="82"/>
        <v>#N/A</v>
      </c>
      <c r="BX82" s="9">
        <f t="shared" ca="1" si="83"/>
        <v>-156.7666765884093</v>
      </c>
      <c r="BY82" s="9">
        <f t="shared" ca="1" si="84"/>
        <v>84.412825855297342</v>
      </c>
      <c r="BZ82" s="9">
        <f t="shared" ca="1" si="85"/>
        <v>0</v>
      </c>
      <c r="CA82" s="6">
        <f t="shared" ca="1" si="86"/>
        <v>0</v>
      </c>
      <c r="CB82" s="6" t="e">
        <f t="shared" ca="1" si="87"/>
        <v>#DIV/0!</v>
      </c>
      <c r="CC82" s="6" t="e">
        <f t="shared" ca="1" si="88"/>
        <v>#DIV/0!</v>
      </c>
      <c r="CD82" s="9">
        <f t="shared" si="89"/>
        <v>-50</v>
      </c>
      <c r="CE82" s="9">
        <f t="shared" si="90"/>
        <v>0</v>
      </c>
      <c r="CF82" s="6">
        <f t="shared" si="91"/>
        <v>3.1415926535897931</v>
      </c>
      <c r="CG82" s="6"/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-7.4629631605196748E-11</v>
      </c>
      <c r="BC83"/>
      <c r="BD83"/>
      <c r="BF83" s="6" t="e">
        <f t="shared" si="77"/>
        <v>#N/A</v>
      </c>
      <c r="BG83" s="6" t="e">
        <f t="shared" si="78"/>
        <v>#N/A</v>
      </c>
      <c r="BH83" s="6" t="e">
        <f t="shared" si="80"/>
        <v>#N/A</v>
      </c>
      <c r="BI83" s="6" t="e">
        <f t="shared" si="81"/>
        <v>#N/A</v>
      </c>
      <c r="BV83" s="38"/>
      <c r="BW83" s="6" t="e">
        <f t="shared" si="82"/>
        <v>#N/A</v>
      </c>
      <c r="BX83" s="9">
        <f t="shared" ca="1" si="83"/>
        <v>-156.7666765884093</v>
      </c>
      <c r="BY83" s="9">
        <f t="shared" ca="1" si="84"/>
        <v>84.412825855297342</v>
      </c>
      <c r="BZ83" s="9">
        <f t="shared" ca="1" si="85"/>
        <v>0</v>
      </c>
      <c r="CA83" s="6">
        <f t="shared" ca="1" si="86"/>
        <v>0</v>
      </c>
      <c r="CB83" s="6" t="e">
        <f t="shared" ca="1" si="87"/>
        <v>#DIV/0!</v>
      </c>
      <c r="CC83" s="6" t="e">
        <f t="shared" ca="1" si="88"/>
        <v>#DIV/0!</v>
      </c>
      <c r="CD83" s="9">
        <f t="shared" si="89"/>
        <v>-50</v>
      </c>
      <c r="CE83" s="9">
        <f t="shared" si="90"/>
        <v>0</v>
      </c>
      <c r="CF83" s="6">
        <f t="shared" si="91"/>
        <v>3.1415926535897931</v>
      </c>
      <c r="CG83" s="6"/>
      <c r="CH83" s="6"/>
      <c r="CI83" s="6"/>
      <c r="CJ83" s="1"/>
      <c r="CK83" s="6"/>
    </row>
    <row r="84" spans="1:89" x14ac:dyDescent="0.25">
      <c r="BC84"/>
      <c r="BD84"/>
      <c r="BF84" s="6" t="e">
        <f t="shared" si="77"/>
        <v>#N/A</v>
      </c>
      <c r="BG84" s="6" t="e">
        <f t="shared" si="78"/>
        <v>#N/A</v>
      </c>
      <c r="BH84" s="6" t="e">
        <f t="shared" si="80"/>
        <v>#N/A</v>
      </c>
      <c r="BI84" s="6" t="e">
        <f t="shared" si="81"/>
        <v>#N/A</v>
      </c>
      <c r="BV84" s="38"/>
      <c r="BW84" s="6" t="e">
        <f t="shared" si="82"/>
        <v>#N/A</v>
      </c>
      <c r="BX84" s="9">
        <f t="shared" ca="1" si="83"/>
        <v>-156.7666765884093</v>
      </c>
      <c r="BY84" s="9">
        <f t="shared" ca="1" si="84"/>
        <v>84.412825855297342</v>
      </c>
      <c r="BZ84" s="9">
        <f t="shared" ca="1" si="85"/>
        <v>0</v>
      </c>
      <c r="CA84" s="6">
        <f t="shared" ca="1" si="86"/>
        <v>0</v>
      </c>
      <c r="CB84" s="6" t="e">
        <f t="shared" ca="1" si="87"/>
        <v>#DIV/0!</v>
      </c>
      <c r="CC84" s="6" t="e">
        <f t="shared" ca="1" si="88"/>
        <v>#DIV/0!</v>
      </c>
      <c r="CD84" s="9">
        <f t="shared" si="89"/>
        <v>-50</v>
      </c>
      <c r="CE84" s="9">
        <f t="shared" si="90"/>
        <v>0</v>
      </c>
      <c r="CF84" s="6">
        <f t="shared" si="91"/>
        <v>3.1415926535897931</v>
      </c>
      <c r="CG84" s="6"/>
      <c r="CH84" s="6"/>
      <c r="CI84" s="6"/>
      <c r="CJ84" s="1"/>
      <c r="CK84" s="6"/>
    </row>
    <row r="85" spans="1:89" x14ac:dyDescent="0.25">
      <c r="BC85"/>
      <c r="BD85"/>
      <c r="BF85" s="6" t="e">
        <f t="shared" si="77"/>
        <v>#N/A</v>
      </c>
      <c r="BG85" s="6" t="e">
        <f t="shared" si="78"/>
        <v>#N/A</v>
      </c>
      <c r="BH85" s="6" t="e">
        <f t="shared" si="80"/>
        <v>#N/A</v>
      </c>
      <c r="BI85" s="6" t="e">
        <f t="shared" si="81"/>
        <v>#N/A</v>
      </c>
      <c r="BV85" s="38"/>
      <c r="BW85" s="6" t="e">
        <f t="shared" si="82"/>
        <v>#N/A</v>
      </c>
      <c r="BX85" s="9">
        <f t="shared" ca="1" si="83"/>
        <v>-156.7666765884093</v>
      </c>
      <c r="BY85" s="9">
        <f t="shared" ca="1" si="84"/>
        <v>84.412825855297342</v>
      </c>
      <c r="BZ85" s="9">
        <f t="shared" ca="1" si="85"/>
        <v>0</v>
      </c>
      <c r="CA85" s="6">
        <f t="shared" ca="1" si="86"/>
        <v>0</v>
      </c>
      <c r="CB85" s="6" t="e">
        <f t="shared" ca="1" si="87"/>
        <v>#DIV/0!</v>
      </c>
      <c r="CC85" s="6" t="e">
        <f t="shared" ca="1" si="88"/>
        <v>#DIV/0!</v>
      </c>
      <c r="CD85" s="9">
        <f t="shared" si="89"/>
        <v>-50</v>
      </c>
      <c r="CE85" s="9">
        <f t="shared" si="90"/>
        <v>0</v>
      </c>
      <c r="CF85" s="6">
        <f t="shared" si="91"/>
        <v>3.1415926535897931</v>
      </c>
      <c r="CG85" s="6"/>
      <c r="CH85" s="6"/>
      <c r="CI85" s="6"/>
      <c r="CJ85" s="1"/>
      <c r="CK85" s="6"/>
    </row>
    <row r="86" spans="1:89" x14ac:dyDescent="0.25">
      <c r="BC86"/>
      <c r="BD86"/>
      <c r="BF86" s="6" t="e">
        <f t="shared" si="77"/>
        <v>#N/A</v>
      </c>
      <c r="BG86" s="6" t="e">
        <f t="shared" si="78"/>
        <v>#N/A</v>
      </c>
      <c r="BH86" s="6" t="e">
        <f t="shared" si="80"/>
        <v>#N/A</v>
      </c>
      <c r="BI86" s="6" t="e">
        <f t="shared" si="81"/>
        <v>#N/A</v>
      </c>
      <c r="BV86" s="38"/>
      <c r="BW86" s="6" t="e">
        <f t="shared" si="82"/>
        <v>#N/A</v>
      </c>
      <c r="BX86" s="9">
        <f t="shared" ca="1" si="83"/>
        <v>-156.7666765884093</v>
      </c>
      <c r="BY86" s="9">
        <f t="shared" ca="1" si="84"/>
        <v>84.412825855297342</v>
      </c>
      <c r="BZ86" s="9">
        <f t="shared" ca="1" si="85"/>
        <v>0</v>
      </c>
      <c r="CA86" s="6">
        <f t="shared" ca="1" si="86"/>
        <v>0</v>
      </c>
      <c r="CB86" s="6" t="e">
        <f t="shared" ca="1" si="87"/>
        <v>#DIV/0!</v>
      </c>
      <c r="CC86" s="6" t="e">
        <f t="shared" ca="1" si="88"/>
        <v>#DIV/0!</v>
      </c>
      <c r="CD86" s="9">
        <f t="shared" si="89"/>
        <v>-50</v>
      </c>
      <c r="CE86" s="9">
        <f t="shared" si="90"/>
        <v>0</v>
      </c>
      <c r="CF86" s="6">
        <f t="shared" si="91"/>
        <v>3.1415926535897931</v>
      </c>
      <c r="CG86" s="6"/>
      <c r="CH86" s="6"/>
      <c r="CI86" s="6"/>
      <c r="CJ86" s="1"/>
      <c r="CK86" s="6"/>
    </row>
    <row r="87" spans="1:89" x14ac:dyDescent="0.25">
      <c r="A87" t="s">
        <v>119</v>
      </c>
      <c r="BC87"/>
      <c r="BD87"/>
      <c r="BF87" s="6" t="e">
        <f t="shared" si="77"/>
        <v>#N/A</v>
      </c>
      <c r="BG87" s="6" t="e">
        <f t="shared" si="78"/>
        <v>#N/A</v>
      </c>
      <c r="BH87" s="6" t="e">
        <f t="shared" si="80"/>
        <v>#N/A</v>
      </c>
      <c r="BI87" s="6" t="e">
        <f t="shared" si="81"/>
        <v>#N/A</v>
      </c>
      <c r="BV87" s="38"/>
      <c r="BW87" s="6" t="e">
        <f t="shared" si="82"/>
        <v>#N/A</v>
      </c>
      <c r="BX87" s="9">
        <f t="shared" ca="1" si="83"/>
        <v>-156.7666765884093</v>
      </c>
      <c r="BY87" s="9">
        <f t="shared" ca="1" si="84"/>
        <v>84.412825855297342</v>
      </c>
      <c r="BZ87" s="9">
        <f t="shared" ca="1" si="85"/>
        <v>0</v>
      </c>
      <c r="CA87" s="6">
        <f t="shared" ca="1" si="86"/>
        <v>0</v>
      </c>
      <c r="CB87" s="6" t="e">
        <f t="shared" ca="1" si="87"/>
        <v>#DIV/0!</v>
      </c>
      <c r="CC87" s="6" t="e">
        <f t="shared" ca="1" si="88"/>
        <v>#DIV/0!</v>
      </c>
      <c r="CD87" s="9">
        <f t="shared" si="89"/>
        <v>-50</v>
      </c>
      <c r="CE87" s="9">
        <f t="shared" si="90"/>
        <v>0</v>
      </c>
      <c r="CF87" s="6">
        <f t="shared" si="91"/>
        <v>3.1415926535897931</v>
      </c>
      <c r="CG87" s="6"/>
      <c r="CH87" s="6"/>
      <c r="CI87" s="6"/>
      <c r="CJ87" s="1"/>
      <c r="CK87" s="6"/>
    </row>
    <row r="88" spans="1:89" x14ac:dyDescent="0.25">
      <c r="A88" t="s">
        <v>120</v>
      </c>
      <c r="BC88"/>
      <c r="BD88"/>
      <c r="BF88" s="6" t="e">
        <f t="shared" si="77"/>
        <v>#N/A</v>
      </c>
      <c r="BG88" s="6" t="e">
        <f t="shared" si="78"/>
        <v>#N/A</v>
      </c>
      <c r="BH88" s="6" t="e">
        <f t="shared" si="80"/>
        <v>#N/A</v>
      </c>
      <c r="BI88" s="6" t="e">
        <f t="shared" si="81"/>
        <v>#N/A</v>
      </c>
      <c r="BV88" s="38"/>
      <c r="BW88" s="6" t="e">
        <f t="shared" si="82"/>
        <v>#N/A</v>
      </c>
      <c r="BX88" s="9">
        <f t="shared" ca="1" si="83"/>
        <v>-156.7666765884093</v>
      </c>
      <c r="BY88" s="9">
        <f t="shared" ca="1" si="84"/>
        <v>84.412825855297342</v>
      </c>
      <c r="BZ88" s="9">
        <f t="shared" ca="1" si="85"/>
        <v>0</v>
      </c>
      <c r="CA88" s="6">
        <f t="shared" ca="1" si="86"/>
        <v>0</v>
      </c>
      <c r="CB88" s="6" t="e">
        <f t="shared" ca="1" si="87"/>
        <v>#DIV/0!</v>
      </c>
      <c r="CC88" s="6" t="e">
        <f t="shared" ca="1" si="88"/>
        <v>#DIV/0!</v>
      </c>
      <c r="CD88" s="9">
        <f t="shared" si="89"/>
        <v>-50</v>
      </c>
      <c r="CE88" s="9">
        <f t="shared" si="90"/>
        <v>0</v>
      </c>
      <c r="CF88" s="6">
        <f t="shared" si="91"/>
        <v>3.1415926535897931</v>
      </c>
      <c r="CG88" s="6"/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/>
      <c r="BD89"/>
      <c r="BF89" s="6" t="e">
        <f t="shared" si="77"/>
        <v>#N/A</v>
      </c>
      <c r="BG89" s="6" t="e">
        <f t="shared" si="78"/>
        <v>#N/A</v>
      </c>
      <c r="BH89" s="6" t="e">
        <f t="shared" si="80"/>
        <v>#N/A</v>
      </c>
      <c r="BI89" s="6" t="e">
        <f t="shared" si="81"/>
        <v>#N/A</v>
      </c>
      <c r="BV89" s="38"/>
      <c r="BW89" s="6" t="e">
        <f t="shared" si="82"/>
        <v>#N/A</v>
      </c>
      <c r="BX89" s="9">
        <f t="shared" ca="1" si="83"/>
        <v>-156.7666765884093</v>
      </c>
      <c r="BY89" s="9">
        <f t="shared" ca="1" si="84"/>
        <v>84.412825855297342</v>
      </c>
      <c r="BZ89" s="9">
        <f t="shared" ca="1" si="85"/>
        <v>0</v>
      </c>
      <c r="CA89" s="6">
        <f t="shared" ca="1" si="86"/>
        <v>0</v>
      </c>
      <c r="CB89" s="6" t="e">
        <f t="shared" ca="1" si="87"/>
        <v>#DIV/0!</v>
      </c>
      <c r="CC89" s="6" t="e">
        <f t="shared" ca="1" si="88"/>
        <v>#DIV/0!</v>
      </c>
      <c r="CD89" s="9">
        <f t="shared" si="89"/>
        <v>-50</v>
      </c>
      <c r="CE89" s="9">
        <f t="shared" si="90"/>
        <v>0</v>
      </c>
      <c r="CF89" s="6">
        <f t="shared" si="91"/>
        <v>3.1415926535897931</v>
      </c>
      <c r="CG89" s="6"/>
      <c r="CH89" s="6"/>
      <c r="CI89" s="6"/>
      <c r="CJ89" s="1"/>
      <c r="CK89" s="6"/>
    </row>
    <row r="90" spans="1:89" x14ac:dyDescent="0.25">
      <c r="A90" s="6">
        <f t="shared" ref="A90:A98" si="92">E3-$I$2</f>
        <v>-6</v>
      </c>
      <c r="B90" s="1">
        <f t="shared" ref="B90:B98" si="93">F3-$I$3</f>
        <v>-12</v>
      </c>
      <c r="C90" s="1"/>
      <c r="BC90"/>
      <c r="BD90"/>
      <c r="BF90" s="6" t="e">
        <f t="shared" si="77"/>
        <v>#N/A</v>
      </c>
      <c r="BG90" s="6" t="e">
        <f t="shared" si="78"/>
        <v>#N/A</v>
      </c>
      <c r="BH90" s="6" t="e">
        <f t="shared" si="80"/>
        <v>#N/A</v>
      </c>
      <c r="BI90" s="6" t="e">
        <f t="shared" si="81"/>
        <v>#N/A</v>
      </c>
      <c r="BV90" s="38"/>
      <c r="BW90" s="6" t="e">
        <f t="shared" si="82"/>
        <v>#N/A</v>
      </c>
      <c r="BX90" s="9">
        <f t="shared" ca="1" si="83"/>
        <v>-156.7666765884093</v>
      </c>
      <c r="BY90" s="9">
        <f t="shared" ca="1" si="84"/>
        <v>84.412825855297342</v>
      </c>
      <c r="BZ90" s="9">
        <f t="shared" ca="1" si="85"/>
        <v>0</v>
      </c>
      <c r="CA90" s="6">
        <f t="shared" ca="1" si="86"/>
        <v>0</v>
      </c>
      <c r="CB90" s="6" t="e">
        <f t="shared" ca="1" si="87"/>
        <v>#DIV/0!</v>
      </c>
      <c r="CC90" s="6" t="e">
        <f t="shared" ca="1" si="88"/>
        <v>#DIV/0!</v>
      </c>
      <c r="CD90" s="9">
        <f t="shared" si="89"/>
        <v>-50</v>
      </c>
      <c r="CE90" s="9">
        <f t="shared" si="90"/>
        <v>0</v>
      </c>
      <c r="CF90" s="6">
        <f t="shared" si="91"/>
        <v>3.1415926535897931</v>
      </c>
      <c r="CG90" s="6"/>
      <c r="CH90" s="6"/>
      <c r="CI90" s="6"/>
      <c r="CJ90" s="1"/>
      <c r="CK90" s="6"/>
    </row>
    <row r="91" spans="1:89" x14ac:dyDescent="0.25">
      <c r="A91" s="6">
        <f t="shared" si="92"/>
        <v>6</v>
      </c>
      <c r="B91" s="1">
        <f t="shared" si="93"/>
        <v>-12</v>
      </c>
      <c r="C91" s="1">
        <f t="shared" ref="C91:C98" si="94">((A90*B91)-(A91*B90))*0.5</f>
        <v>72</v>
      </c>
      <c r="D91" s="6">
        <f t="shared" ref="D91:D98" si="95">(A91+A90)*((A90*B91)-(A91*B90))*(1/6)</f>
        <v>0</v>
      </c>
      <c r="E91" s="6">
        <f t="shared" ref="E91:E98" si="96">(B91+B90)*((A90*B91)-(A91*B90))*(1/6)</f>
        <v>-576</v>
      </c>
      <c r="BC91"/>
      <c r="BD91"/>
      <c r="BF91" s="6" t="e">
        <f t="shared" si="77"/>
        <v>#N/A</v>
      </c>
      <c r="BG91" s="6" t="e">
        <f t="shared" si="78"/>
        <v>#N/A</v>
      </c>
      <c r="BH91" s="6" t="e">
        <f t="shared" si="80"/>
        <v>#N/A</v>
      </c>
      <c r="BI91" s="6" t="e">
        <f t="shared" si="81"/>
        <v>#N/A</v>
      </c>
      <c r="BV91" s="38"/>
      <c r="BW91" s="6" t="e">
        <f t="shared" si="82"/>
        <v>#N/A</v>
      </c>
      <c r="BX91" s="9">
        <f t="shared" ca="1" si="83"/>
        <v>-156.7666765884093</v>
      </c>
      <c r="BY91" s="9">
        <f t="shared" ca="1" si="84"/>
        <v>84.412825855297342</v>
      </c>
      <c r="BZ91" s="9">
        <f t="shared" ca="1" si="85"/>
        <v>0</v>
      </c>
      <c r="CA91" s="6">
        <f t="shared" ca="1" si="86"/>
        <v>0</v>
      </c>
      <c r="CB91" s="6" t="e">
        <f t="shared" ca="1" si="87"/>
        <v>#DIV/0!</v>
      </c>
      <c r="CC91" s="6" t="e">
        <f t="shared" ca="1" si="88"/>
        <v>#DIV/0!</v>
      </c>
      <c r="CD91" s="9">
        <f t="shared" si="89"/>
        <v>-50</v>
      </c>
      <c r="CE91" s="9">
        <f t="shared" si="90"/>
        <v>0</v>
      </c>
      <c r="CF91" s="6">
        <f t="shared" si="91"/>
        <v>3.1415926535897931</v>
      </c>
      <c r="CG91" s="6"/>
      <c r="CH91" s="6"/>
      <c r="CI91" s="6"/>
      <c r="CJ91" s="1"/>
      <c r="CK91" s="6"/>
    </row>
    <row r="92" spans="1:89" x14ac:dyDescent="0.25">
      <c r="A92" s="6">
        <f t="shared" si="92"/>
        <v>6</v>
      </c>
      <c r="B92" s="1">
        <f t="shared" si="93"/>
        <v>4</v>
      </c>
      <c r="C92" s="1">
        <f t="shared" si="94"/>
        <v>48</v>
      </c>
      <c r="D92" s="6">
        <f t="shared" si="95"/>
        <v>192</v>
      </c>
      <c r="E92" s="6">
        <f t="shared" si="96"/>
        <v>-128</v>
      </c>
      <c r="BC92"/>
      <c r="BD92"/>
      <c r="BF92" s="6" t="e">
        <f t="shared" si="77"/>
        <v>#N/A</v>
      </c>
      <c r="BG92" s="6" t="e">
        <f t="shared" si="78"/>
        <v>#N/A</v>
      </c>
      <c r="BH92" s="6" t="e">
        <f t="shared" si="80"/>
        <v>#N/A</v>
      </c>
      <c r="BI92" s="6" t="e">
        <f t="shared" si="81"/>
        <v>#N/A</v>
      </c>
      <c r="BV92" s="38"/>
      <c r="BW92" s="6" t="e">
        <f t="shared" si="82"/>
        <v>#N/A</v>
      </c>
      <c r="BX92" s="9">
        <f t="shared" ca="1" si="83"/>
        <v>-156.7666765884093</v>
      </c>
      <c r="BY92" s="9">
        <f t="shared" ca="1" si="84"/>
        <v>84.412825855297342</v>
      </c>
      <c r="BZ92" s="9">
        <f t="shared" ca="1" si="85"/>
        <v>0</v>
      </c>
      <c r="CA92" s="6">
        <f t="shared" ca="1" si="86"/>
        <v>0</v>
      </c>
      <c r="CB92" s="6" t="e">
        <f t="shared" ca="1" si="87"/>
        <v>#DIV/0!</v>
      </c>
      <c r="CC92" s="6" t="e">
        <f t="shared" ca="1" si="88"/>
        <v>#DIV/0!</v>
      </c>
      <c r="CD92" s="9">
        <f t="shared" si="89"/>
        <v>-50</v>
      </c>
      <c r="CE92" s="9">
        <f t="shared" si="90"/>
        <v>0</v>
      </c>
      <c r="CF92" s="6">
        <f t="shared" si="91"/>
        <v>3.1415926535897931</v>
      </c>
      <c r="CG92" s="6"/>
      <c r="CH92" s="6"/>
      <c r="CI92" s="6"/>
      <c r="CJ92" s="1"/>
      <c r="CK92" s="6"/>
    </row>
    <row r="93" spans="1:89" x14ac:dyDescent="0.25">
      <c r="A93" s="6">
        <f t="shared" si="92"/>
        <v>30</v>
      </c>
      <c r="B93" s="1">
        <f t="shared" si="93"/>
        <v>4</v>
      </c>
      <c r="C93" s="1">
        <f t="shared" si="94"/>
        <v>-48</v>
      </c>
      <c r="D93" s="6">
        <f t="shared" si="95"/>
        <v>-576</v>
      </c>
      <c r="E93" s="6">
        <f t="shared" si="96"/>
        <v>-128</v>
      </c>
      <c r="BC93"/>
      <c r="BD93"/>
      <c r="BF93" s="6" t="e">
        <f t="shared" si="77"/>
        <v>#N/A</v>
      </c>
      <c r="BG93" s="6" t="e">
        <f t="shared" si="78"/>
        <v>#N/A</v>
      </c>
      <c r="BH93" s="6" t="e">
        <f t="shared" si="80"/>
        <v>#N/A</v>
      </c>
      <c r="BI93" s="6" t="e">
        <f t="shared" si="81"/>
        <v>#N/A</v>
      </c>
      <c r="BV93" s="38"/>
      <c r="BW93" s="6" t="e">
        <f t="shared" si="82"/>
        <v>#N/A</v>
      </c>
      <c r="BX93" s="9">
        <f t="shared" ca="1" si="83"/>
        <v>-156.7666765884093</v>
      </c>
      <c r="BY93" s="9">
        <f t="shared" ca="1" si="84"/>
        <v>84.412825855297342</v>
      </c>
      <c r="BZ93" s="9">
        <f t="shared" ca="1" si="85"/>
        <v>0</v>
      </c>
      <c r="CA93" s="6">
        <f t="shared" ca="1" si="86"/>
        <v>0</v>
      </c>
      <c r="CB93" s="6" t="e">
        <f t="shared" ca="1" si="87"/>
        <v>#DIV/0!</v>
      </c>
      <c r="CC93" s="6" t="e">
        <f t="shared" ca="1" si="88"/>
        <v>#DIV/0!</v>
      </c>
      <c r="CD93" s="9">
        <f t="shared" si="89"/>
        <v>-50</v>
      </c>
      <c r="CE93" s="9">
        <f t="shared" si="90"/>
        <v>0</v>
      </c>
      <c r="CF93" s="6">
        <f t="shared" si="91"/>
        <v>3.1415926535897931</v>
      </c>
      <c r="CG93" s="6"/>
      <c r="CH93" s="6"/>
      <c r="CI93" s="6"/>
      <c r="CJ93" s="1"/>
      <c r="CK93" s="6"/>
    </row>
    <row r="94" spans="1:89" x14ac:dyDescent="0.25">
      <c r="A94" s="6">
        <f t="shared" si="92"/>
        <v>30</v>
      </c>
      <c r="B94" s="1">
        <f t="shared" si="93"/>
        <v>12</v>
      </c>
      <c r="C94" s="1">
        <f t="shared" si="94"/>
        <v>120</v>
      </c>
      <c r="D94" s="6">
        <f t="shared" si="95"/>
        <v>2400</v>
      </c>
      <c r="E94" s="6">
        <f t="shared" si="96"/>
        <v>640</v>
      </c>
      <c r="BC94"/>
      <c r="BD94"/>
      <c r="BF94" s="6" t="e">
        <f t="shared" si="77"/>
        <v>#N/A</v>
      </c>
      <c r="BG94" s="6" t="e">
        <f t="shared" si="78"/>
        <v>#N/A</v>
      </c>
      <c r="BH94" s="6" t="e">
        <f t="shared" si="80"/>
        <v>#N/A</v>
      </c>
      <c r="BI94" s="6" t="e">
        <f t="shared" si="81"/>
        <v>#N/A</v>
      </c>
      <c r="BV94" s="38"/>
      <c r="BW94" s="6" t="e">
        <f t="shared" si="82"/>
        <v>#N/A</v>
      </c>
      <c r="BX94" s="9">
        <f t="shared" ca="1" si="83"/>
        <v>-156.7666765884093</v>
      </c>
      <c r="BY94" s="9">
        <f t="shared" ca="1" si="84"/>
        <v>84.412825855297342</v>
      </c>
      <c r="BZ94" s="9">
        <f t="shared" ca="1" si="85"/>
        <v>0</v>
      </c>
      <c r="CA94" s="6">
        <f t="shared" ca="1" si="86"/>
        <v>0</v>
      </c>
      <c r="CB94" s="6" t="e">
        <f t="shared" ca="1" si="87"/>
        <v>#DIV/0!</v>
      </c>
      <c r="CC94" s="6" t="e">
        <f t="shared" ca="1" si="88"/>
        <v>#DIV/0!</v>
      </c>
      <c r="CD94" s="9">
        <f t="shared" si="89"/>
        <v>-50</v>
      </c>
      <c r="CE94" s="9">
        <f t="shared" si="90"/>
        <v>0</v>
      </c>
      <c r="CF94" s="6">
        <f t="shared" si="91"/>
        <v>3.1415926535897931</v>
      </c>
      <c r="CG94" s="6"/>
      <c r="CH94" s="6"/>
      <c r="CI94" s="6"/>
      <c r="CJ94" s="1"/>
      <c r="CK94" s="6"/>
    </row>
    <row r="95" spans="1:89" x14ac:dyDescent="0.25">
      <c r="A95" s="6">
        <f t="shared" si="92"/>
        <v>-18</v>
      </c>
      <c r="B95" s="1">
        <f t="shared" si="93"/>
        <v>12</v>
      </c>
      <c r="C95" s="1">
        <f t="shared" si="94"/>
        <v>288</v>
      </c>
      <c r="D95" s="6">
        <f t="shared" si="95"/>
        <v>1152</v>
      </c>
      <c r="E95" s="6">
        <f t="shared" si="96"/>
        <v>2304</v>
      </c>
      <c r="BC95"/>
      <c r="BD95"/>
      <c r="BF95" s="6" t="e">
        <f t="shared" si="77"/>
        <v>#N/A</v>
      </c>
      <c r="BG95" s="6" t="e">
        <f t="shared" si="78"/>
        <v>#N/A</v>
      </c>
      <c r="BH95" s="6" t="e">
        <f t="shared" si="80"/>
        <v>#N/A</v>
      </c>
      <c r="BI95" s="6" t="e">
        <f t="shared" si="81"/>
        <v>#N/A</v>
      </c>
      <c r="BV95" s="38"/>
      <c r="BW95" s="6" t="e">
        <f t="shared" si="82"/>
        <v>#N/A</v>
      </c>
      <c r="BX95" s="9">
        <f t="shared" ca="1" si="83"/>
        <v>-156.7666765884093</v>
      </c>
      <c r="BY95" s="9">
        <f t="shared" ca="1" si="84"/>
        <v>84.412825855297342</v>
      </c>
      <c r="BZ95" s="9">
        <f t="shared" ca="1" si="85"/>
        <v>0</v>
      </c>
      <c r="CA95" s="6">
        <f t="shared" ca="1" si="86"/>
        <v>0</v>
      </c>
      <c r="CB95" s="6" t="e">
        <f t="shared" ca="1" si="87"/>
        <v>#DIV/0!</v>
      </c>
      <c r="CC95" s="6" t="e">
        <f t="shared" ca="1" si="88"/>
        <v>#DIV/0!</v>
      </c>
      <c r="CD95" s="9">
        <f t="shared" si="89"/>
        <v>-50</v>
      </c>
      <c r="CE95" s="9">
        <f t="shared" si="90"/>
        <v>0</v>
      </c>
      <c r="CF95" s="6">
        <f t="shared" si="91"/>
        <v>3.1415926535897931</v>
      </c>
      <c r="CG95" s="6"/>
      <c r="CH95" s="6"/>
      <c r="CI95" s="6"/>
      <c r="CJ95" s="1"/>
      <c r="CK95" s="6"/>
    </row>
    <row r="96" spans="1:89" x14ac:dyDescent="0.25">
      <c r="A96" s="6">
        <f t="shared" si="92"/>
        <v>-18</v>
      </c>
      <c r="B96" s="1">
        <f t="shared" si="93"/>
        <v>4</v>
      </c>
      <c r="C96" s="1">
        <f t="shared" si="94"/>
        <v>72</v>
      </c>
      <c r="D96" s="6">
        <f t="shared" si="95"/>
        <v>-864</v>
      </c>
      <c r="E96" s="6">
        <f t="shared" si="96"/>
        <v>384</v>
      </c>
      <c r="BC96"/>
      <c r="BD96"/>
      <c r="BF96" s="6" t="e">
        <f t="shared" si="77"/>
        <v>#N/A</v>
      </c>
      <c r="BG96" s="6" t="e">
        <f t="shared" si="78"/>
        <v>#N/A</v>
      </c>
      <c r="BH96" s="6" t="e">
        <f t="shared" si="80"/>
        <v>#N/A</v>
      </c>
      <c r="BI96" s="6" t="e">
        <f t="shared" si="81"/>
        <v>#N/A</v>
      </c>
      <c r="BV96" s="38"/>
      <c r="BW96" s="6" t="e">
        <f t="shared" si="82"/>
        <v>#N/A</v>
      </c>
      <c r="BX96" s="9">
        <f t="shared" ca="1" si="83"/>
        <v>-156.7666765884093</v>
      </c>
      <c r="BY96" s="9">
        <f t="shared" ca="1" si="84"/>
        <v>84.412825855297342</v>
      </c>
      <c r="BZ96" s="9">
        <f t="shared" ca="1" si="85"/>
        <v>0</v>
      </c>
      <c r="CA96" s="6">
        <f t="shared" ca="1" si="86"/>
        <v>0</v>
      </c>
      <c r="CB96" s="6" t="e">
        <f t="shared" ca="1" si="87"/>
        <v>#DIV/0!</v>
      </c>
      <c r="CC96" s="6" t="e">
        <f t="shared" ca="1" si="88"/>
        <v>#DIV/0!</v>
      </c>
      <c r="CD96" s="9">
        <f t="shared" si="89"/>
        <v>-50</v>
      </c>
      <c r="CE96" s="9">
        <f t="shared" si="90"/>
        <v>0</v>
      </c>
      <c r="CF96" s="6">
        <f t="shared" si="91"/>
        <v>3.1415926535897931</v>
      </c>
      <c r="CG96" s="6"/>
      <c r="CH96" s="6"/>
      <c r="CI96" s="6"/>
      <c r="CJ96" s="1"/>
      <c r="CK96" s="6"/>
    </row>
    <row r="97" spans="1:89" x14ac:dyDescent="0.25">
      <c r="A97" s="6">
        <f t="shared" si="92"/>
        <v>-6</v>
      </c>
      <c r="B97" s="1">
        <f t="shared" si="93"/>
        <v>4</v>
      </c>
      <c r="C97" s="1">
        <f t="shared" si="94"/>
        <v>-24</v>
      </c>
      <c r="D97" s="6">
        <f t="shared" si="95"/>
        <v>192</v>
      </c>
      <c r="E97" s="6">
        <f t="shared" si="96"/>
        <v>-64</v>
      </c>
      <c r="BC97"/>
      <c r="BD97"/>
      <c r="BF97" s="6" t="e">
        <f t="shared" si="77"/>
        <v>#N/A</v>
      </c>
      <c r="BG97" s="6" t="e">
        <f t="shared" si="78"/>
        <v>#N/A</v>
      </c>
      <c r="BH97" s="6" t="e">
        <f t="shared" si="80"/>
        <v>#N/A</v>
      </c>
      <c r="BI97" s="6" t="e">
        <f t="shared" si="81"/>
        <v>#N/A</v>
      </c>
      <c r="BV97" s="38"/>
      <c r="BW97" s="6" t="e">
        <f t="shared" si="82"/>
        <v>#N/A</v>
      </c>
      <c r="BX97" s="9">
        <f t="shared" ca="1" si="83"/>
        <v>-156.7666765884093</v>
      </c>
      <c r="BY97" s="9">
        <f t="shared" ca="1" si="84"/>
        <v>84.412825855297342</v>
      </c>
      <c r="BZ97" s="9">
        <f t="shared" ca="1" si="85"/>
        <v>0</v>
      </c>
      <c r="CA97" s="6">
        <f t="shared" ca="1" si="86"/>
        <v>0</v>
      </c>
      <c r="CB97" s="6" t="e">
        <f t="shared" ca="1" si="87"/>
        <v>#DIV/0!</v>
      </c>
      <c r="CC97" s="6" t="e">
        <f t="shared" ca="1" si="88"/>
        <v>#DIV/0!</v>
      </c>
      <c r="CD97" s="9">
        <f t="shared" si="89"/>
        <v>-50</v>
      </c>
      <c r="CE97" s="9">
        <f t="shared" si="90"/>
        <v>0</v>
      </c>
      <c r="CF97" s="6">
        <f t="shared" si="91"/>
        <v>3.1415926535897931</v>
      </c>
      <c r="CG97" s="6"/>
      <c r="CH97" s="6"/>
      <c r="CI97" s="6"/>
      <c r="CJ97" s="1"/>
      <c r="CK97" s="6"/>
    </row>
    <row r="98" spans="1:89" x14ac:dyDescent="0.25">
      <c r="A98" s="6">
        <f t="shared" si="92"/>
        <v>-6</v>
      </c>
      <c r="B98" s="1">
        <f t="shared" si="93"/>
        <v>-12</v>
      </c>
      <c r="C98" s="1">
        <f t="shared" si="94"/>
        <v>48</v>
      </c>
      <c r="D98" s="6">
        <f t="shared" si="95"/>
        <v>-192</v>
      </c>
      <c r="E98" s="6">
        <f t="shared" si="96"/>
        <v>-128</v>
      </c>
      <c r="BC98"/>
      <c r="BD98"/>
      <c r="BF98" s="6" t="e">
        <f t="shared" ref="BF98:BF129" si="97">IF(BC98&lt;&gt;"",IF(AND(BD98=0,BE98=0),0,MOD(ATAN2(BD98,BE98),2*PI())),NA())</f>
        <v>#N/A</v>
      </c>
      <c r="BG98" s="6" t="e">
        <f t="shared" ref="BG98:BG129" si="98">ABS(BC98-BF98)</f>
        <v>#N/A</v>
      </c>
      <c r="BH98" s="6" t="e">
        <f t="shared" si="80"/>
        <v>#N/A</v>
      </c>
      <c r="BI98" s="6" t="e">
        <f t="shared" si="81"/>
        <v>#N/A</v>
      </c>
      <c r="BV98" s="38"/>
      <c r="BW98" s="6" t="e">
        <f t="shared" si="82"/>
        <v>#N/A</v>
      </c>
      <c r="BX98" s="9">
        <f t="shared" ca="1" si="83"/>
        <v>-156.7666765884093</v>
      </c>
      <c r="BY98" s="9">
        <f t="shared" ca="1" si="84"/>
        <v>84.412825855297342</v>
      </c>
      <c r="BZ98" s="9">
        <f t="shared" ca="1" si="85"/>
        <v>0</v>
      </c>
      <c r="CA98" s="6">
        <f t="shared" ca="1" si="86"/>
        <v>0</v>
      </c>
      <c r="CB98" s="6" t="e">
        <f t="shared" ca="1" si="87"/>
        <v>#DIV/0!</v>
      </c>
      <c r="CC98" s="6" t="e">
        <f t="shared" ca="1" si="88"/>
        <v>#DIV/0!</v>
      </c>
      <c r="CD98" s="9">
        <f t="shared" si="89"/>
        <v>-50</v>
      </c>
      <c r="CE98" s="9">
        <f t="shared" si="90"/>
        <v>0</v>
      </c>
      <c r="CF98" s="6">
        <f t="shared" si="91"/>
        <v>3.1415926535897931</v>
      </c>
      <c r="CG98" s="6"/>
      <c r="CH98" s="6"/>
      <c r="CI98" s="6"/>
      <c r="CJ98" s="1"/>
      <c r="CK98" s="6"/>
    </row>
    <row r="99" spans="1:89" x14ac:dyDescent="0.25">
      <c r="C99" s="1">
        <f>SUM(C91:C98)</f>
        <v>576</v>
      </c>
      <c r="D99" s="6">
        <f>SUM(D91:D98)/C99</f>
        <v>4</v>
      </c>
      <c r="E99" s="6">
        <f>SUM(E91:E98)/C99</f>
        <v>4</v>
      </c>
      <c r="BC99"/>
      <c r="BD99"/>
      <c r="BF99" s="6" t="e">
        <f t="shared" si="97"/>
        <v>#N/A</v>
      </c>
      <c r="BG99" s="6" t="e">
        <f t="shared" si="98"/>
        <v>#N/A</v>
      </c>
      <c r="BH99" s="6" t="e">
        <f t="shared" si="80"/>
        <v>#N/A</v>
      </c>
      <c r="BI99" s="6" t="e">
        <f t="shared" si="81"/>
        <v>#N/A</v>
      </c>
      <c r="BV99" s="38"/>
      <c r="BW99" s="6" t="e">
        <f t="shared" si="82"/>
        <v>#N/A</v>
      </c>
      <c r="BX99" s="9">
        <f t="shared" ca="1" si="83"/>
        <v>-156.7666765884093</v>
      </c>
      <c r="BY99" s="9">
        <f t="shared" ca="1" si="84"/>
        <v>84.412825855297342</v>
      </c>
      <c r="BZ99" s="9">
        <f t="shared" ca="1" si="85"/>
        <v>0</v>
      </c>
      <c r="CA99" s="6">
        <f t="shared" ca="1" si="86"/>
        <v>0</v>
      </c>
      <c r="CB99" s="6" t="e">
        <f t="shared" ca="1" si="87"/>
        <v>#DIV/0!</v>
      </c>
      <c r="CC99" s="6" t="e">
        <f t="shared" ca="1" si="88"/>
        <v>#DIV/0!</v>
      </c>
      <c r="CD99" s="9">
        <f t="shared" si="89"/>
        <v>-50</v>
      </c>
      <c r="CE99" s="9">
        <f t="shared" si="90"/>
        <v>0</v>
      </c>
      <c r="CF99" s="6">
        <f t="shared" si="91"/>
        <v>3.1415926535897931</v>
      </c>
      <c r="CG99" s="6"/>
      <c r="CH99" s="6"/>
      <c r="CI99" s="6"/>
      <c r="CJ99" s="1"/>
      <c r="CK99" s="6"/>
    </row>
    <row r="100" spans="1:89" x14ac:dyDescent="0.25">
      <c r="A100" s="8" t="s">
        <v>124</v>
      </c>
      <c r="B100" s="1">
        <f>B31*C99*0.65</f>
        <v>1591.2</v>
      </c>
      <c r="C100" t="s">
        <v>68</v>
      </c>
      <c r="BC100"/>
      <c r="BD100"/>
      <c r="BF100" s="6" t="e">
        <f t="shared" si="97"/>
        <v>#N/A</v>
      </c>
      <c r="BG100" s="6" t="e">
        <f t="shared" si="98"/>
        <v>#N/A</v>
      </c>
      <c r="BH100" s="6" t="e">
        <f t="shared" si="80"/>
        <v>#N/A</v>
      </c>
      <c r="BI100" s="6" t="e">
        <f t="shared" si="81"/>
        <v>#N/A</v>
      </c>
      <c r="BV100" s="38"/>
      <c r="BW100" s="6" t="e">
        <f t="shared" si="82"/>
        <v>#N/A</v>
      </c>
      <c r="BX100" s="9">
        <f t="shared" ca="1" si="83"/>
        <v>-156.7666765884093</v>
      </c>
      <c r="BY100" s="9">
        <f t="shared" ca="1" si="84"/>
        <v>84.412825855297342</v>
      </c>
      <c r="BZ100" s="9">
        <f t="shared" ca="1" si="85"/>
        <v>0</v>
      </c>
      <c r="CA100" s="6">
        <f t="shared" ca="1" si="86"/>
        <v>0</v>
      </c>
      <c r="CB100" s="6" t="e">
        <f t="shared" ca="1" si="87"/>
        <v>#DIV/0!</v>
      </c>
      <c r="CC100" s="6" t="e">
        <f t="shared" ca="1" si="88"/>
        <v>#DIV/0!</v>
      </c>
      <c r="CD100" s="9">
        <f t="shared" si="89"/>
        <v>-50</v>
      </c>
      <c r="CE100" s="9">
        <f t="shared" si="90"/>
        <v>0</v>
      </c>
      <c r="CF100" s="6">
        <f t="shared" si="91"/>
        <v>3.1415926535897931</v>
      </c>
      <c r="CG100" s="6"/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6364.8</v>
      </c>
      <c r="C101" t="s">
        <v>69</v>
      </c>
      <c r="BC101"/>
      <c r="BD101"/>
      <c r="BF101" s="6" t="e">
        <f t="shared" si="97"/>
        <v>#N/A</v>
      </c>
      <c r="BG101" s="6" t="e">
        <f t="shared" si="98"/>
        <v>#N/A</v>
      </c>
      <c r="BH101" s="6" t="e">
        <f t="shared" si="80"/>
        <v>#N/A</v>
      </c>
      <c r="BI101" s="6" t="e">
        <f t="shared" si="81"/>
        <v>#N/A</v>
      </c>
      <c r="BV101" s="38"/>
      <c r="BW101" s="6" t="e">
        <f t="shared" si="82"/>
        <v>#N/A</v>
      </c>
      <c r="BX101" s="9">
        <f t="shared" ca="1" si="83"/>
        <v>-156.7666765884093</v>
      </c>
      <c r="BY101" s="9">
        <f t="shared" ca="1" si="84"/>
        <v>84.412825855297342</v>
      </c>
      <c r="BZ101" s="9">
        <f t="shared" ca="1" si="85"/>
        <v>0</v>
      </c>
      <c r="CA101" s="6">
        <f t="shared" ca="1" si="86"/>
        <v>0</v>
      </c>
      <c r="CB101" s="6" t="e">
        <f t="shared" ca="1" si="87"/>
        <v>#DIV/0!</v>
      </c>
      <c r="CC101" s="6" t="e">
        <f t="shared" ca="1" si="88"/>
        <v>#DIV/0!</v>
      </c>
      <c r="CD101" s="9">
        <f t="shared" si="89"/>
        <v>-50</v>
      </c>
      <c r="CE101" s="9">
        <f t="shared" si="90"/>
        <v>0</v>
      </c>
      <c r="CF101" s="6">
        <f t="shared" si="91"/>
        <v>3.1415926535897931</v>
      </c>
      <c r="CG101" s="6"/>
      <c r="CH101" s="6"/>
      <c r="CI101" s="6"/>
      <c r="CJ101" s="1"/>
      <c r="CK101" s="6"/>
    </row>
    <row r="102" spans="1:89" x14ac:dyDescent="0.25">
      <c r="A102" s="8" t="s">
        <v>125</v>
      </c>
      <c r="B102" s="1">
        <f>B100*D99*-1</f>
        <v>-6364.8</v>
      </c>
      <c r="C102" t="s">
        <v>69</v>
      </c>
      <c r="J102" t="s">
        <v>127</v>
      </c>
      <c r="BC102"/>
      <c r="BD102"/>
      <c r="BF102" s="6" t="e">
        <f t="shared" si="97"/>
        <v>#N/A</v>
      </c>
      <c r="BG102" s="6" t="e">
        <f t="shared" si="98"/>
        <v>#N/A</v>
      </c>
      <c r="BH102" s="6" t="e">
        <f t="shared" si="80"/>
        <v>#N/A</v>
      </c>
      <c r="BI102" s="6" t="e">
        <f t="shared" si="81"/>
        <v>#N/A</v>
      </c>
      <c r="BV102" s="38"/>
      <c r="BW102" s="6" t="e">
        <f t="shared" si="82"/>
        <v>#N/A</v>
      </c>
      <c r="BX102" s="9">
        <f t="shared" ca="1" si="83"/>
        <v>-156.7666765884093</v>
      </c>
      <c r="BY102" s="9">
        <f t="shared" ca="1" si="84"/>
        <v>84.412825855297342</v>
      </c>
      <c r="BZ102" s="9">
        <f t="shared" ca="1" si="85"/>
        <v>0</v>
      </c>
      <c r="CA102" s="6">
        <f t="shared" ca="1" si="86"/>
        <v>0</v>
      </c>
      <c r="CB102" s="6" t="e">
        <f t="shared" ca="1" si="87"/>
        <v>#DIV/0!</v>
      </c>
      <c r="CC102" s="6" t="e">
        <f t="shared" ca="1" si="88"/>
        <v>#DIV/0!</v>
      </c>
      <c r="CD102" s="9">
        <f t="shared" si="89"/>
        <v>-50</v>
      </c>
      <c r="CE102" s="9">
        <f t="shared" si="90"/>
        <v>0</v>
      </c>
      <c r="CF102" s="6">
        <f t="shared" si="91"/>
        <v>3.1415926535897931</v>
      </c>
      <c r="CG102" s="6"/>
      <c r="CH102" s="6"/>
      <c r="CI102" s="6"/>
      <c r="CJ102" s="1"/>
      <c r="CK102" s="6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/>
      <c r="BD103"/>
      <c r="BF103" s="6" t="e">
        <f t="shared" si="97"/>
        <v>#N/A</v>
      </c>
      <c r="BG103" s="6" t="e">
        <f t="shared" si="98"/>
        <v>#N/A</v>
      </c>
      <c r="BH103" s="6" t="e">
        <f t="shared" si="80"/>
        <v>#N/A</v>
      </c>
      <c r="BI103" s="6" t="e">
        <f t="shared" si="81"/>
        <v>#N/A</v>
      </c>
      <c r="BV103" s="38"/>
      <c r="BW103" s="6" t="e">
        <f t="shared" si="82"/>
        <v>#N/A</v>
      </c>
      <c r="BX103" s="9">
        <f t="shared" ca="1" si="83"/>
        <v>-156.7666765884093</v>
      </c>
      <c r="BY103" s="9">
        <f t="shared" ca="1" si="84"/>
        <v>84.412825855297342</v>
      </c>
      <c r="BZ103" s="9">
        <f t="shared" ca="1" si="85"/>
        <v>0</v>
      </c>
      <c r="CA103" s="6">
        <f t="shared" ca="1" si="86"/>
        <v>0</v>
      </c>
      <c r="CB103" s="6" t="e">
        <f t="shared" ca="1" si="87"/>
        <v>#DIV/0!</v>
      </c>
      <c r="CC103" s="6" t="e">
        <f t="shared" ca="1" si="88"/>
        <v>#DIV/0!</v>
      </c>
      <c r="CD103" s="9">
        <f t="shared" si="89"/>
        <v>-50</v>
      </c>
      <c r="CE103" s="9">
        <f t="shared" si="90"/>
        <v>0</v>
      </c>
      <c r="CF103" s="6">
        <f t="shared" si="91"/>
        <v>3.1415926535897931</v>
      </c>
      <c r="CG103" s="6"/>
      <c r="CH103" s="6"/>
      <c r="CI103" s="6"/>
      <c r="CJ103" s="1"/>
      <c r="CK103" s="6"/>
    </row>
    <row r="104" spans="1:89" x14ac:dyDescent="0.25">
      <c r="A104">
        <f t="shared" ref="A104:C113" si="99">A15</f>
        <v>1</v>
      </c>
      <c r="B104">
        <f t="shared" si="99"/>
        <v>8</v>
      </c>
      <c r="C104">
        <f t="shared" ca="1" si="99"/>
        <v>0.79</v>
      </c>
      <c r="D104" s="9">
        <f t="shared" ref="D104:D113" si="100">D15-$I$2</f>
        <v>-4</v>
      </c>
      <c r="E104" s="5">
        <f t="shared" ref="E104:E113" si="101">E15-$I$3</f>
        <v>-10</v>
      </c>
      <c r="F104" s="5">
        <f t="shared" ref="F104:F113" ca="1" si="102">($B$12-$B$31)*C104*0.65</f>
        <v>28.627625000000002</v>
      </c>
      <c r="G104">
        <f t="shared" ref="G104:G113" ca="1" si="103">E104*F104</f>
        <v>-286.27625</v>
      </c>
      <c r="H104">
        <f t="shared" ref="H104:H113" ca="1" si="104">D104*F104*-1</f>
        <v>114.51050000000001</v>
      </c>
      <c r="J104">
        <f t="shared" ref="J104:J113" ca="1" si="105">-1*C104*$B$12*0.9</f>
        <v>-42.660000000000004</v>
      </c>
      <c r="K104">
        <f t="shared" ref="K104:K113" ca="1" si="106">E104*J104</f>
        <v>426.6</v>
      </c>
      <c r="L104">
        <f t="shared" ref="L104:L113" ca="1" si="107">D104*J104*-1</f>
        <v>-170.64000000000001</v>
      </c>
      <c r="BC104"/>
      <c r="BD104"/>
      <c r="BF104" s="6" t="e">
        <f t="shared" si="97"/>
        <v>#N/A</v>
      </c>
      <c r="BG104" s="6" t="e">
        <f t="shared" si="98"/>
        <v>#N/A</v>
      </c>
      <c r="BH104" s="6" t="e">
        <f t="shared" si="80"/>
        <v>#N/A</v>
      </c>
      <c r="BI104" s="6" t="e">
        <f t="shared" si="81"/>
        <v>#N/A</v>
      </c>
      <c r="BV104" s="38"/>
      <c r="BW104" s="6" t="e">
        <f t="shared" si="82"/>
        <v>#N/A</v>
      </c>
      <c r="BX104" s="9">
        <f t="shared" ca="1" si="83"/>
        <v>-156.7666765884093</v>
      </c>
      <c r="BY104" s="9">
        <f t="shared" ca="1" si="84"/>
        <v>84.412825855297342</v>
      </c>
      <c r="BZ104" s="9">
        <f t="shared" ca="1" si="85"/>
        <v>0</v>
      </c>
      <c r="CA104" s="6">
        <f t="shared" ca="1" si="86"/>
        <v>0</v>
      </c>
      <c r="CB104" s="6" t="e">
        <f t="shared" ca="1" si="87"/>
        <v>#DIV/0!</v>
      </c>
      <c r="CC104" s="6" t="e">
        <f t="shared" ca="1" si="88"/>
        <v>#DIV/0!</v>
      </c>
      <c r="CD104" s="9">
        <f t="shared" si="89"/>
        <v>-50</v>
      </c>
      <c r="CE104" s="9">
        <f t="shared" si="90"/>
        <v>0</v>
      </c>
      <c r="CF104" s="6">
        <f t="shared" si="91"/>
        <v>3.1415926535897931</v>
      </c>
      <c r="CG104" s="6"/>
      <c r="CH104" s="6"/>
      <c r="CI104" s="6"/>
      <c r="CJ104" s="1"/>
      <c r="CK104" s="6"/>
    </row>
    <row r="105" spans="1:89" x14ac:dyDescent="0.25">
      <c r="A105">
        <f t="shared" si="99"/>
        <v>2</v>
      </c>
      <c r="B105">
        <f t="shared" si="99"/>
        <v>8</v>
      </c>
      <c r="C105">
        <f t="shared" ca="1" si="99"/>
        <v>0.79</v>
      </c>
      <c r="D105" s="9">
        <f t="shared" si="100"/>
        <v>-4</v>
      </c>
      <c r="E105" s="5">
        <f t="shared" si="101"/>
        <v>-8</v>
      </c>
      <c r="F105" s="5">
        <f t="shared" ca="1" si="102"/>
        <v>28.627625000000002</v>
      </c>
      <c r="G105">
        <f t="shared" ca="1" si="103"/>
        <v>-229.02100000000002</v>
      </c>
      <c r="H105">
        <f t="shared" ca="1" si="104"/>
        <v>114.51050000000001</v>
      </c>
      <c r="J105">
        <f t="shared" ca="1" si="105"/>
        <v>-42.660000000000004</v>
      </c>
      <c r="K105">
        <f t="shared" ca="1" si="106"/>
        <v>341.28000000000003</v>
      </c>
      <c r="L105">
        <f t="shared" ca="1" si="107"/>
        <v>-170.64000000000001</v>
      </c>
      <c r="BC105"/>
      <c r="BD105"/>
      <c r="BF105" s="6" t="e">
        <f t="shared" si="97"/>
        <v>#N/A</v>
      </c>
      <c r="BG105" s="6" t="e">
        <f t="shared" si="98"/>
        <v>#N/A</v>
      </c>
      <c r="BH105" s="6" t="e">
        <f t="shared" si="80"/>
        <v>#N/A</v>
      </c>
      <c r="BI105" s="6" t="e">
        <f t="shared" si="81"/>
        <v>#N/A</v>
      </c>
      <c r="BV105" s="38"/>
      <c r="BW105" s="6" t="e">
        <f t="shared" si="82"/>
        <v>#N/A</v>
      </c>
      <c r="BX105" s="9">
        <f t="shared" ca="1" si="83"/>
        <v>-156.7666765884093</v>
      </c>
      <c r="BY105" s="9">
        <f t="shared" ca="1" si="84"/>
        <v>84.412825855297342</v>
      </c>
      <c r="BZ105" s="9">
        <f t="shared" ca="1" si="85"/>
        <v>0</v>
      </c>
      <c r="CA105" s="6">
        <f t="shared" ca="1" si="86"/>
        <v>0</v>
      </c>
      <c r="CB105" s="6" t="e">
        <f t="shared" ca="1" si="87"/>
        <v>#DIV/0!</v>
      </c>
      <c r="CC105" s="6" t="e">
        <f t="shared" ca="1" si="88"/>
        <v>#DIV/0!</v>
      </c>
      <c r="CD105" s="9">
        <f t="shared" si="89"/>
        <v>-50</v>
      </c>
      <c r="CE105" s="9">
        <f t="shared" si="90"/>
        <v>0</v>
      </c>
      <c r="CF105" s="6">
        <f t="shared" si="91"/>
        <v>3.1415926535897931</v>
      </c>
      <c r="CG105" s="6"/>
      <c r="CH105" s="6"/>
      <c r="CI105" s="6"/>
      <c r="CJ105" s="1"/>
      <c r="CK105" s="6"/>
    </row>
    <row r="106" spans="1:89" x14ac:dyDescent="0.25">
      <c r="A106">
        <f t="shared" si="99"/>
        <v>3</v>
      </c>
      <c r="B106">
        <f t="shared" si="99"/>
        <v>8</v>
      </c>
      <c r="C106">
        <f t="shared" ca="1" si="99"/>
        <v>0.79</v>
      </c>
      <c r="D106" s="9">
        <f t="shared" si="100"/>
        <v>-2</v>
      </c>
      <c r="E106" s="5">
        <f t="shared" si="101"/>
        <v>-10</v>
      </c>
      <c r="F106" s="5">
        <f t="shared" ca="1" si="102"/>
        <v>28.627625000000002</v>
      </c>
      <c r="G106">
        <f t="shared" ca="1" si="103"/>
        <v>-286.27625</v>
      </c>
      <c r="H106">
        <f t="shared" ca="1" si="104"/>
        <v>57.255250000000004</v>
      </c>
      <c r="J106">
        <f t="shared" ca="1" si="105"/>
        <v>-42.660000000000004</v>
      </c>
      <c r="K106">
        <f t="shared" ca="1" si="106"/>
        <v>426.6</v>
      </c>
      <c r="L106">
        <f t="shared" ca="1" si="107"/>
        <v>-85.320000000000007</v>
      </c>
      <c r="BC106"/>
      <c r="BD106"/>
      <c r="BF106" s="6" t="e">
        <f t="shared" si="97"/>
        <v>#N/A</v>
      </c>
      <c r="BG106" s="6" t="e">
        <f t="shared" si="98"/>
        <v>#N/A</v>
      </c>
      <c r="BH106" s="6" t="e">
        <f t="shared" si="80"/>
        <v>#N/A</v>
      </c>
      <c r="BI106" s="6" t="e">
        <f t="shared" si="81"/>
        <v>#N/A</v>
      </c>
      <c r="BV106" s="38"/>
      <c r="BW106" s="6" t="e">
        <f t="shared" si="82"/>
        <v>#N/A</v>
      </c>
      <c r="BX106" s="9">
        <f t="shared" ca="1" si="83"/>
        <v>-156.7666765884093</v>
      </c>
      <c r="BY106" s="9">
        <f t="shared" ca="1" si="84"/>
        <v>84.412825855297342</v>
      </c>
      <c r="BZ106" s="9">
        <f t="shared" ca="1" si="85"/>
        <v>0</v>
      </c>
      <c r="CA106" s="6">
        <f t="shared" ca="1" si="86"/>
        <v>0</v>
      </c>
      <c r="CB106" s="6" t="e">
        <f t="shared" ca="1" si="87"/>
        <v>#DIV/0!</v>
      </c>
      <c r="CC106" s="6" t="e">
        <f t="shared" ca="1" si="88"/>
        <v>#DIV/0!</v>
      </c>
      <c r="CD106" s="9">
        <f t="shared" si="89"/>
        <v>-50</v>
      </c>
      <c r="CE106" s="9">
        <f t="shared" si="90"/>
        <v>0</v>
      </c>
      <c r="CF106" s="6">
        <f t="shared" si="91"/>
        <v>3.1415926535897931</v>
      </c>
      <c r="CG106" s="6"/>
      <c r="CH106" s="6"/>
      <c r="CI106" s="6"/>
      <c r="CJ106" s="1"/>
      <c r="CK106" s="6"/>
    </row>
    <row r="107" spans="1:89" x14ac:dyDescent="0.25">
      <c r="A107">
        <f t="shared" si="99"/>
        <v>4</v>
      </c>
      <c r="B107">
        <f t="shared" si="99"/>
        <v>8</v>
      </c>
      <c r="C107">
        <f t="shared" ca="1" si="99"/>
        <v>0.79</v>
      </c>
      <c r="D107" s="9">
        <f t="shared" si="100"/>
        <v>-2</v>
      </c>
      <c r="E107" s="5">
        <f t="shared" si="101"/>
        <v>-8</v>
      </c>
      <c r="F107" s="5">
        <f t="shared" ca="1" si="102"/>
        <v>28.627625000000002</v>
      </c>
      <c r="G107">
        <f t="shared" ca="1" si="103"/>
        <v>-229.02100000000002</v>
      </c>
      <c r="H107">
        <f t="shared" ca="1" si="104"/>
        <v>57.255250000000004</v>
      </c>
      <c r="J107">
        <f t="shared" ca="1" si="105"/>
        <v>-42.660000000000004</v>
      </c>
      <c r="K107">
        <f t="shared" ca="1" si="106"/>
        <v>341.28000000000003</v>
      </c>
      <c r="L107">
        <f t="shared" ca="1" si="107"/>
        <v>-85.320000000000007</v>
      </c>
      <c r="BC107"/>
      <c r="BD107"/>
      <c r="BF107" s="6" t="e">
        <f t="shared" si="97"/>
        <v>#N/A</v>
      </c>
      <c r="BG107" s="6" t="e">
        <f t="shared" si="98"/>
        <v>#N/A</v>
      </c>
      <c r="BH107" s="6" t="e">
        <f t="shared" si="80"/>
        <v>#N/A</v>
      </c>
      <c r="BI107" s="6" t="e">
        <f t="shared" si="81"/>
        <v>#N/A</v>
      </c>
      <c r="BV107" s="38"/>
      <c r="BW107" s="6" t="e">
        <f t="shared" si="82"/>
        <v>#N/A</v>
      </c>
      <c r="BX107" s="9">
        <f t="shared" ca="1" si="83"/>
        <v>-156.7666765884093</v>
      </c>
      <c r="BY107" s="9">
        <f t="shared" ca="1" si="84"/>
        <v>84.412825855297342</v>
      </c>
      <c r="BZ107" s="9">
        <f t="shared" ca="1" si="85"/>
        <v>0</v>
      </c>
      <c r="CA107" s="6">
        <f t="shared" ca="1" si="86"/>
        <v>0</v>
      </c>
      <c r="CB107" s="6" t="e">
        <f t="shared" ca="1" si="87"/>
        <v>#DIV/0!</v>
      </c>
      <c r="CC107" s="6" t="e">
        <f t="shared" ca="1" si="88"/>
        <v>#DIV/0!</v>
      </c>
      <c r="CD107" s="9">
        <f t="shared" si="89"/>
        <v>-50</v>
      </c>
      <c r="CE107" s="9">
        <f t="shared" si="90"/>
        <v>0</v>
      </c>
      <c r="CF107" s="6">
        <f t="shared" si="91"/>
        <v>3.1415926535897931</v>
      </c>
      <c r="CG107" s="6"/>
      <c r="CH107" s="6"/>
      <c r="CI107" s="6"/>
      <c r="CJ107" s="1"/>
      <c r="CK107" s="6"/>
    </row>
    <row r="108" spans="1:89" x14ac:dyDescent="0.25">
      <c r="A108">
        <f t="shared" si="99"/>
        <v>5</v>
      </c>
      <c r="B108">
        <f t="shared" si="99"/>
        <v>0</v>
      </c>
      <c r="C108">
        <f t="shared" ca="1" si="99"/>
        <v>0</v>
      </c>
      <c r="D108" s="9">
        <f t="shared" si="100"/>
        <v>0</v>
      </c>
      <c r="E108" s="5">
        <f t="shared" si="101"/>
        <v>-10</v>
      </c>
      <c r="F108" s="5">
        <f t="shared" ca="1" si="102"/>
        <v>0</v>
      </c>
      <c r="G108">
        <f t="shared" ca="1" si="103"/>
        <v>0</v>
      </c>
      <c r="H108">
        <f t="shared" ca="1" si="104"/>
        <v>0</v>
      </c>
      <c r="J108">
        <f t="shared" ca="1" si="105"/>
        <v>0</v>
      </c>
      <c r="K108">
        <f t="shared" ca="1" si="106"/>
        <v>0</v>
      </c>
      <c r="L108">
        <f t="shared" ca="1" si="107"/>
        <v>0</v>
      </c>
      <c r="BC108"/>
      <c r="BD108"/>
      <c r="BF108" s="6" t="e">
        <f t="shared" si="97"/>
        <v>#N/A</v>
      </c>
      <c r="BG108" s="6" t="e">
        <f t="shared" si="98"/>
        <v>#N/A</v>
      </c>
      <c r="BH108" s="6" t="e">
        <f t="shared" si="80"/>
        <v>#N/A</v>
      </c>
      <c r="BI108" s="6" t="e">
        <f t="shared" si="81"/>
        <v>#N/A</v>
      </c>
      <c r="BV108" s="38"/>
      <c r="BW108" s="6" t="e">
        <f t="shared" si="82"/>
        <v>#N/A</v>
      </c>
      <c r="BX108" s="9">
        <f t="shared" ca="1" si="83"/>
        <v>-156.7666765884093</v>
      </c>
      <c r="BY108" s="9">
        <f t="shared" ca="1" si="84"/>
        <v>84.412825855297342</v>
      </c>
      <c r="BZ108" s="9">
        <f t="shared" ca="1" si="85"/>
        <v>0</v>
      </c>
      <c r="CA108" s="6">
        <f t="shared" ca="1" si="86"/>
        <v>0</v>
      </c>
      <c r="CB108" s="6" t="e">
        <f t="shared" ca="1" si="87"/>
        <v>#DIV/0!</v>
      </c>
      <c r="CC108" s="6" t="e">
        <f t="shared" ca="1" si="88"/>
        <v>#DIV/0!</v>
      </c>
      <c r="CD108" s="9">
        <f t="shared" si="89"/>
        <v>-50</v>
      </c>
      <c r="CE108" s="9">
        <f t="shared" si="90"/>
        <v>0</v>
      </c>
      <c r="CF108" s="6">
        <f t="shared" si="91"/>
        <v>3.1415926535897931</v>
      </c>
      <c r="CG108" s="6"/>
      <c r="CH108" s="6"/>
      <c r="CI108" s="6"/>
      <c r="CJ108" s="1"/>
      <c r="CK108" s="6"/>
    </row>
    <row r="109" spans="1:89" x14ac:dyDescent="0.25">
      <c r="A109">
        <f t="shared" si="99"/>
        <v>6</v>
      </c>
      <c r="B109">
        <f t="shared" si="99"/>
        <v>0</v>
      </c>
      <c r="C109">
        <f t="shared" ca="1" si="99"/>
        <v>0</v>
      </c>
      <c r="D109" s="9">
        <f t="shared" si="100"/>
        <v>-6</v>
      </c>
      <c r="E109" s="5">
        <f t="shared" si="101"/>
        <v>-3.34</v>
      </c>
      <c r="F109" s="5">
        <f t="shared" ca="1" si="102"/>
        <v>0</v>
      </c>
      <c r="G109">
        <f t="shared" ca="1" si="103"/>
        <v>0</v>
      </c>
      <c r="H109">
        <f t="shared" ca="1" si="104"/>
        <v>0</v>
      </c>
      <c r="J109">
        <f t="shared" ca="1" si="105"/>
        <v>0</v>
      </c>
      <c r="K109">
        <f t="shared" ca="1" si="106"/>
        <v>0</v>
      </c>
      <c r="L109">
        <f t="shared" ca="1" si="107"/>
        <v>0</v>
      </c>
      <c r="BC109"/>
      <c r="BD109"/>
      <c r="BF109" s="6" t="e">
        <f t="shared" si="97"/>
        <v>#N/A</v>
      </c>
      <c r="BG109" s="6" t="e">
        <f t="shared" si="98"/>
        <v>#N/A</v>
      </c>
      <c r="BH109" s="6" t="e">
        <f t="shared" si="80"/>
        <v>#N/A</v>
      </c>
      <c r="BI109" s="6" t="e">
        <f t="shared" si="81"/>
        <v>#N/A</v>
      </c>
      <c r="BV109" s="38"/>
      <c r="BW109" s="6" t="e">
        <f t="shared" si="82"/>
        <v>#N/A</v>
      </c>
      <c r="BX109" s="9">
        <f t="shared" ca="1" si="83"/>
        <v>-156.7666765884093</v>
      </c>
      <c r="BY109" s="9">
        <f t="shared" ca="1" si="84"/>
        <v>84.412825855297342</v>
      </c>
      <c r="BZ109" s="9">
        <f t="shared" ca="1" si="85"/>
        <v>0</v>
      </c>
      <c r="CA109" s="6">
        <f t="shared" ca="1" si="86"/>
        <v>0</v>
      </c>
      <c r="CB109" s="6" t="e">
        <f t="shared" ca="1" si="87"/>
        <v>#DIV/0!</v>
      </c>
      <c r="CC109" s="6" t="e">
        <f t="shared" ca="1" si="88"/>
        <v>#DIV/0!</v>
      </c>
      <c r="CD109" s="9">
        <f t="shared" si="89"/>
        <v>-50</v>
      </c>
      <c r="CE109" s="9">
        <f t="shared" si="90"/>
        <v>0</v>
      </c>
      <c r="CF109" s="6">
        <f t="shared" si="91"/>
        <v>3.1415926535897931</v>
      </c>
      <c r="CG109" s="6"/>
      <c r="CH109" s="6"/>
      <c r="CI109" s="6"/>
      <c r="CJ109" s="1"/>
      <c r="CK109" s="6"/>
    </row>
    <row r="110" spans="1:89" x14ac:dyDescent="0.25">
      <c r="A110">
        <f t="shared" si="99"/>
        <v>7</v>
      </c>
      <c r="B110">
        <f t="shared" si="99"/>
        <v>0</v>
      </c>
      <c r="C110">
        <f t="shared" ca="1" si="99"/>
        <v>0</v>
      </c>
      <c r="D110" s="9">
        <f t="shared" si="100"/>
        <v>-4</v>
      </c>
      <c r="E110" s="5">
        <f t="shared" si="101"/>
        <v>10</v>
      </c>
      <c r="F110" s="5">
        <f t="shared" ca="1" si="102"/>
        <v>0</v>
      </c>
      <c r="G110">
        <f t="shared" ca="1" si="103"/>
        <v>0</v>
      </c>
      <c r="H110">
        <f t="shared" ca="1" si="104"/>
        <v>0</v>
      </c>
      <c r="J110">
        <f t="shared" ca="1" si="105"/>
        <v>0</v>
      </c>
      <c r="K110">
        <f t="shared" ca="1" si="106"/>
        <v>0</v>
      </c>
      <c r="L110">
        <f t="shared" ca="1" si="107"/>
        <v>0</v>
      </c>
      <c r="BC110"/>
      <c r="BD110"/>
      <c r="BF110" s="6" t="e">
        <f t="shared" si="97"/>
        <v>#N/A</v>
      </c>
      <c r="BG110" s="6" t="e">
        <f t="shared" si="98"/>
        <v>#N/A</v>
      </c>
      <c r="BH110" s="6" t="e">
        <f t="shared" si="80"/>
        <v>#N/A</v>
      </c>
      <c r="BI110" s="6" t="e">
        <f t="shared" si="81"/>
        <v>#N/A</v>
      </c>
      <c r="BV110" s="38"/>
      <c r="BW110" s="6" t="e">
        <f t="shared" si="82"/>
        <v>#N/A</v>
      </c>
      <c r="BX110" s="9">
        <f t="shared" ca="1" si="83"/>
        <v>-156.7666765884093</v>
      </c>
      <c r="BY110" s="9">
        <f t="shared" ca="1" si="84"/>
        <v>84.412825855297342</v>
      </c>
      <c r="BZ110" s="9">
        <f t="shared" ca="1" si="85"/>
        <v>0</v>
      </c>
      <c r="CA110" s="6">
        <f t="shared" ca="1" si="86"/>
        <v>0</v>
      </c>
      <c r="CB110" s="6" t="e">
        <f t="shared" ca="1" si="87"/>
        <v>#DIV/0!</v>
      </c>
      <c r="CC110" s="6" t="e">
        <f t="shared" ca="1" si="88"/>
        <v>#DIV/0!</v>
      </c>
      <c r="CD110" s="9">
        <f t="shared" si="89"/>
        <v>-50</v>
      </c>
      <c r="CE110" s="9">
        <f t="shared" si="90"/>
        <v>0</v>
      </c>
      <c r="CF110" s="6">
        <f t="shared" si="91"/>
        <v>3.1415926535897931</v>
      </c>
      <c r="CG110" s="6"/>
      <c r="CH110" s="6"/>
      <c r="CI110" s="6"/>
      <c r="CJ110" s="1"/>
      <c r="CK110" s="6"/>
    </row>
    <row r="111" spans="1:89" x14ac:dyDescent="0.25">
      <c r="A111">
        <f t="shared" si="99"/>
        <v>8</v>
      </c>
      <c r="B111">
        <f t="shared" si="99"/>
        <v>0</v>
      </c>
      <c r="C111">
        <f t="shared" ca="1" si="99"/>
        <v>0</v>
      </c>
      <c r="D111" s="9">
        <f t="shared" si="100"/>
        <v>4</v>
      </c>
      <c r="E111" s="5">
        <f t="shared" si="101"/>
        <v>10</v>
      </c>
      <c r="F111" s="5">
        <f t="shared" ca="1" si="102"/>
        <v>0</v>
      </c>
      <c r="G111">
        <f t="shared" ca="1" si="103"/>
        <v>0</v>
      </c>
      <c r="H111">
        <f t="shared" ca="1" si="104"/>
        <v>0</v>
      </c>
      <c r="J111">
        <f t="shared" ca="1" si="105"/>
        <v>0</v>
      </c>
      <c r="K111">
        <f t="shared" ca="1" si="106"/>
        <v>0</v>
      </c>
      <c r="L111">
        <f t="shared" ca="1" si="107"/>
        <v>0</v>
      </c>
      <c r="BC111"/>
      <c r="BD111"/>
      <c r="BF111" s="6" t="e">
        <f t="shared" si="97"/>
        <v>#N/A</v>
      </c>
      <c r="BG111" s="6" t="e">
        <f t="shared" si="98"/>
        <v>#N/A</v>
      </c>
      <c r="BH111" s="6" t="e">
        <f t="shared" si="80"/>
        <v>#N/A</v>
      </c>
      <c r="BI111" s="6" t="e">
        <f t="shared" si="81"/>
        <v>#N/A</v>
      </c>
      <c r="BV111" s="38"/>
      <c r="BW111" s="6" t="e">
        <f t="shared" si="82"/>
        <v>#N/A</v>
      </c>
      <c r="BX111" s="9">
        <f t="shared" ca="1" si="83"/>
        <v>-156.7666765884093</v>
      </c>
      <c r="BY111" s="9">
        <f t="shared" ca="1" si="84"/>
        <v>84.412825855297342</v>
      </c>
      <c r="BZ111" s="9">
        <f t="shared" ca="1" si="85"/>
        <v>0</v>
      </c>
      <c r="CA111" s="6">
        <f t="shared" ca="1" si="86"/>
        <v>0</v>
      </c>
      <c r="CB111" s="6" t="e">
        <f t="shared" ca="1" si="87"/>
        <v>#DIV/0!</v>
      </c>
      <c r="CC111" s="6" t="e">
        <f t="shared" ca="1" si="88"/>
        <v>#DIV/0!</v>
      </c>
      <c r="CD111" s="9">
        <f t="shared" si="89"/>
        <v>-50</v>
      </c>
      <c r="CE111" s="9">
        <f t="shared" si="90"/>
        <v>0</v>
      </c>
      <c r="CF111" s="6">
        <f t="shared" si="91"/>
        <v>3.1415926535897931</v>
      </c>
      <c r="CG111" s="6"/>
      <c r="CH111" s="6"/>
      <c r="CI111" s="6"/>
      <c r="CJ111" s="1"/>
      <c r="CK111" s="6"/>
    </row>
    <row r="112" spans="1:89" x14ac:dyDescent="0.25">
      <c r="A112">
        <f t="shared" si="99"/>
        <v>9</v>
      </c>
      <c r="B112">
        <f t="shared" si="99"/>
        <v>0</v>
      </c>
      <c r="C112">
        <f t="shared" ca="1" si="99"/>
        <v>0</v>
      </c>
      <c r="D112" s="9">
        <f t="shared" si="100"/>
        <v>-4</v>
      </c>
      <c r="E112" s="5">
        <f t="shared" si="101"/>
        <v>-10</v>
      </c>
      <c r="F112" s="5">
        <f t="shared" ca="1" si="102"/>
        <v>0</v>
      </c>
      <c r="G112">
        <f t="shared" ca="1" si="103"/>
        <v>0</v>
      </c>
      <c r="H112">
        <f t="shared" ca="1" si="104"/>
        <v>0</v>
      </c>
      <c r="J112">
        <f t="shared" ca="1" si="105"/>
        <v>0</v>
      </c>
      <c r="K112">
        <f t="shared" ca="1" si="106"/>
        <v>0</v>
      </c>
      <c r="L112">
        <f t="shared" ca="1" si="107"/>
        <v>0</v>
      </c>
      <c r="BC112"/>
      <c r="BD112"/>
      <c r="BF112" s="6" t="e">
        <f t="shared" si="97"/>
        <v>#N/A</v>
      </c>
      <c r="BG112" s="6" t="e">
        <f t="shared" si="98"/>
        <v>#N/A</v>
      </c>
      <c r="BH112" s="6" t="e">
        <f t="shared" si="80"/>
        <v>#N/A</v>
      </c>
      <c r="BI112" s="6" t="e">
        <f t="shared" si="81"/>
        <v>#N/A</v>
      </c>
      <c r="BV112" s="38"/>
      <c r="BW112" s="6" t="e">
        <f t="shared" si="82"/>
        <v>#N/A</v>
      </c>
      <c r="BX112" s="9">
        <f t="shared" ca="1" si="83"/>
        <v>-156.7666765884093</v>
      </c>
      <c r="BY112" s="9">
        <f t="shared" ca="1" si="84"/>
        <v>84.412825855297342</v>
      </c>
      <c r="BZ112" s="9">
        <f t="shared" ca="1" si="85"/>
        <v>0</v>
      </c>
      <c r="CA112" s="6">
        <f t="shared" ca="1" si="86"/>
        <v>0</v>
      </c>
      <c r="CB112" s="6" t="e">
        <f t="shared" ca="1" si="87"/>
        <v>#DIV/0!</v>
      </c>
      <c r="CC112" s="6" t="e">
        <f t="shared" ca="1" si="88"/>
        <v>#DIV/0!</v>
      </c>
      <c r="CD112" s="9">
        <f t="shared" si="89"/>
        <v>-50</v>
      </c>
      <c r="CE112" s="9">
        <f t="shared" si="90"/>
        <v>0</v>
      </c>
      <c r="CF112" s="6">
        <f t="shared" si="91"/>
        <v>3.1415926535897931</v>
      </c>
      <c r="CG112" s="6"/>
      <c r="CH112" s="6"/>
      <c r="CI112" s="6"/>
      <c r="CJ112" s="1"/>
      <c r="CK112" s="6"/>
    </row>
    <row r="113" spans="1:89" x14ac:dyDescent="0.25">
      <c r="A113">
        <f t="shared" si="99"/>
        <v>10</v>
      </c>
      <c r="B113">
        <f t="shared" si="99"/>
        <v>0</v>
      </c>
      <c r="C113">
        <f t="shared" ca="1" si="99"/>
        <v>0</v>
      </c>
      <c r="D113" s="9">
        <f t="shared" si="100"/>
        <v>4</v>
      </c>
      <c r="E113" s="5">
        <f t="shared" si="101"/>
        <v>-10</v>
      </c>
      <c r="F113" s="5">
        <f t="shared" ca="1" si="102"/>
        <v>0</v>
      </c>
      <c r="G113">
        <f t="shared" ca="1" si="103"/>
        <v>0</v>
      </c>
      <c r="H113">
        <f t="shared" ca="1" si="104"/>
        <v>0</v>
      </c>
      <c r="J113">
        <f t="shared" ca="1" si="105"/>
        <v>0</v>
      </c>
      <c r="K113">
        <f t="shared" ca="1" si="106"/>
        <v>0</v>
      </c>
      <c r="L113">
        <f t="shared" ca="1" si="107"/>
        <v>0</v>
      </c>
      <c r="BC113"/>
      <c r="BD113"/>
      <c r="BF113" s="6" t="e">
        <f t="shared" si="97"/>
        <v>#N/A</v>
      </c>
      <c r="BG113" s="6" t="e">
        <f t="shared" si="98"/>
        <v>#N/A</v>
      </c>
      <c r="BH113" s="6" t="e">
        <f t="shared" si="80"/>
        <v>#N/A</v>
      </c>
      <c r="BI113" s="6" t="e">
        <f t="shared" si="81"/>
        <v>#N/A</v>
      </c>
      <c r="BV113" s="38"/>
      <c r="BW113" s="6" t="e">
        <f t="shared" si="82"/>
        <v>#N/A</v>
      </c>
      <c r="BX113" s="9">
        <f t="shared" ca="1" si="83"/>
        <v>-156.7666765884093</v>
      </c>
      <c r="BY113" s="9">
        <f t="shared" ca="1" si="84"/>
        <v>84.412825855297342</v>
      </c>
      <c r="BZ113" s="9">
        <f t="shared" ca="1" si="85"/>
        <v>0</v>
      </c>
      <c r="CA113" s="6">
        <f t="shared" ca="1" si="86"/>
        <v>0</v>
      </c>
      <c r="CB113" s="6" t="e">
        <f t="shared" ca="1" si="87"/>
        <v>#DIV/0!</v>
      </c>
      <c r="CC113" s="6" t="e">
        <f t="shared" ca="1" si="88"/>
        <v>#DIV/0!</v>
      </c>
      <c r="CD113" s="9">
        <f t="shared" si="89"/>
        <v>-50</v>
      </c>
      <c r="CE113" s="9">
        <f t="shared" si="90"/>
        <v>0</v>
      </c>
      <c r="CF113" s="6">
        <f t="shared" si="91"/>
        <v>3.1415926535897931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/>
      <c r="BD114"/>
      <c r="BF114" s="6" t="e">
        <f t="shared" si="97"/>
        <v>#N/A</v>
      </c>
      <c r="BG114" s="6" t="e">
        <f t="shared" si="98"/>
        <v>#N/A</v>
      </c>
      <c r="BH114" s="6" t="e">
        <f t="shared" si="80"/>
        <v>#N/A</v>
      </c>
      <c r="BI114" s="6" t="e">
        <f t="shared" si="81"/>
        <v>#N/A</v>
      </c>
      <c r="BV114" s="38"/>
      <c r="BW114" s="6" t="e">
        <f t="shared" si="82"/>
        <v>#N/A</v>
      </c>
      <c r="BX114" s="9">
        <f t="shared" ca="1" si="83"/>
        <v>-156.7666765884093</v>
      </c>
      <c r="BY114" s="9">
        <f t="shared" ca="1" si="84"/>
        <v>84.412825855297342</v>
      </c>
      <c r="BZ114" s="9">
        <f t="shared" ca="1" si="85"/>
        <v>0</v>
      </c>
      <c r="CA114" s="6">
        <f t="shared" ca="1" si="86"/>
        <v>0</v>
      </c>
      <c r="CB114" s="6" t="e">
        <f t="shared" ca="1" si="87"/>
        <v>#DIV/0!</v>
      </c>
      <c r="CC114" s="6" t="e">
        <f t="shared" ca="1" si="88"/>
        <v>#DIV/0!</v>
      </c>
      <c r="CD114" s="9">
        <f t="shared" si="89"/>
        <v>-50</v>
      </c>
      <c r="CE114" s="9">
        <f t="shared" si="90"/>
        <v>0</v>
      </c>
      <c r="CF114" s="6">
        <f t="shared" si="91"/>
        <v>3.1415926535897931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BC115"/>
      <c r="BD115"/>
      <c r="BF115" s="6" t="e">
        <f t="shared" si="97"/>
        <v>#N/A</v>
      </c>
      <c r="BG115" s="6" t="e">
        <f t="shared" si="98"/>
        <v>#N/A</v>
      </c>
      <c r="BH115" s="6" t="e">
        <f t="shared" si="80"/>
        <v>#N/A</v>
      </c>
      <c r="BI115" s="6" t="e">
        <f t="shared" si="81"/>
        <v>#N/A</v>
      </c>
      <c r="BV115" s="38"/>
      <c r="BW115" s="6" t="e">
        <f t="shared" si="82"/>
        <v>#N/A</v>
      </c>
      <c r="BX115" s="9">
        <f t="shared" ca="1" si="83"/>
        <v>-156.7666765884093</v>
      </c>
      <c r="BY115" s="9">
        <f t="shared" ca="1" si="84"/>
        <v>84.412825855297342</v>
      </c>
      <c r="BZ115" s="9">
        <f t="shared" ca="1" si="85"/>
        <v>0</v>
      </c>
      <c r="CA115" s="6">
        <f t="shared" ca="1" si="86"/>
        <v>0</v>
      </c>
      <c r="CB115" s="6" t="e">
        <f t="shared" ca="1" si="87"/>
        <v>#DIV/0!</v>
      </c>
      <c r="CC115" s="6" t="e">
        <f t="shared" ca="1" si="88"/>
        <v>#DIV/0!</v>
      </c>
      <c r="CD115" s="9">
        <f t="shared" si="89"/>
        <v>-50</v>
      </c>
      <c r="CE115" s="9">
        <f t="shared" si="90"/>
        <v>0</v>
      </c>
      <c r="CF115" s="6">
        <f t="shared" si="91"/>
        <v>3.1415926535897931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5334.2055</v>
      </c>
      <c r="C116">
        <f ca="1">B116/12</f>
        <v>444.51712500000002</v>
      </c>
      <c r="J116">
        <f ca="1">K114</f>
        <v>1535.76</v>
      </c>
      <c r="K116">
        <f ca="1">J116/12</f>
        <v>127.98</v>
      </c>
      <c r="BC116"/>
      <c r="BD116"/>
      <c r="BF116" s="6" t="e">
        <f t="shared" si="97"/>
        <v>#N/A</v>
      </c>
      <c r="BG116" s="6" t="e">
        <f t="shared" si="98"/>
        <v>#N/A</v>
      </c>
      <c r="BH116" s="6" t="e">
        <f t="shared" si="80"/>
        <v>#N/A</v>
      </c>
      <c r="BI116" s="6" t="e">
        <f t="shared" si="81"/>
        <v>#N/A</v>
      </c>
      <c r="BV116" s="38"/>
      <c r="BW116" s="6" t="e">
        <f t="shared" si="82"/>
        <v>#N/A</v>
      </c>
      <c r="BX116" s="9">
        <f t="shared" ca="1" si="83"/>
        <v>-156.7666765884093</v>
      </c>
      <c r="BY116" s="9">
        <f t="shared" ca="1" si="84"/>
        <v>84.412825855297342</v>
      </c>
      <c r="BZ116" s="9">
        <f t="shared" ca="1" si="85"/>
        <v>0</v>
      </c>
      <c r="CA116" s="6">
        <f t="shared" ca="1" si="86"/>
        <v>0</v>
      </c>
      <c r="CB116" s="6" t="e">
        <f t="shared" ca="1" si="87"/>
        <v>#DIV/0!</v>
      </c>
      <c r="CC116" s="6" t="e">
        <f t="shared" ca="1" si="88"/>
        <v>#DIV/0!</v>
      </c>
      <c r="CD116" s="9">
        <f t="shared" si="89"/>
        <v>-50</v>
      </c>
      <c r="CE116" s="9">
        <f t="shared" si="90"/>
        <v>0</v>
      </c>
      <c r="CF116" s="6">
        <f t="shared" si="91"/>
        <v>3.1415926535897931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-6021.2685000000001</v>
      </c>
      <c r="C117">
        <f ca="1">B117/12</f>
        <v>-501.77237500000001</v>
      </c>
      <c r="J117">
        <f ca="1">L114</f>
        <v>-511.92</v>
      </c>
      <c r="K117">
        <f ca="1">J117/12</f>
        <v>-42.660000000000004</v>
      </c>
      <c r="BC117"/>
      <c r="BD117"/>
      <c r="BF117" s="6" t="e">
        <f t="shared" si="97"/>
        <v>#N/A</v>
      </c>
      <c r="BG117" s="6" t="e">
        <f t="shared" si="98"/>
        <v>#N/A</v>
      </c>
      <c r="BH117" s="6" t="e">
        <f t="shared" si="80"/>
        <v>#N/A</v>
      </c>
      <c r="BI117" s="6" t="e">
        <f t="shared" si="81"/>
        <v>#N/A</v>
      </c>
      <c r="BV117" s="38"/>
      <c r="BW117" s="6" t="e">
        <f t="shared" si="82"/>
        <v>#N/A</v>
      </c>
      <c r="BX117" s="9">
        <f t="shared" ca="1" si="83"/>
        <v>-156.7666765884093</v>
      </c>
      <c r="BY117" s="9">
        <f t="shared" ca="1" si="84"/>
        <v>84.412825855297342</v>
      </c>
      <c r="BZ117" s="9">
        <f t="shared" ca="1" si="85"/>
        <v>0</v>
      </c>
      <c r="CA117" s="6">
        <f t="shared" ca="1" si="86"/>
        <v>0</v>
      </c>
      <c r="CB117" s="6" t="e">
        <f t="shared" ca="1" si="87"/>
        <v>#DIV/0!</v>
      </c>
      <c r="CC117" s="6" t="e">
        <f t="shared" ca="1" si="88"/>
        <v>#DIV/0!</v>
      </c>
      <c r="CD117" s="9">
        <f t="shared" si="89"/>
        <v>-50</v>
      </c>
      <c r="CE117" s="9">
        <f t="shared" si="90"/>
        <v>0</v>
      </c>
      <c r="CF117" s="6">
        <f t="shared" si="91"/>
        <v>3.1415926535897931</v>
      </c>
      <c r="CG117" s="6"/>
      <c r="CH117" s="6"/>
      <c r="CI117" s="6"/>
      <c r="CJ117" s="1"/>
      <c r="CK117" s="6"/>
    </row>
    <row r="118" spans="1:89" x14ac:dyDescent="0.25">
      <c r="BC118"/>
      <c r="BD118"/>
      <c r="BF118" s="6" t="e">
        <f t="shared" si="97"/>
        <v>#N/A</v>
      </c>
      <c r="BG118" s="6" t="e">
        <f t="shared" si="98"/>
        <v>#N/A</v>
      </c>
      <c r="BH118" s="6" t="e">
        <f t="shared" si="80"/>
        <v>#N/A</v>
      </c>
      <c r="BI118" s="6" t="e">
        <f t="shared" si="81"/>
        <v>#N/A</v>
      </c>
      <c r="BV118" s="38"/>
      <c r="BW118" s="6" t="e">
        <f t="shared" si="82"/>
        <v>#N/A</v>
      </c>
      <c r="BX118" s="9">
        <f t="shared" ca="1" si="83"/>
        <v>-156.7666765884093</v>
      </c>
      <c r="BY118" s="9">
        <f t="shared" ca="1" si="84"/>
        <v>84.412825855297342</v>
      </c>
      <c r="BZ118" s="9">
        <f t="shared" ca="1" si="85"/>
        <v>0</v>
      </c>
      <c r="CA118" s="6">
        <f t="shared" ca="1" si="86"/>
        <v>0</v>
      </c>
      <c r="CB118" s="6" t="e">
        <f t="shared" ca="1" si="87"/>
        <v>#DIV/0!</v>
      </c>
      <c r="CC118" s="6" t="e">
        <f t="shared" ca="1" si="88"/>
        <v>#DIV/0!</v>
      </c>
      <c r="CD118" s="9">
        <f t="shared" si="89"/>
        <v>-50</v>
      </c>
      <c r="CE118" s="9">
        <f t="shared" si="90"/>
        <v>0</v>
      </c>
      <c r="CF118" s="6">
        <f t="shared" si="91"/>
        <v>3.1415926535897931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-3.5300647442810487</v>
      </c>
      <c r="J119">
        <f ca="1">J117/J115</f>
        <v>3</v>
      </c>
      <c r="BC119"/>
      <c r="BD119"/>
      <c r="BF119" s="6" t="e">
        <f t="shared" si="97"/>
        <v>#N/A</v>
      </c>
      <c r="BG119" s="6" t="e">
        <f t="shared" si="98"/>
        <v>#N/A</v>
      </c>
      <c r="BH119" s="6" t="e">
        <f t="shared" si="80"/>
        <v>#N/A</v>
      </c>
      <c r="BI119" s="6" t="e">
        <f t="shared" si="81"/>
        <v>#N/A</v>
      </c>
      <c r="BV119" s="38"/>
      <c r="BW119" s="6" t="e">
        <f t="shared" si="82"/>
        <v>#N/A</v>
      </c>
      <c r="BX119" s="9">
        <f t="shared" ca="1" si="83"/>
        <v>-156.7666765884093</v>
      </c>
      <c r="BY119" s="9">
        <f t="shared" ca="1" si="84"/>
        <v>84.412825855297342</v>
      </c>
      <c r="BZ119" s="9">
        <f t="shared" ca="1" si="85"/>
        <v>0</v>
      </c>
      <c r="CA119" s="6">
        <f t="shared" ca="1" si="86"/>
        <v>0</v>
      </c>
      <c r="CB119" s="6" t="e">
        <f t="shared" ca="1" si="87"/>
        <v>#DIV/0!</v>
      </c>
      <c r="CC119" s="6" t="e">
        <f t="shared" ca="1" si="88"/>
        <v>#DIV/0!</v>
      </c>
      <c r="CD119" s="9">
        <f t="shared" si="89"/>
        <v>-50</v>
      </c>
      <c r="CE119" s="9">
        <f t="shared" si="90"/>
        <v>0</v>
      </c>
      <c r="CF119" s="6">
        <f t="shared" si="91"/>
        <v>3.1415926535897931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3.1272630965219474</v>
      </c>
      <c r="J120">
        <f ca="1">J116/J115</f>
        <v>-9</v>
      </c>
      <c r="BC120"/>
      <c r="BD120"/>
      <c r="BF120" s="6" t="e">
        <f t="shared" si="97"/>
        <v>#N/A</v>
      </c>
      <c r="BG120" s="6" t="e">
        <f t="shared" si="98"/>
        <v>#N/A</v>
      </c>
      <c r="BH120" s="6" t="e">
        <f t="shared" si="80"/>
        <v>#N/A</v>
      </c>
      <c r="BI120" s="6" t="e">
        <f t="shared" si="81"/>
        <v>#N/A</v>
      </c>
      <c r="BV120" s="38"/>
      <c r="BW120" s="6" t="e">
        <f t="shared" si="82"/>
        <v>#N/A</v>
      </c>
      <c r="BX120" s="9">
        <f t="shared" ca="1" si="83"/>
        <v>-156.7666765884093</v>
      </c>
      <c r="BY120" s="9">
        <f t="shared" ca="1" si="84"/>
        <v>84.412825855297342</v>
      </c>
      <c r="BZ120" s="9">
        <f t="shared" ca="1" si="85"/>
        <v>0</v>
      </c>
      <c r="CA120" s="6">
        <f t="shared" ca="1" si="86"/>
        <v>0</v>
      </c>
      <c r="CB120" s="6" t="e">
        <f t="shared" ca="1" si="87"/>
        <v>#DIV/0!</v>
      </c>
      <c r="CC120" s="6" t="e">
        <f t="shared" ca="1" si="88"/>
        <v>#DIV/0!</v>
      </c>
      <c r="CD120" s="9">
        <f t="shared" si="89"/>
        <v>-50</v>
      </c>
      <c r="CE120" s="9">
        <f t="shared" si="90"/>
        <v>0</v>
      </c>
      <c r="CF120" s="6">
        <f t="shared" si="91"/>
        <v>3.1415926535897931</v>
      </c>
      <c r="CG120" s="6"/>
      <c r="CH120" s="6"/>
      <c r="CI120" s="6"/>
      <c r="CJ120" s="1"/>
      <c r="CK120" s="6"/>
    </row>
    <row r="121" spans="1:89" x14ac:dyDescent="0.25">
      <c r="BC121"/>
      <c r="BD121"/>
      <c r="BF121" s="6" t="e">
        <f t="shared" si="97"/>
        <v>#N/A</v>
      </c>
      <c r="BG121" s="6" t="e">
        <f t="shared" si="98"/>
        <v>#N/A</v>
      </c>
      <c r="BH121" s="6" t="e">
        <f t="shared" si="80"/>
        <v>#N/A</v>
      </c>
      <c r="BI121" s="6" t="e">
        <f t="shared" si="81"/>
        <v>#N/A</v>
      </c>
      <c r="BV121" s="38"/>
      <c r="BW121" s="6" t="e">
        <f t="shared" si="82"/>
        <v>#N/A</v>
      </c>
      <c r="BX121" s="9">
        <f t="shared" ca="1" si="83"/>
        <v>-156.7666765884093</v>
      </c>
      <c r="BY121" s="9">
        <f t="shared" ca="1" si="84"/>
        <v>84.412825855297342</v>
      </c>
      <c r="BZ121" s="9">
        <f t="shared" ca="1" si="85"/>
        <v>0</v>
      </c>
      <c r="CA121" s="6">
        <f t="shared" ca="1" si="86"/>
        <v>0</v>
      </c>
      <c r="CB121" s="6" t="e">
        <f t="shared" ca="1" si="87"/>
        <v>#DIV/0!</v>
      </c>
      <c r="CC121" s="6" t="e">
        <f t="shared" ca="1" si="88"/>
        <v>#DIV/0!</v>
      </c>
      <c r="CD121" s="9">
        <f t="shared" si="89"/>
        <v>-50</v>
      </c>
      <c r="CE121" s="9">
        <f t="shared" si="90"/>
        <v>0</v>
      </c>
      <c r="CF121" s="6">
        <f t="shared" si="91"/>
        <v>3.1415926535897931</v>
      </c>
      <c r="CG121" s="6"/>
      <c r="CH121" s="6"/>
      <c r="CI121" s="6"/>
      <c r="CJ121" s="1"/>
      <c r="CK121" s="6"/>
    </row>
    <row r="122" spans="1:89" x14ac:dyDescent="0.25">
      <c r="BC122"/>
      <c r="BD122"/>
      <c r="BF122" s="6" t="e">
        <f t="shared" si="97"/>
        <v>#N/A</v>
      </c>
      <c r="BG122" s="6" t="e">
        <f t="shared" si="98"/>
        <v>#N/A</v>
      </c>
      <c r="BH122" s="6" t="e">
        <f t="shared" si="80"/>
        <v>#N/A</v>
      </c>
      <c r="BI122" s="6" t="e">
        <f t="shared" si="81"/>
        <v>#N/A</v>
      </c>
      <c r="BV122" s="38"/>
      <c r="BW122" s="6" t="e">
        <f t="shared" si="82"/>
        <v>#N/A</v>
      </c>
      <c r="BX122" s="9">
        <f t="shared" ca="1" si="83"/>
        <v>-156.7666765884093</v>
      </c>
      <c r="BY122" s="9">
        <f t="shared" ca="1" si="84"/>
        <v>84.412825855297342</v>
      </c>
      <c r="BZ122" s="9">
        <f t="shared" ca="1" si="85"/>
        <v>0</v>
      </c>
      <c r="CA122" s="6">
        <f t="shared" ca="1" si="86"/>
        <v>0</v>
      </c>
      <c r="CB122" s="6" t="e">
        <f t="shared" ca="1" si="87"/>
        <v>#DIV/0!</v>
      </c>
      <c r="CC122" s="6" t="e">
        <f t="shared" ca="1" si="88"/>
        <v>#DIV/0!</v>
      </c>
      <c r="CD122" s="9">
        <f t="shared" si="89"/>
        <v>-50</v>
      </c>
      <c r="CE122" s="9">
        <f t="shared" si="90"/>
        <v>0</v>
      </c>
      <c r="CF122" s="6">
        <f t="shared" si="91"/>
        <v>3.1415926535897931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/>
      <c r="BD123"/>
      <c r="BF123" s="6" t="e">
        <f t="shared" si="97"/>
        <v>#N/A</v>
      </c>
      <c r="BG123" s="6" t="e">
        <f t="shared" si="98"/>
        <v>#N/A</v>
      </c>
      <c r="BH123" s="6" t="e">
        <f t="shared" si="80"/>
        <v>#N/A</v>
      </c>
      <c r="BI123" s="6" t="e">
        <f t="shared" si="81"/>
        <v>#N/A</v>
      </c>
      <c r="BV123" s="38"/>
      <c r="BW123" s="6" t="e">
        <f t="shared" si="82"/>
        <v>#N/A</v>
      </c>
      <c r="BX123" s="9">
        <f t="shared" ca="1" si="83"/>
        <v>-156.7666765884093</v>
      </c>
      <c r="BY123" s="9">
        <f t="shared" ca="1" si="84"/>
        <v>84.412825855297342</v>
      </c>
      <c r="BZ123" s="9">
        <f t="shared" ca="1" si="85"/>
        <v>0</v>
      </c>
      <c r="CA123" s="6">
        <f t="shared" ca="1" si="86"/>
        <v>0</v>
      </c>
      <c r="CB123" s="6" t="e">
        <f t="shared" ca="1" si="87"/>
        <v>#DIV/0!</v>
      </c>
      <c r="CC123" s="6" t="e">
        <f t="shared" ca="1" si="88"/>
        <v>#DIV/0!</v>
      </c>
      <c r="CD123" s="9">
        <f t="shared" si="89"/>
        <v>-50</v>
      </c>
      <c r="CE123" s="9">
        <f t="shared" si="90"/>
        <v>0</v>
      </c>
      <c r="CF123" s="6">
        <f t="shared" si="91"/>
        <v>3.1415926535897931</v>
      </c>
      <c r="CG123" s="6"/>
      <c r="CH123" s="6"/>
      <c r="CI123" s="6"/>
      <c r="CJ123" s="1"/>
      <c r="CK123" s="6"/>
    </row>
    <row r="124" spans="1:89" x14ac:dyDescent="0.25">
      <c r="BC124"/>
      <c r="BD124"/>
      <c r="BF124" s="6" t="e">
        <f t="shared" si="97"/>
        <v>#N/A</v>
      </c>
      <c r="BG124" s="6" t="e">
        <f t="shared" si="98"/>
        <v>#N/A</v>
      </c>
      <c r="BH124" s="6" t="e">
        <f t="shared" si="80"/>
        <v>#N/A</v>
      </c>
      <c r="BI124" s="6" t="e">
        <f t="shared" si="81"/>
        <v>#N/A</v>
      </c>
      <c r="BV124" s="38"/>
      <c r="BW124" s="6" t="e">
        <f t="shared" si="82"/>
        <v>#N/A</v>
      </c>
      <c r="BX124" s="9">
        <f t="shared" ca="1" si="83"/>
        <v>-156.7666765884093</v>
      </c>
      <c r="BY124" s="9">
        <f t="shared" ca="1" si="84"/>
        <v>84.412825855297342</v>
      </c>
      <c r="BZ124" s="9">
        <f t="shared" ca="1" si="85"/>
        <v>0</v>
      </c>
      <c r="CA124" s="6">
        <f t="shared" ca="1" si="86"/>
        <v>0</v>
      </c>
      <c r="CB124" s="6" t="e">
        <f t="shared" ca="1" si="87"/>
        <v>#DIV/0!</v>
      </c>
      <c r="CC124" s="6" t="e">
        <f t="shared" ca="1" si="88"/>
        <v>#DIV/0!</v>
      </c>
      <c r="CD124" s="9">
        <f t="shared" si="89"/>
        <v>-50</v>
      </c>
      <c r="CE124" s="9">
        <f t="shared" si="90"/>
        <v>0</v>
      </c>
      <c r="CF124" s="6">
        <f t="shared" si="91"/>
        <v>3.1415926535897931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5334.2055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5334.2055</v>
      </c>
      <c r="G125" s="1" t="s">
        <v>130</v>
      </c>
      <c r="BC125"/>
      <c r="BD125"/>
      <c r="BF125" s="6" t="e">
        <f t="shared" si="97"/>
        <v>#N/A</v>
      </c>
      <c r="BG125" s="6" t="e">
        <f t="shared" si="98"/>
        <v>#N/A</v>
      </c>
      <c r="BH125" s="6" t="e">
        <f t="shared" si="80"/>
        <v>#N/A</v>
      </c>
      <c r="BI125" s="6" t="e">
        <f t="shared" si="81"/>
        <v>#N/A</v>
      </c>
      <c r="BV125" s="38"/>
      <c r="BW125" s="6" t="e">
        <f t="shared" si="82"/>
        <v>#N/A</v>
      </c>
      <c r="BX125" s="9">
        <f t="shared" ca="1" si="83"/>
        <v>-156.7666765884093</v>
      </c>
      <c r="BY125" s="9">
        <f t="shared" ca="1" si="84"/>
        <v>84.412825855297342</v>
      </c>
      <c r="BZ125" s="9">
        <f t="shared" ca="1" si="85"/>
        <v>0</v>
      </c>
      <c r="CA125" s="6">
        <f t="shared" ca="1" si="86"/>
        <v>0</v>
      </c>
      <c r="CB125" s="6" t="e">
        <f t="shared" ca="1" si="87"/>
        <v>#DIV/0!</v>
      </c>
      <c r="CC125" s="6" t="e">
        <f t="shared" ca="1" si="88"/>
        <v>#DIV/0!</v>
      </c>
      <c r="CD125" s="9">
        <f t="shared" si="89"/>
        <v>-50</v>
      </c>
      <c r="CE125" s="9">
        <f t="shared" si="90"/>
        <v>0</v>
      </c>
      <c r="CF125" s="6">
        <f t="shared" si="91"/>
        <v>3.1415926535897931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-6021.2685000000001</v>
      </c>
      <c r="D126" s="1">
        <f ca="1">J117</f>
        <v>-511.92</v>
      </c>
      <c r="F126" s="3">
        <f ca="1">B117</f>
        <v>-6021.2685000000001</v>
      </c>
      <c r="BC126"/>
      <c r="BD126"/>
      <c r="BF126" s="6" t="e">
        <f t="shared" si="97"/>
        <v>#N/A</v>
      </c>
      <c r="BG126" s="6" t="e">
        <f t="shared" si="98"/>
        <v>#N/A</v>
      </c>
      <c r="BH126" s="6" t="e">
        <f t="shared" si="80"/>
        <v>#N/A</v>
      </c>
      <c r="BI126" s="6" t="e">
        <f t="shared" si="81"/>
        <v>#N/A</v>
      </c>
      <c r="BV126" s="38"/>
      <c r="BW126" s="6" t="e">
        <f t="shared" si="82"/>
        <v>#N/A</v>
      </c>
      <c r="BX126" s="9">
        <f t="shared" ca="1" si="83"/>
        <v>-156.7666765884093</v>
      </c>
      <c r="BY126" s="9">
        <f t="shared" ca="1" si="84"/>
        <v>84.412825855297342</v>
      </c>
      <c r="BZ126" s="9">
        <f t="shared" ca="1" si="85"/>
        <v>0</v>
      </c>
      <c r="CA126" s="6">
        <f t="shared" ca="1" si="86"/>
        <v>0</v>
      </c>
      <c r="CB126" s="6" t="e">
        <f t="shared" ca="1" si="87"/>
        <v>#DIV/0!</v>
      </c>
      <c r="CC126" s="6" t="e">
        <f t="shared" ca="1" si="88"/>
        <v>#DIV/0!</v>
      </c>
      <c r="CD126" s="9">
        <f t="shared" si="89"/>
        <v>-50</v>
      </c>
      <c r="CE126" s="9">
        <f t="shared" si="90"/>
        <v>0</v>
      </c>
      <c r="CF126" s="6">
        <f t="shared" si="91"/>
        <v>3.1415926535897931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BC127"/>
      <c r="BD127"/>
      <c r="BF127" s="6" t="e">
        <f t="shared" si="97"/>
        <v>#N/A</v>
      </c>
      <c r="BG127" s="6" t="e">
        <f t="shared" si="98"/>
        <v>#N/A</v>
      </c>
      <c r="BH127" s="6" t="e">
        <f t="shared" si="80"/>
        <v>#N/A</v>
      </c>
      <c r="BI127" s="6" t="e">
        <f t="shared" si="81"/>
        <v>#N/A</v>
      </c>
      <c r="BV127" s="38"/>
      <c r="BW127" s="6" t="e">
        <f t="shared" si="82"/>
        <v>#N/A</v>
      </c>
      <c r="BX127" s="9">
        <f t="shared" ca="1" si="83"/>
        <v>-156.7666765884093</v>
      </c>
      <c r="BY127" s="9">
        <f t="shared" ca="1" si="84"/>
        <v>84.412825855297342</v>
      </c>
      <c r="BZ127" s="9">
        <f t="shared" ca="1" si="85"/>
        <v>0</v>
      </c>
      <c r="CA127" s="6">
        <f t="shared" ca="1" si="86"/>
        <v>0</v>
      </c>
      <c r="CB127" s="6" t="e">
        <f t="shared" ca="1" si="87"/>
        <v>#DIV/0!</v>
      </c>
      <c r="CC127" s="6" t="e">
        <f t="shared" ca="1" si="88"/>
        <v>#DIV/0!</v>
      </c>
      <c r="CD127" s="9">
        <f t="shared" si="89"/>
        <v>-50</v>
      </c>
      <c r="CE127" s="9">
        <f t="shared" si="90"/>
        <v>0</v>
      </c>
      <c r="CF127" s="6">
        <f t="shared" si="91"/>
        <v>3.1415926535897931</v>
      </c>
      <c r="CG127" s="6"/>
      <c r="CH127" s="6"/>
      <c r="CI127" s="6"/>
      <c r="CJ127" s="1"/>
      <c r="CK127" s="6"/>
    </row>
    <row r="128" spans="1:89" x14ac:dyDescent="0.25">
      <c r="BC128"/>
      <c r="BD128"/>
      <c r="BF128" s="6" t="e">
        <f t="shared" si="97"/>
        <v>#N/A</v>
      </c>
      <c r="BG128" s="6" t="e">
        <f t="shared" si="98"/>
        <v>#N/A</v>
      </c>
      <c r="BH128" s="6" t="e">
        <f t="shared" si="80"/>
        <v>#N/A</v>
      </c>
      <c r="BI128" s="6" t="e">
        <f t="shared" si="81"/>
        <v>#N/A</v>
      </c>
      <c r="BV128" s="38"/>
      <c r="BW128" s="6" t="e">
        <f t="shared" si="82"/>
        <v>#N/A</v>
      </c>
      <c r="BX128" s="9">
        <f t="shared" ca="1" si="83"/>
        <v>-156.7666765884093</v>
      </c>
      <c r="BY128" s="9">
        <f t="shared" ca="1" si="84"/>
        <v>84.412825855297342</v>
      </c>
      <c r="BZ128" s="9">
        <f t="shared" ca="1" si="85"/>
        <v>0</v>
      </c>
      <c r="CA128" s="6">
        <f t="shared" ca="1" si="86"/>
        <v>0</v>
      </c>
      <c r="CB128" s="6" t="e">
        <f t="shared" ca="1" si="87"/>
        <v>#DIV/0!</v>
      </c>
      <c r="CC128" s="6" t="e">
        <f t="shared" ca="1" si="88"/>
        <v>#DIV/0!</v>
      </c>
      <c r="CD128" s="9">
        <f t="shared" si="89"/>
        <v>-50</v>
      </c>
      <c r="CE128" s="9">
        <f t="shared" si="90"/>
        <v>0</v>
      </c>
      <c r="CF128" s="6">
        <f t="shared" si="91"/>
        <v>3.1415926535897931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/>
      <c r="BD129"/>
      <c r="BF129" s="6" t="e">
        <f t="shared" si="97"/>
        <v>#N/A</v>
      </c>
      <c r="BG129" s="6" t="e">
        <f t="shared" si="98"/>
        <v>#N/A</v>
      </c>
      <c r="BH129" s="6" t="e">
        <f t="shared" si="80"/>
        <v>#N/A</v>
      </c>
      <c r="BI129" s="6" t="e">
        <f t="shared" si="81"/>
        <v>#N/A</v>
      </c>
      <c r="BV129" s="38"/>
      <c r="BW129" s="6" t="e">
        <f t="shared" si="82"/>
        <v>#N/A</v>
      </c>
      <c r="BX129" s="9">
        <f t="shared" ca="1" si="83"/>
        <v>-156.7666765884093</v>
      </c>
      <c r="BY129" s="9">
        <f t="shared" ca="1" si="84"/>
        <v>84.412825855297342</v>
      </c>
      <c r="BZ129" s="9">
        <f t="shared" ca="1" si="85"/>
        <v>0</v>
      </c>
      <c r="CA129" s="6">
        <f t="shared" ca="1" si="86"/>
        <v>0</v>
      </c>
      <c r="CB129" s="6" t="e">
        <f t="shared" ca="1" si="87"/>
        <v>#DIV/0!</v>
      </c>
      <c r="CC129" s="6" t="e">
        <f t="shared" ca="1" si="88"/>
        <v>#DIV/0!</v>
      </c>
      <c r="CD129" s="9">
        <f t="shared" si="89"/>
        <v>-50</v>
      </c>
      <c r="CE129" s="9">
        <f t="shared" si="90"/>
        <v>0</v>
      </c>
      <c r="CF129" s="6">
        <f t="shared" si="91"/>
        <v>3.1415926535897931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0</v>
      </c>
      <c r="BC130"/>
      <c r="BD130"/>
      <c r="BF130" s="6" t="e">
        <f t="shared" ref="BF130:BF155" si="108">IF(BC130&lt;&gt;"",IF(AND(BD130=0,BE130=0),0,MOD(ATAN2(BD130,BE130),2*PI())),NA())</f>
        <v>#N/A</v>
      </c>
      <c r="BG130" s="6" t="e">
        <f t="shared" ref="BG130:BG155" si="109">ABS(BC130-BF130)</f>
        <v>#N/A</v>
      </c>
      <c r="BH130" s="6" t="e">
        <f t="shared" si="80"/>
        <v>#N/A</v>
      </c>
      <c r="BI130" s="6" t="e">
        <f t="shared" si="81"/>
        <v>#N/A</v>
      </c>
      <c r="BV130" s="38"/>
      <c r="BW130" s="6" t="e">
        <f t="shared" si="82"/>
        <v>#N/A</v>
      </c>
      <c r="BX130" s="9">
        <f t="shared" ca="1" si="83"/>
        <v>-156.7666765884093</v>
      </c>
      <c r="BY130" s="9">
        <f t="shared" ca="1" si="84"/>
        <v>84.412825855297342</v>
      </c>
      <c r="BZ130" s="9">
        <f t="shared" ca="1" si="85"/>
        <v>0</v>
      </c>
      <c r="CA130" s="6">
        <f t="shared" ca="1" si="86"/>
        <v>0</v>
      </c>
      <c r="CB130" s="6" t="e">
        <f t="shared" ca="1" si="87"/>
        <v>#DIV/0!</v>
      </c>
      <c r="CC130" s="6" t="e">
        <f t="shared" ca="1" si="88"/>
        <v>#DIV/0!</v>
      </c>
      <c r="CD130" s="9">
        <f t="shared" si="89"/>
        <v>-50</v>
      </c>
      <c r="CE130" s="9">
        <f t="shared" si="90"/>
        <v>0</v>
      </c>
      <c r="CF130" s="6">
        <f t="shared" si="91"/>
        <v>3.1415926535897931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0.909057502849281</v>
      </c>
      <c r="BC131"/>
      <c r="BD131"/>
      <c r="BF131" s="6" t="e">
        <f t="shared" si="108"/>
        <v>#N/A</v>
      </c>
      <c r="BG131" s="6" t="e">
        <f t="shared" si="109"/>
        <v>#N/A</v>
      </c>
      <c r="BH131" s="6" t="e">
        <f t="shared" ref="BH131:BH155" si="110">ATAN2(COS($U$13-BF131),SIN($U$13-BF131))</f>
        <v>#N/A</v>
      </c>
      <c r="BI131" s="6" t="e">
        <f t="shared" ref="BI131:BI155" si="111">ABS(BH131)</f>
        <v>#N/A</v>
      </c>
      <c r="BV131" s="38"/>
      <c r="BW131" s="6" t="e">
        <f t="shared" si="82"/>
        <v>#N/A</v>
      </c>
      <c r="BX131" s="9">
        <f t="shared" ca="1" si="83"/>
        <v>-156.7666765884093</v>
      </c>
      <c r="BY131" s="9">
        <f t="shared" ca="1" si="84"/>
        <v>84.412825855297342</v>
      </c>
      <c r="BZ131" s="9">
        <f t="shared" ca="1" si="85"/>
        <v>0</v>
      </c>
      <c r="CA131" s="6">
        <f t="shared" ca="1" si="86"/>
        <v>0</v>
      </c>
      <c r="CB131" s="6" t="e">
        <f t="shared" ca="1" si="87"/>
        <v>#DIV/0!</v>
      </c>
      <c r="CC131" s="6" t="e">
        <f t="shared" ca="1" si="88"/>
        <v>#DIV/0!</v>
      </c>
      <c r="CD131" s="9">
        <f t="shared" si="89"/>
        <v>-50</v>
      </c>
      <c r="CE131" s="9">
        <f t="shared" si="90"/>
        <v>0</v>
      </c>
      <c r="CF131" s="6">
        <f t="shared" si="91"/>
        <v>3.1415926535897931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156.7666765884093</v>
      </c>
      <c r="BC132"/>
      <c r="BD132"/>
      <c r="BF132" s="6" t="e">
        <f t="shared" si="108"/>
        <v>#N/A</v>
      </c>
      <c r="BG132" s="6" t="e">
        <f t="shared" si="109"/>
        <v>#N/A</v>
      </c>
      <c r="BH132" s="6" t="e">
        <f t="shared" si="110"/>
        <v>#N/A</v>
      </c>
      <c r="BI132" s="6" t="e">
        <f t="shared" si="111"/>
        <v>#N/A</v>
      </c>
      <c r="BV132" s="38"/>
      <c r="BW132" s="6" t="e">
        <f t="shared" si="82"/>
        <v>#N/A</v>
      </c>
      <c r="BX132" s="9">
        <f t="shared" ca="1" si="83"/>
        <v>-156.7666765884093</v>
      </c>
      <c r="BY132" s="9">
        <f t="shared" ca="1" si="84"/>
        <v>84.412825855297342</v>
      </c>
      <c r="BZ132" s="9">
        <f t="shared" ca="1" si="85"/>
        <v>0</v>
      </c>
      <c r="CA132" s="6">
        <f t="shared" ca="1" si="86"/>
        <v>0</v>
      </c>
      <c r="CB132" s="6" t="e">
        <f t="shared" ca="1" si="87"/>
        <v>#DIV/0!</v>
      </c>
      <c r="CC132" s="6" t="e">
        <f t="shared" ca="1" si="88"/>
        <v>#DIV/0!</v>
      </c>
      <c r="CD132" s="9">
        <f t="shared" si="89"/>
        <v>-50</v>
      </c>
      <c r="CE132" s="9">
        <f t="shared" si="90"/>
        <v>0</v>
      </c>
      <c r="CF132" s="6">
        <f t="shared" si="91"/>
        <v>3.1415926535897931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-84.412825855297342</v>
      </c>
      <c r="BC133"/>
      <c r="BD133"/>
      <c r="BF133" s="6" t="e">
        <f t="shared" si="108"/>
        <v>#N/A</v>
      </c>
      <c r="BG133" s="6" t="e">
        <f t="shared" si="109"/>
        <v>#N/A</v>
      </c>
      <c r="BH133" s="6" t="e">
        <f t="shared" si="110"/>
        <v>#N/A</v>
      </c>
      <c r="BI133" s="6" t="e">
        <f t="shared" si="111"/>
        <v>#N/A</v>
      </c>
      <c r="BV133" s="38"/>
      <c r="BW133" s="6" t="e">
        <f t="shared" si="82"/>
        <v>#N/A</v>
      </c>
      <c r="BX133" s="9">
        <f t="shared" ca="1" si="83"/>
        <v>-156.7666765884093</v>
      </c>
      <c r="BY133" s="9">
        <f t="shared" ca="1" si="84"/>
        <v>84.412825855297342</v>
      </c>
      <c r="BZ133" s="9">
        <f t="shared" ca="1" si="85"/>
        <v>0</v>
      </c>
      <c r="CA133" s="6">
        <f t="shared" ca="1" si="86"/>
        <v>0</v>
      </c>
      <c r="CB133" s="6" t="e">
        <f t="shared" ca="1" si="87"/>
        <v>#DIV/0!</v>
      </c>
      <c r="CC133" s="6" t="e">
        <f t="shared" ca="1" si="88"/>
        <v>#DIV/0!</v>
      </c>
      <c r="CD133" s="9">
        <f t="shared" si="89"/>
        <v>-50</v>
      </c>
      <c r="CE133" s="9">
        <f t="shared" si="90"/>
        <v>0</v>
      </c>
      <c r="CF133" s="6">
        <f t="shared" si="91"/>
        <v>3.1415926535897931</v>
      </c>
      <c r="CG133" s="6"/>
      <c r="CH133" s="6"/>
      <c r="CI133" s="6"/>
      <c r="CJ133" s="1"/>
      <c r="CK133" s="6"/>
    </row>
    <row r="134" spans="1:89" x14ac:dyDescent="0.25">
      <c r="BC134"/>
      <c r="BD134"/>
      <c r="BF134" s="6" t="e">
        <f t="shared" si="108"/>
        <v>#N/A</v>
      </c>
      <c r="BG134" s="6" t="e">
        <f t="shared" si="109"/>
        <v>#N/A</v>
      </c>
      <c r="BH134" s="6" t="e">
        <f t="shared" si="110"/>
        <v>#N/A</v>
      </c>
      <c r="BI134" s="6" t="e">
        <f t="shared" si="111"/>
        <v>#N/A</v>
      </c>
      <c r="BV134" s="38"/>
      <c r="BW134" s="6" t="e">
        <f t="shared" si="82"/>
        <v>#N/A</v>
      </c>
      <c r="BX134" s="9">
        <f t="shared" ca="1" si="83"/>
        <v>-156.7666765884093</v>
      </c>
      <c r="BY134" s="9">
        <f t="shared" ca="1" si="84"/>
        <v>84.412825855297342</v>
      </c>
      <c r="BZ134" s="9">
        <f t="shared" ca="1" si="85"/>
        <v>0</v>
      </c>
      <c r="CA134" s="6">
        <f t="shared" ca="1" si="86"/>
        <v>0</v>
      </c>
      <c r="CB134" s="6" t="e">
        <f t="shared" ca="1" si="87"/>
        <v>#DIV/0!</v>
      </c>
      <c r="CC134" s="6" t="e">
        <f t="shared" ca="1" si="88"/>
        <v>#DIV/0!</v>
      </c>
      <c r="CD134" s="9">
        <f t="shared" si="89"/>
        <v>-50</v>
      </c>
      <c r="CE134" s="9">
        <f t="shared" si="90"/>
        <v>0</v>
      </c>
      <c r="CF134" s="6">
        <f t="shared" si="91"/>
        <v>3.1415926535897931</v>
      </c>
      <c r="CG134" s="6"/>
      <c r="CH134" s="6"/>
      <c r="CI134" s="6"/>
      <c r="CJ134" s="1"/>
      <c r="CK134" s="6"/>
    </row>
    <row r="135" spans="1:89" x14ac:dyDescent="0.25">
      <c r="A135" s="8"/>
      <c r="BC135"/>
      <c r="BD135"/>
      <c r="BF135" s="6" t="e">
        <f t="shared" si="108"/>
        <v>#N/A</v>
      </c>
      <c r="BG135" s="6" t="e">
        <f t="shared" si="109"/>
        <v>#N/A</v>
      </c>
      <c r="BH135" s="6" t="e">
        <f t="shared" si="110"/>
        <v>#N/A</v>
      </c>
      <c r="BI135" s="6" t="e">
        <f t="shared" si="111"/>
        <v>#N/A</v>
      </c>
      <c r="BV135" s="38"/>
      <c r="BW135" s="6" t="e">
        <f t="shared" si="82"/>
        <v>#N/A</v>
      </c>
      <c r="BX135" s="9">
        <f t="shared" ca="1" si="83"/>
        <v>-156.7666765884093</v>
      </c>
      <c r="BY135" s="9">
        <f t="shared" ca="1" si="84"/>
        <v>84.412825855297342</v>
      </c>
      <c r="BZ135" s="9">
        <f t="shared" ca="1" si="85"/>
        <v>0</v>
      </c>
      <c r="CA135" s="6">
        <f t="shared" ca="1" si="86"/>
        <v>0</v>
      </c>
      <c r="CB135" s="6" t="e">
        <f t="shared" ca="1" si="87"/>
        <v>#DIV/0!</v>
      </c>
      <c r="CC135" s="6" t="e">
        <f t="shared" ca="1" si="88"/>
        <v>#DIV/0!</v>
      </c>
      <c r="CD135" s="9">
        <f t="shared" si="89"/>
        <v>-50</v>
      </c>
      <c r="CE135" s="9">
        <f t="shared" si="90"/>
        <v>0</v>
      </c>
      <c r="CF135" s="6">
        <f t="shared" si="91"/>
        <v>3.1415926535897931</v>
      </c>
      <c r="CG135" s="6"/>
      <c r="CH135" s="6"/>
      <c r="CI135" s="6"/>
      <c r="CJ135" s="1"/>
      <c r="CK135" s="6"/>
    </row>
    <row r="136" spans="1:89" x14ac:dyDescent="0.25">
      <c r="A136" s="51" t="s">
        <v>154</v>
      </c>
      <c r="BC136"/>
      <c r="BD136"/>
      <c r="BF136" s="6" t="e">
        <f t="shared" si="108"/>
        <v>#N/A</v>
      </c>
      <c r="BG136" s="6" t="e">
        <f t="shared" si="109"/>
        <v>#N/A</v>
      </c>
      <c r="BH136" s="6" t="e">
        <f t="shared" si="110"/>
        <v>#N/A</v>
      </c>
      <c r="BI136" s="6" t="e">
        <f t="shared" si="111"/>
        <v>#N/A</v>
      </c>
      <c r="BV136" s="38"/>
      <c r="BW136" s="6" t="e">
        <f t="shared" si="82"/>
        <v>#N/A</v>
      </c>
      <c r="BX136" s="9">
        <f t="shared" ca="1" si="83"/>
        <v>-156.7666765884093</v>
      </c>
      <c r="BY136" s="9">
        <f t="shared" ca="1" si="84"/>
        <v>84.412825855297342</v>
      </c>
      <c r="BZ136" s="9">
        <f t="shared" ca="1" si="85"/>
        <v>0</v>
      </c>
      <c r="CA136" s="6">
        <f t="shared" ca="1" si="86"/>
        <v>0</v>
      </c>
      <c r="CB136" s="6" t="e">
        <f t="shared" ca="1" si="87"/>
        <v>#DIV/0!</v>
      </c>
      <c r="CC136" s="6" t="e">
        <f t="shared" ca="1" si="88"/>
        <v>#DIV/0!</v>
      </c>
      <c r="CD136" s="9">
        <f t="shared" si="89"/>
        <v>-50</v>
      </c>
      <c r="CE136" s="9">
        <f t="shared" si="90"/>
        <v>0</v>
      </c>
      <c r="CF136" s="6">
        <f t="shared" si="91"/>
        <v>3.1415926535897931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/>
      <c r="BD137"/>
      <c r="BF137" s="6" t="e">
        <f t="shared" si="108"/>
        <v>#N/A</v>
      </c>
      <c r="BG137" s="6" t="e">
        <f t="shared" si="109"/>
        <v>#N/A</v>
      </c>
      <c r="BH137" s="6" t="e">
        <f t="shared" si="110"/>
        <v>#N/A</v>
      </c>
      <c r="BI137" s="6" t="e">
        <f t="shared" si="111"/>
        <v>#N/A</v>
      </c>
      <c r="BV137" s="38"/>
      <c r="BW137" s="6" t="e">
        <f t="shared" si="82"/>
        <v>#N/A</v>
      </c>
      <c r="BX137" s="9">
        <f t="shared" ca="1" si="83"/>
        <v>-156.7666765884093</v>
      </c>
      <c r="BY137" s="9">
        <f t="shared" ca="1" si="84"/>
        <v>84.412825855297342</v>
      </c>
      <c r="BZ137" s="9">
        <f t="shared" ca="1" si="85"/>
        <v>0</v>
      </c>
      <c r="CA137" s="6">
        <f t="shared" ca="1" si="86"/>
        <v>0</v>
      </c>
      <c r="CB137" s="6" t="e">
        <f t="shared" ca="1" si="87"/>
        <v>#DIV/0!</v>
      </c>
      <c r="CC137" s="6" t="e">
        <f t="shared" ca="1" si="88"/>
        <v>#DIV/0!</v>
      </c>
      <c r="CD137" s="9">
        <f t="shared" si="89"/>
        <v>-50</v>
      </c>
      <c r="CE137" s="9">
        <f t="shared" si="90"/>
        <v>0</v>
      </c>
      <c r="CF137" s="6">
        <f t="shared" si="91"/>
        <v>3.1415926535897931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/>
      <c r="BD138"/>
      <c r="BF138" s="6" t="e">
        <f t="shared" si="108"/>
        <v>#N/A</v>
      </c>
      <c r="BG138" s="6" t="e">
        <f t="shared" si="109"/>
        <v>#N/A</v>
      </c>
      <c r="BH138" s="6" t="e">
        <f t="shared" si="110"/>
        <v>#N/A</v>
      </c>
      <c r="BI138" s="6" t="e">
        <f t="shared" si="111"/>
        <v>#N/A</v>
      </c>
      <c r="BV138" s="38"/>
      <c r="BW138" s="6" t="e">
        <f t="shared" si="82"/>
        <v>#N/A</v>
      </c>
      <c r="BX138" s="9">
        <f t="shared" ca="1" si="83"/>
        <v>-156.7666765884093</v>
      </c>
      <c r="BY138" s="9">
        <f t="shared" ca="1" si="84"/>
        <v>84.412825855297342</v>
      </c>
      <c r="BZ138" s="9">
        <f t="shared" ca="1" si="85"/>
        <v>0</v>
      </c>
      <c r="CA138" s="6">
        <f t="shared" ca="1" si="86"/>
        <v>0</v>
      </c>
      <c r="CB138" s="6" t="e">
        <f t="shared" ca="1" si="87"/>
        <v>#DIV/0!</v>
      </c>
      <c r="CC138" s="6" t="e">
        <f t="shared" ca="1" si="88"/>
        <v>#DIV/0!</v>
      </c>
      <c r="CD138" s="9">
        <f t="shared" si="89"/>
        <v>-50</v>
      </c>
      <c r="CE138" s="9">
        <f t="shared" si="90"/>
        <v>0</v>
      </c>
      <c r="CF138" s="6">
        <f t="shared" si="91"/>
        <v>3.1415926535897931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/>
      <c r="BD139"/>
      <c r="BF139" s="6" t="e">
        <f t="shared" si="108"/>
        <v>#N/A</v>
      </c>
      <c r="BG139" s="6" t="e">
        <f t="shared" si="109"/>
        <v>#N/A</v>
      </c>
      <c r="BH139" s="6" t="e">
        <f t="shared" si="110"/>
        <v>#N/A</v>
      </c>
      <c r="BI139" s="6" t="e">
        <f t="shared" si="111"/>
        <v>#N/A</v>
      </c>
      <c r="BV139" s="38"/>
      <c r="BW139" s="6" t="e">
        <f t="shared" si="82"/>
        <v>#N/A</v>
      </c>
      <c r="BX139" s="9">
        <f t="shared" ca="1" si="83"/>
        <v>-156.7666765884093</v>
      </c>
      <c r="BY139" s="9">
        <f t="shared" ca="1" si="84"/>
        <v>84.412825855297342</v>
      </c>
      <c r="BZ139" s="9">
        <f t="shared" ca="1" si="85"/>
        <v>0</v>
      </c>
      <c r="CA139" s="6">
        <f t="shared" ca="1" si="86"/>
        <v>0</v>
      </c>
      <c r="CB139" s="6" t="e">
        <f t="shared" ca="1" si="87"/>
        <v>#DIV/0!</v>
      </c>
      <c r="CC139" s="6" t="e">
        <f t="shared" ca="1" si="88"/>
        <v>#DIV/0!</v>
      </c>
      <c r="CD139" s="9">
        <f t="shared" si="89"/>
        <v>-50</v>
      </c>
      <c r="CE139" s="9">
        <f t="shared" si="90"/>
        <v>0</v>
      </c>
      <c r="CF139" s="6">
        <f t="shared" si="91"/>
        <v>3.1415926535897931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/>
      <c r="BD140"/>
      <c r="BF140" s="6" t="e">
        <f t="shared" si="108"/>
        <v>#N/A</v>
      </c>
      <c r="BG140" s="6" t="e">
        <f t="shared" si="109"/>
        <v>#N/A</v>
      </c>
      <c r="BH140" s="6" t="e">
        <f t="shared" si="110"/>
        <v>#N/A</v>
      </c>
      <c r="BI140" s="6" t="e">
        <f t="shared" si="111"/>
        <v>#N/A</v>
      </c>
      <c r="BV140" s="38"/>
      <c r="BW140" s="6" t="e">
        <f t="shared" si="82"/>
        <v>#N/A</v>
      </c>
      <c r="BX140" s="9">
        <f t="shared" ca="1" si="83"/>
        <v>-156.7666765884093</v>
      </c>
      <c r="BY140" s="9">
        <f t="shared" ca="1" si="84"/>
        <v>84.412825855297342</v>
      </c>
      <c r="BZ140" s="9">
        <f t="shared" ca="1" si="85"/>
        <v>0</v>
      </c>
      <c r="CA140" s="6">
        <f t="shared" ca="1" si="86"/>
        <v>0</v>
      </c>
      <c r="CB140" s="6" t="e">
        <f t="shared" ca="1" si="87"/>
        <v>#DIV/0!</v>
      </c>
      <c r="CC140" s="6" t="e">
        <f t="shared" ca="1" si="88"/>
        <v>#DIV/0!</v>
      </c>
      <c r="CD140" s="9">
        <f t="shared" si="89"/>
        <v>-50</v>
      </c>
      <c r="CE140" s="9">
        <f t="shared" si="90"/>
        <v>0</v>
      </c>
      <c r="CF140" s="6">
        <f t="shared" si="91"/>
        <v>3.1415926535897931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/>
      <c r="BD141"/>
      <c r="BF141" s="6" t="e">
        <f t="shared" si="108"/>
        <v>#N/A</v>
      </c>
      <c r="BG141" s="6" t="e">
        <f t="shared" si="109"/>
        <v>#N/A</v>
      </c>
      <c r="BH141" s="6" t="e">
        <f t="shared" si="110"/>
        <v>#N/A</v>
      </c>
      <c r="BI141" s="6" t="e">
        <f t="shared" si="111"/>
        <v>#N/A</v>
      </c>
      <c r="BV141" s="38"/>
      <c r="BW141" s="6" t="e">
        <f t="shared" si="82"/>
        <v>#N/A</v>
      </c>
      <c r="BX141" s="9">
        <f t="shared" ca="1" si="83"/>
        <v>-156.7666765884093</v>
      </c>
      <c r="BY141" s="9">
        <f t="shared" ca="1" si="84"/>
        <v>84.412825855297342</v>
      </c>
      <c r="BZ141" s="9">
        <f t="shared" ca="1" si="85"/>
        <v>0</v>
      </c>
      <c r="CA141" s="6">
        <f t="shared" ca="1" si="86"/>
        <v>0</v>
      </c>
      <c r="CB141" s="6" t="e">
        <f t="shared" ca="1" si="87"/>
        <v>#DIV/0!</v>
      </c>
      <c r="CC141" s="6" t="e">
        <f t="shared" ca="1" si="88"/>
        <v>#DIV/0!</v>
      </c>
      <c r="CD141" s="9">
        <f t="shared" si="89"/>
        <v>-50</v>
      </c>
      <c r="CE141" s="9">
        <f t="shared" si="90"/>
        <v>0</v>
      </c>
      <c r="CF141" s="6">
        <f t="shared" si="91"/>
        <v>3.1415926535897931</v>
      </c>
      <c r="CG141" s="6"/>
      <c r="CH141" s="6"/>
      <c r="CI141" s="6"/>
      <c r="CJ141" s="1"/>
      <c r="CK141" s="6"/>
    </row>
    <row r="142" spans="1:89" x14ac:dyDescent="0.25">
      <c r="BC142"/>
      <c r="BD142"/>
      <c r="BF142" s="6" t="e">
        <f t="shared" si="108"/>
        <v>#N/A</v>
      </c>
      <c r="BG142" s="6" t="e">
        <f t="shared" si="109"/>
        <v>#N/A</v>
      </c>
      <c r="BH142" s="6" t="e">
        <f t="shared" si="110"/>
        <v>#N/A</v>
      </c>
      <c r="BI142" s="6" t="e">
        <f t="shared" si="111"/>
        <v>#N/A</v>
      </c>
      <c r="BV142" s="38"/>
      <c r="BW142" s="6" t="e">
        <f t="shared" si="82"/>
        <v>#N/A</v>
      </c>
      <c r="BX142" s="9">
        <f t="shared" ca="1" si="83"/>
        <v>-156.7666765884093</v>
      </c>
      <c r="BY142" s="9">
        <f t="shared" ca="1" si="84"/>
        <v>84.412825855297342</v>
      </c>
      <c r="BZ142" s="9">
        <f t="shared" ca="1" si="85"/>
        <v>0</v>
      </c>
      <c r="CA142" s="6">
        <f t="shared" ca="1" si="86"/>
        <v>0</v>
      </c>
      <c r="CB142" s="6" t="e">
        <f t="shared" ca="1" si="87"/>
        <v>#DIV/0!</v>
      </c>
      <c r="CC142" s="6" t="e">
        <f t="shared" ca="1" si="88"/>
        <v>#DIV/0!</v>
      </c>
      <c r="CD142" s="9">
        <f t="shared" si="89"/>
        <v>-50</v>
      </c>
      <c r="CE142" s="9">
        <f t="shared" si="90"/>
        <v>0</v>
      </c>
      <c r="CF142" s="6">
        <f t="shared" si="91"/>
        <v>3.1415926535897931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/>
      <c r="BD143"/>
      <c r="BF143" s="6" t="e">
        <f t="shared" si="108"/>
        <v>#N/A</v>
      </c>
      <c r="BG143" s="6" t="e">
        <f t="shared" si="109"/>
        <v>#N/A</v>
      </c>
      <c r="BH143" s="6" t="e">
        <f t="shared" si="110"/>
        <v>#N/A</v>
      </c>
      <c r="BI143" s="6" t="e">
        <f t="shared" si="111"/>
        <v>#N/A</v>
      </c>
      <c r="BV143" s="38"/>
      <c r="BW143" s="6" t="e">
        <f t="shared" si="82"/>
        <v>#N/A</v>
      </c>
      <c r="BX143" s="9">
        <f t="shared" ca="1" si="83"/>
        <v>-156.7666765884093</v>
      </c>
      <c r="BY143" s="9">
        <f t="shared" ca="1" si="84"/>
        <v>84.412825855297342</v>
      </c>
      <c r="BZ143" s="9">
        <f t="shared" ca="1" si="85"/>
        <v>0</v>
      </c>
      <c r="CA143" s="6">
        <f t="shared" ca="1" si="86"/>
        <v>0</v>
      </c>
      <c r="CB143" s="6" t="e">
        <f t="shared" ca="1" si="87"/>
        <v>#DIV/0!</v>
      </c>
      <c r="CC143" s="6" t="e">
        <f t="shared" ca="1" si="88"/>
        <v>#DIV/0!</v>
      </c>
      <c r="CD143" s="9">
        <f t="shared" si="89"/>
        <v>-50</v>
      </c>
      <c r="CE143" s="9">
        <f t="shared" si="90"/>
        <v>0</v>
      </c>
      <c r="CF143" s="6">
        <f t="shared" si="91"/>
        <v>3.1415926535897931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4074280.688047891</v>
      </c>
      <c r="C144" t="s">
        <v>164</v>
      </c>
      <c r="BC144"/>
      <c r="BD144"/>
      <c r="BF144" s="6" t="e">
        <f t="shared" si="108"/>
        <v>#N/A</v>
      </c>
      <c r="BG144" s="6" t="e">
        <f t="shared" si="109"/>
        <v>#N/A</v>
      </c>
      <c r="BH144" s="6" t="e">
        <f t="shared" si="110"/>
        <v>#N/A</v>
      </c>
      <c r="BI144" s="6" t="e">
        <f t="shared" si="111"/>
        <v>#N/A</v>
      </c>
      <c r="BV144" s="38"/>
      <c r="BW144" s="6" t="e">
        <f t="shared" ref="BW144:BW207" si="112">IF(BC131="",NA(),BC131)</f>
        <v>#N/A</v>
      </c>
      <c r="BX144" s="9">
        <f t="shared" ref="BX144:BX207" ca="1" si="113">BD131-$BW$5</f>
        <v>-156.7666765884093</v>
      </c>
      <c r="BY144" s="9">
        <f t="shared" ref="BY144:BY207" ca="1" si="114">BE131-$BX$5</f>
        <v>84.412825855297342</v>
      </c>
      <c r="BZ144" s="9">
        <f t="shared" ref="BZ144:BZ207" ca="1" si="115">BX144-$CE$5</f>
        <v>0</v>
      </c>
      <c r="CA144" s="6">
        <f t="shared" ref="CA144:CA207" ca="1" si="116">BY144-$CF$5</f>
        <v>0</v>
      </c>
      <c r="CB144" s="6" t="e">
        <f t="shared" ref="CB144:CB207" ca="1" si="117">ATAN2(BZ144,CA144)</f>
        <v>#DIV/0!</v>
      </c>
      <c r="CC144" s="6" t="e">
        <f t="shared" ref="CC144:CC207" ca="1" si="118">ATAN2(COS(CF144-CB144),SIN(CF144-CB144))*10</f>
        <v>#DIV/0!</v>
      </c>
      <c r="CD144" s="9">
        <f t="shared" ref="CD144:CD207" si="119">BD131-$BW$6</f>
        <v>-50</v>
      </c>
      <c r="CE144" s="9">
        <f t="shared" ref="CE144:CE207" si="120">BE131-$BX$6</f>
        <v>0</v>
      </c>
      <c r="CF144" s="6">
        <f t="shared" ref="CF144:CF207" si="121">ATAN2(CD144,CE144)</f>
        <v>3.1415926535897931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2.0862578331765852E-3</v>
      </c>
      <c r="C145" t="s">
        <v>165</v>
      </c>
      <c r="BC145"/>
      <c r="BD145"/>
      <c r="BF145" s="6" t="e">
        <f t="shared" si="108"/>
        <v>#N/A</v>
      </c>
      <c r="BG145" s="6" t="e">
        <f t="shared" si="109"/>
        <v>#N/A</v>
      </c>
      <c r="BH145" s="6" t="e">
        <f t="shared" si="110"/>
        <v>#N/A</v>
      </c>
      <c r="BI145" s="6" t="e">
        <f t="shared" si="111"/>
        <v>#N/A</v>
      </c>
      <c r="BV145" s="38"/>
      <c r="BW145" s="6" t="e">
        <f t="shared" si="112"/>
        <v>#N/A</v>
      </c>
      <c r="BX145" s="9">
        <f t="shared" ca="1" si="113"/>
        <v>-156.7666765884093</v>
      </c>
      <c r="BY145" s="9">
        <f t="shared" ca="1" si="114"/>
        <v>84.412825855297342</v>
      </c>
      <c r="BZ145" s="9">
        <f t="shared" ca="1" si="115"/>
        <v>0</v>
      </c>
      <c r="CA145" s="6">
        <f t="shared" ca="1" si="116"/>
        <v>0</v>
      </c>
      <c r="CB145" s="6" t="e">
        <f t="shared" ca="1" si="117"/>
        <v>#DIV/0!</v>
      </c>
      <c r="CC145" s="6" t="e">
        <f t="shared" ca="1" si="118"/>
        <v>#DIV/0!</v>
      </c>
      <c r="CD145" s="9">
        <f t="shared" si="119"/>
        <v>-50</v>
      </c>
      <c r="CE145" s="9">
        <f t="shared" si="120"/>
        <v>0</v>
      </c>
      <c r="CF145" s="6">
        <f t="shared" si="121"/>
        <v>3.1415926535897931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/>
      <c r="BD146"/>
      <c r="BF146" s="6" t="e">
        <f t="shared" si="108"/>
        <v>#N/A</v>
      </c>
      <c r="BG146" s="6" t="e">
        <f t="shared" si="109"/>
        <v>#N/A</v>
      </c>
      <c r="BH146" s="6" t="e">
        <f t="shared" si="110"/>
        <v>#N/A</v>
      </c>
      <c r="BI146" s="6" t="e">
        <f t="shared" si="111"/>
        <v>#N/A</v>
      </c>
      <c r="BV146" s="38"/>
      <c r="BW146" s="6" t="e">
        <f t="shared" si="112"/>
        <v>#N/A</v>
      </c>
      <c r="BX146" s="9">
        <f t="shared" ca="1" si="113"/>
        <v>-156.7666765884093</v>
      </c>
      <c r="BY146" s="9">
        <f t="shared" ca="1" si="114"/>
        <v>84.412825855297342</v>
      </c>
      <c r="BZ146" s="9">
        <f t="shared" ca="1" si="115"/>
        <v>0</v>
      </c>
      <c r="CA146" s="6">
        <f t="shared" ca="1" si="116"/>
        <v>0</v>
      </c>
      <c r="CB146" s="6" t="e">
        <f t="shared" ca="1" si="117"/>
        <v>#DIV/0!</v>
      </c>
      <c r="CC146" s="6" t="e">
        <f t="shared" ca="1" si="118"/>
        <v>#DIV/0!</v>
      </c>
      <c r="CD146" s="9">
        <f t="shared" si="119"/>
        <v>-50</v>
      </c>
      <c r="CE146" s="9">
        <f t="shared" si="120"/>
        <v>0</v>
      </c>
      <c r="CF146" s="6">
        <f t="shared" si="121"/>
        <v>3.1415926535897931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1.4379814193110203</v>
      </c>
      <c r="C147" t="s">
        <v>168</v>
      </c>
      <c r="BC147"/>
      <c r="BD147"/>
      <c r="BF147" s="6" t="e">
        <f t="shared" si="108"/>
        <v>#N/A</v>
      </c>
      <c r="BG147" s="6" t="e">
        <f t="shared" si="109"/>
        <v>#N/A</v>
      </c>
      <c r="BH147" s="6" t="e">
        <f t="shared" si="110"/>
        <v>#N/A</v>
      </c>
      <c r="BI147" s="6" t="e">
        <f t="shared" si="111"/>
        <v>#N/A</v>
      </c>
      <c r="BV147" s="38"/>
      <c r="BW147" s="6" t="e">
        <f t="shared" si="112"/>
        <v>#N/A</v>
      </c>
      <c r="BX147" s="9">
        <f t="shared" ca="1" si="113"/>
        <v>-156.7666765884093</v>
      </c>
      <c r="BY147" s="9">
        <f t="shared" ca="1" si="114"/>
        <v>84.412825855297342</v>
      </c>
      <c r="BZ147" s="9">
        <f t="shared" ca="1" si="115"/>
        <v>0</v>
      </c>
      <c r="CA147" s="6">
        <f t="shared" ca="1" si="116"/>
        <v>0</v>
      </c>
      <c r="CB147" s="6" t="e">
        <f t="shared" ca="1" si="117"/>
        <v>#DIV/0!</v>
      </c>
      <c r="CC147" s="6" t="e">
        <f t="shared" ca="1" si="118"/>
        <v>#DIV/0!</v>
      </c>
      <c r="CD147" s="9">
        <f t="shared" si="119"/>
        <v>-50</v>
      </c>
      <c r="CE147" s="9">
        <f t="shared" si="120"/>
        <v>0</v>
      </c>
      <c r="CF147" s="6">
        <f t="shared" si="121"/>
        <v>3.1415926535897931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12.78069801033611</v>
      </c>
      <c r="C148" t="s">
        <v>4</v>
      </c>
      <c r="BC148"/>
      <c r="BD148"/>
      <c r="BF148" s="6" t="e">
        <f t="shared" si="108"/>
        <v>#N/A</v>
      </c>
      <c r="BG148" s="6" t="e">
        <f t="shared" si="109"/>
        <v>#N/A</v>
      </c>
      <c r="BH148" s="6" t="e">
        <f t="shared" si="110"/>
        <v>#N/A</v>
      </c>
      <c r="BI148" s="6" t="e">
        <f t="shared" si="111"/>
        <v>#N/A</v>
      </c>
      <c r="BV148" s="38"/>
      <c r="BW148" s="6" t="e">
        <f t="shared" si="112"/>
        <v>#N/A</v>
      </c>
      <c r="BX148" s="9">
        <f t="shared" ca="1" si="113"/>
        <v>-156.7666765884093</v>
      </c>
      <c r="BY148" s="9">
        <f t="shared" ca="1" si="114"/>
        <v>84.412825855297342</v>
      </c>
      <c r="BZ148" s="9">
        <f t="shared" ca="1" si="115"/>
        <v>0</v>
      </c>
      <c r="CA148" s="6">
        <f t="shared" ca="1" si="116"/>
        <v>0</v>
      </c>
      <c r="CB148" s="6" t="e">
        <f t="shared" ca="1" si="117"/>
        <v>#DIV/0!</v>
      </c>
      <c r="CC148" s="6" t="e">
        <f t="shared" ca="1" si="118"/>
        <v>#DIV/0!</v>
      </c>
      <c r="CD148" s="9">
        <f t="shared" si="119"/>
        <v>-50</v>
      </c>
      <c r="CE148" s="9">
        <f t="shared" si="120"/>
        <v>0</v>
      </c>
      <c r="CF148" s="6">
        <f t="shared" si="121"/>
        <v>3.1415926535897931</v>
      </c>
      <c r="CG148" s="6"/>
      <c r="CH148" s="6"/>
      <c r="CI148" s="6"/>
      <c r="CJ148" s="1"/>
      <c r="CK148" s="6"/>
    </row>
    <row r="149" spans="1:89" x14ac:dyDescent="0.25">
      <c r="B149" s="1"/>
      <c r="BC149"/>
      <c r="BD149"/>
      <c r="BF149" s="6" t="e">
        <f t="shared" si="108"/>
        <v>#N/A</v>
      </c>
      <c r="BG149" s="6" t="e">
        <f t="shared" si="109"/>
        <v>#N/A</v>
      </c>
      <c r="BH149" s="6" t="e">
        <f t="shared" si="110"/>
        <v>#N/A</v>
      </c>
      <c r="BI149" s="6" t="e">
        <f t="shared" si="111"/>
        <v>#N/A</v>
      </c>
      <c r="BV149" s="38"/>
      <c r="BW149" s="6" t="e">
        <f t="shared" si="112"/>
        <v>#N/A</v>
      </c>
      <c r="BX149" s="9">
        <f t="shared" ca="1" si="113"/>
        <v>-156.7666765884093</v>
      </c>
      <c r="BY149" s="9">
        <f t="shared" ca="1" si="114"/>
        <v>84.412825855297342</v>
      </c>
      <c r="BZ149" s="9">
        <f t="shared" ca="1" si="115"/>
        <v>0</v>
      </c>
      <c r="CA149" s="6">
        <f t="shared" ca="1" si="116"/>
        <v>0</v>
      </c>
      <c r="CB149" s="6" t="e">
        <f t="shared" ca="1" si="117"/>
        <v>#DIV/0!</v>
      </c>
      <c r="CC149" s="6" t="e">
        <f t="shared" ca="1" si="118"/>
        <v>#DIV/0!</v>
      </c>
      <c r="CD149" s="9">
        <f t="shared" si="119"/>
        <v>-50</v>
      </c>
      <c r="CE149" s="9">
        <f t="shared" si="120"/>
        <v>0</v>
      </c>
      <c r="CF149" s="6">
        <f t="shared" si="121"/>
        <v>3.1415926535897931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50">
        <f>B28</f>
        <v>2.4760290909975371</v>
      </c>
      <c r="C150" t="s">
        <v>4</v>
      </c>
      <c r="D150" t="s">
        <v>171</v>
      </c>
      <c r="BC150"/>
      <c r="BD150"/>
      <c r="BF150" s="6" t="e">
        <f t="shared" si="108"/>
        <v>#N/A</v>
      </c>
      <c r="BG150" s="6" t="e">
        <f t="shared" si="109"/>
        <v>#N/A</v>
      </c>
      <c r="BH150" s="6" t="e">
        <f t="shared" si="110"/>
        <v>#N/A</v>
      </c>
      <c r="BI150" s="6" t="e">
        <f t="shared" si="111"/>
        <v>#N/A</v>
      </c>
      <c r="BV150" s="38"/>
      <c r="BW150" s="6" t="e">
        <f t="shared" si="112"/>
        <v>#N/A</v>
      </c>
      <c r="BX150" s="9">
        <f t="shared" ca="1" si="113"/>
        <v>-156.7666765884093</v>
      </c>
      <c r="BY150" s="9">
        <f t="shared" ca="1" si="114"/>
        <v>84.412825855297342</v>
      </c>
      <c r="BZ150" s="9">
        <f t="shared" ca="1" si="115"/>
        <v>0</v>
      </c>
      <c r="CA150" s="6">
        <f t="shared" ca="1" si="116"/>
        <v>0</v>
      </c>
      <c r="CB150" s="6" t="e">
        <f t="shared" ca="1" si="117"/>
        <v>#DIV/0!</v>
      </c>
      <c r="CC150" s="6" t="e">
        <f t="shared" ca="1" si="118"/>
        <v>#DIV/0!</v>
      </c>
      <c r="CD150" s="9">
        <f t="shared" si="119"/>
        <v>-50</v>
      </c>
      <c r="CE150" s="9">
        <f t="shared" si="120"/>
        <v>0</v>
      </c>
      <c r="CF150" s="6">
        <f t="shared" si="121"/>
        <v>3.1415926535897931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0.75415072890863333</v>
      </c>
      <c r="C151" t="s">
        <v>4</v>
      </c>
      <c r="D151" t="s">
        <v>173</v>
      </c>
      <c r="BC151"/>
      <c r="BD151"/>
      <c r="BF151" s="6" t="e">
        <f t="shared" si="108"/>
        <v>#N/A</v>
      </c>
      <c r="BG151" s="6" t="e">
        <f t="shared" si="109"/>
        <v>#N/A</v>
      </c>
      <c r="BH151" s="6" t="e">
        <f t="shared" si="110"/>
        <v>#N/A</v>
      </c>
      <c r="BI151" s="6" t="e">
        <f t="shared" si="111"/>
        <v>#N/A</v>
      </c>
      <c r="BV151" s="38"/>
      <c r="BW151" s="6" t="e">
        <f t="shared" si="112"/>
        <v>#N/A</v>
      </c>
      <c r="BX151" s="9">
        <f t="shared" ca="1" si="113"/>
        <v>-156.7666765884093</v>
      </c>
      <c r="BY151" s="9">
        <f t="shared" ca="1" si="114"/>
        <v>84.412825855297342</v>
      </c>
      <c r="BZ151" s="9">
        <f t="shared" ca="1" si="115"/>
        <v>0</v>
      </c>
      <c r="CA151" s="6">
        <f t="shared" ca="1" si="116"/>
        <v>0</v>
      </c>
      <c r="CB151" s="6" t="e">
        <f t="shared" ca="1" si="117"/>
        <v>#DIV/0!</v>
      </c>
      <c r="CC151" s="6" t="e">
        <f t="shared" ca="1" si="118"/>
        <v>#DIV/0!</v>
      </c>
      <c r="CD151" s="9">
        <f t="shared" si="119"/>
        <v>-50</v>
      </c>
      <c r="CE151" s="9">
        <f t="shared" si="120"/>
        <v>0</v>
      </c>
      <c r="CF151" s="6">
        <f t="shared" si="121"/>
        <v>3.1415926535897931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12.026547281427476</v>
      </c>
      <c r="C152" t="s">
        <v>4</v>
      </c>
      <c r="D152" t="s">
        <v>175</v>
      </c>
      <c r="BC152"/>
      <c r="BD152"/>
      <c r="BF152" s="6" t="e">
        <f t="shared" si="108"/>
        <v>#N/A</v>
      </c>
      <c r="BG152" s="6" t="e">
        <f t="shared" si="109"/>
        <v>#N/A</v>
      </c>
      <c r="BH152" s="6" t="e">
        <f t="shared" si="110"/>
        <v>#N/A</v>
      </c>
      <c r="BI152" s="6" t="e">
        <f t="shared" si="111"/>
        <v>#N/A</v>
      </c>
      <c r="BV152" s="38"/>
      <c r="BW152" s="6" t="e">
        <f t="shared" si="112"/>
        <v>#N/A</v>
      </c>
      <c r="BX152" s="9">
        <f t="shared" ca="1" si="113"/>
        <v>-156.7666765884093</v>
      </c>
      <c r="BY152" s="9">
        <f t="shared" ca="1" si="114"/>
        <v>84.412825855297342</v>
      </c>
      <c r="BZ152" s="9">
        <f t="shared" ca="1" si="115"/>
        <v>0</v>
      </c>
      <c r="CA152" s="6">
        <f t="shared" ca="1" si="116"/>
        <v>0</v>
      </c>
      <c r="CB152" s="6" t="e">
        <f t="shared" ca="1" si="117"/>
        <v>#DIV/0!</v>
      </c>
      <c r="CC152" s="6" t="e">
        <f t="shared" ca="1" si="118"/>
        <v>#DIV/0!</v>
      </c>
      <c r="CD152" s="9">
        <f t="shared" si="119"/>
        <v>-50</v>
      </c>
      <c r="CE152" s="9">
        <f t="shared" si="120"/>
        <v>0</v>
      </c>
      <c r="CF152" s="6">
        <f t="shared" si="121"/>
        <v>3.1415926535897931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10.304668919338573</v>
      </c>
      <c r="C153" t="s">
        <v>4</v>
      </c>
      <c r="D153" t="s">
        <v>177</v>
      </c>
      <c r="BC153"/>
      <c r="BD153"/>
      <c r="BF153" s="6" t="e">
        <f t="shared" si="108"/>
        <v>#N/A</v>
      </c>
      <c r="BG153" s="6" t="e">
        <f t="shared" si="109"/>
        <v>#N/A</v>
      </c>
      <c r="BH153" s="6" t="e">
        <f t="shared" si="110"/>
        <v>#N/A</v>
      </c>
      <c r="BI153" s="6" t="e">
        <f t="shared" si="111"/>
        <v>#N/A</v>
      </c>
      <c r="BV153" s="38"/>
      <c r="BW153" s="6" t="e">
        <f t="shared" si="112"/>
        <v>#N/A</v>
      </c>
      <c r="BX153" s="9">
        <f t="shared" ca="1" si="113"/>
        <v>-156.7666765884093</v>
      </c>
      <c r="BY153" s="9">
        <f t="shared" ca="1" si="114"/>
        <v>84.412825855297342</v>
      </c>
      <c r="BZ153" s="9">
        <f t="shared" ca="1" si="115"/>
        <v>0</v>
      </c>
      <c r="CA153" s="6">
        <f t="shared" ca="1" si="116"/>
        <v>0</v>
      </c>
      <c r="CB153" s="6" t="e">
        <f t="shared" ca="1" si="117"/>
        <v>#DIV/0!</v>
      </c>
      <c r="CC153" s="6" t="e">
        <f t="shared" ca="1" si="118"/>
        <v>#DIV/0!</v>
      </c>
      <c r="CD153" s="9">
        <f t="shared" si="119"/>
        <v>-50</v>
      </c>
      <c r="CE153" s="9">
        <f t="shared" si="120"/>
        <v>0</v>
      </c>
      <c r="CF153" s="6">
        <f t="shared" si="121"/>
        <v>3.1415926535897931</v>
      </c>
      <c r="CG153" s="6"/>
      <c r="CH153" s="6"/>
      <c r="CI153" s="6"/>
      <c r="CJ153" s="1"/>
      <c r="CK153" s="6"/>
    </row>
    <row r="154" spans="1:89" x14ac:dyDescent="0.25">
      <c r="BC154"/>
      <c r="BD154"/>
      <c r="BF154" s="6" t="e">
        <f t="shared" si="108"/>
        <v>#N/A</v>
      </c>
      <c r="BG154" s="6" t="e">
        <f t="shared" si="109"/>
        <v>#N/A</v>
      </c>
      <c r="BH154" s="6" t="e">
        <f t="shared" si="110"/>
        <v>#N/A</v>
      </c>
      <c r="BI154" s="6" t="e">
        <f t="shared" si="111"/>
        <v>#N/A</v>
      </c>
      <c r="BV154" s="38"/>
      <c r="BW154" s="6" t="e">
        <f t="shared" si="112"/>
        <v>#N/A</v>
      </c>
      <c r="BX154" s="9">
        <f t="shared" ca="1" si="113"/>
        <v>-156.7666765884093</v>
      </c>
      <c r="BY154" s="9">
        <f t="shared" ca="1" si="114"/>
        <v>84.412825855297342</v>
      </c>
      <c r="BZ154" s="9">
        <f t="shared" ca="1" si="115"/>
        <v>0</v>
      </c>
      <c r="CA154" s="6">
        <f t="shared" ca="1" si="116"/>
        <v>0</v>
      </c>
      <c r="CB154" s="6" t="e">
        <f t="shared" ca="1" si="117"/>
        <v>#DIV/0!</v>
      </c>
      <c r="CC154" s="6" t="e">
        <f t="shared" ca="1" si="118"/>
        <v>#DIV/0!</v>
      </c>
      <c r="CD154" s="9">
        <f t="shared" si="119"/>
        <v>-50</v>
      </c>
      <c r="CE154" s="9">
        <f t="shared" si="120"/>
        <v>0</v>
      </c>
      <c r="CF154" s="6">
        <f t="shared" si="121"/>
        <v>3.1415926535897931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/>
      <c r="BD155"/>
      <c r="BF155" s="6" t="e">
        <f t="shared" si="108"/>
        <v>#N/A</v>
      </c>
      <c r="BG155" s="6" t="e">
        <f t="shared" si="109"/>
        <v>#N/A</v>
      </c>
      <c r="BH155" s="6" t="e">
        <f t="shared" si="110"/>
        <v>#N/A</v>
      </c>
      <c r="BI155" s="6" t="e">
        <f t="shared" si="111"/>
        <v>#N/A</v>
      </c>
      <c r="BV155" s="38"/>
      <c r="BW155" s="6" t="e">
        <f t="shared" si="112"/>
        <v>#N/A</v>
      </c>
      <c r="BX155" s="9">
        <f t="shared" ca="1" si="113"/>
        <v>-156.7666765884093</v>
      </c>
      <c r="BY155" s="9">
        <f t="shared" ca="1" si="114"/>
        <v>84.412825855297342</v>
      </c>
      <c r="BZ155" s="9">
        <f t="shared" ca="1" si="115"/>
        <v>0</v>
      </c>
      <c r="CA155" s="6">
        <f t="shared" ca="1" si="116"/>
        <v>0</v>
      </c>
      <c r="CB155" s="6" t="e">
        <f t="shared" ca="1" si="117"/>
        <v>#DIV/0!</v>
      </c>
      <c r="CC155" s="6" t="e">
        <f t="shared" ca="1" si="118"/>
        <v>#DIV/0!</v>
      </c>
      <c r="CD155" s="9">
        <f t="shared" si="119"/>
        <v>-50</v>
      </c>
      <c r="CE155" s="9">
        <f t="shared" si="120"/>
        <v>0</v>
      </c>
      <c r="CF155" s="6">
        <f t="shared" si="121"/>
        <v>3.1415926535897931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2">C48</f>
        <v>yi (in)</v>
      </c>
      <c r="D156" t="str">
        <f t="shared" si="122"/>
        <v>xj (in)</v>
      </c>
      <c r="E156" t="str">
        <f t="shared" si="122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F156" s="6" t="e">
        <f t="shared" ref="BF156:BF157" si="123">IF(BC156&lt;&gt;"",IF(AND(BD156=0,BE156=0),0,MOD(ATAN2(BD156,BE156),2*PI())),NA())</f>
        <v>#N/A</v>
      </c>
      <c r="BG156" s="6" t="e">
        <f t="shared" ref="BG156:BG157" si="124">ABS(BC156-BF156)</f>
        <v>#N/A</v>
      </c>
      <c r="BH156" s="6" t="e">
        <f t="shared" ref="BH156:BH157" si="125">ATAN2(COS($U$13-BF156),SIN($U$13-BF156))</f>
        <v>#N/A</v>
      </c>
      <c r="BI156" s="6" t="e">
        <f t="shared" ref="BI156:BI157" si="126">ABS(BH156)</f>
        <v>#N/A</v>
      </c>
      <c r="BV156" s="38"/>
      <c r="BW156" s="6" t="e">
        <f t="shared" si="112"/>
        <v>#N/A</v>
      </c>
      <c r="BX156" s="9">
        <f t="shared" ca="1" si="113"/>
        <v>-156.7666765884093</v>
      </c>
      <c r="BY156" s="9">
        <f t="shared" ca="1" si="114"/>
        <v>84.412825855297342</v>
      </c>
      <c r="BZ156" s="9">
        <f t="shared" ca="1" si="115"/>
        <v>0</v>
      </c>
      <c r="CA156" s="6">
        <f t="shared" ca="1" si="116"/>
        <v>0</v>
      </c>
      <c r="CB156" s="6" t="e">
        <f t="shared" ca="1" si="117"/>
        <v>#DIV/0!</v>
      </c>
      <c r="CC156" s="6" t="e">
        <f t="shared" ca="1" si="118"/>
        <v>#DIV/0!</v>
      </c>
      <c r="CD156" s="9">
        <f t="shared" si="119"/>
        <v>-50</v>
      </c>
      <c r="CE156" s="9">
        <f t="shared" si="120"/>
        <v>0</v>
      </c>
      <c r="CF156" s="6">
        <f t="shared" si="121"/>
        <v>3.1415926535897931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7">B49</f>
        <v>-6.5224038900078964</v>
      </c>
      <c r="C157" s="6">
        <f t="shared" si="127"/>
        <v>-11.724258931617378</v>
      </c>
      <c r="D157" s="6">
        <f t="shared" si="127"/>
        <v>5.4659648112891643</v>
      </c>
      <c r="E157" s="6">
        <f t="shared" si="127"/>
        <v>-12.252478470976744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6">
        <f>IF(AND(F157=0,G157=0),0,IF(C157&gt;E157,B157+(F157*(D157-B157)),B157+(G157*(D157-B157))))</f>
        <v>0</v>
      </c>
      <c r="I157" s="6">
        <f>IF(AND(F157=0,G157=0),0,IF(C157&gt;E157,C157+(F157*(E157-C157)),C157+(G157*(E157-C157))))</f>
        <v>0</v>
      </c>
      <c r="J157" s="6">
        <f>IF(AND(F157=0,G157=0),0,IF(C157&gt;E157,B157+(G157*(D157-B157)),B157+(F157*(D157-B157))))</f>
        <v>0</v>
      </c>
      <c r="K157" s="6">
        <f>IF(AND(F157=0,G157=0),0,IF(C157&gt;E157,C157+(G157*(E157-C157)),C157+(F157*(E157-C157))))</f>
        <v>0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8">((2*I157*I157)*((5*$B$150*($B$147-1))+(3*$B$147*K157)-(5*$B$147*$B$148)))</f>
        <v>0</v>
      </c>
      <c r="Q157" s="6">
        <f>(I157)*((20*K157)*(($B$150*($B$147-1))-($B$147*$B$148))+((10*($B$150-$B$148))*(($B$150*($B$147-2))-($B$147*$B$148)))+(9*$B$147*K157*K157))</f>
        <v>0</v>
      </c>
      <c r="R157" s="6">
        <f t="shared" ref="R157:R164" si="129">(2*K157)*((15*K157)*(($B$150*($B$147-1))-($B$147*$B$148))+((10*($B$150-$B$148))*(($B$150*($B$147-2))-($B$147*$B$148)))+(6*$B$147*K157*K157))</f>
        <v>0</v>
      </c>
      <c r="S157" s="6">
        <f t="shared" ref="S157:S164" si="130">3*$B$147*I157*I157*I157</f>
        <v>0</v>
      </c>
      <c r="T157" s="71">
        <f>J157*(SUM(P157:S157))</f>
        <v>0</v>
      </c>
      <c r="U157" s="10">
        <f t="shared" ref="U157:U164" si="131">(I157*I157)*((30*$B$150*($B$147-1))+(9*$B$147*K157)-(30*$B$147*$B$148))</f>
        <v>0</v>
      </c>
      <c r="V157" s="10">
        <f t="shared" ref="V157:V164" si="132">I157*(((20*K157)*(($B$150*($B$147-1))-($B$147*$B$148)))+(20*($B$150-$B$148)*(($B$150*($B$147-2))-($B$147*$B$148)))+(6*$B$147*K157*K157))</f>
        <v>0</v>
      </c>
      <c r="W157" s="10">
        <f t="shared" ref="W157:W164" si="133">K157*(((10*K157)*(($B$150*($B$147-1))-($B$147*$B$148)))+(10*($B$150-$B$148)*(($B$150*($B$147-2))-($B$147*$B$148)))+(3*$B$147*K157*K157))</f>
        <v>0</v>
      </c>
      <c r="X157" s="10">
        <f t="shared" ref="X157:X164" si="134">12*$B$147*I157*I157*I157</f>
        <v>0</v>
      </c>
      <c r="Y157" s="71">
        <f t="shared" ref="Y157:Y164" si="135">H157*SUM(U157:X157)</f>
        <v>0</v>
      </c>
      <c r="Z157" s="71">
        <f t="shared" ref="Z157:Z164" si="136">T157+Y157</f>
        <v>0</v>
      </c>
      <c r="AA157" s="6"/>
      <c r="AB157" s="6">
        <f>(3*I157)*(((5*$B$150)*($B$147-1))+($B$147*K157)-(5*$B$147*$B$148))</f>
        <v>0</v>
      </c>
      <c r="AC157" s="6">
        <f>(10*($B$150-$B$148))*(($B$150*($B$147-2))-($B$147*$B$148))</f>
        <v>2037.2310483244451</v>
      </c>
      <c r="AD157" s="6">
        <f>(5*K157)*(($B$150*($B$147-1))-($B$147*$B$148))</f>
        <v>0</v>
      </c>
      <c r="AE157" s="6">
        <f>6*$B$147*I157*I157</f>
        <v>0</v>
      </c>
      <c r="AF157" s="6">
        <f>$B$147*K157*K157</f>
        <v>0</v>
      </c>
      <c r="AG157" s="6">
        <f>SUM(AB157:AF157)</f>
        <v>2037.2310483244451</v>
      </c>
      <c r="AH157" s="72">
        <f>AG157*H157*H157</f>
        <v>0</v>
      </c>
      <c r="AI157" s="6">
        <f>(2*I157)*(((5*$B$150)*($B$147-1))+(2*$B$147*K157)-(5*$B$147*$B$148))</f>
        <v>0</v>
      </c>
      <c r="AJ157" s="6">
        <f>(10*($B$150-$B$148))*(($B$150*($B$147-2))-($B$147*$B$148))</f>
        <v>2037.2310483244451</v>
      </c>
      <c r="AK157" s="6">
        <f>(10*K157)*(($B$150*($B$147-1))-($B$147*$B$148))</f>
        <v>0</v>
      </c>
      <c r="AL157" s="6">
        <f>3*$B$147*I157*I157</f>
        <v>0</v>
      </c>
      <c r="AM157" s="6">
        <f>3*$B$147*K157*K157</f>
        <v>0</v>
      </c>
      <c r="AN157" s="6">
        <f>SUM(AI157:AM157)</f>
        <v>2037.2310483244451</v>
      </c>
      <c r="AO157" s="72">
        <f>(H157*J157)*AN157</f>
        <v>0</v>
      </c>
      <c r="AP157" s="6">
        <f>(I157)*(((5*$B$150)*($B$147-1))+(3*$B$147*K157)-(5*$B$147*$B$148))</f>
        <v>0</v>
      </c>
      <c r="AQ157" s="6">
        <f>(10*($B$150-$B$148))*(($B$150*($B$147-2))-($B$147*$B$148))</f>
        <v>2037.2310483244451</v>
      </c>
      <c r="AR157" s="6">
        <f>(15*K157)*(($B$150*($B$147-1))-($B$147*$B$148))</f>
        <v>0</v>
      </c>
      <c r="AS157" s="6">
        <f>$B$147*I157*I157</f>
        <v>0</v>
      </c>
      <c r="AT157" s="6">
        <f>6*$B$147*K157*K157</f>
        <v>0</v>
      </c>
      <c r="AU157" s="6">
        <f>SUM(AP157:AT157)</f>
        <v>2037.2310483244451</v>
      </c>
      <c r="AV157" s="72">
        <f>(J157*J157)*AU157</f>
        <v>0</v>
      </c>
      <c r="AW157" s="72">
        <f>AH157+AO157+AV157</f>
        <v>0</v>
      </c>
      <c r="BA157"/>
      <c r="BC157"/>
      <c r="BD157"/>
      <c r="BF157" s="6" t="e">
        <f t="shared" si="123"/>
        <v>#N/A</v>
      </c>
      <c r="BG157" s="6" t="e">
        <f t="shared" si="124"/>
        <v>#N/A</v>
      </c>
      <c r="BH157" s="6" t="e">
        <f t="shared" si="125"/>
        <v>#N/A</v>
      </c>
      <c r="BI157" s="6" t="e">
        <f t="shared" si="126"/>
        <v>#N/A</v>
      </c>
      <c r="BV157" s="38"/>
      <c r="BW157" s="6" t="e">
        <f t="shared" si="112"/>
        <v>#N/A</v>
      </c>
      <c r="BX157" s="9">
        <f t="shared" ca="1" si="113"/>
        <v>-156.7666765884093</v>
      </c>
      <c r="BY157" s="9">
        <f t="shared" ca="1" si="114"/>
        <v>84.412825855297342</v>
      </c>
      <c r="BZ157" s="9">
        <f t="shared" ca="1" si="115"/>
        <v>0</v>
      </c>
      <c r="CA157" s="6">
        <f t="shared" ca="1" si="116"/>
        <v>0</v>
      </c>
      <c r="CB157" s="6" t="e">
        <f t="shared" ca="1" si="117"/>
        <v>#DIV/0!</v>
      </c>
      <c r="CC157" s="6" t="e">
        <f t="shared" ca="1" si="118"/>
        <v>#DIV/0!</v>
      </c>
      <c r="CD157" s="9">
        <f t="shared" si="119"/>
        <v>-50</v>
      </c>
      <c r="CE157" s="9">
        <f t="shared" si="120"/>
        <v>0</v>
      </c>
      <c r="CF157" s="6">
        <f t="shared" si="121"/>
        <v>3.1415926535897931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7">B50</f>
        <v>5.4659648112891643</v>
      </c>
      <c r="C158" s="6">
        <f t="shared" si="137"/>
        <v>-12.252478470976744</v>
      </c>
      <c r="D158" s="6">
        <f t="shared" si="137"/>
        <v>6.170257530434986</v>
      </c>
      <c r="E158" s="6">
        <f t="shared" si="137"/>
        <v>3.7320131307526707</v>
      </c>
      <c r="F158" s="6">
        <f t="shared" ref="F158:F164" si="138">IF(E158-C158=0,0,MIN(MAX(($B$152-C158)/(E158-C158),0),1))</f>
        <v>1</v>
      </c>
      <c r="G158" s="6">
        <f t="shared" ref="G158:G164" si="139">IF(E158-C158=0,0,MIN(MAX(($B$153-C158)/(E158-C158),0),1))</f>
        <v>1</v>
      </c>
      <c r="H158" s="6">
        <f t="shared" ref="H158:H164" si="140">IF(AND(F158=0,G158=0),0,IF(C158&gt;E158,B158+(F158*(D158-B158)),B158+(G158*(D158-B158))))</f>
        <v>6.170257530434986</v>
      </c>
      <c r="I158" s="6">
        <f t="shared" ref="I158:I164" si="141">IF(AND(F158=0,G158=0),0,IF(C158&gt;E158,C158+(F158*(E158-C158)),C158+(G158*(E158-C158))))</f>
        <v>3.7320131307526712</v>
      </c>
      <c r="J158" s="6">
        <f t="shared" ref="J158:J164" si="142">IF(AND(F158=0,G158=0),0,IF(C158&gt;E158,B158+(G158*(D158-B158)),B158+(F158*(D158-B158))))</f>
        <v>6.170257530434986</v>
      </c>
      <c r="K158" s="6">
        <f t="shared" ref="K158:K164" si="143">IF(AND(F158=0,G158=0),0,IF(C158&gt;E158,C158+(G158*(E158-C158)),C158+(F158*(E158-C158))))</f>
        <v>3.7320131307526712</v>
      </c>
      <c r="L158" s="6"/>
      <c r="M158" s="6">
        <f t="shared" ref="M158:M164" si="144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45">((1/(1200*$B$150*$B$150))*17*$B$143*$B$147*(I158-K158))*Z158</f>
        <v>0</v>
      </c>
      <c r="O158" s="6">
        <f t="shared" ref="O158:O164" si="146">((1/(1200*$B$150*$B$150))*17*$B$143*$B$147*(I158-K158))*AW158</f>
        <v>0</v>
      </c>
      <c r="P158" s="6">
        <f t="shared" si="128"/>
        <v>-1960.2174434594222</v>
      </c>
      <c r="Q158" s="6">
        <f t="shared" ref="Q158:Q164" si="147">(I158)*((20*K158)*(($B$150*($B$147-1))-($B$147*$B$148))+((10*($B$150-$B$148))*(($B$150*($B$147-2))-($B$147*$B$148)))+(9*$B$147*K158*K158))</f>
        <v>3458.3028169839458</v>
      </c>
      <c r="R158" s="6">
        <f t="shared" si="129"/>
        <v>8876.8230774273125</v>
      </c>
      <c r="S158" s="6">
        <f t="shared" si="130"/>
        <v>224.23531882106826</v>
      </c>
      <c r="T158" s="71">
        <f t="shared" ref="T158:T164" si="148">J158*(SUM(P158:S158))</f>
        <v>65399.446661604336</v>
      </c>
      <c r="U158" s="10">
        <f t="shared" si="131"/>
        <v>-6553.3582868414705</v>
      </c>
      <c r="V158" s="10">
        <f t="shared" si="132"/>
        <v>10837.040520886736</v>
      </c>
      <c r="W158" s="10">
        <f t="shared" si="133"/>
        <v>5418.520260443368</v>
      </c>
      <c r="X158" s="10">
        <f t="shared" si="134"/>
        <v>896.94127528427305</v>
      </c>
      <c r="Y158" s="71">
        <f t="shared" si="135"/>
        <v>65399.446661604336</v>
      </c>
      <c r="Z158" s="71">
        <f t="shared" si="136"/>
        <v>130798.89332320867</v>
      </c>
      <c r="AA158" s="6"/>
      <c r="AB158" s="6">
        <f t="shared" ref="AB158:AB164" si="149">(3*I158)*(((5*$B$150)*($B$147-1))+($B$147*K158)-(5*$B$147*$B$148))</f>
        <v>-908.03453366945098</v>
      </c>
      <c r="AC158" s="6">
        <f t="shared" ref="AC158:AC164" si="150">(10*($B$150-$B$148))*(($B$150*($B$147-2))-($B$147*$B$148))</f>
        <v>2037.2310483244451</v>
      </c>
      <c r="AD158" s="6">
        <f t="shared" ref="AD158:AD164" si="151">(5*K158)*(($B$150*($B$147-1))-($B$147*$B$148))</f>
        <v>-322.70627094709272</v>
      </c>
      <c r="AE158" s="6">
        <f t="shared" ref="AE158:AE164" si="152">6*$B$147*I158*I158</f>
        <v>120.16855834365435</v>
      </c>
      <c r="AF158" s="6">
        <f t="shared" ref="AF158:AF164" si="153">$B$147*K158*K158</f>
        <v>20.028093057275722</v>
      </c>
      <c r="AG158" s="6">
        <f t="shared" ref="AG158:AG164" si="154">SUM(AB158:AF158)</f>
        <v>946.68689510883155</v>
      </c>
      <c r="AH158" s="72">
        <f t="shared" ref="AH158:AH164" si="155">AG158*H158*H158</f>
        <v>36042.337304483292</v>
      </c>
      <c r="AI158" s="6">
        <f t="shared" ref="AI158:AI164" si="156">(2*I158)*(((5*$B$150)*($B$147-1))+(2*$B$147*K158)-(5*$B$147*$B$148))</f>
        <v>-565.30016966508265</v>
      </c>
      <c r="AJ158" s="6">
        <f t="shared" ref="AJ158:AJ164" si="157">(10*($B$150-$B$148))*(($B$150*($B$147-2))-($B$147*$B$148))</f>
        <v>2037.2310483244451</v>
      </c>
      <c r="AK158" s="6">
        <f t="shared" ref="AK158:AK164" si="158">(10*K158)*(($B$150*($B$147-1))-($B$147*$B$148))</f>
        <v>-645.41254189418544</v>
      </c>
      <c r="AL158" s="6">
        <f t="shared" ref="AL158:AL164" si="159">3*$B$147*I158*I158</f>
        <v>60.084279171827177</v>
      </c>
      <c r="AM158" s="6">
        <f t="shared" ref="AM158:AM164" si="160">3*$B$147*K158*K158</f>
        <v>60.084279171827177</v>
      </c>
      <c r="AN158" s="6">
        <f t="shared" ref="AN158:AN164" si="161">SUM(AI158:AM158)</f>
        <v>946.68689510883132</v>
      </c>
      <c r="AO158" s="72">
        <f t="shared" ref="AO158:AO164" si="162">(H158*J158)*AN158</f>
        <v>36042.337304483284</v>
      </c>
      <c r="AP158" s="6">
        <f t="shared" ref="AP158:AP164" si="163">(I158)*(((5*$B$150)*($B$147-1))+(3*$B$147*K158)-(5*$B$147*$B$148))</f>
        <v>-262.6219917752656</v>
      </c>
      <c r="AQ158" s="6">
        <f t="shared" ref="AQ158:AQ164" si="164">(10*($B$150-$B$148))*(($B$150*($B$147-2))-($B$147*$B$148))</f>
        <v>2037.2310483244451</v>
      </c>
      <c r="AR158" s="6">
        <f t="shared" ref="AR158:AR164" si="165">(15*K158)*(($B$150*($B$147-1))-($B$147*$B$148))</f>
        <v>-968.11881284127821</v>
      </c>
      <c r="AS158" s="6">
        <f t="shared" ref="AS158:AS164" si="166">$B$147*I158*I158</f>
        <v>20.028093057275722</v>
      </c>
      <c r="AT158" s="6">
        <f t="shared" ref="AT158:AT164" si="167">6*$B$147*K158*K158</f>
        <v>120.16855834365435</v>
      </c>
      <c r="AU158" s="6">
        <f t="shared" ref="AU158:AU164" si="168">SUM(AP158:AT158)</f>
        <v>946.68689510883132</v>
      </c>
      <c r="AV158" s="72">
        <f t="shared" ref="AV158:AV164" si="169">(J158*J158)*AU158</f>
        <v>36042.337304483284</v>
      </c>
      <c r="AW158" s="72">
        <f t="shared" ref="AW158:AW164" si="170">AH158+AO158+AV158</f>
        <v>108127.01191344985</v>
      </c>
      <c r="BC158"/>
      <c r="BD158"/>
      <c r="BF158" s="6" t="e">
        <f t="shared" ref="BF158:BF194" si="171">IF(BC158&lt;&gt;"",IF(AND(BD158=0,BE158=0),0,MOD(ATAN2(BD158,BE158),2*PI())),NA())</f>
        <v>#N/A</v>
      </c>
      <c r="BG158" s="6" t="e">
        <f t="shared" ref="BG158:BG194" si="172">ABS(BC158-BF158)</f>
        <v>#N/A</v>
      </c>
      <c r="BH158" s="6" t="e">
        <f t="shared" ref="BH158:BH194" si="173">ATAN2(COS($U$13-BF158),SIN($U$13-BF158))</f>
        <v>#N/A</v>
      </c>
      <c r="BI158" s="6" t="e">
        <f t="shared" ref="BI158:BI194" si="174">ABS(BH158)</f>
        <v>#N/A</v>
      </c>
      <c r="BV158" s="38"/>
      <c r="BW158" s="6" t="e">
        <f t="shared" si="112"/>
        <v>#N/A</v>
      </c>
      <c r="BX158" s="9">
        <f t="shared" ca="1" si="113"/>
        <v>-156.7666765884093</v>
      </c>
      <c r="BY158" s="9">
        <f t="shared" ca="1" si="114"/>
        <v>84.412825855297342</v>
      </c>
      <c r="BZ158" s="9">
        <f t="shared" ca="1" si="115"/>
        <v>0</v>
      </c>
      <c r="CA158" s="6">
        <f t="shared" ca="1" si="116"/>
        <v>0</v>
      </c>
      <c r="CB158" s="6" t="e">
        <f t="shared" ca="1" si="117"/>
        <v>#DIV/0!</v>
      </c>
      <c r="CC158" s="6" t="e">
        <f t="shared" ca="1" si="118"/>
        <v>#DIV/0!</v>
      </c>
      <c r="CD158" s="9">
        <f t="shared" si="119"/>
        <v>-50</v>
      </c>
      <c r="CE158" s="9">
        <f t="shared" si="120"/>
        <v>0</v>
      </c>
      <c r="CF158" s="6">
        <f t="shared" si="121"/>
        <v>3.1415926535897931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5">B51</f>
        <v>6.170257530434986</v>
      </c>
      <c r="C159" s="6">
        <f t="shared" si="175"/>
        <v>3.7320131307526707</v>
      </c>
      <c r="D159" s="6">
        <f t="shared" si="175"/>
        <v>30.146994933029109</v>
      </c>
      <c r="E159" s="6">
        <f t="shared" si="175"/>
        <v>2.6755740520339386</v>
      </c>
      <c r="F159" s="6">
        <f t="shared" si="138"/>
        <v>0</v>
      </c>
      <c r="G159" s="6">
        <f t="shared" si="139"/>
        <v>0</v>
      </c>
      <c r="H159" s="6">
        <f t="shared" si="140"/>
        <v>0</v>
      </c>
      <c r="I159" s="6">
        <f t="shared" si="141"/>
        <v>0</v>
      </c>
      <c r="J159" s="6">
        <f t="shared" si="142"/>
        <v>0</v>
      </c>
      <c r="K159" s="6">
        <f t="shared" si="143"/>
        <v>0</v>
      </c>
      <c r="L159" s="6"/>
      <c r="M159" s="6">
        <f t="shared" si="144"/>
        <v>0</v>
      </c>
      <c r="N159" s="6">
        <f t="shared" si="145"/>
        <v>0</v>
      </c>
      <c r="O159" s="6">
        <f t="shared" si="146"/>
        <v>0</v>
      </c>
      <c r="P159" s="6">
        <f t="shared" si="128"/>
        <v>0</v>
      </c>
      <c r="Q159" s="6">
        <f t="shared" si="147"/>
        <v>0</v>
      </c>
      <c r="R159" s="6">
        <f t="shared" si="129"/>
        <v>0</v>
      </c>
      <c r="S159" s="6">
        <f t="shared" si="130"/>
        <v>0</v>
      </c>
      <c r="T159" s="71">
        <f t="shared" si="148"/>
        <v>0</v>
      </c>
      <c r="U159" s="10">
        <f t="shared" si="131"/>
        <v>0</v>
      </c>
      <c r="V159" s="10">
        <f t="shared" si="132"/>
        <v>0</v>
      </c>
      <c r="W159" s="10">
        <f t="shared" si="133"/>
        <v>0</v>
      </c>
      <c r="X159" s="10">
        <f t="shared" si="134"/>
        <v>0</v>
      </c>
      <c r="Y159" s="71">
        <f t="shared" si="135"/>
        <v>0</v>
      </c>
      <c r="Z159" s="71">
        <f t="shared" si="136"/>
        <v>0</v>
      </c>
      <c r="AA159" s="6"/>
      <c r="AB159" s="6">
        <f t="shared" si="149"/>
        <v>0</v>
      </c>
      <c r="AC159" s="6">
        <f t="shared" si="150"/>
        <v>2037.2310483244451</v>
      </c>
      <c r="AD159" s="6">
        <f t="shared" si="151"/>
        <v>0</v>
      </c>
      <c r="AE159" s="6">
        <f t="shared" si="152"/>
        <v>0</v>
      </c>
      <c r="AF159" s="6">
        <f t="shared" si="153"/>
        <v>0</v>
      </c>
      <c r="AG159" s="6">
        <f t="shared" si="154"/>
        <v>2037.2310483244451</v>
      </c>
      <c r="AH159" s="72">
        <f t="shared" si="155"/>
        <v>0</v>
      </c>
      <c r="AI159" s="6">
        <f t="shared" si="156"/>
        <v>0</v>
      </c>
      <c r="AJ159" s="6">
        <f t="shared" si="157"/>
        <v>2037.2310483244451</v>
      </c>
      <c r="AK159" s="6">
        <f t="shared" si="158"/>
        <v>0</v>
      </c>
      <c r="AL159" s="6">
        <f t="shared" si="159"/>
        <v>0</v>
      </c>
      <c r="AM159" s="6">
        <f t="shared" si="160"/>
        <v>0</v>
      </c>
      <c r="AN159" s="6">
        <f t="shared" si="161"/>
        <v>2037.2310483244451</v>
      </c>
      <c r="AO159" s="72">
        <f t="shared" si="162"/>
        <v>0</v>
      </c>
      <c r="AP159" s="6">
        <f t="shared" si="163"/>
        <v>0</v>
      </c>
      <c r="AQ159" s="6">
        <f t="shared" si="164"/>
        <v>2037.2310483244451</v>
      </c>
      <c r="AR159" s="6">
        <f t="shared" si="165"/>
        <v>0</v>
      </c>
      <c r="AS159" s="6">
        <f t="shared" si="166"/>
        <v>0</v>
      </c>
      <c r="AT159" s="6">
        <f t="shared" si="167"/>
        <v>0</v>
      </c>
      <c r="AU159" s="6">
        <f t="shared" si="168"/>
        <v>2037.2310483244451</v>
      </c>
      <c r="AV159" s="72">
        <f t="shared" si="169"/>
        <v>0</v>
      </c>
      <c r="AW159" s="72">
        <f t="shared" si="170"/>
        <v>0</v>
      </c>
      <c r="BC159"/>
      <c r="BD159"/>
      <c r="BF159" s="6" t="e">
        <f t="shared" si="171"/>
        <v>#N/A</v>
      </c>
      <c r="BG159" s="6" t="e">
        <f t="shared" si="172"/>
        <v>#N/A</v>
      </c>
      <c r="BH159" s="6" t="e">
        <f t="shared" si="173"/>
        <v>#N/A</v>
      </c>
      <c r="BI159" s="6" t="e">
        <f t="shared" si="174"/>
        <v>#N/A</v>
      </c>
      <c r="BV159" s="38"/>
      <c r="BW159" s="6" t="e">
        <f t="shared" si="112"/>
        <v>#N/A</v>
      </c>
      <c r="BX159" s="9">
        <f t="shared" ca="1" si="113"/>
        <v>-156.7666765884093</v>
      </c>
      <c r="BY159" s="9">
        <f t="shared" ca="1" si="114"/>
        <v>84.412825855297342</v>
      </c>
      <c r="BZ159" s="9">
        <f t="shared" ca="1" si="115"/>
        <v>0</v>
      </c>
      <c r="CA159" s="6">
        <f t="shared" ca="1" si="116"/>
        <v>0</v>
      </c>
      <c r="CB159" s="6" t="e">
        <f t="shared" ca="1" si="117"/>
        <v>#DIV/0!</v>
      </c>
      <c r="CC159" s="6" t="e">
        <f t="shared" ca="1" si="118"/>
        <v>#DIV/0!</v>
      </c>
      <c r="CD159" s="9">
        <f t="shared" si="119"/>
        <v>-50</v>
      </c>
      <c r="CE159" s="9">
        <f t="shared" si="120"/>
        <v>0</v>
      </c>
      <c r="CF159" s="6">
        <f t="shared" si="121"/>
        <v>3.1415926535897931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6">B52</f>
        <v>30.146994933029109</v>
      </c>
      <c r="C160" s="6">
        <f t="shared" si="176"/>
        <v>2.6755740520339386</v>
      </c>
      <c r="D160" s="6">
        <f t="shared" si="176"/>
        <v>30.499141292602019</v>
      </c>
      <c r="E160" s="6">
        <f t="shared" si="176"/>
        <v>10.667819852898646</v>
      </c>
      <c r="F160" s="6">
        <f t="shared" si="138"/>
        <v>1</v>
      </c>
      <c r="G160" s="6">
        <f t="shared" si="139"/>
        <v>0.95456209148112259</v>
      </c>
      <c r="H160" s="6">
        <f t="shared" si="140"/>
        <v>30.483140498530489</v>
      </c>
      <c r="I160" s="6">
        <f t="shared" si="141"/>
        <v>10.304668919338573</v>
      </c>
      <c r="J160" s="6">
        <f t="shared" si="142"/>
        <v>30.499141292602019</v>
      </c>
      <c r="K160" s="6">
        <f t="shared" si="143"/>
        <v>10.667819852898646</v>
      </c>
      <c r="L160" s="6"/>
      <c r="M160" s="6">
        <f t="shared" si="144"/>
        <v>9228.119924326722</v>
      </c>
      <c r="N160" s="6">
        <f t="shared" si="145"/>
        <v>97305.835848369912</v>
      </c>
      <c r="O160" s="6">
        <f t="shared" si="146"/>
        <v>140699.79413385259</v>
      </c>
      <c r="P160" s="6">
        <f t="shared" si="128"/>
        <v>-8590.3314912207625</v>
      </c>
      <c r="Q160" s="6">
        <f t="shared" si="147"/>
        <v>-1852.0866296054166</v>
      </c>
      <c r="R160" s="6">
        <f t="shared" si="129"/>
        <v>5371.7573779208133</v>
      </c>
      <c r="S160" s="6">
        <f t="shared" si="130"/>
        <v>4720.3766951425878</v>
      </c>
      <c r="T160" s="71">
        <f t="shared" si="148"/>
        <v>-10683.362665261544</v>
      </c>
      <c r="U160" s="10">
        <f t="shared" si="131"/>
        <v>-40431.182573572936</v>
      </c>
      <c r="V160" s="10">
        <f t="shared" si="132"/>
        <v>14081.960296821433</v>
      </c>
      <c r="W160" s="10">
        <f t="shared" si="133"/>
        <v>7289.1141286567708</v>
      </c>
      <c r="X160" s="10">
        <f t="shared" si="134"/>
        <v>18881.506780570351</v>
      </c>
      <c r="Y160" s="71">
        <f t="shared" si="135"/>
        <v>-5444.3305794753924</v>
      </c>
      <c r="Z160" s="71">
        <f t="shared" si="136"/>
        <v>-16127.693244736936</v>
      </c>
      <c r="AA160" s="6"/>
      <c r="AB160" s="6">
        <f t="shared" si="149"/>
        <v>-2198.9018907323934</v>
      </c>
      <c r="AC160" s="6">
        <f t="shared" si="150"/>
        <v>2037.2310483244451</v>
      </c>
      <c r="AD160" s="6">
        <f t="shared" si="151"/>
        <v>-922.44379728910235</v>
      </c>
      <c r="AE160" s="6">
        <f t="shared" si="152"/>
        <v>916.16270878610146</v>
      </c>
      <c r="AF160" s="6">
        <f t="shared" si="153"/>
        <v>163.6457085085504</v>
      </c>
      <c r="AG160" s="6">
        <f t="shared" si="154"/>
        <v>-4.3062224023988733</v>
      </c>
      <c r="AH160" s="72">
        <f t="shared" si="155"/>
        <v>-4001.4359673060221</v>
      </c>
      <c r="AI160" s="6">
        <f t="shared" si="156"/>
        <v>-1149.7847394925509</v>
      </c>
      <c r="AJ160" s="6">
        <f t="shared" si="157"/>
        <v>2037.2310483244451</v>
      </c>
      <c r="AK160" s="6">
        <f t="shared" si="158"/>
        <v>-1844.8875945782047</v>
      </c>
      <c r="AL160" s="6">
        <f t="shared" si="159"/>
        <v>458.08135439305073</v>
      </c>
      <c r="AM160" s="6">
        <f t="shared" si="160"/>
        <v>490.93712552565114</v>
      </c>
      <c r="AN160" s="6">
        <f t="shared" si="161"/>
        <v>-8.4228058276086699</v>
      </c>
      <c r="AO160" s="72">
        <f t="shared" si="162"/>
        <v>-7830.7635135695455</v>
      </c>
      <c r="AP160" s="6">
        <f t="shared" si="163"/>
        <v>-416.81744258175308</v>
      </c>
      <c r="AQ160" s="6">
        <f t="shared" si="164"/>
        <v>2037.2310483244451</v>
      </c>
      <c r="AR160" s="6">
        <f t="shared" si="165"/>
        <v>-2767.331391867307</v>
      </c>
      <c r="AS160" s="6">
        <f t="shared" si="166"/>
        <v>152.69378479768358</v>
      </c>
      <c r="AT160" s="6">
        <f t="shared" si="167"/>
        <v>981.87425105130228</v>
      </c>
      <c r="AU160" s="6">
        <f t="shared" si="168"/>
        <v>-12.349750275629276</v>
      </c>
      <c r="AV160" s="72">
        <f t="shared" si="169"/>
        <v>-11487.708308873154</v>
      </c>
      <c r="AW160" s="72">
        <f t="shared" si="170"/>
        <v>-23319.907789748722</v>
      </c>
      <c r="BC160"/>
      <c r="BD160"/>
      <c r="BF160" s="6" t="e">
        <f t="shared" si="171"/>
        <v>#N/A</v>
      </c>
      <c r="BG160" s="6" t="e">
        <f t="shared" si="172"/>
        <v>#N/A</v>
      </c>
      <c r="BH160" s="6" t="e">
        <f t="shared" si="173"/>
        <v>#N/A</v>
      </c>
      <c r="BI160" s="6" t="e">
        <f t="shared" si="174"/>
        <v>#N/A</v>
      </c>
      <c r="BV160" s="38"/>
      <c r="BW160" s="6" t="e">
        <f t="shared" si="112"/>
        <v>#N/A</v>
      </c>
      <c r="BX160" s="9">
        <f t="shared" ca="1" si="113"/>
        <v>-156.7666765884093</v>
      </c>
      <c r="BY160" s="9">
        <f t="shared" ca="1" si="114"/>
        <v>84.412825855297342</v>
      </c>
      <c r="BZ160" s="9">
        <f t="shared" ca="1" si="115"/>
        <v>0</v>
      </c>
      <c r="CA160" s="6">
        <f t="shared" ca="1" si="116"/>
        <v>0</v>
      </c>
      <c r="CB160" s="6" t="e">
        <f t="shared" ca="1" si="117"/>
        <v>#DIV/0!</v>
      </c>
      <c r="CC160" s="6" t="e">
        <f t="shared" ca="1" si="118"/>
        <v>#DIV/0!</v>
      </c>
      <c r="CD160" s="9">
        <f t="shared" si="119"/>
        <v>-50</v>
      </c>
      <c r="CE160" s="9">
        <f t="shared" si="120"/>
        <v>0</v>
      </c>
      <c r="CF160" s="6">
        <f t="shared" si="121"/>
        <v>3.1415926535897931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7">B53</f>
        <v>30.499141292602019</v>
      </c>
      <c r="C161" s="6">
        <f t="shared" si="177"/>
        <v>10.667819852898646</v>
      </c>
      <c r="D161" s="6">
        <f t="shared" si="177"/>
        <v>-17.454333512586224</v>
      </c>
      <c r="E161" s="6">
        <f t="shared" si="177"/>
        <v>12.78069801033611</v>
      </c>
      <c r="F161" s="6">
        <f t="shared" si="138"/>
        <v>0.64306946604849125</v>
      </c>
      <c r="G161" s="6">
        <f t="shared" si="139"/>
        <v>0</v>
      </c>
      <c r="H161" s="6">
        <f>IF(AND(F161=0,G161=0),0,IF(C161&gt;E161,B161+(F161*(D161-B161)),B161+(G161*(D161-B161))))</f>
        <v>30.499141292602019</v>
      </c>
      <c r="I161" s="6">
        <f t="shared" si="141"/>
        <v>10.667819852898646</v>
      </c>
      <c r="J161" s="6">
        <f t="shared" si="142"/>
        <v>-0.33827414554016144</v>
      </c>
      <c r="K161" s="6">
        <f t="shared" si="143"/>
        <v>12.026547281427476</v>
      </c>
      <c r="L161" s="6"/>
      <c r="M161" s="6">
        <f t="shared" si="144"/>
        <v>59768.417844067044</v>
      </c>
      <c r="N161" s="6">
        <f t="shared" si="145"/>
        <v>669202.03838811733</v>
      </c>
      <c r="O161" s="6">
        <f t="shared" si="146"/>
        <v>552811.24056627788</v>
      </c>
      <c r="P161" s="6">
        <f t="shared" si="128"/>
        <v>-7872.3714031231211</v>
      </c>
      <c r="Q161" s="6">
        <f t="shared" si="147"/>
        <v>-2673.5768513681251</v>
      </c>
      <c r="R161" s="6">
        <f t="shared" si="129"/>
        <v>3977.2349071558092</v>
      </c>
      <c r="S161" s="6">
        <f t="shared" si="130"/>
        <v>5237.2288142075358</v>
      </c>
      <c r="T161" s="71">
        <f t="shared" si="148"/>
        <v>450.40679274378152</v>
      </c>
      <c r="U161" s="10">
        <f t="shared" si="131"/>
        <v>-41329.949866396375</v>
      </c>
      <c r="V161" s="10">
        <f t="shared" si="132"/>
        <v>12402.948605354777</v>
      </c>
      <c r="W161" s="10">
        <f t="shared" si="133"/>
        <v>6991.3370251974857</v>
      </c>
      <c r="X161" s="10">
        <f t="shared" si="134"/>
        <v>20948.915256830143</v>
      </c>
      <c r="Y161" s="71">
        <f t="shared" si="135"/>
        <v>-30094.996531277848</v>
      </c>
      <c r="Z161" s="71">
        <f t="shared" si="136"/>
        <v>-29644.589738534065</v>
      </c>
      <c r="AA161" s="6"/>
      <c r="AB161" s="6">
        <f t="shared" si="149"/>
        <v>-2213.8651134938455</v>
      </c>
      <c r="AC161" s="6">
        <f t="shared" si="150"/>
        <v>2037.2310483244451</v>
      </c>
      <c r="AD161" s="6">
        <f t="shared" si="151"/>
        <v>-1039.9326287406789</v>
      </c>
      <c r="AE161" s="6">
        <f t="shared" si="152"/>
        <v>981.87425105130228</v>
      </c>
      <c r="AF161" s="6">
        <f t="shared" si="153"/>
        <v>207.98652574813579</v>
      </c>
      <c r="AG161" s="6">
        <f t="shared" si="154"/>
        <v>-26.705917110641195</v>
      </c>
      <c r="AH161" s="72">
        <f t="shared" si="155"/>
        <v>-24841.780525182177</v>
      </c>
      <c r="AI161" s="6">
        <f t="shared" si="156"/>
        <v>-1106.932556746923</v>
      </c>
      <c r="AJ161" s="6">
        <f t="shared" si="157"/>
        <v>2037.2310483244451</v>
      </c>
      <c r="AK161" s="6">
        <f t="shared" si="158"/>
        <v>-2079.8652574813577</v>
      </c>
      <c r="AL161" s="6">
        <f t="shared" si="159"/>
        <v>490.93712552565114</v>
      </c>
      <c r="AM161" s="6">
        <f t="shared" si="160"/>
        <v>623.95957724440734</v>
      </c>
      <c r="AN161" s="6">
        <f t="shared" si="161"/>
        <v>-34.670063133777148</v>
      </c>
      <c r="AO161" s="72">
        <f t="shared" si="162"/>
        <v>357.69350155493197</v>
      </c>
      <c r="AP161" s="6">
        <f t="shared" si="163"/>
        <v>-368.97751891564104</v>
      </c>
      <c r="AQ161" s="6">
        <f t="shared" si="164"/>
        <v>2037.2310483244451</v>
      </c>
      <c r="AR161" s="6">
        <f t="shared" si="165"/>
        <v>-3119.7978862220371</v>
      </c>
      <c r="AS161" s="6">
        <f t="shared" si="166"/>
        <v>163.6457085085504</v>
      </c>
      <c r="AT161" s="6">
        <f t="shared" si="167"/>
        <v>1247.9191544888147</v>
      </c>
      <c r="AU161" s="6">
        <f t="shared" si="168"/>
        <v>-39.979493815867954</v>
      </c>
      <c r="AV161" s="72">
        <f t="shared" si="169"/>
        <v>-4.5748293913409599</v>
      </c>
      <c r="AW161" s="72">
        <f t="shared" si="170"/>
        <v>-24488.661853018588</v>
      </c>
      <c r="BC161"/>
      <c r="BD161"/>
      <c r="BF161" s="6" t="e">
        <f t="shared" si="171"/>
        <v>#N/A</v>
      </c>
      <c r="BG161" s="6" t="e">
        <f t="shared" si="172"/>
        <v>#N/A</v>
      </c>
      <c r="BH161" s="6" t="e">
        <f t="shared" si="173"/>
        <v>#N/A</v>
      </c>
      <c r="BI161" s="6" t="e">
        <f t="shared" si="174"/>
        <v>#N/A</v>
      </c>
      <c r="BV161" s="38"/>
      <c r="BW161" s="6" t="e">
        <f t="shared" si="112"/>
        <v>#N/A</v>
      </c>
      <c r="BX161" s="9">
        <f t="shared" ca="1" si="113"/>
        <v>-156.7666765884093</v>
      </c>
      <c r="BY161" s="9">
        <f t="shared" ca="1" si="114"/>
        <v>84.412825855297342</v>
      </c>
      <c r="BZ161" s="9">
        <f t="shared" ca="1" si="115"/>
        <v>0</v>
      </c>
      <c r="CA161" s="6">
        <f t="shared" ca="1" si="116"/>
        <v>0</v>
      </c>
      <c r="CB161" s="6" t="e">
        <f t="shared" ca="1" si="117"/>
        <v>#DIV/0!</v>
      </c>
      <c r="CC161" s="6" t="e">
        <f t="shared" ca="1" si="118"/>
        <v>#DIV/0!</v>
      </c>
      <c r="CD161" s="9">
        <f t="shared" si="119"/>
        <v>-50</v>
      </c>
      <c r="CE161" s="9">
        <f t="shared" si="120"/>
        <v>0</v>
      </c>
      <c r="CF161" s="6">
        <f t="shared" si="121"/>
        <v>3.1415926535897931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8">B54</f>
        <v>-17.454333512586224</v>
      </c>
      <c r="C162" s="6">
        <f t="shared" si="178"/>
        <v>12.78069801033611</v>
      </c>
      <c r="D162" s="6">
        <f t="shared" si="178"/>
        <v>-17.806479872159134</v>
      </c>
      <c r="E162" s="6">
        <f t="shared" si="178"/>
        <v>4.7884522094714033</v>
      </c>
      <c r="F162" s="6">
        <f t="shared" si="138"/>
        <v>9.4360302185280645E-2</v>
      </c>
      <c r="G162" s="6">
        <f t="shared" si="139"/>
        <v>0.30980392153725395</v>
      </c>
      <c r="H162" s="6">
        <f t="shared" si="140"/>
        <v>-17.487562149488969</v>
      </c>
      <c r="I162" s="6">
        <f t="shared" si="141"/>
        <v>12.026547281427476</v>
      </c>
      <c r="J162" s="6">
        <f t="shared" si="142"/>
        <v>-17.563429835736979</v>
      </c>
      <c r="K162" s="6">
        <f t="shared" si="143"/>
        <v>10.304668919338573</v>
      </c>
      <c r="L162" s="6"/>
      <c r="M162" s="6">
        <f t="shared" si="144"/>
        <v>85454.588411145261</v>
      </c>
      <c r="N162" s="6">
        <f t="shared" si="145"/>
        <v>972507.40437860962</v>
      </c>
      <c r="O162" s="6">
        <f t="shared" si="146"/>
        <v>-748412.65441316098</v>
      </c>
      <c r="P162" s="6">
        <f t="shared" si="128"/>
        <v>-12154.204132989724</v>
      </c>
      <c r="Q162" s="6">
        <f t="shared" si="147"/>
        <v>-1836.3790224494528</v>
      </c>
      <c r="R162" s="6">
        <f t="shared" si="129"/>
        <v>5776.1190374476446</v>
      </c>
      <c r="S162" s="6">
        <f t="shared" si="130"/>
        <v>7504.0793574293639</v>
      </c>
      <c r="T162" s="71">
        <f t="shared" si="148"/>
        <v>12476.792898510463</v>
      </c>
      <c r="U162" s="10">
        <f t="shared" si="131"/>
        <v>-55751.702986631397</v>
      </c>
      <c r="V162" s="10">
        <f t="shared" si="132"/>
        <v>17155.339436068189</v>
      </c>
      <c r="W162" s="10">
        <f t="shared" si="133"/>
        <v>7349.577935828499</v>
      </c>
      <c r="X162" s="10">
        <f t="shared" si="134"/>
        <v>30016.317429717456</v>
      </c>
      <c r="Y162" s="71">
        <f t="shared" si="135"/>
        <v>21517.888858458165</v>
      </c>
      <c r="Z162" s="71">
        <f t="shared" si="136"/>
        <v>33994.681756968625</v>
      </c>
      <c r="AA162" s="6"/>
      <c r="AB162" s="6">
        <f t="shared" si="149"/>
        <v>-2585.172551776845</v>
      </c>
      <c r="AC162" s="6">
        <f t="shared" si="150"/>
        <v>2037.2310483244451</v>
      </c>
      <c r="AD162" s="6">
        <f t="shared" si="151"/>
        <v>-891.04222407532018</v>
      </c>
      <c r="AE162" s="6">
        <f t="shared" si="152"/>
        <v>1247.9191544888147</v>
      </c>
      <c r="AF162" s="6">
        <f t="shared" si="153"/>
        <v>152.69378479768358</v>
      </c>
      <c r="AG162" s="6">
        <f t="shared" si="154"/>
        <v>-38.37078824122176</v>
      </c>
      <c r="AH162" s="72">
        <f t="shared" si="155"/>
        <v>-11734.356080355197</v>
      </c>
      <c r="AI162" s="6">
        <f t="shared" si="156"/>
        <v>-1367.0314782211019</v>
      </c>
      <c r="AJ162" s="6">
        <f t="shared" si="157"/>
        <v>2037.2310483244451</v>
      </c>
      <c r="AK162" s="6">
        <f t="shared" si="158"/>
        <v>-1782.0844481506404</v>
      </c>
      <c r="AL162" s="6">
        <f t="shared" si="159"/>
        <v>623.95957724440734</v>
      </c>
      <c r="AM162" s="6">
        <f t="shared" si="160"/>
        <v>458.08135439305073</v>
      </c>
      <c r="AN162" s="6">
        <f t="shared" si="161"/>
        <v>-29.843946409839134</v>
      </c>
      <c r="AO162" s="72">
        <f t="shared" si="162"/>
        <v>-9166.3165795065306</v>
      </c>
      <c r="AP162" s="6">
        <f t="shared" si="163"/>
        <v>-505.30729429548694</v>
      </c>
      <c r="AQ162" s="6">
        <f t="shared" si="164"/>
        <v>2037.2310483244451</v>
      </c>
      <c r="AR162" s="6">
        <f t="shared" si="165"/>
        <v>-2673.1266722259602</v>
      </c>
      <c r="AS162" s="6">
        <f t="shared" si="166"/>
        <v>207.98652574813579</v>
      </c>
      <c r="AT162" s="6">
        <f t="shared" si="167"/>
        <v>916.16270878610146</v>
      </c>
      <c r="AU162" s="6">
        <f t="shared" si="168"/>
        <v>-17.053683662764684</v>
      </c>
      <c r="AV162" s="72">
        <f t="shared" si="169"/>
        <v>-5260.6191669289628</v>
      </c>
      <c r="AW162" s="72">
        <f t="shared" si="170"/>
        <v>-26161.29182679069</v>
      </c>
      <c r="BC162"/>
      <c r="BD162"/>
      <c r="BF162" s="6" t="e">
        <f t="shared" si="171"/>
        <v>#N/A</v>
      </c>
      <c r="BG162" s="6" t="e">
        <f t="shared" si="172"/>
        <v>#N/A</v>
      </c>
      <c r="BH162" s="6" t="e">
        <f t="shared" si="173"/>
        <v>#N/A</v>
      </c>
      <c r="BI162" s="6" t="e">
        <f t="shared" si="174"/>
        <v>#N/A</v>
      </c>
      <c r="BV162" s="38"/>
      <c r="BW162" s="6" t="e">
        <f t="shared" si="112"/>
        <v>#N/A</v>
      </c>
      <c r="BX162" s="9">
        <f t="shared" ca="1" si="113"/>
        <v>-156.7666765884093</v>
      </c>
      <c r="BY162" s="9">
        <f t="shared" ca="1" si="114"/>
        <v>84.412825855297342</v>
      </c>
      <c r="BZ162" s="9">
        <f t="shared" ca="1" si="115"/>
        <v>0</v>
      </c>
      <c r="CA162" s="6">
        <f t="shared" ca="1" si="116"/>
        <v>0</v>
      </c>
      <c r="CB162" s="6" t="e">
        <f t="shared" ca="1" si="117"/>
        <v>#DIV/0!</v>
      </c>
      <c r="CC162" s="6" t="e">
        <f t="shared" ca="1" si="118"/>
        <v>#DIV/0!</v>
      </c>
      <c r="CD162" s="9">
        <f t="shared" si="119"/>
        <v>-50</v>
      </c>
      <c r="CE162" s="9">
        <f t="shared" si="120"/>
        <v>0</v>
      </c>
      <c r="CF162" s="6">
        <f t="shared" si="121"/>
        <v>3.1415926535897931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79">B55</f>
        <v>-17.806479872159134</v>
      </c>
      <c r="C163" s="6">
        <f t="shared" si="179"/>
        <v>4.7884522094714033</v>
      </c>
      <c r="D163" s="6">
        <f t="shared" si="179"/>
        <v>-5.8181111708620747</v>
      </c>
      <c r="E163" s="6">
        <f t="shared" si="179"/>
        <v>4.2602326701120372</v>
      </c>
      <c r="F163" s="6">
        <f t="shared" si="138"/>
        <v>0</v>
      </c>
      <c r="G163" s="6">
        <f t="shared" si="139"/>
        <v>0</v>
      </c>
      <c r="H163" s="6">
        <f t="shared" si="140"/>
        <v>0</v>
      </c>
      <c r="I163" s="6">
        <f t="shared" si="141"/>
        <v>0</v>
      </c>
      <c r="J163" s="6">
        <f t="shared" si="142"/>
        <v>0</v>
      </c>
      <c r="K163" s="6">
        <f t="shared" si="143"/>
        <v>0</v>
      </c>
      <c r="L163" s="6"/>
      <c r="M163" s="6">
        <f t="shared" si="144"/>
        <v>0</v>
      </c>
      <c r="N163" s="6">
        <f t="shared" si="145"/>
        <v>0</v>
      </c>
      <c r="O163" s="6">
        <f t="shared" si="146"/>
        <v>0</v>
      </c>
      <c r="P163" s="6">
        <f t="shared" si="128"/>
        <v>0</v>
      </c>
      <c r="Q163" s="6">
        <f t="shared" si="147"/>
        <v>0</v>
      </c>
      <c r="R163" s="6">
        <f t="shared" si="129"/>
        <v>0</v>
      </c>
      <c r="S163" s="6">
        <f t="shared" si="130"/>
        <v>0</v>
      </c>
      <c r="T163" s="71">
        <f t="shared" si="148"/>
        <v>0</v>
      </c>
      <c r="U163" s="10">
        <f t="shared" si="131"/>
        <v>0</v>
      </c>
      <c r="V163" s="10">
        <f t="shared" si="132"/>
        <v>0</v>
      </c>
      <c r="W163" s="10">
        <f t="shared" si="133"/>
        <v>0</v>
      </c>
      <c r="X163" s="10">
        <f t="shared" si="134"/>
        <v>0</v>
      </c>
      <c r="Y163" s="71">
        <f t="shared" si="135"/>
        <v>0</v>
      </c>
      <c r="Z163" s="71">
        <f t="shared" si="136"/>
        <v>0</v>
      </c>
      <c r="AA163" s="6"/>
      <c r="AB163" s="6">
        <f t="shared" si="149"/>
        <v>0</v>
      </c>
      <c r="AC163" s="6">
        <f t="shared" si="150"/>
        <v>2037.2310483244451</v>
      </c>
      <c r="AD163" s="6">
        <f t="shared" si="151"/>
        <v>0</v>
      </c>
      <c r="AE163" s="6">
        <f t="shared" si="152"/>
        <v>0</v>
      </c>
      <c r="AF163" s="6">
        <f t="shared" si="153"/>
        <v>0</v>
      </c>
      <c r="AG163" s="6">
        <f t="shared" si="154"/>
        <v>2037.2310483244451</v>
      </c>
      <c r="AH163" s="72">
        <f t="shared" si="155"/>
        <v>0</v>
      </c>
      <c r="AI163" s="6">
        <f t="shared" si="156"/>
        <v>0</v>
      </c>
      <c r="AJ163" s="6">
        <f t="shared" si="157"/>
        <v>2037.2310483244451</v>
      </c>
      <c r="AK163" s="6">
        <f t="shared" si="158"/>
        <v>0</v>
      </c>
      <c r="AL163" s="6">
        <f t="shared" si="159"/>
        <v>0</v>
      </c>
      <c r="AM163" s="6">
        <f t="shared" si="160"/>
        <v>0</v>
      </c>
      <c r="AN163" s="6">
        <f t="shared" si="161"/>
        <v>2037.2310483244451</v>
      </c>
      <c r="AO163" s="72">
        <f t="shared" si="162"/>
        <v>0</v>
      </c>
      <c r="AP163" s="6">
        <f t="shared" si="163"/>
        <v>0</v>
      </c>
      <c r="AQ163" s="6">
        <f t="shared" si="164"/>
        <v>2037.2310483244451</v>
      </c>
      <c r="AR163" s="6">
        <f t="shared" si="165"/>
        <v>0</v>
      </c>
      <c r="AS163" s="6">
        <f t="shared" si="166"/>
        <v>0</v>
      </c>
      <c r="AT163" s="6">
        <f t="shared" si="167"/>
        <v>0</v>
      </c>
      <c r="AU163" s="6">
        <f t="shared" si="168"/>
        <v>2037.2310483244451</v>
      </c>
      <c r="AV163" s="72">
        <f t="shared" si="169"/>
        <v>0</v>
      </c>
      <c r="AW163" s="72">
        <f t="shared" si="170"/>
        <v>0</v>
      </c>
      <c r="BC163"/>
      <c r="BD163"/>
      <c r="BF163" s="6" t="e">
        <f t="shared" si="171"/>
        <v>#N/A</v>
      </c>
      <c r="BG163" s="6" t="e">
        <f t="shared" si="172"/>
        <v>#N/A</v>
      </c>
      <c r="BH163" s="6" t="e">
        <f t="shared" si="173"/>
        <v>#N/A</v>
      </c>
      <c r="BI163" s="6" t="e">
        <f t="shared" si="174"/>
        <v>#N/A</v>
      </c>
      <c r="BV163" s="38"/>
      <c r="BW163" s="6" t="e">
        <f t="shared" si="112"/>
        <v>#N/A</v>
      </c>
      <c r="BX163" s="9">
        <f t="shared" ca="1" si="113"/>
        <v>-156.7666765884093</v>
      </c>
      <c r="BY163" s="9">
        <f t="shared" ca="1" si="114"/>
        <v>84.412825855297342</v>
      </c>
      <c r="BZ163" s="9">
        <f t="shared" ca="1" si="115"/>
        <v>0</v>
      </c>
      <c r="CA163" s="6">
        <f t="shared" ca="1" si="116"/>
        <v>0</v>
      </c>
      <c r="CB163" s="6" t="e">
        <f t="shared" ca="1" si="117"/>
        <v>#DIV/0!</v>
      </c>
      <c r="CC163" s="6" t="e">
        <f t="shared" ca="1" si="118"/>
        <v>#DIV/0!</v>
      </c>
      <c r="CD163" s="9">
        <f t="shared" si="119"/>
        <v>-50</v>
      </c>
      <c r="CE163" s="9">
        <f t="shared" si="120"/>
        <v>0</v>
      </c>
      <c r="CF163" s="6">
        <f t="shared" si="121"/>
        <v>3.1415926535897931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0">B56</f>
        <v>-5.8181111708620747</v>
      </c>
      <c r="C164" s="6">
        <f t="shared" si="180"/>
        <v>4.2602326701120372</v>
      </c>
      <c r="D164" s="6">
        <f t="shared" si="180"/>
        <v>-6.5224038900078964</v>
      </c>
      <c r="E164" s="6">
        <f t="shared" si="180"/>
        <v>-11.724258931617378</v>
      </c>
      <c r="F164" s="6">
        <f t="shared" si="138"/>
        <v>0</v>
      </c>
      <c r="G164" s="6">
        <f t="shared" si="139"/>
        <v>0</v>
      </c>
      <c r="H164" s="6">
        <f t="shared" si="140"/>
        <v>0</v>
      </c>
      <c r="I164" s="6">
        <f t="shared" si="141"/>
        <v>0</v>
      </c>
      <c r="J164" s="6">
        <f t="shared" si="142"/>
        <v>0</v>
      </c>
      <c r="K164" s="6">
        <f t="shared" si="143"/>
        <v>0</v>
      </c>
      <c r="L164" s="6"/>
      <c r="M164" s="11">
        <f t="shared" si="144"/>
        <v>0</v>
      </c>
      <c r="N164" s="11">
        <f t="shared" si="145"/>
        <v>0</v>
      </c>
      <c r="O164" s="11">
        <f t="shared" si="146"/>
        <v>0</v>
      </c>
      <c r="P164" s="6">
        <f t="shared" si="128"/>
        <v>0</v>
      </c>
      <c r="Q164" s="6">
        <f t="shared" si="147"/>
        <v>0</v>
      </c>
      <c r="R164" s="6">
        <f t="shared" si="129"/>
        <v>0</v>
      </c>
      <c r="S164" s="6">
        <f t="shared" si="130"/>
        <v>0</v>
      </c>
      <c r="T164" s="71">
        <f t="shared" si="148"/>
        <v>0</v>
      </c>
      <c r="U164" s="10">
        <f t="shared" si="131"/>
        <v>0</v>
      </c>
      <c r="V164" s="10">
        <f t="shared" si="132"/>
        <v>0</v>
      </c>
      <c r="W164" s="10">
        <f t="shared" si="133"/>
        <v>0</v>
      </c>
      <c r="X164" s="10">
        <f t="shared" si="134"/>
        <v>0</v>
      </c>
      <c r="Y164" s="71">
        <f t="shared" si="135"/>
        <v>0</v>
      </c>
      <c r="Z164" s="71">
        <f t="shared" si="136"/>
        <v>0</v>
      </c>
      <c r="AA164" s="6"/>
      <c r="AB164" s="6">
        <f t="shared" si="149"/>
        <v>0</v>
      </c>
      <c r="AC164" s="6">
        <f t="shared" si="150"/>
        <v>2037.2310483244451</v>
      </c>
      <c r="AD164" s="6">
        <f t="shared" si="151"/>
        <v>0</v>
      </c>
      <c r="AE164" s="6">
        <f t="shared" si="152"/>
        <v>0</v>
      </c>
      <c r="AF164" s="6">
        <f t="shared" si="153"/>
        <v>0</v>
      </c>
      <c r="AG164" s="6">
        <f t="shared" si="154"/>
        <v>2037.2310483244451</v>
      </c>
      <c r="AH164" s="72">
        <f t="shared" si="155"/>
        <v>0</v>
      </c>
      <c r="AI164" s="6">
        <f t="shared" si="156"/>
        <v>0</v>
      </c>
      <c r="AJ164" s="6">
        <f t="shared" si="157"/>
        <v>2037.2310483244451</v>
      </c>
      <c r="AK164" s="6">
        <f t="shared" si="158"/>
        <v>0</v>
      </c>
      <c r="AL164" s="6">
        <f t="shared" si="159"/>
        <v>0</v>
      </c>
      <c r="AM164" s="6">
        <f t="shared" si="160"/>
        <v>0</v>
      </c>
      <c r="AN164" s="6">
        <f t="shared" si="161"/>
        <v>2037.2310483244451</v>
      </c>
      <c r="AO164" s="72">
        <f t="shared" si="162"/>
        <v>0</v>
      </c>
      <c r="AP164" s="6">
        <f t="shared" si="163"/>
        <v>0</v>
      </c>
      <c r="AQ164" s="6">
        <f t="shared" si="164"/>
        <v>2037.2310483244451</v>
      </c>
      <c r="AR164" s="6">
        <f t="shared" si="165"/>
        <v>0</v>
      </c>
      <c r="AS164" s="6">
        <f t="shared" si="166"/>
        <v>0</v>
      </c>
      <c r="AT164" s="6">
        <f t="shared" si="167"/>
        <v>0</v>
      </c>
      <c r="AU164" s="6">
        <f t="shared" si="168"/>
        <v>2037.2310483244451</v>
      </c>
      <c r="AV164" s="72">
        <f t="shared" si="169"/>
        <v>0</v>
      </c>
      <c r="AW164" s="72">
        <f t="shared" si="170"/>
        <v>0</v>
      </c>
      <c r="BC164"/>
      <c r="BD164"/>
      <c r="BF164" s="6" t="e">
        <f t="shared" si="171"/>
        <v>#N/A</v>
      </c>
      <c r="BG164" s="6" t="e">
        <f t="shared" si="172"/>
        <v>#N/A</v>
      </c>
      <c r="BH164" s="6" t="e">
        <f t="shared" si="173"/>
        <v>#N/A</v>
      </c>
      <c r="BI164" s="6" t="e">
        <f t="shared" si="174"/>
        <v>#N/A</v>
      </c>
      <c r="BV164" s="38"/>
      <c r="BW164" s="6" t="e">
        <f t="shared" si="112"/>
        <v>#N/A</v>
      </c>
      <c r="BX164" s="9">
        <f t="shared" ca="1" si="113"/>
        <v>-156.7666765884093</v>
      </c>
      <c r="BY164" s="9">
        <f t="shared" ca="1" si="114"/>
        <v>84.412825855297342</v>
      </c>
      <c r="BZ164" s="9">
        <f t="shared" ca="1" si="115"/>
        <v>0</v>
      </c>
      <c r="CA164" s="6">
        <f t="shared" ca="1" si="116"/>
        <v>0</v>
      </c>
      <c r="CB164" s="6" t="e">
        <f t="shared" ca="1" si="117"/>
        <v>#DIV/0!</v>
      </c>
      <c r="CC164" s="6" t="e">
        <f t="shared" ca="1" si="118"/>
        <v>#DIV/0!</v>
      </c>
      <c r="CD164" s="9">
        <f t="shared" si="119"/>
        <v>-50</v>
      </c>
      <c r="CE164" s="9">
        <f t="shared" si="120"/>
        <v>0</v>
      </c>
      <c r="CF164" s="6">
        <f t="shared" si="121"/>
        <v>3.1415926535897931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154451.12617953902</v>
      </c>
      <c r="N165" s="6">
        <f t="shared" ref="N165:O165" si="181">SUM(N157:N164)</f>
        <v>1739015.2786150968</v>
      </c>
      <c r="O165" s="6">
        <f t="shared" si="181"/>
        <v>-54901.619713030523</v>
      </c>
      <c r="AA165" s="52"/>
      <c r="AC165" s="52"/>
      <c r="BC165"/>
      <c r="BD165"/>
      <c r="BF165" s="6" t="e">
        <f t="shared" si="171"/>
        <v>#N/A</v>
      </c>
      <c r="BG165" s="6" t="e">
        <f t="shared" si="172"/>
        <v>#N/A</v>
      </c>
      <c r="BH165" s="6" t="e">
        <f t="shared" si="173"/>
        <v>#N/A</v>
      </c>
      <c r="BI165" s="6" t="e">
        <f t="shared" si="174"/>
        <v>#N/A</v>
      </c>
      <c r="BV165" s="38"/>
      <c r="BW165" s="6" t="e">
        <f t="shared" si="112"/>
        <v>#N/A</v>
      </c>
      <c r="BX165" s="9">
        <f t="shared" ca="1" si="113"/>
        <v>-156.7666765884093</v>
      </c>
      <c r="BY165" s="9">
        <f t="shared" ca="1" si="114"/>
        <v>84.412825855297342</v>
      </c>
      <c r="BZ165" s="9">
        <f t="shared" ca="1" si="115"/>
        <v>0</v>
      </c>
      <c r="CA165" s="6">
        <f t="shared" ca="1" si="116"/>
        <v>0</v>
      </c>
      <c r="CB165" s="6" t="e">
        <f t="shared" ca="1" si="117"/>
        <v>#DIV/0!</v>
      </c>
      <c r="CC165" s="6" t="e">
        <f t="shared" ca="1" si="118"/>
        <v>#DIV/0!</v>
      </c>
      <c r="CD165" s="9">
        <f t="shared" si="119"/>
        <v>-50</v>
      </c>
      <c r="CE165" s="9">
        <f t="shared" si="120"/>
        <v>0</v>
      </c>
      <c r="CF165" s="6">
        <f t="shared" si="121"/>
        <v>3.1415926535897931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/>
      <c r="BD166"/>
      <c r="BF166" s="6" t="e">
        <f t="shared" si="171"/>
        <v>#N/A</v>
      </c>
      <c r="BG166" s="6" t="e">
        <f t="shared" si="172"/>
        <v>#N/A</v>
      </c>
      <c r="BH166" s="6" t="e">
        <f t="shared" si="173"/>
        <v>#N/A</v>
      </c>
      <c r="BI166" s="6" t="e">
        <f t="shared" si="174"/>
        <v>#N/A</v>
      </c>
      <c r="BV166" s="38"/>
      <c r="BW166" s="6" t="e">
        <f t="shared" si="112"/>
        <v>#N/A</v>
      </c>
      <c r="BX166" s="9">
        <f t="shared" ca="1" si="113"/>
        <v>-156.7666765884093</v>
      </c>
      <c r="BY166" s="9">
        <f t="shared" ca="1" si="114"/>
        <v>84.412825855297342</v>
      </c>
      <c r="BZ166" s="9">
        <f t="shared" ca="1" si="115"/>
        <v>0</v>
      </c>
      <c r="CA166" s="6">
        <f t="shared" ca="1" si="116"/>
        <v>0</v>
      </c>
      <c r="CB166" s="6" t="e">
        <f t="shared" ca="1" si="117"/>
        <v>#DIV/0!</v>
      </c>
      <c r="CC166" s="6" t="e">
        <f t="shared" ca="1" si="118"/>
        <v>#DIV/0!</v>
      </c>
      <c r="CD166" s="9">
        <f t="shared" si="119"/>
        <v>-50</v>
      </c>
      <c r="CE166" s="9">
        <f t="shared" si="120"/>
        <v>0</v>
      </c>
      <c r="CF166" s="6">
        <f t="shared" si="121"/>
        <v>3.1415926535897931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2">B156</f>
        <v>xi (in)</v>
      </c>
      <c r="C167" t="str">
        <f t="shared" si="182"/>
        <v>yi (in)</v>
      </c>
      <c r="D167" t="str">
        <f t="shared" si="182"/>
        <v>xj (in)</v>
      </c>
      <c r="E167" t="str">
        <f t="shared" si="182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/>
      <c r="BD167"/>
      <c r="BF167" s="6" t="e">
        <f t="shared" si="171"/>
        <v>#N/A</v>
      </c>
      <c r="BG167" s="6" t="e">
        <f t="shared" si="172"/>
        <v>#N/A</v>
      </c>
      <c r="BH167" s="6" t="e">
        <f t="shared" si="173"/>
        <v>#N/A</v>
      </c>
      <c r="BI167" s="6" t="e">
        <f t="shared" si="174"/>
        <v>#N/A</v>
      </c>
      <c r="BV167" s="38"/>
      <c r="BW167" s="6" t="e">
        <f t="shared" si="112"/>
        <v>#N/A</v>
      </c>
      <c r="BX167" s="9">
        <f t="shared" ca="1" si="113"/>
        <v>-156.7666765884093</v>
      </c>
      <c r="BY167" s="9">
        <f t="shared" ca="1" si="114"/>
        <v>84.412825855297342</v>
      </c>
      <c r="BZ167" s="9">
        <f t="shared" ca="1" si="115"/>
        <v>0</v>
      </c>
      <c r="CA167" s="6">
        <f t="shared" ca="1" si="116"/>
        <v>0</v>
      </c>
      <c r="CB167" s="6" t="e">
        <f t="shared" ca="1" si="117"/>
        <v>#DIV/0!</v>
      </c>
      <c r="CC167" s="6" t="e">
        <f t="shared" ca="1" si="118"/>
        <v>#DIV/0!</v>
      </c>
      <c r="CD167" s="9">
        <f t="shared" si="119"/>
        <v>-50</v>
      </c>
      <c r="CE167" s="9">
        <f t="shared" si="120"/>
        <v>0</v>
      </c>
      <c r="CF167" s="6">
        <f t="shared" si="121"/>
        <v>3.1415926535897931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3">A157</f>
        <v>Segment 1</v>
      </c>
      <c r="B168" s="6">
        <f t="shared" si="183"/>
        <v>-6.5224038900078964</v>
      </c>
      <c r="C168" s="6">
        <f t="shared" si="183"/>
        <v>-11.724258931617378</v>
      </c>
      <c r="D168" s="6">
        <f t="shared" si="183"/>
        <v>5.4659648112891643</v>
      </c>
      <c r="E168" s="6">
        <f t="shared" si="183"/>
        <v>-12.252478470976744</v>
      </c>
      <c r="F168" s="6">
        <f>IF(E168-C168=0,0,MIN(MAX(($B$148-C168)/(E168-C168),0),1))</f>
        <v>0</v>
      </c>
      <c r="G168" s="6">
        <f>IF(E168-C168=0,0,MIN(MAX(($B$152-C168)/(E168-C168),0),1))</f>
        <v>0</v>
      </c>
      <c r="H168" s="6">
        <f>IF(AND(F168=0,G168=0),0,IF(C168&gt;E168,B168+(F168*(D168-B168)),B168+(G168*(D168-B168))))</f>
        <v>0</v>
      </c>
      <c r="I168" s="6">
        <f>IF(AND(F168=0,G168=0),0,IF(C168&gt;E168,C168+(F168*(E168-C168)),C168+(G168*(E168-C168))))</f>
        <v>0</v>
      </c>
      <c r="J168" s="9">
        <f>IF(AND(F168=0,G168=0),0,IF(C168&gt;E168,B168+(G168*(D168-B168)),B168+(F168*(D168-B168))))</f>
        <v>0</v>
      </c>
      <c r="K168" s="9">
        <f>IF(AND(F168=0,G168=0),0,IF(C168&gt;E168,C168+(G168*(E168-C168)),C168+(F168*(E168-C168))))</f>
        <v>0</v>
      </c>
      <c r="L168" s="6">
        <f>0.85*$B$143</f>
        <v>4250</v>
      </c>
      <c r="M168" s="6">
        <f>L168</f>
        <v>4250</v>
      </c>
      <c r="N168" s="10">
        <f t="shared" ref="N168" si="184">(1/6)*(K168-I168)*((L168*((2*H168)+J168))+(M168*(H168+(2*J168))))</f>
        <v>0</v>
      </c>
      <c r="O168" s="10">
        <f t="shared" ref="O168" si="185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/>
      <c r="BD168"/>
      <c r="BF168" s="6" t="e">
        <f t="shared" si="171"/>
        <v>#N/A</v>
      </c>
      <c r="BG168" s="6" t="e">
        <f t="shared" si="172"/>
        <v>#N/A</v>
      </c>
      <c r="BH168" s="6" t="e">
        <f t="shared" si="173"/>
        <v>#N/A</v>
      </c>
      <c r="BI168" s="6" t="e">
        <f t="shared" si="174"/>
        <v>#N/A</v>
      </c>
      <c r="BV168" s="38"/>
      <c r="BW168" s="6" t="e">
        <f t="shared" si="112"/>
        <v>#N/A</v>
      </c>
      <c r="BX168" s="9">
        <f t="shared" ca="1" si="113"/>
        <v>-156.7666765884093</v>
      </c>
      <c r="BY168" s="9">
        <f t="shared" ca="1" si="114"/>
        <v>84.412825855297342</v>
      </c>
      <c r="BZ168" s="9">
        <f t="shared" ca="1" si="115"/>
        <v>0</v>
      </c>
      <c r="CA168" s="6">
        <f t="shared" ca="1" si="116"/>
        <v>0</v>
      </c>
      <c r="CB168" s="6" t="e">
        <f t="shared" ca="1" si="117"/>
        <v>#DIV/0!</v>
      </c>
      <c r="CC168" s="6" t="e">
        <f t="shared" ca="1" si="118"/>
        <v>#DIV/0!</v>
      </c>
      <c r="CD168" s="9">
        <f t="shared" si="119"/>
        <v>-50</v>
      </c>
      <c r="CE168" s="9">
        <f t="shared" si="120"/>
        <v>0</v>
      </c>
      <c r="CF168" s="6">
        <f t="shared" si="121"/>
        <v>3.1415926535897931</v>
      </c>
      <c r="CG168" s="6"/>
      <c r="CH168" s="6"/>
      <c r="CI168" s="6"/>
      <c r="CJ168" s="1"/>
      <c r="CK168" s="6"/>
    </row>
    <row r="169" spans="1:89" x14ac:dyDescent="0.25">
      <c r="A169" s="1" t="str">
        <f t="shared" si="183"/>
        <v>Segment 2</v>
      </c>
      <c r="B169" s="6">
        <f t="shared" si="183"/>
        <v>5.4659648112891643</v>
      </c>
      <c r="C169" s="6">
        <f t="shared" si="183"/>
        <v>-12.252478470976744</v>
      </c>
      <c r="D169" s="6">
        <f t="shared" si="183"/>
        <v>6.170257530434986</v>
      </c>
      <c r="E169" s="6">
        <f t="shared" si="183"/>
        <v>3.7320131307526707</v>
      </c>
      <c r="F169" s="6">
        <f t="shared" ref="F169:F175" si="186">IF(E169-C169=0,0,MIN(MAX(($B$148-C169)/(E169-C169),0),1))</f>
        <v>1</v>
      </c>
      <c r="G169" s="6">
        <f t="shared" ref="G169:G175" si="187">IF(E169-C169=0,0,MIN(MAX(($B$152-C169)/(E169-C169),0),1))</f>
        <v>1</v>
      </c>
      <c r="H169" s="6">
        <f t="shared" ref="H169:H175" si="188">IF(AND(F169=0,G169=0),0,IF(C169&gt;E169,B169+(F169*(D169-B169)),B169+(G169*(D169-B169))))</f>
        <v>6.170257530434986</v>
      </c>
      <c r="I169" s="6">
        <f t="shared" ref="I169:I175" si="189">IF(AND(F169=0,G169=0),0,IF(C169&gt;E169,C169+(F169*(E169-C169)),C169+(G169*(E169-C169))))</f>
        <v>3.7320131307526712</v>
      </c>
      <c r="J169" s="9">
        <f t="shared" ref="J169:J175" si="190">IF(AND(F169=0,G169=0),0,IF(C169&gt;E169,B169+(G169*(D169-B169)),B169+(F169*(D169-B169))))</f>
        <v>6.170257530434986</v>
      </c>
      <c r="K169" s="9">
        <f t="shared" ref="K169:K175" si="191">IF(AND(F169=0,G169=0),0,IF(C169&gt;E169,C169+(G169*(E169-C169)),C169+(F169*(E169-C169))))</f>
        <v>3.7320131307526712</v>
      </c>
      <c r="L169" s="6">
        <f t="shared" ref="L169:L175" si="192">0.85*$B$143</f>
        <v>4250</v>
      </c>
      <c r="M169" s="6">
        <f t="shared" ref="M169:M175" si="193">L169</f>
        <v>4250</v>
      </c>
      <c r="N169" s="10">
        <f t="shared" ref="N169:N175" si="194">(1/6)*(K169-I169)*((L169*((2*H169)+J169))+(M169*(H169+(2*J169))))</f>
        <v>0</v>
      </c>
      <c r="O169" s="10">
        <f t="shared" ref="O169:O175" si="195">((1/12)*(K169-I169)*(L169*H169*((3*I169)+K169)+L169*J169*(I169+K169)+M169*H169*(I169+K169)+M169*J169*(I169+(3*K169))))</f>
        <v>0</v>
      </c>
      <c r="P169" s="10">
        <f t="shared" ref="P169:P175" si="196">((1/24)*(K169-I169)*(H169*H169*((3*L169)+M169)+2*H169*J169*(L169+M169)+J169*J169*(L169+(3*M169))))</f>
        <v>0</v>
      </c>
      <c r="BC169"/>
      <c r="BD169"/>
      <c r="BF169" s="6" t="e">
        <f t="shared" si="171"/>
        <v>#N/A</v>
      </c>
      <c r="BG169" s="6" t="e">
        <f t="shared" si="172"/>
        <v>#N/A</v>
      </c>
      <c r="BH169" s="6" t="e">
        <f t="shared" si="173"/>
        <v>#N/A</v>
      </c>
      <c r="BI169" s="6" t="e">
        <f t="shared" si="174"/>
        <v>#N/A</v>
      </c>
      <c r="BV169" s="38"/>
      <c r="BW169" s="6" t="e">
        <f t="shared" si="112"/>
        <v>#N/A</v>
      </c>
      <c r="BX169" s="9">
        <f t="shared" ca="1" si="113"/>
        <v>-156.7666765884093</v>
      </c>
      <c r="BY169" s="9">
        <f t="shared" ca="1" si="114"/>
        <v>84.412825855297342</v>
      </c>
      <c r="BZ169" s="9">
        <f t="shared" ca="1" si="115"/>
        <v>0</v>
      </c>
      <c r="CA169" s="6">
        <f t="shared" ca="1" si="116"/>
        <v>0</v>
      </c>
      <c r="CB169" s="6" t="e">
        <f t="shared" ca="1" si="117"/>
        <v>#DIV/0!</v>
      </c>
      <c r="CC169" s="6" t="e">
        <f t="shared" ca="1" si="118"/>
        <v>#DIV/0!</v>
      </c>
      <c r="CD169" s="9">
        <f t="shared" si="119"/>
        <v>-50</v>
      </c>
      <c r="CE169" s="9">
        <f t="shared" si="120"/>
        <v>0</v>
      </c>
      <c r="CF169" s="6">
        <f t="shared" si="121"/>
        <v>3.1415926535897931</v>
      </c>
      <c r="CG169" s="6"/>
      <c r="CH169" s="6"/>
      <c r="CI169" s="6"/>
      <c r="CJ169" s="1"/>
      <c r="CK169" s="6"/>
    </row>
    <row r="170" spans="1:89" x14ac:dyDescent="0.25">
      <c r="A170" s="1" t="str">
        <f t="shared" si="183"/>
        <v>Segment 3</v>
      </c>
      <c r="B170" s="6">
        <f t="shared" si="183"/>
        <v>6.170257530434986</v>
      </c>
      <c r="C170" s="6">
        <f t="shared" si="183"/>
        <v>3.7320131307526707</v>
      </c>
      <c r="D170" s="6">
        <f t="shared" si="183"/>
        <v>30.146994933029109</v>
      </c>
      <c r="E170" s="6">
        <f t="shared" si="183"/>
        <v>2.6755740520339386</v>
      </c>
      <c r="F170" s="6">
        <f t="shared" si="186"/>
        <v>0</v>
      </c>
      <c r="G170" s="6">
        <f t="shared" si="187"/>
        <v>0</v>
      </c>
      <c r="H170" s="6">
        <f t="shared" si="188"/>
        <v>0</v>
      </c>
      <c r="I170" s="6">
        <f t="shared" si="189"/>
        <v>0</v>
      </c>
      <c r="J170" s="9">
        <f t="shared" si="190"/>
        <v>0</v>
      </c>
      <c r="K170" s="9">
        <f t="shared" si="191"/>
        <v>0</v>
      </c>
      <c r="L170" s="6">
        <f t="shared" si="192"/>
        <v>4250</v>
      </c>
      <c r="M170" s="6">
        <f t="shared" si="193"/>
        <v>4250</v>
      </c>
      <c r="N170" s="10">
        <f t="shared" si="194"/>
        <v>0</v>
      </c>
      <c r="O170" s="10">
        <f t="shared" si="195"/>
        <v>0</v>
      </c>
      <c r="P170" s="10">
        <f t="shared" si="196"/>
        <v>0</v>
      </c>
      <c r="BC170"/>
      <c r="BD170"/>
      <c r="BF170" s="6" t="e">
        <f t="shared" si="171"/>
        <v>#N/A</v>
      </c>
      <c r="BG170" s="6" t="e">
        <f t="shared" si="172"/>
        <v>#N/A</v>
      </c>
      <c r="BH170" s="6" t="e">
        <f t="shared" si="173"/>
        <v>#N/A</v>
      </c>
      <c r="BI170" s="6" t="e">
        <f t="shared" si="174"/>
        <v>#N/A</v>
      </c>
      <c r="BV170" s="38"/>
      <c r="BW170" s="6" t="e">
        <f t="shared" si="112"/>
        <v>#N/A</v>
      </c>
      <c r="BX170" s="9">
        <f t="shared" ca="1" si="113"/>
        <v>-156.7666765884093</v>
      </c>
      <c r="BY170" s="9">
        <f t="shared" ca="1" si="114"/>
        <v>84.412825855297342</v>
      </c>
      <c r="BZ170" s="9">
        <f t="shared" ca="1" si="115"/>
        <v>0</v>
      </c>
      <c r="CA170" s="6">
        <f t="shared" ca="1" si="116"/>
        <v>0</v>
      </c>
      <c r="CB170" s="6" t="e">
        <f t="shared" ca="1" si="117"/>
        <v>#DIV/0!</v>
      </c>
      <c r="CC170" s="6" t="e">
        <f t="shared" ca="1" si="118"/>
        <v>#DIV/0!</v>
      </c>
      <c r="CD170" s="9">
        <f t="shared" si="119"/>
        <v>-50</v>
      </c>
      <c r="CE170" s="9">
        <f t="shared" si="120"/>
        <v>0</v>
      </c>
      <c r="CF170" s="6">
        <f t="shared" si="121"/>
        <v>3.1415926535897931</v>
      </c>
      <c r="CG170" s="6"/>
      <c r="CH170" s="6"/>
      <c r="CI170" s="6"/>
      <c r="CJ170" s="1"/>
      <c r="CK170" s="6"/>
    </row>
    <row r="171" spans="1:89" x14ac:dyDescent="0.25">
      <c r="A171" s="1" t="str">
        <f t="shared" si="183"/>
        <v>Segment 4</v>
      </c>
      <c r="B171" s="6">
        <f t="shared" si="183"/>
        <v>30.146994933029109</v>
      </c>
      <c r="C171" s="6">
        <f t="shared" si="183"/>
        <v>2.6755740520339386</v>
      </c>
      <c r="D171" s="6">
        <f t="shared" si="183"/>
        <v>30.499141292602019</v>
      </c>
      <c r="E171" s="6">
        <f t="shared" si="183"/>
        <v>10.667819852898646</v>
      </c>
      <c r="F171" s="6">
        <f t="shared" si="186"/>
        <v>1</v>
      </c>
      <c r="G171" s="6">
        <f t="shared" si="187"/>
        <v>1</v>
      </c>
      <c r="H171" s="6">
        <f t="shared" si="188"/>
        <v>30.499141292602019</v>
      </c>
      <c r="I171" s="6">
        <f t="shared" si="189"/>
        <v>10.667819852898646</v>
      </c>
      <c r="J171" s="9">
        <f t="shared" si="190"/>
        <v>30.499141292602019</v>
      </c>
      <c r="K171" s="9">
        <f t="shared" si="191"/>
        <v>10.667819852898646</v>
      </c>
      <c r="L171" s="6">
        <f t="shared" si="192"/>
        <v>4250</v>
      </c>
      <c r="M171" s="6">
        <f t="shared" si="193"/>
        <v>4250</v>
      </c>
      <c r="N171" s="10">
        <f t="shared" si="194"/>
        <v>0</v>
      </c>
      <c r="O171" s="10">
        <f t="shared" si="195"/>
        <v>0</v>
      </c>
      <c r="P171" s="10">
        <f t="shared" si="196"/>
        <v>0</v>
      </c>
      <c r="BC171"/>
      <c r="BD171"/>
      <c r="BF171" s="6" t="e">
        <f t="shared" si="171"/>
        <v>#N/A</v>
      </c>
      <c r="BG171" s="6" t="e">
        <f t="shared" si="172"/>
        <v>#N/A</v>
      </c>
      <c r="BH171" s="6" t="e">
        <f t="shared" si="173"/>
        <v>#N/A</v>
      </c>
      <c r="BI171" s="6" t="e">
        <f t="shared" si="174"/>
        <v>#N/A</v>
      </c>
      <c r="BV171" s="38"/>
      <c r="BW171" s="6" t="e">
        <f t="shared" si="112"/>
        <v>#N/A</v>
      </c>
      <c r="BX171" s="9">
        <f t="shared" ca="1" si="113"/>
        <v>-156.7666765884093</v>
      </c>
      <c r="BY171" s="9">
        <f t="shared" ca="1" si="114"/>
        <v>84.412825855297342</v>
      </c>
      <c r="BZ171" s="9">
        <f t="shared" ca="1" si="115"/>
        <v>0</v>
      </c>
      <c r="CA171" s="6">
        <f t="shared" ca="1" si="116"/>
        <v>0</v>
      </c>
      <c r="CB171" s="6" t="e">
        <f t="shared" ca="1" si="117"/>
        <v>#DIV/0!</v>
      </c>
      <c r="CC171" s="6" t="e">
        <f t="shared" ca="1" si="118"/>
        <v>#DIV/0!</v>
      </c>
      <c r="CD171" s="9">
        <f t="shared" si="119"/>
        <v>-50</v>
      </c>
      <c r="CE171" s="9">
        <f t="shared" si="120"/>
        <v>0</v>
      </c>
      <c r="CF171" s="6">
        <f t="shared" si="121"/>
        <v>3.1415926535897931</v>
      </c>
      <c r="CG171" s="6"/>
      <c r="CH171" s="6"/>
      <c r="CI171" s="6"/>
      <c r="CJ171" s="1"/>
      <c r="CK171" s="6"/>
    </row>
    <row r="172" spans="1:89" x14ac:dyDescent="0.25">
      <c r="A172" s="1" t="str">
        <f t="shared" si="183"/>
        <v>Segment 5</v>
      </c>
      <c r="B172" s="6">
        <f t="shared" si="183"/>
        <v>30.499141292602019</v>
      </c>
      <c r="C172" s="6">
        <f t="shared" si="183"/>
        <v>10.667819852898646</v>
      </c>
      <c r="D172" s="6">
        <f t="shared" si="183"/>
        <v>-17.454333512586224</v>
      </c>
      <c r="E172" s="6">
        <f t="shared" si="183"/>
        <v>12.78069801033611</v>
      </c>
      <c r="F172" s="6">
        <f t="shared" si="186"/>
        <v>1</v>
      </c>
      <c r="G172" s="6">
        <f t="shared" si="187"/>
        <v>0.64306946604849125</v>
      </c>
      <c r="H172" s="6">
        <f t="shared" si="188"/>
        <v>-0.33827414554016144</v>
      </c>
      <c r="I172" s="6">
        <f t="shared" si="189"/>
        <v>12.026547281427476</v>
      </c>
      <c r="J172" s="9">
        <f t="shared" si="190"/>
        <v>-17.454333512586224</v>
      </c>
      <c r="K172" s="9">
        <f t="shared" si="191"/>
        <v>12.78069801033611</v>
      </c>
      <c r="L172" s="6">
        <f t="shared" si="192"/>
        <v>4250</v>
      </c>
      <c r="M172" s="6">
        <f t="shared" si="193"/>
        <v>4250</v>
      </c>
      <c r="N172" s="10">
        <f t="shared" si="194"/>
        <v>-28513.904573442887</v>
      </c>
      <c r="O172" s="10">
        <f t="shared" si="195"/>
        <v>-357123.3990701306</v>
      </c>
      <c r="P172" s="10">
        <f t="shared" si="196"/>
        <v>165958.1937749178</v>
      </c>
      <c r="BC172"/>
      <c r="BD172"/>
      <c r="BF172" s="6" t="e">
        <f t="shared" si="171"/>
        <v>#N/A</v>
      </c>
      <c r="BG172" s="6" t="e">
        <f t="shared" si="172"/>
        <v>#N/A</v>
      </c>
      <c r="BH172" s="6" t="e">
        <f t="shared" si="173"/>
        <v>#N/A</v>
      </c>
      <c r="BI172" s="6" t="e">
        <f t="shared" si="174"/>
        <v>#N/A</v>
      </c>
      <c r="BV172" s="38"/>
      <c r="BW172" s="6" t="e">
        <f t="shared" si="112"/>
        <v>#N/A</v>
      </c>
      <c r="BX172" s="9">
        <f t="shared" ca="1" si="113"/>
        <v>-156.7666765884093</v>
      </c>
      <c r="BY172" s="9">
        <f t="shared" ca="1" si="114"/>
        <v>84.412825855297342</v>
      </c>
      <c r="BZ172" s="9">
        <f t="shared" ca="1" si="115"/>
        <v>0</v>
      </c>
      <c r="CA172" s="6">
        <f t="shared" ca="1" si="116"/>
        <v>0</v>
      </c>
      <c r="CB172" s="6" t="e">
        <f t="shared" ca="1" si="117"/>
        <v>#DIV/0!</v>
      </c>
      <c r="CC172" s="6" t="e">
        <f t="shared" ca="1" si="118"/>
        <v>#DIV/0!</v>
      </c>
      <c r="CD172" s="9">
        <f t="shared" si="119"/>
        <v>-50</v>
      </c>
      <c r="CE172" s="9">
        <f t="shared" si="120"/>
        <v>0</v>
      </c>
      <c r="CF172" s="6">
        <f t="shared" si="121"/>
        <v>3.1415926535897931</v>
      </c>
      <c r="CG172" s="6"/>
      <c r="CH172" s="6"/>
      <c r="CI172" s="6"/>
      <c r="CJ172" s="1"/>
      <c r="CK172" s="6"/>
    </row>
    <row r="173" spans="1:89" x14ac:dyDescent="0.25">
      <c r="A173" s="1" t="str">
        <f t="shared" si="183"/>
        <v>Segment 6</v>
      </c>
      <c r="B173" s="6">
        <f t="shared" si="183"/>
        <v>-17.454333512586224</v>
      </c>
      <c r="C173" s="6">
        <f t="shared" si="183"/>
        <v>12.78069801033611</v>
      </c>
      <c r="D173" s="6">
        <f t="shared" si="183"/>
        <v>-17.806479872159134</v>
      </c>
      <c r="E173" s="6">
        <f t="shared" si="183"/>
        <v>4.7884522094714033</v>
      </c>
      <c r="F173" s="6">
        <f t="shared" si="186"/>
        <v>0</v>
      </c>
      <c r="G173" s="6">
        <f t="shared" si="187"/>
        <v>9.4360302185280645E-2</v>
      </c>
      <c r="H173" s="6">
        <f t="shared" si="188"/>
        <v>-17.454333512586224</v>
      </c>
      <c r="I173" s="6">
        <f t="shared" si="189"/>
        <v>12.78069801033611</v>
      </c>
      <c r="J173" s="9">
        <f t="shared" si="190"/>
        <v>-17.487562149488969</v>
      </c>
      <c r="K173" s="9">
        <f t="shared" si="191"/>
        <v>12.026547281427476</v>
      </c>
      <c r="L173" s="6">
        <f t="shared" si="192"/>
        <v>4250</v>
      </c>
      <c r="M173" s="6">
        <f t="shared" si="193"/>
        <v>4250</v>
      </c>
      <c r="N173" s="10">
        <f t="shared" si="194"/>
        <v>55996.844176382314</v>
      </c>
      <c r="O173" s="10">
        <f t="shared" si="195"/>
        <v>694557.03128220036</v>
      </c>
      <c r="P173" s="10">
        <f t="shared" si="196"/>
        <v>-489159.11910963123</v>
      </c>
      <c r="BC173"/>
      <c r="BD173"/>
      <c r="BF173" s="6" t="e">
        <f t="shared" si="171"/>
        <v>#N/A</v>
      </c>
      <c r="BG173" s="6" t="e">
        <f t="shared" si="172"/>
        <v>#N/A</v>
      </c>
      <c r="BH173" s="6" t="e">
        <f t="shared" si="173"/>
        <v>#N/A</v>
      </c>
      <c r="BI173" s="6" t="e">
        <f t="shared" si="174"/>
        <v>#N/A</v>
      </c>
      <c r="BV173" s="38"/>
      <c r="BW173" s="6" t="e">
        <f t="shared" si="112"/>
        <v>#N/A</v>
      </c>
      <c r="BX173" s="9">
        <f t="shared" ca="1" si="113"/>
        <v>-156.7666765884093</v>
      </c>
      <c r="BY173" s="9">
        <f t="shared" ca="1" si="114"/>
        <v>84.412825855297342</v>
      </c>
      <c r="BZ173" s="9">
        <f t="shared" ca="1" si="115"/>
        <v>0</v>
      </c>
      <c r="CA173" s="6">
        <f t="shared" ca="1" si="116"/>
        <v>0</v>
      </c>
      <c r="CB173" s="6" t="e">
        <f t="shared" ca="1" si="117"/>
        <v>#DIV/0!</v>
      </c>
      <c r="CC173" s="6" t="e">
        <f t="shared" ca="1" si="118"/>
        <v>#DIV/0!</v>
      </c>
      <c r="CD173" s="9">
        <f t="shared" si="119"/>
        <v>-50</v>
      </c>
      <c r="CE173" s="9">
        <f t="shared" si="120"/>
        <v>0</v>
      </c>
      <c r="CF173" s="6">
        <f t="shared" si="121"/>
        <v>3.1415926535897931</v>
      </c>
      <c r="CG173" s="6"/>
      <c r="CH173" s="6"/>
      <c r="CI173" s="6"/>
      <c r="CJ173" s="1"/>
      <c r="CK173" s="6"/>
    </row>
    <row r="174" spans="1:89" x14ac:dyDescent="0.25">
      <c r="A174" s="1" t="str">
        <f t="shared" si="183"/>
        <v>Segment 7</v>
      </c>
      <c r="B174" s="6">
        <f t="shared" si="183"/>
        <v>-17.806479872159134</v>
      </c>
      <c r="C174" s="6">
        <f t="shared" si="183"/>
        <v>4.7884522094714033</v>
      </c>
      <c r="D174" s="6">
        <f t="shared" si="183"/>
        <v>-5.8181111708620747</v>
      </c>
      <c r="E174" s="6">
        <f t="shared" si="183"/>
        <v>4.2602326701120372</v>
      </c>
      <c r="F174" s="6">
        <f t="shared" si="186"/>
        <v>0</v>
      </c>
      <c r="G174" s="6">
        <f t="shared" si="187"/>
        <v>0</v>
      </c>
      <c r="H174" s="6">
        <f t="shared" si="188"/>
        <v>0</v>
      </c>
      <c r="I174" s="6">
        <f t="shared" si="189"/>
        <v>0</v>
      </c>
      <c r="J174" s="9">
        <f t="shared" si="190"/>
        <v>0</v>
      </c>
      <c r="K174" s="9">
        <f t="shared" si="191"/>
        <v>0</v>
      </c>
      <c r="L174" s="6">
        <f t="shared" si="192"/>
        <v>4250</v>
      </c>
      <c r="M174" s="6">
        <f t="shared" si="193"/>
        <v>4250</v>
      </c>
      <c r="N174" s="10">
        <f t="shared" si="194"/>
        <v>0</v>
      </c>
      <c r="O174" s="10">
        <f t="shared" si="195"/>
        <v>0</v>
      </c>
      <c r="P174" s="10">
        <f t="shared" si="196"/>
        <v>0</v>
      </c>
      <c r="BC174"/>
      <c r="BD174"/>
      <c r="BF174" s="6" t="e">
        <f t="shared" si="171"/>
        <v>#N/A</v>
      </c>
      <c r="BG174" s="6" t="e">
        <f t="shared" si="172"/>
        <v>#N/A</v>
      </c>
      <c r="BH174" s="6" t="e">
        <f t="shared" si="173"/>
        <v>#N/A</v>
      </c>
      <c r="BI174" s="6" t="e">
        <f t="shared" si="174"/>
        <v>#N/A</v>
      </c>
      <c r="BV174" s="38"/>
      <c r="BW174" s="6" t="e">
        <f t="shared" si="112"/>
        <v>#N/A</v>
      </c>
      <c r="BX174" s="9">
        <f t="shared" ca="1" si="113"/>
        <v>-156.7666765884093</v>
      </c>
      <c r="BY174" s="9">
        <f t="shared" ca="1" si="114"/>
        <v>84.412825855297342</v>
      </c>
      <c r="BZ174" s="9">
        <f t="shared" ca="1" si="115"/>
        <v>0</v>
      </c>
      <c r="CA174" s="6">
        <f t="shared" ca="1" si="116"/>
        <v>0</v>
      </c>
      <c r="CB174" s="6" t="e">
        <f t="shared" ca="1" si="117"/>
        <v>#DIV/0!</v>
      </c>
      <c r="CC174" s="6" t="e">
        <f t="shared" ca="1" si="118"/>
        <v>#DIV/0!</v>
      </c>
      <c r="CD174" s="9">
        <f t="shared" si="119"/>
        <v>-50</v>
      </c>
      <c r="CE174" s="9">
        <f t="shared" si="120"/>
        <v>0</v>
      </c>
      <c r="CF174" s="6">
        <f t="shared" si="121"/>
        <v>3.1415926535897931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3"/>
        <v>Segment 8</v>
      </c>
      <c r="B175" s="6">
        <f t="shared" si="183"/>
        <v>-5.8181111708620747</v>
      </c>
      <c r="C175" s="6">
        <f t="shared" si="183"/>
        <v>4.2602326701120372</v>
      </c>
      <c r="D175" s="6">
        <f t="shared" si="183"/>
        <v>-6.5224038900078964</v>
      </c>
      <c r="E175" s="6">
        <f t="shared" si="183"/>
        <v>-11.724258931617378</v>
      </c>
      <c r="F175" s="6">
        <f t="shared" si="186"/>
        <v>0</v>
      </c>
      <c r="G175" s="6">
        <f t="shared" si="187"/>
        <v>0</v>
      </c>
      <c r="H175" s="6">
        <f t="shared" si="188"/>
        <v>0</v>
      </c>
      <c r="I175" s="6">
        <f t="shared" si="189"/>
        <v>0</v>
      </c>
      <c r="J175" s="9">
        <f t="shared" si="190"/>
        <v>0</v>
      </c>
      <c r="K175" s="9">
        <f t="shared" si="191"/>
        <v>0</v>
      </c>
      <c r="L175" s="6">
        <f t="shared" si="192"/>
        <v>4250</v>
      </c>
      <c r="M175" s="6">
        <f t="shared" si="193"/>
        <v>4250</v>
      </c>
      <c r="N175" s="11">
        <f t="shared" si="194"/>
        <v>0</v>
      </c>
      <c r="O175" s="11">
        <f t="shared" si="195"/>
        <v>0</v>
      </c>
      <c r="P175" s="11">
        <f t="shared" si="196"/>
        <v>0</v>
      </c>
      <c r="BC175"/>
      <c r="BD175"/>
      <c r="BF175" s="6" t="e">
        <f t="shared" si="171"/>
        <v>#N/A</v>
      </c>
      <c r="BG175" s="6" t="e">
        <f t="shared" si="172"/>
        <v>#N/A</v>
      </c>
      <c r="BH175" s="6" t="e">
        <f t="shared" si="173"/>
        <v>#N/A</v>
      </c>
      <c r="BI175" s="6" t="e">
        <f t="shared" si="174"/>
        <v>#N/A</v>
      </c>
      <c r="BV175" s="38"/>
      <c r="BW175" s="6" t="e">
        <f t="shared" si="112"/>
        <v>#N/A</v>
      </c>
      <c r="BX175" s="9">
        <f t="shared" ca="1" si="113"/>
        <v>-156.7666765884093</v>
      </c>
      <c r="BY175" s="9">
        <f t="shared" ca="1" si="114"/>
        <v>84.412825855297342</v>
      </c>
      <c r="BZ175" s="9">
        <f t="shared" ca="1" si="115"/>
        <v>0</v>
      </c>
      <c r="CA175" s="6">
        <f t="shared" ca="1" si="116"/>
        <v>0</v>
      </c>
      <c r="CB175" s="6" t="e">
        <f t="shared" ca="1" si="117"/>
        <v>#DIV/0!</v>
      </c>
      <c r="CC175" s="6" t="e">
        <f t="shared" ca="1" si="118"/>
        <v>#DIV/0!</v>
      </c>
      <c r="CD175" s="9">
        <f t="shared" si="119"/>
        <v>-50</v>
      </c>
      <c r="CE175" s="9">
        <f t="shared" si="120"/>
        <v>0</v>
      </c>
      <c r="CF175" s="6">
        <f t="shared" si="121"/>
        <v>3.1415926535897931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27482.939602939427</v>
      </c>
      <c r="O176" s="6">
        <f t="shared" ref="O176:P176" si="197">SUM(O168:O175)</f>
        <v>337433.63221206976</v>
      </c>
      <c r="P176" s="6">
        <f t="shared" si="197"/>
        <v>-323200.92533471342</v>
      </c>
      <c r="BC176"/>
      <c r="BD176"/>
      <c r="BF176" s="6" t="e">
        <f t="shared" si="171"/>
        <v>#N/A</v>
      </c>
      <c r="BG176" s="6" t="e">
        <f t="shared" si="172"/>
        <v>#N/A</v>
      </c>
      <c r="BH176" s="6" t="e">
        <f t="shared" si="173"/>
        <v>#N/A</v>
      </c>
      <c r="BI176" s="6" t="e">
        <f t="shared" si="174"/>
        <v>#N/A</v>
      </c>
      <c r="BV176" s="38"/>
      <c r="BW176" s="6" t="e">
        <f t="shared" si="112"/>
        <v>#N/A</v>
      </c>
      <c r="BX176" s="9">
        <f t="shared" ca="1" si="113"/>
        <v>-156.7666765884093</v>
      </c>
      <c r="BY176" s="9">
        <f t="shared" ca="1" si="114"/>
        <v>84.412825855297342</v>
      </c>
      <c r="BZ176" s="9">
        <f t="shared" ca="1" si="115"/>
        <v>0</v>
      </c>
      <c r="CA176" s="6">
        <f t="shared" ca="1" si="116"/>
        <v>0</v>
      </c>
      <c r="CB176" s="6" t="e">
        <f t="shared" ca="1" si="117"/>
        <v>#DIV/0!</v>
      </c>
      <c r="CC176" s="6" t="e">
        <f t="shared" ca="1" si="118"/>
        <v>#DIV/0!</v>
      </c>
      <c r="CD176" s="9">
        <f t="shared" si="119"/>
        <v>-50</v>
      </c>
      <c r="CE176" s="9">
        <f t="shared" si="120"/>
        <v>0</v>
      </c>
      <c r="CF176" s="6">
        <f t="shared" si="121"/>
        <v>3.1415926535897931</v>
      </c>
      <c r="CG176" s="6"/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/>
      <c r="BD177"/>
      <c r="BF177" s="6" t="e">
        <f t="shared" si="171"/>
        <v>#N/A</v>
      </c>
      <c r="BG177" s="6" t="e">
        <f t="shared" si="172"/>
        <v>#N/A</v>
      </c>
      <c r="BH177" s="6" t="e">
        <f t="shared" si="173"/>
        <v>#N/A</v>
      </c>
      <c r="BI177" s="6" t="e">
        <f t="shared" si="174"/>
        <v>#N/A</v>
      </c>
      <c r="BV177" s="38"/>
      <c r="BW177" s="6" t="e">
        <f t="shared" si="112"/>
        <v>#N/A</v>
      </c>
      <c r="BX177" s="9">
        <f t="shared" ca="1" si="113"/>
        <v>-156.7666765884093</v>
      </c>
      <c r="BY177" s="9">
        <f t="shared" ca="1" si="114"/>
        <v>84.412825855297342</v>
      </c>
      <c r="BZ177" s="9">
        <f t="shared" ca="1" si="115"/>
        <v>0</v>
      </c>
      <c r="CA177" s="6">
        <f t="shared" ca="1" si="116"/>
        <v>0</v>
      </c>
      <c r="CB177" s="6" t="e">
        <f t="shared" ca="1" si="117"/>
        <v>#DIV/0!</v>
      </c>
      <c r="CC177" s="6" t="e">
        <f t="shared" ca="1" si="118"/>
        <v>#DIV/0!</v>
      </c>
      <c r="CD177" s="9">
        <f t="shared" si="119"/>
        <v>-50</v>
      </c>
      <c r="CE177" s="9">
        <f t="shared" si="120"/>
        <v>0</v>
      </c>
      <c r="CF177" s="6">
        <f t="shared" si="121"/>
        <v>3.1415926535897931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181.93406578247843</v>
      </c>
      <c r="C178" t="s">
        <v>68</v>
      </c>
      <c r="E178">
        <f>B179/B178</f>
        <v>11.413194675206032</v>
      </c>
      <c r="F178">
        <f>-1*B180/B178</f>
        <v>-2.0782394073455484</v>
      </c>
      <c r="G178">
        <f>(F178*COS(-1*$B$27))+(E178*SIN(-1*$B$27))+$I$2</f>
        <v>3.4213856084350311</v>
      </c>
      <c r="H178">
        <f>(-1*F178*SIN(-1*$B$27))+(E178*COS(-1*$B$27))+$I$3</f>
        <v>23.310651596968643</v>
      </c>
      <c r="J178" t="str">
        <f>"Cc = "&amp;ROUND(B178,4)&amp;" "&amp;C178&amp;CHAR(10)&amp;" @ ( "&amp;ROUND(G178,4)&amp;" , "&amp;ROUND(H178,4)&amp;" )"</f>
        <v>Cc = 181.9341 kips
 @ ( 3.4214 , 23.3107 )</v>
      </c>
      <c r="BC178"/>
      <c r="BD178"/>
      <c r="BF178" s="6" t="e">
        <f t="shared" si="171"/>
        <v>#N/A</v>
      </c>
      <c r="BG178" s="6" t="e">
        <f t="shared" si="172"/>
        <v>#N/A</v>
      </c>
      <c r="BH178" s="6" t="e">
        <f t="shared" si="173"/>
        <v>#N/A</v>
      </c>
      <c r="BI178" s="6" t="e">
        <f t="shared" si="174"/>
        <v>#N/A</v>
      </c>
      <c r="BV178" s="38"/>
      <c r="BW178" s="6" t="e">
        <f t="shared" si="112"/>
        <v>#N/A</v>
      </c>
      <c r="BX178" s="9">
        <f t="shared" ca="1" si="113"/>
        <v>-156.7666765884093</v>
      </c>
      <c r="BY178" s="9">
        <f t="shared" ca="1" si="114"/>
        <v>84.412825855297342</v>
      </c>
      <c r="BZ178" s="9">
        <f t="shared" ca="1" si="115"/>
        <v>0</v>
      </c>
      <c r="CA178" s="6">
        <f t="shared" ca="1" si="116"/>
        <v>0</v>
      </c>
      <c r="CB178" s="6" t="e">
        <f t="shared" ca="1" si="117"/>
        <v>#DIV/0!</v>
      </c>
      <c r="CC178" s="6" t="e">
        <f t="shared" ca="1" si="118"/>
        <v>#DIV/0!</v>
      </c>
      <c r="CD178" s="9">
        <f t="shared" si="119"/>
        <v>-50</v>
      </c>
      <c r="CE178" s="9">
        <f t="shared" si="120"/>
        <v>0</v>
      </c>
      <c r="CF178" s="6">
        <f t="shared" si="121"/>
        <v>3.1415926535897931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2076.4489108271669</v>
      </c>
      <c r="C179" t="s">
        <v>69</v>
      </c>
      <c r="BC179"/>
      <c r="BD179"/>
      <c r="BF179" s="6" t="e">
        <f t="shared" si="171"/>
        <v>#N/A</v>
      </c>
      <c r="BG179" s="6" t="e">
        <f t="shared" si="172"/>
        <v>#N/A</v>
      </c>
      <c r="BH179" s="6" t="e">
        <f t="shared" si="173"/>
        <v>#N/A</v>
      </c>
      <c r="BI179" s="6" t="e">
        <f t="shared" si="174"/>
        <v>#N/A</v>
      </c>
      <c r="BV179" s="38"/>
      <c r="BW179" s="6" t="e">
        <f t="shared" si="112"/>
        <v>#N/A</v>
      </c>
      <c r="BX179" s="9">
        <f t="shared" ca="1" si="113"/>
        <v>-156.7666765884093</v>
      </c>
      <c r="BY179" s="9">
        <f t="shared" ca="1" si="114"/>
        <v>84.412825855297342</v>
      </c>
      <c r="BZ179" s="9">
        <f t="shared" ca="1" si="115"/>
        <v>0</v>
      </c>
      <c r="CA179" s="6">
        <f t="shared" ca="1" si="116"/>
        <v>0</v>
      </c>
      <c r="CB179" s="6" t="e">
        <f t="shared" ca="1" si="117"/>
        <v>#DIV/0!</v>
      </c>
      <c r="CC179" s="6" t="e">
        <f t="shared" ca="1" si="118"/>
        <v>#DIV/0!</v>
      </c>
      <c r="CD179" s="9">
        <f t="shared" si="119"/>
        <v>-50</v>
      </c>
      <c r="CE179" s="9">
        <f t="shared" si="120"/>
        <v>0</v>
      </c>
      <c r="CF179" s="6">
        <f t="shared" si="121"/>
        <v>3.1415926535897931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378.10254504774394</v>
      </c>
      <c r="C180" t="s">
        <v>69</v>
      </c>
      <c r="BC180"/>
      <c r="BD180"/>
      <c r="BF180" s="6" t="e">
        <f t="shared" si="171"/>
        <v>#N/A</v>
      </c>
      <c r="BG180" s="6" t="e">
        <f t="shared" si="172"/>
        <v>#N/A</v>
      </c>
      <c r="BH180" s="6" t="e">
        <f t="shared" si="173"/>
        <v>#N/A</v>
      </c>
      <c r="BI180" s="6" t="e">
        <f t="shared" si="174"/>
        <v>#N/A</v>
      </c>
      <c r="BV180" s="38"/>
      <c r="BW180" s="6" t="e">
        <f t="shared" si="112"/>
        <v>#N/A</v>
      </c>
      <c r="BX180" s="9">
        <f t="shared" ca="1" si="113"/>
        <v>-156.7666765884093</v>
      </c>
      <c r="BY180" s="9">
        <f t="shared" ca="1" si="114"/>
        <v>84.412825855297342</v>
      </c>
      <c r="BZ180" s="9">
        <f t="shared" ca="1" si="115"/>
        <v>0</v>
      </c>
      <c r="CA180" s="6">
        <f t="shared" ca="1" si="116"/>
        <v>0</v>
      </c>
      <c r="CB180" s="6" t="e">
        <f t="shared" ca="1" si="117"/>
        <v>#DIV/0!</v>
      </c>
      <c r="CC180" s="6" t="e">
        <f t="shared" ca="1" si="118"/>
        <v>#DIV/0!</v>
      </c>
      <c r="CD180" s="9">
        <f t="shared" si="119"/>
        <v>-50</v>
      </c>
      <c r="CE180" s="9">
        <f t="shared" si="120"/>
        <v>0</v>
      </c>
      <c r="CF180" s="6">
        <f t="shared" si="121"/>
        <v>3.1415926535897931</v>
      </c>
      <c r="CG180" s="6"/>
      <c r="CH180" s="6"/>
      <c r="CI180" s="6"/>
      <c r="CJ180" s="1"/>
      <c r="CK180" s="6"/>
    </row>
    <row r="181" spans="1:89" x14ac:dyDescent="0.25">
      <c r="BC181"/>
      <c r="BD181"/>
      <c r="BF181" s="6" t="e">
        <f t="shared" si="171"/>
        <v>#N/A</v>
      </c>
      <c r="BG181" s="6" t="e">
        <f t="shared" si="172"/>
        <v>#N/A</v>
      </c>
      <c r="BH181" s="6" t="e">
        <f t="shared" si="173"/>
        <v>#N/A</v>
      </c>
      <c r="BI181" s="6" t="e">
        <f t="shared" si="174"/>
        <v>#N/A</v>
      </c>
      <c r="BV181" s="38"/>
      <c r="BW181" s="6" t="e">
        <f t="shared" si="112"/>
        <v>#N/A</v>
      </c>
      <c r="BX181" s="9">
        <f t="shared" ca="1" si="113"/>
        <v>-156.7666765884093</v>
      </c>
      <c r="BY181" s="9">
        <f t="shared" ca="1" si="114"/>
        <v>84.412825855297342</v>
      </c>
      <c r="BZ181" s="9">
        <f t="shared" ca="1" si="115"/>
        <v>0</v>
      </c>
      <c r="CA181" s="6">
        <f t="shared" ca="1" si="116"/>
        <v>0</v>
      </c>
      <c r="CB181" s="6" t="e">
        <f t="shared" ca="1" si="117"/>
        <v>#DIV/0!</v>
      </c>
      <c r="CC181" s="6" t="e">
        <f t="shared" ca="1" si="118"/>
        <v>#DIV/0!</v>
      </c>
      <c r="CD181" s="9">
        <f t="shared" si="119"/>
        <v>-50</v>
      </c>
      <c r="CE181" s="9">
        <f t="shared" si="120"/>
        <v>0</v>
      </c>
      <c r="CF181" s="6">
        <f t="shared" si="121"/>
        <v>3.1415926535897931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/>
      <c r="BD182"/>
      <c r="BF182" s="6" t="e">
        <f t="shared" si="171"/>
        <v>#N/A</v>
      </c>
      <c r="BG182" s="6" t="e">
        <f t="shared" si="172"/>
        <v>#N/A</v>
      </c>
      <c r="BH182" s="6" t="e">
        <f t="shared" si="173"/>
        <v>#N/A</v>
      </c>
      <c r="BI182" s="6" t="e">
        <f t="shared" si="174"/>
        <v>#N/A</v>
      </c>
      <c r="BV182" s="38"/>
      <c r="BW182" s="6" t="e">
        <f t="shared" si="112"/>
        <v>#N/A</v>
      </c>
      <c r="BX182" s="9">
        <f t="shared" ca="1" si="113"/>
        <v>-156.7666765884093</v>
      </c>
      <c r="BY182" s="9">
        <f t="shared" ca="1" si="114"/>
        <v>84.412825855297342</v>
      </c>
      <c r="BZ182" s="9">
        <f t="shared" ca="1" si="115"/>
        <v>0</v>
      </c>
      <c r="CA182" s="6">
        <f t="shared" ca="1" si="116"/>
        <v>0</v>
      </c>
      <c r="CB182" s="6" t="e">
        <f t="shared" ca="1" si="117"/>
        <v>#DIV/0!</v>
      </c>
      <c r="CC182" s="6" t="e">
        <f t="shared" ca="1" si="118"/>
        <v>#DIV/0!</v>
      </c>
      <c r="CD182" s="9">
        <f t="shared" si="119"/>
        <v>-50</v>
      </c>
      <c r="CE182" s="9">
        <f t="shared" si="120"/>
        <v>0</v>
      </c>
      <c r="CF182" s="6">
        <f t="shared" si="121"/>
        <v>3.1415926535897931</v>
      </c>
      <c r="CG182" s="6"/>
      <c r="CH182" s="6"/>
      <c r="CI182" s="6"/>
      <c r="CJ182" s="1"/>
      <c r="CK182" s="6"/>
    </row>
    <row r="183" spans="1:89" x14ac:dyDescent="0.25">
      <c r="BC183"/>
      <c r="BD183"/>
      <c r="BF183" s="6" t="e">
        <f t="shared" si="171"/>
        <v>#N/A</v>
      </c>
      <c r="BG183" s="6" t="e">
        <f t="shared" si="172"/>
        <v>#N/A</v>
      </c>
      <c r="BH183" s="6" t="e">
        <f t="shared" si="173"/>
        <v>#N/A</v>
      </c>
      <c r="BI183" s="6" t="e">
        <f t="shared" si="174"/>
        <v>#N/A</v>
      </c>
      <c r="BV183" s="38"/>
      <c r="BW183" s="6" t="e">
        <f t="shared" si="112"/>
        <v>#N/A</v>
      </c>
      <c r="BX183" s="9">
        <f t="shared" ca="1" si="113"/>
        <v>-156.7666765884093</v>
      </c>
      <c r="BY183" s="9">
        <f t="shared" ca="1" si="114"/>
        <v>84.412825855297342</v>
      </c>
      <c r="BZ183" s="9">
        <f t="shared" ca="1" si="115"/>
        <v>0</v>
      </c>
      <c r="CA183" s="6">
        <f t="shared" ca="1" si="116"/>
        <v>0</v>
      </c>
      <c r="CB183" s="6" t="e">
        <f t="shared" ca="1" si="117"/>
        <v>#DIV/0!</v>
      </c>
      <c r="CC183" s="6" t="e">
        <f t="shared" ca="1" si="118"/>
        <v>#DIV/0!</v>
      </c>
      <c r="CD183" s="9">
        <f t="shared" si="119"/>
        <v>-50</v>
      </c>
      <c r="CE183" s="9">
        <f t="shared" si="120"/>
        <v>0</v>
      </c>
      <c r="CF183" s="6">
        <f t="shared" si="121"/>
        <v>3.1415926535897931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8">B14</f>
        <v>Bar #</v>
      </c>
      <c r="C184" t="str">
        <f t="shared" si="198"/>
        <v>As (in^2)</v>
      </c>
      <c r="D184" t="str">
        <f t="shared" si="198"/>
        <v>x</v>
      </c>
      <c r="E184" t="str">
        <f t="shared" si="198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225</v>
      </c>
      <c r="N184" s="1" t="s">
        <v>60</v>
      </c>
      <c r="O184" s="1" t="s">
        <v>61</v>
      </c>
      <c r="P184" s="1" t="s">
        <v>62</v>
      </c>
      <c r="BC184"/>
      <c r="BD184"/>
      <c r="BF184" s="6" t="e">
        <f t="shared" si="171"/>
        <v>#N/A</v>
      </c>
      <c r="BG184" s="6" t="e">
        <f t="shared" si="172"/>
        <v>#N/A</v>
      </c>
      <c r="BH184" s="6" t="e">
        <f t="shared" si="173"/>
        <v>#N/A</v>
      </c>
      <c r="BI184" s="6" t="e">
        <f t="shared" si="174"/>
        <v>#N/A</v>
      </c>
      <c r="BV184" s="38"/>
      <c r="BW184" s="6" t="e">
        <f t="shared" si="112"/>
        <v>#N/A</v>
      </c>
      <c r="BX184" s="9">
        <f t="shared" ca="1" si="113"/>
        <v>-156.7666765884093</v>
      </c>
      <c r="BY184" s="9">
        <f t="shared" ca="1" si="114"/>
        <v>84.412825855297342</v>
      </c>
      <c r="BZ184" s="9">
        <f t="shared" ca="1" si="115"/>
        <v>0</v>
      </c>
      <c r="CA184" s="6">
        <f t="shared" ca="1" si="116"/>
        <v>0</v>
      </c>
      <c r="CB184" s="6" t="e">
        <f t="shared" ca="1" si="117"/>
        <v>#DIV/0!</v>
      </c>
      <c r="CC184" s="6" t="e">
        <f t="shared" ca="1" si="118"/>
        <v>#DIV/0!</v>
      </c>
      <c r="CD184" s="9">
        <f t="shared" si="119"/>
        <v>-50</v>
      </c>
      <c r="CE184" s="9">
        <f t="shared" si="120"/>
        <v>0</v>
      </c>
      <c r="CF184" s="6">
        <f t="shared" si="121"/>
        <v>3.1415926535897931</v>
      </c>
      <c r="CG184" s="6"/>
      <c r="CH184" s="6"/>
      <c r="CI184" s="6"/>
      <c r="CJ184" s="1"/>
      <c r="CK184" s="6"/>
    </row>
    <row r="185" spans="1:89" x14ac:dyDescent="0.25">
      <c r="A185">
        <f t="shared" ref="A185:E194" si="199">A15</f>
        <v>1</v>
      </c>
      <c r="B185">
        <f t="shared" si="199"/>
        <v>8</v>
      </c>
      <c r="C185" s="6">
        <f t="shared" ca="1" si="199"/>
        <v>0.79</v>
      </c>
      <c r="D185" s="6">
        <f t="shared" si="199"/>
        <v>2</v>
      </c>
      <c r="E185" s="6">
        <f t="shared" si="199"/>
        <v>2</v>
      </c>
      <c r="F185" s="6">
        <f t="shared" ref="F185:F194" si="200">D185-$I$2</f>
        <v>-4</v>
      </c>
      <c r="G185" s="6">
        <f t="shared" ref="G185:G194" si="201">E185-$I$3</f>
        <v>-10</v>
      </c>
      <c r="H185" s="6">
        <f t="shared" ref="H185:H194" si="202">F185*COS($B$27)+G185*SIN($B$27)</f>
        <v>-4.436305849898492</v>
      </c>
      <c r="I185" s="6">
        <f t="shared" ref="I185:I194" si="203">-1*F185*SIN($B$27)+G185*COS($B$27)</f>
        <v>-9.8142340712944289</v>
      </c>
      <c r="J185" s="6">
        <f>IF(B185=0,0,$G$38-I185)</f>
        <v>22.594932081630539</v>
      </c>
      <c r="K185" s="6">
        <f t="shared" ref="K185:K194" ca="1" si="204">IF($B$28=0,-1,IF(C185=0,0,(($B$28-J185)/$B$28)*$B$30)*IF($B$28&lt;0,-1,1))</f>
        <v>-2.4376413504730927E-2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5">M185*C185</f>
        <v>-47.400000000000006</v>
      </c>
      <c r="O185" s="6">
        <f t="shared" ref="O185:O194" ca="1" si="206">N185*I185</f>
        <v>465.19469497935597</v>
      </c>
      <c r="P185" s="6">
        <f t="shared" ref="P185:P194" ca="1" si="207">N185*H185*-1</f>
        <v>-210.28089728518856</v>
      </c>
      <c r="BC185"/>
      <c r="BD185"/>
      <c r="BF185" s="6" t="e">
        <f t="shared" si="171"/>
        <v>#N/A</v>
      </c>
      <c r="BG185" s="6" t="e">
        <f t="shared" si="172"/>
        <v>#N/A</v>
      </c>
      <c r="BH185" s="6" t="e">
        <f t="shared" si="173"/>
        <v>#N/A</v>
      </c>
      <c r="BI185" s="6" t="e">
        <f t="shared" si="174"/>
        <v>#N/A</v>
      </c>
      <c r="BV185" s="38"/>
      <c r="BW185" s="6" t="e">
        <f t="shared" si="112"/>
        <v>#N/A</v>
      </c>
      <c r="BX185" s="9">
        <f t="shared" ca="1" si="113"/>
        <v>-156.7666765884093</v>
      </c>
      <c r="BY185" s="9">
        <f t="shared" ca="1" si="114"/>
        <v>84.412825855297342</v>
      </c>
      <c r="BZ185" s="9">
        <f t="shared" ca="1" si="115"/>
        <v>0</v>
      </c>
      <c r="CA185" s="6">
        <f t="shared" ca="1" si="116"/>
        <v>0</v>
      </c>
      <c r="CB185" s="6" t="e">
        <f t="shared" ca="1" si="117"/>
        <v>#DIV/0!</v>
      </c>
      <c r="CC185" s="6" t="e">
        <f t="shared" ca="1" si="118"/>
        <v>#DIV/0!</v>
      </c>
      <c r="CD185" s="9">
        <f t="shared" si="119"/>
        <v>-50</v>
      </c>
      <c r="CE185" s="9">
        <f t="shared" si="120"/>
        <v>0</v>
      </c>
      <c r="CF185" s="6">
        <f t="shared" si="121"/>
        <v>3.1415926535897931</v>
      </c>
      <c r="CG185" s="6"/>
      <c r="CH185" s="6"/>
      <c r="CI185" s="6"/>
      <c r="CJ185" s="1"/>
      <c r="CK185" s="6"/>
    </row>
    <row r="186" spans="1:89" x14ac:dyDescent="0.25">
      <c r="A186">
        <f t="shared" si="199"/>
        <v>2</v>
      </c>
      <c r="B186">
        <f t="shared" si="199"/>
        <v>8</v>
      </c>
      <c r="C186" s="6">
        <f t="shared" ca="1" si="199"/>
        <v>0.79</v>
      </c>
      <c r="D186" s="6">
        <f t="shared" si="199"/>
        <v>2</v>
      </c>
      <c r="E186" s="6">
        <f t="shared" si="199"/>
        <v>4</v>
      </c>
      <c r="F186" s="6">
        <f t="shared" si="200"/>
        <v>-4</v>
      </c>
      <c r="G186" s="6">
        <f t="shared" si="201"/>
        <v>-8</v>
      </c>
      <c r="H186" s="6">
        <f t="shared" si="202"/>
        <v>-4.3482692600052646</v>
      </c>
      <c r="I186" s="6">
        <f t="shared" si="203"/>
        <v>-7.8161726210782518</v>
      </c>
      <c r="J186" s="6">
        <f t="shared" ref="J186:J194" si="208">IF(B186=0,0,$G$38-I186)</f>
        <v>20.596870631414362</v>
      </c>
      <c r="K186" s="6">
        <f t="shared" ca="1" si="204"/>
        <v>-2.19555274285364E-2</v>
      </c>
      <c r="L186" s="6">
        <f t="shared" ref="L186:L194" ca="1" si="209">IF(K186&lt;0,0,IF(K186&lt;=$B$145,0.85*$B$143*((2*K186/$B$145)-POWER(K186/$B$145,2)),0.85*$B$143))/1000</f>
        <v>0</v>
      </c>
      <c r="M186" s="6">
        <f t="shared" ref="M186:M194" ca="1" si="210">IF(K186&gt;0,MIN((K186*B$13),B$12)-L186,MAX(K186*B$13,-1*B$12))</f>
        <v>-60</v>
      </c>
      <c r="N186" s="6">
        <f t="shared" ca="1" si="205"/>
        <v>-47.400000000000006</v>
      </c>
      <c r="O186" s="6">
        <f t="shared" ca="1" si="206"/>
        <v>370.48658223910917</v>
      </c>
      <c r="P186" s="6">
        <f t="shared" ca="1" si="207"/>
        <v>-206.10796292424956</v>
      </c>
      <c r="BC186"/>
      <c r="BD186"/>
      <c r="BF186" s="6" t="e">
        <f t="shared" si="171"/>
        <v>#N/A</v>
      </c>
      <c r="BG186" s="6" t="e">
        <f t="shared" si="172"/>
        <v>#N/A</v>
      </c>
      <c r="BH186" s="6" t="e">
        <f t="shared" si="173"/>
        <v>#N/A</v>
      </c>
      <c r="BI186" s="6" t="e">
        <f t="shared" si="174"/>
        <v>#N/A</v>
      </c>
      <c r="BV186" s="38"/>
      <c r="BW186" s="6" t="e">
        <f t="shared" si="112"/>
        <v>#N/A</v>
      </c>
      <c r="BX186" s="9">
        <f t="shared" ca="1" si="113"/>
        <v>-156.7666765884093</v>
      </c>
      <c r="BY186" s="9">
        <f t="shared" ca="1" si="114"/>
        <v>84.412825855297342</v>
      </c>
      <c r="BZ186" s="9">
        <f t="shared" ca="1" si="115"/>
        <v>0</v>
      </c>
      <c r="CA186" s="6">
        <f t="shared" ca="1" si="116"/>
        <v>0</v>
      </c>
      <c r="CB186" s="6" t="e">
        <f t="shared" ca="1" si="117"/>
        <v>#DIV/0!</v>
      </c>
      <c r="CC186" s="6" t="e">
        <f t="shared" ca="1" si="118"/>
        <v>#DIV/0!</v>
      </c>
      <c r="CD186" s="9">
        <f t="shared" si="119"/>
        <v>-50</v>
      </c>
      <c r="CE186" s="9">
        <f t="shared" si="120"/>
        <v>0</v>
      </c>
      <c r="CF186" s="6">
        <f t="shared" si="121"/>
        <v>3.1415926535897931</v>
      </c>
      <c r="CG186" s="6"/>
      <c r="CH186" s="6"/>
      <c r="CI186" s="6"/>
      <c r="CJ186" s="1"/>
      <c r="CK186" s="6"/>
    </row>
    <row r="187" spans="1:89" x14ac:dyDescent="0.25">
      <c r="A187">
        <f t="shared" si="199"/>
        <v>3</v>
      </c>
      <c r="B187">
        <f t="shared" si="199"/>
        <v>8</v>
      </c>
      <c r="C187" s="6">
        <f t="shared" ca="1" si="199"/>
        <v>0.79</v>
      </c>
      <c r="D187" s="6">
        <f t="shared" si="199"/>
        <v>4</v>
      </c>
      <c r="E187" s="6">
        <f t="shared" si="199"/>
        <v>2</v>
      </c>
      <c r="F187" s="6">
        <f t="shared" si="200"/>
        <v>-2</v>
      </c>
      <c r="G187" s="6">
        <f t="shared" si="201"/>
        <v>-10</v>
      </c>
      <c r="H187" s="6">
        <f t="shared" si="202"/>
        <v>-2.4382443996823153</v>
      </c>
      <c r="I187" s="6">
        <f t="shared" si="203"/>
        <v>-9.9022706611876554</v>
      </c>
      <c r="J187" s="6">
        <f t="shared" si="208"/>
        <v>22.682968671523767</v>
      </c>
      <c r="K187" s="6">
        <f t="shared" ca="1" si="204"/>
        <v>-2.4483080171386805E-2</v>
      </c>
      <c r="L187" s="6">
        <f t="shared" ca="1" si="209"/>
        <v>0</v>
      </c>
      <c r="M187" s="6">
        <f t="shared" ca="1" si="210"/>
        <v>-60</v>
      </c>
      <c r="N187" s="6">
        <f t="shared" ca="1" si="205"/>
        <v>-47.400000000000006</v>
      </c>
      <c r="O187" s="6">
        <f t="shared" ca="1" si="206"/>
        <v>469.36762934029491</v>
      </c>
      <c r="P187" s="6">
        <f t="shared" ca="1" si="207"/>
        <v>-115.57278454494175</v>
      </c>
      <c r="BC187"/>
      <c r="BD187"/>
      <c r="BF187" s="6" t="e">
        <f t="shared" si="171"/>
        <v>#N/A</v>
      </c>
      <c r="BG187" s="6" t="e">
        <f t="shared" si="172"/>
        <v>#N/A</v>
      </c>
      <c r="BH187" s="6" t="e">
        <f t="shared" si="173"/>
        <v>#N/A</v>
      </c>
      <c r="BI187" s="6" t="e">
        <f t="shared" si="174"/>
        <v>#N/A</v>
      </c>
      <c r="BV187" s="38"/>
      <c r="BW187" s="6" t="e">
        <f t="shared" si="112"/>
        <v>#N/A</v>
      </c>
      <c r="BX187" s="9">
        <f t="shared" ca="1" si="113"/>
        <v>-156.7666765884093</v>
      </c>
      <c r="BY187" s="9">
        <f t="shared" ca="1" si="114"/>
        <v>84.412825855297342</v>
      </c>
      <c r="BZ187" s="9">
        <f t="shared" ca="1" si="115"/>
        <v>0</v>
      </c>
      <c r="CA187" s="6">
        <f t="shared" ca="1" si="116"/>
        <v>0</v>
      </c>
      <c r="CB187" s="6" t="e">
        <f t="shared" ca="1" si="117"/>
        <v>#DIV/0!</v>
      </c>
      <c r="CC187" s="6" t="e">
        <f t="shared" ca="1" si="118"/>
        <v>#DIV/0!</v>
      </c>
      <c r="CD187" s="9">
        <f t="shared" si="119"/>
        <v>-50</v>
      </c>
      <c r="CE187" s="9">
        <f t="shared" si="120"/>
        <v>0</v>
      </c>
      <c r="CF187" s="6">
        <f t="shared" si="121"/>
        <v>3.1415926535897931</v>
      </c>
      <c r="CG187" s="6"/>
      <c r="CH187" s="6"/>
      <c r="CI187" s="6"/>
      <c r="CJ187" s="1"/>
      <c r="CK187" s="6"/>
    </row>
    <row r="188" spans="1:89" x14ac:dyDescent="0.25">
      <c r="A188">
        <f t="shared" si="199"/>
        <v>4</v>
      </c>
      <c r="B188">
        <f t="shared" si="199"/>
        <v>8</v>
      </c>
      <c r="C188" s="6">
        <f t="shared" ca="1" si="199"/>
        <v>0.79</v>
      </c>
      <c r="D188" s="6">
        <f t="shared" si="199"/>
        <v>4</v>
      </c>
      <c r="E188" s="6">
        <f t="shared" si="199"/>
        <v>4</v>
      </c>
      <c r="F188" s="6">
        <f t="shared" si="200"/>
        <v>-2</v>
      </c>
      <c r="G188" s="6">
        <f t="shared" si="201"/>
        <v>-8</v>
      </c>
      <c r="H188" s="6">
        <f t="shared" si="202"/>
        <v>-2.3502078097890875</v>
      </c>
      <c r="I188" s="6">
        <f t="shared" si="203"/>
        <v>-7.9042092109714801</v>
      </c>
      <c r="J188" s="6">
        <f t="shared" si="208"/>
        <v>20.68490722130759</v>
      </c>
      <c r="K188" s="6">
        <f t="shared" ca="1" si="204"/>
        <v>-2.2062194095192278E-2</v>
      </c>
      <c r="L188" s="6">
        <f t="shared" ca="1" si="209"/>
        <v>0</v>
      </c>
      <c r="M188" s="6">
        <f t="shared" ca="1" si="210"/>
        <v>-60</v>
      </c>
      <c r="N188" s="6">
        <f t="shared" ca="1" si="205"/>
        <v>-47.400000000000006</v>
      </c>
      <c r="O188" s="6">
        <f t="shared" ca="1" si="206"/>
        <v>374.65951660004822</v>
      </c>
      <c r="P188" s="6">
        <f t="shared" ca="1" si="207"/>
        <v>-111.39985018400276</v>
      </c>
      <c r="BC188"/>
      <c r="BD188"/>
      <c r="BF188" s="6" t="e">
        <f t="shared" si="171"/>
        <v>#N/A</v>
      </c>
      <c r="BG188" s="6" t="e">
        <f t="shared" si="172"/>
        <v>#N/A</v>
      </c>
      <c r="BH188" s="6" t="e">
        <f t="shared" si="173"/>
        <v>#N/A</v>
      </c>
      <c r="BI188" s="6" t="e">
        <f t="shared" si="174"/>
        <v>#N/A</v>
      </c>
      <c r="BV188" s="38"/>
      <c r="BW188" s="6" t="e">
        <f t="shared" si="112"/>
        <v>#N/A</v>
      </c>
      <c r="BX188" s="9">
        <f t="shared" ca="1" si="113"/>
        <v>-156.7666765884093</v>
      </c>
      <c r="BY188" s="9">
        <f t="shared" ca="1" si="114"/>
        <v>84.412825855297342</v>
      </c>
      <c r="BZ188" s="9">
        <f t="shared" ca="1" si="115"/>
        <v>0</v>
      </c>
      <c r="CA188" s="6">
        <f t="shared" ca="1" si="116"/>
        <v>0</v>
      </c>
      <c r="CB188" s="6" t="e">
        <f t="shared" ca="1" si="117"/>
        <v>#DIV/0!</v>
      </c>
      <c r="CC188" s="6" t="e">
        <f t="shared" ca="1" si="118"/>
        <v>#DIV/0!</v>
      </c>
      <c r="CD188" s="9">
        <f t="shared" si="119"/>
        <v>-50</v>
      </c>
      <c r="CE188" s="9">
        <f t="shared" si="120"/>
        <v>0</v>
      </c>
      <c r="CF188" s="6">
        <f t="shared" si="121"/>
        <v>3.1415926535897931</v>
      </c>
      <c r="CG188" s="6"/>
      <c r="CH188" s="6"/>
      <c r="CI188" s="6"/>
      <c r="CJ188" s="1"/>
      <c r="CK188" s="6"/>
    </row>
    <row r="189" spans="1:89" x14ac:dyDescent="0.25">
      <c r="A189">
        <f t="shared" si="199"/>
        <v>5</v>
      </c>
      <c r="B189">
        <f t="shared" si="199"/>
        <v>0</v>
      </c>
      <c r="C189" s="6">
        <f t="shared" ca="1" si="199"/>
        <v>0</v>
      </c>
      <c r="D189" s="6">
        <f t="shared" si="199"/>
        <v>6</v>
      </c>
      <c r="E189" s="6">
        <f t="shared" si="199"/>
        <v>2</v>
      </c>
      <c r="F189" s="6">
        <f t="shared" si="200"/>
        <v>0</v>
      </c>
      <c r="G189" s="6">
        <f t="shared" si="201"/>
        <v>-10</v>
      </c>
      <c r="H189" s="6">
        <f t="shared" si="202"/>
        <v>-0.44018294946613834</v>
      </c>
      <c r="I189" s="6">
        <f t="shared" si="203"/>
        <v>-9.9903072510808837</v>
      </c>
      <c r="J189" s="6">
        <f t="shared" si="208"/>
        <v>0</v>
      </c>
      <c r="K189" s="6">
        <f t="shared" ca="1" si="204"/>
        <v>0</v>
      </c>
      <c r="L189" s="6">
        <f t="shared" ca="1" si="209"/>
        <v>0</v>
      </c>
      <c r="M189" s="6">
        <f t="shared" ca="1" si="210"/>
        <v>0</v>
      </c>
      <c r="N189" s="6">
        <f t="shared" ca="1" si="205"/>
        <v>0</v>
      </c>
      <c r="O189" s="6">
        <f t="shared" ca="1" si="206"/>
        <v>0</v>
      </c>
      <c r="P189" s="6">
        <f t="shared" ca="1" si="207"/>
        <v>0</v>
      </c>
      <c r="BC189"/>
      <c r="BD189"/>
      <c r="BF189" s="6" t="e">
        <f t="shared" si="171"/>
        <v>#N/A</v>
      </c>
      <c r="BG189" s="6" t="e">
        <f t="shared" si="172"/>
        <v>#N/A</v>
      </c>
      <c r="BH189" s="6" t="e">
        <f t="shared" si="173"/>
        <v>#N/A</v>
      </c>
      <c r="BI189" s="6" t="e">
        <f t="shared" si="174"/>
        <v>#N/A</v>
      </c>
      <c r="BV189" s="38"/>
      <c r="BW189" s="6" t="e">
        <f t="shared" si="112"/>
        <v>#N/A</v>
      </c>
      <c r="BX189" s="9">
        <f t="shared" ca="1" si="113"/>
        <v>-156.7666765884093</v>
      </c>
      <c r="BY189" s="9">
        <f t="shared" ca="1" si="114"/>
        <v>84.412825855297342</v>
      </c>
      <c r="BZ189" s="9">
        <f t="shared" ca="1" si="115"/>
        <v>0</v>
      </c>
      <c r="CA189" s="6">
        <f t="shared" ca="1" si="116"/>
        <v>0</v>
      </c>
      <c r="CB189" s="6" t="e">
        <f t="shared" ca="1" si="117"/>
        <v>#DIV/0!</v>
      </c>
      <c r="CC189" s="6" t="e">
        <f t="shared" ca="1" si="118"/>
        <v>#DIV/0!</v>
      </c>
      <c r="CD189" s="9">
        <f t="shared" si="119"/>
        <v>-50</v>
      </c>
      <c r="CE189" s="9">
        <f t="shared" si="120"/>
        <v>0</v>
      </c>
      <c r="CF189" s="6">
        <f t="shared" si="121"/>
        <v>3.1415926535897931</v>
      </c>
      <c r="CG189" s="6"/>
      <c r="CH189" s="6"/>
      <c r="CI189" s="6"/>
      <c r="CJ189" s="1"/>
      <c r="CK189" s="6"/>
    </row>
    <row r="190" spans="1:89" x14ac:dyDescent="0.25">
      <c r="A190">
        <f t="shared" si="199"/>
        <v>6</v>
      </c>
      <c r="B190">
        <f t="shared" si="199"/>
        <v>0</v>
      </c>
      <c r="C190" s="6">
        <f t="shared" ca="1" si="199"/>
        <v>0</v>
      </c>
      <c r="D190" s="6">
        <f t="shared" si="199"/>
        <v>0</v>
      </c>
      <c r="E190" s="6">
        <f t="shared" si="199"/>
        <v>8.66</v>
      </c>
      <c r="F190" s="6">
        <f t="shared" si="200"/>
        <v>-6</v>
      </c>
      <c r="G190" s="6">
        <f t="shared" si="201"/>
        <v>-3.34</v>
      </c>
      <c r="H190" s="6">
        <f t="shared" si="202"/>
        <v>-6.1412054557702209</v>
      </c>
      <c r="I190" s="6">
        <f t="shared" si="203"/>
        <v>-3.0726528521813323</v>
      </c>
      <c r="J190" s="6">
        <f t="shared" si="208"/>
        <v>0</v>
      </c>
      <c r="K190" s="6">
        <f t="shared" ca="1" si="204"/>
        <v>0</v>
      </c>
      <c r="L190" s="6">
        <f t="shared" ca="1" si="209"/>
        <v>0</v>
      </c>
      <c r="M190" s="6">
        <f t="shared" ca="1" si="210"/>
        <v>0</v>
      </c>
      <c r="N190" s="6">
        <f t="shared" ca="1" si="205"/>
        <v>0</v>
      </c>
      <c r="O190" s="6">
        <f t="shared" ca="1" si="206"/>
        <v>0</v>
      </c>
      <c r="P190" s="6">
        <f t="shared" ca="1" si="207"/>
        <v>0</v>
      </c>
      <c r="BC190"/>
      <c r="BD190"/>
      <c r="BF190" s="6" t="e">
        <f t="shared" si="171"/>
        <v>#N/A</v>
      </c>
      <c r="BG190" s="6" t="e">
        <f t="shared" si="172"/>
        <v>#N/A</v>
      </c>
      <c r="BH190" s="6" t="e">
        <f t="shared" si="173"/>
        <v>#N/A</v>
      </c>
      <c r="BI190" s="6" t="e">
        <f t="shared" si="174"/>
        <v>#N/A</v>
      </c>
      <c r="BV190" s="38"/>
      <c r="BW190" s="6" t="e">
        <f t="shared" si="112"/>
        <v>#N/A</v>
      </c>
      <c r="BX190" s="9">
        <f t="shared" ca="1" si="113"/>
        <v>-156.7666765884093</v>
      </c>
      <c r="BY190" s="9">
        <f t="shared" ca="1" si="114"/>
        <v>84.412825855297342</v>
      </c>
      <c r="BZ190" s="9">
        <f t="shared" ca="1" si="115"/>
        <v>0</v>
      </c>
      <c r="CA190" s="6">
        <f t="shared" ca="1" si="116"/>
        <v>0</v>
      </c>
      <c r="CB190" s="6" t="e">
        <f t="shared" ca="1" si="117"/>
        <v>#DIV/0!</v>
      </c>
      <c r="CC190" s="6" t="e">
        <f t="shared" ca="1" si="118"/>
        <v>#DIV/0!</v>
      </c>
      <c r="CD190" s="9">
        <f t="shared" si="119"/>
        <v>-50</v>
      </c>
      <c r="CE190" s="9">
        <f t="shared" si="120"/>
        <v>0</v>
      </c>
      <c r="CF190" s="6">
        <f t="shared" si="121"/>
        <v>3.1415926535897931</v>
      </c>
      <c r="CG190" s="6"/>
      <c r="CH190" s="6"/>
      <c r="CI190" s="6"/>
      <c r="CJ190" s="1"/>
      <c r="CK190" s="6"/>
    </row>
    <row r="191" spans="1:89" x14ac:dyDescent="0.25">
      <c r="A191">
        <f t="shared" si="199"/>
        <v>7</v>
      </c>
      <c r="B191">
        <f t="shared" si="199"/>
        <v>0</v>
      </c>
      <c r="C191" s="6">
        <f t="shared" ca="1" si="199"/>
        <v>0</v>
      </c>
      <c r="D191" s="6">
        <f t="shared" si="199"/>
        <v>2</v>
      </c>
      <c r="E191" s="6">
        <f t="shared" si="199"/>
        <v>22</v>
      </c>
      <c r="F191" s="6">
        <f t="shared" si="200"/>
        <v>-4</v>
      </c>
      <c r="G191" s="6">
        <f t="shared" si="201"/>
        <v>10</v>
      </c>
      <c r="H191" s="6">
        <f t="shared" si="202"/>
        <v>-3.5559399509662155</v>
      </c>
      <c r="I191" s="6">
        <f t="shared" si="203"/>
        <v>10.166380430867338</v>
      </c>
      <c r="J191" s="6">
        <f t="shared" si="208"/>
        <v>0</v>
      </c>
      <c r="K191" s="6">
        <f t="shared" ca="1" si="204"/>
        <v>0</v>
      </c>
      <c r="L191" s="6">
        <f t="shared" ca="1" si="209"/>
        <v>0</v>
      </c>
      <c r="M191" s="6">
        <f t="shared" ca="1" si="210"/>
        <v>0</v>
      </c>
      <c r="N191" s="6">
        <f t="shared" ca="1" si="205"/>
        <v>0</v>
      </c>
      <c r="O191" s="6">
        <f t="shared" ca="1" si="206"/>
        <v>0</v>
      </c>
      <c r="P191" s="6">
        <f t="shared" ca="1" si="207"/>
        <v>0</v>
      </c>
      <c r="BC191"/>
      <c r="BD191"/>
      <c r="BF191" s="6" t="e">
        <f t="shared" si="171"/>
        <v>#N/A</v>
      </c>
      <c r="BG191" s="6" t="e">
        <f t="shared" si="172"/>
        <v>#N/A</v>
      </c>
      <c r="BH191" s="6" t="e">
        <f t="shared" si="173"/>
        <v>#N/A</v>
      </c>
      <c r="BI191" s="6" t="e">
        <f t="shared" si="174"/>
        <v>#N/A</v>
      </c>
      <c r="BV191" s="38"/>
      <c r="BW191" s="6" t="e">
        <f t="shared" si="112"/>
        <v>#N/A</v>
      </c>
      <c r="BX191" s="9">
        <f t="shared" ca="1" si="113"/>
        <v>-156.7666765884093</v>
      </c>
      <c r="BY191" s="9">
        <f t="shared" ca="1" si="114"/>
        <v>84.412825855297342</v>
      </c>
      <c r="BZ191" s="9">
        <f t="shared" ca="1" si="115"/>
        <v>0</v>
      </c>
      <c r="CA191" s="6">
        <f t="shared" ca="1" si="116"/>
        <v>0</v>
      </c>
      <c r="CB191" s="6" t="e">
        <f t="shared" ca="1" si="117"/>
        <v>#DIV/0!</v>
      </c>
      <c r="CC191" s="6" t="e">
        <f t="shared" ca="1" si="118"/>
        <v>#DIV/0!</v>
      </c>
      <c r="CD191" s="9">
        <f t="shared" si="119"/>
        <v>-50</v>
      </c>
      <c r="CE191" s="9">
        <f t="shared" si="120"/>
        <v>0</v>
      </c>
      <c r="CF191" s="6">
        <f t="shared" si="121"/>
        <v>3.1415926535897931</v>
      </c>
      <c r="CG191" s="6"/>
      <c r="CH191" s="6"/>
      <c r="CI191" s="6"/>
      <c r="CJ191" s="1"/>
      <c r="CK191" s="6"/>
    </row>
    <row r="192" spans="1:89" x14ac:dyDescent="0.25">
      <c r="A192">
        <f t="shared" si="199"/>
        <v>8</v>
      </c>
      <c r="B192">
        <f t="shared" si="199"/>
        <v>0</v>
      </c>
      <c r="C192" s="6">
        <f t="shared" ca="1" si="199"/>
        <v>0</v>
      </c>
      <c r="D192" s="6">
        <f t="shared" si="199"/>
        <v>10</v>
      </c>
      <c r="E192" s="6">
        <f t="shared" si="199"/>
        <v>22</v>
      </c>
      <c r="F192" s="6">
        <f t="shared" si="200"/>
        <v>4</v>
      </c>
      <c r="G192" s="6">
        <f t="shared" si="201"/>
        <v>10</v>
      </c>
      <c r="H192" s="6">
        <f t="shared" si="202"/>
        <v>4.436305849898492</v>
      </c>
      <c r="I192" s="6">
        <f t="shared" si="203"/>
        <v>9.8142340712944289</v>
      </c>
      <c r="J192" s="6">
        <f t="shared" si="208"/>
        <v>0</v>
      </c>
      <c r="K192" s="6">
        <f t="shared" ca="1" si="204"/>
        <v>0</v>
      </c>
      <c r="L192" s="6">
        <f t="shared" ca="1" si="209"/>
        <v>0</v>
      </c>
      <c r="M192" s="6">
        <f t="shared" ca="1" si="210"/>
        <v>0</v>
      </c>
      <c r="N192" s="6">
        <f t="shared" ca="1" si="205"/>
        <v>0</v>
      </c>
      <c r="O192" s="6">
        <f t="shared" ca="1" si="206"/>
        <v>0</v>
      </c>
      <c r="P192" s="6">
        <f t="shared" ca="1" si="207"/>
        <v>0</v>
      </c>
      <c r="BC192"/>
      <c r="BD192"/>
      <c r="BF192" s="6" t="e">
        <f t="shared" si="171"/>
        <v>#N/A</v>
      </c>
      <c r="BG192" s="6" t="e">
        <f t="shared" si="172"/>
        <v>#N/A</v>
      </c>
      <c r="BH192" s="6" t="e">
        <f t="shared" si="173"/>
        <v>#N/A</v>
      </c>
      <c r="BI192" s="6" t="e">
        <f t="shared" si="174"/>
        <v>#N/A</v>
      </c>
      <c r="BV192" s="38"/>
      <c r="BW192" s="6" t="e">
        <f t="shared" si="112"/>
        <v>#N/A</v>
      </c>
      <c r="BX192" s="9">
        <f t="shared" ca="1" si="113"/>
        <v>-156.7666765884093</v>
      </c>
      <c r="BY192" s="9">
        <f t="shared" ca="1" si="114"/>
        <v>84.412825855297342</v>
      </c>
      <c r="BZ192" s="9">
        <f t="shared" ca="1" si="115"/>
        <v>0</v>
      </c>
      <c r="CA192" s="6">
        <f t="shared" ca="1" si="116"/>
        <v>0</v>
      </c>
      <c r="CB192" s="6" t="e">
        <f t="shared" ca="1" si="117"/>
        <v>#DIV/0!</v>
      </c>
      <c r="CC192" s="6" t="e">
        <f t="shared" ca="1" si="118"/>
        <v>#DIV/0!</v>
      </c>
      <c r="CD192" s="9">
        <f t="shared" si="119"/>
        <v>-50</v>
      </c>
      <c r="CE192" s="9">
        <f t="shared" si="120"/>
        <v>0</v>
      </c>
      <c r="CF192" s="6">
        <f t="shared" si="121"/>
        <v>3.1415926535897931</v>
      </c>
      <c r="CG192" s="6"/>
      <c r="CH192" s="6"/>
      <c r="CI192" s="6"/>
      <c r="CJ192" s="1"/>
      <c r="CK192" s="6"/>
    </row>
    <row r="193" spans="1:89" x14ac:dyDescent="0.25">
      <c r="A193">
        <f t="shared" si="199"/>
        <v>9</v>
      </c>
      <c r="B193">
        <f t="shared" si="199"/>
        <v>0</v>
      </c>
      <c r="C193" s="6">
        <f t="shared" ca="1" si="199"/>
        <v>0</v>
      </c>
      <c r="D193" s="6">
        <f t="shared" si="199"/>
        <v>2</v>
      </c>
      <c r="E193" s="6">
        <f t="shared" si="199"/>
        <v>2</v>
      </c>
      <c r="F193" s="6">
        <f t="shared" si="200"/>
        <v>-4</v>
      </c>
      <c r="G193" s="6">
        <f t="shared" si="201"/>
        <v>-10</v>
      </c>
      <c r="H193" s="6">
        <f t="shared" si="202"/>
        <v>-4.436305849898492</v>
      </c>
      <c r="I193" s="6">
        <f t="shared" si="203"/>
        <v>-9.8142340712944289</v>
      </c>
      <c r="J193" s="6">
        <f t="shared" si="208"/>
        <v>0</v>
      </c>
      <c r="K193" s="6">
        <f t="shared" ca="1" si="204"/>
        <v>0</v>
      </c>
      <c r="L193" s="6">
        <f t="shared" ca="1" si="209"/>
        <v>0</v>
      </c>
      <c r="M193" s="6">
        <f t="shared" ca="1" si="210"/>
        <v>0</v>
      </c>
      <c r="N193" s="6">
        <f t="shared" ca="1" si="205"/>
        <v>0</v>
      </c>
      <c r="O193" s="6">
        <f t="shared" ca="1" si="206"/>
        <v>0</v>
      </c>
      <c r="P193" s="6">
        <f t="shared" ca="1" si="207"/>
        <v>0</v>
      </c>
      <c r="BC193"/>
      <c r="BD193"/>
      <c r="BF193" s="6" t="e">
        <f t="shared" si="171"/>
        <v>#N/A</v>
      </c>
      <c r="BG193" s="6" t="e">
        <f t="shared" si="172"/>
        <v>#N/A</v>
      </c>
      <c r="BH193" s="6" t="e">
        <f t="shared" si="173"/>
        <v>#N/A</v>
      </c>
      <c r="BI193" s="6" t="e">
        <f t="shared" si="174"/>
        <v>#N/A</v>
      </c>
      <c r="BV193" s="38"/>
      <c r="BW193" s="6" t="e">
        <f t="shared" si="112"/>
        <v>#N/A</v>
      </c>
      <c r="BX193" s="9">
        <f t="shared" ca="1" si="113"/>
        <v>-156.7666765884093</v>
      </c>
      <c r="BY193" s="9">
        <f t="shared" ca="1" si="114"/>
        <v>84.412825855297342</v>
      </c>
      <c r="BZ193" s="9">
        <f t="shared" ca="1" si="115"/>
        <v>0</v>
      </c>
      <c r="CA193" s="6">
        <f t="shared" ca="1" si="116"/>
        <v>0</v>
      </c>
      <c r="CB193" s="6" t="e">
        <f t="shared" ca="1" si="117"/>
        <v>#DIV/0!</v>
      </c>
      <c r="CC193" s="6" t="e">
        <f t="shared" ca="1" si="118"/>
        <v>#DIV/0!</v>
      </c>
      <c r="CD193" s="9">
        <f t="shared" si="119"/>
        <v>-50</v>
      </c>
      <c r="CE193" s="9">
        <f t="shared" si="120"/>
        <v>0</v>
      </c>
      <c r="CF193" s="6">
        <f t="shared" si="121"/>
        <v>3.1415926535897931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199"/>
        <v>10</v>
      </c>
      <c r="B194">
        <f t="shared" si="199"/>
        <v>0</v>
      </c>
      <c r="C194" s="6">
        <f t="shared" ca="1" si="199"/>
        <v>0</v>
      </c>
      <c r="D194" s="6">
        <f t="shared" si="199"/>
        <v>10</v>
      </c>
      <c r="E194" s="6">
        <f t="shared" si="199"/>
        <v>2</v>
      </c>
      <c r="F194" s="6">
        <f t="shared" si="200"/>
        <v>4</v>
      </c>
      <c r="G194" s="6">
        <f t="shared" si="201"/>
        <v>-10</v>
      </c>
      <c r="H194" s="6">
        <f t="shared" si="202"/>
        <v>3.5559399509662155</v>
      </c>
      <c r="I194" s="6">
        <f t="shared" si="203"/>
        <v>-10.166380430867338</v>
      </c>
      <c r="J194" s="6">
        <f t="shared" si="208"/>
        <v>0</v>
      </c>
      <c r="K194" s="11">
        <f t="shared" ca="1" si="204"/>
        <v>0</v>
      </c>
      <c r="L194" s="6">
        <f t="shared" ca="1" si="209"/>
        <v>0</v>
      </c>
      <c r="M194" s="6">
        <f t="shared" ca="1" si="210"/>
        <v>0</v>
      </c>
      <c r="N194" s="11">
        <f t="shared" ca="1" si="205"/>
        <v>0</v>
      </c>
      <c r="O194" s="11">
        <f t="shared" ca="1" si="206"/>
        <v>0</v>
      </c>
      <c r="P194" s="11">
        <f t="shared" ca="1" si="207"/>
        <v>0</v>
      </c>
      <c r="BC194"/>
      <c r="BD194"/>
      <c r="BF194" s="6" t="e">
        <f t="shared" si="171"/>
        <v>#N/A</v>
      </c>
      <c r="BG194" s="6" t="e">
        <f t="shared" si="172"/>
        <v>#N/A</v>
      </c>
      <c r="BH194" s="6" t="e">
        <f t="shared" si="173"/>
        <v>#N/A</v>
      </c>
      <c r="BI194" s="6" t="e">
        <f t="shared" si="174"/>
        <v>#N/A</v>
      </c>
      <c r="BV194" s="38"/>
      <c r="BW194" s="6" t="e">
        <f t="shared" si="112"/>
        <v>#N/A</v>
      </c>
      <c r="BX194" s="9">
        <f t="shared" ca="1" si="113"/>
        <v>-156.7666765884093</v>
      </c>
      <c r="BY194" s="9">
        <f t="shared" ca="1" si="114"/>
        <v>84.412825855297342</v>
      </c>
      <c r="BZ194" s="9">
        <f t="shared" ca="1" si="115"/>
        <v>0</v>
      </c>
      <c r="CA194" s="6">
        <f t="shared" ca="1" si="116"/>
        <v>0</v>
      </c>
      <c r="CB194" s="6" t="e">
        <f t="shared" ca="1" si="117"/>
        <v>#DIV/0!</v>
      </c>
      <c r="CC194" s="6" t="e">
        <f t="shared" ca="1" si="118"/>
        <v>#DIV/0!</v>
      </c>
      <c r="CD194" s="9">
        <f t="shared" si="119"/>
        <v>-50</v>
      </c>
      <c r="CE194" s="9">
        <f t="shared" si="120"/>
        <v>0</v>
      </c>
      <c r="CF194" s="6">
        <f t="shared" si="121"/>
        <v>3.1415926535897931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-2.4483080171386805E-2</v>
      </c>
      <c r="N195" s="6">
        <f ca="1">SUM(N185:N194)</f>
        <v>-189.60000000000002</v>
      </c>
      <c r="O195" s="6">
        <f ca="1">SUM(O185:O194)</f>
        <v>1679.708423158808</v>
      </c>
      <c r="P195" s="6">
        <f ca="1">SUM(P185:P194)</f>
        <v>-643.36149493838263</v>
      </c>
      <c r="BC195"/>
      <c r="BD195"/>
      <c r="BF195" s="6" t="e">
        <f t="shared" ref="BF195:BF258" si="211">IF(BC195&lt;&gt;"",IF(AND(BD195=0,BE195=0),0,MOD(ATAN2(BD195,BE195),2*PI())),NA())</f>
        <v>#N/A</v>
      </c>
      <c r="BG195" s="6" t="e">
        <f t="shared" ref="BG195:BG258" si="212">ABS(BC195-BF195)</f>
        <v>#N/A</v>
      </c>
      <c r="BH195" s="6" t="e">
        <f t="shared" ref="BH195:BH258" si="213">ATAN2(COS($U$13-BF195),SIN($U$13-BF195))</f>
        <v>#N/A</v>
      </c>
      <c r="BI195" s="6" t="e">
        <f t="shared" ref="BI195:BI258" si="214">ABS(BH195)</f>
        <v>#N/A</v>
      </c>
      <c r="BV195" s="38"/>
      <c r="BW195" s="6" t="e">
        <f t="shared" si="112"/>
        <v>#N/A</v>
      </c>
      <c r="BX195" s="9">
        <f t="shared" ca="1" si="113"/>
        <v>-156.7666765884093</v>
      </c>
      <c r="BY195" s="9">
        <f t="shared" ca="1" si="114"/>
        <v>84.412825855297342</v>
      </c>
      <c r="BZ195" s="9">
        <f t="shared" ca="1" si="115"/>
        <v>0</v>
      </c>
      <c r="CA195" s="6">
        <f t="shared" ca="1" si="116"/>
        <v>0</v>
      </c>
      <c r="CB195" s="6" t="e">
        <f t="shared" ca="1" si="117"/>
        <v>#DIV/0!</v>
      </c>
      <c r="CC195" s="6" t="e">
        <f t="shared" ca="1" si="118"/>
        <v>#DIV/0!</v>
      </c>
      <c r="CD195" s="9">
        <f t="shared" si="119"/>
        <v>-50</v>
      </c>
      <c r="CE195" s="9">
        <f t="shared" si="120"/>
        <v>0</v>
      </c>
      <c r="CF195" s="6">
        <f t="shared" si="121"/>
        <v>3.1415926535897931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-189.60000000000002</v>
      </c>
      <c r="C196" t="s">
        <v>68</v>
      </c>
      <c r="O196" s="6">
        <f ca="1">O195/N195</f>
        <v>-8.8592216411329527</v>
      </c>
      <c r="P196" s="6">
        <f ca="1">-1*P195/N195</f>
        <v>-3.3932568298437897</v>
      </c>
      <c r="S196">
        <f ca="1">(P196*COS(-1*$B$27))+(O196*SIN(-1*$B$27))+$I$2</f>
        <v>2.9999999999999996</v>
      </c>
      <c r="T196">
        <f ca="1">(-1*P196*SIN(-1*$B$27))+(O196*COS(-1*$B$27))+$I$3</f>
        <v>3</v>
      </c>
      <c r="BC196"/>
      <c r="BD196"/>
      <c r="BF196" s="6" t="e">
        <f t="shared" si="211"/>
        <v>#N/A</v>
      </c>
      <c r="BG196" s="6" t="e">
        <f t="shared" si="212"/>
        <v>#N/A</v>
      </c>
      <c r="BH196" s="6" t="e">
        <f t="shared" si="213"/>
        <v>#N/A</v>
      </c>
      <c r="BI196" s="6" t="e">
        <f t="shared" si="214"/>
        <v>#N/A</v>
      </c>
      <c r="BV196" s="38"/>
      <c r="BW196" s="6" t="e">
        <f t="shared" si="112"/>
        <v>#N/A</v>
      </c>
      <c r="BX196" s="9">
        <f t="shared" ca="1" si="113"/>
        <v>-156.7666765884093</v>
      </c>
      <c r="BY196" s="9">
        <f t="shared" ca="1" si="114"/>
        <v>84.412825855297342</v>
      </c>
      <c r="BZ196" s="9">
        <f t="shared" ca="1" si="115"/>
        <v>0</v>
      </c>
      <c r="CA196" s="6">
        <f t="shared" ca="1" si="116"/>
        <v>0</v>
      </c>
      <c r="CB196" s="6" t="e">
        <f t="shared" ca="1" si="117"/>
        <v>#DIV/0!</v>
      </c>
      <c r="CC196" s="6" t="e">
        <f t="shared" ca="1" si="118"/>
        <v>#DIV/0!</v>
      </c>
      <c r="CD196" s="9">
        <f t="shared" si="119"/>
        <v>-50</v>
      </c>
      <c r="CE196" s="9">
        <f t="shared" si="120"/>
        <v>0</v>
      </c>
      <c r="CF196" s="6">
        <f t="shared" si="121"/>
        <v>3.1415926535897931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1679.708423158808</v>
      </c>
      <c r="C197" t="s">
        <v>69</v>
      </c>
      <c r="BC197"/>
      <c r="BD197"/>
      <c r="BF197" s="6" t="e">
        <f t="shared" si="211"/>
        <v>#N/A</v>
      </c>
      <c r="BG197" s="6" t="e">
        <f t="shared" si="212"/>
        <v>#N/A</v>
      </c>
      <c r="BH197" s="6" t="e">
        <f t="shared" si="213"/>
        <v>#N/A</v>
      </c>
      <c r="BI197" s="6" t="e">
        <f t="shared" si="214"/>
        <v>#N/A</v>
      </c>
      <c r="BV197" s="38"/>
      <c r="BW197" s="6" t="e">
        <f t="shared" si="112"/>
        <v>#N/A</v>
      </c>
      <c r="BX197" s="9">
        <f t="shared" ca="1" si="113"/>
        <v>-156.7666765884093</v>
      </c>
      <c r="BY197" s="9">
        <f t="shared" ca="1" si="114"/>
        <v>84.412825855297342</v>
      </c>
      <c r="BZ197" s="9">
        <f t="shared" ca="1" si="115"/>
        <v>0</v>
      </c>
      <c r="CA197" s="6">
        <f t="shared" ca="1" si="116"/>
        <v>0</v>
      </c>
      <c r="CB197" s="6" t="e">
        <f t="shared" ca="1" si="117"/>
        <v>#DIV/0!</v>
      </c>
      <c r="CC197" s="6" t="e">
        <f t="shared" ca="1" si="118"/>
        <v>#DIV/0!</v>
      </c>
      <c r="CD197" s="9">
        <f t="shared" si="119"/>
        <v>-50</v>
      </c>
      <c r="CE197" s="9">
        <f t="shared" si="120"/>
        <v>0</v>
      </c>
      <c r="CF197" s="6">
        <f t="shared" si="121"/>
        <v>3.1415926535897931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-643.36149493838263</v>
      </c>
      <c r="C198" t="s">
        <v>69</v>
      </c>
      <c r="S198" t="str">
        <f ca="1">"Ts = "&amp;ROUND(N195,4)&amp;" "&amp;V10&amp;CHAR(10)&amp;" @ ( "&amp;ROUND(S196,4)&amp;" , "&amp;ROUND(T196,4)&amp;" )"</f>
        <v>Ts = -189.6 kips
 @ ( 3 , 3 )</v>
      </c>
      <c r="BC198"/>
      <c r="BD198"/>
      <c r="BF198" s="6" t="e">
        <f t="shared" si="211"/>
        <v>#N/A</v>
      </c>
      <c r="BG198" s="6" t="e">
        <f t="shared" si="212"/>
        <v>#N/A</v>
      </c>
      <c r="BH198" s="6" t="e">
        <f t="shared" si="213"/>
        <v>#N/A</v>
      </c>
      <c r="BI198" s="6" t="e">
        <f t="shared" si="214"/>
        <v>#N/A</v>
      </c>
      <c r="BV198" s="38"/>
      <c r="BW198" s="6" t="e">
        <f t="shared" si="112"/>
        <v>#N/A</v>
      </c>
      <c r="BX198" s="9">
        <f t="shared" ca="1" si="113"/>
        <v>-156.7666765884093</v>
      </c>
      <c r="BY198" s="9">
        <f t="shared" ca="1" si="114"/>
        <v>84.412825855297342</v>
      </c>
      <c r="BZ198" s="9">
        <f t="shared" ca="1" si="115"/>
        <v>0</v>
      </c>
      <c r="CA198" s="6">
        <f t="shared" ca="1" si="116"/>
        <v>0</v>
      </c>
      <c r="CB198" s="6" t="e">
        <f t="shared" ca="1" si="117"/>
        <v>#DIV/0!</v>
      </c>
      <c r="CC198" s="6" t="e">
        <f t="shared" ca="1" si="118"/>
        <v>#DIV/0!</v>
      </c>
      <c r="CD198" s="9">
        <f t="shared" si="119"/>
        <v>-50</v>
      </c>
      <c r="CE198" s="9">
        <f t="shared" si="120"/>
        <v>0</v>
      </c>
      <c r="CF198" s="6">
        <f t="shared" si="121"/>
        <v>3.1415926535897931</v>
      </c>
      <c r="CG198" s="6"/>
      <c r="CH198" s="6"/>
      <c r="CI198" s="6"/>
      <c r="CJ198" s="1"/>
      <c r="CK198" s="6"/>
    </row>
    <row r="199" spans="1:89" x14ac:dyDescent="0.25">
      <c r="BC199"/>
      <c r="BD199"/>
      <c r="BF199" s="6" t="e">
        <f t="shared" si="211"/>
        <v>#N/A</v>
      </c>
      <c r="BG199" s="6" t="e">
        <f t="shared" si="212"/>
        <v>#N/A</v>
      </c>
      <c r="BH199" s="6" t="e">
        <f t="shared" si="213"/>
        <v>#N/A</v>
      </c>
      <c r="BI199" s="6" t="e">
        <f t="shared" si="214"/>
        <v>#N/A</v>
      </c>
      <c r="BV199" s="38"/>
      <c r="BW199" s="6" t="e">
        <f t="shared" si="112"/>
        <v>#N/A</v>
      </c>
      <c r="BX199" s="9">
        <f t="shared" ca="1" si="113"/>
        <v>-156.7666765884093</v>
      </c>
      <c r="BY199" s="9">
        <f t="shared" ca="1" si="114"/>
        <v>84.412825855297342</v>
      </c>
      <c r="BZ199" s="9">
        <f t="shared" ca="1" si="115"/>
        <v>0</v>
      </c>
      <c r="CA199" s="6">
        <f t="shared" ca="1" si="116"/>
        <v>0</v>
      </c>
      <c r="CB199" s="6" t="e">
        <f t="shared" ca="1" si="117"/>
        <v>#DIV/0!</v>
      </c>
      <c r="CC199" s="6" t="e">
        <f t="shared" ca="1" si="118"/>
        <v>#DIV/0!</v>
      </c>
      <c r="CD199" s="9">
        <f t="shared" si="119"/>
        <v>-50</v>
      </c>
      <c r="CE199" s="9">
        <f t="shared" si="120"/>
        <v>0</v>
      </c>
      <c r="CF199" s="6">
        <f t="shared" si="121"/>
        <v>3.1415926535897931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-7.6659342175215954</v>
      </c>
      <c r="C200" t="s">
        <v>68</v>
      </c>
      <c r="BC200"/>
      <c r="BD200"/>
      <c r="BF200" s="6" t="e">
        <f t="shared" si="211"/>
        <v>#N/A</v>
      </c>
      <c r="BG200" s="6" t="e">
        <f t="shared" si="212"/>
        <v>#N/A</v>
      </c>
      <c r="BH200" s="6" t="e">
        <f t="shared" si="213"/>
        <v>#N/A</v>
      </c>
      <c r="BI200" s="6" t="e">
        <f t="shared" si="214"/>
        <v>#N/A</v>
      </c>
      <c r="BV200" s="38"/>
      <c r="BW200" s="6" t="e">
        <f t="shared" si="112"/>
        <v>#N/A</v>
      </c>
      <c r="BX200" s="9">
        <f t="shared" ca="1" si="113"/>
        <v>-156.7666765884093</v>
      </c>
      <c r="BY200" s="9">
        <f t="shared" ca="1" si="114"/>
        <v>84.412825855297342</v>
      </c>
      <c r="BZ200" s="9">
        <f t="shared" ca="1" si="115"/>
        <v>0</v>
      </c>
      <c r="CA200" s="6">
        <f t="shared" ca="1" si="116"/>
        <v>0</v>
      </c>
      <c r="CB200" s="6" t="e">
        <f t="shared" ca="1" si="117"/>
        <v>#DIV/0!</v>
      </c>
      <c r="CC200" s="6" t="e">
        <f t="shared" ca="1" si="118"/>
        <v>#DIV/0!</v>
      </c>
      <c r="CD200" s="9">
        <f t="shared" si="119"/>
        <v>-50</v>
      </c>
      <c r="CE200" s="9">
        <f t="shared" si="120"/>
        <v>0</v>
      </c>
      <c r="CF200" s="6">
        <f t="shared" si="121"/>
        <v>3.1415926535897931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3756.1573339859751</v>
      </c>
      <c r="C201" t="s">
        <v>69</v>
      </c>
      <c r="BC201"/>
      <c r="BD201"/>
      <c r="BF201" s="6" t="e">
        <f t="shared" si="211"/>
        <v>#N/A</v>
      </c>
      <c r="BG201" s="6" t="e">
        <f t="shared" si="212"/>
        <v>#N/A</v>
      </c>
      <c r="BH201" s="6" t="e">
        <f t="shared" si="213"/>
        <v>#N/A</v>
      </c>
      <c r="BI201" s="6" t="e">
        <f t="shared" si="214"/>
        <v>#N/A</v>
      </c>
      <c r="BV201" s="38"/>
      <c r="BW201" s="6" t="e">
        <f t="shared" si="112"/>
        <v>#N/A</v>
      </c>
      <c r="BX201" s="9">
        <f t="shared" ca="1" si="113"/>
        <v>-156.7666765884093</v>
      </c>
      <c r="BY201" s="9">
        <f t="shared" ca="1" si="114"/>
        <v>84.412825855297342</v>
      </c>
      <c r="BZ201" s="9">
        <f t="shared" ca="1" si="115"/>
        <v>0</v>
      </c>
      <c r="CA201" s="6">
        <f t="shared" ca="1" si="116"/>
        <v>0</v>
      </c>
      <c r="CB201" s="6" t="e">
        <f t="shared" ca="1" si="117"/>
        <v>#DIV/0!</v>
      </c>
      <c r="CC201" s="6" t="e">
        <f t="shared" ca="1" si="118"/>
        <v>#DIV/0!</v>
      </c>
      <c r="CD201" s="9">
        <f t="shared" si="119"/>
        <v>-50</v>
      </c>
      <c r="CE201" s="9">
        <f t="shared" si="120"/>
        <v>0</v>
      </c>
      <c r="CF201" s="6">
        <f t="shared" si="121"/>
        <v>3.1415926535897931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-265.25894989063869</v>
      </c>
      <c r="C202" t="s">
        <v>69</v>
      </c>
      <c r="BC202"/>
      <c r="BD202"/>
      <c r="BF202" s="6" t="e">
        <f t="shared" si="211"/>
        <v>#N/A</v>
      </c>
      <c r="BG202" s="6" t="e">
        <f t="shared" si="212"/>
        <v>#N/A</v>
      </c>
      <c r="BH202" s="6" t="e">
        <f t="shared" si="213"/>
        <v>#N/A</v>
      </c>
      <c r="BI202" s="6" t="e">
        <f t="shared" si="214"/>
        <v>#N/A</v>
      </c>
      <c r="BV202" s="38"/>
      <c r="BW202" s="6" t="e">
        <f t="shared" si="112"/>
        <v>#N/A</v>
      </c>
      <c r="BX202" s="9">
        <f t="shared" ca="1" si="113"/>
        <v>-156.7666765884093</v>
      </c>
      <c r="BY202" s="9">
        <f t="shared" ca="1" si="114"/>
        <v>84.412825855297342</v>
      </c>
      <c r="BZ202" s="9">
        <f t="shared" ca="1" si="115"/>
        <v>0</v>
      </c>
      <c r="CA202" s="6">
        <f t="shared" ca="1" si="116"/>
        <v>0</v>
      </c>
      <c r="CB202" s="6" t="e">
        <f t="shared" ca="1" si="117"/>
        <v>#DIV/0!</v>
      </c>
      <c r="CC202" s="6" t="e">
        <f t="shared" ca="1" si="118"/>
        <v>#DIV/0!</v>
      </c>
      <c r="CD202" s="9">
        <f t="shared" si="119"/>
        <v>-50</v>
      </c>
      <c r="CE202" s="9">
        <f t="shared" si="120"/>
        <v>0</v>
      </c>
      <c r="CF202" s="6">
        <f t="shared" si="121"/>
        <v>3.1415926535897931</v>
      </c>
      <c r="CG202" s="6"/>
      <c r="CH202" s="6"/>
      <c r="CI202" s="6"/>
      <c r="CJ202" s="1"/>
      <c r="CK202" s="6"/>
    </row>
    <row r="203" spans="1:89" x14ac:dyDescent="0.25">
      <c r="BC203"/>
      <c r="BD203"/>
      <c r="BF203" s="6" t="e">
        <f t="shared" si="211"/>
        <v>#N/A</v>
      </c>
      <c r="BG203" s="6" t="e">
        <f t="shared" si="212"/>
        <v>#N/A</v>
      </c>
      <c r="BH203" s="6" t="e">
        <f t="shared" si="213"/>
        <v>#N/A</v>
      </c>
      <c r="BI203" s="6" t="e">
        <f t="shared" si="214"/>
        <v>#N/A</v>
      </c>
      <c r="BV203" s="38"/>
      <c r="BW203" s="6" t="e">
        <f t="shared" si="112"/>
        <v>#N/A</v>
      </c>
      <c r="BX203" s="9">
        <f t="shared" ca="1" si="113"/>
        <v>-156.7666765884093</v>
      </c>
      <c r="BY203" s="9">
        <f t="shared" ca="1" si="114"/>
        <v>84.412825855297342</v>
      </c>
      <c r="BZ203" s="9">
        <f t="shared" ca="1" si="115"/>
        <v>0</v>
      </c>
      <c r="CA203" s="6">
        <f t="shared" ca="1" si="116"/>
        <v>0</v>
      </c>
      <c r="CB203" s="6" t="e">
        <f t="shared" ca="1" si="117"/>
        <v>#DIV/0!</v>
      </c>
      <c r="CC203" s="6" t="e">
        <f t="shared" ca="1" si="118"/>
        <v>#DIV/0!</v>
      </c>
      <c r="CD203" s="9">
        <f t="shared" si="119"/>
        <v>-50</v>
      </c>
      <c r="CE203" s="9">
        <f t="shared" si="120"/>
        <v>0</v>
      </c>
      <c r="CF203" s="6">
        <f t="shared" si="121"/>
        <v>3.1415926535897931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3764.1928316855883</v>
      </c>
      <c r="C204" t="s">
        <v>69</v>
      </c>
      <c r="BC204"/>
      <c r="BD204"/>
      <c r="BF204" s="6" t="e">
        <f t="shared" si="211"/>
        <v>#N/A</v>
      </c>
      <c r="BG204" s="6" t="e">
        <f t="shared" si="212"/>
        <v>#N/A</v>
      </c>
      <c r="BH204" s="6" t="e">
        <f t="shared" si="213"/>
        <v>#N/A</v>
      </c>
      <c r="BI204" s="6" t="e">
        <f t="shared" si="214"/>
        <v>#N/A</v>
      </c>
      <c r="BV204" s="38"/>
      <c r="BW204" s="6" t="e">
        <f t="shared" si="112"/>
        <v>#N/A</v>
      </c>
      <c r="BX204" s="9">
        <f t="shared" ca="1" si="113"/>
        <v>-156.7666765884093</v>
      </c>
      <c r="BY204" s="9">
        <f t="shared" ca="1" si="114"/>
        <v>84.412825855297342</v>
      </c>
      <c r="BZ204" s="9">
        <f t="shared" ca="1" si="115"/>
        <v>0</v>
      </c>
      <c r="CA204" s="6">
        <f t="shared" ca="1" si="116"/>
        <v>0</v>
      </c>
      <c r="CB204" s="6" t="e">
        <f t="shared" ca="1" si="117"/>
        <v>#DIV/0!</v>
      </c>
      <c r="CC204" s="6" t="e">
        <f t="shared" ca="1" si="118"/>
        <v>#DIV/0!</v>
      </c>
      <c r="CD204" s="9">
        <f t="shared" si="119"/>
        <v>-50</v>
      </c>
      <c r="CE204" s="9">
        <f t="shared" si="120"/>
        <v>0</v>
      </c>
      <c r="CF204" s="6">
        <f t="shared" si="121"/>
        <v>3.1415926535897931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-99.662199657373549</v>
      </c>
      <c r="C205" t="s">
        <v>69</v>
      </c>
      <c r="BC205"/>
      <c r="BD205"/>
      <c r="BF205" s="6" t="e">
        <f t="shared" si="211"/>
        <v>#N/A</v>
      </c>
      <c r="BG205" s="6" t="e">
        <f t="shared" si="212"/>
        <v>#N/A</v>
      </c>
      <c r="BH205" s="6" t="e">
        <f t="shared" si="213"/>
        <v>#N/A</v>
      </c>
      <c r="BI205" s="6" t="e">
        <f t="shared" si="214"/>
        <v>#N/A</v>
      </c>
      <c r="BV205" s="38"/>
      <c r="BW205" s="6" t="e">
        <f t="shared" si="112"/>
        <v>#N/A</v>
      </c>
      <c r="BX205" s="9">
        <f t="shared" ca="1" si="113"/>
        <v>-156.7666765884093</v>
      </c>
      <c r="BY205" s="9">
        <f t="shared" ca="1" si="114"/>
        <v>84.412825855297342</v>
      </c>
      <c r="BZ205" s="9">
        <f t="shared" ca="1" si="115"/>
        <v>0</v>
      </c>
      <c r="CA205" s="6">
        <f t="shared" ca="1" si="116"/>
        <v>0</v>
      </c>
      <c r="CB205" s="6" t="e">
        <f t="shared" ca="1" si="117"/>
        <v>#DIV/0!</v>
      </c>
      <c r="CC205" s="6" t="e">
        <f t="shared" ca="1" si="118"/>
        <v>#DIV/0!</v>
      </c>
      <c r="CD205" s="9">
        <f t="shared" si="119"/>
        <v>-50</v>
      </c>
      <c r="CE205" s="9">
        <f t="shared" si="120"/>
        <v>0</v>
      </c>
      <c r="CF205" s="6">
        <f t="shared" si="121"/>
        <v>3.1415926535897931</v>
      </c>
      <c r="CG205" s="6"/>
      <c r="CH205" s="6"/>
      <c r="CI205" s="6"/>
      <c r="CJ205" s="1"/>
      <c r="CK205" s="6"/>
    </row>
    <row r="206" spans="1:89" x14ac:dyDescent="0.25">
      <c r="BC206"/>
      <c r="BD206"/>
      <c r="BF206" s="6" t="e">
        <f t="shared" si="211"/>
        <v>#N/A</v>
      </c>
      <c r="BG206" s="6" t="e">
        <f t="shared" si="212"/>
        <v>#N/A</v>
      </c>
      <c r="BH206" s="6" t="e">
        <f t="shared" si="213"/>
        <v>#N/A</v>
      </c>
      <c r="BI206" s="6" t="e">
        <f t="shared" si="214"/>
        <v>#N/A</v>
      </c>
      <c r="BV206" s="38"/>
      <c r="BW206" s="6" t="e">
        <f t="shared" si="112"/>
        <v>#N/A</v>
      </c>
      <c r="BX206" s="9">
        <f t="shared" ca="1" si="113"/>
        <v>-156.7666765884093</v>
      </c>
      <c r="BY206" s="9">
        <f t="shared" ca="1" si="114"/>
        <v>84.412825855297342</v>
      </c>
      <c r="BZ206" s="9">
        <f t="shared" ca="1" si="115"/>
        <v>0</v>
      </c>
      <c r="CA206" s="6">
        <f t="shared" ca="1" si="116"/>
        <v>0</v>
      </c>
      <c r="CB206" s="6" t="e">
        <f t="shared" ca="1" si="117"/>
        <v>#DIV/0!</v>
      </c>
      <c r="CC206" s="6" t="e">
        <f t="shared" ca="1" si="118"/>
        <v>#DIV/0!</v>
      </c>
      <c r="CD206" s="9">
        <f t="shared" si="119"/>
        <v>-50</v>
      </c>
      <c r="CE206" s="9">
        <f t="shared" si="120"/>
        <v>0</v>
      </c>
      <c r="CF206" s="6">
        <f t="shared" si="121"/>
        <v>3.1415926535897931</v>
      </c>
      <c r="CG206" s="6"/>
      <c r="CH206" s="6"/>
      <c r="CI206" s="6"/>
      <c r="CJ206" s="1"/>
      <c r="CK206" s="6"/>
    </row>
    <row r="207" spans="1:89" x14ac:dyDescent="0.25">
      <c r="BC207"/>
      <c r="BD207"/>
      <c r="BF207" s="6" t="e">
        <f t="shared" si="211"/>
        <v>#N/A</v>
      </c>
      <c r="BG207" s="6" t="e">
        <f t="shared" si="212"/>
        <v>#N/A</v>
      </c>
      <c r="BH207" s="6" t="e">
        <f t="shared" si="213"/>
        <v>#N/A</v>
      </c>
      <c r="BI207" s="6" t="e">
        <f t="shared" si="214"/>
        <v>#N/A</v>
      </c>
      <c r="BV207" s="38"/>
      <c r="BW207" s="6" t="e">
        <f t="shared" si="112"/>
        <v>#N/A</v>
      </c>
      <c r="BX207" s="9">
        <f t="shared" ca="1" si="113"/>
        <v>-156.7666765884093</v>
      </c>
      <c r="BY207" s="9">
        <f t="shared" ca="1" si="114"/>
        <v>84.412825855297342</v>
      </c>
      <c r="BZ207" s="9">
        <f t="shared" ca="1" si="115"/>
        <v>0</v>
      </c>
      <c r="CA207" s="6">
        <f t="shared" ca="1" si="116"/>
        <v>0</v>
      </c>
      <c r="CB207" s="6" t="e">
        <f t="shared" ca="1" si="117"/>
        <v>#DIV/0!</v>
      </c>
      <c r="CC207" s="6" t="e">
        <f t="shared" ca="1" si="118"/>
        <v>#DIV/0!</v>
      </c>
      <c r="CD207" s="9">
        <f t="shared" si="119"/>
        <v>-50</v>
      </c>
      <c r="CE207" s="9">
        <f t="shared" si="120"/>
        <v>0</v>
      </c>
      <c r="CF207" s="6">
        <f t="shared" si="121"/>
        <v>3.1415926535897931</v>
      </c>
      <c r="CG207" s="6"/>
      <c r="CH207" s="6"/>
      <c r="CI207" s="6"/>
      <c r="CJ207" s="1"/>
      <c r="CK207" s="6"/>
    </row>
    <row r="208" spans="1:89" x14ac:dyDescent="0.25">
      <c r="BC208"/>
      <c r="BD208"/>
      <c r="BF208" s="6" t="e">
        <f t="shared" si="211"/>
        <v>#N/A</v>
      </c>
      <c r="BG208" s="6" t="e">
        <f t="shared" si="212"/>
        <v>#N/A</v>
      </c>
      <c r="BH208" s="6" t="e">
        <f t="shared" si="213"/>
        <v>#N/A</v>
      </c>
      <c r="BI208" s="6" t="e">
        <f t="shared" si="214"/>
        <v>#N/A</v>
      </c>
      <c r="BV208" s="38"/>
      <c r="BW208" s="6" t="e">
        <f t="shared" ref="BW208:BW271" si="215">IF(BC195="",NA(),BC195)</f>
        <v>#N/A</v>
      </c>
      <c r="BX208" s="9">
        <f t="shared" ref="BX208:BX271" ca="1" si="216">BD195-$BW$5</f>
        <v>-156.7666765884093</v>
      </c>
      <c r="BY208" s="9">
        <f t="shared" ref="BY208:BY271" ca="1" si="217">BE195-$BX$5</f>
        <v>84.412825855297342</v>
      </c>
      <c r="BZ208" s="9">
        <f t="shared" ref="BZ208:BZ271" ca="1" si="218">BX208-$CE$5</f>
        <v>0</v>
      </c>
      <c r="CA208" s="6">
        <f t="shared" ref="CA208:CA271" ca="1" si="219">BY208-$CF$5</f>
        <v>0</v>
      </c>
      <c r="CB208" s="6" t="e">
        <f t="shared" ref="CB208:CB271" ca="1" si="220">ATAN2(BZ208,CA208)</f>
        <v>#DIV/0!</v>
      </c>
      <c r="CC208" s="6" t="e">
        <f t="shared" ref="CC208:CC271" ca="1" si="221">ATAN2(COS(CF208-CB208),SIN(CF208-CB208))*10</f>
        <v>#DIV/0!</v>
      </c>
      <c r="CD208" s="9">
        <f t="shared" ref="CD208:CD271" si="222">BD195-$BW$6</f>
        <v>-50</v>
      </c>
      <c r="CE208" s="9">
        <f t="shared" ref="CE208:CE271" si="223">BE195-$BX$6</f>
        <v>0</v>
      </c>
      <c r="CF208" s="6">
        <f t="shared" ref="CF208:CF271" si="224">ATAN2(CD208,CE208)</f>
        <v>3.1415926535897931</v>
      </c>
      <c r="CG208" s="6"/>
      <c r="CH208" s="6"/>
      <c r="CI208" s="6"/>
      <c r="CJ208" s="1"/>
      <c r="CK208" s="6"/>
    </row>
    <row r="209" spans="55:89" x14ac:dyDescent="0.25">
      <c r="BC209"/>
      <c r="BD209"/>
      <c r="BF209" s="6" t="e">
        <f t="shared" si="211"/>
        <v>#N/A</v>
      </c>
      <c r="BG209" s="6" t="e">
        <f t="shared" si="212"/>
        <v>#N/A</v>
      </c>
      <c r="BH209" s="6" t="e">
        <f t="shared" si="213"/>
        <v>#N/A</v>
      </c>
      <c r="BI209" s="6" t="e">
        <f t="shared" si="214"/>
        <v>#N/A</v>
      </c>
      <c r="BV209" s="38"/>
      <c r="BW209" s="6" t="e">
        <f t="shared" si="215"/>
        <v>#N/A</v>
      </c>
      <c r="BX209" s="9">
        <f t="shared" ca="1" si="216"/>
        <v>-156.7666765884093</v>
      </c>
      <c r="BY209" s="9">
        <f t="shared" ca="1" si="217"/>
        <v>84.412825855297342</v>
      </c>
      <c r="BZ209" s="9">
        <f t="shared" ca="1" si="218"/>
        <v>0</v>
      </c>
      <c r="CA209" s="6">
        <f t="shared" ca="1" si="219"/>
        <v>0</v>
      </c>
      <c r="CB209" s="6" t="e">
        <f t="shared" ca="1" si="220"/>
        <v>#DIV/0!</v>
      </c>
      <c r="CC209" s="6" t="e">
        <f t="shared" ca="1" si="221"/>
        <v>#DIV/0!</v>
      </c>
      <c r="CD209" s="9">
        <f t="shared" si="222"/>
        <v>-50</v>
      </c>
      <c r="CE209" s="9">
        <f t="shared" si="223"/>
        <v>0</v>
      </c>
      <c r="CF209" s="6">
        <f t="shared" si="224"/>
        <v>3.1415926535897931</v>
      </c>
      <c r="CG209" s="6"/>
      <c r="CH209" s="6"/>
      <c r="CI209" s="6"/>
      <c r="CJ209" s="1"/>
      <c r="CK209" s="6"/>
    </row>
    <row r="210" spans="55:89" x14ac:dyDescent="0.25">
      <c r="BC210"/>
      <c r="BD210"/>
      <c r="BF210" s="6" t="e">
        <f t="shared" si="211"/>
        <v>#N/A</v>
      </c>
      <c r="BG210" s="6" t="e">
        <f t="shared" si="212"/>
        <v>#N/A</v>
      </c>
      <c r="BH210" s="6" t="e">
        <f t="shared" si="213"/>
        <v>#N/A</v>
      </c>
      <c r="BI210" s="6" t="e">
        <f t="shared" si="214"/>
        <v>#N/A</v>
      </c>
      <c r="BV210" s="38"/>
      <c r="BW210" s="6" t="e">
        <f t="shared" si="215"/>
        <v>#N/A</v>
      </c>
      <c r="BX210" s="9">
        <f t="shared" ca="1" si="216"/>
        <v>-156.7666765884093</v>
      </c>
      <c r="BY210" s="9">
        <f t="shared" ca="1" si="217"/>
        <v>84.412825855297342</v>
      </c>
      <c r="BZ210" s="9">
        <f t="shared" ca="1" si="218"/>
        <v>0</v>
      </c>
      <c r="CA210" s="6">
        <f t="shared" ca="1" si="219"/>
        <v>0</v>
      </c>
      <c r="CB210" s="6" t="e">
        <f t="shared" ca="1" si="220"/>
        <v>#DIV/0!</v>
      </c>
      <c r="CC210" s="6" t="e">
        <f t="shared" ca="1" si="221"/>
        <v>#DIV/0!</v>
      </c>
      <c r="CD210" s="9">
        <f t="shared" si="222"/>
        <v>-50</v>
      </c>
      <c r="CE210" s="9">
        <f t="shared" si="223"/>
        <v>0</v>
      </c>
      <c r="CF210" s="6">
        <f t="shared" si="224"/>
        <v>3.1415926535897931</v>
      </c>
      <c r="CG210" s="6"/>
      <c r="CH210" s="6"/>
      <c r="CI210" s="6"/>
      <c r="CJ210" s="1"/>
      <c r="CK210" s="6"/>
    </row>
    <row r="211" spans="55:89" x14ac:dyDescent="0.25">
      <c r="BC211"/>
      <c r="BD211"/>
      <c r="BF211" s="6" t="e">
        <f t="shared" si="211"/>
        <v>#N/A</v>
      </c>
      <c r="BG211" s="6" t="e">
        <f t="shared" si="212"/>
        <v>#N/A</v>
      </c>
      <c r="BH211" s="6" t="e">
        <f t="shared" si="213"/>
        <v>#N/A</v>
      </c>
      <c r="BI211" s="6" t="e">
        <f t="shared" si="214"/>
        <v>#N/A</v>
      </c>
      <c r="BV211" s="38"/>
      <c r="BW211" s="6" t="e">
        <f t="shared" si="215"/>
        <v>#N/A</v>
      </c>
      <c r="BX211" s="9">
        <f t="shared" ca="1" si="216"/>
        <v>-156.7666765884093</v>
      </c>
      <c r="BY211" s="9">
        <f t="shared" ca="1" si="217"/>
        <v>84.412825855297342</v>
      </c>
      <c r="BZ211" s="9">
        <f t="shared" ca="1" si="218"/>
        <v>0</v>
      </c>
      <c r="CA211" s="6">
        <f t="shared" ca="1" si="219"/>
        <v>0</v>
      </c>
      <c r="CB211" s="6" t="e">
        <f t="shared" ca="1" si="220"/>
        <v>#DIV/0!</v>
      </c>
      <c r="CC211" s="6" t="e">
        <f t="shared" ca="1" si="221"/>
        <v>#DIV/0!</v>
      </c>
      <c r="CD211" s="9">
        <f t="shared" si="222"/>
        <v>-50</v>
      </c>
      <c r="CE211" s="9">
        <f t="shared" si="223"/>
        <v>0</v>
      </c>
      <c r="CF211" s="6">
        <f t="shared" si="224"/>
        <v>3.1415926535897931</v>
      </c>
      <c r="CG211" s="6"/>
      <c r="CH211" s="6"/>
      <c r="CI211" s="6"/>
      <c r="CJ211" s="1"/>
      <c r="CK211" s="6"/>
    </row>
    <row r="212" spans="55:89" x14ac:dyDescent="0.25">
      <c r="BC212"/>
      <c r="BD212"/>
      <c r="BF212" s="6" t="e">
        <f t="shared" si="211"/>
        <v>#N/A</v>
      </c>
      <c r="BG212" s="6" t="e">
        <f t="shared" si="212"/>
        <v>#N/A</v>
      </c>
      <c r="BH212" s="6" t="e">
        <f t="shared" si="213"/>
        <v>#N/A</v>
      </c>
      <c r="BI212" s="6" t="e">
        <f t="shared" si="214"/>
        <v>#N/A</v>
      </c>
      <c r="BV212" s="38"/>
      <c r="BW212" s="6" t="e">
        <f t="shared" si="215"/>
        <v>#N/A</v>
      </c>
      <c r="BX212" s="9">
        <f t="shared" ca="1" si="216"/>
        <v>-156.7666765884093</v>
      </c>
      <c r="BY212" s="9">
        <f t="shared" ca="1" si="217"/>
        <v>84.412825855297342</v>
      </c>
      <c r="BZ212" s="9">
        <f t="shared" ca="1" si="218"/>
        <v>0</v>
      </c>
      <c r="CA212" s="6">
        <f t="shared" ca="1" si="219"/>
        <v>0</v>
      </c>
      <c r="CB212" s="6" t="e">
        <f t="shared" ca="1" si="220"/>
        <v>#DIV/0!</v>
      </c>
      <c r="CC212" s="6" t="e">
        <f t="shared" ca="1" si="221"/>
        <v>#DIV/0!</v>
      </c>
      <c r="CD212" s="9">
        <f t="shared" si="222"/>
        <v>-50</v>
      </c>
      <c r="CE212" s="9">
        <f t="shared" si="223"/>
        <v>0</v>
      </c>
      <c r="CF212" s="6">
        <f t="shared" si="224"/>
        <v>3.1415926535897931</v>
      </c>
      <c r="CG212" s="6"/>
      <c r="CH212" s="6"/>
      <c r="CI212" s="6"/>
      <c r="CJ212" s="1"/>
      <c r="CK212" s="6"/>
    </row>
    <row r="213" spans="55:89" x14ac:dyDescent="0.25">
      <c r="BC213"/>
      <c r="BD213"/>
      <c r="BF213" s="6" t="e">
        <f t="shared" si="211"/>
        <v>#N/A</v>
      </c>
      <c r="BG213" s="6" t="e">
        <f t="shared" si="212"/>
        <v>#N/A</v>
      </c>
      <c r="BH213" s="6" t="e">
        <f t="shared" si="213"/>
        <v>#N/A</v>
      </c>
      <c r="BI213" s="6" t="e">
        <f t="shared" si="214"/>
        <v>#N/A</v>
      </c>
      <c r="BV213" s="38"/>
      <c r="BW213" s="6" t="e">
        <f t="shared" si="215"/>
        <v>#N/A</v>
      </c>
      <c r="BX213" s="9">
        <f t="shared" ca="1" si="216"/>
        <v>-156.7666765884093</v>
      </c>
      <c r="BY213" s="9">
        <f t="shared" ca="1" si="217"/>
        <v>84.412825855297342</v>
      </c>
      <c r="BZ213" s="9">
        <f t="shared" ca="1" si="218"/>
        <v>0</v>
      </c>
      <c r="CA213" s="6">
        <f t="shared" ca="1" si="219"/>
        <v>0</v>
      </c>
      <c r="CB213" s="6" t="e">
        <f t="shared" ca="1" si="220"/>
        <v>#DIV/0!</v>
      </c>
      <c r="CC213" s="6" t="e">
        <f t="shared" ca="1" si="221"/>
        <v>#DIV/0!</v>
      </c>
      <c r="CD213" s="9">
        <f t="shared" si="222"/>
        <v>-50</v>
      </c>
      <c r="CE213" s="9">
        <f t="shared" si="223"/>
        <v>0</v>
      </c>
      <c r="CF213" s="6">
        <f t="shared" si="224"/>
        <v>3.1415926535897931</v>
      </c>
      <c r="CG213" s="6"/>
      <c r="CH213" s="6"/>
      <c r="CI213" s="6"/>
      <c r="CJ213" s="1"/>
      <c r="CK213" s="6"/>
    </row>
    <row r="214" spans="55:89" x14ac:dyDescent="0.25">
      <c r="BC214"/>
      <c r="BD214"/>
      <c r="BF214" s="6" t="e">
        <f t="shared" si="211"/>
        <v>#N/A</v>
      </c>
      <c r="BG214" s="6" t="e">
        <f t="shared" si="212"/>
        <v>#N/A</v>
      </c>
      <c r="BH214" s="6" t="e">
        <f t="shared" si="213"/>
        <v>#N/A</v>
      </c>
      <c r="BI214" s="6" t="e">
        <f t="shared" si="214"/>
        <v>#N/A</v>
      </c>
      <c r="BV214" s="38"/>
      <c r="BW214" s="6" t="e">
        <f t="shared" si="215"/>
        <v>#N/A</v>
      </c>
      <c r="BX214" s="9">
        <f t="shared" ca="1" si="216"/>
        <v>-156.7666765884093</v>
      </c>
      <c r="BY214" s="9">
        <f t="shared" ca="1" si="217"/>
        <v>84.412825855297342</v>
      </c>
      <c r="BZ214" s="9">
        <f t="shared" ca="1" si="218"/>
        <v>0</v>
      </c>
      <c r="CA214" s="6">
        <f t="shared" ca="1" si="219"/>
        <v>0</v>
      </c>
      <c r="CB214" s="6" t="e">
        <f t="shared" ca="1" si="220"/>
        <v>#DIV/0!</v>
      </c>
      <c r="CC214" s="6" t="e">
        <f t="shared" ca="1" si="221"/>
        <v>#DIV/0!</v>
      </c>
      <c r="CD214" s="9">
        <f t="shared" si="222"/>
        <v>-50</v>
      </c>
      <c r="CE214" s="9">
        <f t="shared" si="223"/>
        <v>0</v>
      </c>
      <c r="CF214" s="6">
        <f t="shared" si="224"/>
        <v>3.1415926535897931</v>
      </c>
      <c r="CG214" s="6"/>
      <c r="CH214" s="6"/>
      <c r="CI214" s="6"/>
      <c r="CJ214" s="1"/>
      <c r="CK214" s="6"/>
    </row>
    <row r="215" spans="55:89" x14ac:dyDescent="0.25">
      <c r="BC215"/>
      <c r="BD215"/>
      <c r="BF215" s="6" t="e">
        <f t="shared" si="211"/>
        <v>#N/A</v>
      </c>
      <c r="BG215" s="6" t="e">
        <f t="shared" si="212"/>
        <v>#N/A</v>
      </c>
      <c r="BH215" s="6" t="e">
        <f t="shared" si="213"/>
        <v>#N/A</v>
      </c>
      <c r="BI215" s="6" t="e">
        <f t="shared" si="214"/>
        <v>#N/A</v>
      </c>
      <c r="BV215" s="38"/>
      <c r="BW215" s="6" t="e">
        <f t="shared" si="215"/>
        <v>#N/A</v>
      </c>
      <c r="BX215" s="9">
        <f t="shared" ca="1" si="216"/>
        <v>-156.7666765884093</v>
      </c>
      <c r="BY215" s="9">
        <f t="shared" ca="1" si="217"/>
        <v>84.412825855297342</v>
      </c>
      <c r="BZ215" s="9">
        <f t="shared" ca="1" si="218"/>
        <v>0</v>
      </c>
      <c r="CA215" s="6">
        <f t="shared" ca="1" si="219"/>
        <v>0</v>
      </c>
      <c r="CB215" s="6" t="e">
        <f t="shared" ca="1" si="220"/>
        <v>#DIV/0!</v>
      </c>
      <c r="CC215" s="6" t="e">
        <f t="shared" ca="1" si="221"/>
        <v>#DIV/0!</v>
      </c>
      <c r="CD215" s="9">
        <f t="shared" si="222"/>
        <v>-50</v>
      </c>
      <c r="CE215" s="9">
        <f t="shared" si="223"/>
        <v>0</v>
      </c>
      <c r="CF215" s="6">
        <f t="shared" si="224"/>
        <v>3.1415926535897931</v>
      </c>
      <c r="CG215" s="6"/>
      <c r="CH215" s="6"/>
      <c r="CI215" s="6"/>
      <c r="CJ215" s="1"/>
      <c r="CK215" s="6"/>
    </row>
    <row r="216" spans="55:89" x14ac:dyDescent="0.25">
      <c r="BC216"/>
      <c r="BD216"/>
      <c r="BF216" s="6" t="e">
        <f t="shared" si="211"/>
        <v>#N/A</v>
      </c>
      <c r="BG216" s="6" t="e">
        <f t="shared" si="212"/>
        <v>#N/A</v>
      </c>
      <c r="BH216" s="6" t="e">
        <f t="shared" si="213"/>
        <v>#N/A</v>
      </c>
      <c r="BI216" s="6" t="e">
        <f t="shared" si="214"/>
        <v>#N/A</v>
      </c>
      <c r="BV216" s="38"/>
      <c r="BW216" s="6" t="e">
        <f t="shared" si="215"/>
        <v>#N/A</v>
      </c>
      <c r="BX216" s="9">
        <f t="shared" ca="1" si="216"/>
        <v>-156.7666765884093</v>
      </c>
      <c r="BY216" s="9">
        <f t="shared" ca="1" si="217"/>
        <v>84.412825855297342</v>
      </c>
      <c r="BZ216" s="9">
        <f t="shared" ca="1" si="218"/>
        <v>0</v>
      </c>
      <c r="CA216" s="6">
        <f t="shared" ca="1" si="219"/>
        <v>0</v>
      </c>
      <c r="CB216" s="6" t="e">
        <f t="shared" ca="1" si="220"/>
        <v>#DIV/0!</v>
      </c>
      <c r="CC216" s="6" t="e">
        <f t="shared" ca="1" si="221"/>
        <v>#DIV/0!</v>
      </c>
      <c r="CD216" s="9">
        <f t="shared" si="222"/>
        <v>-50</v>
      </c>
      <c r="CE216" s="9">
        <f t="shared" si="223"/>
        <v>0</v>
      </c>
      <c r="CF216" s="6">
        <f t="shared" si="224"/>
        <v>3.1415926535897931</v>
      </c>
      <c r="CG216" s="6"/>
      <c r="CH216" s="6"/>
      <c r="CI216" s="6"/>
      <c r="CJ216" s="1"/>
      <c r="CK216" s="6"/>
    </row>
    <row r="217" spans="55:89" x14ac:dyDescent="0.25">
      <c r="BC217"/>
      <c r="BD217"/>
      <c r="BF217" s="6" t="e">
        <f t="shared" si="211"/>
        <v>#N/A</v>
      </c>
      <c r="BG217" s="6" t="e">
        <f t="shared" si="212"/>
        <v>#N/A</v>
      </c>
      <c r="BH217" s="6" t="e">
        <f t="shared" si="213"/>
        <v>#N/A</v>
      </c>
      <c r="BI217" s="6" t="e">
        <f t="shared" si="214"/>
        <v>#N/A</v>
      </c>
      <c r="BV217" s="38"/>
      <c r="BW217" s="6" t="e">
        <f t="shared" si="215"/>
        <v>#N/A</v>
      </c>
      <c r="BX217" s="9">
        <f t="shared" ca="1" si="216"/>
        <v>-156.7666765884093</v>
      </c>
      <c r="BY217" s="9">
        <f t="shared" ca="1" si="217"/>
        <v>84.412825855297342</v>
      </c>
      <c r="BZ217" s="9">
        <f t="shared" ca="1" si="218"/>
        <v>0</v>
      </c>
      <c r="CA217" s="6">
        <f t="shared" ca="1" si="219"/>
        <v>0</v>
      </c>
      <c r="CB217" s="6" t="e">
        <f t="shared" ca="1" si="220"/>
        <v>#DIV/0!</v>
      </c>
      <c r="CC217" s="6" t="e">
        <f t="shared" ca="1" si="221"/>
        <v>#DIV/0!</v>
      </c>
      <c r="CD217" s="9">
        <f t="shared" si="222"/>
        <v>-50</v>
      </c>
      <c r="CE217" s="9">
        <f t="shared" si="223"/>
        <v>0</v>
      </c>
      <c r="CF217" s="6">
        <f t="shared" si="224"/>
        <v>3.1415926535897931</v>
      </c>
      <c r="CG217" s="6"/>
      <c r="CH217" s="6"/>
      <c r="CI217" s="6"/>
      <c r="CJ217" s="1"/>
      <c r="CK217" s="6"/>
    </row>
    <row r="218" spans="55:89" x14ac:dyDescent="0.25">
      <c r="BC218"/>
      <c r="BD218"/>
      <c r="BF218" s="6" t="e">
        <f t="shared" si="211"/>
        <v>#N/A</v>
      </c>
      <c r="BG218" s="6" t="e">
        <f t="shared" si="212"/>
        <v>#N/A</v>
      </c>
      <c r="BH218" s="6" t="e">
        <f t="shared" si="213"/>
        <v>#N/A</v>
      </c>
      <c r="BI218" s="6" t="e">
        <f t="shared" si="214"/>
        <v>#N/A</v>
      </c>
      <c r="BV218" s="38"/>
      <c r="BW218" s="6" t="e">
        <f t="shared" si="215"/>
        <v>#N/A</v>
      </c>
      <c r="BX218" s="9">
        <f t="shared" ca="1" si="216"/>
        <v>-156.7666765884093</v>
      </c>
      <c r="BY218" s="9">
        <f t="shared" ca="1" si="217"/>
        <v>84.412825855297342</v>
      </c>
      <c r="BZ218" s="9">
        <f t="shared" ca="1" si="218"/>
        <v>0</v>
      </c>
      <c r="CA218" s="6">
        <f t="shared" ca="1" si="219"/>
        <v>0</v>
      </c>
      <c r="CB218" s="6" t="e">
        <f t="shared" ca="1" si="220"/>
        <v>#DIV/0!</v>
      </c>
      <c r="CC218" s="6" t="e">
        <f t="shared" ca="1" si="221"/>
        <v>#DIV/0!</v>
      </c>
      <c r="CD218" s="9">
        <f t="shared" si="222"/>
        <v>-50</v>
      </c>
      <c r="CE218" s="9">
        <f t="shared" si="223"/>
        <v>0</v>
      </c>
      <c r="CF218" s="6">
        <f t="shared" si="224"/>
        <v>3.1415926535897931</v>
      </c>
      <c r="CG218" s="6"/>
      <c r="CH218" s="6"/>
      <c r="CI218" s="6"/>
      <c r="CJ218" s="1"/>
      <c r="CK218" s="6"/>
    </row>
    <row r="219" spans="55:89" x14ac:dyDescent="0.25">
      <c r="BC219"/>
      <c r="BD219"/>
      <c r="BF219" s="6" t="e">
        <f t="shared" si="211"/>
        <v>#N/A</v>
      </c>
      <c r="BG219" s="6" t="e">
        <f t="shared" si="212"/>
        <v>#N/A</v>
      </c>
      <c r="BH219" s="6" t="e">
        <f t="shared" si="213"/>
        <v>#N/A</v>
      </c>
      <c r="BI219" s="6" t="e">
        <f t="shared" si="214"/>
        <v>#N/A</v>
      </c>
      <c r="BV219" s="38"/>
      <c r="BW219" s="6" t="e">
        <f t="shared" si="215"/>
        <v>#N/A</v>
      </c>
      <c r="BX219" s="9">
        <f t="shared" ca="1" si="216"/>
        <v>-156.7666765884093</v>
      </c>
      <c r="BY219" s="9">
        <f t="shared" ca="1" si="217"/>
        <v>84.412825855297342</v>
      </c>
      <c r="BZ219" s="9">
        <f t="shared" ca="1" si="218"/>
        <v>0</v>
      </c>
      <c r="CA219" s="6">
        <f t="shared" ca="1" si="219"/>
        <v>0</v>
      </c>
      <c r="CB219" s="6" t="e">
        <f t="shared" ca="1" si="220"/>
        <v>#DIV/0!</v>
      </c>
      <c r="CC219" s="6" t="e">
        <f t="shared" ca="1" si="221"/>
        <v>#DIV/0!</v>
      </c>
      <c r="CD219" s="9">
        <f t="shared" si="222"/>
        <v>-50</v>
      </c>
      <c r="CE219" s="9">
        <f t="shared" si="223"/>
        <v>0</v>
      </c>
      <c r="CF219" s="6">
        <f t="shared" si="224"/>
        <v>3.1415926535897931</v>
      </c>
      <c r="CG219" s="6"/>
      <c r="CH219" s="6"/>
      <c r="CI219" s="6"/>
      <c r="CJ219" s="1"/>
      <c r="CK219" s="6"/>
    </row>
    <row r="220" spans="55:89" x14ac:dyDescent="0.25">
      <c r="BC220"/>
      <c r="BD220"/>
      <c r="BF220" s="6" t="e">
        <f t="shared" si="211"/>
        <v>#N/A</v>
      </c>
      <c r="BG220" s="6" t="e">
        <f t="shared" si="212"/>
        <v>#N/A</v>
      </c>
      <c r="BH220" s="6" t="e">
        <f t="shared" si="213"/>
        <v>#N/A</v>
      </c>
      <c r="BI220" s="6" t="e">
        <f t="shared" si="214"/>
        <v>#N/A</v>
      </c>
      <c r="BV220" s="38"/>
      <c r="BW220" s="6" t="e">
        <f t="shared" si="215"/>
        <v>#N/A</v>
      </c>
      <c r="BX220" s="9">
        <f t="shared" ca="1" si="216"/>
        <v>-156.7666765884093</v>
      </c>
      <c r="BY220" s="9">
        <f t="shared" ca="1" si="217"/>
        <v>84.412825855297342</v>
      </c>
      <c r="BZ220" s="9">
        <f t="shared" ca="1" si="218"/>
        <v>0</v>
      </c>
      <c r="CA220" s="6">
        <f t="shared" ca="1" si="219"/>
        <v>0</v>
      </c>
      <c r="CB220" s="6" t="e">
        <f t="shared" ca="1" si="220"/>
        <v>#DIV/0!</v>
      </c>
      <c r="CC220" s="6" t="e">
        <f t="shared" ca="1" si="221"/>
        <v>#DIV/0!</v>
      </c>
      <c r="CD220" s="9">
        <f t="shared" si="222"/>
        <v>-50</v>
      </c>
      <c r="CE220" s="9">
        <f t="shared" si="223"/>
        <v>0</v>
      </c>
      <c r="CF220" s="6">
        <f t="shared" si="224"/>
        <v>3.1415926535897931</v>
      </c>
      <c r="CG220" s="6"/>
      <c r="CH220" s="6"/>
      <c r="CI220" s="6"/>
      <c r="CJ220" s="1"/>
      <c r="CK220" s="6"/>
    </row>
    <row r="221" spans="55:89" x14ac:dyDescent="0.25">
      <c r="BC221"/>
      <c r="BD221"/>
      <c r="BF221" s="6" t="e">
        <f t="shared" si="211"/>
        <v>#N/A</v>
      </c>
      <c r="BG221" s="6" t="e">
        <f t="shared" si="212"/>
        <v>#N/A</v>
      </c>
      <c r="BH221" s="6" t="e">
        <f t="shared" si="213"/>
        <v>#N/A</v>
      </c>
      <c r="BI221" s="6" t="e">
        <f t="shared" si="214"/>
        <v>#N/A</v>
      </c>
      <c r="BV221" s="38"/>
      <c r="BW221" s="6" t="e">
        <f t="shared" si="215"/>
        <v>#N/A</v>
      </c>
      <c r="BX221" s="9">
        <f t="shared" ca="1" si="216"/>
        <v>-156.7666765884093</v>
      </c>
      <c r="BY221" s="9">
        <f t="shared" ca="1" si="217"/>
        <v>84.412825855297342</v>
      </c>
      <c r="BZ221" s="9">
        <f t="shared" ca="1" si="218"/>
        <v>0</v>
      </c>
      <c r="CA221" s="6">
        <f t="shared" ca="1" si="219"/>
        <v>0</v>
      </c>
      <c r="CB221" s="6" t="e">
        <f t="shared" ca="1" si="220"/>
        <v>#DIV/0!</v>
      </c>
      <c r="CC221" s="6" t="e">
        <f t="shared" ca="1" si="221"/>
        <v>#DIV/0!</v>
      </c>
      <c r="CD221" s="9">
        <f t="shared" si="222"/>
        <v>-50</v>
      </c>
      <c r="CE221" s="9">
        <f t="shared" si="223"/>
        <v>0</v>
      </c>
      <c r="CF221" s="6">
        <f t="shared" si="224"/>
        <v>3.1415926535897931</v>
      </c>
      <c r="CG221" s="6"/>
      <c r="CH221" s="6"/>
      <c r="CI221" s="6"/>
      <c r="CJ221" s="1"/>
      <c r="CK221" s="6"/>
    </row>
    <row r="222" spans="55:89" x14ac:dyDescent="0.25">
      <c r="BC222"/>
      <c r="BD222"/>
      <c r="BF222" s="6" t="e">
        <f t="shared" si="211"/>
        <v>#N/A</v>
      </c>
      <c r="BG222" s="6" t="e">
        <f t="shared" si="212"/>
        <v>#N/A</v>
      </c>
      <c r="BH222" s="6" t="e">
        <f t="shared" si="213"/>
        <v>#N/A</v>
      </c>
      <c r="BI222" s="6" t="e">
        <f t="shared" si="214"/>
        <v>#N/A</v>
      </c>
      <c r="BV222" s="38"/>
      <c r="BW222" s="6" t="e">
        <f t="shared" si="215"/>
        <v>#N/A</v>
      </c>
      <c r="BX222" s="9">
        <f t="shared" ca="1" si="216"/>
        <v>-156.7666765884093</v>
      </c>
      <c r="BY222" s="9">
        <f t="shared" ca="1" si="217"/>
        <v>84.412825855297342</v>
      </c>
      <c r="BZ222" s="9">
        <f t="shared" ca="1" si="218"/>
        <v>0</v>
      </c>
      <c r="CA222" s="6">
        <f t="shared" ca="1" si="219"/>
        <v>0</v>
      </c>
      <c r="CB222" s="6" t="e">
        <f t="shared" ca="1" si="220"/>
        <v>#DIV/0!</v>
      </c>
      <c r="CC222" s="6" t="e">
        <f t="shared" ca="1" si="221"/>
        <v>#DIV/0!</v>
      </c>
      <c r="CD222" s="9">
        <f t="shared" si="222"/>
        <v>-50</v>
      </c>
      <c r="CE222" s="9">
        <f t="shared" si="223"/>
        <v>0</v>
      </c>
      <c r="CF222" s="6">
        <f t="shared" si="224"/>
        <v>3.1415926535897931</v>
      </c>
      <c r="CG222" s="6"/>
      <c r="CH222" s="6"/>
      <c r="CI222" s="6"/>
      <c r="CJ222" s="1"/>
      <c r="CK222" s="6"/>
    </row>
    <row r="223" spans="55:89" x14ac:dyDescent="0.25">
      <c r="BC223"/>
      <c r="BD223"/>
      <c r="BF223" s="6" t="e">
        <f t="shared" si="211"/>
        <v>#N/A</v>
      </c>
      <c r="BG223" s="6" t="e">
        <f t="shared" si="212"/>
        <v>#N/A</v>
      </c>
      <c r="BH223" s="6" t="e">
        <f t="shared" si="213"/>
        <v>#N/A</v>
      </c>
      <c r="BI223" s="6" t="e">
        <f t="shared" si="214"/>
        <v>#N/A</v>
      </c>
      <c r="BV223" s="38"/>
      <c r="BW223" s="6" t="e">
        <f t="shared" si="215"/>
        <v>#N/A</v>
      </c>
      <c r="BX223" s="9">
        <f t="shared" ca="1" si="216"/>
        <v>-156.7666765884093</v>
      </c>
      <c r="BY223" s="9">
        <f t="shared" ca="1" si="217"/>
        <v>84.412825855297342</v>
      </c>
      <c r="BZ223" s="9">
        <f t="shared" ca="1" si="218"/>
        <v>0</v>
      </c>
      <c r="CA223" s="6">
        <f t="shared" ca="1" si="219"/>
        <v>0</v>
      </c>
      <c r="CB223" s="6" t="e">
        <f t="shared" ca="1" si="220"/>
        <v>#DIV/0!</v>
      </c>
      <c r="CC223" s="6" t="e">
        <f t="shared" ca="1" si="221"/>
        <v>#DIV/0!</v>
      </c>
      <c r="CD223" s="9">
        <f t="shared" si="222"/>
        <v>-50</v>
      </c>
      <c r="CE223" s="9">
        <f t="shared" si="223"/>
        <v>0</v>
      </c>
      <c r="CF223" s="6">
        <f t="shared" si="224"/>
        <v>3.1415926535897931</v>
      </c>
      <c r="CG223" s="6"/>
      <c r="CH223" s="6"/>
      <c r="CI223" s="6"/>
      <c r="CJ223" s="1"/>
      <c r="CK223" s="6"/>
    </row>
    <row r="224" spans="55:89" x14ac:dyDescent="0.25">
      <c r="BC224"/>
      <c r="BD224"/>
      <c r="BF224" s="6" t="e">
        <f t="shared" si="211"/>
        <v>#N/A</v>
      </c>
      <c r="BG224" s="6" t="e">
        <f t="shared" si="212"/>
        <v>#N/A</v>
      </c>
      <c r="BH224" s="6" t="e">
        <f t="shared" si="213"/>
        <v>#N/A</v>
      </c>
      <c r="BI224" s="6" t="e">
        <f t="shared" si="214"/>
        <v>#N/A</v>
      </c>
      <c r="BV224" s="38"/>
      <c r="BW224" s="6" t="e">
        <f t="shared" si="215"/>
        <v>#N/A</v>
      </c>
      <c r="BX224" s="9">
        <f t="shared" ca="1" si="216"/>
        <v>-156.7666765884093</v>
      </c>
      <c r="BY224" s="9">
        <f t="shared" ca="1" si="217"/>
        <v>84.412825855297342</v>
      </c>
      <c r="BZ224" s="9">
        <f t="shared" ca="1" si="218"/>
        <v>0</v>
      </c>
      <c r="CA224" s="6">
        <f t="shared" ca="1" si="219"/>
        <v>0</v>
      </c>
      <c r="CB224" s="6" t="e">
        <f t="shared" ca="1" si="220"/>
        <v>#DIV/0!</v>
      </c>
      <c r="CC224" s="6" t="e">
        <f t="shared" ca="1" si="221"/>
        <v>#DIV/0!</v>
      </c>
      <c r="CD224" s="9">
        <f t="shared" si="222"/>
        <v>-50</v>
      </c>
      <c r="CE224" s="9">
        <f t="shared" si="223"/>
        <v>0</v>
      </c>
      <c r="CF224" s="6">
        <f t="shared" si="224"/>
        <v>3.1415926535897931</v>
      </c>
      <c r="CG224" s="6"/>
      <c r="CH224" s="6"/>
      <c r="CI224" s="6"/>
      <c r="CJ224" s="1"/>
      <c r="CK224" s="6"/>
    </row>
    <row r="225" spans="55:89" x14ac:dyDescent="0.25">
      <c r="BC225"/>
      <c r="BD225"/>
      <c r="BF225" s="6" t="e">
        <f t="shared" si="211"/>
        <v>#N/A</v>
      </c>
      <c r="BG225" s="6" t="e">
        <f t="shared" si="212"/>
        <v>#N/A</v>
      </c>
      <c r="BH225" s="6" t="e">
        <f t="shared" si="213"/>
        <v>#N/A</v>
      </c>
      <c r="BI225" s="6" t="e">
        <f t="shared" si="214"/>
        <v>#N/A</v>
      </c>
      <c r="BV225" s="38"/>
      <c r="BW225" s="6" t="e">
        <f t="shared" si="215"/>
        <v>#N/A</v>
      </c>
      <c r="BX225" s="9">
        <f t="shared" ca="1" si="216"/>
        <v>-156.7666765884093</v>
      </c>
      <c r="BY225" s="9">
        <f t="shared" ca="1" si="217"/>
        <v>84.412825855297342</v>
      </c>
      <c r="BZ225" s="9">
        <f t="shared" ca="1" si="218"/>
        <v>0</v>
      </c>
      <c r="CA225" s="6">
        <f t="shared" ca="1" si="219"/>
        <v>0</v>
      </c>
      <c r="CB225" s="6" t="e">
        <f t="shared" ca="1" si="220"/>
        <v>#DIV/0!</v>
      </c>
      <c r="CC225" s="6" t="e">
        <f t="shared" ca="1" si="221"/>
        <v>#DIV/0!</v>
      </c>
      <c r="CD225" s="9">
        <f t="shared" si="222"/>
        <v>-50</v>
      </c>
      <c r="CE225" s="9">
        <f t="shared" si="223"/>
        <v>0</v>
      </c>
      <c r="CF225" s="6">
        <f t="shared" si="224"/>
        <v>3.1415926535897931</v>
      </c>
      <c r="CG225" s="6"/>
      <c r="CH225" s="6"/>
      <c r="CI225" s="6"/>
      <c r="CJ225" s="1"/>
      <c r="CK225" s="6"/>
    </row>
    <row r="226" spans="55:89" x14ac:dyDescent="0.25">
      <c r="BC226"/>
      <c r="BD226"/>
      <c r="BF226" s="6" t="e">
        <f t="shared" si="211"/>
        <v>#N/A</v>
      </c>
      <c r="BG226" s="6" t="e">
        <f t="shared" si="212"/>
        <v>#N/A</v>
      </c>
      <c r="BH226" s="6" t="e">
        <f t="shared" si="213"/>
        <v>#N/A</v>
      </c>
      <c r="BI226" s="6" t="e">
        <f t="shared" si="214"/>
        <v>#N/A</v>
      </c>
      <c r="BV226" s="38"/>
      <c r="BW226" s="6" t="e">
        <f t="shared" si="215"/>
        <v>#N/A</v>
      </c>
      <c r="BX226" s="9">
        <f t="shared" ca="1" si="216"/>
        <v>-156.7666765884093</v>
      </c>
      <c r="BY226" s="9">
        <f t="shared" ca="1" si="217"/>
        <v>84.412825855297342</v>
      </c>
      <c r="BZ226" s="9">
        <f t="shared" ca="1" si="218"/>
        <v>0</v>
      </c>
      <c r="CA226" s="6">
        <f t="shared" ca="1" si="219"/>
        <v>0</v>
      </c>
      <c r="CB226" s="6" t="e">
        <f t="shared" ca="1" si="220"/>
        <v>#DIV/0!</v>
      </c>
      <c r="CC226" s="6" t="e">
        <f t="shared" ca="1" si="221"/>
        <v>#DIV/0!</v>
      </c>
      <c r="CD226" s="9">
        <f t="shared" si="222"/>
        <v>-50</v>
      </c>
      <c r="CE226" s="9">
        <f t="shared" si="223"/>
        <v>0</v>
      </c>
      <c r="CF226" s="6">
        <f t="shared" si="224"/>
        <v>3.1415926535897931</v>
      </c>
      <c r="CG226" s="6"/>
      <c r="CH226" s="6"/>
      <c r="CI226" s="6"/>
      <c r="CJ226" s="1"/>
      <c r="CK226" s="6"/>
    </row>
    <row r="227" spans="55:89" x14ac:dyDescent="0.25">
      <c r="BC227"/>
      <c r="BD227"/>
      <c r="BF227" s="6" t="e">
        <f t="shared" si="211"/>
        <v>#N/A</v>
      </c>
      <c r="BG227" s="6" t="e">
        <f t="shared" si="212"/>
        <v>#N/A</v>
      </c>
      <c r="BH227" s="6" t="e">
        <f t="shared" si="213"/>
        <v>#N/A</v>
      </c>
      <c r="BI227" s="6" t="e">
        <f t="shared" si="214"/>
        <v>#N/A</v>
      </c>
      <c r="BV227" s="38"/>
      <c r="BW227" s="6" t="e">
        <f t="shared" si="215"/>
        <v>#N/A</v>
      </c>
      <c r="BX227" s="9">
        <f t="shared" ca="1" si="216"/>
        <v>-156.7666765884093</v>
      </c>
      <c r="BY227" s="9">
        <f t="shared" ca="1" si="217"/>
        <v>84.412825855297342</v>
      </c>
      <c r="BZ227" s="9">
        <f t="shared" ca="1" si="218"/>
        <v>0</v>
      </c>
      <c r="CA227" s="6">
        <f t="shared" ca="1" si="219"/>
        <v>0</v>
      </c>
      <c r="CB227" s="6" t="e">
        <f t="shared" ca="1" si="220"/>
        <v>#DIV/0!</v>
      </c>
      <c r="CC227" s="6" t="e">
        <f t="shared" ca="1" si="221"/>
        <v>#DIV/0!</v>
      </c>
      <c r="CD227" s="9">
        <f t="shared" si="222"/>
        <v>-50</v>
      </c>
      <c r="CE227" s="9">
        <f t="shared" si="223"/>
        <v>0</v>
      </c>
      <c r="CF227" s="6">
        <f t="shared" si="224"/>
        <v>3.1415926535897931</v>
      </c>
      <c r="CG227" s="6"/>
      <c r="CH227" s="6"/>
      <c r="CI227" s="6"/>
      <c r="CJ227" s="1"/>
      <c r="CK227" s="6"/>
    </row>
    <row r="228" spans="55:89" x14ac:dyDescent="0.25">
      <c r="BC228"/>
      <c r="BD228"/>
      <c r="BF228" s="6" t="e">
        <f t="shared" si="211"/>
        <v>#N/A</v>
      </c>
      <c r="BG228" s="6" t="e">
        <f t="shared" si="212"/>
        <v>#N/A</v>
      </c>
      <c r="BH228" s="6" t="e">
        <f t="shared" si="213"/>
        <v>#N/A</v>
      </c>
      <c r="BI228" s="6" t="e">
        <f t="shared" si="214"/>
        <v>#N/A</v>
      </c>
      <c r="BV228" s="38"/>
      <c r="BW228" s="6" t="e">
        <f t="shared" si="215"/>
        <v>#N/A</v>
      </c>
      <c r="BX228" s="9">
        <f t="shared" ca="1" si="216"/>
        <v>-156.7666765884093</v>
      </c>
      <c r="BY228" s="9">
        <f t="shared" ca="1" si="217"/>
        <v>84.412825855297342</v>
      </c>
      <c r="BZ228" s="9">
        <f t="shared" ca="1" si="218"/>
        <v>0</v>
      </c>
      <c r="CA228" s="6">
        <f t="shared" ca="1" si="219"/>
        <v>0</v>
      </c>
      <c r="CB228" s="6" t="e">
        <f t="shared" ca="1" si="220"/>
        <v>#DIV/0!</v>
      </c>
      <c r="CC228" s="6" t="e">
        <f t="shared" ca="1" si="221"/>
        <v>#DIV/0!</v>
      </c>
      <c r="CD228" s="9">
        <f t="shared" si="222"/>
        <v>-50</v>
      </c>
      <c r="CE228" s="9">
        <f t="shared" si="223"/>
        <v>0</v>
      </c>
      <c r="CF228" s="6">
        <f t="shared" si="224"/>
        <v>3.1415926535897931</v>
      </c>
      <c r="CG228" s="6"/>
      <c r="CH228" s="6"/>
      <c r="CI228" s="6"/>
      <c r="CJ228" s="1"/>
      <c r="CK228" s="6"/>
    </row>
    <row r="229" spans="55:89" x14ac:dyDescent="0.25">
      <c r="BC229"/>
      <c r="BD229"/>
      <c r="BF229" s="6" t="e">
        <f t="shared" si="211"/>
        <v>#N/A</v>
      </c>
      <c r="BG229" s="6" t="e">
        <f t="shared" si="212"/>
        <v>#N/A</v>
      </c>
      <c r="BH229" s="6" t="e">
        <f t="shared" si="213"/>
        <v>#N/A</v>
      </c>
      <c r="BI229" s="6" t="e">
        <f t="shared" si="214"/>
        <v>#N/A</v>
      </c>
      <c r="BV229" s="38"/>
      <c r="BW229" s="6" t="e">
        <f t="shared" si="215"/>
        <v>#N/A</v>
      </c>
      <c r="BX229" s="9">
        <f t="shared" ca="1" si="216"/>
        <v>-156.7666765884093</v>
      </c>
      <c r="BY229" s="9">
        <f t="shared" ca="1" si="217"/>
        <v>84.412825855297342</v>
      </c>
      <c r="BZ229" s="9">
        <f t="shared" ca="1" si="218"/>
        <v>0</v>
      </c>
      <c r="CA229" s="6">
        <f t="shared" ca="1" si="219"/>
        <v>0</v>
      </c>
      <c r="CB229" s="6" t="e">
        <f t="shared" ca="1" si="220"/>
        <v>#DIV/0!</v>
      </c>
      <c r="CC229" s="6" t="e">
        <f t="shared" ca="1" si="221"/>
        <v>#DIV/0!</v>
      </c>
      <c r="CD229" s="9">
        <f t="shared" si="222"/>
        <v>-50</v>
      </c>
      <c r="CE229" s="9">
        <f t="shared" si="223"/>
        <v>0</v>
      </c>
      <c r="CF229" s="6">
        <f t="shared" si="224"/>
        <v>3.1415926535897931</v>
      </c>
      <c r="CG229" s="6"/>
      <c r="CH229" s="6"/>
      <c r="CI229" s="6"/>
      <c r="CJ229" s="1"/>
      <c r="CK229" s="6"/>
    </row>
    <row r="230" spans="55:89" x14ac:dyDescent="0.25">
      <c r="BC230"/>
      <c r="BD230"/>
      <c r="BF230" s="6" t="e">
        <f t="shared" si="211"/>
        <v>#N/A</v>
      </c>
      <c r="BG230" s="6" t="e">
        <f t="shared" si="212"/>
        <v>#N/A</v>
      </c>
      <c r="BH230" s="6" t="e">
        <f t="shared" si="213"/>
        <v>#N/A</v>
      </c>
      <c r="BI230" s="6" t="e">
        <f t="shared" si="214"/>
        <v>#N/A</v>
      </c>
      <c r="BV230" s="38"/>
      <c r="BW230" s="6" t="e">
        <f t="shared" si="215"/>
        <v>#N/A</v>
      </c>
      <c r="BX230" s="9">
        <f t="shared" ca="1" si="216"/>
        <v>-156.7666765884093</v>
      </c>
      <c r="BY230" s="9">
        <f t="shared" ca="1" si="217"/>
        <v>84.412825855297342</v>
      </c>
      <c r="BZ230" s="9">
        <f t="shared" ca="1" si="218"/>
        <v>0</v>
      </c>
      <c r="CA230" s="6">
        <f t="shared" ca="1" si="219"/>
        <v>0</v>
      </c>
      <c r="CB230" s="6" t="e">
        <f t="shared" ca="1" si="220"/>
        <v>#DIV/0!</v>
      </c>
      <c r="CC230" s="6" t="e">
        <f t="shared" ca="1" si="221"/>
        <v>#DIV/0!</v>
      </c>
      <c r="CD230" s="9">
        <f t="shared" si="222"/>
        <v>-50</v>
      </c>
      <c r="CE230" s="9">
        <f t="shared" si="223"/>
        <v>0</v>
      </c>
      <c r="CF230" s="6">
        <f t="shared" si="224"/>
        <v>3.1415926535897931</v>
      </c>
      <c r="CG230" s="6"/>
      <c r="CH230" s="6"/>
      <c r="CI230" s="6"/>
      <c r="CJ230" s="1"/>
      <c r="CK230" s="6"/>
    </row>
    <row r="231" spans="55:89" x14ac:dyDescent="0.25">
      <c r="BC231"/>
      <c r="BD231"/>
      <c r="BF231" s="6" t="e">
        <f t="shared" si="211"/>
        <v>#N/A</v>
      </c>
      <c r="BG231" s="6" t="e">
        <f t="shared" si="212"/>
        <v>#N/A</v>
      </c>
      <c r="BH231" s="6" t="e">
        <f t="shared" si="213"/>
        <v>#N/A</v>
      </c>
      <c r="BI231" s="6" t="e">
        <f t="shared" si="214"/>
        <v>#N/A</v>
      </c>
      <c r="BV231" s="38"/>
      <c r="BW231" s="6" t="e">
        <f t="shared" si="215"/>
        <v>#N/A</v>
      </c>
      <c r="BX231" s="9">
        <f t="shared" ca="1" si="216"/>
        <v>-156.7666765884093</v>
      </c>
      <c r="BY231" s="9">
        <f t="shared" ca="1" si="217"/>
        <v>84.412825855297342</v>
      </c>
      <c r="BZ231" s="9">
        <f t="shared" ca="1" si="218"/>
        <v>0</v>
      </c>
      <c r="CA231" s="6">
        <f t="shared" ca="1" si="219"/>
        <v>0</v>
      </c>
      <c r="CB231" s="6" t="e">
        <f t="shared" ca="1" si="220"/>
        <v>#DIV/0!</v>
      </c>
      <c r="CC231" s="6" t="e">
        <f t="shared" ca="1" si="221"/>
        <v>#DIV/0!</v>
      </c>
      <c r="CD231" s="9">
        <f t="shared" si="222"/>
        <v>-50</v>
      </c>
      <c r="CE231" s="9">
        <f t="shared" si="223"/>
        <v>0</v>
      </c>
      <c r="CF231" s="6">
        <f t="shared" si="224"/>
        <v>3.1415926535897931</v>
      </c>
      <c r="CG231" s="6"/>
      <c r="CH231" s="6"/>
      <c r="CI231" s="6"/>
      <c r="CJ231" s="1"/>
      <c r="CK231" s="6"/>
    </row>
    <row r="232" spans="55:89" x14ac:dyDescent="0.25">
      <c r="BC232"/>
      <c r="BD232"/>
      <c r="BF232" s="6" t="e">
        <f t="shared" si="211"/>
        <v>#N/A</v>
      </c>
      <c r="BG232" s="6" t="e">
        <f t="shared" si="212"/>
        <v>#N/A</v>
      </c>
      <c r="BH232" s="6" t="e">
        <f t="shared" si="213"/>
        <v>#N/A</v>
      </c>
      <c r="BI232" s="6" t="e">
        <f t="shared" si="214"/>
        <v>#N/A</v>
      </c>
      <c r="BV232" s="38"/>
      <c r="BW232" s="6" t="e">
        <f t="shared" si="215"/>
        <v>#N/A</v>
      </c>
      <c r="BX232" s="9">
        <f t="shared" ca="1" si="216"/>
        <v>-156.7666765884093</v>
      </c>
      <c r="BY232" s="9">
        <f t="shared" ca="1" si="217"/>
        <v>84.412825855297342</v>
      </c>
      <c r="BZ232" s="9">
        <f t="shared" ca="1" si="218"/>
        <v>0</v>
      </c>
      <c r="CA232" s="6">
        <f t="shared" ca="1" si="219"/>
        <v>0</v>
      </c>
      <c r="CB232" s="6" t="e">
        <f t="shared" ca="1" si="220"/>
        <v>#DIV/0!</v>
      </c>
      <c r="CC232" s="6" t="e">
        <f t="shared" ca="1" si="221"/>
        <v>#DIV/0!</v>
      </c>
      <c r="CD232" s="9">
        <f t="shared" si="222"/>
        <v>-50</v>
      </c>
      <c r="CE232" s="9">
        <f t="shared" si="223"/>
        <v>0</v>
      </c>
      <c r="CF232" s="6">
        <f t="shared" si="224"/>
        <v>3.1415926535897931</v>
      </c>
      <c r="CG232" s="6"/>
      <c r="CH232" s="6"/>
      <c r="CI232" s="6"/>
      <c r="CJ232" s="1"/>
      <c r="CK232" s="6"/>
    </row>
    <row r="233" spans="55:89" x14ac:dyDescent="0.25">
      <c r="BC233"/>
      <c r="BD233"/>
      <c r="BF233" s="6" t="e">
        <f t="shared" si="211"/>
        <v>#N/A</v>
      </c>
      <c r="BG233" s="6" t="e">
        <f t="shared" si="212"/>
        <v>#N/A</v>
      </c>
      <c r="BH233" s="6" t="e">
        <f t="shared" si="213"/>
        <v>#N/A</v>
      </c>
      <c r="BI233" s="6" t="e">
        <f t="shared" si="214"/>
        <v>#N/A</v>
      </c>
      <c r="BV233" s="38"/>
      <c r="BW233" s="6" t="e">
        <f t="shared" si="215"/>
        <v>#N/A</v>
      </c>
      <c r="BX233" s="9">
        <f t="shared" ca="1" si="216"/>
        <v>-156.7666765884093</v>
      </c>
      <c r="BY233" s="9">
        <f t="shared" ca="1" si="217"/>
        <v>84.412825855297342</v>
      </c>
      <c r="BZ233" s="9">
        <f t="shared" ca="1" si="218"/>
        <v>0</v>
      </c>
      <c r="CA233" s="6">
        <f t="shared" ca="1" si="219"/>
        <v>0</v>
      </c>
      <c r="CB233" s="6" t="e">
        <f t="shared" ca="1" si="220"/>
        <v>#DIV/0!</v>
      </c>
      <c r="CC233" s="6" t="e">
        <f t="shared" ca="1" si="221"/>
        <v>#DIV/0!</v>
      </c>
      <c r="CD233" s="9">
        <f t="shared" si="222"/>
        <v>-50</v>
      </c>
      <c r="CE233" s="9">
        <f t="shared" si="223"/>
        <v>0</v>
      </c>
      <c r="CF233" s="6">
        <f t="shared" si="224"/>
        <v>3.1415926535897931</v>
      </c>
      <c r="CG233" s="6"/>
      <c r="CH233" s="6"/>
      <c r="CI233" s="6"/>
      <c r="CJ233" s="1"/>
      <c r="CK233" s="6"/>
    </row>
    <row r="234" spans="55:89" x14ac:dyDescent="0.25">
      <c r="BC234"/>
      <c r="BD234"/>
      <c r="BF234" s="6" t="e">
        <f t="shared" si="211"/>
        <v>#N/A</v>
      </c>
      <c r="BG234" s="6" t="e">
        <f t="shared" si="212"/>
        <v>#N/A</v>
      </c>
      <c r="BH234" s="6" t="e">
        <f t="shared" si="213"/>
        <v>#N/A</v>
      </c>
      <c r="BI234" s="6" t="e">
        <f t="shared" si="214"/>
        <v>#N/A</v>
      </c>
      <c r="BV234" s="38"/>
      <c r="BW234" s="6" t="e">
        <f t="shared" si="215"/>
        <v>#N/A</v>
      </c>
      <c r="BX234" s="9">
        <f t="shared" ca="1" si="216"/>
        <v>-156.7666765884093</v>
      </c>
      <c r="BY234" s="9">
        <f t="shared" ca="1" si="217"/>
        <v>84.412825855297342</v>
      </c>
      <c r="BZ234" s="9">
        <f t="shared" ca="1" si="218"/>
        <v>0</v>
      </c>
      <c r="CA234" s="6">
        <f t="shared" ca="1" si="219"/>
        <v>0</v>
      </c>
      <c r="CB234" s="6" t="e">
        <f t="shared" ca="1" si="220"/>
        <v>#DIV/0!</v>
      </c>
      <c r="CC234" s="6" t="e">
        <f t="shared" ca="1" si="221"/>
        <v>#DIV/0!</v>
      </c>
      <c r="CD234" s="9">
        <f t="shared" si="222"/>
        <v>-50</v>
      </c>
      <c r="CE234" s="9">
        <f t="shared" si="223"/>
        <v>0</v>
      </c>
      <c r="CF234" s="6">
        <f t="shared" si="224"/>
        <v>3.1415926535897931</v>
      </c>
      <c r="CG234" s="6"/>
      <c r="CH234" s="6"/>
      <c r="CI234" s="6"/>
      <c r="CJ234" s="1"/>
      <c r="CK234" s="6"/>
    </row>
    <row r="235" spans="55:89" x14ac:dyDescent="0.25">
      <c r="BC235"/>
      <c r="BD235"/>
      <c r="BF235" s="6" t="e">
        <f t="shared" si="211"/>
        <v>#N/A</v>
      </c>
      <c r="BG235" s="6" t="e">
        <f t="shared" si="212"/>
        <v>#N/A</v>
      </c>
      <c r="BH235" s="6" t="e">
        <f t="shared" si="213"/>
        <v>#N/A</v>
      </c>
      <c r="BI235" s="6" t="e">
        <f t="shared" si="214"/>
        <v>#N/A</v>
      </c>
      <c r="BV235" s="38"/>
      <c r="BW235" s="6" t="e">
        <f t="shared" si="215"/>
        <v>#N/A</v>
      </c>
      <c r="BX235" s="9">
        <f t="shared" ca="1" si="216"/>
        <v>-156.7666765884093</v>
      </c>
      <c r="BY235" s="9">
        <f t="shared" ca="1" si="217"/>
        <v>84.412825855297342</v>
      </c>
      <c r="BZ235" s="9">
        <f t="shared" ca="1" si="218"/>
        <v>0</v>
      </c>
      <c r="CA235" s="6">
        <f t="shared" ca="1" si="219"/>
        <v>0</v>
      </c>
      <c r="CB235" s="6" t="e">
        <f t="shared" ca="1" si="220"/>
        <v>#DIV/0!</v>
      </c>
      <c r="CC235" s="6" t="e">
        <f t="shared" ca="1" si="221"/>
        <v>#DIV/0!</v>
      </c>
      <c r="CD235" s="9">
        <f t="shared" si="222"/>
        <v>-50</v>
      </c>
      <c r="CE235" s="9">
        <f t="shared" si="223"/>
        <v>0</v>
      </c>
      <c r="CF235" s="6">
        <f t="shared" si="224"/>
        <v>3.1415926535897931</v>
      </c>
      <c r="CG235" s="6"/>
      <c r="CH235" s="6"/>
      <c r="CI235" s="6"/>
      <c r="CJ235" s="1"/>
      <c r="CK235" s="6"/>
    </row>
    <row r="236" spans="55:89" x14ac:dyDescent="0.25">
      <c r="BC236"/>
      <c r="BD236"/>
      <c r="BF236" s="6" t="e">
        <f t="shared" si="211"/>
        <v>#N/A</v>
      </c>
      <c r="BG236" s="6" t="e">
        <f t="shared" si="212"/>
        <v>#N/A</v>
      </c>
      <c r="BH236" s="6" t="e">
        <f t="shared" si="213"/>
        <v>#N/A</v>
      </c>
      <c r="BI236" s="6" t="e">
        <f t="shared" si="214"/>
        <v>#N/A</v>
      </c>
      <c r="BV236" s="38"/>
      <c r="BW236" s="6" t="e">
        <f t="shared" si="215"/>
        <v>#N/A</v>
      </c>
      <c r="BX236" s="9">
        <f t="shared" ca="1" si="216"/>
        <v>-156.7666765884093</v>
      </c>
      <c r="BY236" s="9">
        <f t="shared" ca="1" si="217"/>
        <v>84.412825855297342</v>
      </c>
      <c r="BZ236" s="9">
        <f t="shared" ca="1" si="218"/>
        <v>0</v>
      </c>
      <c r="CA236" s="6">
        <f t="shared" ca="1" si="219"/>
        <v>0</v>
      </c>
      <c r="CB236" s="6" t="e">
        <f t="shared" ca="1" si="220"/>
        <v>#DIV/0!</v>
      </c>
      <c r="CC236" s="6" t="e">
        <f t="shared" ca="1" si="221"/>
        <v>#DIV/0!</v>
      </c>
      <c r="CD236" s="9">
        <f t="shared" si="222"/>
        <v>-50</v>
      </c>
      <c r="CE236" s="9">
        <f t="shared" si="223"/>
        <v>0</v>
      </c>
      <c r="CF236" s="6">
        <f t="shared" si="224"/>
        <v>3.1415926535897931</v>
      </c>
      <c r="CG236" s="6"/>
      <c r="CH236" s="6"/>
      <c r="CI236" s="6"/>
      <c r="CJ236" s="1"/>
      <c r="CK236" s="6"/>
    </row>
    <row r="237" spans="55:89" x14ac:dyDescent="0.25">
      <c r="BC237"/>
      <c r="BD237"/>
      <c r="BF237" s="6" t="e">
        <f t="shared" si="211"/>
        <v>#N/A</v>
      </c>
      <c r="BG237" s="6" t="e">
        <f t="shared" si="212"/>
        <v>#N/A</v>
      </c>
      <c r="BH237" s="6" t="e">
        <f t="shared" si="213"/>
        <v>#N/A</v>
      </c>
      <c r="BI237" s="6" t="e">
        <f t="shared" si="214"/>
        <v>#N/A</v>
      </c>
      <c r="BV237" s="38"/>
      <c r="BW237" s="6" t="e">
        <f t="shared" si="215"/>
        <v>#N/A</v>
      </c>
      <c r="BX237" s="9">
        <f t="shared" ca="1" si="216"/>
        <v>-156.7666765884093</v>
      </c>
      <c r="BY237" s="9">
        <f t="shared" ca="1" si="217"/>
        <v>84.412825855297342</v>
      </c>
      <c r="BZ237" s="9">
        <f t="shared" ca="1" si="218"/>
        <v>0</v>
      </c>
      <c r="CA237" s="6">
        <f t="shared" ca="1" si="219"/>
        <v>0</v>
      </c>
      <c r="CB237" s="6" t="e">
        <f t="shared" ca="1" si="220"/>
        <v>#DIV/0!</v>
      </c>
      <c r="CC237" s="6" t="e">
        <f t="shared" ca="1" si="221"/>
        <v>#DIV/0!</v>
      </c>
      <c r="CD237" s="9">
        <f t="shared" si="222"/>
        <v>-50</v>
      </c>
      <c r="CE237" s="9">
        <f t="shared" si="223"/>
        <v>0</v>
      </c>
      <c r="CF237" s="6">
        <f t="shared" si="224"/>
        <v>3.1415926535897931</v>
      </c>
      <c r="CG237" s="6"/>
      <c r="CH237" s="6"/>
      <c r="CI237" s="6"/>
      <c r="CJ237" s="1"/>
      <c r="CK237" s="6"/>
    </row>
    <row r="238" spans="55:89" x14ac:dyDescent="0.25">
      <c r="BC238"/>
      <c r="BD238"/>
      <c r="BF238" s="6" t="e">
        <f t="shared" si="211"/>
        <v>#N/A</v>
      </c>
      <c r="BG238" s="6" t="e">
        <f t="shared" si="212"/>
        <v>#N/A</v>
      </c>
      <c r="BH238" s="6" t="e">
        <f t="shared" si="213"/>
        <v>#N/A</v>
      </c>
      <c r="BI238" s="6" t="e">
        <f t="shared" si="214"/>
        <v>#N/A</v>
      </c>
      <c r="BV238" s="38"/>
      <c r="BW238" s="6" t="e">
        <f t="shared" si="215"/>
        <v>#N/A</v>
      </c>
      <c r="BX238" s="9">
        <f t="shared" ca="1" si="216"/>
        <v>-156.7666765884093</v>
      </c>
      <c r="BY238" s="9">
        <f t="shared" ca="1" si="217"/>
        <v>84.412825855297342</v>
      </c>
      <c r="BZ238" s="9">
        <f t="shared" ca="1" si="218"/>
        <v>0</v>
      </c>
      <c r="CA238" s="6">
        <f t="shared" ca="1" si="219"/>
        <v>0</v>
      </c>
      <c r="CB238" s="6" t="e">
        <f t="shared" ca="1" si="220"/>
        <v>#DIV/0!</v>
      </c>
      <c r="CC238" s="6" t="e">
        <f t="shared" ca="1" si="221"/>
        <v>#DIV/0!</v>
      </c>
      <c r="CD238" s="9">
        <f t="shared" si="222"/>
        <v>-50</v>
      </c>
      <c r="CE238" s="9">
        <f t="shared" si="223"/>
        <v>0</v>
      </c>
      <c r="CF238" s="6">
        <f t="shared" si="224"/>
        <v>3.1415926535897931</v>
      </c>
      <c r="CG238" s="6"/>
      <c r="CH238" s="6"/>
      <c r="CI238" s="6"/>
      <c r="CJ238" s="1"/>
      <c r="CK238" s="6"/>
    </row>
    <row r="239" spans="55:89" x14ac:dyDescent="0.25">
      <c r="BC239"/>
      <c r="BD239"/>
      <c r="BF239" s="6" t="e">
        <f t="shared" si="211"/>
        <v>#N/A</v>
      </c>
      <c r="BG239" s="6" t="e">
        <f t="shared" si="212"/>
        <v>#N/A</v>
      </c>
      <c r="BH239" s="6" t="e">
        <f t="shared" si="213"/>
        <v>#N/A</v>
      </c>
      <c r="BI239" s="6" t="e">
        <f t="shared" si="214"/>
        <v>#N/A</v>
      </c>
      <c r="BV239" s="38"/>
      <c r="BW239" s="6" t="e">
        <f t="shared" si="215"/>
        <v>#N/A</v>
      </c>
      <c r="BX239" s="9">
        <f t="shared" ca="1" si="216"/>
        <v>-156.7666765884093</v>
      </c>
      <c r="BY239" s="9">
        <f t="shared" ca="1" si="217"/>
        <v>84.412825855297342</v>
      </c>
      <c r="BZ239" s="9">
        <f t="shared" ca="1" si="218"/>
        <v>0</v>
      </c>
      <c r="CA239" s="6">
        <f t="shared" ca="1" si="219"/>
        <v>0</v>
      </c>
      <c r="CB239" s="6" t="e">
        <f t="shared" ca="1" si="220"/>
        <v>#DIV/0!</v>
      </c>
      <c r="CC239" s="6" t="e">
        <f t="shared" ca="1" si="221"/>
        <v>#DIV/0!</v>
      </c>
      <c r="CD239" s="9">
        <f t="shared" si="222"/>
        <v>-50</v>
      </c>
      <c r="CE239" s="9">
        <f t="shared" si="223"/>
        <v>0</v>
      </c>
      <c r="CF239" s="6">
        <f t="shared" si="224"/>
        <v>3.1415926535897931</v>
      </c>
      <c r="CG239" s="6"/>
      <c r="CH239" s="6"/>
      <c r="CI239" s="6"/>
      <c r="CJ239" s="1"/>
      <c r="CK239" s="6"/>
    </row>
    <row r="240" spans="55:89" x14ac:dyDescent="0.25">
      <c r="BC240"/>
      <c r="BD240"/>
      <c r="BF240" s="6" t="e">
        <f t="shared" si="211"/>
        <v>#N/A</v>
      </c>
      <c r="BG240" s="6" t="e">
        <f t="shared" si="212"/>
        <v>#N/A</v>
      </c>
      <c r="BH240" s="6" t="e">
        <f t="shared" si="213"/>
        <v>#N/A</v>
      </c>
      <c r="BI240" s="6" t="e">
        <f t="shared" si="214"/>
        <v>#N/A</v>
      </c>
      <c r="BV240" s="38"/>
      <c r="BW240" s="6" t="e">
        <f t="shared" si="215"/>
        <v>#N/A</v>
      </c>
      <c r="BX240" s="9">
        <f t="shared" ca="1" si="216"/>
        <v>-156.7666765884093</v>
      </c>
      <c r="BY240" s="9">
        <f t="shared" ca="1" si="217"/>
        <v>84.412825855297342</v>
      </c>
      <c r="BZ240" s="9">
        <f t="shared" ca="1" si="218"/>
        <v>0</v>
      </c>
      <c r="CA240" s="6">
        <f t="shared" ca="1" si="219"/>
        <v>0</v>
      </c>
      <c r="CB240" s="6" t="e">
        <f t="shared" ca="1" si="220"/>
        <v>#DIV/0!</v>
      </c>
      <c r="CC240" s="6" t="e">
        <f t="shared" ca="1" si="221"/>
        <v>#DIV/0!</v>
      </c>
      <c r="CD240" s="9">
        <f t="shared" si="222"/>
        <v>-50</v>
      </c>
      <c r="CE240" s="9">
        <f t="shared" si="223"/>
        <v>0</v>
      </c>
      <c r="CF240" s="6">
        <f t="shared" si="224"/>
        <v>3.1415926535897931</v>
      </c>
      <c r="CG240" s="6"/>
      <c r="CH240" s="6"/>
      <c r="CI240" s="6"/>
      <c r="CJ240" s="1"/>
      <c r="CK240" s="6"/>
    </row>
    <row r="241" spans="55:89" x14ac:dyDescent="0.25">
      <c r="BC241"/>
      <c r="BD241"/>
      <c r="BF241" s="6" t="e">
        <f t="shared" si="211"/>
        <v>#N/A</v>
      </c>
      <c r="BG241" s="6" t="e">
        <f t="shared" si="212"/>
        <v>#N/A</v>
      </c>
      <c r="BH241" s="6" t="e">
        <f t="shared" si="213"/>
        <v>#N/A</v>
      </c>
      <c r="BI241" s="6" t="e">
        <f t="shared" si="214"/>
        <v>#N/A</v>
      </c>
      <c r="BV241" s="38"/>
      <c r="BW241" s="6" t="e">
        <f t="shared" si="215"/>
        <v>#N/A</v>
      </c>
      <c r="BX241" s="9">
        <f t="shared" ca="1" si="216"/>
        <v>-156.7666765884093</v>
      </c>
      <c r="BY241" s="9">
        <f t="shared" ca="1" si="217"/>
        <v>84.412825855297342</v>
      </c>
      <c r="BZ241" s="9">
        <f t="shared" ca="1" si="218"/>
        <v>0</v>
      </c>
      <c r="CA241" s="6">
        <f t="shared" ca="1" si="219"/>
        <v>0</v>
      </c>
      <c r="CB241" s="6" t="e">
        <f t="shared" ca="1" si="220"/>
        <v>#DIV/0!</v>
      </c>
      <c r="CC241" s="6" t="e">
        <f t="shared" ca="1" si="221"/>
        <v>#DIV/0!</v>
      </c>
      <c r="CD241" s="9">
        <f t="shared" si="222"/>
        <v>-50</v>
      </c>
      <c r="CE241" s="9">
        <f t="shared" si="223"/>
        <v>0</v>
      </c>
      <c r="CF241" s="6">
        <f t="shared" si="224"/>
        <v>3.1415926535897931</v>
      </c>
      <c r="CG241" s="6"/>
      <c r="CH241" s="6"/>
      <c r="CI241" s="6"/>
      <c r="CJ241" s="1"/>
      <c r="CK241" s="6"/>
    </row>
    <row r="242" spans="55:89" x14ac:dyDescent="0.25">
      <c r="BC242"/>
      <c r="BD242"/>
      <c r="BF242" s="6" t="e">
        <f t="shared" si="211"/>
        <v>#N/A</v>
      </c>
      <c r="BG242" s="6" t="e">
        <f t="shared" si="212"/>
        <v>#N/A</v>
      </c>
      <c r="BH242" s="6" t="e">
        <f t="shared" si="213"/>
        <v>#N/A</v>
      </c>
      <c r="BI242" s="6" t="e">
        <f t="shared" si="214"/>
        <v>#N/A</v>
      </c>
      <c r="BV242" s="38"/>
      <c r="BW242" s="6" t="e">
        <f t="shared" si="215"/>
        <v>#N/A</v>
      </c>
      <c r="BX242" s="9">
        <f t="shared" ca="1" si="216"/>
        <v>-156.7666765884093</v>
      </c>
      <c r="BY242" s="9">
        <f t="shared" ca="1" si="217"/>
        <v>84.412825855297342</v>
      </c>
      <c r="BZ242" s="9">
        <f t="shared" ca="1" si="218"/>
        <v>0</v>
      </c>
      <c r="CA242" s="6">
        <f t="shared" ca="1" si="219"/>
        <v>0</v>
      </c>
      <c r="CB242" s="6" t="e">
        <f t="shared" ca="1" si="220"/>
        <v>#DIV/0!</v>
      </c>
      <c r="CC242" s="6" t="e">
        <f t="shared" ca="1" si="221"/>
        <v>#DIV/0!</v>
      </c>
      <c r="CD242" s="9">
        <f t="shared" si="222"/>
        <v>-50</v>
      </c>
      <c r="CE242" s="9">
        <f t="shared" si="223"/>
        <v>0</v>
      </c>
      <c r="CF242" s="6">
        <f t="shared" si="224"/>
        <v>3.1415926535897931</v>
      </c>
      <c r="CG242" s="6"/>
      <c r="CH242" s="6"/>
      <c r="CI242" s="6"/>
      <c r="CJ242" s="1"/>
      <c r="CK242" s="6"/>
    </row>
    <row r="243" spans="55:89" x14ac:dyDescent="0.25">
      <c r="BC243"/>
      <c r="BD243"/>
      <c r="BF243" s="6" t="e">
        <f t="shared" si="211"/>
        <v>#N/A</v>
      </c>
      <c r="BG243" s="6" t="e">
        <f t="shared" si="212"/>
        <v>#N/A</v>
      </c>
      <c r="BH243" s="6" t="e">
        <f t="shared" si="213"/>
        <v>#N/A</v>
      </c>
      <c r="BI243" s="6" t="e">
        <f t="shared" si="214"/>
        <v>#N/A</v>
      </c>
      <c r="BV243" s="38"/>
      <c r="BW243" s="6" t="e">
        <f t="shared" si="215"/>
        <v>#N/A</v>
      </c>
      <c r="BX243" s="9">
        <f t="shared" ca="1" si="216"/>
        <v>-156.7666765884093</v>
      </c>
      <c r="BY243" s="9">
        <f t="shared" ca="1" si="217"/>
        <v>84.412825855297342</v>
      </c>
      <c r="BZ243" s="9">
        <f t="shared" ca="1" si="218"/>
        <v>0</v>
      </c>
      <c r="CA243" s="6">
        <f t="shared" ca="1" si="219"/>
        <v>0</v>
      </c>
      <c r="CB243" s="6" t="e">
        <f t="shared" ca="1" si="220"/>
        <v>#DIV/0!</v>
      </c>
      <c r="CC243" s="6" t="e">
        <f t="shared" ca="1" si="221"/>
        <v>#DIV/0!</v>
      </c>
      <c r="CD243" s="9">
        <f t="shared" si="222"/>
        <v>-50</v>
      </c>
      <c r="CE243" s="9">
        <f t="shared" si="223"/>
        <v>0</v>
      </c>
      <c r="CF243" s="6">
        <f t="shared" si="224"/>
        <v>3.1415926535897931</v>
      </c>
      <c r="CG243" s="6"/>
      <c r="CH243" s="6"/>
      <c r="CI243" s="6"/>
      <c r="CJ243" s="1"/>
      <c r="CK243" s="6"/>
    </row>
    <row r="244" spans="55:89" x14ac:dyDescent="0.25">
      <c r="BC244"/>
      <c r="BD244"/>
      <c r="BF244" s="6" t="e">
        <f t="shared" si="211"/>
        <v>#N/A</v>
      </c>
      <c r="BG244" s="6" t="e">
        <f t="shared" si="212"/>
        <v>#N/A</v>
      </c>
      <c r="BH244" s="6" t="e">
        <f t="shared" si="213"/>
        <v>#N/A</v>
      </c>
      <c r="BI244" s="6" t="e">
        <f t="shared" si="214"/>
        <v>#N/A</v>
      </c>
      <c r="BV244" s="38"/>
      <c r="BW244" s="6" t="e">
        <f t="shared" si="215"/>
        <v>#N/A</v>
      </c>
      <c r="BX244" s="9">
        <f t="shared" ca="1" si="216"/>
        <v>-156.7666765884093</v>
      </c>
      <c r="BY244" s="9">
        <f t="shared" ca="1" si="217"/>
        <v>84.412825855297342</v>
      </c>
      <c r="BZ244" s="9">
        <f t="shared" ca="1" si="218"/>
        <v>0</v>
      </c>
      <c r="CA244" s="6">
        <f t="shared" ca="1" si="219"/>
        <v>0</v>
      </c>
      <c r="CB244" s="6" t="e">
        <f t="shared" ca="1" si="220"/>
        <v>#DIV/0!</v>
      </c>
      <c r="CC244" s="6" t="e">
        <f t="shared" ca="1" si="221"/>
        <v>#DIV/0!</v>
      </c>
      <c r="CD244" s="9">
        <f t="shared" si="222"/>
        <v>-50</v>
      </c>
      <c r="CE244" s="9">
        <f t="shared" si="223"/>
        <v>0</v>
      </c>
      <c r="CF244" s="6">
        <f t="shared" si="224"/>
        <v>3.1415926535897931</v>
      </c>
      <c r="CG244" s="6"/>
      <c r="CH244" s="6"/>
      <c r="CI244" s="6"/>
      <c r="CJ244" s="1"/>
      <c r="CK244" s="6"/>
    </row>
    <row r="245" spans="55:89" x14ac:dyDescent="0.25">
      <c r="BC245"/>
      <c r="BD245"/>
      <c r="BF245" s="6" t="e">
        <f t="shared" si="211"/>
        <v>#N/A</v>
      </c>
      <c r="BG245" s="6" t="e">
        <f t="shared" si="212"/>
        <v>#N/A</v>
      </c>
      <c r="BH245" s="6" t="e">
        <f t="shared" si="213"/>
        <v>#N/A</v>
      </c>
      <c r="BI245" s="6" t="e">
        <f t="shared" si="214"/>
        <v>#N/A</v>
      </c>
      <c r="BV245" s="38"/>
      <c r="BW245" s="6" t="e">
        <f t="shared" si="215"/>
        <v>#N/A</v>
      </c>
      <c r="BX245" s="9">
        <f t="shared" ca="1" si="216"/>
        <v>-156.7666765884093</v>
      </c>
      <c r="BY245" s="9">
        <f t="shared" ca="1" si="217"/>
        <v>84.412825855297342</v>
      </c>
      <c r="BZ245" s="9">
        <f t="shared" ca="1" si="218"/>
        <v>0</v>
      </c>
      <c r="CA245" s="6">
        <f t="shared" ca="1" si="219"/>
        <v>0</v>
      </c>
      <c r="CB245" s="6" t="e">
        <f t="shared" ca="1" si="220"/>
        <v>#DIV/0!</v>
      </c>
      <c r="CC245" s="6" t="e">
        <f t="shared" ca="1" si="221"/>
        <v>#DIV/0!</v>
      </c>
      <c r="CD245" s="9">
        <f t="shared" si="222"/>
        <v>-50</v>
      </c>
      <c r="CE245" s="9">
        <f t="shared" si="223"/>
        <v>0</v>
      </c>
      <c r="CF245" s="6">
        <f t="shared" si="224"/>
        <v>3.1415926535897931</v>
      </c>
      <c r="CG245" s="6"/>
      <c r="CH245" s="6"/>
      <c r="CI245" s="6"/>
      <c r="CJ245" s="1"/>
      <c r="CK245" s="6"/>
    </row>
    <row r="246" spans="55:89" x14ac:dyDescent="0.25">
      <c r="BC246"/>
      <c r="BD246"/>
      <c r="BF246" s="6" t="e">
        <f t="shared" si="211"/>
        <v>#N/A</v>
      </c>
      <c r="BG246" s="6" t="e">
        <f t="shared" si="212"/>
        <v>#N/A</v>
      </c>
      <c r="BH246" s="6" t="e">
        <f t="shared" si="213"/>
        <v>#N/A</v>
      </c>
      <c r="BI246" s="6" t="e">
        <f t="shared" si="214"/>
        <v>#N/A</v>
      </c>
      <c r="BV246" s="38"/>
      <c r="BW246" s="6" t="e">
        <f t="shared" si="215"/>
        <v>#N/A</v>
      </c>
      <c r="BX246" s="9">
        <f t="shared" ca="1" si="216"/>
        <v>-156.7666765884093</v>
      </c>
      <c r="BY246" s="9">
        <f t="shared" ca="1" si="217"/>
        <v>84.412825855297342</v>
      </c>
      <c r="BZ246" s="9">
        <f t="shared" ca="1" si="218"/>
        <v>0</v>
      </c>
      <c r="CA246" s="6">
        <f t="shared" ca="1" si="219"/>
        <v>0</v>
      </c>
      <c r="CB246" s="6" t="e">
        <f t="shared" ca="1" si="220"/>
        <v>#DIV/0!</v>
      </c>
      <c r="CC246" s="6" t="e">
        <f t="shared" ca="1" si="221"/>
        <v>#DIV/0!</v>
      </c>
      <c r="CD246" s="9">
        <f t="shared" si="222"/>
        <v>-50</v>
      </c>
      <c r="CE246" s="9">
        <f t="shared" si="223"/>
        <v>0</v>
      </c>
      <c r="CF246" s="6">
        <f t="shared" si="224"/>
        <v>3.1415926535897931</v>
      </c>
      <c r="CG246" s="6"/>
      <c r="CH246" s="6"/>
      <c r="CI246" s="6"/>
      <c r="CJ246" s="1"/>
      <c r="CK246" s="6"/>
    </row>
    <row r="247" spans="55:89" x14ac:dyDescent="0.25">
      <c r="BC247"/>
      <c r="BD247"/>
      <c r="BF247" s="6" t="e">
        <f t="shared" si="211"/>
        <v>#N/A</v>
      </c>
      <c r="BG247" s="6" t="e">
        <f t="shared" si="212"/>
        <v>#N/A</v>
      </c>
      <c r="BH247" s="6" t="e">
        <f t="shared" si="213"/>
        <v>#N/A</v>
      </c>
      <c r="BI247" s="6" t="e">
        <f t="shared" si="214"/>
        <v>#N/A</v>
      </c>
      <c r="BV247" s="38"/>
      <c r="BW247" s="6" t="e">
        <f t="shared" si="215"/>
        <v>#N/A</v>
      </c>
      <c r="BX247" s="9">
        <f t="shared" ca="1" si="216"/>
        <v>-156.7666765884093</v>
      </c>
      <c r="BY247" s="9">
        <f t="shared" ca="1" si="217"/>
        <v>84.412825855297342</v>
      </c>
      <c r="BZ247" s="9">
        <f t="shared" ca="1" si="218"/>
        <v>0</v>
      </c>
      <c r="CA247" s="6">
        <f t="shared" ca="1" si="219"/>
        <v>0</v>
      </c>
      <c r="CB247" s="6" t="e">
        <f t="shared" ca="1" si="220"/>
        <v>#DIV/0!</v>
      </c>
      <c r="CC247" s="6" t="e">
        <f t="shared" ca="1" si="221"/>
        <v>#DIV/0!</v>
      </c>
      <c r="CD247" s="9">
        <f t="shared" si="222"/>
        <v>-50</v>
      </c>
      <c r="CE247" s="9">
        <f t="shared" si="223"/>
        <v>0</v>
      </c>
      <c r="CF247" s="6">
        <f t="shared" si="224"/>
        <v>3.1415926535897931</v>
      </c>
      <c r="CG247" s="6"/>
      <c r="CH247" s="6"/>
      <c r="CI247" s="6"/>
      <c r="CJ247" s="1"/>
      <c r="CK247" s="6"/>
    </row>
    <row r="248" spans="55:89" x14ac:dyDescent="0.25">
      <c r="BC248"/>
      <c r="BD248"/>
      <c r="BF248" s="6" t="e">
        <f t="shared" si="211"/>
        <v>#N/A</v>
      </c>
      <c r="BG248" s="6" t="e">
        <f t="shared" si="212"/>
        <v>#N/A</v>
      </c>
      <c r="BH248" s="6" t="e">
        <f t="shared" si="213"/>
        <v>#N/A</v>
      </c>
      <c r="BI248" s="6" t="e">
        <f t="shared" si="214"/>
        <v>#N/A</v>
      </c>
      <c r="BV248" s="38"/>
      <c r="BW248" s="6" t="e">
        <f t="shared" si="215"/>
        <v>#N/A</v>
      </c>
      <c r="BX248" s="9">
        <f t="shared" ca="1" si="216"/>
        <v>-156.7666765884093</v>
      </c>
      <c r="BY248" s="9">
        <f t="shared" ca="1" si="217"/>
        <v>84.412825855297342</v>
      </c>
      <c r="BZ248" s="9">
        <f t="shared" ca="1" si="218"/>
        <v>0</v>
      </c>
      <c r="CA248" s="6">
        <f t="shared" ca="1" si="219"/>
        <v>0</v>
      </c>
      <c r="CB248" s="6" t="e">
        <f t="shared" ca="1" si="220"/>
        <v>#DIV/0!</v>
      </c>
      <c r="CC248" s="6" t="e">
        <f t="shared" ca="1" si="221"/>
        <v>#DIV/0!</v>
      </c>
      <c r="CD248" s="9">
        <f t="shared" si="222"/>
        <v>-50</v>
      </c>
      <c r="CE248" s="9">
        <f t="shared" si="223"/>
        <v>0</v>
      </c>
      <c r="CF248" s="6">
        <f t="shared" si="224"/>
        <v>3.1415926535897931</v>
      </c>
      <c r="CG248" s="6"/>
      <c r="CH248" s="6"/>
      <c r="CI248" s="6"/>
      <c r="CJ248" s="1"/>
      <c r="CK248" s="6"/>
    </row>
    <row r="249" spans="55:89" x14ac:dyDescent="0.25">
      <c r="BC249"/>
      <c r="BD249"/>
      <c r="BF249" s="6" t="e">
        <f t="shared" si="211"/>
        <v>#N/A</v>
      </c>
      <c r="BG249" s="6" t="e">
        <f t="shared" si="212"/>
        <v>#N/A</v>
      </c>
      <c r="BH249" s="6" t="e">
        <f t="shared" si="213"/>
        <v>#N/A</v>
      </c>
      <c r="BI249" s="6" t="e">
        <f t="shared" si="214"/>
        <v>#N/A</v>
      </c>
      <c r="BV249" s="38"/>
      <c r="BW249" s="6" t="e">
        <f t="shared" si="215"/>
        <v>#N/A</v>
      </c>
      <c r="BX249" s="9">
        <f t="shared" ca="1" si="216"/>
        <v>-156.7666765884093</v>
      </c>
      <c r="BY249" s="9">
        <f t="shared" ca="1" si="217"/>
        <v>84.412825855297342</v>
      </c>
      <c r="BZ249" s="9">
        <f t="shared" ca="1" si="218"/>
        <v>0</v>
      </c>
      <c r="CA249" s="6">
        <f t="shared" ca="1" si="219"/>
        <v>0</v>
      </c>
      <c r="CB249" s="6" t="e">
        <f t="shared" ca="1" si="220"/>
        <v>#DIV/0!</v>
      </c>
      <c r="CC249" s="6" t="e">
        <f t="shared" ca="1" si="221"/>
        <v>#DIV/0!</v>
      </c>
      <c r="CD249" s="9">
        <f t="shared" si="222"/>
        <v>-50</v>
      </c>
      <c r="CE249" s="9">
        <f t="shared" si="223"/>
        <v>0</v>
      </c>
      <c r="CF249" s="6">
        <f t="shared" si="224"/>
        <v>3.1415926535897931</v>
      </c>
      <c r="CG249" s="6"/>
      <c r="CH249" s="6"/>
      <c r="CI249" s="6"/>
      <c r="CJ249" s="1"/>
      <c r="CK249" s="6"/>
    </row>
    <row r="250" spans="55:89" x14ac:dyDescent="0.25">
      <c r="BC250"/>
      <c r="BD250"/>
      <c r="BF250" s="6" t="e">
        <f t="shared" si="211"/>
        <v>#N/A</v>
      </c>
      <c r="BG250" s="6" t="e">
        <f t="shared" si="212"/>
        <v>#N/A</v>
      </c>
      <c r="BH250" s="6" t="e">
        <f t="shared" si="213"/>
        <v>#N/A</v>
      </c>
      <c r="BI250" s="6" t="e">
        <f t="shared" si="214"/>
        <v>#N/A</v>
      </c>
      <c r="BV250" s="38"/>
      <c r="BW250" s="6" t="e">
        <f t="shared" si="215"/>
        <v>#N/A</v>
      </c>
      <c r="BX250" s="9">
        <f t="shared" ca="1" si="216"/>
        <v>-156.7666765884093</v>
      </c>
      <c r="BY250" s="9">
        <f t="shared" ca="1" si="217"/>
        <v>84.412825855297342</v>
      </c>
      <c r="BZ250" s="9">
        <f t="shared" ca="1" si="218"/>
        <v>0</v>
      </c>
      <c r="CA250" s="6">
        <f t="shared" ca="1" si="219"/>
        <v>0</v>
      </c>
      <c r="CB250" s="6" t="e">
        <f t="shared" ca="1" si="220"/>
        <v>#DIV/0!</v>
      </c>
      <c r="CC250" s="6" t="e">
        <f t="shared" ca="1" si="221"/>
        <v>#DIV/0!</v>
      </c>
      <c r="CD250" s="9">
        <f t="shared" si="222"/>
        <v>-50</v>
      </c>
      <c r="CE250" s="9">
        <f t="shared" si="223"/>
        <v>0</v>
      </c>
      <c r="CF250" s="6">
        <f t="shared" si="224"/>
        <v>3.1415926535897931</v>
      </c>
      <c r="CG250" s="6"/>
      <c r="CH250" s="6"/>
      <c r="CI250" s="6"/>
      <c r="CJ250" s="1"/>
      <c r="CK250" s="6"/>
    </row>
    <row r="251" spans="55:89" x14ac:dyDescent="0.25">
      <c r="BC251"/>
      <c r="BD251"/>
      <c r="BF251" s="6" t="e">
        <f t="shared" si="211"/>
        <v>#N/A</v>
      </c>
      <c r="BG251" s="6" t="e">
        <f t="shared" si="212"/>
        <v>#N/A</v>
      </c>
      <c r="BH251" s="6" t="e">
        <f t="shared" si="213"/>
        <v>#N/A</v>
      </c>
      <c r="BI251" s="6" t="e">
        <f t="shared" si="214"/>
        <v>#N/A</v>
      </c>
      <c r="BV251" s="38"/>
      <c r="BW251" s="6" t="e">
        <f t="shared" si="215"/>
        <v>#N/A</v>
      </c>
      <c r="BX251" s="9">
        <f t="shared" ca="1" si="216"/>
        <v>-156.7666765884093</v>
      </c>
      <c r="BY251" s="9">
        <f t="shared" ca="1" si="217"/>
        <v>84.412825855297342</v>
      </c>
      <c r="BZ251" s="9">
        <f t="shared" ca="1" si="218"/>
        <v>0</v>
      </c>
      <c r="CA251" s="6">
        <f t="shared" ca="1" si="219"/>
        <v>0</v>
      </c>
      <c r="CB251" s="6" t="e">
        <f t="shared" ca="1" si="220"/>
        <v>#DIV/0!</v>
      </c>
      <c r="CC251" s="6" t="e">
        <f t="shared" ca="1" si="221"/>
        <v>#DIV/0!</v>
      </c>
      <c r="CD251" s="9">
        <f t="shared" si="222"/>
        <v>-50</v>
      </c>
      <c r="CE251" s="9">
        <f t="shared" si="223"/>
        <v>0</v>
      </c>
      <c r="CF251" s="6">
        <f t="shared" si="224"/>
        <v>3.1415926535897931</v>
      </c>
      <c r="CG251" s="6"/>
      <c r="CH251" s="6"/>
      <c r="CI251" s="6"/>
      <c r="CJ251" s="1"/>
      <c r="CK251" s="6"/>
    </row>
    <row r="252" spans="55:89" x14ac:dyDescent="0.25">
      <c r="BC252"/>
      <c r="BD252"/>
      <c r="BF252" s="6" t="e">
        <f t="shared" si="211"/>
        <v>#N/A</v>
      </c>
      <c r="BG252" s="6" t="e">
        <f t="shared" si="212"/>
        <v>#N/A</v>
      </c>
      <c r="BH252" s="6" t="e">
        <f t="shared" si="213"/>
        <v>#N/A</v>
      </c>
      <c r="BI252" s="6" t="e">
        <f t="shared" si="214"/>
        <v>#N/A</v>
      </c>
      <c r="BV252" s="38"/>
      <c r="BW252" s="6" t="e">
        <f t="shared" si="215"/>
        <v>#N/A</v>
      </c>
      <c r="BX252" s="9">
        <f t="shared" ca="1" si="216"/>
        <v>-156.7666765884093</v>
      </c>
      <c r="BY252" s="9">
        <f t="shared" ca="1" si="217"/>
        <v>84.412825855297342</v>
      </c>
      <c r="BZ252" s="9">
        <f t="shared" ca="1" si="218"/>
        <v>0</v>
      </c>
      <c r="CA252" s="6">
        <f t="shared" ca="1" si="219"/>
        <v>0</v>
      </c>
      <c r="CB252" s="6" t="e">
        <f t="shared" ca="1" si="220"/>
        <v>#DIV/0!</v>
      </c>
      <c r="CC252" s="6" t="e">
        <f t="shared" ca="1" si="221"/>
        <v>#DIV/0!</v>
      </c>
      <c r="CD252" s="9">
        <f t="shared" si="222"/>
        <v>-50</v>
      </c>
      <c r="CE252" s="9">
        <f t="shared" si="223"/>
        <v>0</v>
      </c>
      <c r="CF252" s="6">
        <f t="shared" si="224"/>
        <v>3.1415926535897931</v>
      </c>
      <c r="CG252" s="6"/>
      <c r="CH252" s="6"/>
      <c r="CI252" s="6"/>
      <c r="CJ252" s="1"/>
      <c r="CK252" s="6"/>
    </row>
    <row r="253" spans="55:89" x14ac:dyDescent="0.25">
      <c r="BC253"/>
      <c r="BD253"/>
      <c r="BF253" s="6" t="e">
        <f t="shared" si="211"/>
        <v>#N/A</v>
      </c>
      <c r="BG253" s="6" t="e">
        <f t="shared" si="212"/>
        <v>#N/A</v>
      </c>
      <c r="BH253" s="6" t="e">
        <f t="shared" si="213"/>
        <v>#N/A</v>
      </c>
      <c r="BI253" s="6" t="e">
        <f t="shared" si="214"/>
        <v>#N/A</v>
      </c>
      <c r="BV253" s="38"/>
      <c r="BW253" s="6" t="e">
        <f t="shared" si="215"/>
        <v>#N/A</v>
      </c>
      <c r="BX253" s="9">
        <f t="shared" ca="1" si="216"/>
        <v>-156.7666765884093</v>
      </c>
      <c r="BY253" s="9">
        <f t="shared" ca="1" si="217"/>
        <v>84.412825855297342</v>
      </c>
      <c r="BZ253" s="9">
        <f t="shared" ca="1" si="218"/>
        <v>0</v>
      </c>
      <c r="CA253" s="6">
        <f t="shared" ca="1" si="219"/>
        <v>0</v>
      </c>
      <c r="CB253" s="6" t="e">
        <f t="shared" ca="1" si="220"/>
        <v>#DIV/0!</v>
      </c>
      <c r="CC253" s="6" t="e">
        <f t="shared" ca="1" si="221"/>
        <v>#DIV/0!</v>
      </c>
      <c r="CD253" s="9">
        <f t="shared" si="222"/>
        <v>-50</v>
      </c>
      <c r="CE253" s="9">
        <f t="shared" si="223"/>
        <v>0</v>
      </c>
      <c r="CF253" s="6">
        <f t="shared" si="224"/>
        <v>3.1415926535897931</v>
      </c>
      <c r="CG253" s="6"/>
      <c r="CH253" s="6"/>
      <c r="CI253" s="6"/>
      <c r="CJ253" s="1"/>
      <c r="CK253" s="6"/>
    </row>
    <row r="254" spans="55:89" x14ac:dyDescent="0.25">
      <c r="BC254"/>
      <c r="BD254"/>
      <c r="BF254" s="6" t="e">
        <f t="shared" si="211"/>
        <v>#N/A</v>
      </c>
      <c r="BG254" s="6" t="e">
        <f t="shared" si="212"/>
        <v>#N/A</v>
      </c>
      <c r="BH254" s="6" t="e">
        <f t="shared" si="213"/>
        <v>#N/A</v>
      </c>
      <c r="BI254" s="6" t="e">
        <f t="shared" si="214"/>
        <v>#N/A</v>
      </c>
      <c r="BV254" s="38"/>
      <c r="BW254" s="6" t="e">
        <f t="shared" si="215"/>
        <v>#N/A</v>
      </c>
      <c r="BX254" s="9">
        <f t="shared" ca="1" si="216"/>
        <v>-156.7666765884093</v>
      </c>
      <c r="BY254" s="9">
        <f t="shared" ca="1" si="217"/>
        <v>84.412825855297342</v>
      </c>
      <c r="BZ254" s="9">
        <f t="shared" ca="1" si="218"/>
        <v>0</v>
      </c>
      <c r="CA254" s="6">
        <f t="shared" ca="1" si="219"/>
        <v>0</v>
      </c>
      <c r="CB254" s="6" t="e">
        <f t="shared" ca="1" si="220"/>
        <v>#DIV/0!</v>
      </c>
      <c r="CC254" s="6" t="e">
        <f t="shared" ca="1" si="221"/>
        <v>#DIV/0!</v>
      </c>
      <c r="CD254" s="9">
        <f t="shared" si="222"/>
        <v>-50</v>
      </c>
      <c r="CE254" s="9">
        <f t="shared" si="223"/>
        <v>0</v>
      </c>
      <c r="CF254" s="6">
        <f t="shared" si="224"/>
        <v>3.1415926535897931</v>
      </c>
      <c r="CG254" s="6"/>
      <c r="CH254" s="6"/>
      <c r="CI254" s="6"/>
      <c r="CJ254" s="1"/>
      <c r="CK254" s="6"/>
    </row>
    <row r="255" spans="55:89" x14ac:dyDescent="0.25">
      <c r="BC255"/>
      <c r="BD255"/>
      <c r="BF255" s="6" t="e">
        <f t="shared" si="211"/>
        <v>#N/A</v>
      </c>
      <c r="BG255" s="6" t="e">
        <f t="shared" si="212"/>
        <v>#N/A</v>
      </c>
      <c r="BH255" s="6" t="e">
        <f t="shared" si="213"/>
        <v>#N/A</v>
      </c>
      <c r="BI255" s="6" t="e">
        <f t="shared" si="214"/>
        <v>#N/A</v>
      </c>
      <c r="BV255" s="38"/>
      <c r="BW255" s="6" t="e">
        <f t="shared" si="215"/>
        <v>#N/A</v>
      </c>
      <c r="BX255" s="9">
        <f t="shared" ca="1" si="216"/>
        <v>-156.7666765884093</v>
      </c>
      <c r="BY255" s="9">
        <f t="shared" ca="1" si="217"/>
        <v>84.412825855297342</v>
      </c>
      <c r="BZ255" s="9">
        <f t="shared" ca="1" si="218"/>
        <v>0</v>
      </c>
      <c r="CA255" s="6">
        <f t="shared" ca="1" si="219"/>
        <v>0</v>
      </c>
      <c r="CB255" s="6" t="e">
        <f t="shared" ca="1" si="220"/>
        <v>#DIV/0!</v>
      </c>
      <c r="CC255" s="6" t="e">
        <f t="shared" ca="1" si="221"/>
        <v>#DIV/0!</v>
      </c>
      <c r="CD255" s="9">
        <f t="shared" si="222"/>
        <v>-50</v>
      </c>
      <c r="CE255" s="9">
        <f t="shared" si="223"/>
        <v>0</v>
      </c>
      <c r="CF255" s="6">
        <f t="shared" si="224"/>
        <v>3.1415926535897931</v>
      </c>
      <c r="CG255" s="6"/>
      <c r="CH255" s="6"/>
      <c r="CI255" s="6"/>
      <c r="CJ255" s="1"/>
      <c r="CK255" s="6"/>
    </row>
    <row r="256" spans="55:89" x14ac:dyDescent="0.25">
      <c r="BC256"/>
      <c r="BD256"/>
      <c r="BF256" s="6" t="e">
        <f t="shared" si="211"/>
        <v>#N/A</v>
      </c>
      <c r="BG256" s="6" t="e">
        <f t="shared" si="212"/>
        <v>#N/A</v>
      </c>
      <c r="BH256" s="6" t="e">
        <f t="shared" si="213"/>
        <v>#N/A</v>
      </c>
      <c r="BI256" s="6" t="e">
        <f t="shared" si="214"/>
        <v>#N/A</v>
      </c>
      <c r="BV256" s="38"/>
      <c r="BW256" s="6" t="e">
        <f t="shared" si="215"/>
        <v>#N/A</v>
      </c>
      <c r="BX256" s="9">
        <f t="shared" ca="1" si="216"/>
        <v>-156.7666765884093</v>
      </c>
      <c r="BY256" s="9">
        <f t="shared" ca="1" si="217"/>
        <v>84.412825855297342</v>
      </c>
      <c r="BZ256" s="9">
        <f t="shared" ca="1" si="218"/>
        <v>0</v>
      </c>
      <c r="CA256" s="6">
        <f t="shared" ca="1" si="219"/>
        <v>0</v>
      </c>
      <c r="CB256" s="6" t="e">
        <f t="shared" ca="1" si="220"/>
        <v>#DIV/0!</v>
      </c>
      <c r="CC256" s="6" t="e">
        <f t="shared" ca="1" si="221"/>
        <v>#DIV/0!</v>
      </c>
      <c r="CD256" s="9">
        <f t="shared" si="222"/>
        <v>-50</v>
      </c>
      <c r="CE256" s="9">
        <f t="shared" si="223"/>
        <v>0</v>
      </c>
      <c r="CF256" s="6">
        <f t="shared" si="224"/>
        <v>3.1415926535897931</v>
      </c>
      <c r="CG256" s="6"/>
      <c r="CH256" s="6"/>
      <c r="CI256" s="6"/>
      <c r="CJ256" s="1"/>
      <c r="CK256" s="6"/>
    </row>
    <row r="257" spans="55:89" x14ac:dyDescent="0.25">
      <c r="BC257"/>
      <c r="BD257"/>
      <c r="BF257" s="6" t="e">
        <f t="shared" si="211"/>
        <v>#N/A</v>
      </c>
      <c r="BG257" s="6" t="e">
        <f t="shared" si="212"/>
        <v>#N/A</v>
      </c>
      <c r="BH257" s="6" t="e">
        <f t="shared" si="213"/>
        <v>#N/A</v>
      </c>
      <c r="BI257" s="6" t="e">
        <f t="shared" si="214"/>
        <v>#N/A</v>
      </c>
      <c r="BV257" s="38"/>
      <c r="BW257" s="6" t="e">
        <f t="shared" si="215"/>
        <v>#N/A</v>
      </c>
      <c r="BX257" s="9">
        <f t="shared" ca="1" si="216"/>
        <v>-156.7666765884093</v>
      </c>
      <c r="BY257" s="9">
        <f t="shared" ca="1" si="217"/>
        <v>84.412825855297342</v>
      </c>
      <c r="BZ257" s="9">
        <f t="shared" ca="1" si="218"/>
        <v>0</v>
      </c>
      <c r="CA257" s="6">
        <f t="shared" ca="1" si="219"/>
        <v>0</v>
      </c>
      <c r="CB257" s="6" t="e">
        <f t="shared" ca="1" si="220"/>
        <v>#DIV/0!</v>
      </c>
      <c r="CC257" s="6" t="e">
        <f t="shared" ca="1" si="221"/>
        <v>#DIV/0!</v>
      </c>
      <c r="CD257" s="9">
        <f t="shared" si="222"/>
        <v>-50</v>
      </c>
      <c r="CE257" s="9">
        <f t="shared" si="223"/>
        <v>0</v>
      </c>
      <c r="CF257" s="6">
        <f t="shared" si="224"/>
        <v>3.1415926535897931</v>
      </c>
      <c r="CG257" s="6"/>
      <c r="CH257" s="6"/>
      <c r="CI257" s="6"/>
      <c r="CJ257" s="1"/>
      <c r="CK257" s="6"/>
    </row>
    <row r="258" spans="55:89" x14ac:dyDescent="0.25">
      <c r="BC258"/>
      <c r="BD258"/>
      <c r="BF258" s="6" t="e">
        <f t="shared" si="211"/>
        <v>#N/A</v>
      </c>
      <c r="BG258" s="6" t="e">
        <f t="shared" si="212"/>
        <v>#N/A</v>
      </c>
      <c r="BH258" s="6" t="e">
        <f t="shared" si="213"/>
        <v>#N/A</v>
      </c>
      <c r="BI258" s="6" t="e">
        <f t="shared" si="214"/>
        <v>#N/A</v>
      </c>
      <c r="BV258" s="38"/>
      <c r="BW258" s="6" t="e">
        <f t="shared" si="215"/>
        <v>#N/A</v>
      </c>
      <c r="BX258" s="9">
        <f t="shared" ca="1" si="216"/>
        <v>-156.7666765884093</v>
      </c>
      <c r="BY258" s="9">
        <f t="shared" ca="1" si="217"/>
        <v>84.412825855297342</v>
      </c>
      <c r="BZ258" s="9">
        <f t="shared" ca="1" si="218"/>
        <v>0</v>
      </c>
      <c r="CA258" s="6">
        <f t="shared" ca="1" si="219"/>
        <v>0</v>
      </c>
      <c r="CB258" s="6" t="e">
        <f t="shared" ca="1" si="220"/>
        <v>#DIV/0!</v>
      </c>
      <c r="CC258" s="6" t="e">
        <f t="shared" ca="1" si="221"/>
        <v>#DIV/0!</v>
      </c>
      <c r="CD258" s="9">
        <f t="shared" si="222"/>
        <v>-50</v>
      </c>
      <c r="CE258" s="9">
        <f t="shared" si="223"/>
        <v>0</v>
      </c>
      <c r="CF258" s="6">
        <f t="shared" si="224"/>
        <v>3.1415926535897931</v>
      </c>
      <c r="CG258" s="6"/>
      <c r="CH258" s="6"/>
      <c r="CI258" s="6"/>
      <c r="CJ258" s="1"/>
      <c r="CK258" s="6"/>
    </row>
    <row r="259" spans="55:89" x14ac:dyDescent="0.25">
      <c r="BC259"/>
      <c r="BD259"/>
      <c r="BF259" s="6" t="e">
        <f t="shared" ref="BF259:BF322" si="225">IF(BC259&lt;&gt;"",IF(AND(BD259=0,BE259=0),0,MOD(ATAN2(BD259,BE259),2*PI())),NA())</f>
        <v>#N/A</v>
      </c>
      <c r="BG259" s="6" t="e">
        <f t="shared" ref="BG259:BG322" si="226">ABS(BC259-BF259)</f>
        <v>#N/A</v>
      </c>
      <c r="BH259" s="6" t="e">
        <f t="shared" ref="BH259:BH322" si="227">ATAN2(COS($U$13-BF259),SIN($U$13-BF259))</f>
        <v>#N/A</v>
      </c>
      <c r="BI259" s="6" t="e">
        <f t="shared" ref="BI259:BI322" si="228">ABS(BH259)</f>
        <v>#N/A</v>
      </c>
      <c r="BV259" s="38"/>
      <c r="BW259" s="6" t="e">
        <f t="shared" si="215"/>
        <v>#N/A</v>
      </c>
      <c r="BX259" s="9">
        <f t="shared" ca="1" si="216"/>
        <v>-156.7666765884093</v>
      </c>
      <c r="BY259" s="9">
        <f t="shared" ca="1" si="217"/>
        <v>84.412825855297342</v>
      </c>
      <c r="BZ259" s="9">
        <f t="shared" ca="1" si="218"/>
        <v>0</v>
      </c>
      <c r="CA259" s="6">
        <f t="shared" ca="1" si="219"/>
        <v>0</v>
      </c>
      <c r="CB259" s="6" t="e">
        <f t="shared" ca="1" si="220"/>
        <v>#DIV/0!</v>
      </c>
      <c r="CC259" s="6" t="e">
        <f t="shared" ca="1" si="221"/>
        <v>#DIV/0!</v>
      </c>
      <c r="CD259" s="9">
        <f t="shared" si="222"/>
        <v>-50</v>
      </c>
      <c r="CE259" s="9">
        <f t="shared" si="223"/>
        <v>0</v>
      </c>
      <c r="CF259" s="6">
        <f t="shared" si="224"/>
        <v>3.1415926535897931</v>
      </c>
      <c r="CG259" s="6"/>
      <c r="CH259" s="6"/>
      <c r="CI259" s="6"/>
      <c r="CJ259" s="1"/>
      <c r="CK259" s="6"/>
    </row>
    <row r="260" spans="55:89" x14ac:dyDescent="0.25">
      <c r="BC260"/>
      <c r="BD260"/>
      <c r="BF260" s="6" t="e">
        <f t="shared" si="225"/>
        <v>#N/A</v>
      </c>
      <c r="BG260" s="6" t="e">
        <f t="shared" si="226"/>
        <v>#N/A</v>
      </c>
      <c r="BH260" s="6" t="e">
        <f t="shared" si="227"/>
        <v>#N/A</v>
      </c>
      <c r="BI260" s="6" t="e">
        <f t="shared" si="228"/>
        <v>#N/A</v>
      </c>
      <c r="BV260" s="38"/>
      <c r="BW260" s="6" t="e">
        <f t="shared" si="215"/>
        <v>#N/A</v>
      </c>
      <c r="BX260" s="9">
        <f t="shared" ca="1" si="216"/>
        <v>-156.7666765884093</v>
      </c>
      <c r="BY260" s="9">
        <f t="shared" ca="1" si="217"/>
        <v>84.412825855297342</v>
      </c>
      <c r="BZ260" s="9">
        <f t="shared" ca="1" si="218"/>
        <v>0</v>
      </c>
      <c r="CA260" s="6">
        <f t="shared" ca="1" si="219"/>
        <v>0</v>
      </c>
      <c r="CB260" s="6" t="e">
        <f t="shared" ca="1" si="220"/>
        <v>#DIV/0!</v>
      </c>
      <c r="CC260" s="6" t="e">
        <f t="shared" ca="1" si="221"/>
        <v>#DIV/0!</v>
      </c>
      <c r="CD260" s="9">
        <f t="shared" si="222"/>
        <v>-50</v>
      </c>
      <c r="CE260" s="9">
        <f t="shared" si="223"/>
        <v>0</v>
      </c>
      <c r="CF260" s="6">
        <f t="shared" si="224"/>
        <v>3.1415926535897931</v>
      </c>
      <c r="CG260" s="6"/>
      <c r="CH260" s="6"/>
      <c r="CI260" s="6"/>
      <c r="CJ260" s="1"/>
      <c r="CK260" s="6"/>
    </row>
    <row r="261" spans="55:89" x14ac:dyDescent="0.25">
      <c r="BC261"/>
      <c r="BD261"/>
      <c r="BF261" s="6" t="e">
        <f t="shared" si="225"/>
        <v>#N/A</v>
      </c>
      <c r="BG261" s="6" t="e">
        <f t="shared" si="226"/>
        <v>#N/A</v>
      </c>
      <c r="BH261" s="6" t="e">
        <f t="shared" si="227"/>
        <v>#N/A</v>
      </c>
      <c r="BI261" s="6" t="e">
        <f t="shared" si="228"/>
        <v>#N/A</v>
      </c>
      <c r="BV261" s="38"/>
      <c r="BW261" s="6" t="e">
        <f t="shared" si="215"/>
        <v>#N/A</v>
      </c>
      <c r="BX261" s="9">
        <f t="shared" ca="1" si="216"/>
        <v>-156.7666765884093</v>
      </c>
      <c r="BY261" s="9">
        <f t="shared" ca="1" si="217"/>
        <v>84.412825855297342</v>
      </c>
      <c r="BZ261" s="9">
        <f t="shared" ca="1" si="218"/>
        <v>0</v>
      </c>
      <c r="CA261" s="6">
        <f t="shared" ca="1" si="219"/>
        <v>0</v>
      </c>
      <c r="CB261" s="6" t="e">
        <f t="shared" ca="1" si="220"/>
        <v>#DIV/0!</v>
      </c>
      <c r="CC261" s="6" t="e">
        <f t="shared" ca="1" si="221"/>
        <v>#DIV/0!</v>
      </c>
      <c r="CD261" s="9">
        <f t="shared" si="222"/>
        <v>-50</v>
      </c>
      <c r="CE261" s="9">
        <f t="shared" si="223"/>
        <v>0</v>
      </c>
      <c r="CF261" s="6">
        <f t="shared" si="224"/>
        <v>3.1415926535897931</v>
      </c>
      <c r="CG261" s="6"/>
      <c r="CH261" s="6"/>
      <c r="CI261" s="6"/>
      <c r="CJ261" s="1"/>
      <c r="CK261" s="6"/>
    </row>
    <row r="262" spans="55:89" x14ac:dyDescent="0.25">
      <c r="BC262"/>
      <c r="BD262"/>
      <c r="BF262" s="6" t="e">
        <f t="shared" si="225"/>
        <v>#N/A</v>
      </c>
      <c r="BG262" s="6" t="e">
        <f t="shared" si="226"/>
        <v>#N/A</v>
      </c>
      <c r="BH262" s="6" t="e">
        <f t="shared" si="227"/>
        <v>#N/A</v>
      </c>
      <c r="BI262" s="6" t="e">
        <f t="shared" si="228"/>
        <v>#N/A</v>
      </c>
      <c r="BV262" s="38"/>
      <c r="BW262" s="6" t="e">
        <f t="shared" si="215"/>
        <v>#N/A</v>
      </c>
      <c r="BX262" s="9">
        <f t="shared" ca="1" si="216"/>
        <v>-156.7666765884093</v>
      </c>
      <c r="BY262" s="9">
        <f t="shared" ca="1" si="217"/>
        <v>84.412825855297342</v>
      </c>
      <c r="BZ262" s="9">
        <f t="shared" ca="1" si="218"/>
        <v>0</v>
      </c>
      <c r="CA262" s="6">
        <f t="shared" ca="1" si="219"/>
        <v>0</v>
      </c>
      <c r="CB262" s="6" t="e">
        <f t="shared" ca="1" si="220"/>
        <v>#DIV/0!</v>
      </c>
      <c r="CC262" s="6" t="e">
        <f t="shared" ca="1" si="221"/>
        <v>#DIV/0!</v>
      </c>
      <c r="CD262" s="9">
        <f t="shared" si="222"/>
        <v>-50</v>
      </c>
      <c r="CE262" s="9">
        <f t="shared" si="223"/>
        <v>0</v>
      </c>
      <c r="CF262" s="6">
        <f t="shared" si="224"/>
        <v>3.1415926535897931</v>
      </c>
      <c r="CG262" s="6"/>
      <c r="CH262" s="6"/>
      <c r="CI262" s="6"/>
      <c r="CJ262" s="1"/>
      <c r="CK262" s="6"/>
    </row>
    <row r="263" spans="55:89" x14ac:dyDescent="0.25">
      <c r="BC263"/>
      <c r="BD263"/>
      <c r="BF263" s="6" t="e">
        <f t="shared" si="225"/>
        <v>#N/A</v>
      </c>
      <c r="BG263" s="6" t="e">
        <f t="shared" si="226"/>
        <v>#N/A</v>
      </c>
      <c r="BH263" s="6" t="e">
        <f t="shared" si="227"/>
        <v>#N/A</v>
      </c>
      <c r="BI263" s="6" t="e">
        <f t="shared" si="228"/>
        <v>#N/A</v>
      </c>
      <c r="BV263" s="38"/>
      <c r="BW263" s="6" t="e">
        <f t="shared" si="215"/>
        <v>#N/A</v>
      </c>
      <c r="BX263" s="9">
        <f t="shared" ca="1" si="216"/>
        <v>-156.7666765884093</v>
      </c>
      <c r="BY263" s="9">
        <f t="shared" ca="1" si="217"/>
        <v>84.412825855297342</v>
      </c>
      <c r="BZ263" s="9">
        <f t="shared" ca="1" si="218"/>
        <v>0</v>
      </c>
      <c r="CA263" s="6">
        <f t="shared" ca="1" si="219"/>
        <v>0</v>
      </c>
      <c r="CB263" s="6" t="e">
        <f t="shared" ca="1" si="220"/>
        <v>#DIV/0!</v>
      </c>
      <c r="CC263" s="6" t="e">
        <f t="shared" ca="1" si="221"/>
        <v>#DIV/0!</v>
      </c>
      <c r="CD263" s="9">
        <f t="shared" si="222"/>
        <v>-50</v>
      </c>
      <c r="CE263" s="9">
        <f t="shared" si="223"/>
        <v>0</v>
      </c>
      <c r="CF263" s="6">
        <f t="shared" si="224"/>
        <v>3.1415926535897931</v>
      </c>
      <c r="CG263" s="6"/>
      <c r="CH263" s="6"/>
      <c r="CI263" s="6"/>
      <c r="CJ263" s="1"/>
      <c r="CK263" s="6"/>
    </row>
    <row r="264" spans="55:89" x14ac:dyDescent="0.25">
      <c r="BC264"/>
      <c r="BD264"/>
      <c r="BF264" s="6" t="e">
        <f t="shared" si="225"/>
        <v>#N/A</v>
      </c>
      <c r="BG264" s="6" t="e">
        <f t="shared" si="226"/>
        <v>#N/A</v>
      </c>
      <c r="BH264" s="6" t="e">
        <f t="shared" si="227"/>
        <v>#N/A</v>
      </c>
      <c r="BI264" s="6" t="e">
        <f t="shared" si="228"/>
        <v>#N/A</v>
      </c>
      <c r="BV264" s="38"/>
      <c r="BW264" s="6" t="e">
        <f t="shared" si="215"/>
        <v>#N/A</v>
      </c>
      <c r="BX264" s="9">
        <f t="shared" ca="1" si="216"/>
        <v>-156.7666765884093</v>
      </c>
      <c r="BY264" s="9">
        <f t="shared" ca="1" si="217"/>
        <v>84.412825855297342</v>
      </c>
      <c r="BZ264" s="9">
        <f t="shared" ca="1" si="218"/>
        <v>0</v>
      </c>
      <c r="CA264" s="6">
        <f t="shared" ca="1" si="219"/>
        <v>0</v>
      </c>
      <c r="CB264" s="6" t="e">
        <f t="shared" ca="1" si="220"/>
        <v>#DIV/0!</v>
      </c>
      <c r="CC264" s="6" t="e">
        <f t="shared" ca="1" si="221"/>
        <v>#DIV/0!</v>
      </c>
      <c r="CD264" s="9">
        <f t="shared" si="222"/>
        <v>-50</v>
      </c>
      <c r="CE264" s="9">
        <f t="shared" si="223"/>
        <v>0</v>
      </c>
      <c r="CF264" s="6">
        <f t="shared" si="224"/>
        <v>3.1415926535897931</v>
      </c>
      <c r="CG264" s="6"/>
      <c r="CH264" s="6"/>
      <c r="CI264" s="6"/>
      <c r="CJ264" s="1"/>
      <c r="CK264" s="6"/>
    </row>
    <row r="265" spans="55:89" x14ac:dyDescent="0.25">
      <c r="BC265"/>
      <c r="BD265"/>
      <c r="BF265" s="6" t="e">
        <f t="shared" si="225"/>
        <v>#N/A</v>
      </c>
      <c r="BG265" s="6" t="e">
        <f t="shared" si="226"/>
        <v>#N/A</v>
      </c>
      <c r="BH265" s="6" t="e">
        <f t="shared" si="227"/>
        <v>#N/A</v>
      </c>
      <c r="BI265" s="6" t="e">
        <f t="shared" si="228"/>
        <v>#N/A</v>
      </c>
      <c r="BV265" s="38"/>
      <c r="BW265" s="6" t="e">
        <f t="shared" si="215"/>
        <v>#N/A</v>
      </c>
      <c r="BX265" s="9">
        <f t="shared" ca="1" si="216"/>
        <v>-156.7666765884093</v>
      </c>
      <c r="BY265" s="9">
        <f t="shared" ca="1" si="217"/>
        <v>84.412825855297342</v>
      </c>
      <c r="BZ265" s="9">
        <f t="shared" ca="1" si="218"/>
        <v>0</v>
      </c>
      <c r="CA265" s="6">
        <f t="shared" ca="1" si="219"/>
        <v>0</v>
      </c>
      <c r="CB265" s="6" t="e">
        <f t="shared" ca="1" si="220"/>
        <v>#DIV/0!</v>
      </c>
      <c r="CC265" s="6" t="e">
        <f t="shared" ca="1" si="221"/>
        <v>#DIV/0!</v>
      </c>
      <c r="CD265" s="9">
        <f t="shared" si="222"/>
        <v>-50</v>
      </c>
      <c r="CE265" s="9">
        <f t="shared" si="223"/>
        <v>0</v>
      </c>
      <c r="CF265" s="6">
        <f t="shared" si="224"/>
        <v>3.1415926535897931</v>
      </c>
      <c r="CG265" s="6"/>
      <c r="CH265" s="6"/>
      <c r="CI265" s="6"/>
      <c r="CJ265" s="1"/>
      <c r="CK265" s="6"/>
    </row>
    <row r="266" spans="55:89" x14ac:dyDescent="0.25">
      <c r="BC266"/>
      <c r="BD266"/>
      <c r="BF266" s="6" t="e">
        <f t="shared" si="225"/>
        <v>#N/A</v>
      </c>
      <c r="BG266" s="6" t="e">
        <f t="shared" si="226"/>
        <v>#N/A</v>
      </c>
      <c r="BH266" s="6" t="e">
        <f t="shared" si="227"/>
        <v>#N/A</v>
      </c>
      <c r="BI266" s="6" t="e">
        <f t="shared" si="228"/>
        <v>#N/A</v>
      </c>
      <c r="BV266" s="38"/>
      <c r="BW266" s="6" t="e">
        <f t="shared" si="215"/>
        <v>#N/A</v>
      </c>
      <c r="BX266" s="9">
        <f t="shared" ca="1" si="216"/>
        <v>-156.7666765884093</v>
      </c>
      <c r="BY266" s="9">
        <f t="shared" ca="1" si="217"/>
        <v>84.412825855297342</v>
      </c>
      <c r="BZ266" s="9">
        <f t="shared" ca="1" si="218"/>
        <v>0</v>
      </c>
      <c r="CA266" s="6">
        <f t="shared" ca="1" si="219"/>
        <v>0</v>
      </c>
      <c r="CB266" s="6" t="e">
        <f t="shared" ca="1" si="220"/>
        <v>#DIV/0!</v>
      </c>
      <c r="CC266" s="6" t="e">
        <f t="shared" ca="1" si="221"/>
        <v>#DIV/0!</v>
      </c>
      <c r="CD266" s="9">
        <f t="shared" si="222"/>
        <v>-50</v>
      </c>
      <c r="CE266" s="9">
        <f t="shared" si="223"/>
        <v>0</v>
      </c>
      <c r="CF266" s="6">
        <f t="shared" si="224"/>
        <v>3.1415926535897931</v>
      </c>
      <c r="CG266" s="6"/>
      <c r="CH266" s="6"/>
      <c r="CI266" s="6"/>
      <c r="CJ266" s="1"/>
      <c r="CK266" s="6"/>
    </row>
    <row r="267" spans="55:89" x14ac:dyDescent="0.25">
      <c r="BC267"/>
      <c r="BD267"/>
      <c r="BF267" s="6" t="e">
        <f t="shared" si="225"/>
        <v>#N/A</v>
      </c>
      <c r="BG267" s="6" t="e">
        <f t="shared" si="226"/>
        <v>#N/A</v>
      </c>
      <c r="BH267" s="6" t="e">
        <f t="shared" si="227"/>
        <v>#N/A</v>
      </c>
      <c r="BI267" s="6" t="e">
        <f t="shared" si="228"/>
        <v>#N/A</v>
      </c>
      <c r="BV267" s="38"/>
      <c r="BW267" s="6" t="e">
        <f t="shared" si="215"/>
        <v>#N/A</v>
      </c>
      <c r="BX267" s="9">
        <f t="shared" ca="1" si="216"/>
        <v>-156.7666765884093</v>
      </c>
      <c r="BY267" s="9">
        <f t="shared" ca="1" si="217"/>
        <v>84.412825855297342</v>
      </c>
      <c r="BZ267" s="9">
        <f t="shared" ca="1" si="218"/>
        <v>0</v>
      </c>
      <c r="CA267" s="6">
        <f t="shared" ca="1" si="219"/>
        <v>0</v>
      </c>
      <c r="CB267" s="6" t="e">
        <f t="shared" ca="1" si="220"/>
        <v>#DIV/0!</v>
      </c>
      <c r="CC267" s="6" t="e">
        <f t="shared" ca="1" si="221"/>
        <v>#DIV/0!</v>
      </c>
      <c r="CD267" s="9">
        <f t="shared" si="222"/>
        <v>-50</v>
      </c>
      <c r="CE267" s="9">
        <f t="shared" si="223"/>
        <v>0</v>
      </c>
      <c r="CF267" s="6">
        <f t="shared" si="224"/>
        <v>3.1415926535897931</v>
      </c>
      <c r="CG267" s="6"/>
      <c r="CH267" s="6"/>
      <c r="CI267" s="6"/>
      <c r="CJ267" s="1"/>
      <c r="CK267" s="6"/>
    </row>
    <row r="268" spans="55:89" x14ac:dyDescent="0.25">
      <c r="BC268"/>
      <c r="BD268"/>
      <c r="BF268" s="6" t="e">
        <f t="shared" si="225"/>
        <v>#N/A</v>
      </c>
      <c r="BG268" s="6" t="e">
        <f t="shared" si="226"/>
        <v>#N/A</v>
      </c>
      <c r="BH268" s="6" t="e">
        <f t="shared" si="227"/>
        <v>#N/A</v>
      </c>
      <c r="BI268" s="6" t="e">
        <f t="shared" si="228"/>
        <v>#N/A</v>
      </c>
      <c r="BV268" s="38"/>
      <c r="BW268" s="6" t="e">
        <f t="shared" si="215"/>
        <v>#N/A</v>
      </c>
      <c r="BX268" s="9">
        <f t="shared" ca="1" si="216"/>
        <v>-156.7666765884093</v>
      </c>
      <c r="BY268" s="9">
        <f t="shared" ca="1" si="217"/>
        <v>84.412825855297342</v>
      </c>
      <c r="BZ268" s="9">
        <f t="shared" ca="1" si="218"/>
        <v>0</v>
      </c>
      <c r="CA268" s="6">
        <f t="shared" ca="1" si="219"/>
        <v>0</v>
      </c>
      <c r="CB268" s="6" t="e">
        <f t="shared" ca="1" si="220"/>
        <v>#DIV/0!</v>
      </c>
      <c r="CC268" s="6" t="e">
        <f t="shared" ca="1" si="221"/>
        <v>#DIV/0!</v>
      </c>
      <c r="CD268" s="9">
        <f t="shared" si="222"/>
        <v>-50</v>
      </c>
      <c r="CE268" s="9">
        <f t="shared" si="223"/>
        <v>0</v>
      </c>
      <c r="CF268" s="6">
        <f t="shared" si="224"/>
        <v>3.1415926535897931</v>
      </c>
      <c r="CG268" s="6"/>
      <c r="CH268" s="6"/>
      <c r="CI268" s="6"/>
      <c r="CJ268" s="1"/>
      <c r="CK268" s="6"/>
    </row>
    <row r="269" spans="55:89" x14ac:dyDescent="0.25">
      <c r="BC269"/>
      <c r="BD269"/>
      <c r="BF269" s="6" t="e">
        <f t="shared" si="225"/>
        <v>#N/A</v>
      </c>
      <c r="BG269" s="6" t="e">
        <f t="shared" si="226"/>
        <v>#N/A</v>
      </c>
      <c r="BH269" s="6" t="e">
        <f t="shared" si="227"/>
        <v>#N/A</v>
      </c>
      <c r="BI269" s="6" t="e">
        <f t="shared" si="228"/>
        <v>#N/A</v>
      </c>
      <c r="BV269" s="38"/>
      <c r="BW269" s="6" t="e">
        <f t="shared" si="215"/>
        <v>#N/A</v>
      </c>
      <c r="BX269" s="9">
        <f t="shared" ca="1" si="216"/>
        <v>-156.7666765884093</v>
      </c>
      <c r="BY269" s="9">
        <f t="shared" ca="1" si="217"/>
        <v>84.412825855297342</v>
      </c>
      <c r="BZ269" s="9">
        <f t="shared" ca="1" si="218"/>
        <v>0</v>
      </c>
      <c r="CA269" s="6">
        <f t="shared" ca="1" si="219"/>
        <v>0</v>
      </c>
      <c r="CB269" s="6" t="e">
        <f t="shared" ca="1" si="220"/>
        <v>#DIV/0!</v>
      </c>
      <c r="CC269" s="6" t="e">
        <f t="shared" ca="1" si="221"/>
        <v>#DIV/0!</v>
      </c>
      <c r="CD269" s="9">
        <f t="shared" si="222"/>
        <v>-50</v>
      </c>
      <c r="CE269" s="9">
        <f t="shared" si="223"/>
        <v>0</v>
      </c>
      <c r="CF269" s="6">
        <f t="shared" si="224"/>
        <v>3.1415926535897931</v>
      </c>
      <c r="CG269" s="6"/>
      <c r="CH269" s="6"/>
      <c r="CI269" s="6"/>
      <c r="CJ269" s="1"/>
      <c r="CK269" s="6"/>
    </row>
    <row r="270" spans="55:89" x14ac:dyDescent="0.25">
      <c r="BC270"/>
      <c r="BD270"/>
      <c r="BF270" s="6" t="e">
        <f t="shared" si="225"/>
        <v>#N/A</v>
      </c>
      <c r="BG270" s="6" t="e">
        <f t="shared" si="226"/>
        <v>#N/A</v>
      </c>
      <c r="BH270" s="6" t="e">
        <f t="shared" si="227"/>
        <v>#N/A</v>
      </c>
      <c r="BI270" s="6" t="e">
        <f t="shared" si="228"/>
        <v>#N/A</v>
      </c>
      <c r="BV270" s="38"/>
      <c r="BW270" s="6" t="e">
        <f t="shared" si="215"/>
        <v>#N/A</v>
      </c>
      <c r="BX270" s="9">
        <f t="shared" ca="1" si="216"/>
        <v>-156.7666765884093</v>
      </c>
      <c r="BY270" s="9">
        <f t="shared" ca="1" si="217"/>
        <v>84.412825855297342</v>
      </c>
      <c r="BZ270" s="9">
        <f t="shared" ca="1" si="218"/>
        <v>0</v>
      </c>
      <c r="CA270" s="6">
        <f t="shared" ca="1" si="219"/>
        <v>0</v>
      </c>
      <c r="CB270" s="6" t="e">
        <f t="shared" ca="1" si="220"/>
        <v>#DIV/0!</v>
      </c>
      <c r="CC270" s="6" t="e">
        <f t="shared" ca="1" si="221"/>
        <v>#DIV/0!</v>
      </c>
      <c r="CD270" s="9">
        <f t="shared" si="222"/>
        <v>-50</v>
      </c>
      <c r="CE270" s="9">
        <f t="shared" si="223"/>
        <v>0</v>
      </c>
      <c r="CF270" s="6">
        <f t="shared" si="224"/>
        <v>3.1415926535897931</v>
      </c>
      <c r="CG270" s="6"/>
      <c r="CH270" s="6"/>
      <c r="CI270" s="6"/>
      <c r="CJ270" s="1"/>
      <c r="CK270" s="6"/>
    </row>
    <row r="271" spans="55:89" x14ac:dyDescent="0.25">
      <c r="BC271"/>
      <c r="BD271"/>
      <c r="BF271" s="6" t="e">
        <f t="shared" si="225"/>
        <v>#N/A</v>
      </c>
      <c r="BG271" s="6" t="e">
        <f t="shared" si="226"/>
        <v>#N/A</v>
      </c>
      <c r="BH271" s="6" t="e">
        <f t="shared" si="227"/>
        <v>#N/A</v>
      </c>
      <c r="BI271" s="6" t="e">
        <f t="shared" si="228"/>
        <v>#N/A</v>
      </c>
      <c r="BV271" s="38"/>
      <c r="BW271" s="6" t="e">
        <f t="shared" si="215"/>
        <v>#N/A</v>
      </c>
      <c r="BX271" s="9">
        <f t="shared" ca="1" si="216"/>
        <v>-156.7666765884093</v>
      </c>
      <c r="BY271" s="9">
        <f t="shared" ca="1" si="217"/>
        <v>84.412825855297342</v>
      </c>
      <c r="BZ271" s="9">
        <f t="shared" ca="1" si="218"/>
        <v>0</v>
      </c>
      <c r="CA271" s="6">
        <f t="shared" ca="1" si="219"/>
        <v>0</v>
      </c>
      <c r="CB271" s="6" t="e">
        <f t="shared" ca="1" si="220"/>
        <v>#DIV/0!</v>
      </c>
      <c r="CC271" s="6" t="e">
        <f t="shared" ca="1" si="221"/>
        <v>#DIV/0!</v>
      </c>
      <c r="CD271" s="9">
        <f t="shared" si="222"/>
        <v>-50</v>
      </c>
      <c r="CE271" s="9">
        <f t="shared" si="223"/>
        <v>0</v>
      </c>
      <c r="CF271" s="6">
        <f t="shared" si="224"/>
        <v>3.1415926535897931</v>
      </c>
      <c r="CG271" s="6"/>
      <c r="CH271" s="6"/>
      <c r="CI271" s="6"/>
      <c r="CJ271" s="1"/>
      <c r="CK271" s="6"/>
    </row>
    <row r="272" spans="55:89" x14ac:dyDescent="0.25">
      <c r="BC272"/>
      <c r="BD272"/>
      <c r="BF272" s="6" t="e">
        <f t="shared" si="225"/>
        <v>#N/A</v>
      </c>
      <c r="BG272" s="6" t="e">
        <f t="shared" si="226"/>
        <v>#N/A</v>
      </c>
      <c r="BH272" s="6" t="e">
        <f t="shared" si="227"/>
        <v>#N/A</v>
      </c>
      <c r="BI272" s="6" t="e">
        <f t="shared" si="228"/>
        <v>#N/A</v>
      </c>
      <c r="BV272" s="38"/>
      <c r="BW272" s="6" t="e">
        <f t="shared" ref="BW272:BW335" si="229">IF(BC259="",NA(),BC259)</f>
        <v>#N/A</v>
      </c>
      <c r="BX272" s="9">
        <f t="shared" ref="BX272:BX335" ca="1" si="230">BD259-$BW$5</f>
        <v>-156.7666765884093</v>
      </c>
      <c r="BY272" s="9">
        <f t="shared" ref="BY272:BY335" ca="1" si="231">BE259-$BX$5</f>
        <v>84.412825855297342</v>
      </c>
      <c r="BZ272" s="9">
        <f t="shared" ref="BZ272:BZ335" ca="1" si="232">BX272-$CE$5</f>
        <v>0</v>
      </c>
      <c r="CA272" s="6">
        <f t="shared" ref="CA272:CA335" ca="1" si="233">BY272-$CF$5</f>
        <v>0</v>
      </c>
      <c r="CB272" s="6" t="e">
        <f t="shared" ref="CB272:CB335" ca="1" si="234">ATAN2(BZ272,CA272)</f>
        <v>#DIV/0!</v>
      </c>
      <c r="CC272" s="6" t="e">
        <f t="shared" ref="CC272:CC335" ca="1" si="235">ATAN2(COS(CF272-CB272),SIN(CF272-CB272))*10</f>
        <v>#DIV/0!</v>
      </c>
      <c r="CD272" s="9">
        <f t="shared" ref="CD272:CD335" si="236">BD259-$BW$6</f>
        <v>-50</v>
      </c>
      <c r="CE272" s="9">
        <f t="shared" ref="CE272:CE335" si="237">BE259-$BX$6</f>
        <v>0</v>
      </c>
      <c r="CF272" s="6">
        <f t="shared" ref="CF272:CF335" si="238">ATAN2(CD272,CE272)</f>
        <v>3.1415926535897931</v>
      </c>
      <c r="CG272" s="6"/>
      <c r="CH272" s="6"/>
      <c r="CI272" s="6"/>
      <c r="CJ272" s="1"/>
      <c r="CK272" s="6"/>
    </row>
    <row r="273" spans="55:89" x14ac:dyDescent="0.25">
      <c r="BC273"/>
      <c r="BD273"/>
      <c r="BF273" s="6" t="e">
        <f t="shared" si="225"/>
        <v>#N/A</v>
      </c>
      <c r="BG273" s="6" t="e">
        <f t="shared" si="226"/>
        <v>#N/A</v>
      </c>
      <c r="BH273" s="6" t="e">
        <f t="shared" si="227"/>
        <v>#N/A</v>
      </c>
      <c r="BI273" s="6" t="e">
        <f t="shared" si="228"/>
        <v>#N/A</v>
      </c>
      <c r="BV273" s="38"/>
      <c r="BW273" s="6" t="e">
        <f t="shared" si="229"/>
        <v>#N/A</v>
      </c>
      <c r="BX273" s="9">
        <f t="shared" ca="1" si="230"/>
        <v>-156.7666765884093</v>
      </c>
      <c r="BY273" s="9">
        <f t="shared" ca="1" si="231"/>
        <v>84.412825855297342</v>
      </c>
      <c r="BZ273" s="9">
        <f t="shared" ca="1" si="232"/>
        <v>0</v>
      </c>
      <c r="CA273" s="6">
        <f t="shared" ca="1" si="233"/>
        <v>0</v>
      </c>
      <c r="CB273" s="6" t="e">
        <f t="shared" ca="1" si="234"/>
        <v>#DIV/0!</v>
      </c>
      <c r="CC273" s="6" t="e">
        <f t="shared" ca="1" si="235"/>
        <v>#DIV/0!</v>
      </c>
      <c r="CD273" s="9">
        <f t="shared" si="236"/>
        <v>-50</v>
      </c>
      <c r="CE273" s="9">
        <f t="shared" si="237"/>
        <v>0</v>
      </c>
      <c r="CF273" s="6">
        <f t="shared" si="238"/>
        <v>3.1415926535897931</v>
      </c>
      <c r="CG273" s="6"/>
      <c r="CH273" s="6"/>
      <c r="CI273" s="6"/>
      <c r="CJ273" s="1"/>
      <c r="CK273" s="6"/>
    </row>
    <row r="274" spans="55:89" x14ac:dyDescent="0.25">
      <c r="BC274"/>
      <c r="BD274"/>
      <c r="BF274" s="6" t="e">
        <f t="shared" si="225"/>
        <v>#N/A</v>
      </c>
      <c r="BG274" s="6" t="e">
        <f t="shared" si="226"/>
        <v>#N/A</v>
      </c>
      <c r="BH274" s="6" t="e">
        <f t="shared" si="227"/>
        <v>#N/A</v>
      </c>
      <c r="BI274" s="6" t="e">
        <f t="shared" si="228"/>
        <v>#N/A</v>
      </c>
      <c r="BV274" s="38"/>
      <c r="BW274" s="6" t="e">
        <f t="shared" si="229"/>
        <v>#N/A</v>
      </c>
      <c r="BX274" s="9">
        <f t="shared" ca="1" si="230"/>
        <v>-156.7666765884093</v>
      </c>
      <c r="BY274" s="9">
        <f t="shared" ca="1" si="231"/>
        <v>84.412825855297342</v>
      </c>
      <c r="BZ274" s="9">
        <f t="shared" ca="1" si="232"/>
        <v>0</v>
      </c>
      <c r="CA274" s="6">
        <f t="shared" ca="1" si="233"/>
        <v>0</v>
      </c>
      <c r="CB274" s="6" t="e">
        <f t="shared" ca="1" si="234"/>
        <v>#DIV/0!</v>
      </c>
      <c r="CC274" s="6" t="e">
        <f t="shared" ca="1" si="235"/>
        <v>#DIV/0!</v>
      </c>
      <c r="CD274" s="9">
        <f t="shared" si="236"/>
        <v>-50</v>
      </c>
      <c r="CE274" s="9">
        <f t="shared" si="237"/>
        <v>0</v>
      </c>
      <c r="CF274" s="6">
        <f t="shared" si="238"/>
        <v>3.1415926535897931</v>
      </c>
      <c r="CG274" s="6"/>
      <c r="CH274" s="6"/>
      <c r="CI274" s="6"/>
      <c r="CJ274" s="1"/>
      <c r="CK274" s="6"/>
    </row>
    <row r="275" spans="55:89" x14ac:dyDescent="0.25">
      <c r="BC275"/>
      <c r="BD275"/>
      <c r="BF275" s="6" t="e">
        <f t="shared" si="225"/>
        <v>#N/A</v>
      </c>
      <c r="BG275" s="6" t="e">
        <f t="shared" si="226"/>
        <v>#N/A</v>
      </c>
      <c r="BH275" s="6" t="e">
        <f t="shared" si="227"/>
        <v>#N/A</v>
      </c>
      <c r="BI275" s="6" t="e">
        <f t="shared" si="228"/>
        <v>#N/A</v>
      </c>
      <c r="BV275" s="38"/>
      <c r="BW275" s="6" t="e">
        <f t="shared" si="229"/>
        <v>#N/A</v>
      </c>
      <c r="BX275" s="9">
        <f t="shared" ca="1" si="230"/>
        <v>-156.7666765884093</v>
      </c>
      <c r="BY275" s="9">
        <f t="shared" ca="1" si="231"/>
        <v>84.412825855297342</v>
      </c>
      <c r="BZ275" s="9">
        <f t="shared" ca="1" si="232"/>
        <v>0</v>
      </c>
      <c r="CA275" s="6">
        <f t="shared" ca="1" si="233"/>
        <v>0</v>
      </c>
      <c r="CB275" s="6" t="e">
        <f t="shared" ca="1" si="234"/>
        <v>#DIV/0!</v>
      </c>
      <c r="CC275" s="6" t="e">
        <f t="shared" ca="1" si="235"/>
        <v>#DIV/0!</v>
      </c>
      <c r="CD275" s="9">
        <f t="shared" si="236"/>
        <v>-50</v>
      </c>
      <c r="CE275" s="9">
        <f t="shared" si="237"/>
        <v>0</v>
      </c>
      <c r="CF275" s="6">
        <f t="shared" si="238"/>
        <v>3.1415926535897931</v>
      </c>
      <c r="CG275" s="6"/>
      <c r="CH275" s="6"/>
      <c r="CI275" s="6"/>
      <c r="CJ275" s="1"/>
      <c r="CK275" s="6"/>
    </row>
    <row r="276" spans="55:89" x14ac:dyDescent="0.25">
      <c r="BC276"/>
      <c r="BD276"/>
      <c r="BF276" s="6" t="e">
        <f t="shared" si="225"/>
        <v>#N/A</v>
      </c>
      <c r="BG276" s="6" t="e">
        <f t="shared" si="226"/>
        <v>#N/A</v>
      </c>
      <c r="BH276" s="6" t="e">
        <f t="shared" si="227"/>
        <v>#N/A</v>
      </c>
      <c r="BI276" s="6" t="e">
        <f t="shared" si="228"/>
        <v>#N/A</v>
      </c>
      <c r="BV276" s="38"/>
      <c r="BW276" s="6" t="e">
        <f t="shared" si="229"/>
        <v>#N/A</v>
      </c>
      <c r="BX276" s="9">
        <f t="shared" ca="1" si="230"/>
        <v>-156.7666765884093</v>
      </c>
      <c r="BY276" s="9">
        <f t="shared" ca="1" si="231"/>
        <v>84.412825855297342</v>
      </c>
      <c r="BZ276" s="9">
        <f t="shared" ca="1" si="232"/>
        <v>0</v>
      </c>
      <c r="CA276" s="6">
        <f t="shared" ca="1" si="233"/>
        <v>0</v>
      </c>
      <c r="CB276" s="6" t="e">
        <f t="shared" ca="1" si="234"/>
        <v>#DIV/0!</v>
      </c>
      <c r="CC276" s="6" t="e">
        <f t="shared" ca="1" si="235"/>
        <v>#DIV/0!</v>
      </c>
      <c r="CD276" s="9">
        <f t="shared" si="236"/>
        <v>-50</v>
      </c>
      <c r="CE276" s="9">
        <f t="shared" si="237"/>
        <v>0</v>
      </c>
      <c r="CF276" s="6">
        <f t="shared" si="238"/>
        <v>3.1415926535897931</v>
      </c>
      <c r="CG276" s="6"/>
      <c r="CH276" s="6"/>
      <c r="CI276" s="6"/>
      <c r="CJ276" s="1"/>
      <c r="CK276" s="6"/>
    </row>
    <row r="277" spans="55:89" x14ac:dyDescent="0.25">
      <c r="BC277"/>
      <c r="BD277"/>
      <c r="BF277" s="6" t="e">
        <f t="shared" si="225"/>
        <v>#N/A</v>
      </c>
      <c r="BG277" s="6" t="e">
        <f t="shared" si="226"/>
        <v>#N/A</v>
      </c>
      <c r="BH277" s="6" t="e">
        <f t="shared" si="227"/>
        <v>#N/A</v>
      </c>
      <c r="BI277" s="6" t="e">
        <f t="shared" si="228"/>
        <v>#N/A</v>
      </c>
      <c r="BV277" s="38"/>
      <c r="BW277" s="6" t="e">
        <f t="shared" si="229"/>
        <v>#N/A</v>
      </c>
      <c r="BX277" s="9">
        <f t="shared" ca="1" si="230"/>
        <v>-156.7666765884093</v>
      </c>
      <c r="BY277" s="9">
        <f t="shared" ca="1" si="231"/>
        <v>84.412825855297342</v>
      </c>
      <c r="BZ277" s="9">
        <f t="shared" ca="1" si="232"/>
        <v>0</v>
      </c>
      <c r="CA277" s="6">
        <f t="shared" ca="1" si="233"/>
        <v>0</v>
      </c>
      <c r="CB277" s="6" t="e">
        <f t="shared" ca="1" si="234"/>
        <v>#DIV/0!</v>
      </c>
      <c r="CC277" s="6" t="e">
        <f t="shared" ca="1" si="235"/>
        <v>#DIV/0!</v>
      </c>
      <c r="CD277" s="9">
        <f t="shared" si="236"/>
        <v>-50</v>
      </c>
      <c r="CE277" s="9">
        <f t="shared" si="237"/>
        <v>0</v>
      </c>
      <c r="CF277" s="6">
        <f t="shared" si="238"/>
        <v>3.1415926535897931</v>
      </c>
      <c r="CG277" s="6"/>
      <c r="CH277" s="6"/>
      <c r="CI277" s="6"/>
      <c r="CJ277" s="1"/>
      <c r="CK277" s="6"/>
    </row>
    <row r="278" spans="55:89" x14ac:dyDescent="0.25">
      <c r="BC278"/>
      <c r="BD278"/>
      <c r="BF278" s="6" t="e">
        <f t="shared" si="225"/>
        <v>#N/A</v>
      </c>
      <c r="BG278" s="6" t="e">
        <f t="shared" si="226"/>
        <v>#N/A</v>
      </c>
      <c r="BH278" s="6" t="e">
        <f t="shared" si="227"/>
        <v>#N/A</v>
      </c>
      <c r="BI278" s="6" t="e">
        <f t="shared" si="228"/>
        <v>#N/A</v>
      </c>
      <c r="BV278" s="38"/>
      <c r="BW278" s="6" t="e">
        <f t="shared" si="229"/>
        <v>#N/A</v>
      </c>
      <c r="BX278" s="9">
        <f t="shared" ca="1" si="230"/>
        <v>-156.7666765884093</v>
      </c>
      <c r="BY278" s="9">
        <f t="shared" ca="1" si="231"/>
        <v>84.412825855297342</v>
      </c>
      <c r="BZ278" s="9">
        <f t="shared" ca="1" si="232"/>
        <v>0</v>
      </c>
      <c r="CA278" s="6">
        <f t="shared" ca="1" si="233"/>
        <v>0</v>
      </c>
      <c r="CB278" s="6" t="e">
        <f t="shared" ca="1" si="234"/>
        <v>#DIV/0!</v>
      </c>
      <c r="CC278" s="6" t="e">
        <f t="shared" ca="1" si="235"/>
        <v>#DIV/0!</v>
      </c>
      <c r="CD278" s="9">
        <f t="shared" si="236"/>
        <v>-50</v>
      </c>
      <c r="CE278" s="9">
        <f t="shared" si="237"/>
        <v>0</v>
      </c>
      <c r="CF278" s="6">
        <f t="shared" si="238"/>
        <v>3.1415926535897931</v>
      </c>
      <c r="CG278" s="6"/>
      <c r="CH278" s="6"/>
      <c r="CI278" s="6"/>
      <c r="CJ278" s="1"/>
      <c r="CK278" s="6"/>
    </row>
    <row r="279" spans="55:89" x14ac:dyDescent="0.25">
      <c r="BC279"/>
      <c r="BD279"/>
      <c r="BF279" s="6" t="e">
        <f t="shared" si="225"/>
        <v>#N/A</v>
      </c>
      <c r="BG279" s="6" t="e">
        <f t="shared" si="226"/>
        <v>#N/A</v>
      </c>
      <c r="BH279" s="6" t="e">
        <f t="shared" si="227"/>
        <v>#N/A</v>
      </c>
      <c r="BI279" s="6" t="e">
        <f t="shared" si="228"/>
        <v>#N/A</v>
      </c>
      <c r="BV279" s="38"/>
      <c r="BW279" s="6" t="e">
        <f t="shared" si="229"/>
        <v>#N/A</v>
      </c>
      <c r="BX279" s="9">
        <f t="shared" ca="1" si="230"/>
        <v>-156.7666765884093</v>
      </c>
      <c r="BY279" s="9">
        <f t="shared" ca="1" si="231"/>
        <v>84.412825855297342</v>
      </c>
      <c r="BZ279" s="9">
        <f t="shared" ca="1" si="232"/>
        <v>0</v>
      </c>
      <c r="CA279" s="6">
        <f t="shared" ca="1" si="233"/>
        <v>0</v>
      </c>
      <c r="CB279" s="6" t="e">
        <f t="shared" ca="1" si="234"/>
        <v>#DIV/0!</v>
      </c>
      <c r="CC279" s="6" t="e">
        <f t="shared" ca="1" si="235"/>
        <v>#DIV/0!</v>
      </c>
      <c r="CD279" s="9">
        <f t="shared" si="236"/>
        <v>-50</v>
      </c>
      <c r="CE279" s="9">
        <f t="shared" si="237"/>
        <v>0</v>
      </c>
      <c r="CF279" s="6">
        <f t="shared" si="238"/>
        <v>3.1415926535897931</v>
      </c>
      <c r="CG279" s="6"/>
      <c r="CH279" s="6"/>
      <c r="CI279" s="6"/>
      <c r="CJ279" s="1"/>
      <c r="CK279" s="6"/>
    </row>
    <row r="280" spans="55:89" x14ac:dyDescent="0.25">
      <c r="BC280"/>
      <c r="BD280"/>
      <c r="BF280" s="6" t="e">
        <f t="shared" si="225"/>
        <v>#N/A</v>
      </c>
      <c r="BG280" s="6" t="e">
        <f t="shared" si="226"/>
        <v>#N/A</v>
      </c>
      <c r="BH280" s="6" t="e">
        <f t="shared" si="227"/>
        <v>#N/A</v>
      </c>
      <c r="BI280" s="6" t="e">
        <f t="shared" si="228"/>
        <v>#N/A</v>
      </c>
      <c r="BV280" s="38"/>
      <c r="BW280" s="6" t="e">
        <f t="shared" si="229"/>
        <v>#N/A</v>
      </c>
      <c r="BX280" s="9">
        <f t="shared" ca="1" si="230"/>
        <v>-156.7666765884093</v>
      </c>
      <c r="BY280" s="9">
        <f t="shared" ca="1" si="231"/>
        <v>84.412825855297342</v>
      </c>
      <c r="BZ280" s="9">
        <f t="shared" ca="1" si="232"/>
        <v>0</v>
      </c>
      <c r="CA280" s="6">
        <f t="shared" ca="1" si="233"/>
        <v>0</v>
      </c>
      <c r="CB280" s="6" t="e">
        <f t="shared" ca="1" si="234"/>
        <v>#DIV/0!</v>
      </c>
      <c r="CC280" s="6" t="e">
        <f t="shared" ca="1" si="235"/>
        <v>#DIV/0!</v>
      </c>
      <c r="CD280" s="9">
        <f t="shared" si="236"/>
        <v>-50</v>
      </c>
      <c r="CE280" s="9">
        <f t="shared" si="237"/>
        <v>0</v>
      </c>
      <c r="CF280" s="6">
        <f t="shared" si="238"/>
        <v>3.1415926535897931</v>
      </c>
      <c r="CG280" s="6"/>
      <c r="CH280" s="6"/>
      <c r="CI280" s="6"/>
      <c r="CJ280" s="1"/>
      <c r="CK280" s="6"/>
    </row>
    <row r="281" spans="55:89" x14ac:dyDescent="0.25">
      <c r="BC281"/>
      <c r="BD281"/>
      <c r="BF281" s="6" t="e">
        <f t="shared" si="225"/>
        <v>#N/A</v>
      </c>
      <c r="BG281" s="6" t="e">
        <f t="shared" si="226"/>
        <v>#N/A</v>
      </c>
      <c r="BH281" s="6" t="e">
        <f t="shared" si="227"/>
        <v>#N/A</v>
      </c>
      <c r="BI281" s="6" t="e">
        <f t="shared" si="228"/>
        <v>#N/A</v>
      </c>
      <c r="BV281" s="38"/>
      <c r="BW281" s="6" t="e">
        <f t="shared" si="229"/>
        <v>#N/A</v>
      </c>
      <c r="BX281" s="9">
        <f t="shared" ca="1" si="230"/>
        <v>-156.7666765884093</v>
      </c>
      <c r="BY281" s="9">
        <f t="shared" ca="1" si="231"/>
        <v>84.412825855297342</v>
      </c>
      <c r="BZ281" s="9">
        <f t="shared" ca="1" si="232"/>
        <v>0</v>
      </c>
      <c r="CA281" s="6">
        <f t="shared" ca="1" si="233"/>
        <v>0</v>
      </c>
      <c r="CB281" s="6" t="e">
        <f t="shared" ca="1" si="234"/>
        <v>#DIV/0!</v>
      </c>
      <c r="CC281" s="6" t="e">
        <f t="shared" ca="1" si="235"/>
        <v>#DIV/0!</v>
      </c>
      <c r="CD281" s="9">
        <f t="shared" si="236"/>
        <v>-50</v>
      </c>
      <c r="CE281" s="9">
        <f t="shared" si="237"/>
        <v>0</v>
      </c>
      <c r="CF281" s="6">
        <f t="shared" si="238"/>
        <v>3.1415926535897931</v>
      </c>
      <c r="CG281" s="6"/>
      <c r="CH281" s="6"/>
      <c r="CI281" s="6"/>
      <c r="CJ281" s="1"/>
      <c r="CK281" s="6"/>
    </row>
    <row r="282" spans="55:89" x14ac:dyDescent="0.25">
      <c r="BC282"/>
      <c r="BD282"/>
      <c r="BF282" s="6" t="e">
        <f t="shared" si="225"/>
        <v>#N/A</v>
      </c>
      <c r="BG282" s="6" t="e">
        <f t="shared" si="226"/>
        <v>#N/A</v>
      </c>
      <c r="BH282" s="6" t="e">
        <f t="shared" si="227"/>
        <v>#N/A</v>
      </c>
      <c r="BI282" s="6" t="e">
        <f t="shared" si="228"/>
        <v>#N/A</v>
      </c>
      <c r="BV282" s="38"/>
      <c r="BW282" s="6" t="e">
        <f t="shared" si="229"/>
        <v>#N/A</v>
      </c>
      <c r="BX282" s="9">
        <f t="shared" ca="1" si="230"/>
        <v>-156.7666765884093</v>
      </c>
      <c r="BY282" s="9">
        <f t="shared" ca="1" si="231"/>
        <v>84.412825855297342</v>
      </c>
      <c r="BZ282" s="9">
        <f t="shared" ca="1" si="232"/>
        <v>0</v>
      </c>
      <c r="CA282" s="6">
        <f t="shared" ca="1" si="233"/>
        <v>0</v>
      </c>
      <c r="CB282" s="6" t="e">
        <f t="shared" ca="1" si="234"/>
        <v>#DIV/0!</v>
      </c>
      <c r="CC282" s="6" t="e">
        <f t="shared" ca="1" si="235"/>
        <v>#DIV/0!</v>
      </c>
      <c r="CD282" s="9">
        <f t="shared" si="236"/>
        <v>-50</v>
      </c>
      <c r="CE282" s="9">
        <f t="shared" si="237"/>
        <v>0</v>
      </c>
      <c r="CF282" s="6">
        <f t="shared" si="238"/>
        <v>3.1415926535897931</v>
      </c>
      <c r="CG282" s="6"/>
      <c r="CH282" s="6"/>
      <c r="CI282" s="6"/>
      <c r="CJ282" s="1"/>
      <c r="CK282" s="6"/>
    </row>
    <row r="283" spans="55:89" x14ac:dyDescent="0.25">
      <c r="BC283"/>
      <c r="BD283"/>
      <c r="BF283" s="6" t="e">
        <f t="shared" si="225"/>
        <v>#N/A</v>
      </c>
      <c r="BG283" s="6" t="e">
        <f t="shared" si="226"/>
        <v>#N/A</v>
      </c>
      <c r="BH283" s="6" t="e">
        <f t="shared" si="227"/>
        <v>#N/A</v>
      </c>
      <c r="BI283" s="6" t="e">
        <f t="shared" si="228"/>
        <v>#N/A</v>
      </c>
      <c r="BV283" s="38"/>
      <c r="BW283" s="6" t="e">
        <f t="shared" si="229"/>
        <v>#N/A</v>
      </c>
      <c r="BX283" s="9">
        <f t="shared" ca="1" si="230"/>
        <v>-156.7666765884093</v>
      </c>
      <c r="BY283" s="9">
        <f t="shared" ca="1" si="231"/>
        <v>84.412825855297342</v>
      </c>
      <c r="BZ283" s="9">
        <f t="shared" ca="1" si="232"/>
        <v>0</v>
      </c>
      <c r="CA283" s="6">
        <f t="shared" ca="1" si="233"/>
        <v>0</v>
      </c>
      <c r="CB283" s="6" t="e">
        <f t="shared" ca="1" si="234"/>
        <v>#DIV/0!</v>
      </c>
      <c r="CC283" s="6" t="e">
        <f t="shared" ca="1" si="235"/>
        <v>#DIV/0!</v>
      </c>
      <c r="CD283" s="9">
        <f t="shared" si="236"/>
        <v>-50</v>
      </c>
      <c r="CE283" s="9">
        <f t="shared" si="237"/>
        <v>0</v>
      </c>
      <c r="CF283" s="6">
        <f t="shared" si="238"/>
        <v>3.1415926535897931</v>
      </c>
      <c r="CG283" s="6"/>
      <c r="CH283" s="6"/>
      <c r="CI283" s="6"/>
      <c r="CJ283" s="1"/>
      <c r="CK283" s="6"/>
    </row>
    <row r="284" spans="55:89" x14ac:dyDescent="0.25">
      <c r="BC284"/>
      <c r="BD284"/>
      <c r="BF284" s="6" t="e">
        <f t="shared" si="225"/>
        <v>#N/A</v>
      </c>
      <c r="BG284" s="6" t="e">
        <f t="shared" si="226"/>
        <v>#N/A</v>
      </c>
      <c r="BH284" s="6" t="e">
        <f t="shared" si="227"/>
        <v>#N/A</v>
      </c>
      <c r="BI284" s="6" t="e">
        <f t="shared" si="228"/>
        <v>#N/A</v>
      </c>
      <c r="BV284" s="38"/>
      <c r="BW284" s="6" t="e">
        <f t="shared" si="229"/>
        <v>#N/A</v>
      </c>
      <c r="BX284" s="9">
        <f t="shared" ca="1" si="230"/>
        <v>-156.7666765884093</v>
      </c>
      <c r="BY284" s="9">
        <f t="shared" ca="1" si="231"/>
        <v>84.412825855297342</v>
      </c>
      <c r="BZ284" s="9">
        <f t="shared" ca="1" si="232"/>
        <v>0</v>
      </c>
      <c r="CA284" s="6">
        <f t="shared" ca="1" si="233"/>
        <v>0</v>
      </c>
      <c r="CB284" s="6" t="e">
        <f t="shared" ca="1" si="234"/>
        <v>#DIV/0!</v>
      </c>
      <c r="CC284" s="6" t="e">
        <f t="shared" ca="1" si="235"/>
        <v>#DIV/0!</v>
      </c>
      <c r="CD284" s="9">
        <f t="shared" si="236"/>
        <v>-50</v>
      </c>
      <c r="CE284" s="9">
        <f t="shared" si="237"/>
        <v>0</v>
      </c>
      <c r="CF284" s="6">
        <f t="shared" si="238"/>
        <v>3.1415926535897931</v>
      </c>
      <c r="CG284" s="6"/>
      <c r="CH284" s="6"/>
      <c r="CI284" s="6"/>
      <c r="CJ284" s="1"/>
      <c r="CK284" s="6"/>
    </row>
    <row r="285" spans="55:89" x14ac:dyDescent="0.25">
      <c r="BC285"/>
      <c r="BD285"/>
      <c r="BF285" s="6" t="e">
        <f t="shared" si="225"/>
        <v>#N/A</v>
      </c>
      <c r="BG285" s="6" t="e">
        <f t="shared" si="226"/>
        <v>#N/A</v>
      </c>
      <c r="BH285" s="6" t="e">
        <f t="shared" si="227"/>
        <v>#N/A</v>
      </c>
      <c r="BI285" s="6" t="e">
        <f t="shared" si="228"/>
        <v>#N/A</v>
      </c>
      <c r="BV285" s="38"/>
      <c r="BW285" s="6" t="e">
        <f t="shared" si="229"/>
        <v>#N/A</v>
      </c>
      <c r="BX285" s="9">
        <f t="shared" ca="1" si="230"/>
        <v>-156.7666765884093</v>
      </c>
      <c r="BY285" s="9">
        <f t="shared" ca="1" si="231"/>
        <v>84.412825855297342</v>
      </c>
      <c r="BZ285" s="9">
        <f t="shared" ca="1" si="232"/>
        <v>0</v>
      </c>
      <c r="CA285" s="6">
        <f t="shared" ca="1" si="233"/>
        <v>0</v>
      </c>
      <c r="CB285" s="6" t="e">
        <f t="shared" ca="1" si="234"/>
        <v>#DIV/0!</v>
      </c>
      <c r="CC285" s="6" t="e">
        <f t="shared" ca="1" si="235"/>
        <v>#DIV/0!</v>
      </c>
      <c r="CD285" s="9">
        <f t="shared" si="236"/>
        <v>-50</v>
      </c>
      <c r="CE285" s="9">
        <f t="shared" si="237"/>
        <v>0</v>
      </c>
      <c r="CF285" s="6">
        <f t="shared" si="238"/>
        <v>3.1415926535897931</v>
      </c>
      <c r="CG285" s="6"/>
      <c r="CH285" s="6"/>
      <c r="CI285" s="6"/>
      <c r="CJ285" s="1"/>
      <c r="CK285" s="6"/>
    </row>
    <row r="286" spans="55:89" x14ac:dyDescent="0.25">
      <c r="BC286"/>
      <c r="BD286"/>
      <c r="BF286" s="6" t="e">
        <f t="shared" si="225"/>
        <v>#N/A</v>
      </c>
      <c r="BG286" s="6" t="e">
        <f t="shared" si="226"/>
        <v>#N/A</v>
      </c>
      <c r="BH286" s="6" t="e">
        <f t="shared" si="227"/>
        <v>#N/A</v>
      </c>
      <c r="BI286" s="6" t="e">
        <f t="shared" si="228"/>
        <v>#N/A</v>
      </c>
      <c r="BV286" s="38"/>
      <c r="BW286" s="6" t="e">
        <f t="shared" si="229"/>
        <v>#N/A</v>
      </c>
      <c r="BX286" s="9">
        <f t="shared" ca="1" si="230"/>
        <v>-156.7666765884093</v>
      </c>
      <c r="BY286" s="9">
        <f t="shared" ca="1" si="231"/>
        <v>84.412825855297342</v>
      </c>
      <c r="BZ286" s="9">
        <f t="shared" ca="1" si="232"/>
        <v>0</v>
      </c>
      <c r="CA286" s="6">
        <f t="shared" ca="1" si="233"/>
        <v>0</v>
      </c>
      <c r="CB286" s="6" t="e">
        <f t="shared" ca="1" si="234"/>
        <v>#DIV/0!</v>
      </c>
      <c r="CC286" s="6" t="e">
        <f t="shared" ca="1" si="235"/>
        <v>#DIV/0!</v>
      </c>
      <c r="CD286" s="9">
        <f t="shared" si="236"/>
        <v>-50</v>
      </c>
      <c r="CE286" s="9">
        <f t="shared" si="237"/>
        <v>0</v>
      </c>
      <c r="CF286" s="6">
        <f t="shared" si="238"/>
        <v>3.1415926535897931</v>
      </c>
      <c r="CG286" s="6"/>
      <c r="CH286" s="6"/>
      <c r="CI286" s="6"/>
      <c r="CJ286" s="1"/>
      <c r="CK286" s="6"/>
    </row>
    <row r="287" spans="55:89" x14ac:dyDescent="0.25">
      <c r="BC287"/>
      <c r="BD287"/>
      <c r="BF287" s="6" t="e">
        <f t="shared" si="225"/>
        <v>#N/A</v>
      </c>
      <c r="BG287" s="6" t="e">
        <f t="shared" si="226"/>
        <v>#N/A</v>
      </c>
      <c r="BH287" s="6" t="e">
        <f t="shared" si="227"/>
        <v>#N/A</v>
      </c>
      <c r="BI287" s="6" t="e">
        <f t="shared" si="228"/>
        <v>#N/A</v>
      </c>
      <c r="BV287" s="38"/>
      <c r="BW287" s="6" t="e">
        <f t="shared" si="229"/>
        <v>#N/A</v>
      </c>
      <c r="BX287" s="9">
        <f t="shared" ca="1" si="230"/>
        <v>-156.7666765884093</v>
      </c>
      <c r="BY287" s="9">
        <f t="shared" ca="1" si="231"/>
        <v>84.412825855297342</v>
      </c>
      <c r="BZ287" s="9">
        <f t="shared" ca="1" si="232"/>
        <v>0</v>
      </c>
      <c r="CA287" s="6">
        <f t="shared" ca="1" si="233"/>
        <v>0</v>
      </c>
      <c r="CB287" s="6" t="e">
        <f t="shared" ca="1" si="234"/>
        <v>#DIV/0!</v>
      </c>
      <c r="CC287" s="6" t="e">
        <f t="shared" ca="1" si="235"/>
        <v>#DIV/0!</v>
      </c>
      <c r="CD287" s="9">
        <f t="shared" si="236"/>
        <v>-50</v>
      </c>
      <c r="CE287" s="9">
        <f t="shared" si="237"/>
        <v>0</v>
      </c>
      <c r="CF287" s="6">
        <f t="shared" si="238"/>
        <v>3.1415926535897931</v>
      </c>
      <c r="CG287" s="6"/>
      <c r="CH287" s="6"/>
      <c r="CI287" s="6"/>
      <c r="CJ287" s="1"/>
      <c r="CK287" s="6"/>
    </row>
    <row r="288" spans="55:89" x14ac:dyDescent="0.25">
      <c r="BC288"/>
      <c r="BD288"/>
      <c r="BF288" s="6" t="e">
        <f t="shared" si="225"/>
        <v>#N/A</v>
      </c>
      <c r="BG288" s="6" t="e">
        <f t="shared" si="226"/>
        <v>#N/A</v>
      </c>
      <c r="BH288" s="6" t="e">
        <f t="shared" si="227"/>
        <v>#N/A</v>
      </c>
      <c r="BI288" s="6" t="e">
        <f t="shared" si="228"/>
        <v>#N/A</v>
      </c>
      <c r="BV288" s="38"/>
      <c r="BW288" s="6" t="e">
        <f t="shared" si="229"/>
        <v>#N/A</v>
      </c>
      <c r="BX288" s="9">
        <f t="shared" ca="1" si="230"/>
        <v>-156.7666765884093</v>
      </c>
      <c r="BY288" s="9">
        <f t="shared" ca="1" si="231"/>
        <v>84.412825855297342</v>
      </c>
      <c r="BZ288" s="9">
        <f t="shared" ca="1" si="232"/>
        <v>0</v>
      </c>
      <c r="CA288" s="6">
        <f t="shared" ca="1" si="233"/>
        <v>0</v>
      </c>
      <c r="CB288" s="6" t="e">
        <f t="shared" ca="1" si="234"/>
        <v>#DIV/0!</v>
      </c>
      <c r="CC288" s="6" t="e">
        <f t="shared" ca="1" si="235"/>
        <v>#DIV/0!</v>
      </c>
      <c r="CD288" s="9">
        <f t="shared" si="236"/>
        <v>-50</v>
      </c>
      <c r="CE288" s="9">
        <f t="shared" si="237"/>
        <v>0</v>
      </c>
      <c r="CF288" s="6">
        <f t="shared" si="238"/>
        <v>3.1415926535897931</v>
      </c>
      <c r="CG288" s="6"/>
      <c r="CH288" s="6"/>
      <c r="CI288" s="6"/>
      <c r="CJ288" s="1"/>
      <c r="CK288" s="6"/>
    </row>
    <row r="289" spans="55:89" x14ac:dyDescent="0.25">
      <c r="BC289"/>
      <c r="BD289"/>
      <c r="BF289" s="6" t="e">
        <f t="shared" si="225"/>
        <v>#N/A</v>
      </c>
      <c r="BG289" s="6" t="e">
        <f t="shared" si="226"/>
        <v>#N/A</v>
      </c>
      <c r="BH289" s="6" t="e">
        <f t="shared" si="227"/>
        <v>#N/A</v>
      </c>
      <c r="BI289" s="6" t="e">
        <f t="shared" si="228"/>
        <v>#N/A</v>
      </c>
      <c r="BV289" s="38"/>
      <c r="BW289" s="6" t="e">
        <f t="shared" si="229"/>
        <v>#N/A</v>
      </c>
      <c r="BX289" s="9">
        <f t="shared" ca="1" si="230"/>
        <v>-156.7666765884093</v>
      </c>
      <c r="BY289" s="9">
        <f t="shared" ca="1" si="231"/>
        <v>84.412825855297342</v>
      </c>
      <c r="BZ289" s="9">
        <f t="shared" ca="1" si="232"/>
        <v>0</v>
      </c>
      <c r="CA289" s="6">
        <f t="shared" ca="1" si="233"/>
        <v>0</v>
      </c>
      <c r="CB289" s="6" t="e">
        <f t="shared" ca="1" si="234"/>
        <v>#DIV/0!</v>
      </c>
      <c r="CC289" s="6" t="e">
        <f t="shared" ca="1" si="235"/>
        <v>#DIV/0!</v>
      </c>
      <c r="CD289" s="9">
        <f t="shared" si="236"/>
        <v>-50</v>
      </c>
      <c r="CE289" s="9">
        <f t="shared" si="237"/>
        <v>0</v>
      </c>
      <c r="CF289" s="6">
        <f t="shared" si="238"/>
        <v>3.1415926535897931</v>
      </c>
      <c r="CG289" s="6"/>
      <c r="CH289" s="6"/>
      <c r="CI289" s="6"/>
      <c r="CJ289" s="1"/>
      <c r="CK289" s="6"/>
    </row>
    <row r="290" spans="55:89" x14ac:dyDescent="0.25">
      <c r="BC290"/>
      <c r="BD290"/>
      <c r="BF290" s="6" t="e">
        <f t="shared" si="225"/>
        <v>#N/A</v>
      </c>
      <c r="BG290" s="6" t="e">
        <f t="shared" si="226"/>
        <v>#N/A</v>
      </c>
      <c r="BH290" s="6" t="e">
        <f t="shared" si="227"/>
        <v>#N/A</v>
      </c>
      <c r="BI290" s="6" t="e">
        <f t="shared" si="228"/>
        <v>#N/A</v>
      </c>
      <c r="BV290" s="38"/>
      <c r="BW290" s="6" t="e">
        <f t="shared" si="229"/>
        <v>#N/A</v>
      </c>
      <c r="BX290" s="9">
        <f t="shared" ca="1" si="230"/>
        <v>-156.7666765884093</v>
      </c>
      <c r="BY290" s="9">
        <f t="shared" ca="1" si="231"/>
        <v>84.412825855297342</v>
      </c>
      <c r="BZ290" s="9">
        <f t="shared" ca="1" si="232"/>
        <v>0</v>
      </c>
      <c r="CA290" s="6">
        <f t="shared" ca="1" si="233"/>
        <v>0</v>
      </c>
      <c r="CB290" s="6" t="e">
        <f t="shared" ca="1" si="234"/>
        <v>#DIV/0!</v>
      </c>
      <c r="CC290" s="6" t="e">
        <f t="shared" ca="1" si="235"/>
        <v>#DIV/0!</v>
      </c>
      <c r="CD290" s="9">
        <f t="shared" si="236"/>
        <v>-50</v>
      </c>
      <c r="CE290" s="9">
        <f t="shared" si="237"/>
        <v>0</v>
      </c>
      <c r="CF290" s="6">
        <f t="shared" si="238"/>
        <v>3.1415926535897931</v>
      </c>
      <c r="CG290" s="6"/>
      <c r="CH290" s="6"/>
      <c r="CI290" s="6"/>
      <c r="CJ290" s="1"/>
      <c r="CK290" s="6"/>
    </row>
    <row r="291" spans="55:89" x14ac:dyDescent="0.25">
      <c r="BC291"/>
      <c r="BD291"/>
      <c r="BF291" s="6" t="e">
        <f t="shared" si="225"/>
        <v>#N/A</v>
      </c>
      <c r="BG291" s="6" t="e">
        <f t="shared" si="226"/>
        <v>#N/A</v>
      </c>
      <c r="BH291" s="6" t="e">
        <f t="shared" si="227"/>
        <v>#N/A</v>
      </c>
      <c r="BI291" s="6" t="e">
        <f t="shared" si="228"/>
        <v>#N/A</v>
      </c>
      <c r="BV291" s="38"/>
      <c r="BW291" s="6" t="e">
        <f t="shared" si="229"/>
        <v>#N/A</v>
      </c>
      <c r="BX291" s="9">
        <f t="shared" ca="1" si="230"/>
        <v>-156.7666765884093</v>
      </c>
      <c r="BY291" s="9">
        <f t="shared" ca="1" si="231"/>
        <v>84.412825855297342</v>
      </c>
      <c r="BZ291" s="9">
        <f t="shared" ca="1" si="232"/>
        <v>0</v>
      </c>
      <c r="CA291" s="6">
        <f t="shared" ca="1" si="233"/>
        <v>0</v>
      </c>
      <c r="CB291" s="6" t="e">
        <f t="shared" ca="1" si="234"/>
        <v>#DIV/0!</v>
      </c>
      <c r="CC291" s="6" t="e">
        <f t="shared" ca="1" si="235"/>
        <v>#DIV/0!</v>
      </c>
      <c r="CD291" s="9">
        <f t="shared" si="236"/>
        <v>-50</v>
      </c>
      <c r="CE291" s="9">
        <f t="shared" si="237"/>
        <v>0</v>
      </c>
      <c r="CF291" s="6">
        <f t="shared" si="238"/>
        <v>3.1415926535897931</v>
      </c>
      <c r="CG291" s="6"/>
      <c r="CH291" s="6"/>
      <c r="CI291" s="6"/>
      <c r="CJ291" s="1"/>
      <c r="CK291" s="6"/>
    </row>
    <row r="292" spans="55:89" x14ac:dyDescent="0.25">
      <c r="BC292"/>
      <c r="BD292"/>
      <c r="BF292" s="6" t="e">
        <f t="shared" si="225"/>
        <v>#N/A</v>
      </c>
      <c r="BG292" s="6" t="e">
        <f t="shared" si="226"/>
        <v>#N/A</v>
      </c>
      <c r="BH292" s="6" t="e">
        <f t="shared" si="227"/>
        <v>#N/A</v>
      </c>
      <c r="BI292" s="6" t="e">
        <f t="shared" si="228"/>
        <v>#N/A</v>
      </c>
      <c r="BV292" s="38"/>
      <c r="BW292" s="6" t="e">
        <f t="shared" si="229"/>
        <v>#N/A</v>
      </c>
      <c r="BX292" s="9">
        <f t="shared" ca="1" si="230"/>
        <v>-156.7666765884093</v>
      </c>
      <c r="BY292" s="9">
        <f t="shared" ca="1" si="231"/>
        <v>84.412825855297342</v>
      </c>
      <c r="BZ292" s="9">
        <f t="shared" ca="1" si="232"/>
        <v>0</v>
      </c>
      <c r="CA292" s="6">
        <f t="shared" ca="1" si="233"/>
        <v>0</v>
      </c>
      <c r="CB292" s="6" t="e">
        <f t="shared" ca="1" si="234"/>
        <v>#DIV/0!</v>
      </c>
      <c r="CC292" s="6" t="e">
        <f t="shared" ca="1" si="235"/>
        <v>#DIV/0!</v>
      </c>
      <c r="CD292" s="9">
        <f t="shared" si="236"/>
        <v>-50</v>
      </c>
      <c r="CE292" s="9">
        <f t="shared" si="237"/>
        <v>0</v>
      </c>
      <c r="CF292" s="6">
        <f t="shared" si="238"/>
        <v>3.1415926535897931</v>
      </c>
      <c r="CG292" s="6"/>
      <c r="CH292" s="6"/>
      <c r="CI292" s="6"/>
      <c r="CJ292" s="1"/>
      <c r="CK292" s="6"/>
    </row>
    <row r="293" spans="55:89" x14ac:dyDescent="0.25">
      <c r="BC293"/>
      <c r="BD293"/>
      <c r="BF293" s="6" t="e">
        <f t="shared" si="225"/>
        <v>#N/A</v>
      </c>
      <c r="BG293" s="6" t="e">
        <f t="shared" si="226"/>
        <v>#N/A</v>
      </c>
      <c r="BH293" s="6" t="e">
        <f t="shared" si="227"/>
        <v>#N/A</v>
      </c>
      <c r="BI293" s="6" t="e">
        <f t="shared" si="228"/>
        <v>#N/A</v>
      </c>
      <c r="BV293" s="38"/>
      <c r="BW293" s="6" t="e">
        <f t="shared" si="229"/>
        <v>#N/A</v>
      </c>
      <c r="BX293" s="9">
        <f t="shared" ca="1" si="230"/>
        <v>-156.7666765884093</v>
      </c>
      <c r="BY293" s="9">
        <f t="shared" ca="1" si="231"/>
        <v>84.412825855297342</v>
      </c>
      <c r="BZ293" s="9">
        <f t="shared" ca="1" si="232"/>
        <v>0</v>
      </c>
      <c r="CA293" s="6">
        <f t="shared" ca="1" si="233"/>
        <v>0</v>
      </c>
      <c r="CB293" s="6" t="e">
        <f t="shared" ca="1" si="234"/>
        <v>#DIV/0!</v>
      </c>
      <c r="CC293" s="6" t="e">
        <f t="shared" ca="1" si="235"/>
        <v>#DIV/0!</v>
      </c>
      <c r="CD293" s="9">
        <f t="shared" si="236"/>
        <v>-50</v>
      </c>
      <c r="CE293" s="9">
        <f t="shared" si="237"/>
        <v>0</v>
      </c>
      <c r="CF293" s="6">
        <f t="shared" si="238"/>
        <v>3.1415926535897931</v>
      </c>
      <c r="CG293" s="6"/>
      <c r="CH293" s="6"/>
      <c r="CI293" s="6"/>
      <c r="CJ293" s="1"/>
      <c r="CK293" s="6"/>
    </row>
    <row r="294" spans="55:89" x14ac:dyDescent="0.25">
      <c r="BC294"/>
      <c r="BD294"/>
      <c r="BF294" s="6" t="e">
        <f t="shared" si="225"/>
        <v>#N/A</v>
      </c>
      <c r="BG294" s="6" t="e">
        <f t="shared" si="226"/>
        <v>#N/A</v>
      </c>
      <c r="BH294" s="6" t="e">
        <f t="shared" si="227"/>
        <v>#N/A</v>
      </c>
      <c r="BI294" s="6" t="e">
        <f t="shared" si="228"/>
        <v>#N/A</v>
      </c>
      <c r="BV294" s="38"/>
      <c r="BW294" s="6" t="e">
        <f t="shared" si="229"/>
        <v>#N/A</v>
      </c>
      <c r="BX294" s="9">
        <f t="shared" ca="1" si="230"/>
        <v>-156.7666765884093</v>
      </c>
      <c r="BY294" s="9">
        <f t="shared" ca="1" si="231"/>
        <v>84.412825855297342</v>
      </c>
      <c r="BZ294" s="9">
        <f t="shared" ca="1" si="232"/>
        <v>0</v>
      </c>
      <c r="CA294" s="6">
        <f t="shared" ca="1" si="233"/>
        <v>0</v>
      </c>
      <c r="CB294" s="6" t="e">
        <f t="shared" ca="1" si="234"/>
        <v>#DIV/0!</v>
      </c>
      <c r="CC294" s="6" t="e">
        <f t="shared" ca="1" si="235"/>
        <v>#DIV/0!</v>
      </c>
      <c r="CD294" s="9">
        <f t="shared" si="236"/>
        <v>-50</v>
      </c>
      <c r="CE294" s="9">
        <f t="shared" si="237"/>
        <v>0</v>
      </c>
      <c r="CF294" s="6">
        <f t="shared" si="238"/>
        <v>3.1415926535897931</v>
      </c>
      <c r="CG294" s="6"/>
      <c r="CH294" s="6"/>
      <c r="CI294" s="6"/>
      <c r="CJ294" s="1"/>
      <c r="CK294" s="6"/>
    </row>
    <row r="295" spans="55:89" x14ac:dyDescent="0.25">
      <c r="BC295"/>
      <c r="BD295"/>
      <c r="BF295" s="6" t="e">
        <f t="shared" si="225"/>
        <v>#N/A</v>
      </c>
      <c r="BG295" s="6" t="e">
        <f t="shared" si="226"/>
        <v>#N/A</v>
      </c>
      <c r="BH295" s="6" t="e">
        <f t="shared" si="227"/>
        <v>#N/A</v>
      </c>
      <c r="BI295" s="6" t="e">
        <f t="shared" si="228"/>
        <v>#N/A</v>
      </c>
      <c r="BV295" s="38"/>
      <c r="BW295" s="6" t="e">
        <f t="shared" si="229"/>
        <v>#N/A</v>
      </c>
      <c r="BX295" s="9">
        <f t="shared" ca="1" si="230"/>
        <v>-156.7666765884093</v>
      </c>
      <c r="BY295" s="9">
        <f t="shared" ca="1" si="231"/>
        <v>84.412825855297342</v>
      </c>
      <c r="BZ295" s="9">
        <f t="shared" ca="1" si="232"/>
        <v>0</v>
      </c>
      <c r="CA295" s="6">
        <f t="shared" ca="1" si="233"/>
        <v>0</v>
      </c>
      <c r="CB295" s="6" t="e">
        <f t="shared" ca="1" si="234"/>
        <v>#DIV/0!</v>
      </c>
      <c r="CC295" s="6" t="e">
        <f t="shared" ca="1" si="235"/>
        <v>#DIV/0!</v>
      </c>
      <c r="CD295" s="9">
        <f t="shared" si="236"/>
        <v>-50</v>
      </c>
      <c r="CE295" s="9">
        <f t="shared" si="237"/>
        <v>0</v>
      </c>
      <c r="CF295" s="6">
        <f t="shared" si="238"/>
        <v>3.1415926535897931</v>
      </c>
      <c r="CG295" s="6"/>
      <c r="CH295" s="6"/>
      <c r="CI295" s="6"/>
      <c r="CJ295" s="1"/>
      <c r="CK295" s="6"/>
    </row>
    <row r="296" spans="55:89" x14ac:dyDescent="0.25">
      <c r="BC296"/>
      <c r="BD296"/>
      <c r="BF296" s="6" t="e">
        <f t="shared" si="225"/>
        <v>#N/A</v>
      </c>
      <c r="BG296" s="6" t="e">
        <f t="shared" si="226"/>
        <v>#N/A</v>
      </c>
      <c r="BH296" s="6" t="e">
        <f t="shared" si="227"/>
        <v>#N/A</v>
      </c>
      <c r="BI296" s="6" t="e">
        <f t="shared" si="228"/>
        <v>#N/A</v>
      </c>
      <c r="BV296" s="38"/>
      <c r="BW296" s="6" t="e">
        <f t="shared" si="229"/>
        <v>#N/A</v>
      </c>
      <c r="BX296" s="9">
        <f t="shared" ca="1" si="230"/>
        <v>-156.7666765884093</v>
      </c>
      <c r="BY296" s="9">
        <f t="shared" ca="1" si="231"/>
        <v>84.412825855297342</v>
      </c>
      <c r="BZ296" s="9">
        <f t="shared" ca="1" si="232"/>
        <v>0</v>
      </c>
      <c r="CA296" s="6">
        <f t="shared" ca="1" si="233"/>
        <v>0</v>
      </c>
      <c r="CB296" s="6" t="e">
        <f t="shared" ca="1" si="234"/>
        <v>#DIV/0!</v>
      </c>
      <c r="CC296" s="6" t="e">
        <f t="shared" ca="1" si="235"/>
        <v>#DIV/0!</v>
      </c>
      <c r="CD296" s="9">
        <f t="shared" si="236"/>
        <v>-50</v>
      </c>
      <c r="CE296" s="9">
        <f t="shared" si="237"/>
        <v>0</v>
      </c>
      <c r="CF296" s="6">
        <f t="shared" si="238"/>
        <v>3.1415926535897931</v>
      </c>
      <c r="CG296" s="6"/>
      <c r="CH296" s="6"/>
      <c r="CI296" s="6"/>
      <c r="CJ296" s="1"/>
      <c r="CK296" s="6"/>
    </row>
    <row r="297" spans="55:89" x14ac:dyDescent="0.25">
      <c r="BC297"/>
      <c r="BD297"/>
      <c r="BF297" s="6" t="e">
        <f t="shared" si="225"/>
        <v>#N/A</v>
      </c>
      <c r="BG297" s="6" t="e">
        <f t="shared" si="226"/>
        <v>#N/A</v>
      </c>
      <c r="BH297" s="6" t="e">
        <f t="shared" si="227"/>
        <v>#N/A</v>
      </c>
      <c r="BI297" s="6" t="e">
        <f t="shared" si="228"/>
        <v>#N/A</v>
      </c>
      <c r="BV297" s="38"/>
      <c r="BW297" s="6" t="e">
        <f t="shared" si="229"/>
        <v>#N/A</v>
      </c>
      <c r="BX297" s="9">
        <f t="shared" ca="1" si="230"/>
        <v>-156.7666765884093</v>
      </c>
      <c r="BY297" s="9">
        <f t="shared" ca="1" si="231"/>
        <v>84.412825855297342</v>
      </c>
      <c r="BZ297" s="9">
        <f t="shared" ca="1" si="232"/>
        <v>0</v>
      </c>
      <c r="CA297" s="6">
        <f t="shared" ca="1" si="233"/>
        <v>0</v>
      </c>
      <c r="CB297" s="6" t="e">
        <f t="shared" ca="1" si="234"/>
        <v>#DIV/0!</v>
      </c>
      <c r="CC297" s="6" t="e">
        <f t="shared" ca="1" si="235"/>
        <v>#DIV/0!</v>
      </c>
      <c r="CD297" s="9">
        <f t="shared" si="236"/>
        <v>-50</v>
      </c>
      <c r="CE297" s="9">
        <f t="shared" si="237"/>
        <v>0</v>
      </c>
      <c r="CF297" s="6">
        <f t="shared" si="238"/>
        <v>3.1415926535897931</v>
      </c>
      <c r="CG297" s="6"/>
      <c r="CH297" s="6"/>
      <c r="CI297" s="6"/>
      <c r="CJ297" s="1"/>
      <c r="CK297" s="6"/>
    </row>
    <row r="298" spans="55:89" x14ac:dyDescent="0.25">
      <c r="BC298"/>
      <c r="BD298"/>
      <c r="BF298" s="6" t="e">
        <f t="shared" si="225"/>
        <v>#N/A</v>
      </c>
      <c r="BG298" s="6" t="e">
        <f t="shared" si="226"/>
        <v>#N/A</v>
      </c>
      <c r="BH298" s="6" t="e">
        <f t="shared" si="227"/>
        <v>#N/A</v>
      </c>
      <c r="BI298" s="6" t="e">
        <f t="shared" si="228"/>
        <v>#N/A</v>
      </c>
      <c r="BV298" s="38"/>
      <c r="BW298" s="6" t="e">
        <f t="shared" si="229"/>
        <v>#N/A</v>
      </c>
      <c r="BX298" s="9">
        <f t="shared" ca="1" si="230"/>
        <v>-156.7666765884093</v>
      </c>
      <c r="BY298" s="9">
        <f t="shared" ca="1" si="231"/>
        <v>84.412825855297342</v>
      </c>
      <c r="BZ298" s="9">
        <f t="shared" ca="1" si="232"/>
        <v>0</v>
      </c>
      <c r="CA298" s="6">
        <f t="shared" ca="1" si="233"/>
        <v>0</v>
      </c>
      <c r="CB298" s="6" t="e">
        <f t="shared" ca="1" si="234"/>
        <v>#DIV/0!</v>
      </c>
      <c r="CC298" s="6" t="e">
        <f t="shared" ca="1" si="235"/>
        <v>#DIV/0!</v>
      </c>
      <c r="CD298" s="9">
        <f t="shared" si="236"/>
        <v>-50</v>
      </c>
      <c r="CE298" s="9">
        <f t="shared" si="237"/>
        <v>0</v>
      </c>
      <c r="CF298" s="6">
        <f t="shared" si="238"/>
        <v>3.1415926535897931</v>
      </c>
      <c r="CG298" s="6"/>
      <c r="CH298" s="6"/>
      <c r="CI298" s="6"/>
      <c r="CJ298" s="1"/>
      <c r="CK298" s="6"/>
    </row>
    <row r="299" spans="55:89" x14ac:dyDescent="0.25">
      <c r="BC299"/>
      <c r="BD299"/>
      <c r="BF299" s="6" t="e">
        <f t="shared" si="225"/>
        <v>#N/A</v>
      </c>
      <c r="BG299" s="6" t="e">
        <f t="shared" si="226"/>
        <v>#N/A</v>
      </c>
      <c r="BH299" s="6" t="e">
        <f t="shared" si="227"/>
        <v>#N/A</v>
      </c>
      <c r="BI299" s="6" t="e">
        <f t="shared" si="228"/>
        <v>#N/A</v>
      </c>
      <c r="BV299" s="38"/>
      <c r="BW299" s="6" t="e">
        <f t="shared" si="229"/>
        <v>#N/A</v>
      </c>
      <c r="BX299" s="9">
        <f t="shared" ca="1" si="230"/>
        <v>-156.7666765884093</v>
      </c>
      <c r="BY299" s="9">
        <f t="shared" ca="1" si="231"/>
        <v>84.412825855297342</v>
      </c>
      <c r="BZ299" s="9">
        <f t="shared" ca="1" si="232"/>
        <v>0</v>
      </c>
      <c r="CA299" s="6">
        <f t="shared" ca="1" si="233"/>
        <v>0</v>
      </c>
      <c r="CB299" s="6" t="e">
        <f t="shared" ca="1" si="234"/>
        <v>#DIV/0!</v>
      </c>
      <c r="CC299" s="6" t="e">
        <f t="shared" ca="1" si="235"/>
        <v>#DIV/0!</v>
      </c>
      <c r="CD299" s="9">
        <f t="shared" si="236"/>
        <v>-50</v>
      </c>
      <c r="CE299" s="9">
        <f t="shared" si="237"/>
        <v>0</v>
      </c>
      <c r="CF299" s="6">
        <f t="shared" si="238"/>
        <v>3.1415926535897931</v>
      </c>
      <c r="CG299" s="6"/>
      <c r="CH299" s="6"/>
      <c r="CI299" s="6"/>
      <c r="CJ299" s="1"/>
      <c r="CK299" s="6"/>
    </row>
    <row r="300" spans="55:89" x14ac:dyDescent="0.25">
      <c r="BC300"/>
      <c r="BD300"/>
      <c r="BF300" s="6" t="e">
        <f t="shared" si="225"/>
        <v>#N/A</v>
      </c>
      <c r="BG300" s="6" t="e">
        <f t="shared" si="226"/>
        <v>#N/A</v>
      </c>
      <c r="BH300" s="6" t="e">
        <f t="shared" si="227"/>
        <v>#N/A</v>
      </c>
      <c r="BI300" s="6" t="e">
        <f t="shared" si="228"/>
        <v>#N/A</v>
      </c>
      <c r="BV300" s="38"/>
      <c r="BW300" s="6" t="e">
        <f t="shared" si="229"/>
        <v>#N/A</v>
      </c>
      <c r="BX300" s="9">
        <f t="shared" ca="1" si="230"/>
        <v>-156.7666765884093</v>
      </c>
      <c r="BY300" s="9">
        <f t="shared" ca="1" si="231"/>
        <v>84.412825855297342</v>
      </c>
      <c r="BZ300" s="9">
        <f t="shared" ca="1" si="232"/>
        <v>0</v>
      </c>
      <c r="CA300" s="6">
        <f t="shared" ca="1" si="233"/>
        <v>0</v>
      </c>
      <c r="CB300" s="6" t="e">
        <f t="shared" ca="1" si="234"/>
        <v>#DIV/0!</v>
      </c>
      <c r="CC300" s="6" t="e">
        <f t="shared" ca="1" si="235"/>
        <v>#DIV/0!</v>
      </c>
      <c r="CD300" s="9">
        <f t="shared" si="236"/>
        <v>-50</v>
      </c>
      <c r="CE300" s="9">
        <f t="shared" si="237"/>
        <v>0</v>
      </c>
      <c r="CF300" s="6">
        <f t="shared" si="238"/>
        <v>3.1415926535897931</v>
      </c>
      <c r="CG300" s="6"/>
      <c r="CH300" s="6"/>
      <c r="CI300" s="6"/>
      <c r="CJ300" s="1"/>
      <c r="CK300" s="6"/>
    </row>
    <row r="301" spans="55:89" x14ac:dyDescent="0.25">
      <c r="BC301"/>
      <c r="BD301"/>
      <c r="BF301" s="6" t="e">
        <f t="shared" si="225"/>
        <v>#N/A</v>
      </c>
      <c r="BG301" s="6" t="e">
        <f t="shared" si="226"/>
        <v>#N/A</v>
      </c>
      <c r="BH301" s="6" t="e">
        <f t="shared" si="227"/>
        <v>#N/A</v>
      </c>
      <c r="BI301" s="6" t="e">
        <f t="shared" si="228"/>
        <v>#N/A</v>
      </c>
      <c r="BV301" s="38"/>
      <c r="BW301" s="6" t="e">
        <f t="shared" si="229"/>
        <v>#N/A</v>
      </c>
      <c r="BX301" s="9">
        <f t="shared" ca="1" si="230"/>
        <v>-156.7666765884093</v>
      </c>
      <c r="BY301" s="9">
        <f t="shared" ca="1" si="231"/>
        <v>84.412825855297342</v>
      </c>
      <c r="BZ301" s="9">
        <f t="shared" ca="1" si="232"/>
        <v>0</v>
      </c>
      <c r="CA301" s="6">
        <f t="shared" ca="1" si="233"/>
        <v>0</v>
      </c>
      <c r="CB301" s="6" t="e">
        <f t="shared" ca="1" si="234"/>
        <v>#DIV/0!</v>
      </c>
      <c r="CC301" s="6" t="e">
        <f t="shared" ca="1" si="235"/>
        <v>#DIV/0!</v>
      </c>
      <c r="CD301" s="9">
        <f t="shared" si="236"/>
        <v>-50</v>
      </c>
      <c r="CE301" s="9">
        <f t="shared" si="237"/>
        <v>0</v>
      </c>
      <c r="CF301" s="6">
        <f t="shared" si="238"/>
        <v>3.1415926535897931</v>
      </c>
      <c r="CG301" s="6"/>
      <c r="CH301" s="6"/>
      <c r="CI301" s="6"/>
      <c r="CJ301" s="1"/>
      <c r="CK301" s="6"/>
    </row>
    <row r="302" spans="55:89" x14ac:dyDescent="0.25">
      <c r="BC302"/>
      <c r="BD302"/>
      <c r="BF302" s="6" t="e">
        <f t="shared" si="225"/>
        <v>#N/A</v>
      </c>
      <c r="BG302" s="6" t="e">
        <f t="shared" si="226"/>
        <v>#N/A</v>
      </c>
      <c r="BH302" s="6" t="e">
        <f t="shared" si="227"/>
        <v>#N/A</v>
      </c>
      <c r="BI302" s="6" t="e">
        <f t="shared" si="228"/>
        <v>#N/A</v>
      </c>
      <c r="BV302" s="38"/>
      <c r="BW302" s="6" t="e">
        <f t="shared" si="229"/>
        <v>#N/A</v>
      </c>
      <c r="BX302" s="9">
        <f t="shared" ca="1" si="230"/>
        <v>-156.7666765884093</v>
      </c>
      <c r="BY302" s="9">
        <f t="shared" ca="1" si="231"/>
        <v>84.412825855297342</v>
      </c>
      <c r="BZ302" s="9">
        <f t="shared" ca="1" si="232"/>
        <v>0</v>
      </c>
      <c r="CA302" s="6">
        <f t="shared" ca="1" si="233"/>
        <v>0</v>
      </c>
      <c r="CB302" s="6" t="e">
        <f t="shared" ca="1" si="234"/>
        <v>#DIV/0!</v>
      </c>
      <c r="CC302" s="6" t="e">
        <f t="shared" ca="1" si="235"/>
        <v>#DIV/0!</v>
      </c>
      <c r="CD302" s="9">
        <f t="shared" si="236"/>
        <v>-50</v>
      </c>
      <c r="CE302" s="9">
        <f t="shared" si="237"/>
        <v>0</v>
      </c>
      <c r="CF302" s="6">
        <f t="shared" si="238"/>
        <v>3.1415926535897931</v>
      </c>
      <c r="CG302" s="6"/>
      <c r="CH302" s="6"/>
      <c r="CI302" s="6"/>
      <c r="CJ302" s="1"/>
      <c r="CK302" s="6"/>
    </row>
    <row r="303" spans="55:89" x14ac:dyDescent="0.25">
      <c r="BC303"/>
      <c r="BD303"/>
      <c r="BF303" s="6" t="e">
        <f t="shared" si="225"/>
        <v>#N/A</v>
      </c>
      <c r="BG303" s="6" t="e">
        <f t="shared" si="226"/>
        <v>#N/A</v>
      </c>
      <c r="BH303" s="6" t="e">
        <f t="shared" si="227"/>
        <v>#N/A</v>
      </c>
      <c r="BI303" s="6" t="e">
        <f t="shared" si="228"/>
        <v>#N/A</v>
      </c>
      <c r="BV303" s="38"/>
      <c r="BW303" s="6" t="e">
        <f t="shared" si="229"/>
        <v>#N/A</v>
      </c>
      <c r="BX303" s="9">
        <f t="shared" ca="1" si="230"/>
        <v>-156.7666765884093</v>
      </c>
      <c r="BY303" s="9">
        <f t="shared" ca="1" si="231"/>
        <v>84.412825855297342</v>
      </c>
      <c r="BZ303" s="9">
        <f t="shared" ca="1" si="232"/>
        <v>0</v>
      </c>
      <c r="CA303" s="6">
        <f t="shared" ca="1" si="233"/>
        <v>0</v>
      </c>
      <c r="CB303" s="6" t="e">
        <f t="shared" ca="1" si="234"/>
        <v>#DIV/0!</v>
      </c>
      <c r="CC303" s="6" t="e">
        <f t="shared" ca="1" si="235"/>
        <v>#DIV/0!</v>
      </c>
      <c r="CD303" s="9">
        <f t="shared" si="236"/>
        <v>-50</v>
      </c>
      <c r="CE303" s="9">
        <f t="shared" si="237"/>
        <v>0</v>
      </c>
      <c r="CF303" s="6">
        <f t="shared" si="238"/>
        <v>3.1415926535897931</v>
      </c>
      <c r="CG303" s="6"/>
      <c r="CH303" s="6"/>
      <c r="CI303" s="6"/>
      <c r="CJ303" s="1"/>
      <c r="CK303" s="6"/>
    </row>
    <row r="304" spans="55:89" x14ac:dyDescent="0.25">
      <c r="BC304"/>
      <c r="BD304"/>
      <c r="BF304" s="6" t="e">
        <f t="shared" si="225"/>
        <v>#N/A</v>
      </c>
      <c r="BG304" s="6" t="e">
        <f t="shared" si="226"/>
        <v>#N/A</v>
      </c>
      <c r="BH304" s="6" t="e">
        <f t="shared" si="227"/>
        <v>#N/A</v>
      </c>
      <c r="BI304" s="6" t="e">
        <f t="shared" si="228"/>
        <v>#N/A</v>
      </c>
      <c r="BV304" s="38"/>
      <c r="BW304" s="6" t="e">
        <f t="shared" si="229"/>
        <v>#N/A</v>
      </c>
      <c r="BX304" s="9">
        <f t="shared" ca="1" si="230"/>
        <v>-156.7666765884093</v>
      </c>
      <c r="BY304" s="9">
        <f t="shared" ca="1" si="231"/>
        <v>84.412825855297342</v>
      </c>
      <c r="BZ304" s="9">
        <f t="shared" ca="1" si="232"/>
        <v>0</v>
      </c>
      <c r="CA304" s="6">
        <f t="shared" ca="1" si="233"/>
        <v>0</v>
      </c>
      <c r="CB304" s="6" t="e">
        <f t="shared" ca="1" si="234"/>
        <v>#DIV/0!</v>
      </c>
      <c r="CC304" s="6" t="e">
        <f t="shared" ca="1" si="235"/>
        <v>#DIV/0!</v>
      </c>
      <c r="CD304" s="9">
        <f t="shared" si="236"/>
        <v>-50</v>
      </c>
      <c r="CE304" s="9">
        <f t="shared" si="237"/>
        <v>0</v>
      </c>
      <c r="CF304" s="6">
        <f t="shared" si="238"/>
        <v>3.1415926535897931</v>
      </c>
      <c r="CG304" s="6"/>
      <c r="CH304" s="6"/>
      <c r="CI304" s="6"/>
      <c r="CJ304" s="1"/>
      <c r="CK304" s="6"/>
    </row>
    <row r="305" spans="55:89" x14ac:dyDescent="0.25">
      <c r="BC305"/>
      <c r="BD305"/>
      <c r="BF305" s="6" t="e">
        <f t="shared" si="225"/>
        <v>#N/A</v>
      </c>
      <c r="BG305" s="6" t="e">
        <f t="shared" si="226"/>
        <v>#N/A</v>
      </c>
      <c r="BH305" s="6" t="e">
        <f t="shared" si="227"/>
        <v>#N/A</v>
      </c>
      <c r="BI305" s="6" t="e">
        <f t="shared" si="228"/>
        <v>#N/A</v>
      </c>
      <c r="BV305" s="38"/>
      <c r="BW305" s="6" t="e">
        <f t="shared" si="229"/>
        <v>#N/A</v>
      </c>
      <c r="BX305" s="9">
        <f t="shared" ca="1" si="230"/>
        <v>-156.7666765884093</v>
      </c>
      <c r="BY305" s="9">
        <f t="shared" ca="1" si="231"/>
        <v>84.412825855297342</v>
      </c>
      <c r="BZ305" s="9">
        <f t="shared" ca="1" si="232"/>
        <v>0</v>
      </c>
      <c r="CA305" s="6">
        <f t="shared" ca="1" si="233"/>
        <v>0</v>
      </c>
      <c r="CB305" s="6" t="e">
        <f t="shared" ca="1" si="234"/>
        <v>#DIV/0!</v>
      </c>
      <c r="CC305" s="6" t="e">
        <f t="shared" ca="1" si="235"/>
        <v>#DIV/0!</v>
      </c>
      <c r="CD305" s="9">
        <f t="shared" si="236"/>
        <v>-50</v>
      </c>
      <c r="CE305" s="9">
        <f t="shared" si="237"/>
        <v>0</v>
      </c>
      <c r="CF305" s="6">
        <f t="shared" si="238"/>
        <v>3.1415926535897931</v>
      </c>
      <c r="CG305" s="6"/>
      <c r="CH305" s="6"/>
      <c r="CI305" s="6"/>
      <c r="CJ305" s="1"/>
      <c r="CK305" s="6"/>
    </row>
    <row r="306" spans="55:89" x14ac:dyDescent="0.25">
      <c r="BC306"/>
      <c r="BD306"/>
      <c r="BF306" s="6" t="e">
        <f t="shared" si="225"/>
        <v>#N/A</v>
      </c>
      <c r="BG306" s="6" t="e">
        <f t="shared" si="226"/>
        <v>#N/A</v>
      </c>
      <c r="BH306" s="6" t="e">
        <f t="shared" si="227"/>
        <v>#N/A</v>
      </c>
      <c r="BI306" s="6" t="e">
        <f t="shared" si="228"/>
        <v>#N/A</v>
      </c>
      <c r="BV306" s="38"/>
      <c r="BW306" s="6" t="e">
        <f t="shared" si="229"/>
        <v>#N/A</v>
      </c>
      <c r="BX306" s="9">
        <f t="shared" ca="1" si="230"/>
        <v>-156.7666765884093</v>
      </c>
      <c r="BY306" s="9">
        <f t="shared" ca="1" si="231"/>
        <v>84.412825855297342</v>
      </c>
      <c r="BZ306" s="9">
        <f t="shared" ca="1" si="232"/>
        <v>0</v>
      </c>
      <c r="CA306" s="6">
        <f t="shared" ca="1" si="233"/>
        <v>0</v>
      </c>
      <c r="CB306" s="6" t="e">
        <f t="shared" ca="1" si="234"/>
        <v>#DIV/0!</v>
      </c>
      <c r="CC306" s="6" t="e">
        <f t="shared" ca="1" si="235"/>
        <v>#DIV/0!</v>
      </c>
      <c r="CD306" s="9">
        <f t="shared" si="236"/>
        <v>-50</v>
      </c>
      <c r="CE306" s="9">
        <f t="shared" si="237"/>
        <v>0</v>
      </c>
      <c r="CF306" s="6">
        <f t="shared" si="238"/>
        <v>3.1415926535897931</v>
      </c>
      <c r="CG306" s="6"/>
      <c r="CH306" s="6"/>
      <c r="CI306" s="6"/>
      <c r="CJ306" s="1"/>
      <c r="CK306" s="6"/>
    </row>
    <row r="307" spans="55:89" x14ac:dyDescent="0.25">
      <c r="BC307"/>
      <c r="BD307"/>
      <c r="BF307" s="6" t="e">
        <f t="shared" si="225"/>
        <v>#N/A</v>
      </c>
      <c r="BG307" s="6" t="e">
        <f t="shared" si="226"/>
        <v>#N/A</v>
      </c>
      <c r="BH307" s="6" t="e">
        <f t="shared" si="227"/>
        <v>#N/A</v>
      </c>
      <c r="BI307" s="6" t="e">
        <f t="shared" si="228"/>
        <v>#N/A</v>
      </c>
      <c r="BV307" s="38"/>
      <c r="BW307" s="6" t="e">
        <f t="shared" si="229"/>
        <v>#N/A</v>
      </c>
      <c r="BX307" s="9">
        <f t="shared" ca="1" si="230"/>
        <v>-156.7666765884093</v>
      </c>
      <c r="BY307" s="9">
        <f t="shared" ca="1" si="231"/>
        <v>84.412825855297342</v>
      </c>
      <c r="BZ307" s="9">
        <f t="shared" ca="1" si="232"/>
        <v>0</v>
      </c>
      <c r="CA307" s="6">
        <f t="shared" ca="1" si="233"/>
        <v>0</v>
      </c>
      <c r="CB307" s="6" t="e">
        <f t="shared" ca="1" si="234"/>
        <v>#DIV/0!</v>
      </c>
      <c r="CC307" s="6" t="e">
        <f t="shared" ca="1" si="235"/>
        <v>#DIV/0!</v>
      </c>
      <c r="CD307" s="9">
        <f t="shared" si="236"/>
        <v>-50</v>
      </c>
      <c r="CE307" s="9">
        <f t="shared" si="237"/>
        <v>0</v>
      </c>
      <c r="CF307" s="6">
        <f t="shared" si="238"/>
        <v>3.1415926535897931</v>
      </c>
      <c r="CG307" s="6"/>
      <c r="CH307" s="6"/>
      <c r="CI307" s="6"/>
      <c r="CJ307" s="1"/>
      <c r="CK307" s="6"/>
    </row>
    <row r="308" spans="55:89" x14ac:dyDescent="0.25">
      <c r="BC308"/>
      <c r="BD308"/>
      <c r="BF308" s="6" t="e">
        <f t="shared" si="225"/>
        <v>#N/A</v>
      </c>
      <c r="BG308" s="6" t="e">
        <f t="shared" si="226"/>
        <v>#N/A</v>
      </c>
      <c r="BH308" s="6" t="e">
        <f t="shared" si="227"/>
        <v>#N/A</v>
      </c>
      <c r="BI308" s="6" t="e">
        <f t="shared" si="228"/>
        <v>#N/A</v>
      </c>
      <c r="BV308" s="38"/>
      <c r="BW308" s="6" t="e">
        <f t="shared" si="229"/>
        <v>#N/A</v>
      </c>
      <c r="BX308" s="9">
        <f t="shared" ca="1" si="230"/>
        <v>-156.7666765884093</v>
      </c>
      <c r="BY308" s="9">
        <f t="shared" ca="1" si="231"/>
        <v>84.412825855297342</v>
      </c>
      <c r="BZ308" s="9">
        <f t="shared" ca="1" si="232"/>
        <v>0</v>
      </c>
      <c r="CA308" s="6">
        <f t="shared" ca="1" si="233"/>
        <v>0</v>
      </c>
      <c r="CB308" s="6" t="e">
        <f t="shared" ca="1" si="234"/>
        <v>#DIV/0!</v>
      </c>
      <c r="CC308" s="6" t="e">
        <f t="shared" ca="1" si="235"/>
        <v>#DIV/0!</v>
      </c>
      <c r="CD308" s="9">
        <f t="shared" si="236"/>
        <v>-50</v>
      </c>
      <c r="CE308" s="9">
        <f t="shared" si="237"/>
        <v>0</v>
      </c>
      <c r="CF308" s="6">
        <f t="shared" si="238"/>
        <v>3.1415926535897931</v>
      </c>
      <c r="CG308" s="6"/>
      <c r="CH308" s="6"/>
      <c r="CI308" s="6"/>
      <c r="CJ308" s="1"/>
      <c r="CK308" s="6"/>
    </row>
    <row r="309" spans="55:89" x14ac:dyDescent="0.25">
      <c r="BC309"/>
      <c r="BD309"/>
      <c r="BF309" s="6" t="e">
        <f t="shared" si="225"/>
        <v>#N/A</v>
      </c>
      <c r="BG309" s="6" t="e">
        <f t="shared" si="226"/>
        <v>#N/A</v>
      </c>
      <c r="BH309" s="6" t="e">
        <f t="shared" si="227"/>
        <v>#N/A</v>
      </c>
      <c r="BI309" s="6" t="e">
        <f t="shared" si="228"/>
        <v>#N/A</v>
      </c>
      <c r="BV309" s="38"/>
      <c r="BW309" s="6" t="e">
        <f t="shared" si="229"/>
        <v>#N/A</v>
      </c>
      <c r="BX309" s="9">
        <f t="shared" ca="1" si="230"/>
        <v>-156.7666765884093</v>
      </c>
      <c r="BY309" s="9">
        <f t="shared" ca="1" si="231"/>
        <v>84.412825855297342</v>
      </c>
      <c r="BZ309" s="9">
        <f t="shared" ca="1" si="232"/>
        <v>0</v>
      </c>
      <c r="CA309" s="6">
        <f t="shared" ca="1" si="233"/>
        <v>0</v>
      </c>
      <c r="CB309" s="6" t="e">
        <f t="shared" ca="1" si="234"/>
        <v>#DIV/0!</v>
      </c>
      <c r="CC309" s="6" t="e">
        <f t="shared" ca="1" si="235"/>
        <v>#DIV/0!</v>
      </c>
      <c r="CD309" s="9">
        <f t="shared" si="236"/>
        <v>-50</v>
      </c>
      <c r="CE309" s="9">
        <f t="shared" si="237"/>
        <v>0</v>
      </c>
      <c r="CF309" s="6">
        <f t="shared" si="238"/>
        <v>3.1415926535897931</v>
      </c>
      <c r="CG309" s="6"/>
      <c r="CH309" s="6"/>
      <c r="CI309" s="6"/>
      <c r="CJ309" s="1"/>
      <c r="CK309" s="6"/>
    </row>
    <row r="310" spans="55:89" x14ac:dyDescent="0.25">
      <c r="BC310"/>
      <c r="BD310"/>
      <c r="BF310" s="6" t="e">
        <f t="shared" si="225"/>
        <v>#N/A</v>
      </c>
      <c r="BG310" s="6" t="e">
        <f t="shared" si="226"/>
        <v>#N/A</v>
      </c>
      <c r="BH310" s="6" t="e">
        <f t="shared" si="227"/>
        <v>#N/A</v>
      </c>
      <c r="BI310" s="6" t="e">
        <f t="shared" si="228"/>
        <v>#N/A</v>
      </c>
      <c r="BV310" s="38"/>
      <c r="BW310" s="6" t="e">
        <f t="shared" si="229"/>
        <v>#N/A</v>
      </c>
      <c r="BX310" s="9">
        <f t="shared" ca="1" si="230"/>
        <v>-156.7666765884093</v>
      </c>
      <c r="BY310" s="9">
        <f t="shared" ca="1" si="231"/>
        <v>84.412825855297342</v>
      </c>
      <c r="BZ310" s="9">
        <f t="shared" ca="1" si="232"/>
        <v>0</v>
      </c>
      <c r="CA310" s="6">
        <f t="shared" ca="1" si="233"/>
        <v>0</v>
      </c>
      <c r="CB310" s="6" t="e">
        <f t="shared" ca="1" si="234"/>
        <v>#DIV/0!</v>
      </c>
      <c r="CC310" s="6" t="e">
        <f t="shared" ca="1" si="235"/>
        <v>#DIV/0!</v>
      </c>
      <c r="CD310" s="9">
        <f t="shared" si="236"/>
        <v>-50</v>
      </c>
      <c r="CE310" s="9">
        <f t="shared" si="237"/>
        <v>0</v>
      </c>
      <c r="CF310" s="6">
        <f t="shared" si="238"/>
        <v>3.1415926535897931</v>
      </c>
      <c r="CG310" s="6"/>
      <c r="CH310" s="6"/>
      <c r="CI310" s="6"/>
      <c r="CJ310" s="1"/>
      <c r="CK310" s="6"/>
    </row>
    <row r="311" spans="55:89" x14ac:dyDescent="0.25">
      <c r="BC311"/>
      <c r="BD311"/>
      <c r="BF311" s="6" t="e">
        <f t="shared" si="225"/>
        <v>#N/A</v>
      </c>
      <c r="BG311" s="6" t="e">
        <f t="shared" si="226"/>
        <v>#N/A</v>
      </c>
      <c r="BH311" s="6" t="e">
        <f t="shared" si="227"/>
        <v>#N/A</v>
      </c>
      <c r="BI311" s="6" t="e">
        <f t="shared" si="228"/>
        <v>#N/A</v>
      </c>
      <c r="BV311" s="38"/>
      <c r="BW311" s="6" t="e">
        <f t="shared" si="229"/>
        <v>#N/A</v>
      </c>
      <c r="BX311" s="9">
        <f t="shared" ca="1" si="230"/>
        <v>-156.7666765884093</v>
      </c>
      <c r="BY311" s="9">
        <f t="shared" ca="1" si="231"/>
        <v>84.412825855297342</v>
      </c>
      <c r="BZ311" s="9">
        <f t="shared" ca="1" si="232"/>
        <v>0</v>
      </c>
      <c r="CA311" s="6">
        <f t="shared" ca="1" si="233"/>
        <v>0</v>
      </c>
      <c r="CB311" s="6" t="e">
        <f t="shared" ca="1" si="234"/>
        <v>#DIV/0!</v>
      </c>
      <c r="CC311" s="6" t="e">
        <f t="shared" ca="1" si="235"/>
        <v>#DIV/0!</v>
      </c>
      <c r="CD311" s="9">
        <f t="shared" si="236"/>
        <v>-50</v>
      </c>
      <c r="CE311" s="9">
        <f t="shared" si="237"/>
        <v>0</v>
      </c>
      <c r="CF311" s="6">
        <f t="shared" si="238"/>
        <v>3.1415926535897931</v>
      </c>
      <c r="CG311" s="6"/>
      <c r="CH311" s="6"/>
      <c r="CI311" s="6"/>
      <c r="CJ311" s="1"/>
      <c r="CK311" s="6"/>
    </row>
    <row r="312" spans="55:89" x14ac:dyDescent="0.25">
      <c r="BC312"/>
      <c r="BD312"/>
      <c r="BF312" s="6" t="e">
        <f t="shared" si="225"/>
        <v>#N/A</v>
      </c>
      <c r="BG312" s="6" t="e">
        <f t="shared" si="226"/>
        <v>#N/A</v>
      </c>
      <c r="BH312" s="6" t="e">
        <f t="shared" si="227"/>
        <v>#N/A</v>
      </c>
      <c r="BI312" s="6" t="e">
        <f t="shared" si="228"/>
        <v>#N/A</v>
      </c>
      <c r="BV312" s="38"/>
      <c r="BW312" s="6" t="e">
        <f t="shared" si="229"/>
        <v>#N/A</v>
      </c>
      <c r="BX312" s="9">
        <f t="shared" ca="1" si="230"/>
        <v>-156.7666765884093</v>
      </c>
      <c r="BY312" s="9">
        <f t="shared" ca="1" si="231"/>
        <v>84.412825855297342</v>
      </c>
      <c r="BZ312" s="9">
        <f t="shared" ca="1" si="232"/>
        <v>0</v>
      </c>
      <c r="CA312" s="6">
        <f t="shared" ca="1" si="233"/>
        <v>0</v>
      </c>
      <c r="CB312" s="6" t="e">
        <f t="shared" ca="1" si="234"/>
        <v>#DIV/0!</v>
      </c>
      <c r="CC312" s="6" t="e">
        <f t="shared" ca="1" si="235"/>
        <v>#DIV/0!</v>
      </c>
      <c r="CD312" s="9">
        <f t="shared" si="236"/>
        <v>-50</v>
      </c>
      <c r="CE312" s="9">
        <f t="shared" si="237"/>
        <v>0</v>
      </c>
      <c r="CF312" s="6">
        <f t="shared" si="238"/>
        <v>3.1415926535897931</v>
      </c>
      <c r="CG312" s="6"/>
      <c r="CH312" s="6"/>
      <c r="CI312" s="6"/>
      <c r="CJ312" s="1"/>
      <c r="CK312" s="6"/>
    </row>
    <row r="313" spans="55:89" x14ac:dyDescent="0.25">
      <c r="BC313"/>
      <c r="BD313"/>
      <c r="BF313" s="6" t="e">
        <f t="shared" si="225"/>
        <v>#N/A</v>
      </c>
      <c r="BG313" s="6" t="e">
        <f t="shared" si="226"/>
        <v>#N/A</v>
      </c>
      <c r="BH313" s="6" t="e">
        <f t="shared" si="227"/>
        <v>#N/A</v>
      </c>
      <c r="BI313" s="6" t="e">
        <f t="shared" si="228"/>
        <v>#N/A</v>
      </c>
      <c r="BV313" s="38"/>
      <c r="BW313" s="6" t="e">
        <f t="shared" si="229"/>
        <v>#N/A</v>
      </c>
      <c r="BX313" s="9">
        <f t="shared" ca="1" si="230"/>
        <v>-156.7666765884093</v>
      </c>
      <c r="BY313" s="9">
        <f t="shared" ca="1" si="231"/>
        <v>84.412825855297342</v>
      </c>
      <c r="BZ313" s="9">
        <f t="shared" ca="1" si="232"/>
        <v>0</v>
      </c>
      <c r="CA313" s="6">
        <f t="shared" ca="1" si="233"/>
        <v>0</v>
      </c>
      <c r="CB313" s="6" t="e">
        <f t="shared" ca="1" si="234"/>
        <v>#DIV/0!</v>
      </c>
      <c r="CC313" s="6" t="e">
        <f t="shared" ca="1" si="235"/>
        <v>#DIV/0!</v>
      </c>
      <c r="CD313" s="9">
        <f t="shared" si="236"/>
        <v>-50</v>
      </c>
      <c r="CE313" s="9">
        <f t="shared" si="237"/>
        <v>0</v>
      </c>
      <c r="CF313" s="6">
        <f t="shared" si="238"/>
        <v>3.1415926535897931</v>
      </c>
      <c r="CG313" s="6"/>
      <c r="CH313" s="6"/>
      <c r="CI313" s="6"/>
      <c r="CJ313" s="1"/>
      <c r="CK313" s="6"/>
    </row>
    <row r="314" spans="55:89" x14ac:dyDescent="0.25">
      <c r="BC314"/>
      <c r="BD314"/>
      <c r="BF314" s="6" t="e">
        <f t="shared" si="225"/>
        <v>#N/A</v>
      </c>
      <c r="BG314" s="6" t="e">
        <f t="shared" si="226"/>
        <v>#N/A</v>
      </c>
      <c r="BH314" s="6" t="e">
        <f t="shared" si="227"/>
        <v>#N/A</v>
      </c>
      <c r="BI314" s="6" t="e">
        <f t="shared" si="228"/>
        <v>#N/A</v>
      </c>
      <c r="BV314" s="38"/>
      <c r="BW314" s="6" t="e">
        <f t="shared" si="229"/>
        <v>#N/A</v>
      </c>
      <c r="BX314" s="9">
        <f t="shared" ca="1" si="230"/>
        <v>-156.7666765884093</v>
      </c>
      <c r="BY314" s="9">
        <f t="shared" ca="1" si="231"/>
        <v>84.412825855297342</v>
      </c>
      <c r="BZ314" s="9">
        <f t="shared" ca="1" si="232"/>
        <v>0</v>
      </c>
      <c r="CA314" s="6">
        <f t="shared" ca="1" si="233"/>
        <v>0</v>
      </c>
      <c r="CB314" s="6" t="e">
        <f t="shared" ca="1" si="234"/>
        <v>#DIV/0!</v>
      </c>
      <c r="CC314" s="6" t="e">
        <f t="shared" ca="1" si="235"/>
        <v>#DIV/0!</v>
      </c>
      <c r="CD314" s="9">
        <f t="shared" si="236"/>
        <v>-50</v>
      </c>
      <c r="CE314" s="9">
        <f t="shared" si="237"/>
        <v>0</v>
      </c>
      <c r="CF314" s="6">
        <f t="shared" si="238"/>
        <v>3.1415926535897931</v>
      </c>
      <c r="CG314" s="6"/>
      <c r="CH314" s="6"/>
      <c r="CI314" s="6"/>
      <c r="CJ314" s="1"/>
      <c r="CK314" s="6"/>
    </row>
    <row r="315" spans="55:89" x14ac:dyDescent="0.25">
      <c r="BC315"/>
      <c r="BD315"/>
      <c r="BF315" s="6" t="e">
        <f t="shared" si="225"/>
        <v>#N/A</v>
      </c>
      <c r="BG315" s="6" t="e">
        <f t="shared" si="226"/>
        <v>#N/A</v>
      </c>
      <c r="BH315" s="6" t="e">
        <f t="shared" si="227"/>
        <v>#N/A</v>
      </c>
      <c r="BI315" s="6" t="e">
        <f t="shared" si="228"/>
        <v>#N/A</v>
      </c>
      <c r="BV315" s="38"/>
      <c r="BW315" s="6" t="e">
        <f t="shared" si="229"/>
        <v>#N/A</v>
      </c>
      <c r="BX315" s="9">
        <f t="shared" ca="1" si="230"/>
        <v>-156.7666765884093</v>
      </c>
      <c r="BY315" s="9">
        <f t="shared" ca="1" si="231"/>
        <v>84.412825855297342</v>
      </c>
      <c r="BZ315" s="9">
        <f t="shared" ca="1" si="232"/>
        <v>0</v>
      </c>
      <c r="CA315" s="6">
        <f t="shared" ca="1" si="233"/>
        <v>0</v>
      </c>
      <c r="CB315" s="6" t="e">
        <f t="shared" ca="1" si="234"/>
        <v>#DIV/0!</v>
      </c>
      <c r="CC315" s="6" t="e">
        <f t="shared" ca="1" si="235"/>
        <v>#DIV/0!</v>
      </c>
      <c r="CD315" s="9">
        <f t="shared" si="236"/>
        <v>-50</v>
      </c>
      <c r="CE315" s="9">
        <f t="shared" si="237"/>
        <v>0</v>
      </c>
      <c r="CF315" s="6">
        <f t="shared" si="238"/>
        <v>3.1415926535897931</v>
      </c>
      <c r="CG315" s="6"/>
      <c r="CH315" s="6"/>
      <c r="CI315" s="6"/>
      <c r="CJ315" s="1"/>
      <c r="CK315" s="6"/>
    </row>
    <row r="316" spans="55:89" x14ac:dyDescent="0.25">
      <c r="BC316"/>
      <c r="BD316"/>
      <c r="BF316" s="6" t="e">
        <f t="shared" si="225"/>
        <v>#N/A</v>
      </c>
      <c r="BG316" s="6" t="e">
        <f t="shared" si="226"/>
        <v>#N/A</v>
      </c>
      <c r="BH316" s="6" t="e">
        <f t="shared" si="227"/>
        <v>#N/A</v>
      </c>
      <c r="BI316" s="6" t="e">
        <f t="shared" si="228"/>
        <v>#N/A</v>
      </c>
      <c r="BV316" s="38"/>
      <c r="BW316" s="6" t="e">
        <f t="shared" si="229"/>
        <v>#N/A</v>
      </c>
      <c r="BX316" s="9">
        <f t="shared" ca="1" si="230"/>
        <v>-156.7666765884093</v>
      </c>
      <c r="BY316" s="9">
        <f t="shared" ca="1" si="231"/>
        <v>84.412825855297342</v>
      </c>
      <c r="BZ316" s="9">
        <f t="shared" ca="1" si="232"/>
        <v>0</v>
      </c>
      <c r="CA316" s="6">
        <f t="shared" ca="1" si="233"/>
        <v>0</v>
      </c>
      <c r="CB316" s="6" t="e">
        <f t="shared" ca="1" si="234"/>
        <v>#DIV/0!</v>
      </c>
      <c r="CC316" s="6" t="e">
        <f t="shared" ca="1" si="235"/>
        <v>#DIV/0!</v>
      </c>
      <c r="CD316" s="9">
        <f t="shared" si="236"/>
        <v>-50</v>
      </c>
      <c r="CE316" s="9">
        <f t="shared" si="237"/>
        <v>0</v>
      </c>
      <c r="CF316" s="6">
        <f t="shared" si="238"/>
        <v>3.1415926535897931</v>
      </c>
      <c r="CG316" s="6"/>
      <c r="CH316" s="6"/>
      <c r="CI316" s="6"/>
      <c r="CJ316" s="1"/>
      <c r="CK316" s="6"/>
    </row>
    <row r="317" spans="55:89" x14ac:dyDescent="0.25">
      <c r="BC317"/>
      <c r="BD317"/>
      <c r="BF317" s="6" t="e">
        <f t="shared" si="225"/>
        <v>#N/A</v>
      </c>
      <c r="BG317" s="6" t="e">
        <f t="shared" si="226"/>
        <v>#N/A</v>
      </c>
      <c r="BH317" s="6" t="e">
        <f t="shared" si="227"/>
        <v>#N/A</v>
      </c>
      <c r="BI317" s="6" t="e">
        <f t="shared" si="228"/>
        <v>#N/A</v>
      </c>
      <c r="BV317" s="38"/>
      <c r="BW317" s="6" t="e">
        <f t="shared" si="229"/>
        <v>#N/A</v>
      </c>
      <c r="BX317" s="9">
        <f t="shared" ca="1" si="230"/>
        <v>-156.7666765884093</v>
      </c>
      <c r="BY317" s="9">
        <f t="shared" ca="1" si="231"/>
        <v>84.412825855297342</v>
      </c>
      <c r="BZ317" s="9">
        <f t="shared" ca="1" si="232"/>
        <v>0</v>
      </c>
      <c r="CA317" s="6">
        <f t="shared" ca="1" si="233"/>
        <v>0</v>
      </c>
      <c r="CB317" s="6" t="e">
        <f t="shared" ca="1" si="234"/>
        <v>#DIV/0!</v>
      </c>
      <c r="CC317" s="6" t="e">
        <f t="shared" ca="1" si="235"/>
        <v>#DIV/0!</v>
      </c>
      <c r="CD317" s="9">
        <f t="shared" si="236"/>
        <v>-50</v>
      </c>
      <c r="CE317" s="9">
        <f t="shared" si="237"/>
        <v>0</v>
      </c>
      <c r="CF317" s="6">
        <f t="shared" si="238"/>
        <v>3.1415926535897931</v>
      </c>
      <c r="CG317" s="6"/>
      <c r="CH317" s="6"/>
      <c r="CI317" s="6"/>
      <c r="CJ317" s="1"/>
      <c r="CK317" s="6"/>
    </row>
    <row r="318" spans="55:89" x14ac:dyDescent="0.25">
      <c r="BC318"/>
      <c r="BD318"/>
      <c r="BF318" s="6" t="e">
        <f t="shared" si="225"/>
        <v>#N/A</v>
      </c>
      <c r="BG318" s="6" t="e">
        <f t="shared" si="226"/>
        <v>#N/A</v>
      </c>
      <c r="BH318" s="6" t="e">
        <f t="shared" si="227"/>
        <v>#N/A</v>
      </c>
      <c r="BI318" s="6" t="e">
        <f t="shared" si="228"/>
        <v>#N/A</v>
      </c>
      <c r="BV318" s="38"/>
      <c r="BW318" s="6" t="e">
        <f t="shared" si="229"/>
        <v>#N/A</v>
      </c>
      <c r="BX318" s="9">
        <f t="shared" ca="1" si="230"/>
        <v>-156.7666765884093</v>
      </c>
      <c r="BY318" s="9">
        <f t="shared" ca="1" si="231"/>
        <v>84.412825855297342</v>
      </c>
      <c r="BZ318" s="9">
        <f t="shared" ca="1" si="232"/>
        <v>0</v>
      </c>
      <c r="CA318" s="6">
        <f t="shared" ca="1" si="233"/>
        <v>0</v>
      </c>
      <c r="CB318" s="6" t="e">
        <f t="shared" ca="1" si="234"/>
        <v>#DIV/0!</v>
      </c>
      <c r="CC318" s="6" t="e">
        <f t="shared" ca="1" si="235"/>
        <v>#DIV/0!</v>
      </c>
      <c r="CD318" s="9">
        <f t="shared" si="236"/>
        <v>-50</v>
      </c>
      <c r="CE318" s="9">
        <f t="shared" si="237"/>
        <v>0</v>
      </c>
      <c r="CF318" s="6">
        <f t="shared" si="238"/>
        <v>3.1415926535897931</v>
      </c>
      <c r="CG318" s="6"/>
      <c r="CH318" s="6"/>
      <c r="CI318" s="6"/>
      <c r="CJ318" s="1"/>
      <c r="CK318" s="6"/>
    </row>
    <row r="319" spans="55:89" x14ac:dyDescent="0.25">
      <c r="BC319"/>
      <c r="BD319"/>
      <c r="BF319" s="6" t="e">
        <f t="shared" si="225"/>
        <v>#N/A</v>
      </c>
      <c r="BG319" s="6" t="e">
        <f t="shared" si="226"/>
        <v>#N/A</v>
      </c>
      <c r="BH319" s="6" t="e">
        <f t="shared" si="227"/>
        <v>#N/A</v>
      </c>
      <c r="BI319" s="6" t="e">
        <f t="shared" si="228"/>
        <v>#N/A</v>
      </c>
      <c r="BV319" s="38"/>
      <c r="BW319" s="6" t="e">
        <f t="shared" si="229"/>
        <v>#N/A</v>
      </c>
      <c r="BX319" s="9">
        <f t="shared" ca="1" si="230"/>
        <v>-156.7666765884093</v>
      </c>
      <c r="BY319" s="9">
        <f t="shared" ca="1" si="231"/>
        <v>84.412825855297342</v>
      </c>
      <c r="BZ319" s="9">
        <f t="shared" ca="1" si="232"/>
        <v>0</v>
      </c>
      <c r="CA319" s="6">
        <f t="shared" ca="1" si="233"/>
        <v>0</v>
      </c>
      <c r="CB319" s="6" t="e">
        <f t="shared" ca="1" si="234"/>
        <v>#DIV/0!</v>
      </c>
      <c r="CC319" s="6" t="e">
        <f t="shared" ca="1" si="235"/>
        <v>#DIV/0!</v>
      </c>
      <c r="CD319" s="9">
        <f t="shared" si="236"/>
        <v>-50</v>
      </c>
      <c r="CE319" s="9">
        <f t="shared" si="237"/>
        <v>0</v>
      </c>
      <c r="CF319" s="6">
        <f t="shared" si="238"/>
        <v>3.1415926535897931</v>
      </c>
      <c r="CG319" s="6"/>
      <c r="CH319" s="6"/>
      <c r="CI319" s="6"/>
      <c r="CJ319" s="1"/>
      <c r="CK319" s="6"/>
    </row>
    <row r="320" spans="55:89" x14ac:dyDescent="0.25">
      <c r="BC320"/>
      <c r="BD320"/>
      <c r="BF320" s="6" t="e">
        <f t="shared" si="225"/>
        <v>#N/A</v>
      </c>
      <c r="BG320" s="6" t="e">
        <f t="shared" si="226"/>
        <v>#N/A</v>
      </c>
      <c r="BH320" s="6" t="e">
        <f t="shared" si="227"/>
        <v>#N/A</v>
      </c>
      <c r="BI320" s="6" t="e">
        <f t="shared" si="228"/>
        <v>#N/A</v>
      </c>
      <c r="BV320" s="38"/>
      <c r="BW320" s="6" t="e">
        <f t="shared" si="229"/>
        <v>#N/A</v>
      </c>
      <c r="BX320" s="9">
        <f t="shared" ca="1" si="230"/>
        <v>-156.7666765884093</v>
      </c>
      <c r="BY320" s="9">
        <f t="shared" ca="1" si="231"/>
        <v>84.412825855297342</v>
      </c>
      <c r="BZ320" s="9">
        <f t="shared" ca="1" si="232"/>
        <v>0</v>
      </c>
      <c r="CA320" s="6">
        <f t="shared" ca="1" si="233"/>
        <v>0</v>
      </c>
      <c r="CB320" s="6" t="e">
        <f t="shared" ca="1" si="234"/>
        <v>#DIV/0!</v>
      </c>
      <c r="CC320" s="6" t="e">
        <f t="shared" ca="1" si="235"/>
        <v>#DIV/0!</v>
      </c>
      <c r="CD320" s="9">
        <f t="shared" si="236"/>
        <v>-50</v>
      </c>
      <c r="CE320" s="9">
        <f t="shared" si="237"/>
        <v>0</v>
      </c>
      <c r="CF320" s="6">
        <f t="shared" si="238"/>
        <v>3.1415926535897931</v>
      </c>
      <c r="CG320" s="6"/>
      <c r="CH320" s="6"/>
      <c r="CI320" s="6"/>
      <c r="CJ320" s="1"/>
      <c r="CK320" s="6"/>
    </row>
    <row r="321" spans="55:89" x14ac:dyDescent="0.25">
      <c r="BC321"/>
      <c r="BD321"/>
      <c r="BF321" s="6" t="e">
        <f t="shared" si="225"/>
        <v>#N/A</v>
      </c>
      <c r="BG321" s="6" t="e">
        <f t="shared" si="226"/>
        <v>#N/A</v>
      </c>
      <c r="BH321" s="6" t="e">
        <f t="shared" si="227"/>
        <v>#N/A</v>
      </c>
      <c r="BI321" s="6" t="e">
        <f t="shared" si="228"/>
        <v>#N/A</v>
      </c>
      <c r="BV321" s="38"/>
      <c r="BW321" s="6" t="e">
        <f t="shared" si="229"/>
        <v>#N/A</v>
      </c>
      <c r="BX321" s="9">
        <f t="shared" ca="1" si="230"/>
        <v>-156.7666765884093</v>
      </c>
      <c r="BY321" s="9">
        <f t="shared" ca="1" si="231"/>
        <v>84.412825855297342</v>
      </c>
      <c r="BZ321" s="9">
        <f t="shared" ca="1" si="232"/>
        <v>0</v>
      </c>
      <c r="CA321" s="6">
        <f t="shared" ca="1" si="233"/>
        <v>0</v>
      </c>
      <c r="CB321" s="6" t="e">
        <f t="shared" ca="1" si="234"/>
        <v>#DIV/0!</v>
      </c>
      <c r="CC321" s="6" t="e">
        <f t="shared" ca="1" si="235"/>
        <v>#DIV/0!</v>
      </c>
      <c r="CD321" s="9">
        <f t="shared" si="236"/>
        <v>-50</v>
      </c>
      <c r="CE321" s="9">
        <f t="shared" si="237"/>
        <v>0</v>
      </c>
      <c r="CF321" s="6">
        <f t="shared" si="238"/>
        <v>3.1415926535897931</v>
      </c>
      <c r="CG321" s="6"/>
      <c r="CH321" s="6"/>
      <c r="CI321" s="6"/>
      <c r="CJ321" s="1"/>
      <c r="CK321" s="6"/>
    </row>
    <row r="322" spans="55:89" x14ac:dyDescent="0.25">
      <c r="BC322"/>
      <c r="BD322"/>
      <c r="BF322" s="6" t="e">
        <f t="shared" si="225"/>
        <v>#N/A</v>
      </c>
      <c r="BG322" s="6" t="e">
        <f t="shared" si="226"/>
        <v>#N/A</v>
      </c>
      <c r="BH322" s="6" t="e">
        <f t="shared" si="227"/>
        <v>#N/A</v>
      </c>
      <c r="BI322" s="6" t="e">
        <f t="shared" si="228"/>
        <v>#N/A</v>
      </c>
      <c r="BV322" s="38"/>
      <c r="BW322" s="6" t="e">
        <f t="shared" si="229"/>
        <v>#N/A</v>
      </c>
      <c r="BX322" s="9">
        <f t="shared" ca="1" si="230"/>
        <v>-156.7666765884093</v>
      </c>
      <c r="BY322" s="9">
        <f t="shared" ca="1" si="231"/>
        <v>84.412825855297342</v>
      </c>
      <c r="BZ322" s="9">
        <f t="shared" ca="1" si="232"/>
        <v>0</v>
      </c>
      <c r="CA322" s="6">
        <f t="shared" ca="1" si="233"/>
        <v>0</v>
      </c>
      <c r="CB322" s="6" t="e">
        <f t="shared" ca="1" si="234"/>
        <v>#DIV/0!</v>
      </c>
      <c r="CC322" s="6" t="e">
        <f t="shared" ca="1" si="235"/>
        <v>#DIV/0!</v>
      </c>
      <c r="CD322" s="9">
        <f t="shared" si="236"/>
        <v>-50</v>
      </c>
      <c r="CE322" s="9">
        <f t="shared" si="237"/>
        <v>0</v>
      </c>
      <c r="CF322" s="6">
        <f t="shared" si="238"/>
        <v>3.1415926535897931</v>
      </c>
      <c r="CG322" s="6"/>
      <c r="CH322" s="6"/>
      <c r="CI322" s="6"/>
      <c r="CJ322" s="1"/>
      <c r="CK322" s="6"/>
    </row>
    <row r="323" spans="55:89" x14ac:dyDescent="0.25">
      <c r="BC323"/>
      <c r="BD323"/>
      <c r="BF323" s="6" t="e">
        <f t="shared" ref="BF323:BF362" si="239">IF(BC323&lt;&gt;"",IF(AND(BD323=0,BE323=0),0,MOD(ATAN2(BD323,BE323),2*PI())),NA())</f>
        <v>#N/A</v>
      </c>
      <c r="BG323" s="6" t="e">
        <f t="shared" ref="BG323:BG362" si="240">ABS(BC323-BF323)</f>
        <v>#N/A</v>
      </c>
      <c r="BH323" s="6" t="e">
        <f t="shared" ref="BH323:BH362" si="241">ATAN2(COS($U$13-BF323),SIN($U$13-BF323))</f>
        <v>#N/A</v>
      </c>
      <c r="BI323" s="6" t="e">
        <f t="shared" ref="BI323:BI362" si="242">ABS(BH323)</f>
        <v>#N/A</v>
      </c>
      <c r="BV323" s="38"/>
      <c r="BW323" s="6" t="e">
        <f t="shared" si="229"/>
        <v>#N/A</v>
      </c>
      <c r="BX323" s="9">
        <f t="shared" ca="1" si="230"/>
        <v>-156.7666765884093</v>
      </c>
      <c r="BY323" s="9">
        <f t="shared" ca="1" si="231"/>
        <v>84.412825855297342</v>
      </c>
      <c r="BZ323" s="9">
        <f t="shared" ca="1" si="232"/>
        <v>0</v>
      </c>
      <c r="CA323" s="6">
        <f t="shared" ca="1" si="233"/>
        <v>0</v>
      </c>
      <c r="CB323" s="6" t="e">
        <f t="shared" ca="1" si="234"/>
        <v>#DIV/0!</v>
      </c>
      <c r="CC323" s="6" t="e">
        <f t="shared" ca="1" si="235"/>
        <v>#DIV/0!</v>
      </c>
      <c r="CD323" s="9">
        <f t="shared" si="236"/>
        <v>-50</v>
      </c>
      <c r="CE323" s="9">
        <f t="shared" si="237"/>
        <v>0</v>
      </c>
      <c r="CF323" s="6">
        <f t="shared" si="238"/>
        <v>3.1415926535897931</v>
      </c>
      <c r="CG323" s="6"/>
      <c r="CH323" s="6"/>
      <c r="CI323" s="6"/>
      <c r="CJ323" s="1"/>
      <c r="CK323" s="6"/>
    </row>
    <row r="324" spans="55:89" x14ac:dyDescent="0.25">
      <c r="BC324"/>
      <c r="BD324"/>
      <c r="BF324" s="6" t="e">
        <f t="shared" si="239"/>
        <v>#N/A</v>
      </c>
      <c r="BG324" s="6" t="e">
        <f t="shared" si="240"/>
        <v>#N/A</v>
      </c>
      <c r="BH324" s="6" t="e">
        <f t="shared" si="241"/>
        <v>#N/A</v>
      </c>
      <c r="BI324" s="6" t="e">
        <f t="shared" si="242"/>
        <v>#N/A</v>
      </c>
      <c r="BV324" s="38"/>
      <c r="BW324" s="6" t="e">
        <f t="shared" si="229"/>
        <v>#N/A</v>
      </c>
      <c r="BX324" s="9">
        <f t="shared" ca="1" si="230"/>
        <v>-156.7666765884093</v>
      </c>
      <c r="BY324" s="9">
        <f t="shared" ca="1" si="231"/>
        <v>84.412825855297342</v>
      </c>
      <c r="BZ324" s="9">
        <f t="shared" ca="1" si="232"/>
        <v>0</v>
      </c>
      <c r="CA324" s="6">
        <f t="shared" ca="1" si="233"/>
        <v>0</v>
      </c>
      <c r="CB324" s="6" t="e">
        <f t="shared" ca="1" si="234"/>
        <v>#DIV/0!</v>
      </c>
      <c r="CC324" s="6" t="e">
        <f t="shared" ca="1" si="235"/>
        <v>#DIV/0!</v>
      </c>
      <c r="CD324" s="9">
        <f t="shared" si="236"/>
        <v>-50</v>
      </c>
      <c r="CE324" s="9">
        <f t="shared" si="237"/>
        <v>0</v>
      </c>
      <c r="CF324" s="6">
        <f t="shared" si="238"/>
        <v>3.1415926535897931</v>
      </c>
      <c r="CG324" s="6"/>
      <c r="CH324" s="6"/>
      <c r="CI324" s="6"/>
      <c r="CJ324" s="1"/>
      <c r="CK324" s="6"/>
    </row>
    <row r="325" spans="55:89" x14ac:dyDescent="0.25">
      <c r="BC325"/>
      <c r="BD325"/>
      <c r="BF325" s="6" t="e">
        <f t="shared" si="239"/>
        <v>#N/A</v>
      </c>
      <c r="BG325" s="6" t="e">
        <f t="shared" si="240"/>
        <v>#N/A</v>
      </c>
      <c r="BH325" s="6" t="e">
        <f t="shared" si="241"/>
        <v>#N/A</v>
      </c>
      <c r="BI325" s="6" t="e">
        <f t="shared" si="242"/>
        <v>#N/A</v>
      </c>
      <c r="BV325" s="38"/>
      <c r="BW325" s="6" t="e">
        <f t="shared" si="229"/>
        <v>#N/A</v>
      </c>
      <c r="BX325" s="9">
        <f t="shared" ca="1" si="230"/>
        <v>-156.7666765884093</v>
      </c>
      <c r="BY325" s="9">
        <f t="shared" ca="1" si="231"/>
        <v>84.412825855297342</v>
      </c>
      <c r="BZ325" s="9">
        <f t="shared" ca="1" si="232"/>
        <v>0</v>
      </c>
      <c r="CA325" s="6">
        <f t="shared" ca="1" si="233"/>
        <v>0</v>
      </c>
      <c r="CB325" s="6" t="e">
        <f t="shared" ca="1" si="234"/>
        <v>#DIV/0!</v>
      </c>
      <c r="CC325" s="6" t="e">
        <f t="shared" ca="1" si="235"/>
        <v>#DIV/0!</v>
      </c>
      <c r="CD325" s="9">
        <f t="shared" si="236"/>
        <v>-50</v>
      </c>
      <c r="CE325" s="9">
        <f t="shared" si="237"/>
        <v>0</v>
      </c>
      <c r="CF325" s="6">
        <f t="shared" si="238"/>
        <v>3.1415926535897931</v>
      </c>
      <c r="CG325" s="6"/>
      <c r="CH325" s="6"/>
      <c r="CI325" s="6"/>
      <c r="CJ325" s="1"/>
      <c r="CK325" s="6"/>
    </row>
    <row r="326" spans="55:89" x14ac:dyDescent="0.25">
      <c r="BC326"/>
      <c r="BD326"/>
      <c r="BF326" s="6" t="e">
        <f t="shared" si="239"/>
        <v>#N/A</v>
      </c>
      <c r="BG326" s="6" t="e">
        <f t="shared" si="240"/>
        <v>#N/A</v>
      </c>
      <c r="BH326" s="6" t="e">
        <f t="shared" si="241"/>
        <v>#N/A</v>
      </c>
      <c r="BI326" s="6" t="e">
        <f t="shared" si="242"/>
        <v>#N/A</v>
      </c>
      <c r="BV326" s="38"/>
      <c r="BW326" s="6" t="e">
        <f t="shared" si="229"/>
        <v>#N/A</v>
      </c>
      <c r="BX326" s="9">
        <f t="shared" ca="1" si="230"/>
        <v>-156.7666765884093</v>
      </c>
      <c r="BY326" s="9">
        <f t="shared" ca="1" si="231"/>
        <v>84.412825855297342</v>
      </c>
      <c r="BZ326" s="9">
        <f t="shared" ca="1" si="232"/>
        <v>0</v>
      </c>
      <c r="CA326" s="6">
        <f t="shared" ca="1" si="233"/>
        <v>0</v>
      </c>
      <c r="CB326" s="6" t="e">
        <f t="shared" ca="1" si="234"/>
        <v>#DIV/0!</v>
      </c>
      <c r="CC326" s="6" t="e">
        <f t="shared" ca="1" si="235"/>
        <v>#DIV/0!</v>
      </c>
      <c r="CD326" s="9">
        <f t="shared" si="236"/>
        <v>-50</v>
      </c>
      <c r="CE326" s="9">
        <f t="shared" si="237"/>
        <v>0</v>
      </c>
      <c r="CF326" s="6">
        <f t="shared" si="238"/>
        <v>3.1415926535897931</v>
      </c>
      <c r="CG326" s="6"/>
      <c r="CH326" s="6"/>
      <c r="CI326" s="6"/>
      <c r="CJ326" s="1"/>
      <c r="CK326" s="6"/>
    </row>
    <row r="327" spans="55:89" x14ac:dyDescent="0.25">
      <c r="BC327"/>
      <c r="BD327"/>
      <c r="BF327" s="6" t="e">
        <f t="shared" si="239"/>
        <v>#N/A</v>
      </c>
      <c r="BG327" s="6" t="e">
        <f t="shared" si="240"/>
        <v>#N/A</v>
      </c>
      <c r="BH327" s="6" t="e">
        <f t="shared" si="241"/>
        <v>#N/A</v>
      </c>
      <c r="BI327" s="6" t="e">
        <f t="shared" si="242"/>
        <v>#N/A</v>
      </c>
      <c r="BV327" s="38"/>
      <c r="BW327" s="6" t="e">
        <f t="shared" si="229"/>
        <v>#N/A</v>
      </c>
      <c r="BX327" s="9">
        <f t="shared" ca="1" si="230"/>
        <v>-156.7666765884093</v>
      </c>
      <c r="BY327" s="9">
        <f t="shared" ca="1" si="231"/>
        <v>84.412825855297342</v>
      </c>
      <c r="BZ327" s="9">
        <f t="shared" ca="1" si="232"/>
        <v>0</v>
      </c>
      <c r="CA327" s="6">
        <f t="shared" ca="1" si="233"/>
        <v>0</v>
      </c>
      <c r="CB327" s="6" t="e">
        <f t="shared" ca="1" si="234"/>
        <v>#DIV/0!</v>
      </c>
      <c r="CC327" s="6" t="e">
        <f t="shared" ca="1" si="235"/>
        <v>#DIV/0!</v>
      </c>
      <c r="CD327" s="9">
        <f t="shared" si="236"/>
        <v>-50</v>
      </c>
      <c r="CE327" s="9">
        <f t="shared" si="237"/>
        <v>0</v>
      </c>
      <c r="CF327" s="6">
        <f t="shared" si="238"/>
        <v>3.1415926535897931</v>
      </c>
      <c r="CG327" s="6"/>
      <c r="CH327" s="6"/>
      <c r="CI327" s="6"/>
      <c r="CJ327" s="1"/>
      <c r="CK327" s="6"/>
    </row>
    <row r="328" spans="55:89" x14ac:dyDescent="0.25">
      <c r="BC328"/>
      <c r="BD328"/>
      <c r="BF328" s="6" t="e">
        <f t="shared" si="239"/>
        <v>#N/A</v>
      </c>
      <c r="BG328" s="6" t="e">
        <f t="shared" si="240"/>
        <v>#N/A</v>
      </c>
      <c r="BH328" s="6" t="e">
        <f t="shared" si="241"/>
        <v>#N/A</v>
      </c>
      <c r="BI328" s="6" t="e">
        <f t="shared" si="242"/>
        <v>#N/A</v>
      </c>
      <c r="BV328" s="38"/>
      <c r="BW328" s="6" t="e">
        <f t="shared" si="229"/>
        <v>#N/A</v>
      </c>
      <c r="BX328" s="9">
        <f t="shared" ca="1" si="230"/>
        <v>-156.7666765884093</v>
      </c>
      <c r="BY328" s="9">
        <f t="shared" ca="1" si="231"/>
        <v>84.412825855297342</v>
      </c>
      <c r="BZ328" s="9">
        <f t="shared" ca="1" si="232"/>
        <v>0</v>
      </c>
      <c r="CA328" s="6">
        <f t="shared" ca="1" si="233"/>
        <v>0</v>
      </c>
      <c r="CB328" s="6" t="e">
        <f t="shared" ca="1" si="234"/>
        <v>#DIV/0!</v>
      </c>
      <c r="CC328" s="6" t="e">
        <f t="shared" ca="1" si="235"/>
        <v>#DIV/0!</v>
      </c>
      <c r="CD328" s="9">
        <f t="shared" si="236"/>
        <v>-50</v>
      </c>
      <c r="CE328" s="9">
        <f t="shared" si="237"/>
        <v>0</v>
      </c>
      <c r="CF328" s="6">
        <f t="shared" si="238"/>
        <v>3.1415926535897931</v>
      </c>
      <c r="CG328" s="6"/>
      <c r="CH328" s="6"/>
      <c r="CI328" s="6"/>
      <c r="CJ328" s="1"/>
      <c r="CK328" s="6"/>
    </row>
    <row r="329" spans="55:89" x14ac:dyDescent="0.25">
      <c r="BC329"/>
      <c r="BD329"/>
      <c r="BF329" s="6" t="e">
        <f t="shared" si="239"/>
        <v>#N/A</v>
      </c>
      <c r="BG329" s="6" t="e">
        <f t="shared" si="240"/>
        <v>#N/A</v>
      </c>
      <c r="BH329" s="6" t="e">
        <f t="shared" si="241"/>
        <v>#N/A</v>
      </c>
      <c r="BI329" s="6" t="e">
        <f t="shared" si="242"/>
        <v>#N/A</v>
      </c>
      <c r="BV329" s="38"/>
      <c r="BW329" s="6" t="e">
        <f t="shared" si="229"/>
        <v>#N/A</v>
      </c>
      <c r="BX329" s="9">
        <f t="shared" ca="1" si="230"/>
        <v>-156.7666765884093</v>
      </c>
      <c r="BY329" s="9">
        <f t="shared" ca="1" si="231"/>
        <v>84.412825855297342</v>
      </c>
      <c r="BZ329" s="9">
        <f t="shared" ca="1" si="232"/>
        <v>0</v>
      </c>
      <c r="CA329" s="6">
        <f t="shared" ca="1" si="233"/>
        <v>0</v>
      </c>
      <c r="CB329" s="6" t="e">
        <f t="shared" ca="1" si="234"/>
        <v>#DIV/0!</v>
      </c>
      <c r="CC329" s="6" t="e">
        <f t="shared" ca="1" si="235"/>
        <v>#DIV/0!</v>
      </c>
      <c r="CD329" s="9">
        <f t="shared" si="236"/>
        <v>-50</v>
      </c>
      <c r="CE329" s="9">
        <f t="shared" si="237"/>
        <v>0</v>
      </c>
      <c r="CF329" s="6">
        <f t="shared" si="238"/>
        <v>3.1415926535897931</v>
      </c>
      <c r="CG329" s="6"/>
      <c r="CH329" s="6"/>
      <c r="CI329" s="6"/>
      <c r="CJ329" s="1"/>
      <c r="CK329" s="6"/>
    </row>
    <row r="330" spans="55:89" x14ac:dyDescent="0.25">
      <c r="BC330"/>
      <c r="BD330"/>
      <c r="BF330" s="6" t="e">
        <f t="shared" si="239"/>
        <v>#N/A</v>
      </c>
      <c r="BG330" s="6" t="e">
        <f t="shared" si="240"/>
        <v>#N/A</v>
      </c>
      <c r="BH330" s="6" t="e">
        <f t="shared" si="241"/>
        <v>#N/A</v>
      </c>
      <c r="BI330" s="6" t="e">
        <f t="shared" si="242"/>
        <v>#N/A</v>
      </c>
      <c r="BV330" s="38"/>
      <c r="BW330" s="6" t="e">
        <f t="shared" si="229"/>
        <v>#N/A</v>
      </c>
      <c r="BX330" s="9">
        <f t="shared" ca="1" si="230"/>
        <v>-156.7666765884093</v>
      </c>
      <c r="BY330" s="9">
        <f t="shared" ca="1" si="231"/>
        <v>84.412825855297342</v>
      </c>
      <c r="BZ330" s="9">
        <f t="shared" ca="1" si="232"/>
        <v>0</v>
      </c>
      <c r="CA330" s="6">
        <f t="shared" ca="1" si="233"/>
        <v>0</v>
      </c>
      <c r="CB330" s="6" t="e">
        <f t="shared" ca="1" si="234"/>
        <v>#DIV/0!</v>
      </c>
      <c r="CC330" s="6" t="e">
        <f t="shared" ca="1" si="235"/>
        <v>#DIV/0!</v>
      </c>
      <c r="CD330" s="9">
        <f t="shared" si="236"/>
        <v>-50</v>
      </c>
      <c r="CE330" s="9">
        <f t="shared" si="237"/>
        <v>0</v>
      </c>
      <c r="CF330" s="6">
        <f t="shared" si="238"/>
        <v>3.1415926535897931</v>
      </c>
      <c r="CG330" s="6"/>
      <c r="CH330" s="6"/>
      <c r="CI330" s="6"/>
      <c r="CJ330" s="1"/>
      <c r="CK330" s="6"/>
    </row>
    <row r="331" spans="55:89" x14ac:dyDescent="0.25">
      <c r="BC331"/>
      <c r="BD331"/>
      <c r="BF331" s="6" t="e">
        <f t="shared" si="239"/>
        <v>#N/A</v>
      </c>
      <c r="BG331" s="6" t="e">
        <f t="shared" si="240"/>
        <v>#N/A</v>
      </c>
      <c r="BH331" s="6" t="e">
        <f t="shared" si="241"/>
        <v>#N/A</v>
      </c>
      <c r="BI331" s="6" t="e">
        <f t="shared" si="242"/>
        <v>#N/A</v>
      </c>
      <c r="BV331" s="38"/>
      <c r="BW331" s="6" t="e">
        <f t="shared" si="229"/>
        <v>#N/A</v>
      </c>
      <c r="BX331" s="9">
        <f t="shared" ca="1" si="230"/>
        <v>-156.7666765884093</v>
      </c>
      <c r="BY331" s="9">
        <f t="shared" ca="1" si="231"/>
        <v>84.412825855297342</v>
      </c>
      <c r="BZ331" s="9">
        <f t="shared" ca="1" si="232"/>
        <v>0</v>
      </c>
      <c r="CA331" s="6">
        <f t="shared" ca="1" si="233"/>
        <v>0</v>
      </c>
      <c r="CB331" s="6" t="e">
        <f t="shared" ca="1" si="234"/>
        <v>#DIV/0!</v>
      </c>
      <c r="CC331" s="6" t="e">
        <f t="shared" ca="1" si="235"/>
        <v>#DIV/0!</v>
      </c>
      <c r="CD331" s="9">
        <f t="shared" si="236"/>
        <v>-50</v>
      </c>
      <c r="CE331" s="9">
        <f t="shared" si="237"/>
        <v>0</v>
      </c>
      <c r="CF331" s="6">
        <f t="shared" si="238"/>
        <v>3.1415926535897931</v>
      </c>
      <c r="CG331" s="6"/>
      <c r="CH331" s="6"/>
      <c r="CI331" s="6"/>
      <c r="CJ331" s="1"/>
      <c r="CK331" s="6"/>
    </row>
    <row r="332" spans="55:89" x14ac:dyDescent="0.25">
      <c r="BC332"/>
      <c r="BD332"/>
      <c r="BF332" s="6" t="e">
        <f t="shared" si="239"/>
        <v>#N/A</v>
      </c>
      <c r="BG332" s="6" t="e">
        <f t="shared" si="240"/>
        <v>#N/A</v>
      </c>
      <c r="BH332" s="6" t="e">
        <f t="shared" si="241"/>
        <v>#N/A</v>
      </c>
      <c r="BI332" s="6" t="e">
        <f t="shared" si="242"/>
        <v>#N/A</v>
      </c>
      <c r="BV332" s="38"/>
      <c r="BW332" s="6" t="e">
        <f t="shared" si="229"/>
        <v>#N/A</v>
      </c>
      <c r="BX332" s="9">
        <f t="shared" ca="1" si="230"/>
        <v>-156.7666765884093</v>
      </c>
      <c r="BY332" s="9">
        <f t="shared" ca="1" si="231"/>
        <v>84.412825855297342</v>
      </c>
      <c r="BZ332" s="9">
        <f t="shared" ca="1" si="232"/>
        <v>0</v>
      </c>
      <c r="CA332" s="6">
        <f t="shared" ca="1" si="233"/>
        <v>0</v>
      </c>
      <c r="CB332" s="6" t="e">
        <f t="shared" ca="1" si="234"/>
        <v>#DIV/0!</v>
      </c>
      <c r="CC332" s="6" t="e">
        <f t="shared" ca="1" si="235"/>
        <v>#DIV/0!</v>
      </c>
      <c r="CD332" s="9">
        <f t="shared" si="236"/>
        <v>-50</v>
      </c>
      <c r="CE332" s="9">
        <f t="shared" si="237"/>
        <v>0</v>
      </c>
      <c r="CF332" s="6">
        <f t="shared" si="238"/>
        <v>3.1415926535897931</v>
      </c>
      <c r="CG332" s="6"/>
      <c r="CH332" s="6"/>
      <c r="CI332" s="6"/>
      <c r="CJ332" s="1"/>
      <c r="CK332" s="6"/>
    </row>
    <row r="333" spans="55:89" x14ac:dyDescent="0.25">
      <c r="BC333"/>
      <c r="BD333"/>
      <c r="BF333" s="6" t="e">
        <f t="shared" si="239"/>
        <v>#N/A</v>
      </c>
      <c r="BG333" s="6" t="e">
        <f t="shared" si="240"/>
        <v>#N/A</v>
      </c>
      <c r="BH333" s="6" t="e">
        <f t="shared" si="241"/>
        <v>#N/A</v>
      </c>
      <c r="BI333" s="6" t="e">
        <f t="shared" si="242"/>
        <v>#N/A</v>
      </c>
      <c r="BV333" s="38"/>
      <c r="BW333" s="6" t="e">
        <f t="shared" si="229"/>
        <v>#N/A</v>
      </c>
      <c r="BX333" s="9">
        <f t="shared" ca="1" si="230"/>
        <v>-156.7666765884093</v>
      </c>
      <c r="BY333" s="9">
        <f t="shared" ca="1" si="231"/>
        <v>84.412825855297342</v>
      </c>
      <c r="BZ333" s="9">
        <f t="shared" ca="1" si="232"/>
        <v>0</v>
      </c>
      <c r="CA333" s="6">
        <f t="shared" ca="1" si="233"/>
        <v>0</v>
      </c>
      <c r="CB333" s="6" t="e">
        <f t="shared" ca="1" si="234"/>
        <v>#DIV/0!</v>
      </c>
      <c r="CC333" s="6" t="e">
        <f t="shared" ca="1" si="235"/>
        <v>#DIV/0!</v>
      </c>
      <c r="CD333" s="9">
        <f t="shared" si="236"/>
        <v>-50</v>
      </c>
      <c r="CE333" s="9">
        <f t="shared" si="237"/>
        <v>0</v>
      </c>
      <c r="CF333" s="6">
        <f t="shared" si="238"/>
        <v>3.1415926535897931</v>
      </c>
      <c r="CG333" s="6"/>
      <c r="CH333" s="6"/>
      <c r="CI333" s="6"/>
      <c r="CJ333" s="1"/>
      <c r="CK333" s="6"/>
    </row>
    <row r="334" spans="55:89" x14ac:dyDescent="0.25">
      <c r="BC334"/>
      <c r="BD334"/>
      <c r="BF334" s="6" t="e">
        <f t="shared" si="239"/>
        <v>#N/A</v>
      </c>
      <c r="BG334" s="6" t="e">
        <f t="shared" si="240"/>
        <v>#N/A</v>
      </c>
      <c r="BH334" s="6" t="e">
        <f t="shared" si="241"/>
        <v>#N/A</v>
      </c>
      <c r="BI334" s="6" t="e">
        <f t="shared" si="242"/>
        <v>#N/A</v>
      </c>
      <c r="BV334" s="38"/>
      <c r="BW334" s="6" t="e">
        <f t="shared" si="229"/>
        <v>#N/A</v>
      </c>
      <c r="BX334" s="9">
        <f t="shared" ca="1" si="230"/>
        <v>-156.7666765884093</v>
      </c>
      <c r="BY334" s="9">
        <f t="shared" ca="1" si="231"/>
        <v>84.412825855297342</v>
      </c>
      <c r="BZ334" s="9">
        <f t="shared" ca="1" si="232"/>
        <v>0</v>
      </c>
      <c r="CA334" s="6">
        <f t="shared" ca="1" si="233"/>
        <v>0</v>
      </c>
      <c r="CB334" s="6" t="e">
        <f t="shared" ca="1" si="234"/>
        <v>#DIV/0!</v>
      </c>
      <c r="CC334" s="6" t="e">
        <f t="shared" ca="1" si="235"/>
        <v>#DIV/0!</v>
      </c>
      <c r="CD334" s="9">
        <f t="shared" si="236"/>
        <v>-50</v>
      </c>
      <c r="CE334" s="9">
        <f t="shared" si="237"/>
        <v>0</v>
      </c>
      <c r="CF334" s="6">
        <f t="shared" si="238"/>
        <v>3.1415926535897931</v>
      </c>
      <c r="CG334" s="6"/>
      <c r="CH334" s="6"/>
      <c r="CI334" s="6"/>
      <c r="CJ334" s="1"/>
      <c r="CK334" s="6"/>
    </row>
    <row r="335" spans="55:89" x14ac:dyDescent="0.25">
      <c r="BC335"/>
      <c r="BD335"/>
      <c r="BF335" s="6" t="e">
        <f t="shared" si="239"/>
        <v>#N/A</v>
      </c>
      <c r="BG335" s="6" t="e">
        <f t="shared" si="240"/>
        <v>#N/A</v>
      </c>
      <c r="BH335" s="6" t="e">
        <f t="shared" si="241"/>
        <v>#N/A</v>
      </c>
      <c r="BI335" s="6" t="e">
        <f t="shared" si="242"/>
        <v>#N/A</v>
      </c>
      <c r="BV335" s="38"/>
      <c r="BW335" s="6" t="e">
        <f t="shared" si="229"/>
        <v>#N/A</v>
      </c>
      <c r="BX335" s="9">
        <f t="shared" ca="1" si="230"/>
        <v>-156.7666765884093</v>
      </c>
      <c r="BY335" s="9">
        <f t="shared" ca="1" si="231"/>
        <v>84.412825855297342</v>
      </c>
      <c r="BZ335" s="9">
        <f t="shared" ca="1" si="232"/>
        <v>0</v>
      </c>
      <c r="CA335" s="6">
        <f t="shared" ca="1" si="233"/>
        <v>0</v>
      </c>
      <c r="CB335" s="6" t="e">
        <f t="shared" ca="1" si="234"/>
        <v>#DIV/0!</v>
      </c>
      <c r="CC335" s="6" t="e">
        <f t="shared" ca="1" si="235"/>
        <v>#DIV/0!</v>
      </c>
      <c r="CD335" s="9">
        <f t="shared" si="236"/>
        <v>-50</v>
      </c>
      <c r="CE335" s="9">
        <f t="shared" si="237"/>
        <v>0</v>
      </c>
      <c r="CF335" s="6">
        <f t="shared" si="238"/>
        <v>3.1415926535897931</v>
      </c>
      <c r="CG335" s="6"/>
      <c r="CH335" s="6"/>
      <c r="CI335" s="6"/>
      <c r="CJ335" s="1"/>
      <c r="CK335" s="6"/>
    </row>
    <row r="336" spans="55:89" x14ac:dyDescent="0.25">
      <c r="BC336"/>
      <c r="BD336"/>
      <c r="BF336" s="6" t="e">
        <f t="shared" si="239"/>
        <v>#N/A</v>
      </c>
      <c r="BG336" s="6" t="e">
        <f t="shared" si="240"/>
        <v>#N/A</v>
      </c>
      <c r="BH336" s="6" t="e">
        <f t="shared" si="241"/>
        <v>#N/A</v>
      </c>
      <c r="BI336" s="6" t="e">
        <f t="shared" si="242"/>
        <v>#N/A</v>
      </c>
      <c r="BV336" s="38"/>
      <c r="BW336" s="6" t="e">
        <f t="shared" ref="BW336:BW375" si="243">IF(BC323="",NA(),BC323)</f>
        <v>#N/A</v>
      </c>
      <c r="BX336" s="9">
        <f t="shared" ref="BX336:BX375" ca="1" si="244">BD323-$BW$5</f>
        <v>-156.7666765884093</v>
      </c>
      <c r="BY336" s="9">
        <f t="shared" ref="BY336:BY375" ca="1" si="245">BE323-$BX$5</f>
        <v>84.412825855297342</v>
      </c>
      <c r="BZ336" s="9">
        <f t="shared" ref="BZ336:BZ375" ca="1" si="246">BX336-$CE$5</f>
        <v>0</v>
      </c>
      <c r="CA336" s="6">
        <f t="shared" ref="CA336:CA375" ca="1" si="247">BY336-$CF$5</f>
        <v>0</v>
      </c>
      <c r="CB336" s="6" t="e">
        <f t="shared" ref="CB336:CB375" ca="1" si="248">ATAN2(BZ336,CA336)</f>
        <v>#DIV/0!</v>
      </c>
      <c r="CC336" s="6" t="e">
        <f t="shared" ref="CC336:CC375" ca="1" si="249">ATAN2(COS(CF336-CB336),SIN(CF336-CB336))*10</f>
        <v>#DIV/0!</v>
      </c>
      <c r="CD336" s="9">
        <f t="shared" ref="CD336:CD375" si="250">BD323-$BW$6</f>
        <v>-50</v>
      </c>
      <c r="CE336" s="9">
        <f t="shared" ref="CE336:CE375" si="251">BE323-$BX$6</f>
        <v>0</v>
      </c>
      <c r="CF336" s="6">
        <f t="shared" ref="CF336:CF375" si="252">ATAN2(CD336,CE336)</f>
        <v>3.1415926535897931</v>
      </c>
      <c r="CG336" s="6"/>
      <c r="CH336" s="6"/>
      <c r="CI336" s="6"/>
      <c r="CJ336" s="1"/>
      <c r="CK336" s="6"/>
    </row>
    <row r="337" spans="55:89" x14ac:dyDescent="0.25">
      <c r="BC337"/>
      <c r="BD337"/>
      <c r="BF337" s="6" t="e">
        <f t="shared" si="239"/>
        <v>#N/A</v>
      </c>
      <c r="BG337" s="6" t="e">
        <f t="shared" si="240"/>
        <v>#N/A</v>
      </c>
      <c r="BH337" s="6" t="e">
        <f t="shared" si="241"/>
        <v>#N/A</v>
      </c>
      <c r="BI337" s="6" t="e">
        <f t="shared" si="242"/>
        <v>#N/A</v>
      </c>
      <c r="BV337" s="38"/>
      <c r="BW337" s="6" t="e">
        <f t="shared" si="243"/>
        <v>#N/A</v>
      </c>
      <c r="BX337" s="9">
        <f t="shared" ca="1" si="244"/>
        <v>-156.7666765884093</v>
      </c>
      <c r="BY337" s="9">
        <f t="shared" ca="1" si="245"/>
        <v>84.412825855297342</v>
      </c>
      <c r="BZ337" s="9">
        <f t="shared" ca="1" si="246"/>
        <v>0</v>
      </c>
      <c r="CA337" s="6">
        <f t="shared" ca="1" si="247"/>
        <v>0</v>
      </c>
      <c r="CB337" s="6" t="e">
        <f t="shared" ca="1" si="248"/>
        <v>#DIV/0!</v>
      </c>
      <c r="CC337" s="6" t="e">
        <f t="shared" ca="1" si="249"/>
        <v>#DIV/0!</v>
      </c>
      <c r="CD337" s="9">
        <f t="shared" si="250"/>
        <v>-50</v>
      </c>
      <c r="CE337" s="9">
        <f t="shared" si="251"/>
        <v>0</v>
      </c>
      <c r="CF337" s="6">
        <f t="shared" si="252"/>
        <v>3.1415926535897931</v>
      </c>
      <c r="CG337" s="6"/>
      <c r="CH337" s="6"/>
      <c r="CI337" s="6"/>
      <c r="CJ337" s="1"/>
      <c r="CK337" s="6"/>
    </row>
    <row r="338" spans="55:89" x14ac:dyDescent="0.25">
      <c r="BC338"/>
      <c r="BD338"/>
      <c r="BF338" s="6" t="e">
        <f t="shared" si="239"/>
        <v>#N/A</v>
      </c>
      <c r="BG338" s="6" t="e">
        <f t="shared" si="240"/>
        <v>#N/A</v>
      </c>
      <c r="BH338" s="6" t="e">
        <f t="shared" si="241"/>
        <v>#N/A</v>
      </c>
      <c r="BI338" s="6" t="e">
        <f t="shared" si="242"/>
        <v>#N/A</v>
      </c>
      <c r="BV338" s="38"/>
      <c r="BW338" s="6" t="e">
        <f t="shared" si="243"/>
        <v>#N/A</v>
      </c>
      <c r="BX338" s="9">
        <f t="shared" ca="1" si="244"/>
        <v>-156.7666765884093</v>
      </c>
      <c r="BY338" s="9">
        <f t="shared" ca="1" si="245"/>
        <v>84.412825855297342</v>
      </c>
      <c r="BZ338" s="9">
        <f t="shared" ca="1" si="246"/>
        <v>0</v>
      </c>
      <c r="CA338" s="6">
        <f t="shared" ca="1" si="247"/>
        <v>0</v>
      </c>
      <c r="CB338" s="6" t="e">
        <f t="shared" ca="1" si="248"/>
        <v>#DIV/0!</v>
      </c>
      <c r="CC338" s="6" t="e">
        <f t="shared" ca="1" si="249"/>
        <v>#DIV/0!</v>
      </c>
      <c r="CD338" s="9">
        <f t="shared" si="250"/>
        <v>-50</v>
      </c>
      <c r="CE338" s="9">
        <f t="shared" si="251"/>
        <v>0</v>
      </c>
      <c r="CF338" s="6">
        <f t="shared" si="252"/>
        <v>3.1415926535897931</v>
      </c>
      <c r="CG338" s="6"/>
      <c r="CH338" s="6"/>
      <c r="CI338" s="6"/>
      <c r="CJ338" s="1"/>
      <c r="CK338" s="6"/>
    </row>
    <row r="339" spans="55:89" x14ac:dyDescent="0.25">
      <c r="BC339"/>
      <c r="BD339"/>
      <c r="BF339" s="6" t="e">
        <f t="shared" si="239"/>
        <v>#N/A</v>
      </c>
      <c r="BG339" s="6" t="e">
        <f t="shared" si="240"/>
        <v>#N/A</v>
      </c>
      <c r="BH339" s="6" t="e">
        <f t="shared" si="241"/>
        <v>#N/A</v>
      </c>
      <c r="BI339" s="6" t="e">
        <f t="shared" si="242"/>
        <v>#N/A</v>
      </c>
      <c r="BV339" s="38"/>
      <c r="BW339" s="6" t="e">
        <f t="shared" si="243"/>
        <v>#N/A</v>
      </c>
      <c r="BX339" s="9">
        <f t="shared" ca="1" si="244"/>
        <v>-156.7666765884093</v>
      </c>
      <c r="BY339" s="9">
        <f t="shared" ca="1" si="245"/>
        <v>84.412825855297342</v>
      </c>
      <c r="BZ339" s="9">
        <f t="shared" ca="1" si="246"/>
        <v>0</v>
      </c>
      <c r="CA339" s="6">
        <f t="shared" ca="1" si="247"/>
        <v>0</v>
      </c>
      <c r="CB339" s="6" t="e">
        <f t="shared" ca="1" si="248"/>
        <v>#DIV/0!</v>
      </c>
      <c r="CC339" s="6" t="e">
        <f t="shared" ca="1" si="249"/>
        <v>#DIV/0!</v>
      </c>
      <c r="CD339" s="9">
        <f t="shared" si="250"/>
        <v>-50</v>
      </c>
      <c r="CE339" s="9">
        <f t="shared" si="251"/>
        <v>0</v>
      </c>
      <c r="CF339" s="6">
        <f t="shared" si="252"/>
        <v>3.1415926535897931</v>
      </c>
      <c r="CG339" s="6"/>
      <c r="CH339" s="6"/>
      <c r="CI339" s="6"/>
      <c r="CJ339" s="1"/>
      <c r="CK339" s="6"/>
    </row>
    <row r="340" spans="55:89" x14ac:dyDescent="0.25">
      <c r="BC340"/>
      <c r="BD340"/>
      <c r="BF340" s="6" t="e">
        <f t="shared" si="239"/>
        <v>#N/A</v>
      </c>
      <c r="BG340" s="6" t="e">
        <f t="shared" si="240"/>
        <v>#N/A</v>
      </c>
      <c r="BH340" s="6" t="e">
        <f t="shared" si="241"/>
        <v>#N/A</v>
      </c>
      <c r="BI340" s="6" t="e">
        <f t="shared" si="242"/>
        <v>#N/A</v>
      </c>
      <c r="BV340" s="38"/>
      <c r="BW340" s="6" t="e">
        <f t="shared" si="243"/>
        <v>#N/A</v>
      </c>
      <c r="BX340" s="9">
        <f t="shared" ca="1" si="244"/>
        <v>-156.7666765884093</v>
      </c>
      <c r="BY340" s="9">
        <f t="shared" ca="1" si="245"/>
        <v>84.412825855297342</v>
      </c>
      <c r="BZ340" s="9">
        <f t="shared" ca="1" si="246"/>
        <v>0</v>
      </c>
      <c r="CA340" s="6">
        <f t="shared" ca="1" si="247"/>
        <v>0</v>
      </c>
      <c r="CB340" s="6" t="e">
        <f t="shared" ca="1" si="248"/>
        <v>#DIV/0!</v>
      </c>
      <c r="CC340" s="6" t="e">
        <f t="shared" ca="1" si="249"/>
        <v>#DIV/0!</v>
      </c>
      <c r="CD340" s="9">
        <f t="shared" si="250"/>
        <v>-50</v>
      </c>
      <c r="CE340" s="9">
        <f t="shared" si="251"/>
        <v>0</v>
      </c>
      <c r="CF340" s="6">
        <f t="shared" si="252"/>
        <v>3.1415926535897931</v>
      </c>
      <c r="CG340" s="6"/>
      <c r="CH340" s="6"/>
      <c r="CI340" s="6"/>
      <c r="CJ340" s="1"/>
      <c r="CK340" s="6"/>
    </row>
    <row r="341" spans="55:89" x14ac:dyDescent="0.25">
      <c r="BC341"/>
      <c r="BD341"/>
      <c r="BF341" s="6" t="e">
        <f t="shared" si="239"/>
        <v>#N/A</v>
      </c>
      <c r="BG341" s="6" t="e">
        <f t="shared" si="240"/>
        <v>#N/A</v>
      </c>
      <c r="BH341" s="6" t="e">
        <f t="shared" si="241"/>
        <v>#N/A</v>
      </c>
      <c r="BI341" s="6" t="e">
        <f t="shared" si="242"/>
        <v>#N/A</v>
      </c>
      <c r="BV341" s="38"/>
      <c r="BW341" s="6" t="e">
        <f t="shared" si="243"/>
        <v>#N/A</v>
      </c>
      <c r="BX341" s="9">
        <f t="shared" ca="1" si="244"/>
        <v>-156.7666765884093</v>
      </c>
      <c r="BY341" s="9">
        <f t="shared" ca="1" si="245"/>
        <v>84.412825855297342</v>
      </c>
      <c r="BZ341" s="9">
        <f t="shared" ca="1" si="246"/>
        <v>0</v>
      </c>
      <c r="CA341" s="6">
        <f t="shared" ca="1" si="247"/>
        <v>0</v>
      </c>
      <c r="CB341" s="6" t="e">
        <f t="shared" ca="1" si="248"/>
        <v>#DIV/0!</v>
      </c>
      <c r="CC341" s="6" t="e">
        <f t="shared" ca="1" si="249"/>
        <v>#DIV/0!</v>
      </c>
      <c r="CD341" s="9">
        <f t="shared" si="250"/>
        <v>-50</v>
      </c>
      <c r="CE341" s="9">
        <f t="shared" si="251"/>
        <v>0</v>
      </c>
      <c r="CF341" s="6">
        <f t="shared" si="252"/>
        <v>3.1415926535897931</v>
      </c>
      <c r="CG341" s="6"/>
      <c r="CH341" s="6"/>
      <c r="CI341" s="6"/>
      <c r="CJ341" s="1"/>
      <c r="CK341" s="6"/>
    </row>
    <row r="342" spans="55:89" x14ac:dyDescent="0.25">
      <c r="BC342"/>
      <c r="BD342"/>
      <c r="BF342" s="6" t="e">
        <f t="shared" si="239"/>
        <v>#N/A</v>
      </c>
      <c r="BG342" s="6" t="e">
        <f t="shared" si="240"/>
        <v>#N/A</v>
      </c>
      <c r="BH342" s="6" t="e">
        <f t="shared" si="241"/>
        <v>#N/A</v>
      </c>
      <c r="BI342" s="6" t="e">
        <f t="shared" si="242"/>
        <v>#N/A</v>
      </c>
      <c r="BV342" s="38"/>
      <c r="BW342" s="6" t="e">
        <f t="shared" si="243"/>
        <v>#N/A</v>
      </c>
      <c r="BX342" s="9">
        <f t="shared" ca="1" si="244"/>
        <v>-156.7666765884093</v>
      </c>
      <c r="BY342" s="9">
        <f t="shared" ca="1" si="245"/>
        <v>84.412825855297342</v>
      </c>
      <c r="BZ342" s="9">
        <f t="shared" ca="1" si="246"/>
        <v>0</v>
      </c>
      <c r="CA342" s="6">
        <f t="shared" ca="1" si="247"/>
        <v>0</v>
      </c>
      <c r="CB342" s="6" t="e">
        <f t="shared" ca="1" si="248"/>
        <v>#DIV/0!</v>
      </c>
      <c r="CC342" s="6" t="e">
        <f t="shared" ca="1" si="249"/>
        <v>#DIV/0!</v>
      </c>
      <c r="CD342" s="9">
        <f t="shared" si="250"/>
        <v>-50</v>
      </c>
      <c r="CE342" s="9">
        <f t="shared" si="251"/>
        <v>0</v>
      </c>
      <c r="CF342" s="6">
        <f t="shared" si="252"/>
        <v>3.1415926535897931</v>
      </c>
      <c r="CG342" s="6"/>
      <c r="CH342" s="6"/>
      <c r="CI342" s="6"/>
      <c r="CJ342" s="1"/>
      <c r="CK342" s="6"/>
    </row>
    <row r="343" spans="55:89" x14ac:dyDescent="0.25">
      <c r="BC343"/>
      <c r="BD343"/>
      <c r="BF343" s="6" t="e">
        <f t="shared" si="239"/>
        <v>#N/A</v>
      </c>
      <c r="BG343" s="6" t="e">
        <f t="shared" si="240"/>
        <v>#N/A</v>
      </c>
      <c r="BH343" s="6" t="e">
        <f t="shared" si="241"/>
        <v>#N/A</v>
      </c>
      <c r="BI343" s="6" t="e">
        <f t="shared" si="242"/>
        <v>#N/A</v>
      </c>
      <c r="BV343" s="38"/>
      <c r="BW343" s="6" t="e">
        <f t="shared" si="243"/>
        <v>#N/A</v>
      </c>
      <c r="BX343" s="9">
        <f t="shared" ca="1" si="244"/>
        <v>-156.7666765884093</v>
      </c>
      <c r="BY343" s="9">
        <f t="shared" ca="1" si="245"/>
        <v>84.412825855297342</v>
      </c>
      <c r="BZ343" s="9">
        <f t="shared" ca="1" si="246"/>
        <v>0</v>
      </c>
      <c r="CA343" s="6">
        <f t="shared" ca="1" si="247"/>
        <v>0</v>
      </c>
      <c r="CB343" s="6" t="e">
        <f t="shared" ca="1" si="248"/>
        <v>#DIV/0!</v>
      </c>
      <c r="CC343" s="6" t="e">
        <f t="shared" ca="1" si="249"/>
        <v>#DIV/0!</v>
      </c>
      <c r="CD343" s="9">
        <f t="shared" si="250"/>
        <v>-50</v>
      </c>
      <c r="CE343" s="9">
        <f t="shared" si="251"/>
        <v>0</v>
      </c>
      <c r="CF343" s="6">
        <f t="shared" si="252"/>
        <v>3.1415926535897931</v>
      </c>
      <c r="CG343" s="6"/>
      <c r="CH343" s="6"/>
      <c r="CI343" s="6"/>
      <c r="CJ343" s="1"/>
      <c r="CK343" s="6"/>
    </row>
    <row r="344" spans="55:89" x14ac:dyDescent="0.25">
      <c r="BC344"/>
      <c r="BD344"/>
      <c r="BF344" s="6" t="e">
        <f t="shared" si="239"/>
        <v>#N/A</v>
      </c>
      <c r="BG344" s="6" t="e">
        <f t="shared" si="240"/>
        <v>#N/A</v>
      </c>
      <c r="BH344" s="6" t="e">
        <f t="shared" si="241"/>
        <v>#N/A</v>
      </c>
      <c r="BI344" s="6" t="e">
        <f t="shared" si="242"/>
        <v>#N/A</v>
      </c>
      <c r="BV344" s="38"/>
      <c r="BW344" s="6" t="e">
        <f t="shared" si="243"/>
        <v>#N/A</v>
      </c>
      <c r="BX344" s="9">
        <f t="shared" ca="1" si="244"/>
        <v>-156.7666765884093</v>
      </c>
      <c r="BY344" s="9">
        <f t="shared" ca="1" si="245"/>
        <v>84.412825855297342</v>
      </c>
      <c r="BZ344" s="9">
        <f t="shared" ca="1" si="246"/>
        <v>0</v>
      </c>
      <c r="CA344" s="6">
        <f t="shared" ca="1" si="247"/>
        <v>0</v>
      </c>
      <c r="CB344" s="6" t="e">
        <f t="shared" ca="1" si="248"/>
        <v>#DIV/0!</v>
      </c>
      <c r="CC344" s="6" t="e">
        <f t="shared" ca="1" si="249"/>
        <v>#DIV/0!</v>
      </c>
      <c r="CD344" s="9">
        <f t="shared" si="250"/>
        <v>-50</v>
      </c>
      <c r="CE344" s="9">
        <f t="shared" si="251"/>
        <v>0</v>
      </c>
      <c r="CF344" s="6">
        <f t="shared" si="252"/>
        <v>3.1415926535897931</v>
      </c>
      <c r="CG344" s="6"/>
      <c r="CH344" s="6"/>
      <c r="CI344" s="6"/>
      <c r="CJ344" s="1"/>
      <c r="CK344" s="6"/>
    </row>
    <row r="345" spans="55:89" x14ac:dyDescent="0.25">
      <c r="BC345"/>
      <c r="BD345"/>
      <c r="BF345" s="6" t="e">
        <f t="shared" si="239"/>
        <v>#N/A</v>
      </c>
      <c r="BG345" s="6" t="e">
        <f t="shared" si="240"/>
        <v>#N/A</v>
      </c>
      <c r="BH345" s="6" t="e">
        <f t="shared" si="241"/>
        <v>#N/A</v>
      </c>
      <c r="BI345" s="6" t="e">
        <f t="shared" si="242"/>
        <v>#N/A</v>
      </c>
      <c r="BV345" s="38"/>
      <c r="BW345" s="6" t="e">
        <f t="shared" si="243"/>
        <v>#N/A</v>
      </c>
      <c r="BX345" s="9">
        <f t="shared" ca="1" si="244"/>
        <v>-156.7666765884093</v>
      </c>
      <c r="BY345" s="9">
        <f t="shared" ca="1" si="245"/>
        <v>84.412825855297342</v>
      </c>
      <c r="BZ345" s="9">
        <f t="shared" ca="1" si="246"/>
        <v>0</v>
      </c>
      <c r="CA345" s="6">
        <f t="shared" ca="1" si="247"/>
        <v>0</v>
      </c>
      <c r="CB345" s="6" t="e">
        <f t="shared" ca="1" si="248"/>
        <v>#DIV/0!</v>
      </c>
      <c r="CC345" s="6" t="e">
        <f t="shared" ca="1" si="249"/>
        <v>#DIV/0!</v>
      </c>
      <c r="CD345" s="9">
        <f t="shared" si="250"/>
        <v>-50</v>
      </c>
      <c r="CE345" s="9">
        <f t="shared" si="251"/>
        <v>0</v>
      </c>
      <c r="CF345" s="6">
        <f t="shared" si="252"/>
        <v>3.1415926535897931</v>
      </c>
      <c r="CG345" s="6"/>
      <c r="CH345" s="6"/>
      <c r="CI345" s="6"/>
      <c r="CJ345" s="1"/>
      <c r="CK345" s="6"/>
    </row>
    <row r="346" spans="55:89" x14ac:dyDescent="0.25">
      <c r="BC346"/>
      <c r="BD346"/>
      <c r="BF346" s="6" t="e">
        <f t="shared" si="239"/>
        <v>#N/A</v>
      </c>
      <c r="BG346" s="6" t="e">
        <f t="shared" si="240"/>
        <v>#N/A</v>
      </c>
      <c r="BH346" s="6" t="e">
        <f t="shared" si="241"/>
        <v>#N/A</v>
      </c>
      <c r="BI346" s="6" t="e">
        <f t="shared" si="242"/>
        <v>#N/A</v>
      </c>
      <c r="BV346" s="38"/>
      <c r="BW346" s="6" t="e">
        <f t="shared" si="243"/>
        <v>#N/A</v>
      </c>
      <c r="BX346" s="9">
        <f t="shared" ca="1" si="244"/>
        <v>-156.7666765884093</v>
      </c>
      <c r="BY346" s="9">
        <f t="shared" ca="1" si="245"/>
        <v>84.412825855297342</v>
      </c>
      <c r="BZ346" s="9">
        <f t="shared" ca="1" si="246"/>
        <v>0</v>
      </c>
      <c r="CA346" s="6">
        <f t="shared" ca="1" si="247"/>
        <v>0</v>
      </c>
      <c r="CB346" s="6" t="e">
        <f t="shared" ca="1" si="248"/>
        <v>#DIV/0!</v>
      </c>
      <c r="CC346" s="6" t="e">
        <f t="shared" ca="1" si="249"/>
        <v>#DIV/0!</v>
      </c>
      <c r="CD346" s="9">
        <f t="shared" si="250"/>
        <v>-50</v>
      </c>
      <c r="CE346" s="9">
        <f t="shared" si="251"/>
        <v>0</v>
      </c>
      <c r="CF346" s="6">
        <f t="shared" si="252"/>
        <v>3.1415926535897931</v>
      </c>
      <c r="CG346" s="6"/>
      <c r="CH346" s="6"/>
      <c r="CI346" s="6"/>
      <c r="CJ346" s="1"/>
      <c r="CK346" s="6"/>
    </row>
    <row r="347" spans="55:89" x14ac:dyDescent="0.25">
      <c r="BC347"/>
      <c r="BD347"/>
      <c r="BF347" s="6" t="e">
        <f t="shared" si="239"/>
        <v>#N/A</v>
      </c>
      <c r="BG347" s="6" t="e">
        <f t="shared" si="240"/>
        <v>#N/A</v>
      </c>
      <c r="BH347" s="6" t="e">
        <f t="shared" si="241"/>
        <v>#N/A</v>
      </c>
      <c r="BI347" s="6" t="e">
        <f t="shared" si="242"/>
        <v>#N/A</v>
      </c>
      <c r="BV347" s="38"/>
      <c r="BW347" s="6" t="e">
        <f t="shared" si="243"/>
        <v>#N/A</v>
      </c>
      <c r="BX347" s="9">
        <f t="shared" ca="1" si="244"/>
        <v>-156.7666765884093</v>
      </c>
      <c r="BY347" s="9">
        <f t="shared" ca="1" si="245"/>
        <v>84.412825855297342</v>
      </c>
      <c r="BZ347" s="9">
        <f t="shared" ca="1" si="246"/>
        <v>0</v>
      </c>
      <c r="CA347" s="6">
        <f t="shared" ca="1" si="247"/>
        <v>0</v>
      </c>
      <c r="CB347" s="6" t="e">
        <f t="shared" ca="1" si="248"/>
        <v>#DIV/0!</v>
      </c>
      <c r="CC347" s="6" t="e">
        <f t="shared" ca="1" si="249"/>
        <v>#DIV/0!</v>
      </c>
      <c r="CD347" s="9">
        <f t="shared" si="250"/>
        <v>-50</v>
      </c>
      <c r="CE347" s="9">
        <f t="shared" si="251"/>
        <v>0</v>
      </c>
      <c r="CF347" s="6">
        <f t="shared" si="252"/>
        <v>3.1415926535897931</v>
      </c>
      <c r="CG347" s="6"/>
      <c r="CH347" s="6"/>
      <c r="CI347" s="6"/>
      <c r="CJ347" s="1"/>
      <c r="CK347" s="6"/>
    </row>
    <row r="348" spans="55:89" x14ac:dyDescent="0.25">
      <c r="BC348"/>
      <c r="BD348"/>
      <c r="BF348" s="6" t="e">
        <f t="shared" si="239"/>
        <v>#N/A</v>
      </c>
      <c r="BG348" s="6" t="e">
        <f t="shared" si="240"/>
        <v>#N/A</v>
      </c>
      <c r="BH348" s="6" t="e">
        <f t="shared" si="241"/>
        <v>#N/A</v>
      </c>
      <c r="BI348" s="6" t="e">
        <f t="shared" si="242"/>
        <v>#N/A</v>
      </c>
      <c r="BV348" s="38"/>
      <c r="BW348" s="6" t="e">
        <f t="shared" si="243"/>
        <v>#N/A</v>
      </c>
      <c r="BX348" s="9">
        <f t="shared" ca="1" si="244"/>
        <v>-156.7666765884093</v>
      </c>
      <c r="BY348" s="9">
        <f t="shared" ca="1" si="245"/>
        <v>84.412825855297342</v>
      </c>
      <c r="BZ348" s="9">
        <f t="shared" ca="1" si="246"/>
        <v>0</v>
      </c>
      <c r="CA348" s="6">
        <f t="shared" ca="1" si="247"/>
        <v>0</v>
      </c>
      <c r="CB348" s="6" t="e">
        <f t="shared" ca="1" si="248"/>
        <v>#DIV/0!</v>
      </c>
      <c r="CC348" s="6" t="e">
        <f t="shared" ca="1" si="249"/>
        <v>#DIV/0!</v>
      </c>
      <c r="CD348" s="9">
        <f t="shared" si="250"/>
        <v>-50</v>
      </c>
      <c r="CE348" s="9">
        <f t="shared" si="251"/>
        <v>0</v>
      </c>
      <c r="CF348" s="6">
        <f t="shared" si="252"/>
        <v>3.1415926535897931</v>
      </c>
      <c r="CG348" s="6"/>
      <c r="CH348" s="6"/>
      <c r="CI348" s="6"/>
      <c r="CJ348" s="1"/>
      <c r="CK348" s="6"/>
    </row>
    <row r="349" spans="55:89" x14ac:dyDescent="0.25">
      <c r="BC349"/>
      <c r="BD349"/>
      <c r="BF349" s="6" t="e">
        <f t="shared" si="239"/>
        <v>#N/A</v>
      </c>
      <c r="BG349" s="6" t="e">
        <f t="shared" si="240"/>
        <v>#N/A</v>
      </c>
      <c r="BH349" s="6" t="e">
        <f t="shared" si="241"/>
        <v>#N/A</v>
      </c>
      <c r="BI349" s="6" t="e">
        <f t="shared" si="242"/>
        <v>#N/A</v>
      </c>
      <c r="BV349" s="38"/>
      <c r="BW349" s="6" t="e">
        <f t="shared" si="243"/>
        <v>#N/A</v>
      </c>
      <c r="BX349" s="9">
        <f t="shared" ca="1" si="244"/>
        <v>-156.7666765884093</v>
      </c>
      <c r="BY349" s="9">
        <f t="shared" ca="1" si="245"/>
        <v>84.412825855297342</v>
      </c>
      <c r="BZ349" s="9">
        <f t="shared" ca="1" si="246"/>
        <v>0</v>
      </c>
      <c r="CA349" s="6">
        <f t="shared" ca="1" si="247"/>
        <v>0</v>
      </c>
      <c r="CB349" s="6" t="e">
        <f t="shared" ca="1" si="248"/>
        <v>#DIV/0!</v>
      </c>
      <c r="CC349" s="6" t="e">
        <f t="shared" ca="1" si="249"/>
        <v>#DIV/0!</v>
      </c>
      <c r="CD349" s="9">
        <f t="shared" si="250"/>
        <v>-50</v>
      </c>
      <c r="CE349" s="9">
        <f t="shared" si="251"/>
        <v>0</v>
      </c>
      <c r="CF349" s="6">
        <f t="shared" si="252"/>
        <v>3.1415926535897931</v>
      </c>
      <c r="CG349" s="6"/>
      <c r="CH349" s="6"/>
      <c r="CI349" s="6"/>
      <c r="CJ349" s="1"/>
      <c r="CK349" s="6"/>
    </row>
    <row r="350" spans="55:89" x14ac:dyDescent="0.25">
      <c r="BC350"/>
      <c r="BD350"/>
      <c r="BF350" s="6" t="e">
        <f t="shared" si="239"/>
        <v>#N/A</v>
      </c>
      <c r="BG350" s="6" t="e">
        <f t="shared" si="240"/>
        <v>#N/A</v>
      </c>
      <c r="BH350" s="6" t="e">
        <f t="shared" si="241"/>
        <v>#N/A</v>
      </c>
      <c r="BI350" s="6" t="e">
        <f t="shared" si="242"/>
        <v>#N/A</v>
      </c>
      <c r="BV350" s="38"/>
      <c r="BW350" s="6" t="e">
        <f t="shared" si="243"/>
        <v>#N/A</v>
      </c>
      <c r="BX350" s="9">
        <f t="shared" ca="1" si="244"/>
        <v>-156.7666765884093</v>
      </c>
      <c r="BY350" s="9">
        <f t="shared" ca="1" si="245"/>
        <v>84.412825855297342</v>
      </c>
      <c r="BZ350" s="9">
        <f t="shared" ca="1" si="246"/>
        <v>0</v>
      </c>
      <c r="CA350" s="6">
        <f t="shared" ca="1" si="247"/>
        <v>0</v>
      </c>
      <c r="CB350" s="6" t="e">
        <f t="shared" ca="1" si="248"/>
        <v>#DIV/0!</v>
      </c>
      <c r="CC350" s="6" t="e">
        <f t="shared" ca="1" si="249"/>
        <v>#DIV/0!</v>
      </c>
      <c r="CD350" s="9">
        <f t="shared" si="250"/>
        <v>-50</v>
      </c>
      <c r="CE350" s="9">
        <f t="shared" si="251"/>
        <v>0</v>
      </c>
      <c r="CF350" s="6">
        <f t="shared" si="252"/>
        <v>3.1415926535897931</v>
      </c>
      <c r="CG350" s="6"/>
      <c r="CH350" s="6"/>
      <c r="CI350" s="6"/>
      <c r="CJ350" s="1"/>
      <c r="CK350" s="6"/>
    </row>
    <row r="351" spans="55:89" x14ac:dyDescent="0.25">
      <c r="BC351"/>
      <c r="BD351"/>
      <c r="BF351" s="6" t="e">
        <f t="shared" si="239"/>
        <v>#N/A</v>
      </c>
      <c r="BG351" s="6" t="e">
        <f t="shared" si="240"/>
        <v>#N/A</v>
      </c>
      <c r="BH351" s="6" t="e">
        <f t="shared" si="241"/>
        <v>#N/A</v>
      </c>
      <c r="BI351" s="6" t="e">
        <f t="shared" si="242"/>
        <v>#N/A</v>
      </c>
      <c r="BV351" s="38"/>
      <c r="BW351" s="6" t="e">
        <f t="shared" si="243"/>
        <v>#N/A</v>
      </c>
      <c r="BX351" s="9">
        <f t="shared" ca="1" si="244"/>
        <v>-156.7666765884093</v>
      </c>
      <c r="BY351" s="9">
        <f t="shared" ca="1" si="245"/>
        <v>84.412825855297342</v>
      </c>
      <c r="BZ351" s="9">
        <f t="shared" ca="1" si="246"/>
        <v>0</v>
      </c>
      <c r="CA351" s="6">
        <f t="shared" ca="1" si="247"/>
        <v>0</v>
      </c>
      <c r="CB351" s="6" t="e">
        <f t="shared" ca="1" si="248"/>
        <v>#DIV/0!</v>
      </c>
      <c r="CC351" s="6" t="e">
        <f t="shared" ca="1" si="249"/>
        <v>#DIV/0!</v>
      </c>
      <c r="CD351" s="9">
        <f t="shared" si="250"/>
        <v>-50</v>
      </c>
      <c r="CE351" s="9">
        <f t="shared" si="251"/>
        <v>0</v>
      </c>
      <c r="CF351" s="6">
        <f t="shared" si="252"/>
        <v>3.1415926535897931</v>
      </c>
      <c r="CG351" s="6"/>
      <c r="CH351" s="6"/>
      <c r="CI351" s="6"/>
      <c r="CJ351" s="1"/>
      <c r="CK351" s="6"/>
    </row>
    <row r="352" spans="55:89" x14ac:dyDescent="0.25">
      <c r="BC352"/>
      <c r="BD352"/>
      <c r="BF352" s="6" t="e">
        <f t="shared" si="239"/>
        <v>#N/A</v>
      </c>
      <c r="BG352" s="6" t="e">
        <f t="shared" si="240"/>
        <v>#N/A</v>
      </c>
      <c r="BH352" s="6" t="e">
        <f t="shared" si="241"/>
        <v>#N/A</v>
      </c>
      <c r="BI352" s="6" t="e">
        <f t="shared" si="242"/>
        <v>#N/A</v>
      </c>
      <c r="BV352" s="38"/>
      <c r="BW352" s="6" t="e">
        <f t="shared" si="243"/>
        <v>#N/A</v>
      </c>
      <c r="BX352" s="9">
        <f t="shared" ca="1" si="244"/>
        <v>-156.7666765884093</v>
      </c>
      <c r="BY352" s="9">
        <f t="shared" ca="1" si="245"/>
        <v>84.412825855297342</v>
      </c>
      <c r="BZ352" s="9">
        <f t="shared" ca="1" si="246"/>
        <v>0</v>
      </c>
      <c r="CA352" s="6">
        <f t="shared" ca="1" si="247"/>
        <v>0</v>
      </c>
      <c r="CB352" s="6" t="e">
        <f t="shared" ca="1" si="248"/>
        <v>#DIV/0!</v>
      </c>
      <c r="CC352" s="6" t="e">
        <f t="shared" ca="1" si="249"/>
        <v>#DIV/0!</v>
      </c>
      <c r="CD352" s="9">
        <f t="shared" si="250"/>
        <v>-50</v>
      </c>
      <c r="CE352" s="9">
        <f t="shared" si="251"/>
        <v>0</v>
      </c>
      <c r="CF352" s="6">
        <f t="shared" si="252"/>
        <v>3.1415926535897931</v>
      </c>
      <c r="CG352" s="6"/>
      <c r="CH352" s="6"/>
      <c r="CI352" s="6"/>
      <c r="CJ352" s="1"/>
      <c r="CK352" s="6"/>
    </row>
    <row r="353" spans="55:89" x14ac:dyDescent="0.25">
      <c r="BC353"/>
      <c r="BD353"/>
      <c r="BF353" s="6" t="e">
        <f t="shared" si="239"/>
        <v>#N/A</v>
      </c>
      <c r="BG353" s="6" t="e">
        <f t="shared" si="240"/>
        <v>#N/A</v>
      </c>
      <c r="BH353" s="6" t="e">
        <f t="shared" si="241"/>
        <v>#N/A</v>
      </c>
      <c r="BI353" s="6" t="e">
        <f t="shared" si="242"/>
        <v>#N/A</v>
      </c>
      <c r="BV353" s="38"/>
      <c r="BW353" s="6" t="e">
        <f t="shared" si="243"/>
        <v>#N/A</v>
      </c>
      <c r="BX353" s="9">
        <f t="shared" ca="1" si="244"/>
        <v>-156.7666765884093</v>
      </c>
      <c r="BY353" s="9">
        <f t="shared" ca="1" si="245"/>
        <v>84.412825855297342</v>
      </c>
      <c r="BZ353" s="9">
        <f t="shared" ca="1" si="246"/>
        <v>0</v>
      </c>
      <c r="CA353" s="6">
        <f t="shared" ca="1" si="247"/>
        <v>0</v>
      </c>
      <c r="CB353" s="6" t="e">
        <f t="shared" ca="1" si="248"/>
        <v>#DIV/0!</v>
      </c>
      <c r="CC353" s="6" t="e">
        <f t="shared" ca="1" si="249"/>
        <v>#DIV/0!</v>
      </c>
      <c r="CD353" s="9">
        <f t="shared" si="250"/>
        <v>-50</v>
      </c>
      <c r="CE353" s="9">
        <f t="shared" si="251"/>
        <v>0</v>
      </c>
      <c r="CF353" s="6">
        <f t="shared" si="252"/>
        <v>3.1415926535897931</v>
      </c>
      <c r="CG353" s="6"/>
      <c r="CH353" s="6"/>
      <c r="CI353" s="6"/>
      <c r="CJ353" s="1"/>
      <c r="CK353" s="6"/>
    </row>
    <row r="354" spans="55:89" x14ac:dyDescent="0.25">
      <c r="BC354"/>
      <c r="BD354"/>
      <c r="BF354" s="6" t="e">
        <f t="shared" si="239"/>
        <v>#N/A</v>
      </c>
      <c r="BG354" s="6" t="e">
        <f t="shared" si="240"/>
        <v>#N/A</v>
      </c>
      <c r="BH354" s="6" t="e">
        <f t="shared" si="241"/>
        <v>#N/A</v>
      </c>
      <c r="BI354" s="6" t="e">
        <f t="shared" si="242"/>
        <v>#N/A</v>
      </c>
      <c r="BV354" s="38"/>
      <c r="BW354" s="6" t="e">
        <f t="shared" si="243"/>
        <v>#N/A</v>
      </c>
      <c r="BX354" s="9">
        <f t="shared" ca="1" si="244"/>
        <v>-156.7666765884093</v>
      </c>
      <c r="BY354" s="9">
        <f t="shared" ca="1" si="245"/>
        <v>84.412825855297342</v>
      </c>
      <c r="BZ354" s="9">
        <f t="shared" ca="1" si="246"/>
        <v>0</v>
      </c>
      <c r="CA354" s="6">
        <f t="shared" ca="1" si="247"/>
        <v>0</v>
      </c>
      <c r="CB354" s="6" t="e">
        <f t="shared" ca="1" si="248"/>
        <v>#DIV/0!</v>
      </c>
      <c r="CC354" s="6" t="e">
        <f t="shared" ca="1" si="249"/>
        <v>#DIV/0!</v>
      </c>
      <c r="CD354" s="9">
        <f t="shared" si="250"/>
        <v>-50</v>
      </c>
      <c r="CE354" s="9">
        <f t="shared" si="251"/>
        <v>0</v>
      </c>
      <c r="CF354" s="6">
        <f t="shared" si="252"/>
        <v>3.1415926535897931</v>
      </c>
      <c r="CG354" s="6"/>
      <c r="CH354" s="6"/>
      <c r="CI354" s="6"/>
      <c r="CJ354" s="1"/>
      <c r="CK354" s="6"/>
    </row>
    <row r="355" spans="55:89" x14ac:dyDescent="0.25">
      <c r="BC355"/>
      <c r="BD355"/>
      <c r="BF355" s="6" t="e">
        <f t="shared" si="239"/>
        <v>#N/A</v>
      </c>
      <c r="BG355" s="6" t="e">
        <f t="shared" si="240"/>
        <v>#N/A</v>
      </c>
      <c r="BH355" s="6" t="e">
        <f t="shared" si="241"/>
        <v>#N/A</v>
      </c>
      <c r="BI355" s="6" t="e">
        <f t="shared" si="242"/>
        <v>#N/A</v>
      </c>
      <c r="BV355" s="38"/>
      <c r="BW355" s="6" t="e">
        <f t="shared" si="243"/>
        <v>#N/A</v>
      </c>
      <c r="BX355" s="9">
        <f t="shared" ca="1" si="244"/>
        <v>-156.7666765884093</v>
      </c>
      <c r="BY355" s="9">
        <f t="shared" ca="1" si="245"/>
        <v>84.412825855297342</v>
      </c>
      <c r="BZ355" s="9">
        <f t="shared" ca="1" si="246"/>
        <v>0</v>
      </c>
      <c r="CA355" s="6">
        <f t="shared" ca="1" si="247"/>
        <v>0</v>
      </c>
      <c r="CB355" s="6" t="e">
        <f t="shared" ca="1" si="248"/>
        <v>#DIV/0!</v>
      </c>
      <c r="CC355" s="6" t="e">
        <f t="shared" ca="1" si="249"/>
        <v>#DIV/0!</v>
      </c>
      <c r="CD355" s="9">
        <f t="shared" si="250"/>
        <v>-50</v>
      </c>
      <c r="CE355" s="9">
        <f t="shared" si="251"/>
        <v>0</v>
      </c>
      <c r="CF355" s="6">
        <f t="shared" si="252"/>
        <v>3.1415926535897931</v>
      </c>
      <c r="CG355" s="6"/>
      <c r="CH355" s="6"/>
      <c r="CI355" s="6"/>
      <c r="CJ355" s="1"/>
      <c r="CK355" s="6"/>
    </row>
    <row r="356" spans="55:89" x14ac:dyDescent="0.25">
      <c r="BC356"/>
      <c r="BD356"/>
      <c r="BF356" s="6" t="e">
        <f t="shared" si="239"/>
        <v>#N/A</v>
      </c>
      <c r="BG356" s="6" t="e">
        <f t="shared" si="240"/>
        <v>#N/A</v>
      </c>
      <c r="BH356" s="6" t="e">
        <f t="shared" si="241"/>
        <v>#N/A</v>
      </c>
      <c r="BI356" s="6" t="e">
        <f t="shared" si="242"/>
        <v>#N/A</v>
      </c>
      <c r="BV356" s="38"/>
      <c r="BW356" s="6" t="e">
        <f t="shared" si="243"/>
        <v>#N/A</v>
      </c>
      <c r="BX356" s="9">
        <f t="shared" ca="1" si="244"/>
        <v>-156.7666765884093</v>
      </c>
      <c r="BY356" s="9">
        <f t="shared" ca="1" si="245"/>
        <v>84.412825855297342</v>
      </c>
      <c r="BZ356" s="9">
        <f t="shared" ca="1" si="246"/>
        <v>0</v>
      </c>
      <c r="CA356" s="6">
        <f t="shared" ca="1" si="247"/>
        <v>0</v>
      </c>
      <c r="CB356" s="6" t="e">
        <f t="shared" ca="1" si="248"/>
        <v>#DIV/0!</v>
      </c>
      <c r="CC356" s="6" t="e">
        <f t="shared" ca="1" si="249"/>
        <v>#DIV/0!</v>
      </c>
      <c r="CD356" s="9">
        <f t="shared" si="250"/>
        <v>-50</v>
      </c>
      <c r="CE356" s="9">
        <f t="shared" si="251"/>
        <v>0</v>
      </c>
      <c r="CF356" s="6">
        <f t="shared" si="252"/>
        <v>3.1415926535897931</v>
      </c>
      <c r="CG356" s="6"/>
      <c r="CH356" s="6"/>
      <c r="CI356" s="6"/>
      <c r="CJ356" s="1"/>
      <c r="CK356" s="6"/>
    </row>
    <row r="357" spans="55:89" x14ac:dyDescent="0.25">
      <c r="BC357"/>
      <c r="BD357"/>
      <c r="BF357" s="6" t="e">
        <f t="shared" si="239"/>
        <v>#N/A</v>
      </c>
      <c r="BG357" s="6" t="e">
        <f t="shared" si="240"/>
        <v>#N/A</v>
      </c>
      <c r="BH357" s="6" t="e">
        <f t="shared" si="241"/>
        <v>#N/A</v>
      </c>
      <c r="BI357" s="6" t="e">
        <f t="shared" si="242"/>
        <v>#N/A</v>
      </c>
      <c r="BV357" s="38"/>
      <c r="BW357" s="6" t="e">
        <f t="shared" si="243"/>
        <v>#N/A</v>
      </c>
      <c r="BX357" s="9">
        <f t="shared" ca="1" si="244"/>
        <v>-156.7666765884093</v>
      </c>
      <c r="BY357" s="9">
        <f t="shared" ca="1" si="245"/>
        <v>84.412825855297342</v>
      </c>
      <c r="BZ357" s="9">
        <f t="shared" ca="1" si="246"/>
        <v>0</v>
      </c>
      <c r="CA357" s="6">
        <f t="shared" ca="1" si="247"/>
        <v>0</v>
      </c>
      <c r="CB357" s="6" t="e">
        <f t="shared" ca="1" si="248"/>
        <v>#DIV/0!</v>
      </c>
      <c r="CC357" s="6" t="e">
        <f t="shared" ca="1" si="249"/>
        <v>#DIV/0!</v>
      </c>
      <c r="CD357" s="9">
        <f t="shared" si="250"/>
        <v>-50</v>
      </c>
      <c r="CE357" s="9">
        <f t="shared" si="251"/>
        <v>0</v>
      </c>
      <c r="CF357" s="6">
        <f t="shared" si="252"/>
        <v>3.1415926535897931</v>
      </c>
      <c r="CG357" s="6"/>
      <c r="CH357" s="6"/>
      <c r="CI357" s="6"/>
      <c r="CJ357" s="1"/>
      <c r="CK357" s="6"/>
    </row>
    <row r="358" spans="55:89" x14ac:dyDescent="0.25">
      <c r="BC358"/>
      <c r="BD358"/>
      <c r="BF358" s="6" t="e">
        <f t="shared" si="239"/>
        <v>#N/A</v>
      </c>
      <c r="BG358" s="6" t="e">
        <f t="shared" si="240"/>
        <v>#N/A</v>
      </c>
      <c r="BH358" s="6" t="e">
        <f t="shared" si="241"/>
        <v>#N/A</v>
      </c>
      <c r="BI358" s="6" t="e">
        <f t="shared" si="242"/>
        <v>#N/A</v>
      </c>
      <c r="BV358" s="38"/>
      <c r="BW358" s="6" t="e">
        <f t="shared" si="243"/>
        <v>#N/A</v>
      </c>
      <c r="BX358" s="9">
        <f t="shared" ca="1" si="244"/>
        <v>-156.7666765884093</v>
      </c>
      <c r="BY358" s="9">
        <f t="shared" ca="1" si="245"/>
        <v>84.412825855297342</v>
      </c>
      <c r="BZ358" s="9">
        <f t="shared" ca="1" si="246"/>
        <v>0</v>
      </c>
      <c r="CA358" s="6">
        <f t="shared" ca="1" si="247"/>
        <v>0</v>
      </c>
      <c r="CB358" s="6" t="e">
        <f t="shared" ca="1" si="248"/>
        <v>#DIV/0!</v>
      </c>
      <c r="CC358" s="6" t="e">
        <f t="shared" ca="1" si="249"/>
        <v>#DIV/0!</v>
      </c>
      <c r="CD358" s="9">
        <f t="shared" si="250"/>
        <v>-50</v>
      </c>
      <c r="CE358" s="9">
        <f t="shared" si="251"/>
        <v>0</v>
      </c>
      <c r="CF358" s="6">
        <f t="shared" si="252"/>
        <v>3.1415926535897931</v>
      </c>
      <c r="CG358" s="6"/>
      <c r="CH358" s="6"/>
      <c r="CI358" s="6"/>
      <c r="CJ358" s="1"/>
      <c r="CK358" s="6"/>
    </row>
    <row r="359" spans="55:89" x14ac:dyDescent="0.25">
      <c r="BC359"/>
      <c r="BD359"/>
      <c r="BF359" s="6" t="e">
        <f t="shared" si="239"/>
        <v>#N/A</v>
      </c>
      <c r="BG359" s="6" t="e">
        <f t="shared" si="240"/>
        <v>#N/A</v>
      </c>
      <c r="BH359" s="6" t="e">
        <f t="shared" si="241"/>
        <v>#N/A</v>
      </c>
      <c r="BI359" s="6" t="e">
        <f t="shared" si="242"/>
        <v>#N/A</v>
      </c>
      <c r="BV359" s="38"/>
      <c r="BW359" s="6" t="e">
        <f t="shared" si="243"/>
        <v>#N/A</v>
      </c>
      <c r="BX359" s="9">
        <f t="shared" ca="1" si="244"/>
        <v>-156.7666765884093</v>
      </c>
      <c r="BY359" s="9">
        <f t="shared" ca="1" si="245"/>
        <v>84.412825855297342</v>
      </c>
      <c r="BZ359" s="9">
        <f t="shared" ca="1" si="246"/>
        <v>0</v>
      </c>
      <c r="CA359" s="6">
        <f t="shared" ca="1" si="247"/>
        <v>0</v>
      </c>
      <c r="CB359" s="6" t="e">
        <f t="shared" ca="1" si="248"/>
        <v>#DIV/0!</v>
      </c>
      <c r="CC359" s="6" t="e">
        <f t="shared" ca="1" si="249"/>
        <v>#DIV/0!</v>
      </c>
      <c r="CD359" s="9">
        <f t="shared" si="250"/>
        <v>-50</v>
      </c>
      <c r="CE359" s="9">
        <f t="shared" si="251"/>
        <v>0</v>
      </c>
      <c r="CF359" s="6">
        <f t="shared" si="252"/>
        <v>3.1415926535897931</v>
      </c>
      <c r="CG359" s="6"/>
      <c r="CH359" s="6"/>
      <c r="CI359" s="6"/>
      <c r="CJ359" s="1"/>
      <c r="CK359" s="6"/>
    </row>
    <row r="360" spans="55:89" x14ac:dyDescent="0.25">
      <c r="BC360"/>
      <c r="BD360"/>
      <c r="BF360" s="6" t="e">
        <f t="shared" si="239"/>
        <v>#N/A</v>
      </c>
      <c r="BG360" s="6" t="e">
        <f t="shared" si="240"/>
        <v>#N/A</v>
      </c>
      <c r="BH360" s="6" t="e">
        <f t="shared" si="241"/>
        <v>#N/A</v>
      </c>
      <c r="BI360" s="6" t="e">
        <f t="shared" si="242"/>
        <v>#N/A</v>
      </c>
      <c r="BV360" s="38"/>
      <c r="BW360" s="6" t="e">
        <f t="shared" si="243"/>
        <v>#N/A</v>
      </c>
      <c r="BX360" s="9">
        <f t="shared" ca="1" si="244"/>
        <v>-156.7666765884093</v>
      </c>
      <c r="BY360" s="9">
        <f t="shared" ca="1" si="245"/>
        <v>84.412825855297342</v>
      </c>
      <c r="BZ360" s="9">
        <f t="shared" ca="1" si="246"/>
        <v>0</v>
      </c>
      <c r="CA360" s="6">
        <f t="shared" ca="1" si="247"/>
        <v>0</v>
      </c>
      <c r="CB360" s="6" t="e">
        <f t="shared" ca="1" si="248"/>
        <v>#DIV/0!</v>
      </c>
      <c r="CC360" s="6" t="e">
        <f t="shared" ca="1" si="249"/>
        <v>#DIV/0!</v>
      </c>
      <c r="CD360" s="9">
        <f t="shared" si="250"/>
        <v>-50</v>
      </c>
      <c r="CE360" s="9">
        <f t="shared" si="251"/>
        <v>0</v>
      </c>
      <c r="CF360" s="6">
        <f t="shared" si="252"/>
        <v>3.1415926535897931</v>
      </c>
      <c r="CG360" s="6"/>
      <c r="CH360" s="6"/>
      <c r="CI360" s="6"/>
      <c r="CJ360" s="1"/>
      <c r="CK360" s="6"/>
    </row>
    <row r="361" spans="55:89" x14ac:dyDescent="0.25">
      <c r="BC361"/>
      <c r="BD361"/>
      <c r="BF361" s="6" t="e">
        <f t="shared" si="239"/>
        <v>#N/A</v>
      </c>
      <c r="BG361" s="6" t="e">
        <f t="shared" si="240"/>
        <v>#N/A</v>
      </c>
      <c r="BH361" s="6" t="e">
        <f t="shared" si="241"/>
        <v>#N/A</v>
      </c>
      <c r="BI361" s="6" t="e">
        <f t="shared" si="242"/>
        <v>#N/A</v>
      </c>
      <c r="BV361" s="38"/>
      <c r="BW361" s="6" t="e">
        <f t="shared" si="243"/>
        <v>#N/A</v>
      </c>
      <c r="BX361" s="9">
        <f t="shared" ca="1" si="244"/>
        <v>-156.7666765884093</v>
      </c>
      <c r="BY361" s="9">
        <f t="shared" ca="1" si="245"/>
        <v>84.412825855297342</v>
      </c>
      <c r="BZ361" s="9">
        <f t="shared" ca="1" si="246"/>
        <v>0</v>
      </c>
      <c r="CA361" s="6">
        <f t="shared" ca="1" si="247"/>
        <v>0</v>
      </c>
      <c r="CB361" s="6" t="e">
        <f t="shared" ca="1" si="248"/>
        <v>#DIV/0!</v>
      </c>
      <c r="CC361" s="6" t="e">
        <f t="shared" ca="1" si="249"/>
        <v>#DIV/0!</v>
      </c>
      <c r="CD361" s="9">
        <f t="shared" si="250"/>
        <v>-50</v>
      </c>
      <c r="CE361" s="9">
        <f t="shared" si="251"/>
        <v>0</v>
      </c>
      <c r="CF361" s="6">
        <f t="shared" si="252"/>
        <v>3.1415926535897931</v>
      </c>
      <c r="CG361" s="6"/>
      <c r="CH361" s="6"/>
      <c r="CI361" s="6"/>
      <c r="CJ361" s="1"/>
      <c r="CK361" s="6"/>
    </row>
    <row r="362" spans="55:89" x14ac:dyDescent="0.25">
      <c r="BC362"/>
      <c r="BD362"/>
      <c r="BF362" s="6" t="e">
        <f t="shared" si="239"/>
        <v>#N/A</v>
      </c>
      <c r="BG362" s="6" t="e">
        <f t="shared" si="240"/>
        <v>#N/A</v>
      </c>
      <c r="BH362" s="6" t="e">
        <f t="shared" si="241"/>
        <v>#N/A</v>
      </c>
      <c r="BI362" s="6" t="e">
        <f t="shared" si="242"/>
        <v>#N/A</v>
      </c>
      <c r="BV362" s="38"/>
      <c r="BW362" s="6" t="e">
        <f t="shared" si="243"/>
        <v>#N/A</v>
      </c>
      <c r="BX362" s="9">
        <f t="shared" ca="1" si="244"/>
        <v>-156.7666765884093</v>
      </c>
      <c r="BY362" s="9">
        <f t="shared" ca="1" si="245"/>
        <v>84.412825855297342</v>
      </c>
      <c r="BZ362" s="9">
        <f t="shared" ca="1" si="246"/>
        <v>0</v>
      </c>
      <c r="CA362" s="6">
        <f t="shared" ca="1" si="247"/>
        <v>0</v>
      </c>
      <c r="CB362" s="6" t="e">
        <f t="shared" ca="1" si="248"/>
        <v>#DIV/0!</v>
      </c>
      <c r="CC362" s="6" t="e">
        <f t="shared" ca="1" si="249"/>
        <v>#DIV/0!</v>
      </c>
      <c r="CD362" s="9">
        <f t="shared" si="250"/>
        <v>-50</v>
      </c>
      <c r="CE362" s="9">
        <f t="shared" si="251"/>
        <v>0</v>
      </c>
      <c r="CF362" s="6">
        <f t="shared" si="252"/>
        <v>3.1415926535897931</v>
      </c>
      <c r="CG362" s="6"/>
      <c r="CH362" s="6"/>
      <c r="CI362" s="6"/>
      <c r="CJ362" s="1"/>
      <c r="CK362" s="6"/>
    </row>
    <row r="363" spans="55:89" x14ac:dyDescent="0.25">
      <c r="BC363" s="6">
        <v>6.3006385996994831</v>
      </c>
      <c r="BD363" s="6">
        <v>148.21567446332048</v>
      </c>
      <c r="BE363" s="6">
        <v>-42.660000000000174</v>
      </c>
      <c r="BF363" s="6">
        <f t="shared" ref="BF363" si="253">IF(BC363&lt;&gt;"",IF(AND(BD363=0,BE363=0),0,MOD(ATAN2(BD363,BE363),2*PI())),NA())</f>
        <v>6.0029364226952771</v>
      </c>
      <c r="BG363" s="6">
        <f t="shared" ref="BG363" si="254">ABS(BC363-BF363)</f>
        <v>0.29770217700420609</v>
      </c>
      <c r="BH363" s="6">
        <f t="shared" ref="BH363" si="255">ATAN2(COS($U$13-BF363),SIN($U$13-BF363))</f>
        <v>0.28024888448430946</v>
      </c>
      <c r="BI363" s="6">
        <f t="shared" ref="BI363" si="256">ABS(BH363)</f>
        <v>0.28024888448430946</v>
      </c>
      <c r="BJ363">
        <v>164.68408273702275</v>
      </c>
      <c r="BK363">
        <v>-47.40000000000019</v>
      </c>
      <c r="BW363" s="6" t="e">
        <f t="shared" si="243"/>
        <v>#N/A</v>
      </c>
      <c r="BX363" s="9">
        <f t="shared" ca="1" si="244"/>
        <v>-156.7666765884093</v>
      </c>
      <c r="BY363" s="9">
        <f t="shared" ca="1" si="245"/>
        <v>84.412825855297342</v>
      </c>
      <c r="BZ363" s="9">
        <f t="shared" ca="1" si="246"/>
        <v>0</v>
      </c>
      <c r="CA363" s="6">
        <f t="shared" ca="1" si="247"/>
        <v>0</v>
      </c>
      <c r="CB363" s="6" t="e">
        <f t="shared" ca="1" si="248"/>
        <v>#DIV/0!</v>
      </c>
      <c r="CC363" s="6" t="e">
        <f t="shared" ca="1" si="249"/>
        <v>#DIV/0!</v>
      </c>
      <c r="CD363" s="9">
        <f t="shared" si="250"/>
        <v>-50</v>
      </c>
      <c r="CE363" s="9">
        <f t="shared" si="251"/>
        <v>0</v>
      </c>
      <c r="CF363" s="6">
        <f t="shared" si="252"/>
        <v>3.1415926535897931</v>
      </c>
      <c r="CG363" s="6"/>
      <c r="CH363" s="6"/>
      <c r="CI363" s="6"/>
      <c r="CJ363" s="1"/>
      <c r="CK363" s="6"/>
    </row>
    <row r="364" spans="55:89" x14ac:dyDescent="0.25">
      <c r="BC364" s="6">
        <f>COUNTIF(BC2:BC363,"&lt;&gt;")</f>
        <v>39</v>
      </c>
      <c r="BD364" s="49">
        <f>SUM(BD1:BD363)</f>
        <v>6877.7817177218467</v>
      </c>
      <c r="BE364" s="49">
        <f>SUM(BE1:BE363)</f>
        <v>-4455.5032659972767</v>
      </c>
      <c r="BF364" s="6"/>
      <c r="BG364" s="6"/>
      <c r="BH364" s="6"/>
      <c r="BI364" s="6"/>
      <c r="BW364" s="6" t="e">
        <f t="shared" si="243"/>
        <v>#N/A</v>
      </c>
      <c r="BX364" s="9">
        <f t="shared" ca="1" si="244"/>
        <v>-156.7666765884093</v>
      </c>
      <c r="BY364" s="9">
        <f t="shared" ca="1" si="245"/>
        <v>84.412825855297342</v>
      </c>
      <c r="BZ364" s="9">
        <f t="shared" ca="1" si="246"/>
        <v>0</v>
      </c>
      <c r="CA364" s="6">
        <f t="shared" ca="1" si="247"/>
        <v>0</v>
      </c>
      <c r="CB364" s="6" t="e">
        <f t="shared" ca="1" si="248"/>
        <v>#DIV/0!</v>
      </c>
      <c r="CC364" s="6" t="e">
        <f t="shared" ca="1" si="249"/>
        <v>#DIV/0!</v>
      </c>
      <c r="CD364" s="9">
        <f t="shared" si="250"/>
        <v>-50</v>
      </c>
      <c r="CE364" s="9">
        <f t="shared" si="251"/>
        <v>0</v>
      </c>
      <c r="CF364" s="6">
        <f t="shared" si="252"/>
        <v>3.1415926535897931</v>
      </c>
      <c r="CG364" s="6"/>
      <c r="CH364" s="6"/>
      <c r="CI364" s="6"/>
      <c r="CJ364" s="1"/>
      <c r="CK364" s="6"/>
    </row>
    <row r="365" spans="55:89" x14ac:dyDescent="0.25">
      <c r="BD365" s="6">
        <f>BD364/BC364</f>
        <v>176.35337737748324</v>
      </c>
      <c r="BE365" s="6">
        <f>BE364/BC364</f>
        <v>-114.24367348710966</v>
      </c>
      <c r="BW365" s="6" t="e">
        <f t="shared" si="243"/>
        <v>#N/A</v>
      </c>
      <c r="BX365" s="9">
        <f t="shared" ca="1" si="244"/>
        <v>-156.7666765884093</v>
      </c>
      <c r="BY365" s="9">
        <f t="shared" ca="1" si="245"/>
        <v>84.412825855297342</v>
      </c>
      <c r="BZ365" s="9">
        <f t="shared" ca="1" si="246"/>
        <v>0</v>
      </c>
      <c r="CA365" s="6">
        <f t="shared" ca="1" si="247"/>
        <v>0</v>
      </c>
      <c r="CB365" s="6" t="e">
        <f t="shared" ca="1" si="248"/>
        <v>#DIV/0!</v>
      </c>
      <c r="CC365" s="6" t="e">
        <f t="shared" ca="1" si="249"/>
        <v>#DIV/0!</v>
      </c>
      <c r="CD365" s="9">
        <f t="shared" si="250"/>
        <v>-50</v>
      </c>
      <c r="CE365" s="9">
        <f t="shared" si="251"/>
        <v>0</v>
      </c>
      <c r="CF365" s="6">
        <f t="shared" si="252"/>
        <v>3.1415926535897931</v>
      </c>
      <c r="CG365" s="6"/>
      <c r="CH365" s="6"/>
      <c r="CI365" s="6"/>
      <c r="CJ365" s="1"/>
      <c r="CK365" s="6"/>
    </row>
    <row r="366" spans="55:89" x14ac:dyDescent="0.25">
      <c r="BW366" s="6" t="e">
        <f t="shared" si="243"/>
        <v>#N/A</v>
      </c>
      <c r="BX366" s="9">
        <f t="shared" ca="1" si="244"/>
        <v>-156.7666765884093</v>
      </c>
      <c r="BY366" s="9">
        <f t="shared" ca="1" si="245"/>
        <v>84.412825855297342</v>
      </c>
      <c r="BZ366" s="9">
        <f t="shared" ca="1" si="246"/>
        <v>0</v>
      </c>
      <c r="CA366" s="6">
        <f t="shared" ca="1" si="247"/>
        <v>0</v>
      </c>
      <c r="CB366" s="6" t="e">
        <f t="shared" ca="1" si="248"/>
        <v>#DIV/0!</v>
      </c>
      <c r="CC366" s="6" t="e">
        <f t="shared" ca="1" si="249"/>
        <v>#DIV/0!</v>
      </c>
      <c r="CD366" s="9">
        <f t="shared" si="250"/>
        <v>-50</v>
      </c>
      <c r="CE366" s="9">
        <f t="shared" si="251"/>
        <v>0</v>
      </c>
      <c r="CF366" s="6">
        <f t="shared" si="252"/>
        <v>3.1415926535897931</v>
      </c>
      <c r="CG366" s="6"/>
      <c r="CH366" s="6"/>
      <c r="CI366" s="6"/>
      <c r="CJ366" s="1"/>
      <c r="CK366" s="6"/>
    </row>
    <row r="367" spans="55:89" x14ac:dyDescent="0.25">
      <c r="BW367" s="6" t="e">
        <f t="shared" si="243"/>
        <v>#N/A</v>
      </c>
      <c r="BX367" s="9">
        <f t="shared" ca="1" si="244"/>
        <v>-156.7666765884093</v>
      </c>
      <c r="BY367" s="9">
        <f t="shared" ca="1" si="245"/>
        <v>84.412825855297342</v>
      </c>
      <c r="BZ367" s="9">
        <f t="shared" ca="1" si="246"/>
        <v>0</v>
      </c>
      <c r="CA367" s="6">
        <f t="shared" ca="1" si="247"/>
        <v>0</v>
      </c>
      <c r="CB367" s="6" t="e">
        <f t="shared" ca="1" si="248"/>
        <v>#DIV/0!</v>
      </c>
      <c r="CC367" s="6" t="e">
        <f t="shared" ca="1" si="249"/>
        <v>#DIV/0!</v>
      </c>
      <c r="CD367" s="9">
        <f t="shared" si="250"/>
        <v>-50</v>
      </c>
      <c r="CE367" s="9">
        <f t="shared" si="251"/>
        <v>0</v>
      </c>
      <c r="CF367" s="6">
        <f t="shared" si="252"/>
        <v>3.1415926535897931</v>
      </c>
      <c r="CG367" s="6"/>
      <c r="CH367" s="6"/>
      <c r="CI367" s="6"/>
      <c r="CJ367" s="1"/>
      <c r="CK367" s="6"/>
    </row>
    <row r="368" spans="55:89" x14ac:dyDescent="0.25">
      <c r="BW368" s="6" t="e">
        <f t="shared" si="243"/>
        <v>#N/A</v>
      </c>
      <c r="BX368" s="9">
        <f t="shared" ca="1" si="244"/>
        <v>-156.7666765884093</v>
      </c>
      <c r="BY368" s="9">
        <f t="shared" ca="1" si="245"/>
        <v>84.412825855297342</v>
      </c>
      <c r="BZ368" s="9">
        <f t="shared" ca="1" si="246"/>
        <v>0</v>
      </c>
      <c r="CA368" s="6">
        <f t="shared" ca="1" si="247"/>
        <v>0</v>
      </c>
      <c r="CB368" s="6" t="e">
        <f t="shared" ca="1" si="248"/>
        <v>#DIV/0!</v>
      </c>
      <c r="CC368" s="6" t="e">
        <f t="shared" ca="1" si="249"/>
        <v>#DIV/0!</v>
      </c>
      <c r="CD368" s="9">
        <f t="shared" si="250"/>
        <v>-50</v>
      </c>
      <c r="CE368" s="9">
        <f t="shared" si="251"/>
        <v>0</v>
      </c>
      <c r="CF368" s="6">
        <f t="shared" si="252"/>
        <v>3.1415926535897931</v>
      </c>
      <c r="CG368" s="6"/>
      <c r="CH368" s="6"/>
      <c r="CI368" s="6"/>
      <c r="CJ368" s="1"/>
      <c r="CK368" s="6"/>
    </row>
    <row r="369" spans="75:89" x14ac:dyDescent="0.25">
      <c r="BW369" s="6" t="e">
        <f t="shared" si="243"/>
        <v>#N/A</v>
      </c>
      <c r="BX369" s="9">
        <f t="shared" ca="1" si="244"/>
        <v>-156.7666765884093</v>
      </c>
      <c r="BY369" s="9">
        <f t="shared" ca="1" si="245"/>
        <v>84.412825855297342</v>
      </c>
      <c r="BZ369" s="9">
        <f t="shared" ca="1" si="246"/>
        <v>0</v>
      </c>
      <c r="CA369" s="6">
        <f t="shared" ca="1" si="247"/>
        <v>0</v>
      </c>
      <c r="CB369" s="6" t="e">
        <f t="shared" ca="1" si="248"/>
        <v>#DIV/0!</v>
      </c>
      <c r="CC369" s="6" t="e">
        <f t="shared" ca="1" si="249"/>
        <v>#DIV/0!</v>
      </c>
      <c r="CD369" s="9">
        <f t="shared" si="250"/>
        <v>-50</v>
      </c>
      <c r="CE369" s="9">
        <f t="shared" si="251"/>
        <v>0</v>
      </c>
      <c r="CF369" s="6">
        <f t="shared" si="252"/>
        <v>3.1415926535897931</v>
      </c>
      <c r="CG369" s="6"/>
      <c r="CH369" s="6"/>
      <c r="CI369" s="6"/>
      <c r="CJ369" s="1"/>
      <c r="CK369" s="6"/>
    </row>
    <row r="370" spans="75:89" x14ac:dyDescent="0.25">
      <c r="BW370" s="6" t="e">
        <f t="shared" si="243"/>
        <v>#N/A</v>
      </c>
      <c r="BX370" s="9">
        <f t="shared" ca="1" si="244"/>
        <v>-156.7666765884093</v>
      </c>
      <c r="BY370" s="9">
        <f t="shared" ca="1" si="245"/>
        <v>84.412825855297342</v>
      </c>
      <c r="BZ370" s="9">
        <f t="shared" ca="1" si="246"/>
        <v>0</v>
      </c>
      <c r="CA370" s="6">
        <f t="shared" ca="1" si="247"/>
        <v>0</v>
      </c>
      <c r="CB370" s="6" t="e">
        <f t="shared" ca="1" si="248"/>
        <v>#DIV/0!</v>
      </c>
      <c r="CC370" s="6" t="e">
        <f t="shared" ca="1" si="249"/>
        <v>#DIV/0!</v>
      </c>
      <c r="CD370" s="9">
        <f t="shared" si="250"/>
        <v>-50</v>
      </c>
      <c r="CE370" s="9">
        <f t="shared" si="251"/>
        <v>0</v>
      </c>
      <c r="CF370" s="6">
        <f t="shared" si="252"/>
        <v>3.1415926535897931</v>
      </c>
      <c r="CG370" s="6"/>
      <c r="CH370" s="6"/>
      <c r="CI370" s="6"/>
      <c r="CJ370" s="1"/>
      <c r="CK370" s="6"/>
    </row>
    <row r="371" spans="75:89" x14ac:dyDescent="0.25">
      <c r="BW371" s="6" t="e">
        <f t="shared" si="243"/>
        <v>#N/A</v>
      </c>
      <c r="BX371" s="9">
        <f t="shared" ca="1" si="244"/>
        <v>-156.7666765884093</v>
      </c>
      <c r="BY371" s="9">
        <f t="shared" ca="1" si="245"/>
        <v>84.412825855297342</v>
      </c>
      <c r="BZ371" s="9">
        <f t="shared" ca="1" si="246"/>
        <v>0</v>
      </c>
      <c r="CA371" s="6">
        <f t="shared" ca="1" si="247"/>
        <v>0</v>
      </c>
      <c r="CB371" s="6" t="e">
        <f t="shared" ca="1" si="248"/>
        <v>#DIV/0!</v>
      </c>
      <c r="CC371" s="6" t="e">
        <f t="shared" ca="1" si="249"/>
        <v>#DIV/0!</v>
      </c>
      <c r="CD371" s="9">
        <f t="shared" si="250"/>
        <v>-50</v>
      </c>
      <c r="CE371" s="9">
        <f t="shared" si="251"/>
        <v>0</v>
      </c>
      <c r="CF371" s="6">
        <f t="shared" si="252"/>
        <v>3.1415926535897931</v>
      </c>
      <c r="CG371" s="6"/>
      <c r="CH371" s="6"/>
      <c r="CI371" s="6"/>
      <c r="CJ371" s="1"/>
      <c r="CK371" s="6"/>
    </row>
    <row r="372" spans="75:89" x14ac:dyDescent="0.25">
      <c r="BW372" s="6" t="e">
        <f t="shared" si="243"/>
        <v>#N/A</v>
      </c>
      <c r="BX372" s="9">
        <f t="shared" ca="1" si="244"/>
        <v>-156.7666765884093</v>
      </c>
      <c r="BY372" s="9">
        <f t="shared" ca="1" si="245"/>
        <v>84.412825855297342</v>
      </c>
      <c r="BZ372" s="9">
        <f t="shared" ca="1" si="246"/>
        <v>0</v>
      </c>
      <c r="CA372" s="6">
        <f t="shared" ca="1" si="247"/>
        <v>0</v>
      </c>
      <c r="CB372" s="6" t="e">
        <f t="shared" ca="1" si="248"/>
        <v>#DIV/0!</v>
      </c>
      <c r="CC372" s="6" t="e">
        <f t="shared" ca="1" si="249"/>
        <v>#DIV/0!</v>
      </c>
      <c r="CD372" s="9">
        <f t="shared" si="250"/>
        <v>-50</v>
      </c>
      <c r="CE372" s="9">
        <f t="shared" si="251"/>
        <v>0</v>
      </c>
      <c r="CF372" s="6">
        <f t="shared" si="252"/>
        <v>3.1415926535897931</v>
      </c>
      <c r="CG372" s="6"/>
      <c r="CH372" s="6"/>
      <c r="CI372" s="6"/>
      <c r="CJ372" s="1"/>
      <c r="CK372" s="6"/>
    </row>
    <row r="373" spans="75:89" x14ac:dyDescent="0.25">
      <c r="BW373" s="6" t="e">
        <f t="shared" si="243"/>
        <v>#N/A</v>
      </c>
      <c r="BX373" s="9">
        <f t="shared" ca="1" si="244"/>
        <v>-156.7666765884093</v>
      </c>
      <c r="BY373" s="9">
        <f t="shared" ca="1" si="245"/>
        <v>84.412825855297342</v>
      </c>
      <c r="BZ373" s="9">
        <f t="shared" ca="1" si="246"/>
        <v>0</v>
      </c>
      <c r="CA373" s="6">
        <f t="shared" ca="1" si="247"/>
        <v>0</v>
      </c>
      <c r="CB373" s="6" t="e">
        <f t="shared" ca="1" si="248"/>
        <v>#DIV/0!</v>
      </c>
      <c r="CC373" s="6" t="e">
        <f t="shared" ca="1" si="249"/>
        <v>#DIV/0!</v>
      </c>
      <c r="CD373" s="9">
        <f t="shared" si="250"/>
        <v>-50</v>
      </c>
      <c r="CE373" s="9">
        <f t="shared" si="251"/>
        <v>0</v>
      </c>
      <c r="CF373" s="6">
        <f t="shared" si="252"/>
        <v>3.1415926535897931</v>
      </c>
      <c r="CG373" s="6"/>
      <c r="CH373" s="6"/>
      <c r="CI373" s="6"/>
      <c r="CJ373" s="1"/>
      <c r="CK373" s="6"/>
    </row>
    <row r="374" spans="75:89" x14ac:dyDescent="0.25">
      <c r="BW374" s="6" t="e">
        <f t="shared" si="243"/>
        <v>#N/A</v>
      </c>
      <c r="BX374" s="9">
        <f t="shared" ca="1" si="244"/>
        <v>-156.7666765884093</v>
      </c>
      <c r="BY374" s="9">
        <f t="shared" ca="1" si="245"/>
        <v>84.412825855297342</v>
      </c>
      <c r="BZ374" s="9">
        <f t="shared" ca="1" si="246"/>
        <v>0</v>
      </c>
      <c r="CA374" s="6">
        <f t="shared" ca="1" si="247"/>
        <v>0</v>
      </c>
      <c r="CB374" s="6" t="e">
        <f t="shared" ca="1" si="248"/>
        <v>#DIV/0!</v>
      </c>
      <c r="CC374" s="6" t="e">
        <f t="shared" ca="1" si="249"/>
        <v>#DIV/0!</v>
      </c>
      <c r="CD374" s="9">
        <f t="shared" si="250"/>
        <v>-50</v>
      </c>
      <c r="CE374" s="9">
        <f t="shared" si="251"/>
        <v>0</v>
      </c>
      <c r="CF374" s="6">
        <f t="shared" si="252"/>
        <v>3.1415926535897931</v>
      </c>
      <c r="CG374" s="6"/>
      <c r="CH374" s="6"/>
      <c r="CI374" s="6"/>
      <c r="CJ374" s="1"/>
      <c r="CK374" s="6"/>
    </row>
    <row r="375" spans="75:89" x14ac:dyDescent="0.25">
      <c r="BW375" s="6" t="e">
        <f t="shared" si="243"/>
        <v>#N/A</v>
      </c>
      <c r="BX375" s="9">
        <f t="shared" ca="1" si="244"/>
        <v>-156.7666765884093</v>
      </c>
      <c r="BY375" s="9">
        <f t="shared" ca="1" si="245"/>
        <v>84.412825855297342</v>
      </c>
      <c r="BZ375" s="9">
        <f t="shared" ca="1" si="246"/>
        <v>0</v>
      </c>
      <c r="CA375" s="6">
        <f t="shared" ca="1" si="247"/>
        <v>0</v>
      </c>
      <c r="CB375" s="6" t="e">
        <f t="shared" ca="1" si="248"/>
        <v>#DIV/0!</v>
      </c>
      <c r="CC375" s="6" t="e">
        <f t="shared" ca="1" si="249"/>
        <v>#DIV/0!</v>
      </c>
      <c r="CD375" s="9">
        <f t="shared" si="250"/>
        <v>-50</v>
      </c>
      <c r="CE375" s="9">
        <f t="shared" si="251"/>
        <v>0</v>
      </c>
      <c r="CF375" s="6">
        <f t="shared" si="252"/>
        <v>3.1415926535897931</v>
      </c>
      <c r="CG375" s="6"/>
      <c r="CH375" s="6"/>
      <c r="CI375" s="6"/>
      <c r="CJ375" s="1"/>
      <c r="CK375" s="6"/>
    </row>
    <row r="376" spans="75:89" x14ac:dyDescent="0.25">
      <c r="BW376" s="6">
        <f t="shared" ref="BW376" si="257">IF(BC363="",NA(),BC363)</f>
        <v>6.3006385996994831</v>
      </c>
      <c r="BX376" s="9">
        <f t="shared" ref="BX376" ca="1" si="258">BD363-$BW$5</f>
        <v>-8.5510021250888144</v>
      </c>
      <c r="BY376" s="9">
        <f t="shared" ref="BY376" ca="1" si="259">BE363-$BX$5</f>
        <v>41.752825855297168</v>
      </c>
      <c r="BZ376" s="9">
        <f t="shared" ref="BZ376" ca="1" si="260">BX376-$CE$5</f>
        <v>148.21567446332048</v>
      </c>
      <c r="CA376" s="6">
        <f t="shared" ref="CA376" ca="1" si="261">BY376-$CF$5</f>
        <v>-42.660000000000174</v>
      </c>
      <c r="CB376" s="6">
        <f t="shared" ref="CB376" ca="1" si="262">ATAN2(BZ376,CA376)</f>
        <v>-0.2802488844843089</v>
      </c>
      <c r="CC376" s="6">
        <f t="shared" ref="CC376" ca="1" si="263">ATAN2(COS(CF376-CB376),SIN(CF376-CB376))*10</f>
        <v>-1.2951475373674288</v>
      </c>
      <c r="CD376" s="9">
        <f t="shared" ref="CD376" si="264">BD363-$BW$6</f>
        <v>98.215674463320482</v>
      </c>
      <c r="CE376" s="9">
        <f t="shared" ref="CE376" si="265">BE363-$BX$6</f>
        <v>-42.660000000000174</v>
      </c>
      <c r="CF376" s="6">
        <f t="shared" ref="CF376" si="266">ATAN2(CD376,CE376)</f>
        <v>-0.40976363822105177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count="5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2020-11-16T16:57:55Z</dcterms:modified>
</cp:coreProperties>
</file>