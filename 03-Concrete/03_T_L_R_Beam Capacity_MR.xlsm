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625393" documentId="114_{E47FFB45-1E57-4E4B-AA59-D4BC55DAC61C}" xr6:coauthVersionLast="45" xr6:coauthVersionMax="45" xr10:uidLastSave="{32E5F180-3DD4-414B-A5BA-810222E5839F}"/>
  <bookViews>
    <workbookView xWindow="585" yWindow="195" windowWidth="25170" windowHeight="16815" xr2:uid="{2AFCDE7C-57C4-4CF6-8D68-85BA7869C158}"/>
  </bookViews>
  <sheets>
    <sheet name="TLR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AF10" i="1" l="1"/>
  <c r="AE10" i="1"/>
  <c r="BD364" i="1"/>
  <c r="BW376" i="1"/>
  <c r="BF363" i="1"/>
  <c r="BG363" i="1" s="1"/>
  <c r="BE364" i="1"/>
  <c r="BC364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W15" i="1"/>
  <c r="BE365" i="1" l="1"/>
  <c r="BD365" i="1"/>
  <c r="CD8" i="1" l="1"/>
  <c r="BX6" i="1"/>
  <c r="CE376" i="1" s="1"/>
  <c r="BW6" i="1"/>
  <c r="CD376" i="1" s="1"/>
  <c r="CF376" i="1" l="1"/>
  <c r="CE15" i="1"/>
  <c r="CE17" i="1"/>
  <c r="CE19" i="1"/>
  <c r="CE21" i="1"/>
  <c r="CE23" i="1"/>
  <c r="CE25" i="1"/>
  <c r="CE27" i="1"/>
  <c r="CE29" i="1"/>
  <c r="CE31" i="1"/>
  <c r="CE33" i="1"/>
  <c r="CE35" i="1"/>
  <c r="CE37" i="1"/>
  <c r="CE39" i="1"/>
  <c r="CE41" i="1"/>
  <c r="CE43" i="1"/>
  <c r="CE45" i="1"/>
  <c r="CE47" i="1"/>
  <c r="CE49" i="1"/>
  <c r="CE51" i="1"/>
  <c r="CE53" i="1"/>
  <c r="CE55" i="1"/>
  <c r="CE57" i="1"/>
  <c r="CE59" i="1"/>
  <c r="CE61" i="1"/>
  <c r="CE63" i="1"/>
  <c r="CE65" i="1"/>
  <c r="CE67" i="1"/>
  <c r="CE69" i="1"/>
  <c r="CE71" i="1"/>
  <c r="CE73" i="1"/>
  <c r="CE75" i="1"/>
  <c r="CE77" i="1"/>
  <c r="CE79" i="1"/>
  <c r="CE81" i="1"/>
  <c r="CE83" i="1"/>
  <c r="CE85" i="1"/>
  <c r="CE87" i="1"/>
  <c r="CE89" i="1"/>
  <c r="CE91" i="1"/>
  <c r="CE93" i="1"/>
  <c r="CE95" i="1"/>
  <c r="CE97" i="1"/>
  <c r="CE99" i="1"/>
  <c r="CE101" i="1"/>
  <c r="CE103" i="1"/>
  <c r="CE105" i="1"/>
  <c r="CE107" i="1"/>
  <c r="CE109" i="1"/>
  <c r="CE111" i="1"/>
  <c r="CE113" i="1"/>
  <c r="CE115" i="1"/>
  <c r="CE117" i="1"/>
  <c r="CE119" i="1"/>
  <c r="CE121" i="1"/>
  <c r="CE123" i="1"/>
  <c r="CE125" i="1"/>
  <c r="CE127" i="1"/>
  <c r="CE129" i="1"/>
  <c r="CE131" i="1"/>
  <c r="CE133" i="1"/>
  <c r="CE135" i="1"/>
  <c r="CE137" i="1"/>
  <c r="CE139" i="1"/>
  <c r="CE141" i="1"/>
  <c r="CE143" i="1"/>
  <c r="CE145" i="1"/>
  <c r="CE147" i="1"/>
  <c r="CE149" i="1"/>
  <c r="CE151" i="1"/>
  <c r="CE153" i="1"/>
  <c r="CE155" i="1"/>
  <c r="CE157" i="1"/>
  <c r="CE159" i="1"/>
  <c r="CE161" i="1"/>
  <c r="CE163" i="1"/>
  <c r="CE165" i="1"/>
  <c r="CE167" i="1"/>
  <c r="CE169" i="1"/>
  <c r="CE171" i="1"/>
  <c r="CE173" i="1"/>
  <c r="CE175" i="1"/>
  <c r="CE177" i="1"/>
  <c r="CE179" i="1"/>
  <c r="CE181" i="1"/>
  <c r="CE183" i="1"/>
  <c r="CE16" i="1"/>
  <c r="CE18" i="1"/>
  <c r="CE20" i="1"/>
  <c r="CE22" i="1"/>
  <c r="CE24" i="1"/>
  <c r="CE26" i="1"/>
  <c r="CE28" i="1"/>
  <c r="CE30" i="1"/>
  <c r="CE32" i="1"/>
  <c r="CE34" i="1"/>
  <c r="CE36" i="1"/>
  <c r="CE38" i="1"/>
  <c r="CE40" i="1"/>
  <c r="CE42" i="1"/>
  <c r="CE44" i="1"/>
  <c r="CE46" i="1"/>
  <c r="CE48" i="1"/>
  <c r="CE50" i="1"/>
  <c r="CE52" i="1"/>
  <c r="CE54" i="1"/>
  <c r="CE56" i="1"/>
  <c r="CE58" i="1"/>
  <c r="CE60" i="1"/>
  <c r="CE62" i="1"/>
  <c r="CE64" i="1"/>
  <c r="CE66" i="1"/>
  <c r="CE68" i="1"/>
  <c r="CE70" i="1"/>
  <c r="CE72" i="1"/>
  <c r="CE74" i="1"/>
  <c r="CE76" i="1"/>
  <c r="CE78" i="1"/>
  <c r="CE80" i="1"/>
  <c r="CE82" i="1"/>
  <c r="CE84" i="1"/>
  <c r="CE86" i="1"/>
  <c r="CE88" i="1"/>
  <c r="CE90" i="1"/>
  <c r="CE92" i="1"/>
  <c r="CE94" i="1"/>
  <c r="CE96" i="1"/>
  <c r="CE98" i="1"/>
  <c r="CE100" i="1"/>
  <c r="CE102" i="1"/>
  <c r="CE104" i="1"/>
  <c r="CE106" i="1"/>
  <c r="CE108" i="1"/>
  <c r="CE110" i="1"/>
  <c r="CE112" i="1"/>
  <c r="CE114" i="1"/>
  <c r="CE116" i="1"/>
  <c r="CE118" i="1"/>
  <c r="CE120" i="1"/>
  <c r="CE122" i="1"/>
  <c r="CE124" i="1"/>
  <c r="CE126" i="1"/>
  <c r="CE128" i="1"/>
  <c r="CE130" i="1"/>
  <c r="CE132" i="1"/>
  <c r="CE134" i="1"/>
  <c r="CE136" i="1"/>
  <c r="CE138" i="1"/>
  <c r="CE140" i="1"/>
  <c r="CE142" i="1"/>
  <c r="CE144" i="1"/>
  <c r="CE146" i="1"/>
  <c r="CE148" i="1"/>
  <c r="CE150" i="1"/>
  <c r="CE152" i="1"/>
  <c r="CE154" i="1"/>
  <c r="CE156" i="1"/>
  <c r="CE158" i="1"/>
  <c r="CE160" i="1"/>
  <c r="CE162" i="1"/>
  <c r="CE164" i="1"/>
  <c r="CE166" i="1"/>
  <c r="CE168" i="1"/>
  <c r="CE170" i="1"/>
  <c r="CE172" i="1"/>
  <c r="CE174" i="1"/>
  <c r="CE176" i="1"/>
  <c r="CE178" i="1"/>
  <c r="CE180" i="1"/>
  <c r="CE182" i="1"/>
  <c r="CE184" i="1"/>
  <c r="CE185" i="1"/>
  <c r="CE187" i="1"/>
  <c r="CE189" i="1"/>
  <c r="CE191" i="1"/>
  <c r="CE193" i="1"/>
  <c r="CE195" i="1"/>
  <c r="CE197" i="1"/>
  <c r="CE199" i="1"/>
  <c r="CE201" i="1"/>
  <c r="CE203" i="1"/>
  <c r="CE205" i="1"/>
  <c r="CE207" i="1"/>
  <c r="CE209" i="1"/>
  <c r="CE211" i="1"/>
  <c r="CE213" i="1"/>
  <c r="CE215" i="1"/>
  <c r="CE217" i="1"/>
  <c r="CE219" i="1"/>
  <c r="CE221" i="1"/>
  <c r="CE223" i="1"/>
  <c r="CE225" i="1"/>
  <c r="CE227" i="1"/>
  <c r="CE229" i="1"/>
  <c r="CE231" i="1"/>
  <c r="CE233" i="1"/>
  <c r="CE235" i="1"/>
  <c r="CE237" i="1"/>
  <c r="CE239" i="1"/>
  <c r="CE241" i="1"/>
  <c r="CE243" i="1"/>
  <c r="CE245" i="1"/>
  <c r="CE247" i="1"/>
  <c r="CE249" i="1"/>
  <c r="CE251" i="1"/>
  <c r="CE253" i="1"/>
  <c r="CE255" i="1"/>
  <c r="CE257" i="1"/>
  <c r="CE259" i="1"/>
  <c r="CE261" i="1"/>
  <c r="CE263" i="1"/>
  <c r="CE265" i="1"/>
  <c r="CE267" i="1"/>
  <c r="CE269" i="1"/>
  <c r="CE271" i="1"/>
  <c r="CE273" i="1"/>
  <c r="CE275" i="1"/>
  <c r="CE277" i="1"/>
  <c r="CE279" i="1"/>
  <c r="CE281" i="1"/>
  <c r="CE283" i="1"/>
  <c r="CE285" i="1"/>
  <c r="CE287" i="1"/>
  <c r="CE289" i="1"/>
  <c r="CE291" i="1"/>
  <c r="CE293" i="1"/>
  <c r="CE295" i="1"/>
  <c r="CE297" i="1"/>
  <c r="CE299" i="1"/>
  <c r="CE301" i="1"/>
  <c r="CE303" i="1"/>
  <c r="CE305" i="1"/>
  <c r="CE307" i="1"/>
  <c r="CE309" i="1"/>
  <c r="CE311" i="1"/>
  <c r="CE313" i="1"/>
  <c r="CE315" i="1"/>
  <c r="CE317" i="1"/>
  <c r="CE319" i="1"/>
  <c r="CE321" i="1"/>
  <c r="CE323" i="1"/>
  <c r="CE325" i="1"/>
  <c r="CE327" i="1"/>
  <c r="CE329" i="1"/>
  <c r="CE331" i="1"/>
  <c r="CE333" i="1"/>
  <c r="CE335" i="1"/>
  <c r="CE337" i="1"/>
  <c r="CE339" i="1"/>
  <c r="CE341" i="1"/>
  <c r="CE343" i="1"/>
  <c r="CE345" i="1"/>
  <c r="CE347" i="1"/>
  <c r="CE349" i="1"/>
  <c r="CE351" i="1"/>
  <c r="CE353" i="1"/>
  <c r="CE355" i="1"/>
  <c r="CE186" i="1"/>
  <c r="CE188" i="1"/>
  <c r="CE190" i="1"/>
  <c r="CE192" i="1"/>
  <c r="CE194" i="1"/>
  <c r="CE196" i="1"/>
  <c r="CE198" i="1"/>
  <c r="CE200" i="1"/>
  <c r="CE202" i="1"/>
  <c r="CE204" i="1"/>
  <c r="CE206" i="1"/>
  <c r="CE208" i="1"/>
  <c r="CE210" i="1"/>
  <c r="CE212" i="1"/>
  <c r="CE214" i="1"/>
  <c r="CE216" i="1"/>
  <c r="CE218" i="1"/>
  <c r="CE220" i="1"/>
  <c r="CE222" i="1"/>
  <c r="CE224" i="1"/>
  <c r="CE226" i="1"/>
  <c r="CE228" i="1"/>
  <c r="CE230" i="1"/>
  <c r="CE232" i="1"/>
  <c r="CE234" i="1"/>
  <c r="CE236" i="1"/>
  <c r="CE238" i="1"/>
  <c r="CE240" i="1"/>
  <c r="CE242" i="1"/>
  <c r="CE244" i="1"/>
  <c r="CE246" i="1"/>
  <c r="CE248" i="1"/>
  <c r="CE250" i="1"/>
  <c r="CE252" i="1"/>
  <c r="CE254" i="1"/>
  <c r="CE256" i="1"/>
  <c r="CE258" i="1"/>
  <c r="CE260" i="1"/>
  <c r="CE262" i="1"/>
  <c r="CE264" i="1"/>
  <c r="CE266" i="1"/>
  <c r="CE268" i="1"/>
  <c r="CE270" i="1"/>
  <c r="CE272" i="1"/>
  <c r="CE274" i="1"/>
  <c r="CE276" i="1"/>
  <c r="CE278" i="1"/>
  <c r="CE280" i="1"/>
  <c r="CE282" i="1"/>
  <c r="CE284" i="1"/>
  <c r="CE286" i="1"/>
  <c r="CE288" i="1"/>
  <c r="CE290" i="1"/>
  <c r="CE292" i="1"/>
  <c r="CE294" i="1"/>
  <c r="CE296" i="1"/>
  <c r="CE298" i="1"/>
  <c r="CE300" i="1"/>
  <c r="CE302" i="1"/>
  <c r="CE304" i="1"/>
  <c r="CE306" i="1"/>
  <c r="CE308" i="1"/>
  <c r="CE310" i="1"/>
  <c r="CE312" i="1"/>
  <c r="CE314" i="1"/>
  <c r="CE316" i="1"/>
  <c r="CE318" i="1"/>
  <c r="CE320" i="1"/>
  <c r="CE322" i="1"/>
  <c r="CE324" i="1"/>
  <c r="CE326" i="1"/>
  <c r="CE328" i="1"/>
  <c r="CE330" i="1"/>
  <c r="CE332" i="1"/>
  <c r="CE334" i="1"/>
  <c r="CE336" i="1"/>
  <c r="CE338" i="1"/>
  <c r="CE340" i="1"/>
  <c r="CE342" i="1"/>
  <c r="CE344" i="1"/>
  <c r="CE346" i="1"/>
  <c r="CE348" i="1"/>
  <c r="CE350" i="1"/>
  <c r="CE352" i="1"/>
  <c r="CE354" i="1"/>
  <c r="CE356" i="1"/>
  <c r="CE358" i="1"/>
  <c r="CE360" i="1"/>
  <c r="CE362" i="1"/>
  <c r="CE364" i="1"/>
  <c r="CE366" i="1"/>
  <c r="CE368" i="1"/>
  <c r="CE370" i="1"/>
  <c r="CE372" i="1"/>
  <c r="CE374" i="1"/>
  <c r="CE371" i="1"/>
  <c r="CE375" i="1"/>
  <c r="CE357" i="1"/>
  <c r="CE359" i="1"/>
  <c r="CE361" i="1"/>
  <c r="CE363" i="1"/>
  <c r="CE365" i="1"/>
  <c r="CE367" i="1"/>
  <c r="CE369" i="1"/>
  <c r="CE373" i="1"/>
  <c r="CD16" i="1"/>
  <c r="CD18" i="1"/>
  <c r="CD20" i="1"/>
  <c r="CD22" i="1"/>
  <c r="CD24" i="1"/>
  <c r="CF24" i="1" s="1"/>
  <c r="CD26" i="1"/>
  <c r="CF26" i="1" s="1"/>
  <c r="CD28" i="1"/>
  <c r="CD30" i="1"/>
  <c r="CD32" i="1"/>
  <c r="CD34" i="1"/>
  <c r="CD36" i="1"/>
  <c r="CD38" i="1"/>
  <c r="CF38" i="1" s="1"/>
  <c r="CD40" i="1"/>
  <c r="CF40" i="1" s="1"/>
  <c r="CD42" i="1"/>
  <c r="CF42" i="1" s="1"/>
  <c r="CD44" i="1"/>
  <c r="CD46" i="1"/>
  <c r="CD48" i="1"/>
  <c r="CD50" i="1"/>
  <c r="CD52" i="1"/>
  <c r="CD54" i="1"/>
  <c r="CF54" i="1" s="1"/>
  <c r="CD56" i="1"/>
  <c r="CD58" i="1"/>
  <c r="CF58" i="1" s="1"/>
  <c r="CD60" i="1"/>
  <c r="CD62" i="1"/>
  <c r="CD64" i="1"/>
  <c r="CD66" i="1"/>
  <c r="CD68" i="1"/>
  <c r="CD70" i="1"/>
  <c r="CF70" i="1" s="1"/>
  <c r="CD72" i="1"/>
  <c r="CD74" i="1"/>
  <c r="CF74" i="1" s="1"/>
  <c r="CD76" i="1"/>
  <c r="CD78" i="1"/>
  <c r="CD80" i="1"/>
  <c r="CD82" i="1"/>
  <c r="CD84" i="1"/>
  <c r="CD86" i="1"/>
  <c r="CF86" i="1" s="1"/>
  <c r="CD88" i="1"/>
  <c r="CD90" i="1"/>
  <c r="CF90" i="1" s="1"/>
  <c r="CD92" i="1"/>
  <c r="CD94" i="1"/>
  <c r="CD96" i="1"/>
  <c r="CD98" i="1"/>
  <c r="CD100" i="1"/>
  <c r="CD102" i="1"/>
  <c r="CF102" i="1" s="1"/>
  <c r="CD104" i="1"/>
  <c r="CD106" i="1"/>
  <c r="CF106" i="1" s="1"/>
  <c r="CD108" i="1"/>
  <c r="CD110" i="1"/>
  <c r="CD112" i="1"/>
  <c r="CD114" i="1"/>
  <c r="CD116" i="1"/>
  <c r="CD118" i="1"/>
  <c r="CF118" i="1" s="1"/>
  <c r="CD120" i="1"/>
  <c r="CD122" i="1"/>
  <c r="CF122" i="1" s="1"/>
  <c r="CD124" i="1"/>
  <c r="CD126" i="1"/>
  <c r="CD128" i="1"/>
  <c r="CD130" i="1"/>
  <c r="CD132" i="1"/>
  <c r="CD134" i="1"/>
  <c r="CF134" i="1" s="1"/>
  <c r="CD136" i="1"/>
  <c r="CD138" i="1"/>
  <c r="CF138" i="1" s="1"/>
  <c r="CD140" i="1"/>
  <c r="CD142" i="1"/>
  <c r="CD144" i="1"/>
  <c r="CD146" i="1"/>
  <c r="CD148" i="1"/>
  <c r="CD150" i="1"/>
  <c r="CD152" i="1"/>
  <c r="CD154" i="1"/>
  <c r="CD156" i="1"/>
  <c r="CD158" i="1"/>
  <c r="CD160" i="1"/>
  <c r="CD162" i="1"/>
  <c r="CD164" i="1"/>
  <c r="CD166" i="1"/>
  <c r="CD168" i="1"/>
  <c r="CD170" i="1"/>
  <c r="CF170" i="1" s="1"/>
  <c r="CD172" i="1"/>
  <c r="CD174" i="1"/>
  <c r="CD176" i="1"/>
  <c r="CD178" i="1"/>
  <c r="CD180" i="1"/>
  <c r="CD182" i="1"/>
  <c r="CD184" i="1"/>
  <c r="CD17" i="1"/>
  <c r="CF17" i="1" s="1"/>
  <c r="CD21" i="1"/>
  <c r="CD25" i="1"/>
  <c r="CD29" i="1"/>
  <c r="CD33" i="1"/>
  <c r="CD37" i="1"/>
  <c r="CF37" i="1" s="1"/>
  <c r="CD41" i="1"/>
  <c r="CD45" i="1"/>
  <c r="CD49" i="1"/>
  <c r="CD53" i="1"/>
  <c r="CD57" i="1"/>
  <c r="CD61" i="1"/>
  <c r="CD65" i="1"/>
  <c r="CD69" i="1"/>
  <c r="CF69" i="1" s="1"/>
  <c r="CD73" i="1"/>
  <c r="CD77" i="1"/>
  <c r="CD81" i="1"/>
  <c r="CF81" i="1" s="1"/>
  <c r="CD85" i="1"/>
  <c r="CD89" i="1"/>
  <c r="CD93" i="1"/>
  <c r="CD97" i="1"/>
  <c r="CD101" i="1"/>
  <c r="CF101" i="1" s="1"/>
  <c r="CD105" i="1"/>
  <c r="CD109" i="1"/>
  <c r="CD113" i="1"/>
  <c r="CF113" i="1" s="1"/>
  <c r="CD117" i="1"/>
  <c r="CD121" i="1"/>
  <c r="CD125" i="1"/>
  <c r="CD129" i="1"/>
  <c r="CD133" i="1"/>
  <c r="CF133" i="1" s="1"/>
  <c r="CD137" i="1"/>
  <c r="CD141" i="1"/>
  <c r="CD145" i="1"/>
  <c r="CF145" i="1" s="1"/>
  <c r="CD149" i="1"/>
  <c r="CD153" i="1"/>
  <c r="CD157" i="1"/>
  <c r="CD161" i="1"/>
  <c r="CD165" i="1"/>
  <c r="CF165" i="1" s="1"/>
  <c r="CD169" i="1"/>
  <c r="CD173" i="1"/>
  <c r="CD177" i="1"/>
  <c r="CF177" i="1" s="1"/>
  <c r="CD181" i="1"/>
  <c r="CD185" i="1"/>
  <c r="CD187" i="1"/>
  <c r="CD189" i="1"/>
  <c r="CD191" i="1"/>
  <c r="CD193" i="1"/>
  <c r="CD195" i="1"/>
  <c r="CD197" i="1"/>
  <c r="CD199" i="1"/>
  <c r="CD201" i="1"/>
  <c r="CD203" i="1"/>
  <c r="CD205" i="1"/>
  <c r="CD207" i="1"/>
  <c r="CD209" i="1"/>
  <c r="CD211" i="1"/>
  <c r="CD213" i="1"/>
  <c r="CD215" i="1"/>
  <c r="CD217" i="1"/>
  <c r="CD219" i="1"/>
  <c r="CD221" i="1"/>
  <c r="CD223" i="1"/>
  <c r="CD225" i="1"/>
  <c r="CD227" i="1"/>
  <c r="CD229" i="1"/>
  <c r="CD231" i="1"/>
  <c r="CD233" i="1"/>
  <c r="CD235" i="1"/>
  <c r="CD237" i="1"/>
  <c r="CD239" i="1"/>
  <c r="CD241" i="1"/>
  <c r="CD243" i="1"/>
  <c r="CD245" i="1"/>
  <c r="CD247" i="1"/>
  <c r="CD249" i="1"/>
  <c r="CD251" i="1"/>
  <c r="CD253" i="1"/>
  <c r="CD255" i="1"/>
  <c r="CD257" i="1"/>
  <c r="CD259" i="1"/>
  <c r="CD261" i="1"/>
  <c r="CD263" i="1"/>
  <c r="CD265" i="1"/>
  <c r="CD267" i="1"/>
  <c r="CD269" i="1"/>
  <c r="CD271" i="1"/>
  <c r="CD273" i="1"/>
  <c r="CD275" i="1"/>
  <c r="CD277" i="1"/>
  <c r="CF277" i="1" s="1"/>
  <c r="CD279" i="1"/>
  <c r="CD281" i="1"/>
  <c r="CD283" i="1"/>
  <c r="CD285" i="1"/>
  <c r="CD287" i="1"/>
  <c r="CD289" i="1"/>
  <c r="CD291" i="1"/>
  <c r="CD293" i="1"/>
  <c r="CF293" i="1" s="1"/>
  <c r="CD295" i="1"/>
  <c r="CD297" i="1"/>
  <c r="CD299" i="1"/>
  <c r="CD301" i="1"/>
  <c r="CD303" i="1"/>
  <c r="CD305" i="1"/>
  <c r="CD307" i="1"/>
  <c r="CD309" i="1"/>
  <c r="CF309" i="1" s="1"/>
  <c r="CD311" i="1"/>
  <c r="CD313" i="1"/>
  <c r="CD315" i="1"/>
  <c r="CD317" i="1"/>
  <c r="CD319" i="1"/>
  <c r="CD321" i="1"/>
  <c r="CD323" i="1"/>
  <c r="CD325" i="1"/>
  <c r="CD327" i="1"/>
  <c r="CD329" i="1"/>
  <c r="CD331" i="1"/>
  <c r="CD333" i="1"/>
  <c r="CD335" i="1"/>
  <c r="CD337" i="1"/>
  <c r="CD339" i="1"/>
  <c r="CD341" i="1"/>
  <c r="CF341" i="1" s="1"/>
  <c r="CD343" i="1"/>
  <c r="CD345" i="1"/>
  <c r="CD347" i="1"/>
  <c r="CD349" i="1"/>
  <c r="CD351" i="1"/>
  <c r="CD353" i="1"/>
  <c r="CD355" i="1"/>
  <c r="CD357" i="1"/>
  <c r="CD359" i="1"/>
  <c r="CD361" i="1"/>
  <c r="CD363" i="1"/>
  <c r="CD365" i="1"/>
  <c r="CD367" i="1"/>
  <c r="CD369" i="1"/>
  <c r="CD371" i="1"/>
  <c r="CD373" i="1"/>
  <c r="CF373" i="1" s="1"/>
  <c r="CD375" i="1"/>
  <c r="CF375" i="1" s="1"/>
  <c r="CD19" i="1"/>
  <c r="CD23" i="1"/>
  <c r="CD27" i="1"/>
  <c r="CD31" i="1"/>
  <c r="CF31" i="1" s="1"/>
  <c r="CD35" i="1"/>
  <c r="CD39" i="1"/>
  <c r="CD43" i="1"/>
  <c r="CD47" i="1"/>
  <c r="CF47" i="1" s="1"/>
  <c r="CD51" i="1"/>
  <c r="CD55" i="1"/>
  <c r="CD59" i="1"/>
  <c r="CD63" i="1"/>
  <c r="CF63" i="1" s="1"/>
  <c r="CD67" i="1"/>
  <c r="CD71" i="1"/>
  <c r="CD75" i="1"/>
  <c r="CD79" i="1"/>
  <c r="CF79" i="1" s="1"/>
  <c r="CD83" i="1"/>
  <c r="CD87" i="1"/>
  <c r="CD91" i="1"/>
  <c r="CD95" i="1"/>
  <c r="CF95" i="1" s="1"/>
  <c r="CD99" i="1"/>
  <c r="CD103" i="1"/>
  <c r="CD107" i="1"/>
  <c r="CF107" i="1" s="1"/>
  <c r="CD111" i="1"/>
  <c r="CF111" i="1" s="1"/>
  <c r="CD115" i="1"/>
  <c r="CD119" i="1"/>
  <c r="CD123" i="1"/>
  <c r="CD127" i="1"/>
  <c r="CF127" i="1" s="1"/>
  <c r="CD131" i="1"/>
  <c r="CD135" i="1"/>
  <c r="CD139" i="1"/>
  <c r="CF139" i="1" s="1"/>
  <c r="CD143" i="1"/>
  <c r="CF143" i="1" s="1"/>
  <c r="CD147" i="1"/>
  <c r="CD155" i="1"/>
  <c r="CD163" i="1"/>
  <c r="CF163" i="1" s="1"/>
  <c r="CD171" i="1"/>
  <c r="CD179" i="1"/>
  <c r="CD186" i="1"/>
  <c r="CD190" i="1"/>
  <c r="CF190" i="1" s="1"/>
  <c r="CD194" i="1"/>
  <c r="CD198" i="1"/>
  <c r="CD202" i="1"/>
  <c r="CF202" i="1" s="1"/>
  <c r="CD206" i="1"/>
  <c r="CF206" i="1" s="1"/>
  <c r="CD210" i="1"/>
  <c r="CD214" i="1"/>
  <c r="CD218" i="1"/>
  <c r="CF218" i="1" s="1"/>
  <c r="CD222" i="1"/>
  <c r="CF222" i="1" s="1"/>
  <c r="CD226" i="1"/>
  <c r="CD230" i="1"/>
  <c r="CD234" i="1"/>
  <c r="CF234" i="1" s="1"/>
  <c r="CD238" i="1"/>
  <c r="CF238" i="1" s="1"/>
  <c r="CD242" i="1"/>
  <c r="CD246" i="1"/>
  <c r="CD250" i="1"/>
  <c r="CF250" i="1" s="1"/>
  <c r="CD254" i="1"/>
  <c r="CF254" i="1" s="1"/>
  <c r="CD258" i="1"/>
  <c r="CD262" i="1"/>
  <c r="CD266" i="1"/>
  <c r="CF266" i="1" s="1"/>
  <c r="CD270" i="1"/>
  <c r="CF270" i="1" s="1"/>
  <c r="CD274" i="1"/>
  <c r="CD278" i="1"/>
  <c r="CD282" i="1"/>
  <c r="CF282" i="1" s="1"/>
  <c r="CD286" i="1"/>
  <c r="CF286" i="1" s="1"/>
  <c r="CD290" i="1"/>
  <c r="CD294" i="1"/>
  <c r="CD298" i="1"/>
  <c r="CD302" i="1"/>
  <c r="CD306" i="1"/>
  <c r="CD310" i="1"/>
  <c r="CD314" i="1"/>
  <c r="CD318" i="1"/>
  <c r="CD322" i="1"/>
  <c r="CD326" i="1"/>
  <c r="CD330" i="1"/>
  <c r="CF330" i="1" s="1"/>
  <c r="CD334" i="1"/>
  <c r="CD338" i="1"/>
  <c r="CD342" i="1"/>
  <c r="CD346" i="1"/>
  <c r="CF346" i="1" s="1"/>
  <c r="CD350" i="1"/>
  <c r="CD354" i="1"/>
  <c r="CD358" i="1"/>
  <c r="CD362" i="1"/>
  <c r="CD366" i="1"/>
  <c r="CD370" i="1"/>
  <c r="CD374" i="1"/>
  <c r="CD151" i="1"/>
  <c r="CD159" i="1"/>
  <c r="CF159" i="1" s="1"/>
  <c r="CD167" i="1"/>
  <c r="CD175" i="1"/>
  <c r="CF175" i="1" s="1"/>
  <c r="CD183" i="1"/>
  <c r="CD188" i="1"/>
  <c r="CD192" i="1"/>
  <c r="CF192" i="1" s="1"/>
  <c r="CD196" i="1"/>
  <c r="CD200" i="1"/>
  <c r="CD204" i="1"/>
  <c r="CF204" i="1" s="1"/>
  <c r="CD208" i="1"/>
  <c r="CD212" i="1"/>
  <c r="CD216" i="1"/>
  <c r="CD220" i="1"/>
  <c r="CD224" i="1"/>
  <c r="CF224" i="1" s="1"/>
  <c r="CD228" i="1"/>
  <c r="CD232" i="1"/>
  <c r="CD236" i="1"/>
  <c r="CF236" i="1" s="1"/>
  <c r="CD240" i="1"/>
  <c r="CD244" i="1"/>
  <c r="CD248" i="1"/>
  <c r="CD252" i="1"/>
  <c r="CD256" i="1"/>
  <c r="CF256" i="1" s="1"/>
  <c r="CD260" i="1"/>
  <c r="CD264" i="1"/>
  <c r="CD268" i="1"/>
  <c r="CF268" i="1" s="1"/>
  <c r="CD272" i="1"/>
  <c r="CD276" i="1"/>
  <c r="CD280" i="1"/>
  <c r="CD284" i="1"/>
  <c r="CD288" i="1"/>
  <c r="CF288" i="1" s="1"/>
  <c r="CD292" i="1"/>
  <c r="CD296" i="1"/>
  <c r="CD300" i="1"/>
  <c r="CD304" i="1"/>
  <c r="CD308" i="1"/>
  <c r="CD312" i="1"/>
  <c r="CD316" i="1"/>
  <c r="CD320" i="1"/>
  <c r="CF320" i="1" s="1"/>
  <c r="CD324" i="1"/>
  <c r="CD328" i="1"/>
  <c r="CD332" i="1"/>
  <c r="CD336" i="1"/>
  <c r="CD340" i="1"/>
  <c r="CD344" i="1"/>
  <c r="CD348" i="1"/>
  <c r="CD352" i="1"/>
  <c r="CF352" i="1" s="1"/>
  <c r="CD356" i="1"/>
  <c r="CD360" i="1"/>
  <c r="CD364" i="1"/>
  <c r="CD368" i="1"/>
  <c r="CD372" i="1"/>
  <c r="CD15" i="1"/>
  <c r="CF15" i="1" s="1"/>
  <c r="CF6" i="1"/>
  <c r="CE6" i="1"/>
  <c r="CF94" i="1"/>
  <c r="CF19" i="1"/>
  <c r="CF33" i="1"/>
  <c r="BY6" i="1"/>
  <c r="CA6" i="1" s="1"/>
  <c r="I2" i="1"/>
  <c r="CF161" i="1" l="1"/>
  <c r="CF129" i="1"/>
  <c r="CF97" i="1"/>
  <c r="CF65" i="1"/>
  <c r="CF329" i="1"/>
  <c r="CF185" i="1"/>
  <c r="CF361" i="1"/>
  <c r="CF343" i="1"/>
  <c r="CF327" i="1"/>
  <c r="CF311" i="1"/>
  <c r="CF279" i="1"/>
  <c r="CF179" i="1"/>
  <c r="CF131" i="1"/>
  <c r="CF99" i="1"/>
  <c r="CF67" i="1"/>
  <c r="CF35" i="1"/>
  <c r="CF347" i="1"/>
  <c r="CF331" i="1"/>
  <c r="CF315" i="1"/>
  <c r="CF299" i="1"/>
  <c r="CF147" i="1"/>
  <c r="CF336" i="1"/>
  <c r="CF240" i="1"/>
  <c r="CF208" i="1"/>
  <c r="CF53" i="1"/>
  <c r="CF368" i="1"/>
  <c r="CF304" i="1"/>
  <c r="CF301" i="1"/>
  <c r="CF297" i="1"/>
  <c r="CF295" i="1"/>
  <c r="CF272" i="1"/>
  <c r="CF181" i="1"/>
  <c r="CF154" i="1"/>
  <c r="CF149" i="1"/>
  <c r="CF140" i="1"/>
  <c r="CF124" i="1"/>
  <c r="CF117" i="1"/>
  <c r="CF115" i="1"/>
  <c r="CF108" i="1"/>
  <c r="CF92" i="1"/>
  <c r="CF85" i="1"/>
  <c r="CF76" i="1"/>
  <c r="CF60" i="1"/>
  <c r="CF51" i="1"/>
  <c r="CF44" i="1"/>
  <c r="CF28" i="1"/>
  <c r="CF21" i="1"/>
  <c r="CF144" i="1"/>
  <c r="CF83" i="1"/>
  <c r="CF345" i="1"/>
  <c r="CF313" i="1"/>
  <c r="CF359" i="1"/>
  <c r="CF357" i="1"/>
  <c r="CF168" i="1"/>
  <c r="CF152" i="1"/>
  <c r="CF136" i="1"/>
  <c r="CF120" i="1"/>
  <c r="CF104" i="1"/>
  <c r="CF88" i="1"/>
  <c r="CF56" i="1"/>
  <c r="CF284" i="1"/>
  <c r="CF252" i="1"/>
  <c r="CF220" i="1"/>
  <c r="CF22" i="1"/>
  <c r="CF298" i="1"/>
  <c r="CF186" i="1"/>
  <c r="CF153" i="1"/>
  <c r="CF57" i="1"/>
  <c r="CF89" i="1"/>
  <c r="CF41" i="1"/>
  <c r="CF25" i="1"/>
  <c r="CF335" i="1"/>
  <c r="CF325" i="1"/>
  <c r="CF184" i="1"/>
  <c r="CF49" i="1"/>
  <c r="CF212" i="1"/>
  <c r="CF303" i="1"/>
  <c r="CF365" i="1"/>
  <c r="CF351" i="1"/>
  <c r="CF242" i="1"/>
  <c r="CF176" i="1"/>
  <c r="CF160" i="1"/>
  <c r="CF121" i="1"/>
  <c r="CF260" i="1"/>
  <c r="CF228" i="1"/>
  <c r="CF196" i="1"/>
  <c r="CF169" i="1"/>
  <c r="CF137" i="1"/>
  <c r="CF105" i="1"/>
  <c r="CF73" i="1"/>
  <c r="CF319" i="1"/>
  <c r="CF287" i="1"/>
  <c r="CF271" i="1"/>
  <c r="CF128" i="1"/>
  <c r="CF112" i="1"/>
  <c r="CF96" i="1"/>
  <c r="CF80" i="1"/>
  <c r="CF64" i="1"/>
  <c r="CF48" i="1"/>
  <c r="CF32" i="1"/>
  <c r="CF16" i="1"/>
  <c r="CF276" i="1"/>
  <c r="CF244" i="1"/>
  <c r="CF72" i="1"/>
  <c r="CF362" i="1"/>
  <c r="CF349" i="1"/>
  <c r="CF333" i="1"/>
  <c r="CF317" i="1"/>
  <c r="CF285" i="1"/>
  <c r="CF269" i="1"/>
  <c r="CF188" i="1"/>
  <c r="CF126" i="1"/>
  <c r="CF110" i="1"/>
  <c r="CF78" i="1"/>
  <c r="CF62" i="1"/>
  <c r="CF30" i="1"/>
  <c r="CF167" i="1"/>
  <c r="CF354" i="1"/>
  <c r="CF322" i="1"/>
  <c r="CF290" i="1"/>
  <c r="CF258" i="1"/>
  <c r="CF226" i="1"/>
  <c r="CF194" i="1"/>
  <c r="CF262" i="1"/>
  <c r="CF230" i="1"/>
  <c r="CF198" i="1"/>
  <c r="CF353" i="1"/>
  <c r="CF337" i="1"/>
  <c r="CF321" i="1"/>
  <c r="CF305" i="1"/>
  <c r="CF178" i="1"/>
  <c r="CF162" i="1"/>
  <c r="CF146" i="1"/>
  <c r="CF130" i="1"/>
  <c r="CF114" i="1"/>
  <c r="CF98" i="1"/>
  <c r="CF123" i="1"/>
  <c r="CF91" i="1"/>
  <c r="CF151" i="1"/>
  <c r="CF135" i="1"/>
  <c r="CF103" i="1"/>
  <c r="CF71" i="1"/>
  <c r="CF39" i="1"/>
  <c r="CF306" i="1"/>
  <c r="CF370" i="1"/>
  <c r="CF338" i="1"/>
  <c r="CF274" i="1"/>
  <c r="CF210" i="1"/>
  <c r="CF183" i="1"/>
  <c r="CF119" i="1"/>
  <c r="CF87" i="1"/>
  <c r="CF55" i="1"/>
  <c r="CF23" i="1"/>
  <c r="CF363" i="1"/>
  <c r="CF46" i="1"/>
  <c r="CF82" i="1"/>
  <c r="CF66" i="1"/>
  <c r="CF59" i="1"/>
  <c r="CF50" i="1"/>
  <c r="CF34" i="1"/>
  <c r="CF27" i="1"/>
  <c r="CF18" i="1"/>
  <c r="CF75" i="1"/>
  <c r="CF43" i="1"/>
  <c r="CF278" i="1"/>
  <c r="CF246" i="1"/>
  <c r="CF214" i="1"/>
  <c r="CF171" i="1"/>
  <c r="CF155" i="1"/>
  <c r="CF314" i="1"/>
  <c r="CF369" i="1"/>
  <c r="CF367" i="1"/>
  <c r="CF339" i="1"/>
  <c r="CF323" i="1"/>
  <c r="CF307" i="1"/>
  <c r="CF173" i="1"/>
  <c r="CF157" i="1"/>
  <c r="CF296" i="1"/>
  <c r="CF232" i="1"/>
  <c r="CF371" i="1"/>
  <c r="CF355" i="1"/>
  <c r="CF141" i="1"/>
  <c r="CF109" i="1"/>
  <c r="CF77" i="1"/>
  <c r="CF45" i="1"/>
  <c r="CF360" i="1"/>
  <c r="CF328" i="1"/>
  <c r="CF264" i="1"/>
  <c r="CF200" i="1"/>
  <c r="CF132" i="1"/>
  <c r="CF116" i="1"/>
  <c r="CF100" i="1"/>
  <c r="CF84" i="1"/>
  <c r="CF68" i="1"/>
  <c r="CF52" i="1"/>
  <c r="CF36" i="1"/>
  <c r="CF20" i="1"/>
  <c r="CF312" i="1"/>
  <c r="CF280" i="1"/>
  <c r="CF216" i="1"/>
  <c r="CF125" i="1"/>
  <c r="CF93" i="1"/>
  <c r="CF61" i="1"/>
  <c r="CF29" i="1"/>
  <c r="CF344" i="1"/>
  <c r="CF248" i="1"/>
  <c r="CF273" i="1"/>
  <c r="CF281" i="1"/>
  <c r="CF289" i="1"/>
  <c r="CF294" i="1"/>
  <c r="CF302" i="1"/>
  <c r="CF310" i="1"/>
  <c r="CF318" i="1"/>
  <c r="CF326" i="1"/>
  <c r="CF334" i="1"/>
  <c r="CF342" i="1"/>
  <c r="CF350" i="1"/>
  <c r="CF358" i="1"/>
  <c r="CF366" i="1"/>
  <c r="CF374" i="1"/>
  <c r="CF265" i="1"/>
  <c r="CF261" i="1"/>
  <c r="CF257" i="1"/>
  <c r="CF253" i="1"/>
  <c r="CF249" i="1"/>
  <c r="CF245" i="1"/>
  <c r="CF241" i="1"/>
  <c r="CF237" i="1"/>
  <c r="CF233" i="1"/>
  <c r="CF229" i="1"/>
  <c r="CF225" i="1"/>
  <c r="CF221" i="1"/>
  <c r="CF217" i="1"/>
  <c r="CF213" i="1"/>
  <c r="CF209" i="1"/>
  <c r="CF205" i="1"/>
  <c r="CF201" i="1"/>
  <c r="CF197" i="1"/>
  <c r="CF193" i="1"/>
  <c r="CF189" i="1"/>
  <c r="CF182" i="1"/>
  <c r="CF174" i="1"/>
  <c r="CF166" i="1"/>
  <c r="CF158" i="1"/>
  <c r="CF150" i="1"/>
  <c r="CF142" i="1"/>
  <c r="CF275" i="1"/>
  <c r="CF283" i="1"/>
  <c r="CF291" i="1"/>
  <c r="CF300" i="1"/>
  <c r="CF308" i="1"/>
  <c r="CF316" i="1"/>
  <c r="CF324" i="1"/>
  <c r="CF332" i="1"/>
  <c r="CF340" i="1"/>
  <c r="CF348" i="1"/>
  <c r="CF356" i="1"/>
  <c r="CF364" i="1"/>
  <c r="CF372" i="1"/>
  <c r="CF267" i="1"/>
  <c r="CF263" i="1"/>
  <c r="CF259" i="1"/>
  <c r="CF255" i="1"/>
  <c r="CF251" i="1"/>
  <c r="CF247" i="1"/>
  <c r="CF243" i="1"/>
  <c r="CF239" i="1"/>
  <c r="CF235" i="1"/>
  <c r="CF231" i="1"/>
  <c r="CF227" i="1"/>
  <c r="CF223" i="1"/>
  <c r="CF219" i="1"/>
  <c r="CF215" i="1"/>
  <c r="CF211" i="1"/>
  <c r="CF207" i="1"/>
  <c r="CF203" i="1"/>
  <c r="CF199" i="1"/>
  <c r="CF195" i="1"/>
  <c r="CF191" i="1"/>
  <c r="CF187" i="1"/>
  <c r="CF292" i="1"/>
  <c r="CF180" i="1"/>
  <c r="CF172" i="1"/>
  <c r="CF164" i="1"/>
  <c r="CF156" i="1"/>
  <c r="CF148" i="1"/>
  <c r="BZ6" i="1"/>
  <c r="CB6" i="1" s="1"/>
  <c r="CG6" i="1"/>
  <c r="AB17" i="1"/>
  <c r="AA17" i="1"/>
  <c r="Z17" i="1"/>
  <c r="ED4" i="1" l="1"/>
  <c r="ED6" i="1" s="1"/>
  <c r="EC4" i="1"/>
  <c r="EC6" i="1" s="1"/>
  <c r="EB4" i="1"/>
  <c r="DV4" i="1"/>
  <c r="DV5" i="1"/>
  <c r="DW3" i="1"/>
  <c r="DX3" i="1"/>
  <c r="DY3" i="1"/>
  <c r="EG4" i="1" l="1"/>
  <c r="EJ4" i="1" s="1"/>
  <c r="EF6" i="1"/>
  <c r="EF4" i="1"/>
  <c r="EH4" i="1" l="1"/>
  <c r="EI4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BH363" i="1" l="1"/>
  <c r="BI363" i="1" s="1"/>
  <c r="W14" i="1"/>
  <c r="AD46" i="1"/>
  <c r="AD45" i="1"/>
  <c r="F189" i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I27" i="1" s="1"/>
  <c r="C17" i="1"/>
  <c r="C18" i="1"/>
  <c r="C20" i="1"/>
  <c r="C21" i="1"/>
  <c r="C22" i="1"/>
  <c r="C192" i="1" s="1"/>
  <c r="C23" i="1"/>
  <c r="C24" i="1"/>
  <c r="C19" i="1" l="1"/>
  <c r="C108" i="1" s="1"/>
  <c r="J108" i="1" s="1"/>
  <c r="L108" i="1" s="1"/>
  <c r="C110" i="1"/>
  <c r="J110" i="1" s="1"/>
  <c r="L110" i="1" s="1"/>
  <c r="C191" i="1"/>
  <c r="C109" i="1"/>
  <c r="J109" i="1" s="1"/>
  <c r="L109" i="1" s="1"/>
  <c r="C190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C112" i="1"/>
  <c r="J112" i="1" s="1"/>
  <c r="L112" i="1" s="1"/>
  <c r="C193" i="1"/>
  <c r="C105" i="1"/>
  <c r="J105" i="1" s="1"/>
  <c r="L105" i="1" s="1"/>
  <c r="C186" i="1"/>
  <c r="C111" i="1"/>
  <c r="J111" i="1" s="1"/>
  <c r="L111" i="1" s="1"/>
  <c r="B82" i="1"/>
  <c r="C189" i="1" l="1"/>
  <c r="K110" i="1"/>
  <c r="K109" i="1"/>
  <c r="K106" i="1"/>
  <c r="K105" i="1"/>
  <c r="K107" i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144" i="1"/>
  <c r="B145" i="1" s="1"/>
  <c r="B151" i="1" l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F9" i="1"/>
  <c r="B96" i="1" s="1"/>
  <c r="E93" i="1"/>
  <c r="C94" i="1"/>
  <c r="D92" i="1"/>
  <c r="C92" i="1"/>
  <c r="G7" i="1"/>
  <c r="G6" i="1"/>
  <c r="A95" i="1" l="1"/>
  <c r="E95" i="1" s="1"/>
  <c r="E94" i="1"/>
  <c r="G8" i="1"/>
  <c r="E9" i="1"/>
  <c r="A96" i="1" s="1"/>
  <c r="D93" i="1"/>
  <c r="C93" i="1"/>
  <c r="F10" i="1"/>
  <c r="B97" i="1" s="1"/>
  <c r="D94" i="1"/>
  <c r="C95" i="1" l="1"/>
  <c r="D95" i="1"/>
  <c r="X4" i="1" a="1"/>
  <c r="X4" i="1" s="1"/>
  <c r="G9" i="1"/>
  <c r="E96" i="1"/>
  <c r="D96" i="1"/>
  <c r="D97" i="1"/>
  <c r="G11" i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DY5" i="1" l="1"/>
  <c r="DY8" i="1" s="1"/>
  <c r="AE16" i="1"/>
  <c r="DX5" i="1"/>
  <c r="DX8" i="1" s="1"/>
  <c r="AD16" i="1"/>
  <c r="DW5" i="1"/>
  <c r="DW8" i="1" s="1"/>
  <c r="AC16" i="1"/>
  <c r="B127" i="1"/>
  <c r="Z15" i="1"/>
  <c r="Z13" i="1" s="1"/>
  <c r="F127" i="1"/>
  <c r="F126" i="1"/>
  <c r="C117" i="1"/>
  <c r="AB15" i="1" s="1"/>
  <c r="B125" i="1"/>
  <c r="C116" i="1"/>
  <c r="AA15" i="1" s="1"/>
  <c r="F125" i="1"/>
  <c r="B120" i="1"/>
  <c r="B119" i="1"/>
  <c r="B126" i="1"/>
  <c r="DX4" i="1" l="1"/>
  <c r="DX10" i="1" s="1"/>
  <c r="AD15" i="1"/>
  <c r="DY4" i="1"/>
  <c r="DY10" i="1" s="1"/>
  <c r="AE15" i="1"/>
  <c r="DW4" i="1"/>
  <c r="DW10" i="1" s="1"/>
  <c r="AC15" i="1"/>
  <c r="DW11" i="1"/>
  <c r="EB10" i="1"/>
  <c r="DY11" i="1"/>
  <c r="ED10" i="1"/>
  <c r="DX11" i="1"/>
  <c r="EC10" i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X376" i="1" l="1"/>
  <c r="CE5" i="1"/>
  <c r="CE7" i="1"/>
  <c r="BX17" i="1"/>
  <c r="BX19" i="1"/>
  <c r="BX21" i="1"/>
  <c r="BX23" i="1"/>
  <c r="BX25" i="1"/>
  <c r="BX27" i="1"/>
  <c r="BX29" i="1"/>
  <c r="BX31" i="1"/>
  <c r="BX33" i="1"/>
  <c r="BX35" i="1"/>
  <c r="BX37" i="1"/>
  <c r="BX39" i="1"/>
  <c r="BX41" i="1"/>
  <c r="BX43" i="1"/>
  <c r="BX45" i="1"/>
  <c r="BX47" i="1"/>
  <c r="BX49" i="1"/>
  <c r="BX51" i="1"/>
  <c r="BX53" i="1"/>
  <c r="BX55" i="1"/>
  <c r="BX57" i="1"/>
  <c r="BX59" i="1"/>
  <c r="BX61" i="1"/>
  <c r="BX63" i="1"/>
  <c r="BX65" i="1"/>
  <c r="BX67" i="1"/>
  <c r="BX69" i="1"/>
  <c r="BX71" i="1"/>
  <c r="BX73" i="1"/>
  <c r="BX75" i="1"/>
  <c r="BX77" i="1"/>
  <c r="BX79" i="1"/>
  <c r="BX81" i="1"/>
  <c r="BX83" i="1"/>
  <c r="BX85" i="1"/>
  <c r="BX87" i="1"/>
  <c r="BX89" i="1"/>
  <c r="BX91" i="1"/>
  <c r="BX93" i="1"/>
  <c r="BX95" i="1"/>
  <c r="BX97" i="1"/>
  <c r="BX99" i="1"/>
  <c r="BX102" i="1"/>
  <c r="BX104" i="1"/>
  <c r="BX106" i="1"/>
  <c r="BX108" i="1"/>
  <c r="BX16" i="1"/>
  <c r="BX18" i="1"/>
  <c r="BX20" i="1"/>
  <c r="BX22" i="1"/>
  <c r="BX24" i="1"/>
  <c r="BX26" i="1"/>
  <c r="BX28" i="1"/>
  <c r="BX30" i="1"/>
  <c r="BX32" i="1"/>
  <c r="BX34" i="1"/>
  <c r="BX36" i="1"/>
  <c r="BX38" i="1"/>
  <c r="BX40" i="1"/>
  <c r="BX42" i="1"/>
  <c r="BX44" i="1"/>
  <c r="BX46" i="1"/>
  <c r="BX48" i="1"/>
  <c r="BX50" i="1"/>
  <c r="BX52" i="1"/>
  <c r="BX54" i="1"/>
  <c r="BX56" i="1"/>
  <c r="BX58" i="1"/>
  <c r="BX60" i="1"/>
  <c r="BX62" i="1"/>
  <c r="BX64" i="1"/>
  <c r="BX66" i="1"/>
  <c r="BX68" i="1"/>
  <c r="BX70" i="1"/>
  <c r="BX72" i="1"/>
  <c r="BX74" i="1"/>
  <c r="BX76" i="1"/>
  <c r="BX78" i="1"/>
  <c r="BX80" i="1"/>
  <c r="BX82" i="1"/>
  <c r="BX84" i="1"/>
  <c r="BX86" i="1"/>
  <c r="BX88" i="1"/>
  <c r="BX90" i="1"/>
  <c r="BX92" i="1"/>
  <c r="BX94" i="1"/>
  <c r="BX96" i="1"/>
  <c r="BX98" i="1"/>
  <c r="BX100" i="1"/>
  <c r="BX101" i="1"/>
  <c r="BX103" i="1"/>
  <c r="BX105" i="1"/>
  <c r="BX107" i="1"/>
  <c r="BX109" i="1"/>
  <c r="BX111" i="1"/>
  <c r="BX113" i="1"/>
  <c r="BX115" i="1"/>
  <c r="BX117" i="1"/>
  <c r="BX119" i="1"/>
  <c r="BX121" i="1"/>
  <c r="BX123" i="1"/>
  <c r="BX125" i="1"/>
  <c r="BX127" i="1"/>
  <c r="BX129" i="1"/>
  <c r="BX131" i="1"/>
  <c r="BX133" i="1"/>
  <c r="BX135" i="1"/>
  <c r="BX137" i="1"/>
  <c r="BX139" i="1"/>
  <c r="BX141" i="1"/>
  <c r="BX143" i="1"/>
  <c r="BX145" i="1"/>
  <c r="BX147" i="1"/>
  <c r="BX149" i="1"/>
  <c r="BX151" i="1"/>
  <c r="BX153" i="1"/>
  <c r="BX155" i="1"/>
  <c r="BX157" i="1"/>
  <c r="BX159" i="1"/>
  <c r="BX161" i="1"/>
  <c r="BX163" i="1"/>
  <c r="BX165" i="1"/>
  <c r="BX167" i="1"/>
  <c r="BX169" i="1"/>
  <c r="BX171" i="1"/>
  <c r="BX173" i="1"/>
  <c r="BX175" i="1"/>
  <c r="BX177" i="1"/>
  <c r="BX179" i="1"/>
  <c r="BX181" i="1"/>
  <c r="BX183" i="1"/>
  <c r="BX185" i="1"/>
  <c r="BX187" i="1"/>
  <c r="BX189" i="1"/>
  <c r="BX191" i="1"/>
  <c r="BX193" i="1"/>
  <c r="BX195" i="1"/>
  <c r="BX197" i="1"/>
  <c r="BX199" i="1"/>
  <c r="BX201" i="1"/>
  <c r="BX203" i="1"/>
  <c r="BX205" i="1"/>
  <c r="BX207" i="1"/>
  <c r="BX209" i="1"/>
  <c r="BX211" i="1"/>
  <c r="BX213" i="1"/>
  <c r="BX215" i="1"/>
  <c r="BX217" i="1"/>
  <c r="BX219" i="1"/>
  <c r="BX221" i="1"/>
  <c r="BX223" i="1"/>
  <c r="BX225" i="1"/>
  <c r="BX227" i="1"/>
  <c r="BX229" i="1"/>
  <c r="BX231" i="1"/>
  <c r="BX233" i="1"/>
  <c r="BX235" i="1"/>
  <c r="BX237" i="1"/>
  <c r="BX239" i="1"/>
  <c r="BX241" i="1"/>
  <c r="BX243" i="1"/>
  <c r="BX245" i="1"/>
  <c r="BX247" i="1"/>
  <c r="BX249" i="1"/>
  <c r="BX251" i="1"/>
  <c r="BX253" i="1"/>
  <c r="BX255" i="1"/>
  <c r="BX257" i="1"/>
  <c r="BX259" i="1"/>
  <c r="BX261" i="1"/>
  <c r="BX263" i="1"/>
  <c r="BX265" i="1"/>
  <c r="BX267" i="1"/>
  <c r="BX269" i="1"/>
  <c r="BX110" i="1"/>
  <c r="BX112" i="1"/>
  <c r="BX114" i="1"/>
  <c r="BX116" i="1"/>
  <c r="BX118" i="1"/>
  <c r="BX120" i="1"/>
  <c r="BX122" i="1"/>
  <c r="BX124" i="1"/>
  <c r="BX126" i="1"/>
  <c r="BX128" i="1"/>
  <c r="BX130" i="1"/>
  <c r="BX132" i="1"/>
  <c r="BX134" i="1"/>
  <c r="BX136" i="1"/>
  <c r="BX138" i="1"/>
  <c r="BX140" i="1"/>
  <c r="BX142" i="1"/>
  <c r="BX144" i="1"/>
  <c r="BX146" i="1"/>
  <c r="BX148" i="1"/>
  <c r="BX150" i="1"/>
  <c r="BX152" i="1"/>
  <c r="BX154" i="1"/>
  <c r="BX156" i="1"/>
  <c r="BX158" i="1"/>
  <c r="BX160" i="1"/>
  <c r="BX162" i="1"/>
  <c r="BX164" i="1"/>
  <c r="BX166" i="1"/>
  <c r="BX168" i="1"/>
  <c r="BX170" i="1"/>
  <c r="BX172" i="1"/>
  <c r="BX174" i="1"/>
  <c r="BX176" i="1"/>
  <c r="BX178" i="1"/>
  <c r="BX180" i="1"/>
  <c r="BX182" i="1"/>
  <c r="BX184" i="1"/>
  <c r="BX186" i="1"/>
  <c r="BX188" i="1"/>
  <c r="BX190" i="1"/>
  <c r="BX192" i="1"/>
  <c r="BX194" i="1"/>
  <c r="BX196" i="1"/>
  <c r="BX198" i="1"/>
  <c r="BX200" i="1"/>
  <c r="BX202" i="1"/>
  <c r="BX204" i="1"/>
  <c r="BX206" i="1"/>
  <c r="BX208" i="1"/>
  <c r="BX210" i="1"/>
  <c r="BX212" i="1"/>
  <c r="BX214" i="1"/>
  <c r="BX216" i="1"/>
  <c r="BX218" i="1"/>
  <c r="BX220" i="1"/>
  <c r="BX222" i="1"/>
  <c r="BX224" i="1"/>
  <c r="BX226" i="1"/>
  <c r="BX228" i="1"/>
  <c r="BX230" i="1"/>
  <c r="BX232" i="1"/>
  <c r="BX234" i="1"/>
  <c r="BX236" i="1"/>
  <c r="BX238" i="1"/>
  <c r="BX240" i="1"/>
  <c r="BX242" i="1"/>
  <c r="BX244" i="1"/>
  <c r="BX246" i="1"/>
  <c r="BX248" i="1"/>
  <c r="BX250" i="1"/>
  <c r="BX252" i="1"/>
  <c r="BX254" i="1"/>
  <c r="BX256" i="1"/>
  <c r="BX258" i="1"/>
  <c r="BX260" i="1"/>
  <c r="BX262" i="1"/>
  <c r="BX264" i="1"/>
  <c r="BX266" i="1"/>
  <c r="BX268" i="1"/>
  <c r="BX270" i="1"/>
  <c r="BX271" i="1"/>
  <c r="BX272" i="1"/>
  <c r="BX274" i="1"/>
  <c r="BX276" i="1"/>
  <c r="BX278" i="1"/>
  <c r="BX280" i="1"/>
  <c r="BX282" i="1"/>
  <c r="BX284" i="1"/>
  <c r="BX286" i="1"/>
  <c r="BX288" i="1"/>
  <c r="BX290" i="1"/>
  <c r="BX292" i="1"/>
  <c r="BX294" i="1"/>
  <c r="BX296" i="1"/>
  <c r="BX298" i="1"/>
  <c r="BX300" i="1"/>
  <c r="BX302" i="1"/>
  <c r="BX304" i="1"/>
  <c r="BX306" i="1"/>
  <c r="BX308" i="1"/>
  <c r="BX310" i="1"/>
  <c r="BX312" i="1"/>
  <c r="BX314" i="1"/>
  <c r="BX316" i="1"/>
  <c r="BX318" i="1"/>
  <c r="BX320" i="1"/>
  <c r="BX322" i="1"/>
  <c r="BX324" i="1"/>
  <c r="BX326" i="1"/>
  <c r="BX328" i="1"/>
  <c r="BX330" i="1"/>
  <c r="BX332" i="1"/>
  <c r="BX334" i="1"/>
  <c r="BX336" i="1"/>
  <c r="BX338" i="1"/>
  <c r="BX340" i="1"/>
  <c r="BX342" i="1"/>
  <c r="BX344" i="1"/>
  <c r="BX346" i="1"/>
  <c r="BX348" i="1"/>
  <c r="BX350" i="1"/>
  <c r="BX352" i="1"/>
  <c r="BX354" i="1"/>
  <c r="BX356" i="1"/>
  <c r="BX358" i="1"/>
  <c r="BX360" i="1"/>
  <c r="BX362" i="1"/>
  <c r="BX364" i="1"/>
  <c r="BX366" i="1"/>
  <c r="BX368" i="1"/>
  <c r="BX370" i="1"/>
  <c r="BX372" i="1"/>
  <c r="BX374" i="1"/>
  <c r="BX273" i="1"/>
  <c r="BX275" i="1"/>
  <c r="BX277" i="1"/>
  <c r="BX279" i="1"/>
  <c r="BX281" i="1"/>
  <c r="BX283" i="1"/>
  <c r="BX285" i="1"/>
  <c r="BX287" i="1"/>
  <c r="BX289" i="1"/>
  <c r="BX291" i="1"/>
  <c r="BX293" i="1"/>
  <c r="BX295" i="1"/>
  <c r="BX297" i="1"/>
  <c r="BX299" i="1"/>
  <c r="BX301" i="1"/>
  <c r="BX303" i="1"/>
  <c r="BX305" i="1"/>
  <c r="BX307" i="1"/>
  <c r="BX311" i="1"/>
  <c r="BX313" i="1"/>
  <c r="BX315" i="1"/>
  <c r="BX317" i="1"/>
  <c r="BX319" i="1"/>
  <c r="BX323" i="1"/>
  <c r="BX325" i="1"/>
  <c r="BX327" i="1"/>
  <c r="BX329" i="1"/>
  <c r="BX333" i="1"/>
  <c r="BX337" i="1"/>
  <c r="BX343" i="1"/>
  <c r="BX345" i="1"/>
  <c r="BX347" i="1"/>
  <c r="BX351" i="1"/>
  <c r="BX355" i="1"/>
  <c r="BX359" i="1"/>
  <c r="BX365" i="1"/>
  <c r="BX369" i="1"/>
  <c r="BX371" i="1"/>
  <c r="BX375" i="1"/>
  <c r="BX309" i="1"/>
  <c r="BX321" i="1"/>
  <c r="BX331" i="1"/>
  <c r="BX335" i="1"/>
  <c r="BX339" i="1"/>
  <c r="BX341" i="1"/>
  <c r="BX349" i="1"/>
  <c r="BX353" i="1"/>
  <c r="BX357" i="1"/>
  <c r="BX361" i="1"/>
  <c r="BX363" i="1"/>
  <c r="BX367" i="1"/>
  <c r="BX373" i="1"/>
  <c r="BX15" i="1"/>
  <c r="DW14" i="1"/>
  <c r="DX18" i="1" s="1"/>
  <c r="EG10" i="1"/>
  <c r="EH10" i="1" s="1"/>
  <c r="EC12" i="1"/>
  <c r="EF10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D43" i="1"/>
  <c r="E54" i="1" s="1"/>
  <c r="R71" i="1" l="1"/>
  <c r="R69" i="1"/>
  <c r="BY376" i="1"/>
  <c r="BZ376" i="1"/>
  <c r="BZ15" i="1"/>
  <c r="BZ367" i="1"/>
  <c r="BZ361" i="1"/>
  <c r="BZ353" i="1"/>
  <c r="BZ341" i="1"/>
  <c r="BZ335" i="1"/>
  <c r="BZ321" i="1"/>
  <c r="BZ375" i="1"/>
  <c r="BZ369" i="1"/>
  <c r="BZ359" i="1"/>
  <c r="BZ351" i="1"/>
  <c r="BZ345" i="1"/>
  <c r="BZ337" i="1"/>
  <c r="BZ329" i="1"/>
  <c r="BZ325" i="1"/>
  <c r="BZ319" i="1"/>
  <c r="BZ315" i="1"/>
  <c r="BZ311" i="1"/>
  <c r="BZ305" i="1"/>
  <c r="BZ301" i="1"/>
  <c r="BZ297" i="1"/>
  <c r="BZ293" i="1"/>
  <c r="BZ289" i="1"/>
  <c r="BZ285" i="1"/>
  <c r="BZ281" i="1"/>
  <c r="BZ277" i="1"/>
  <c r="BZ273" i="1"/>
  <c r="BZ372" i="1"/>
  <c r="BZ368" i="1"/>
  <c r="BZ364" i="1"/>
  <c r="BZ360" i="1"/>
  <c r="BZ356" i="1"/>
  <c r="BZ352" i="1"/>
  <c r="BZ348" i="1"/>
  <c r="BZ344" i="1"/>
  <c r="BZ340" i="1"/>
  <c r="BZ336" i="1"/>
  <c r="BZ332" i="1"/>
  <c r="BZ328" i="1"/>
  <c r="BZ324" i="1"/>
  <c r="BZ320" i="1"/>
  <c r="BZ316" i="1"/>
  <c r="BZ312" i="1"/>
  <c r="BZ308" i="1"/>
  <c r="BZ304" i="1"/>
  <c r="BZ300" i="1"/>
  <c r="BZ296" i="1"/>
  <c r="BZ292" i="1"/>
  <c r="BZ288" i="1"/>
  <c r="BZ284" i="1"/>
  <c r="BZ280" i="1"/>
  <c r="BZ276" i="1"/>
  <c r="BZ272" i="1"/>
  <c r="BZ270" i="1"/>
  <c r="BZ266" i="1"/>
  <c r="BZ262" i="1"/>
  <c r="BZ258" i="1"/>
  <c r="BZ254" i="1"/>
  <c r="BZ250" i="1"/>
  <c r="BZ246" i="1"/>
  <c r="BZ242" i="1"/>
  <c r="BZ238" i="1"/>
  <c r="BZ234" i="1"/>
  <c r="BZ230" i="1"/>
  <c r="BZ226" i="1"/>
  <c r="BZ222" i="1"/>
  <c r="BZ218" i="1"/>
  <c r="BZ214" i="1"/>
  <c r="BZ210" i="1"/>
  <c r="BZ206" i="1"/>
  <c r="BZ202" i="1"/>
  <c r="BZ198" i="1"/>
  <c r="BZ194" i="1"/>
  <c r="BZ190" i="1"/>
  <c r="BZ186" i="1"/>
  <c r="BZ182" i="1"/>
  <c r="BZ178" i="1"/>
  <c r="BZ174" i="1"/>
  <c r="BZ170" i="1"/>
  <c r="BZ166" i="1"/>
  <c r="BZ162" i="1"/>
  <c r="BZ158" i="1"/>
  <c r="BZ154" i="1"/>
  <c r="BZ150" i="1"/>
  <c r="BZ146" i="1"/>
  <c r="BZ142" i="1"/>
  <c r="BZ138" i="1"/>
  <c r="BZ134" i="1"/>
  <c r="BZ130" i="1"/>
  <c r="BZ126" i="1"/>
  <c r="BZ122" i="1"/>
  <c r="BZ118" i="1"/>
  <c r="BZ114" i="1"/>
  <c r="BZ110" i="1"/>
  <c r="BZ267" i="1"/>
  <c r="BZ263" i="1"/>
  <c r="BZ259" i="1"/>
  <c r="BZ255" i="1"/>
  <c r="BZ251" i="1"/>
  <c r="BZ247" i="1"/>
  <c r="BZ243" i="1"/>
  <c r="BZ239" i="1"/>
  <c r="BZ235" i="1"/>
  <c r="BZ231" i="1"/>
  <c r="BZ227" i="1"/>
  <c r="BZ223" i="1"/>
  <c r="BZ219" i="1"/>
  <c r="BZ215" i="1"/>
  <c r="BZ211" i="1"/>
  <c r="BZ207" i="1"/>
  <c r="BZ203" i="1"/>
  <c r="BZ199" i="1"/>
  <c r="BZ195" i="1"/>
  <c r="BZ191" i="1"/>
  <c r="BZ187" i="1"/>
  <c r="BZ183" i="1"/>
  <c r="BZ179" i="1"/>
  <c r="BZ175" i="1"/>
  <c r="BZ171" i="1"/>
  <c r="BZ167" i="1"/>
  <c r="BZ163" i="1"/>
  <c r="BZ159" i="1"/>
  <c r="BZ155" i="1"/>
  <c r="BZ151" i="1"/>
  <c r="BZ147" i="1"/>
  <c r="BZ143" i="1"/>
  <c r="BZ139" i="1"/>
  <c r="BZ135" i="1"/>
  <c r="BZ131" i="1"/>
  <c r="BZ127" i="1"/>
  <c r="BZ123" i="1"/>
  <c r="BZ119" i="1"/>
  <c r="BZ115" i="1"/>
  <c r="BZ111" i="1"/>
  <c r="BZ107" i="1"/>
  <c r="BZ103" i="1"/>
  <c r="BZ100" i="1"/>
  <c r="BZ96" i="1"/>
  <c r="BZ92" i="1"/>
  <c r="BZ88" i="1"/>
  <c r="BZ84" i="1"/>
  <c r="BZ80" i="1"/>
  <c r="BZ76" i="1"/>
  <c r="BZ72" i="1"/>
  <c r="BZ68" i="1"/>
  <c r="BZ64" i="1"/>
  <c r="BZ60" i="1"/>
  <c r="BZ56" i="1"/>
  <c r="BZ52" i="1"/>
  <c r="BZ48" i="1"/>
  <c r="BZ44" i="1"/>
  <c r="BZ40" i="1"/>
  <c r="BZ36" i="1"/>
  <c r="BZ32" i="1"/>
  <c r="BZ28" i="1"/>
  <c r="BZ24" i="1"/>
  <c r="BZ20" i="1"/>
  <c r="BZ16" i="1"/>
  <c r="BZ106" i="1"/>
  <c r="BZ102" i="1"/>
  <c r="BZ97" i="1"/>
  <c r="BZ93" i="1"/>
  <c r="BZ89" i="1"/>
  <c r="BZ85" i="1"/>
  <c r="BZ81" i="1"/>
  <c r="BZ77" i="1"/>
  <c r="BZ73" i="1"/>
  <c r="BZ69" i="1"/>
  <c r="BZ65" i="1"/>
  <c r="BZ61" i="1"/>
  <c r="BZ57" i="1"/>
  <c r="BZ53" i="1"/>
  <c r="BZ49" i="1"/>
  <c r="BZ45" i="1"/>
  <c r="BZ41" i="1"/>
  <c r="BZ37" i="1"/>
  <c r="BZ33" i="1"/>
  <c r="BZ29" i="1"/>
  <c r="BZ25" i="1"/>
  <c r="BZ21" i="1"/>
  <c r="BZ17" i="1"/>
  <c r="BZ373" i="1"/>
  <c r="BZ363" i="1"/>
  <c r="BZ357" i="1"/>
  <c r="BZ349" i="1"/>
  <c r="BZ339" i="1"/>
  <c r="BZ331" i="1"/>
  <c r="BZ309" i="1"/>
  <c r="BZ371" i="1"/>
  <c r="BZ365" i="1"/>
  <c r="BZ355" i="1"/>
  <c r="BZ347" i="1"/>
  <c r="BZ343" i="1"/>
  <c r="BZ333" i="1"/>
  <c r="BZ327" i="1"/>
  <c r="BZ323" i="1"/>
  <c r="BZ317" i="1"/>
  <c r="BZ313" i="1"/>
  <c r="BZ307" i="1"/>
  <c r="BZ303" i="1"/>
  <c r="BZ299" i="1"/>
  <c r="BZ295" i="1"/>
  <c r="BZ291" i="1"/>
  <c r="BZ287" i="1"/>
  <c r="BZ283" i="1"/>
  <c r="BZ279" i="1"/>
  <c r="BZ275" i="1"/>
  <c r="BZ374" i="1"/>
  <c r="BZ370" i="1"/>
  <c r="BZ366" i="1"/>
  <c r="BZ362" i="1"/>
  <c r="BZ358" i="1"/>
  <c r="BZ354" i="1"/>
  <c r="BZ350" i="1"/>
  <c r="BZ346" i="1"/>
  <c r="BZ342" i="1"/>
  <c r="BZ338" i="1"/>
  <c r="BZ334" i="1"/>
  <c r="BZ330" i="1"/>
  <c r="BZ326" i="1"/>
  <c r="BZ322" i="1"/>
  <c r="BZ318" i="1"/>
  <c r="BZ314" i="1"/>
  <c r="BZ310" i="1"/>
  <c r="BZ306" i="1"/>
  <c r="BZ302" i="1"/>
  <c r="BZ298" i="1"/>
  <c r="BZ294" i="1"/>
  <c r="BZ290" i="1"/>
  <c r="BZ286" i="1"/>
  <c r="BZ282" i="1"/>
  <c r="BZ278" i="1"/>
  <c r="BZ274" i="1"/>
  <c r="BZ271" i="1"/>
  <c r="BZ268" i="1"/>
  <c r="BZ264" i="1"/>
  <c r="BZ260" i="1"/>
  <c r="BZ256" i="1"/>
  <c r="BZ252" i="1"/>
  <c r="BZ248" i="1"/>
  <c r="BZ244" i="1"/>
  <c r="BZ240" i="1"/>
  <c r="BZ236" i="1"/>
  <c r="BZ232" i="1"/>
  <c r="BZ228" i="1"/>
  <c r="BZ224" i="1"/>
  <c r="BZ220" i="1"/>
  <c r="BZ216" i="1"/>
  <c r="BZ212" i="1"/>
  <c r="BZ208" i="1"/>
  <c r="BZ204" i="1"/>
  <c r="BZ200" i="1"/>
  <c r="BZ196" i="1"/>
  <c r="BZ192" i="1"/>
  <c r="BZ188" i="1"/>
  <c r="BZ184" i="1"/>
  <c r="BZ180" i="1"/>
  <c r="BZ176" i="1"/>
  <c r="BZ172" i="1"/>
  <c r="BZ168" i="1"/>
  <c r="BZ164" i="1"/>
  <c r="BZ160" i="1"/>
  <c r="BZ156" i="1"/>
  <c r="BZ152" i="1"/>
  <c r="BZ148" i="1"/>
  <c r="BZ144" i="1"/>
  <c r="BZ140" i="1"/>
  <c r="BZ136" i="1"/>
  <c r="BZ132" i="1"/>
  <c r="BZ128" i="1"/>
  <c r="BZ124" i="1"/>
  <c r="BZ120" i="1"/>
  <c r="BZ116" i="1"/>
  <c r="BZ112" i="1"/>
  <c r="BZ269" i="1"/>
  <c r="BZ265" i="1"/>
  <c r="BZ261" i="1"/>
  <c r="BZ257" i="1"/>
  <c r="BZ253" i="1"/>
  <c r="BZ249" i="1"/>
  <c r="BZ245" i="1"/>
  <c r="BZ241" i="1"/>
  <c r="BZ237" i="1"/>
  <c r="BZ233" i="1"/>
  <c r="BZ229" i="1"/>
  <c r="BZ225" i="1"/>
  <c r="BZ221" i="1"/>
  <c r="BZ217" i="1"/>
  <c r="BZ213" i="1"/>
  <c r="BZ209" i="1"/>
  <c r="BZ205" i="1"/>
  <c r="BZ201" i="1"/>
  <c r="BZ197" i="1"/>
  <c r="BZ193" i="1"/>
  <c r="BZ189" i="1"/>
  <c r="BZ185" i="1"/>
  <c r="BZ181" i="1"/>
  <c r="BZ177" i="1"/>
  <c r="BZ173" i="1"/>
  <c r="BZ169" i="1"/>
  <c r="BZ165" i="1"/>
  <c r="BZ161" i="1"/>
  <c r="BZ157" i="1"/>
  <c r="BZ153" i="1"/>
  <c r="BZ149" i="1"/>
  <c r="BZ145" i="1"/>
  <c r="BZ141" i="1"/>
  <c r="BZ137" i="1"/>
  <c r="BZ133" i="1"/>
  <c r="BZ129" i="1"/>
  <c r="BZ125" i="1"/>
  <c r="BZ121" i="1"/>
  <c r="BZ117" i="1"/>
  <c r="BZ113" i="1"/>
  <c r="BZ109" i="1"/>
  <c r="BZ105" i="1"/>
  <c r="BZ101" i="1"/>
  <c r="BZ98" i="1"/>
  <c r="BZ94" i="1"/>
  <c r="BZ90" i="1"/>
  <c r="BZ86" i="1"/>
  <c r="BZ82" i="1"/>
  <c r="BZ78" i="1"/>
  <c r="BZ74" i="1"/>
  <c r="BZ70" i="1"/>
  <c r="BZ66" i="1"/>
  <c r="BZ62" i="1"/>
  <c r="BZ58" i="1"/>
  <c r="BZ54" i="1"/>
  <c r="BZ50" i="1"/>
  <c r="BZ46" i="1"/>
  <c r="BZ42" i="1"/>
  <c r="BZ38" i="1"/>
  <c r="BZ34" i="1"/>
  <c r="BZ30" i="1"/>
  <c r="BZ26" i="1"/>
  <c r="BZ22" i="1"/>
  <c r="BZ18" i="1"/>
  <c r="BZ108" i="1"/>
  <c r="BZ104" i="1"/>
  <c r="BZ99" i="1"/>
  <c r="BZ95" i="1"/>
  <c r="BZ91" i="1"/>
  <c r="BZ87" i="1"/>
  <c r="BZ83" i="1"/>
  <c r="BZ79" i="1"/>
  <c r="BZ75" i="1"/>
  <c r="BZ71" i="1"/>
  <c r="BZ67" i="1"/>
  <c r="BZ63" i="1"/>
  <c r="BZ59" i="1"/>
  <c r="BZ55" i="1"/>
  <c r="BZ51" i="1"/>
  <c r="BZ47" i="1"/>
  <c r="BZ43" i="1"/>
  <c r="BZ39" i="1"/>
  <c r="BZ35" i="1"/>
  <c r="BZ31" i="1"/>
  <c r="BZ27" i="1"/>
  <c r="BZ23" i="1"/>
  <c r="BZ19" i="1"/>
  <c r="CF5" i="1"/>
  <c r="CF7" i="1"/>
  <c r="BY16" i="1"/>
  <c r="BY18" i="1"/>
  <c r="BY20" i="1"/>
  <c r="BY22" i="1"/>
  <c r="BY24" i="1"/>
  <c r="BY26" i="1"/>
  <c r="BY28" i="1"/>
  <c r="BY30" i="1"/>
  <c r="BY32" i="1"/>
  <c r="BY34" i="1"/>
  <c r="BY36" i="1"/>
  <c r="BY38" i="1"/>
  <c r="BY40" i="1"/>
  <c r="BY42" i="1"/>
  <c r="BY44" i="1"/>
  <c r="BY46" i="1"/>
  <c r="BY48" i="1"/>
  <c r="BY50" i="1"/>
  <c r="BY52" i="1"/>
  <c r="BY54" i="1"/>
  <c r="BY56" i="1"/>
  <c r="BY58" i="1"/>
  <c r="BY60" i="1"/>
  <c r="BY62" i="1"/>
  <c r="BY64" i="1"/>
  <c r="BY66" i="1"/>
  <c r="BY68" i="1"/>
  <c r="BY70" i="1"/>
  <c r="BY72" i="1"/>
  <c r="BY74" i="1"/>
  <c r="BY76" i="1"/>
  <c r="BY78" i="1"/>
  <c r="BY80" i="1"/>
  <c r="BY82" i="1"/>
  <c r="BY84" i="1"/>
  <c r="BY86" i="1"/>
  <c r="BY88" i="1"/>
  <c r="BY90" i="1"/>
  <c r="BY92" i="1"/>
  <c r="BY94" i="1"/>
  <c r="BY96" i="1"/>
  <c r="BY98" i="1"/>
  <c r="BY100" i="1"/>
  <c r="BY101" i="1"/>
  <c r="BY103" i="1"/>
  <c r="BY105" i="1"/>
  <c r="BY107" i="1"/>
  <c r="BY17" i="1"/>
  <c r="BY19" i="1"/>
  <c r="BY21" i="1"/>
  <c r="BY23" i="1"/>
  <c r="BY25" i="1"/>
  <c r="BY27" i="1"/>
  <c r="BY29" i="1"/>
  <c r="BY31" i="1"/>
  <c r="BY33" i="1"/>
  <c r="BY35" i="1"/>
  <c r="BY37" i="1"/>
  <c r="BY39" i="1"/>
  <c r="BY41" i="1"/>
  <c r="BY43" i="1"/>
  <c r="BY45" i="1"/>
  <c r="BY47" i="1"/>
  <c r="BY49" i="1"/>
  <c r="BY51" i="1"/>
  <c r="BY53" i="1"/>
  <c r="BY55" i="1"/>
  <c r="BY57" i="1"/>
  <c r="BY59" i="1"/>
  <c r="BY61" i="1"/>
  <c r="BY63" i="1"/>
  <c r="BY65" i="1"/>
  <c r="BY67" i="1"/>
  <c r="BY69" i="1"/>
  <c r="BY71" i="1"/>
  <c r="BY73" i="1"/>
  <c r="BY75" i="1"/>
  <c r="BY77" i="1"/>
  <c r="BY79" i="1"/>
  <c r="BY81" i="1"/>
  <c r="BY83" i="1"/>
  <c r="BY85" i="1"/>
  <c r="BY87" i="1"/>
  <c r="BY89" i="1"/>
  <c r="BY91" i="1"/>
  <c r="BY93" i="1"/>
  <c r="BY95" i="1"/>
  <c r="BY97" i="1"/>
  <c r="BY99" i="1"/>
  <c r="BY102" i="1"/>
  <c r="BY104" i="1"/>
  <c r="BY106" i="1"/>
  <c r="BY108" i="1"/>
  <c r="BY110" i="1"/>
  <c r="BY112" i="1"/>
  <c r="BY114" i="1"/>
  <c r="BY116" i="1"/>
  <c r="BY118" i="1"/>
  <c r="BY120" i="1"/>
  <c r="BY122" i="1"/>
  <c r="BY124" i="1"/>
  <c r="BY126" i="1"/>
  <c r="BY128" i="1"/>
  <c r="BY130" i="1"/>
  <c r="BY132" i="1"/>
  <c r="BY134" i="1"/>
  <c r="BY136" i="1"/>
  <c r="BY138" i="1"/>
  <c r="BY140" i="1"/>
  <c r="BY142" i="1"/>
  <c r="BY144" i="1"/>
  <c r="BY146" i="1"/>
  <c r="BY148" i="1"/>
  <c r="BY150" i="1"/>
  <c r="BY152" i="1"/>
  <c r="BY154" i="1"/>
  <c r="BY156" i="1"/>
  <c r="BY158" i="1"/>
  <c r="BY160" i="1"/>
  <c r="BY162" i="1"/>
  <c r="BY164" i="1"/>
  <c r="BY166" i="1"/>
  <c r="BY168" i="1"/>
  <c r="BY170" i="1"/>
  <c r="BY172" i="1"/>
  <c r="BY174" i="1"/>
  <c r="BY176" i="1"/>
  <c r="BY178" i="1"/>
  <c r="BY180" i="1"/>
  <c r="BY182" i="1"/>
  <c r="BY184" i="1"/>
  <c r="BY186" i="1"/>
  <c r="BY188" i="1"/>
  <c r="BY190" i="1"/>
  <c r="BY192" i="1"/>
  <c r="BY194" i="1"/>
  <c r="BY196" i="1"/>
  <c r="BY198" i="1"/>
  <c r="BY200" i="1"/>
  <c r="BY202" i="1"/>
  <c r="BY204" i="1"/>
  <c r="BY206" i="1"/>
  <c r="BY208" i="1"/>
  <c r="BY210" i="1"/>
  <c r="BY212" i="1"/>
  <c r="BY214" i="1"/>
  <c r="BY216" i="1"/>
  <c r="BY218" i="1"/>
  <c r="BY220" i="1"/>
  <c r="BY222" i="1"/>
  <c r="BY224" i="1"/>
  <c r="BY226" i="1"/>
  <c r="BY228" i="1"/>
  <c r="BY230" i="1"/>
  <c r="BY232" i="1"/>
  <c r="BY234" i="1"/>
  <c r="BY236" i="1"/>
  <c r="BY238" i="1"/>
  <c r="BY240" i="1"/>
  <c r="BY242" i="1"/>
  <c r="BY244" i="1"/>
  <c r="BY246" i="1"/>
  <c r="BY248" i="1"/>
  <c r="BY250" i="1"/>
  <c r="BY252" i="1"/>
  <c r="BY254" i="1"/>
  <c r="BY256" i="1"/>
  <c r="BY258" i="1"/>
  <c r="BY260" i="1"/>
  <c r="BY262" i="1"/>
  <c r="BY264" i="1"/>
  <c r="BY266" i="1"/>
  <c r="BY268" i="1"/>
  <c r="BY270" i="1"/>
  <c r="BY109" i="1"/>
  <c r="BY111" i="1"/>
  <c r="BY113" i="1"/>
  <c r="BY115" i="1"/>
  <c r="BY117" i="1"/>
  <c r="BY119" i="1"/>
  <c r="BY121" i="1"/>
  <c r="BY123" i="1"/>
  <c r="BY125" i="1"/>
  <c r="BY127" i="1"/>
  <c r="BY129" i="1"/>
  <c r="BY131" i="1"/>
  <c r="BY133" i="1"/>
  <c r="BY135" i="1"/>
  <c r="BY137" i="1"/>
  <c r="BY139" i="1"/>
  <c r="BY141" i="1"/>
  <c r="BY143" i="1"/>
  <c r="BY145" i="1"/>
  <c r="BY147" i="1"/>
  <c r="BY149" i="1"/>
  <c r="BY151" i="1"/>
  <c r="BY153" i="1"/>
  <c r="BY155" i="1"/>
  <c r="BY157" i="1"/>
  <c r="BY159" i="1"/>
  <c r="BY161" i="1"/>
  <c r="BY163" i="1"/>
  <c r="BY165" i="1"/>
  <c r="BY167" i="1"/>
  <c r="BY169" i="1"/>
  <c r="BY171" i="1"/>
  <c r="BY173" i="1"/>
  <c r="BY175" i="1"/>
  <c r="BY177" i="1"/>
  <c r="BY179" i="1"/>
  <c r="BY181" i="1"/>
  <c r="BY183" i="1"/>
  <c r="BY185" i="1"/>
  <c r="BY187" i="1"/>
  <c r="BY189" i="1"/>
  <c r="BY191" i="1"/>
  <c r="BY193" i="1"/>
  <c r="BY195" i="1"/>
  <c r="BY197" i="1"/>
  <c r="BY199" i="1"/>
  <c r="BY201" i="1"/>
  <c r="BY203" i="1"/>
  <c r="BY205" i="1"/>
  <c r="BY207" i="1"/>
  <c r="BY209" i="1"/>
  <c r="BY211" i="1"/>
  <c r="BY213" i="1"/>
  <c r="BY215" i="1"/>
  <c r="BY217" i="1"/>
  <c r="BY219" i="1"/>
  <c r="BY221" i="1"/>
  <c r="BY223" i="1"/>
  <c r="BY225" i="1"/>
  <c r="BY227" i="1"/>
  <c r="BY229" i="1"/>
  <c r="BY231" i="1"/>
  <c r="BY233" i="1"/>
  <c r="BY235" i="1"/>
  <c r="BY237" i="1"/>
  <c r="BY239" i="1"/>
  <c r="BY241" i="1"/>
  <c r="BY243" i="1"/>
  <c r="BY245" i="1"/>
  <c r="BY247" i="1"/>
  <c r="BY249" i="1"/>
  <c r="BY251" i="1"/>
  <c r="BY253" i="1"/>
  <c r="BY255" i="1"/>
  <c r="BY257" i="1"/>
  <c r="BY259" i="1"/>
  <c r="BY261" i="1"/>
  <c r="BY263" i="1"/>
  <c r="BY265" i="1"/>
  <c r="BY267" i="1"/>
  <c r="BY269" i="1"/>
  <c r="BY271" i="1"/>
  <c r="BY273" i="1"/>
  <c r="BY275" i="1"/>
  <c r="BY277" i="1"/>
  <c r="BY279" i="1"/>
  <c r="BY281" i="1"/>
  <c r="BY283" i="1"/>
  <c r="BY285" i="1"/>
  <c r="BY287" i="1"/>
  <c r="BY289" i="1"/>
  <c r="BY291" i="1"/>
  <c r="BY293" i="1"/>
  <c r="BY295" i="1"/>
  <c r="BY297" i="1"/>
  <c r="BY299" i="1"/>
  <c r="BY301" i="1"/>
  <c r="BY303" i="1"/>
  <c r="BY305" i="1"/>
  <c r="BY307" i="1"/>
  <c r="BY309" i="1"/>
  <c r="BY311" i="1"/>
  <c r="BY313" i="1"/>
  <c r="BY315" i="1"/>
  <c r="BY317" i="1"/>
  <c r="BY319" i="1"/>
  <c r="BY321" i="1"/>
  <c r="BY323" i="1"/>
  <c r="BY325" i="1"/>
  <c r="BY327" i="1"/>
  <c r="BY329" i="1"/>
  <c r="BY331" i="1"/>
  <c r="BY333" i="1"/>
  <c r="BY335" i="1"/>
  <c r="BY337" i="1"/>
  <c r="BY339" i="1"/>
  <c r="BY341" i="1"/>
  <c r="BY343" i="1"/>
  <c r="BY345" i="1"/>
  <c r="BY347" i="1"/>
  <c r="BY349" i="1"/>
  <c r="BY351" i="1"/>
  <c r="BY353" i="1"/>
  <c r="BY355" i="1"/>
  <c r="BY357" i="1"/>
  <c r="BY359" i="1"/>
  <c r="BY361" i="1"/>
  <c r="BY363" i="1"/>
  <c r="BY365" i="1"/>
  <c r="BY367" i="1"/>
  <c r="BY369" i="1"/>
  <c r="BY371" i="1"/>
  <c r="BY373" i="1"/>
  <c r="BY375" i="1"/>
  <c r="BY272" i="1"/>
  <c r="BY274" i="1"/>
  <c r="BY276" i="1"/>
  <c r="BY278" i="1"/>
  <c r="BY280" i="1"/>
  <c r="BY282" i="1"/>
  <c r="BY284" i="1"/>
  <c r="BY286" i="1"/>
  <c r="BY288" i="1"/>
  <c r="BY290" i="1"/>
  <c r="BY292" i="1"/>
  <c r="BY294" i="1"/>
  <c r="BY296" i="1"/>
  <c r="BY298" i="1"/>
  <c r="BY300" i="1"/>
  <c r="BY302" i="1"/>
  <c r="BY304" i="1"/>
  <c r="BY306" i="1"/>
  <c r="BY308" i="1"/>
  <c r="BY310" i="1"/>
  <c r="BY312" i="1"/>
  <c r="BY314" i="1"/>
  <c r="BY316" i="1"/>
  <c r="BY318" i="1"/>
  <c r="BY320" i="1"/>
  <c r="BY322" i="1"/>
  <c r="BY324" i="1"/>
  <c r="BY330" i="1"/>
  <c r="BY334" i="1"/>
  <c r="BY338" i="1"/>
  <c r="BY340" i="1"/>
  <c r="BY344" i="1"/>
  <c r="BY346" i="1"/>
  <c r="BY348" i="1"/>
  <c r="BY352" i="1"/>
  <c r="BY356" i="1"/>
  <c r="BY360" i="1"/>
  <c r="BY366" i="1"/>
  <c r="BY372" i="1"/>
  <c r="BY326" i="1"/>
  <c r="BY328" i="1"/>
  <c r="BY332" i="1"/>
  <c r="BY336" i="1"/>
  <c r="BY342" i="1"/>
  <c r="BY350" i="1"/>
  <c r="BY354" i="1"/>
  <c r="BY358" i="1"/>
  <c r="BY362" i="1"/>
  <c r="BY364" i="1"/>
  <c r="BY368" i="1"/>
  <c r="BY370" i="1"/>
  <c r="BY374" i="1"/>
  <c r="BY15" i="1"/>
  <c r="DY17" i="1"/>
  <c r="DW18" i="1"/>
  <c r="DW16" i="1"/>
  <c r="DY18" i="1"/>
  <c r="DX16" i="1"/>
  <c r="DY16" i="1"/>
  <c r="DW17" i="1"/>
  <c r="DX17" i="1"/>
  <c r="EJ10" i="1"/>
  <c r="EI10" i="1"/>
  <c r="ED12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I70" i="1"/>
  <c r="H71" i="1"/>
  <c r="Q71" i="1" s="1"/>
  <c r="H64" i="1"/>
  <c r="Q64" i="1" s="1"/>
  <c r="I67" i="1"/>
  <c r="H63" i="1"/>
  <c r="Q63" i="1" s="1"/>
  <c r="D41" i="1"/>
  <c r="E52" i="1" s="1"/>
  <c r="H67" i="1"/>
  <c r="Q67" i="1" s="1"/>
  <c r="R70" i="1" l="1"/>
  <c r="R68" i="1"/>
  <c r="R67" i="1"/>
  <c r="CA376" i="1"/>
  <c r="CB376" i="1" s="1"/>
  <c r="CC376" i="1" s="1"/>
  <c r="CA370" i="1"/>
  <c r="CB370" i="1" s="1"/>
  <c r="CC370" i="1" s="1"/>
  <c r="CA276" i="1"/>
  <c r="CB276" i="1" s="1"/>
  <c r="CC276" i="1" s="1"/>
  <c r="CA317" i="1"/>
  <c r="CB317" i="1" s="1"/>
  <c r="CC317" i="1" s="1"/>
  <c r="CA237" i="1"/>
  <c r="CB237" i="1" s="1"/>
  <c r="CC237" i="1" s="1"/>
  <c r="CA301" i="1"/>
  <c r="CB301" i="1" s="1"/>
  <c r="CC301" i="1" s="1"/>
  <c r="CA205" i="1"/>
  <c r="CB205" i="1" s="1"/>
  <c r="CC205" i="1" s="1"/>
  <c r="CA352" i="1"/>
  <c r="CB352" i="1" s="1"/>
  <c r="CC352" i="1" s="1"/>
  <c r="CA349" i="1"/>
  <c r="CB349" i="1" s="1"/>
  <c r="CC349" i="1" s="1"/>
  <c r="CA269" i="1"/>
  <c r="CB269" i="1" s="1"/>
  <c r="CC269" i="1" s="1"/>
  <c r="CA173" i="1"/>
  <c r="CB173" i="1" s="1"/>
  <c r="CC173" i="1" s="1"/>
  <c r="CA308" i="1"/>
  <c r="CB308" i="1" s="1"/>
  <c r="CC308" i="1" s="1"/>
  <c r="CA253" i="1"/>
  <c r="CB253" i="1" s="1"/>
  <c r="CC253" i="1" s="1"/>
  <c r="CA336" i="1"/>
  <c r="CB336" i="1" s="1"/>
  <c r="CC336" i="1" s="1"/>
  <c r="CA292" i="1"/>
  <c r="CB292" i="1" s="1"/>
  <c r="CC292" i="1" s="1"/>
  <c r="CA333" i="1"/>
  <c r="CB333" i="1" s="1"/>
  <c r="CC333" i="1" s="1"/>
  <c r="CA221" i="1"/>
  <c r="CB221" i="1" s="1"/>
  <c r="CC221" i="1" s="1"/>
  <c r="CA324" i="1"/>
  <c r="CB324" i="1" s="1"/>
  <c r="CC324" i="1" s="1"/>
  <c r="CA365" i="1"/>
  <c r="CB365" i="1" s="1"/>
  <c r="CC365" i="1" s="1"/>
  <c r="CA285" i="1"/>
  <c r="CB285" i="1" s="1"/>
  <c r="CC285" i="1" s="1"/>
  <c r="CA189" i="1"/>
  <c r="CB189" i="1" s="1"/>
  <c r="CC189" i="1" s="1"/>
  <c r="CA157" i="1"/>
  <c r="CB157" i="1" s="1"/>
  <c r="CC157" i="1" s="1"/>
  <c r="CA256" i="1"/>
  <c r="CB256" i="1" s="1"/>
  <c r="CC256" i="1" s="1"/>
  <c r="CA224" i="1"/>
  <c r="CB224" i="1" s="1"/>
  <c r="CC224" i="1" s="1"/>
  <c r="CA125" i="1"/>
  <c r="CB125" i="1" s="1"/>
  <c r="CC125" i="1" s="1"/>
  <c r="CA208" i="1"/>
  <c r="CB208" i="1" s="1"/>
  <c r="CC208" i="1" s="1"/>
  <c r="CA109" i="1"/>
  <c r="CB109" i="1" s="1"/>
  <c r="CC109" i="1" s="1"/>
  <c r="CA192" i="1"/>
  <c r="CB192" i="1" s="1"/>
  <c r="CC192" i="1" s="1"/>
  <c r="CA141" i="1"/>
  <c r="CB141" i="1" s="1"/>
  <c r="CC141" i="1" s="1"/>
  <c r="CA240" i="1"/>
  <c r="CB240" i="1" s="1"/>
  <c r="CC240" i="1" s="1"/>
  <c r="CA176" i="1"/>
  <c r="CB176" i="1" s="1"/>
  <c r="CC176" i="1" s="1"/>
  <c r="CA160" i="1"/>
  <c r="CB160" i="1" s="1"/>
  <c r="CC160" i="1" s="1"/>
  <c r="CA144" i="1"/>
  <c r="CB144" i="1" s="1"/>
  <c r="CC144" i="1" s="1"/>
  <c r="CA76" i="1"/>
  <c r="CB76" i="1" s="1"/>
  <c r="CC76" i="1" s="1"/>
  <c r="CA112" i="1"/>
  <c r="CB112" i="1" s="1"/>
  <c r="CC112" i="1" s="1"/>
  <c r="CA92" i="1"/>
  <c r="CB92" i="1" s="1"/>
  <c r="CC92" i="1" s="1"/>
  <c r="CA47" i="1"/>
  <c r="CB47" i="1" s="1"/>
  <c r="CC47" i="1" s="1"/>
  <c r="CA31" i="1"/>
  <c r="CB31" i="1" s="1"/>
  <c r="CC31" i="1" s="1"/>
  <c r="CA128" i="1"/>
  <c r="CB128" i="1" s="1"/>
  <c r="CC128" i="1" s="1"/>
  <c r="CA79" i="1"/>
  <c r="CB79" i="1" s="1"/>
  <c r="CC79" i="1" s="1"/>
  <c r="CA107" i="1"/>
  <c r="CB107" i="1" s="1"/>
  <c r="CC107" i="1" s="1"/>
  <c r="CA95" i="1"/>
  <c r="CB95" i="1" s="1"/>
  <c r="CC95" i="1" s="1"/>
  <c r="CA63" i="1"/>
  <c r="CB63" i="1" s="1"/>
  <c r="CC63" i="1" s="1"/>
  <c r="CA328" i="1"/>
  <c r="CB328" i="1" s="1"/>
  <c r="CC328" i="1" s="1"/>
  <c r="CA320" i="1"/>
  <c r="CB320" i="1" s="1"/>
  <c r="CC320" i="1" s="1"/>
  <c r="CA288" i="1"/>
  <c r="CB288" i="1" s="1"/>
  <c r="CC288" i="1" s="1"/>
  <c r="CA361" i="1"/>
  <c r="CB361" i="1" s="1"/>
  <c r="CC361" i="1" s="1"/>
  <c r="CA345" i="1"/>
  <c r="CB345" i="1" s="1"/>
  <c r="CC345" i="1" s="1"/>
  <c r="CA313" i="1"/>
  <c r="CB313" i="1" s="1"/>
  <c r="CC313" i="1" s="1"/>
  <c r="CA297" i="1"/>
  <c r="CB297" i="1" s="1"/>
  <c r="CC297" i="1" s="1"/>
  <c r="CA281" i="1"/>
  <c r="CB281" i="1" s="1"/>
  <c r="CC281" i="1" s="1"/>
  <c r="CA265" i="1"/>
  <c r="CB265" i="1" s="1"/>
  <c r="CC265" i="1" s="1"/>
  <c r="CA249" i="1"/>
  <c r="CB249" i="1" s="1"/>
  <c r="CC249" i="1" s="1"/>
  <c r="CA233" i="1"/>
  <c r="CB233" i="1" s="1"/>
  <c r="CC233" i="1" s="1"/>
  <c r="CA217" i="1"/>
  <c r="CB217" i="1" s="1"/>
  <c r="CC217" i="1" s="1"/>
  <c r="CA201" i="1"/>
  <c r="CB201" i="1" s="1"/>
  <c r="CC201" i="1" s="1"/>
  <c r="CA185" i="1"/>
  <c r="CB185" i="1" s="1"/>
  <c r="CC185" i="1" s="1"/>
  <c r="CA169" i="1"/>
  <c r="CB169" i="1" s="1"/>
  <c r="CC169" i="1" s="1"/>
  <c r="CA153" i="1"/>
  <c r="CB153" i="1" s="1"/>
  <c r="CC153" i="1" s="1"/>
  <c r="CA137" i="1"/>
  <c r="CB137" i="1" s="1"/>
  <c r="CC137" i="1" s="1"/>
  <c r="CA121" i="1"/>
  <c r="CB121" i="1" s="1"/>
  <c r="CC121" i="1" s="1"/>
  <c r="CA268" i="1"/>
  <c r="CB268" i="1" s="1"/>
  <c r="CC268" i="1" s="1"/>
  <c r="CA252" i="1"/>
  <c r="CB252" i="1" s="1"/>
  <c r="CC252" i="1" s="1"/>
  <c r="CA236" i="1"/>
  <c r="CB236" i="1" s="1"/>
  <c r="CC236" i="1" s="1"/>
  <c r="CA364" i="1"/>
  <c r="CB364" i="1" s="1"/>
  <c r="CC364" i="1" s="1"/>
  <c r="CA346" i="1"/>
  <c r="CB346" i="1" s="1"/>
  <c r="CC346" i="1" s="1"/>
  <c r="CA304" i="1"/>
  <c r="CB304" i="1" s="1"/>
  <c r="CC304" i="1" s="1"/>
  <c r="CA272" i="1"/>
  <c r="CB272" i="1" s="1"/>
  <c r="CC272" i="1" s="1"/>
  <c r="CA329" i="1"/>
  <c r="CB329" i="1" s="1"/>
  <c r="CC329" i="1" s="1"/>
  <c r="CA316" i="1"/>
  <c r="CB316" i="1" s="1"/>
  <c r="CC316" i="1" s="1"/>
  <c r="CA284" i="1"/>
  <c r="CB284" i="1" s="1"/>
  <c r="CC284" i="1" s="1"/>
  <c r="CA341" i="1"/>
  <c r="CB341" i="1" s="1"/>
  <c r="CC341" i="1" s="1"/>
  <c r="CA325" i="1"/>
  <c r="CB325" i="1" s="1"/>
  <c r="CC325" i="1" s="1"/>
  <c r="CA309" i="1"/>
  <c r="CB309" i="1" s="1"/>
  <c r="CC309" i="1" s="1"/>
  <c r="CA261" i="1"/>
  <c r="CB261" i="1" s="1"/>
  <c r="CC261" i="1" s="1"/>
  <c r="CA245" i="1"/>
  <c r="CB245" i="1" s="1"/>
  <c r="CC245" i="1" s="1"/>
  <c r="CA229" i="1"/>
  <c r="CB229" i="1" s="1"/>
  <c r="CC229" i="1" s="1"/>
  <c r="CA213" i="1"/>
  <c r="CB213" i="1" s="1"/>
  <c r="CC213" i="1" s="1"/>
  <c r="CA197" i="1"/>
  <c r="CB197" i="1" s="1"/>
  <c r="CC197" i="1" s="1"/>
  <c r="CA181" i="1"/>
  <c r="CB181" i="1" s="1"/>
  <c r="CC181" i="1" s="1"/>
  <c r="CA165" i="1"/>
  <c r="CB165" i="1" s="1"/>
  <c r="CC165" i="1" s="1"/>
  <c r="CA149" i="1"/>
  <c r="CB149" i="1" s="1"/>
  <c r="CC149" i="1" s="1"/>
  <c r="CA133" i="1"/>
  <c r="CB133" i="1" s="1"/>
  <c r="CC133" i="1" s="1"/>
  <c r="CA117" i="1"/>
  <c r="CB117" i="1" s="1"/>
  <c r="CC117" i="1" s="1"/>
  <c r="CA264" i="1"/>
  <c r="CB264" i="1" s="1"/>
  <c r="CC264" i="1" s="1"/>
  <c r="CA248" i="1"/>
  <c r="CB248" i="1" s="1"/>
  <c r="CC248" i="1" s="1"/>
  <c r="CA232" i="1"/>
  <c r="CB232" i="1" s="1"/>
  <c r="CC232" i="1" s="1"/>
  <c r="CA216" i="1"/>
  <c r="CB216" i="1" s="1"/>
  <c r="CC216" i="1" s="1"/>
  <c r="CA200" i="1"/>
  <c r="CB200" i="1" s="1"/>
  <c r="CC200" i="1" s="1"/>
  <c r="CA184" i="1"/>
  <c r="CB184" i="1" s="1"/>
  <c r="CC184" i="1" s="1"/>
  <c r="CA168" i="1"/>
  <c r="CB168" i="1" s="1"/>
  <c r="CC168" i="1" s="1"/>
  <c r="CA358" i="1"/>
  <c r="CB358" i="1" s="1"/>
  <c r="CC358" i="1" s="1"/>
  <c r="CA340" i="1"/>
  <c r="CB340" i="1" s="1"/>
  <c r="CC340" i="1" s="1"/>
  <c r="CA373" i="1"/>
  <c r="CB373" i="1" s="1"/>
  <c r="CC373" i="1" s="1"/>
  <c r="CA293" i="1"/>
  <c r="CB293" i="1" s="1"/>
  <c r="CC293" i="1" s="1"/>
  <c r="CA372" i="1"/>
  <c r="CB372" i="1" s="1"/>
  <c r="CC372" i="1" s="1"/>
  <c r="CA300" i="1"/>
  <c r="CB300" i="1" s="1"/>
  <c r="CC300" i="1" s="1"/>
  <c r="CA357" i="1"/>
  <c r="CB357" i="1" s="1"/>
  <c r="CC357" i="1" s="1"/>
  <c r="CA277" i="1"/>
  <c r="CB277" i="1" s="1"/>
  <c r="CC277" i="1" s="1"/>
  <c r="CA15" i="1"/>
  <c r="CB15" i="1" s="1"/>
  <c r="CC15" i="1" s="1"/>
  <c r="CA350" i="1"/>
  <c r="CB350" i="1" s="1"/>
  <c r="CC350" i="1" s="1"/>
  <c r="CA360" i="1"/>
  <c r="CB360" i="1" s="1"/>
  <c r="CC360" i="1" s="1"/>
  <c r="CA334" i="1"/>
  <c r="CB334" i="1" s="1"/>
  <c r="CC334" i="1" s="1"/>
  <c r="CA312" i="1"/>
  <c r="CB312" i="1" s="1"/>
  <c r="CC312" i="1" s="1"/>
  <c r="CA296" i="1"/>
  <c r="CB296" i="1" s="1"/>
  <c r="CC296" i="1" s="1"/>
  <c r="CA280" i="1"/>
  <c r="CB280" i="1" s="1"/>
  <c r="CC280" i="1" s="1"/>
  <c r="CA369" i="1"/>
  <c r="CB369" i="1" s="1"/>
  <c r="CC369" i="1" s="1"/>
  <c r="CA353" i="1"/>
  <c r="CB353" i="1" s="1"/>
  <c r="CC353" i="1" s="1"/>
  <c r="CA337" i="1"/>
  <c r="CB337" i="1" s="1"/>
  <c r="CC337" i="1" s="1"/>
  <c r="CA321" i="1"/>
  <c r="CB321" i="1" s="1"/>
  <c r="CC321" i="1" s="1"/>
  <c r="CA305" i="1"/>
  <c r="CB305" i="1" s="1"/>
  <c r="CC305" i="1" s="1"/>
  <c r="CA289" i="1"/>
  <c r="CB289" i="1" s="1"/>
  <c r="CC289" i="1" s="1"/>
  <c r="CA273" i="1"/>
  <c r="CB273" i="1" s="1"/>
  <c r="CC273" i="1" s="1"/>
  <c r="CA257" i="1"/>
  <c r="CB257" i="1" s="1"/>
  <c r="CC257" i="1" s="1"/>
  <c r="CA241" i="1"/>
  <c r="CB241" i="1" s="1"/>
  <c r="CC241" i="1" s="1"/>
  <c r="CA225" i="1"/>
  <c r="CB225" i="1" s="1"/>
  <c r="CC225" i="1" s="1"/>
  <c r="CA209" i="1"/>
  <c r="CB209" i="1" s="1"/>
  <c r="CC209" i="1" s="1"/>
  <c r="CA193" i="1"/>
  <c r="CB193" i="1" s="1"/>
  <c r="CC193" i="1" s="1"/>
  <c r="CA177" i="1"/>
  <c r="CB177" i="1" s="1"/>
  <c r="CC177" i="1" s="1"/>
  <c r="CA161" i="1"/>
  <c r="CB161" i="1" s="1"/>
  <c r="CC161" i="1" s="1"/>
  <c r="CA145" i="1"/>
  <c r="CB145" i="1" s="1"/>
  <c r="CC145" i="1" s="1"/>
  <c r="CA129" i="1"/>
  <c r="CB129" i="1" s="1"/>
  <c r="CC129" i="1" s="1"/>
  <c r="CA113" i="1"/>
  <c r="CB113" i="1" s="1"/>
  <c r="CC113" i="1" s="1"/>
  <c r="CA220" i="1"/>
  <c r="CB220" i="1" s="1"/>
  <c r="CC220" i="1" s="1"/>
  <c r="CA204" i="1"/>
  <c r="CB204" i="1" s="1"/>
  <c r="CC204" i="1" s="1"/>
  <c r="CA188" i="1"/>
  <c r="CB188" i="1" s="1"/>
  <c r="CC188" i="1" s="1"/>
  <c r="CA260" i="1"/>
  <c r="CB260" i="1" s="1"/>
  <c r="CC260" i="1" s="1"/>
  <c r="CA152" i="1"/>
  <c r="CB152" i="1" s="1"/>
  <c r="CC152" i="1" s="1"/>
  <c r="CA172" i="1"/>
  <c r="CB172" i="1" s="1"/>
  <c r="CC172" i="1" s="1"/>
  <c r="CA156" i="1"/>
  <c r="CB156" i="1" s="1"/>
  <c r="CC156" i="1" s="1"/>
  <c r="CA140" i="1"/>
  <c r="CB140" i="1" s="1"/>
  <c r="CC140" i="1" s="1"/>
  <c r="CA124" i="1"/>
  <c r="CB124" i="1" s="1"/>
  <c r="CC124" i="1" s="1"/>
  <c r="CA108" i="1"/>
  <c r="CB108" i="1" s="1"/>
  <c r="CC108" i="1" s="1"/>
  <c r="CA91" i="1"/>
  <c r="CB91" i="1" s="1"/>
  <c r="CC91" i="1" s="1"/>
  <c r="CA136" i="1"/>
  <c r="CB136" i="1" s="1"/>
  <c r="CC136" i="1" s="1"/>
  <c r="CA120" i="1"/>
  <c r="CB120" i="1" s="1"/>
  <c r="CC120" i="1" s="1"/>
  <c r="CA104" i="1"/>
  <c r="CB104" i="1" s="1"/>
  <c r="CC104" i="1" s="1"/>
  <c r="CA87" i="1"/>
  <c r="CB87" i="1" s="1"/>
  <c r="CC87" i="1" s="1"/>
  <c r="CA244" i="1"/>
  <c r="CB244" i="1" s="1"/>
  <c r="CC244" i="1" s="1"/>
  <c r="CA228" i="1"/>
  <c r="CB228" i="1" s="1"/>
  <c r="CC228" i="1" s="1"/>
  <c r="CA71" i="1"/>
  <c r="CB71" i="1" s="1"/>
  <c r="CC71" i="1" s="1"/>
  <c r="CA55" i="1"/>
  <c r="CB55" i="1" s="1"/>
  <c r="CC55" i="1" s="1"/>
  <c r="CA39" i="1"/>
  <c r="CB39" i="1" s="1"/>
  <c r="CC39" i="1" s="1"/>
  <c r="CA23" i="1"/>
  <c r="CB23" i="1" s="1"/>
  <c r="CC23" i="1" s="1"/>
  <c r="CA100" i="1"/>
  <c r="CB100" i="1" s="1"/>
  <c r="CC100" i="1" s="1"/>
  <c r="CA212" i="1"/>
  <c r="CB212" i="1" s="1"/>
  <c r="CC212" i="1" s="1"/>
  <c r="CA196" i="1"/>
  <c r="CB196" i="1" s="1"/>
  <c r="CC196" i="1" s="1"/>
  <c r="CA180" i="1"/>
  <c r="CB180" i="1" s="1"/>
  <c r="CC180" i="1" s="1"/>
  <c r="CA75" i="1"/>
  <c r="CB75" i="1" s="1"/>
  <c r="CC75" i="1" s="1"/>
  <c r="CA59" i="1"/>
  <c r="CB59" i="1" s="1"/>
  <c r="CC59" i="1" s="1"/>
  <c r="CA43" i="1"/>
  <c r="CB43" i="1" s="1"/>
  <c r="CC43" i="1" s="1"/>
  <c r="CA27" i="1"/>
  <c r="CB27" i="1" s="1"/>
  <c r="CC27" i="1" s="1"/>
  <c r="CA103" i="1"/>
  <c r="CB103" i="1" s="1"/>
  <c r="CC103" i="1" s="1"/>
  <c r="CA88" i="1"/>
  <c r="CB88" i="1" s="1"/>
  <c r="CC88" i="1" s="1"/>
  <c r="CA72" i="1"/>
  <c r="CB72" i="1" s="1"/>
  <c r="CC72" i="1" s="1"/>
  <c r="CA84" i="1"/>
  <c r="CB84" i="1" s="1"/>
  <c r="CC84" i="1" s="1"/>
  <c r="CA68" i="1"/>
  <c r="CB68" i="1" s="1"/>
  <c r="CC68" i="1" s="1"/>
  <c r="CA164" i="1"/>
  <c r="CB164" i="1" s="1"/>
  <c r="CC164" i="1" s="1"/>
  <c r="CA148" i="1"/>
  <c r="CB148" i="1" s="1"/>
  <c r="CC148" i="1" s="1"/>
  <c r="CA132" i="1"/>
  <c r="CB132" i="1" s="1"/>
  <c r="CC132" i="1" s="1"/>
  <c r="CA116" i="1"/>
  <c r="CB116" i="1" s="1"/>
  <c r="CC116" i="1" s="1"/>
  <c r="CA99" i="1"/>
  <c r="CB99" i="1" s="1"/>
  <c r="CC99" i="1" s="1"/>
  <c r="CA83" i="1"/>
  <c r="CB83" i="1" s="1"/>
  <c r="CC83" i="1" s="1"/>
  <c r="CA67" i="1"/>
  <c r="CB67" i="1" s="1"/>
  <c r="CC67" i="1" s="1"/>
  <c r="CA51" i="1"/>
  <c r="CB51" i="1" s="1"/>
  <c r="CC51" i="1" s="1"/>
  <c r="CA35" i="1"/>
  <c r="CB35" i="1" s="1"/>
  <c r="CC35" i="1" s="1"/>
  <c r="CA19" i="1"/>
  <c r="CB19" i="1" s="1"/>
  <c r="CC19" i="1" s="1"/>
  <c r="CA96" i="1"/>
  <c r="CB96" i="1" s="1"/>
  <c r="CC96" i="1" s="1"/>
  <c r="CA80" i="1"/>
  <c r="CB80" i="1" s="1"/>
  <c r="CC80" i="1" s="1"/>
  <c r="CA64" i="1"/>
  <c r="CB64" i="1" s="1"/>
  <c r="CC64" i="1" s="1"/>
  <c r="CA60" i="1"/>
  <c r="CB60" i="1" s="1"/>
  <c r="CC60" i="1" s="1"/>
  <c r="CA56" i="1"/>
  <c r="CB56" i="1" s="1"/>
  <c r="CC56" i="1" s="1"/>
  <c r="CA52" i="1"/>
  <c r="CB52" i="1" s="1"/>
  <c r="CC52" i="1" s="1"/>
  <c r="CA48" i="1"/>
  <c r="CB48" i="1" s="1"/>
  <c r="CC48" i="1" s="1"/>
  <c r="CA44" i="1"/>
  <c r="CB44" i="1" s="1"/>
  <c r="CC44" i="1" s="1"/>
  <c r="CA40" i="1"/>
  <c r="CB40" i="1" s="1"/>
  <c r="CC40" i="1" s="1"/>
  <c r="CA36" i="1"/>
  <c r="CB36" i="1" s="1"/>
  <c r="CC36" i="1" s="1"/>
  <c r="CA32" i="1"/>
  <c r="CB32" i="1" s="1"/>
  <c r="CC32" i="1" s="1"/>
  <c r="CA28" i="1"/>
  <c r="CB28" i="1" s="1"/>
  <c r="CC28" i="1" s="1"/>
  <c r="CA24" i="1"/>
  <c r="CB24" i="1" s="1"/>
  <c r="CC24" i="1" s="1"/>
  <c r="CA20" i="1"/>
  <c r="CB20" i="1" s="1"/>
  <c r="CC20" i="1" s="1"/>
  <c r="CA16" i="1"/>
  <c r="CB16" i="1" s="1"/>
  <c r="CC16" i="1" s="1"/>
  <c r="CA374" i="1"/>
  <c r="CB374" i="1" s="1"/>
  <c r="CC374" i="1" s="1"/>
  <c r="CA368" i="1"/>
  <c r="CB368" i="1" s="1"/>
  <c r="CC368" i="1" s="1"/>
  <c r="CA362" i="1"/>
  <c r="CB362" i="1" s="1"/>
  <c r="CC362" i="1" s="1"/>
  <c r="CA354" i="1"/>
  <c r="CB354" i="1" s="1"/>
  <c r="CC354" i="1" s="1"/>
  <c r="CA342" i="1"/>
  <c r="CB342" i="1" s="1"/>
  <c r="CC342" i="1" s="1"/>
  <c r="CA332" i="1"/>
  <c r="CB332" i="1" s="1"/>
  <c r="CC332" i="1" s="1"/>
  <c r="CA326" i="1"/>
  <c r="CB326" i="1" s="1"/>
  <c r="CC326" i="1" s="1"/>
  <c r="CA366" i="1"/>
  <c r="CB366" i="1" s="1"/>
  <c r="CC366" i="1" s="1"/>
  <c r="CA356" i="1"/>
  <c r="CB356" i="1" s="1"/>
  <c r="CC356" i="1" s="1"/>
  <c r="CA348" i="1"/>
  <c r="CB348" i="1" s="1"/>
  <c r="CC348" i="1" s="1"/>
  <c r="CA344" i="1"/>
  <c r="CB344" i="1" s="1"/>
  <c r="CC344" i="1" s="1"/>
  <c r="CA338" i="1"/>
  <c r="CB338" i="1" s="1"/>
  <c r="CC338" i="1" s="1"/>
  <c r="CA330" i="1"/>
  <c r="CB330" i="1" s="1"/>
  <c r="CC330" i="1" s="1"/>
  <c r="CA322" i="1"/>
  <c r="CB322" i="1" s="1"/>
  <c r="CC322" i="1" s="1"/>
  <c r="CA318" i="1"/>
  <c r="CB318" i="1" s="1"/>
  <c r="CC318" i="1" s="1"/>
  <c r="CA314" i="1"/>
  <c r="CB314" i="1" s="1"/>
  <c r="CC314" i="1" s="1"/>
  <c r="CA310" i="1"/>
  <c r="CB310" i="1" s="1"/>
  <c r="CC310" i="1" s="1"/>
  <c r="CA306" i="1"/>
  <c r="CB306" i="1" s="1"/>
  <c r="CC306" i="1" s="1"/>
  <c r="CA302" i="1"/>
  <c r="CB302" i="1" s="1"/>
  <c r="CC302" i="1" s="1"/>
  <c r="CA298" i="1"/>
  <c r="CB298" i="1" s="1"/>
  <c r="CC298" i="1" s="1"/>
  <c r="CA294" i="1"/>
  <c r="CB294" i="1" s="1"/>
  <c r="CC294" i="1" s="1"/>
  <c r="CA290" i="1"/>
  <c r="CB290" i="1" s="1"/>
  <c r="CC290" i="1" s="1"/>
  <c r="CA286" i="1"/>
  <c r="CB286" i="1" s="1"/>
  <c r="CC286" i="1" s="1"/>
  <c r="CA282" i="1"/>
  <c r="CB282" i="1" s="1"/>
  <c r="CC282" i="1" s="1"/>
  <c r="CA278" i="1"/>
  <c r="CB278" i="1" s="1"/>
  <c r="CC278" i="1" s="1"/>
  <c r="CA274" i="1"/>
  <c r="CB274" i="1" s="1"/>
  <c r="CC274" i="1" s="1"/>
  <c r="CA375" i="1"/>
  <c r="CB375" i="1" s="1"/>
  <c r="CC375" i="1" s="1"/>
  <c r="CA371" i="1"/>
  <c r="CB371" i="1" s="1"/>
  <c r="CC371" i="1" s="1"/>
  <c r="CA367" i="1"/>
  <c r="CB367" i="1" s="1"/>
  <c r="CC367" i="1" s="1"/>
  <c r="CA363" i="1"/>
  <c r="CB363" i="1" s="1"/>
  <c r="CC363" i="1" s="1"/>
  <c r="CA359" i="1"/>
  <c r="CB359" i="1" s="1"/>
  <c r="CC359" i="1" s="1"/>
  <c r="CA355" i="1"/>
  <c r="CB355" i="1" s="1"/>
  <c r="CC355" i="1" s="1"/>
  <c r="CA351" i="1"/>
  <c r="CB351" i="1" s="1"/>
  <c r="CC351" i="1" s="1"/>
  <c r="CA347" i="1"/>
  <c r="CB347" i="1" s="1"/>
  <c r="CC347" i="1" s="1"/>
  <c r="CA343" i="1"/>
  <c r="CB343" i="1" s="1"/>
  <c r="CC343" i="1" s="1"/>
  <c r="CA339" i="1"/>
  <c r="CB339" i="1" s="1"/>
  <c r="CC339" i="1" s="1"/>
  <c r="CA335" i="1"/>
  <c r="CB335" i="1" s="1"/>
  <c r="CC335" i="1" s="1"/>
  <c r="CA331" i="1"/>
  <c r="CB331" i="1" s="1"/>
  <c r="CC331" i="1" s="1"/>
  <c r="CA327" i="1"/>
  <c r="CB327" i="1" s="1"/>
  <c r="CC327" i="1" s="1"/>
  <c r="CA323" i="1"/>
  <c r="CB323" i="1" s="1"/>
  <c r="CC323" i="1" s="1"/>
  <c r="CA319" i="1"/>
  <c r="CB319" i="1" s="1"/>
  <c r="CC319" i="1" s="1"/>
  <c r="CA315" i="1"/>
  <c r="CB315" i="1" s="1"/>
  <c r="CC315" i="1" s="1"/>
  <c r="CA311" i="1"/>
  <c r="CB311" i="1" s="1"/>
  <c r="CC311" i="1" s="1"/>
  <c r="CA307" i="1"/>
  <c r="CB307" i="1" s="1"/>
  <c r="CC307" i="1" s="1"/>
  <c r="CA303" i="1"/>
  <c r="CB303" i="1" s="1"/>
  <c r="CC303" i="1" s="1"/>
  <c r="CA299" i="1"/>
  <c r="CB299" i="1" s="1"/>
  <c r="CC299" i="1" s="1"/>
  <c r="CA295" i="1"/>
  <c r="CB295" i="1" s="1"/>
  <c r="CC295" i="1" s="1"/>
  <c r="CA291" i="1"/>
  <c r="CB291" i="1" s="1"/>
  <c r="CC291" i="1" s="1"/>
  <c r="CA287" i="1"/>
  <c r="CB287" i="1" s="1"/>
  <c r="CC287" i="1" s="1"/>
  <c r="CA283" i="1"/>
  <c r="CB283" i="1" s="1"/>
  <c r="CC283" i="1" s="1"/>
  <c r="CA279" i="1"/>
  <c r="CB279" i="1" s="1"/>
  <c r="CC279" i="1" s="1"/>
  <c r="CA275" i="1"/>
  <c r="CB275" i="1" s="1"/>
  <c r="CC275" i="1" s="1"/>
  <c r="CA271" i="1"/>
  <c r="CB271" i="1" s="1"/>
  <c r="CC271" i="1" s="1"/>
  <c r="CA267" i="1"/>
  <c r="CB267" i="1" s="1"/>
  <c r="CC267" i="1" s="1"/>
  <c r="CA263" i="1"/>
  <c r="CB263" i="1" s="1"/>
  <c r="CC263" i="1" s="1"/>
  <c r="CA259" i="1"/>
  <c r="CB259" i="1" s="1"/>
  <c r="CC259" i="1" s="1"/>
  <c r="CA255" i="1"/>
  <c r="CB255" i="1" s="1"/>
  <c r="CC255" i="1" s="1"/>
  <c r="CA251" i="1"/>
  <c r="CB251" i="1" s="1"/>
  <c r="CC251" i="1" s="1"/>
  <c r="CA247" i="1"/>
  <c r="CB247" i="1" s="1"/>
  <c r="CC247" i="1" s="1"/>
  <c r="CA243" i="1"/>
  <c r="CB243" i="1" s="1"/>
  <c r="CC243" i="1" s="1"/>
  <c r="CA239" i="1"/>
  <c r="CB239" i="1" s="1"/>
  <c r="CC239" i="1" s="1"/>
  <c r="CA235" i="1"/>
  <c r="CB235" i="1" s="1"/>
  <c r="CC235" i="1" s="1"/>
  <c r="CA231" i="1"/>
  <c r="CB231" i="1" s="1"/>
  <c r="CC231" i="1" s="1"/>
  <c r="CA227" i="1"/>
  <c r="CB227" i="1" s="1"/>
  <c r="CC227" i="1" s="1"/>
  <c r="CA223" i="1"/>
  <c r="CB223" i="1" s="1"/>
  <c r="CC223" i="1" s="1"/>
  <c r="CA219" i="1"/>
  <c r="CB219" i="1" s="1"/>
  <c r="CC219" i="1" s="1"/>
  <c r="CA215" i="1"/>
  <c r="CB215" i="1" s="1"/>
  <c r="CC215" i="1" s="1"/>
  <c r="CA211" i="1"/>
  <c r="CB211" i="1" s="1"/>
  <c r="CC211" i="1" s="1"/>
  <c r="CA207" i="1"/>
  <c r="CB207" i="1" s="1"/>
  <c r="CC207" i="1" s="1"/>
  <c r="CA203" i="1"/>
  <c r="CB203" i="1" s="1"/>
  <c r="CC203" i="1" s="1"/>
  <c r="CA199" i="1"/>
  <c r="CB199" i="1" s="1"/>
  <c r="CC199" i="1" s="1"/>
  <c r="CA195" i="1"/>
  <c r="CB195" i="1" s="1"/>
  <c r="CC195" i="1" s="1"/>
  <c r="CA191" i="1"/>
  <c r="CB191" i="1" s="1"/>
  <c r="CC191" i="1" s="1"/>
  <c r="CA187" i="1"/>
  <c r="CB187" i="1" s="1"/>
  <c r="CC187" i="1" s="1"/>
  <c r="CA183" i="1"/>
  <c r="CB183" i="1" s="1"/>
  <c r="CC183" i="1" s="1"/>
  <c r="CA179" i="1"/>
  <c r="CB179" i="1" s="1"/>
  <c r="CC179" i="1" s="1"/>
  <c r="CA175" i="1"/>
  <c r="CB175" i="1" s="1"/>
  <c r="CC175" i="1" s="1"/>
  <c r="CA171" i="1"/>
  <c r="CB171" i="1" s="1"/>
  <c r="CC171" i="1" s="1"/>
  <c r="CA167" i="1"/>
  <c r="CB167" i="1" s="1"/>
  <c r="CC167" i="1" s="1"/>
  <c r="CA163" i="1"/>
  <c r="CB163" i="1" s="1"/>
  <c r="CC163" i="1" s="1"/>
  <c r="CA159" i="1"/>
  <c r="CB159" i="1" s="1"/>
  <c r="CC159" i="1" s="1"/>
  <c r="CA155" i="1"/>
  <c r="CB155" i="1" s="1"/>
  <c r="CC155" i="1" s="1"/>
  <c r="CA151" i="1"/>
  <c r="CB151" i="1" s="1"/>
  <c r="CC151" i="1" s="1"/>
  <c r="CA147" i="1"/>
  <c r="CB147" i="1" s="1"/>
  <c r="CC147" i="1" s="1"/>
  <c r="CA143" i="1"/>
  <c r="CB143" i="1" s="1"/>
  <c r="CC143" i="1" s="1"/>
  <c r="CA139" i="1"/>
  <c r="CB139" i="1" s="1"/>
  <c r="CC139" i="1" s="1"/>
  <c r="CA135" i="1"/>
  <c r="CB135" i="1" s="1"/>
  <c r="CC135" i="1" s="1"/>
  <c r="CA131" i="1"/>
  <c r="CB131" i="1" s="1"/>
  <c r="CC131" i="1" s="1"/>
  <c r="CA127" i="1"/>
  <c r="CB127" i="1" s="1"/>
  <c r="CC127" i="1" s="1"/>
  <c r="CA123" i="1"/>
  <c r="CB123" i="1" s="1"/>
  <c r="CC123" i="1" s="1"/>
  <c r="CA119" i="1"/>
  <c r="CB119" i="1" s="1"/>
  <c r="CC119" i="1" s="1"/>
  <c r="CA115" i="1"/>
  <c r="CB115" i="1" s="1"/>
  <c r="CC115" i="1" s="1"/>
  <c r="CA111" i="1"/>
  <c r="CB111" i="1" s="1"/>
  <c r="CC111" i="1" s="1"/>
  <c r="CA270" i="1"/>
  <c r="CB270" i="1" s="1"/>
  <c r="CC270" i="1" s="1"/>
  <c r="CA266" i="1"/>
  <c r="CB266" i="1" s="1"/>
  <c r="CC266" i="1" s="1"/>
  <c r="CA262" i="1"/>
  <c r="CB262" i="1" s="1"/>
  <c r="CC262" i="1" s="1"/>
  <c r="CA258" i="1"/>
  <c r="CB258" i="1" s="1"/>
  <c r="CC258" i="1" s="1"/>
  <c r="CA254" i="1"/>
  <c r="CB254" i="1" s="1"/>
  <c r="CC254" i="1" s="1"/>
  <c r="CA250" i="1"/>
  <c r="CB250" i="1" s="1"/>
  <c r="CC250" i="1" s="1"/>
  <c r="CA246" i="1"/>
  <c r="CB246" i="1" s="1"/>
  <c r="CC246" i="1" s="1"/>
  <c r="CA242" i="1"/>
  <c r="CB242" i="1" s="1"/>
  <c r="CC242" i="1" s="1"/>
  <c r="CA238" i="1"/>
  <c r="CB238" i="1" s="1"/>
  <c r="CC238" i="1" s="1"/>
  <c r="CA234" i="1"/>
  <c r="CB234" i="1" s="1"/>
  <c r="CC234" i="1" s="1"/>
  <c r="CA230" i="1"/>
  <c r="CB230" i="1" s="1"/>
  <c r="CC230" i="1" s="1"/>
  <c r="CA226" i="1"/>
  <c r="CB226" i="1" s="1"/>
  <c r="CC226" i="1" s="1"/>
  <c r="CA222" i="1"/>
  <c r="CB222" i="1" s="1"/>
  <c r="CC222" i="1" s="1"/>
  <c r="CA218" i="1"/>
  <c r="CB218" i="1" s="1"/>
  <c r="CC218" i="1" s="1"/>
  <c r="CA214" i="1"/>
  <c r="CB214" i="1" s="1"/>
  <c r="CC214" i="1" s="1"/>
  <c r="CA210" i="1"/>
  <c r="CB210" i="1" s="1"/>
  <c r="CC210" i="1" s="1"/>
  <c r="CA206" i="1"/>
  <c r="CB206" i="1" s="1"/>
  <c r="CC206" i="1" s="1"/>
  <c r="CA202" i="1"/>
  <c r="CB202" i="1" s="1"/>
  <c r="CC202" i="1" s="1"/>
  <c r="CA198" i="1"/>
  <c r="CB198" i="1" s="1"/>
  <c r="CC198" i="1" s="1"/>
  <c r="CA194" i="1"/>
  <c r="CB194" i="1" s="1"/>
  <c r="CC194" i="1" s="1"/>
  <c r="CA190" i="1"/>
  <c r="CB190" i="1" s="1"/>
  <c r="CC190" i="1" s="1"/>
  <c r="CA186" i="1"/>
  <c r="CB186" i="1" s="1"/>
  <c r="CC186" i="1" s="1"/>
  <c r="CA182" i="1"/>
  <c r="CB182" i="1" s="1"/>
  <c r="CC182" i="1" s="1"/>
  <c r="CA178" i="1"/>
  <c r="CB178" i="1" s="1"/>
  <c r="CC178" i="1" s="1"/>
  <c r="CA174" i="1"/>
  <c r="CB174" i="1" s="1"/>
  <c r="CC174" i="1" s="1"/>
  <c r="CA170" i="1"/>
  <c r="CB170" i="1" s="1"/>
  <c r="CC170" i="1" s="1"/>
  <c r="CA166" i="1"/>
  <c r="CB166" i="1" s="1"/>
  <c r="CC166" i="1" s="1"/>
  <c r="CA162" i="1"/>
  <c r="CB162" i="1" s="1"/>
  <c r="CC162" i="1" s="1"/>
  <c r="CA158" i="1"/>
  <c r="CB158" i="1" s="1"/>
  <c r="CC158" i="1" s="1"/>
  <c r="CA154" i="1"/>
  <c r="CB154" i="1" s="1"/>
  <c r="CC154" i="1" s="1"/>
  <c r="CA150" i="1"/>
  <c r="CB150" i="1" s="1"/>
  <c r="CC150" i="1" s="1"/>
  <c r="CA146" i="1"/>
  <c r="CB146" i="1" s="1"/>
  <c r="CC146" i="1" s="1"/>
  <c r="CA142" i="1"/>
  <c r="CB142" i="1" s="1"/>
  <c r="CC142" i="1" s="1"/>
  <c r="CA138" i="1"/>
  <c r="CB138" i="1" s="1"/>
  <c r="CC138" i="1" s="1"/>
  <c r="CA134" i="1"/>
  <c r="CB134" i="1" s="1"/>
  <c r="CC134" i="1" s="1"/>
  <c r="CA130" i="1"/>
  <c r="CB130" i="1" s="1"/>
  <c r="CC130" i="1" s="1"/>
  <c r="CA126" i="1"/>
  <c r="CB126" i="1" s="1"/>
  <c r="CC126" i="1" s="1"/>
  <c r="CA122" i="1"/>
  <c r="CB122" i="1" s="1"/>
  <c r="CC122" i="1" s="1"/>
  <c r="CA118" i="1"/>
  <c r="CB118" i="1" s="1"/>
  <c r="CC118" i="1" s="1"/>
  <c r="CA114" i="1"/>
  <c r="CB114" i="1" s="1"/>
  <c r="CC114" i="1" s="1"/>
  <c r="CA110" i="1"/>
  <c r="CB110" i="1" s="1"/>
  <c r="CC110" i="1" s="1"/>
  <c r="CA106" i="1"/>
  <c r="CB106" i="1" s="1"/>
  <c r="CC106" i="1" s="1"/>
  <c r="CA102" i="1"/>
  <c r="CB102" i="1" s="1"/>
  <c r="CC102" i="1" s="1"/>
  <c r="CA97" i="1"/>
  <c r="CB97" i="1" s="1"/>
  <c r="CC97" i="1" s="1"/>
  <c r="CA93" i="1"/>
  <c r="CB93" i="1" s="1"/>
  <c r="CC93" i="1" s="1"/>
  <c r="CA89" i="1"/>
  <c r="CB89" i="1" s="1"/>
  <c r="CC89" i="1" s="1"/>
  <c r="CA85" i="1"/>
  <c r="CB85" i="1" s="1"/>
  <c r="CC85" i="1" s="1"/>
  <c r="CA81" i="1"/>
  <c r="CB81" i="1" s="1"/>
  <c r="CC81" i="1" s="1"/>
  <c r="CA77" i="1"/>
  <c r="CB77" i="1" s="1"/>
  <c r="CC77" i="1" s="1"/>
  <c r="CA73" i="1"/>
  <c r="CB73" i="1" s="1"/>
  <c r="CC73" i="1" s="1"/>
  <c r="CA69" i="1"/>
  <c r="CB69" i="1" s="1"/>
  <c r="CC69" i="1" s="1"/>
  <c r="CA65" i="1"/>
  <c r="CB65" i="1" s="1"/>
  <c r="CC65" i="1" s="1"/>
  <c r="CA61" i="1"/>
  <c r="CB61" i="1" s="1"/>
  <c r="CC61" i="1" s="1"/>
  <c r="CA57" i="1"/>
  <c r="CB57" i="1" s="1"/>
  <c r="CC57" i="1" s="1"/>
  <c r="CA53" i="1"/>
  <c r="CB53" i="1" s="1"/>
  <c r="CC53" i="1" s="1"/>
  <c r="CA49" i="1"/>
  <c r="CB49" i="1" s="1"/>
  <c r="CC49" i="1" s="1"/>
  <c r="CA45" i="1"/>
  <c r="CB45" i="1" s="1"/>
  <c r="CC45" i="1" s="1"/>
  <c r="CA41" i="1"/>
  <c r="CB41" i="1" s="1"/>
  <c r="CC41" i="1" s="1"/>
  <c r="CA37" i="1"/>
  <c r="CB37" i="1" s="1"/>
  <c r="CC37" i="1" s="1"/>
  <c r="CA33" i="1"/>
  <c r="CB33" i="1" s="1"/>
  <c r="CC33" i="1" s="1"/>
  <c r="CA29" i="1"/>
  <c r="CB29" i="1" s="1"/>
  <c r="CC29" i="1" s="1"/>
  <c r="CA25" i="1"/>
  <c r="CB25" i="1" s="1"/>
  <c r="CC25" i="1" s="1"/>
  <c r="CA21" i="1"/>
  <c r="CB21" i="1" s="1"/>
  <c r="CC21" i="1" s="1"/>
  <c r="CA17" i="1"/>
  <c r="CB17" i="1" s="1"/>
  <c r="CC17" i="1" s="1"/>
  <c r="CA105" i="1"/>
  <c r="CB105" i="1" s="1"/>
  <c r="CC105" i="1" s="1"/>
  <c r="CA101" i="1"/>
  <c r="CB101" i="1" s="1"/>
  <c r="CC101" i="1" s="1"/>
  <c r="CA98" i="1"/>
  <c r="CB98" i="1" s="1"/>
  <c r="CC98" i="1" s="1"/>
  <c r="CA94" i="1"/>
  <c r="CB94" i="1" s="1"/>
  <c r="CC94" i="1" s="1"/>
  <c r="CA90" i="1"/>
  <c r="CB90" i="1" s="1"/>
  <c r="CC90" i="1" s="1"/>
  <c r="CA86" i="1"/>
  <c r="CB86" i="1" s="1"/>
  <c r="CC86" i="1" s="1"/>
  <c r="CA82" i="1"/>
  <c r="CB82" i="1" s="1"/>
  <c r="CC82" i="1" s="1"/>
  <c r="CA78" i="1"/>
  <c r="CB78" i="1" s="1"/>
  <c r="CC78" i="1" s="1"/>
  <c r="CA74" i="1"/>
  <c r="CB74" i="1" s="1"/>
  <c r="CC74" i="1" s="1"/>
  <c r="CA70" i="1"/>
  <c r="CB70" i="1" s="1"/>
  <c r="CC70" i="1" s="1"/>
  <c r="CA66" i="1"/>
  <c r="CB66" i="1" s="1"/>
  <c r="CC66" i="1" s="1"/>
  <c r="CA62" i="1"/>
  <c r="CB62" i="1" s="1"/>
  <c r="CC62" i="1" s="1"/>
  <c r="CA58" i="1"/>
  <c r="CB58" i="1" s="1"/>
  <c r="CC58" i="1" s="1"/>
  <c r="CA54" i="1"/>
  <c r="CB54" i="1" s="1"/>
  <c r="CC54" i="1" s="1"/>
  <c r="CA50" i="1"/>
  <c r="CB50" i="1" s="1"/>
  <c r="CC50" i="1" s="1"/>
  <c r="CA46" i="1"/>
  <c r="CB46" i="1" s="1"/>
  <c r="CC46" i="1" s="1"/>
  <c r="CA42" i="1"/>
  <c r="CB42" i="1" s="1"/>
  <c r="CC42" i="1" s="1"/>
  <c r="CA38" i="1"/>
  <c r="CB38" i="1" s="1"/>
  <c r="CC38" i="1" s="1"/>
  <c r="CA34" i="1"/>
  <c r="CB34" i="1" s="1"/>
  <c r="CC34" i="1" s="1"/>
  <c r="CA30" i="1"/>
  <c r="CB30" i="1" s="1"/>
  <c r="CC30" i="1" s="1"/>
  <c r="CA26" i="1"/>
  <c r="CB26" i="1" s="1"/>
  <c r="CC26" i="1" s="1"/>
  <c r="CA22" i="1"/>
  <c r="CB22" i="1" s="1"/>
  <c r="CC22" i="1" s="1"/>
  <c r="CA18" i="1"/>
  <c r="CB18" i="1" s="1"/>
  <c r="CC18" i="1" s="1"/>
  <c r="BY5" i="1"/>
  <c r="BZ5" i="1" s="1"/>
  <c r="DW20" i="1" a="1"/>
  <c r="DW20" i="1" s="1"/>
  <c r="DW21" i="1" a="1"/>
  <c r="DW21" i="1" s="1"/>
  <c r="EB20" i="1" a="1"/>
  <c r="EB20" i="1" s="1"/>
  <c r="EF12" i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F55" i="1"/>
  <c r="G55" i="1" s="1"/>
  <c r="J38" i="1"/>
  <c r="N38" i="1" s="1"/>
  <c r="F49" i="1"/>
  <c r="G49" i="1" s="1"/>
  <c r="J39" i="1"/>
  <c r="N39" i="1" s="1"/>
  <c r="F52" i="1"/>
  <c r="G52" i="1" s="1"/>
  <c r="G38" i="1"/>
  <c r="J68" i="1" s="1"/>
  <c r="G37" i="1"/>
  <c r="J67" i="1" l="1"/>
  <c r="K67" i="1" s="1"/>
  <c r="L67" i="1" s="1"/>
  <c r="M67" i="1" s="1"/>
  <c r="O67" i="1" s="1"/>
  <c r="J191" i="1"/>
  <c r="K191" i="1" s="1"/>
  <c r="J193" i="1"/>
  <c r="J194" i="1"/>
  <c r="J192" i="1"/>
  <c r="J71" i="1"/>
  <c r="J69" i="1"/>
  <c r="J70" i="1"/>
  <c r="J189" i="1"/>
  <c r="K189" i="1" s="1"/>
  <c r="L189" i="1" s="1"/>
  <c r="M189" i="1" s="1"/>
  <c r="N189" i="1" s="1"/>
  <c r="J190" i="1"/>
  <c r="K190" i="1" s="1"/>
  <c r="L190" i="1" s="1"/>
  <c r="M190" i="1" s="1"/>
  <c r="N190" i="1" s="1"/>
  <c r="J66" i="1"/>
  <c r="K66" i="1" s="1"/>
  <c r="L66" i="1" s="1"/>
  <c r="M66" i="1" s="1"/>
  <c r="N66" i="1" s="1"/>
  <c r="J186" i="1"/>
  <c r="K186" i="1" s="1"/>
  <c r="J187" i="1"/>
  <c r="K187" i="1" s="1"/>
  <c r="J185" i="1"/>
  <c r="K185" i="1" s="1"/>
  <c r="J188" i="1"/>
  <c r="K188" i="1" s="1"/>
  <c r="L188" i="1" s="1"/>
  <c r="M188" i="1" s="1"/>
  <c r="N188" i="1" s="1"/>
  <c r="J63" i="1"/>
  <c r="K63" i="1" s="1"/>
  <c r="L63" i="1" s="1"/>
  <c r="M63" i="1" s="1"/>
  <c r="O63" i="1" s="1"/>
  <c r="J64" i="1"/>
  <c r="K64" i="1" s="1"/>
  <c r="L64" i="1" s="1"/>
  <c r="M64" i="1" s="1"/>
  <c r="O64" i="1" s="1"/>
  <c r="J62" i="1"/>
  <c r="K62" i="1" s="1"/>
  <c r="L62" i="1" s="1"/>
  <c r="M62" i="1" s="1"/>
  <c r="N62" i="1" s="1"/>
  <c r="J65" i="1"/>
  <c r="K65" i="1" s="1"/>
  <c r="L65" i="1" s="1"/>
  <c r="M65" i="1" s="1"/>
  <c r="O65" i="1" s="1"/>
  <c r="CA5" i="1"/>
  <c r="DZ21" i="1"/>
  <c r="DX21" i="1"/>
  <c r="DY20" i="1"/>
  <c r="DZ20" i="1"/>
  <c r="DX20" i="1"/>
  <c r="DW24" i="1" s="1"/>
  <c r="DY21" i="1"/>
  <c r="ED20" i="1"/>
  <c r="EE20" i="1"/>
  <c r="EC20" i="1"/>
  <c r="K192" i="1"/>
  <c r="K193" i="1"/>
  <c r="K194" i="1"/>
  <c r="F56" i="1"/>
  <c r="G56" i="1" s="1"/>
  <c r="E171" i="1"/>
  <c r="F53" i="1"/>
  <c r="G53" i="1" s="1"/>
  <c r="C161" i="1"/>
  <c r="B148" i="1"/>
  <c r="F170" i="1" s="1"/>
  <c r="F50" i="1"/>
  <c r="G50" i="1" s="1"/>
  <c r="B158" i="1"/>
  <c r="B169" i="1" s="1"/>
  <c r="G41" i="1"/>
  <c r="O38" i="1" s="1"/>
  <c r="O33" i="1" s="1"/>
  <c r="K68" i="1"/>
  <c r="L68" i="1" s="1"/>
  <c r="M68" i="1" s="1"/>
  <c r="G40" i="1"/>
  <c r="K38" i="1" s="1"/>
  <c r="K39" i="1" s="1"/>
  <c r="J34" i="1" s="1"/>
  <c r="J72" i="1" l="1"/>
  <c r="CE8" i="1"/>
  <c r="CG7" i="1"/>
  <c r="CB5" i="1"/>
  <c r="L194" i="1"/>
  <c r="M194" i="1" s="1"/>
  <c r="N194" i="1" s="1"/>
  <c r="L193" i="1"/>
  <c r="M193" i="1" s="1"/>
  <c r="N193" i="1" s="1"/>
  <c r="DY28" i="1"/>
  <c r="DW26" i="1"/>
  <c r="DX28" i="1"/>
  <c r="DX26" i="1"/>
  <c r="DW28" i="1"/>
  <c r="DW27" i="1"/>
  <c r="DY27" i="1"/>
  <c r="DY26" i="1"/>
  <c r="DX27" i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CG5" i="1" l="1"/>
  <c r="CF8" i="1"/>
  <c r="CG8" i="1" s="1"/>
  <c r="O193" i="1"/>
  <c r="P193" i="1"/>
  <c r="P194" i="1"/>
  <c r="O194" i="1"/>
  <c r="DW40" i="1" a="1"/>
  <c r="DW31" i="1" a="1"/>
  <c r="DX31" i="1" s="1"/>
  <c r="EB30" i="1" a="1"/>
  <c r="EB30" i="1" s="1"/>
  <c r="DW30" i="1" a="1"/>
  <c r="DW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B196" i="1" l="1"/>
  <c r="AC17" i="1"/>
  <c r="L72" i="1"/>
  <c r="DX41" i="1"/>
  <c r="DY41" i="1"/>
  <c r="DY43" i="1"/>
  <c r="DZ41" i="1"/>
  <c r="DZ43" i="1"/>
  <c r="DW40" i="1"/>
  <c r="DW42" i="1"/>
  <c r="DX40" i="1"/>
  <c r="DX42" i="1"/>
  <c r="DY40" i="1"/>
  <c r="DY42" i="1"/>
  <c r="DZ40" i="1"/>
  <c r="DZ42" i="1"/>
  <c r="DW41" i="1"/>
  <c r="DW43" i="1"/>
  <c r="DX43" i="1"/>
  <c r="DW31" i="1"/>
  <c r="DY31" i="1"/>
  <c r="EE30" i="1"/>
  <c r="ED30" i="1"/>
  <c r="EC30" i="1"/>
  <c r="DX30" i="1"/>
  <c r="DZ30" i="1"/>
  <c r="DY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P195" i="1"/>
  <c r="P196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R73" i="1" l="1"/>
  <c r="B198" i="1"/>
  <c r="B197" i="1"/>
  <c r="O196" i="1"/>
  <c r="AE17" i="1"/>
  <c r="AD17" i="1"/>
  <c r="DW44" i="1" a="1"/>
  <c r="EF30" i="1"/>
  <c r="DZ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P57" i="1"/>
  <c r="N57" i="1"/>
  <c r="O57" i="1"/>
  <c r="E76" i="1" l="1"/>
  <c r="F76" i="1"/>
  <c r="S73" i="1"/>
  <c r="R75" i="1" s="1"/>
  <c r="T196" i="1"/>
  <c r="S196" i="1"/>
  <c r="B75" i="1"/>
  <c r="DW44" i="1"/>
  <c r="DZ44" i="1"/>
  <c r="DX44" i="1"/>
  <c r="DY44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Q36" i="1" l="1"/>
  <c r="S198" i="1"/>
  <c r="Q35" i="1" s="1"/>
  <c r="S58" i="1"/>
  <c r="R36" i="1"/>
  <c r="Z159" i="1"/>
  <c r="N159" i="1" s="1"/>
  <c r="AW159" i="1"/>
  <c r="O159" i="1" s="1"/>
  <c r="AW163" i="1"/>
  <c r="O163" i="1" s="1"/>
  <c r="B178" i="1"/>
  <c r="AW158" i="1"/>
  <c r="O158" i="1" s="1"/>
  <c r="AW164" i="1"/>
  <c r="O164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T58" i="1"/>
  <c r="S60" i="1" l="1"/>
  <c r="B200" i="1"/>
  <c r="U4" i="1" s="1"/>
  <c r="Z18" i="1" s="1"/>
  <c r="AC18" i="1" s="1"/>
  <c r="O165" i="1"/>
  <c r="B180" i="1" s="1"/>
  <c r="F178" i="1" s="1"/>
  <c r="N165" i="1"/>
  <c r="B179" i="1" s="1"/>
  <c r="B83" i="1"/>
  <c r="AB7" i="1" l="1"/>
  <c r="EB5" i="1"/>
  <c r="EB6" i="1" s="1"/>
  <c r="W4" i="1"/>
  <c r="B201" i="1"/>
  <c r="E178" i="1"/>
  <c r="B202" i="1"/>
  <c r="EB11" i="1" l="1"/>
  <c r="B205" i="1"/>
  <c r="U6" i="1" s="1"/>
  <c r="B204" i="1"/>
  <c r="U5" i="1" s="1"/>
  <c r="G178" i="1"/>
  <c r="H178" i="1"/>
  <c r="R33" i="1" s="1"/>
  <c r="EB12" i="1"/>
  <c r="EB22" i="1" s="1" a="1"/>
  <c r="EB22" i="1" s="1"/>
  <c r="EG6" i="1"/>
  <c r="AE11" i="1" l="1"/>
  <c r="W5" i="1"/>
  <c r="AF11" i="1"/>
  <c r="W6" i="1"/>
  <c r="Q33" i="1"/>
  <c r="J178" i="1"/>
  <c r="Q32" i="1" s="1"/>
  <c r="AB9" i="1"/>
  <c r="ED5" i="1"/>
  <c r="ED11" i="1" s="1"/>
  <c r="AB18" i="1"/>
  <c r="AE18" i="1" s="1"/>
  <c r="BX7" i="1"/>
  <c r="CJ9" i="1" s="1"/>
  <c r="U18" i="1"/>
  <c r="U19" i="1" s="1"/>
  <c r="U21" i="1" s="1"/>
  <c r="AA18" i="1"/>
  <c r="AD18" i="1" s="1"/>
  <c r="AA9" i="1"/>
  <c r="U7" i="1"/>
  <c r="W7" i="1" s="1"/>
  <c r="Y8" i="1" s="1"/>
  <c r="U8" i="1"/>
  <c r="AA7" i="1" s="1"/>
  <c r="EC5" i="1"/>
  <c r="BW7" i="1"/>
  <c r="CI9" i="1" s="1"/>
  <c r="EG12" i="1"/>
  <c r="EI12" i="1" s="1"/>
  <c r="EJ6" i="1"/>
  <c r="EI6" i="1"/>
  <c r="EH6" i="1"/>
  <c r="ED22" i="1"/>
  <c r="EC22" i="1"/>
  <c r="EE22" i="1"/>
  <c r="CJ7" i="1" l="1"/>
  <c r="CJ10" i="1" s="1"/>
  <c r="W19" i="1"/>
  <c r="W21" i="1" s="1"/>
  <c r="V19" i="1"/>
  <c r="V21" i="1" s="1"/>
  <c r="EF5" i="1"/>
  <c r="AC9" i="1"/>
  <c r="CJ6" i="1"/>
  <c r="CK9" i="1"/>
  <c r="X8" i="1"/>
  <c r="CI7" i="1"/>
  <c r="CI10" i="1" s="1"/>
  <c r="W8" i="1"/>
  <c r="X7" i="1"/>
  <c r="EC11" i="1"/>
  <c r="EG11" i="1" s="1"/>
  <c r="CI6" i="1"/>
  <c r="EG5" i="1"/>
  <c r="EH5" i="1" s="1"/>
  <c r="BY7" i="1"/>
  <c r="CA7" i="1" s="1"/>
  <c r="EH12" i="1"/>
  <c r="EJ12" i="1"/>
  <c r="EB32" i="1" a="1"/>
  <c r="CK10" i="1" l="1"/>
  <c r="CK11" i="1" s="1"/>
  <c r="CJ8" i="1"/>
  <c r="U23" i="1"/>
  <c r="V23" i="1" s="1"/>
  <c r="CK6" i="1"/>
  <c r="CK7" i="1"/>
  <c r="BZ7" i="1"/>
  <c r="CI8" i="1" s="1"/>
  <c r="EF11" i="1"/>
  <c r="EB21" i="1" a="1"/>
  <c r="EC21" i="1" s="1"/>
  <c r="EI5" i="1"/>
  <c r="EJ5" i="1"/>
  <c r="EH11" i="1"/>
  <c r="EJ11" i="1"/>
  <c r="EI11" i="1"/>
  <c r="EB32" i="1"/>
  <c r="EB36" i="1" s="1"/>
  <c r="ED32" i="1"/>
  <c r="ED36" i="1" s="1"/>
  <c r="EC32" i="1"/>
  <c r="EC36" i="1" s="1"/>
  <c r="EE32" i="1"/>
  <c r="CK8" i="1" l="1"/>
  <c r="CL8" i="1" s="1"/>
  <c r="CB7" i="1"/>
  <c r="EE21" i="1"/>
  <c r="EB21" i="1"/>
  <c r="ED21" i="1"/>
  <c r="EE36" i="1"/>
  <c r="EF36" i="1" s="1"/>
  <c r="EB31" i="1" l="1" a="1"/>
  <c r="EB31" i="1" s="1"/>
  <c r="EB37" i="1" s="1"/>
  <c r="EH36" i="1"/>
  <c r="EG36" i="1"/>
  <c r="EC31" i="1" l="1"/>
  <c r="EC37" i="1" s="1"/>
  <c r="ED31" i="1"/>
  <c r="ED37" i="1" s="1"/>
  <c r="EE31" i="1"/>
  <c r="EE37" i="1" l="1"/>
  <c r="EF37" i="1" s="1"/>
  <c r="EF38" i="1" s="1"/>
  <c r="EF31" i="1"/>
  <c r="EF32" i="1" s="1"/>
  <c r="EG37" i="1" l="1"/>
  <c r="EG38" i="1" s="1"/>
  <c r="EH37" i="1"/>
  <c r="EH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<sst xmlns="http://schemas.openxmlformats.org/spreadsheetml/2006/main" count="411" uniqueCount="247">
  <si>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</si>
  <si>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</si>
  <si>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</si>
  <si>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</si>
  <si>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</si>
  <si>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</si>
  <si>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</si>
  <si>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</si>
  <si>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</si>
  <si>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</si>
  <si>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</si>
  <si>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</si>
  <si>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</si>
  <si>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</si>
  <si>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</si>
  <si>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</si>
  <si>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</si>
  <si>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</si>
  <si>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</si>
  <si>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</si>
  <si>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</si>
  <si>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</si>
  <si>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</si>
  <si>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</si>
  <si>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</si>
  <si>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</si>
  <si>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</si>
  <si>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</si>
  <si>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</si>
  <si>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</si>
  <si>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</si>
  <si>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</si>
  <si>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</si>
  <si>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</si>
  <si>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</si>
  <si>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</si>
  <si>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</si>
  <si>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</si>
  <si>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</si>
  <si>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</si>
  <si>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</si>
  <si>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</si>
  <si>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</si>
  <si>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</si>
  <si>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</si>
  <si>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</si>
  <si>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</si>
  <si>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</si>
  <si>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</si>
  <si>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</si>
  <si>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</si>
  <si>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</si>
  <si>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</si>
  <si>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</si>
  <si>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</si>
  <si>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</si>
  <si>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</si>
  <si>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</si>
  <si>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</si>
  <si>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</si>
  <si>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</si>
  <si>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</si>
  <si>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</si>
  <si>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</si>
  <si>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</si>
  <si>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</si>
  <si>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</si>
  <si>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</si>
  <si>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</si>
  <si>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</si>
  <si>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</si>
  <si>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</si>
  <si>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</si>
  <si>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</si>
  <si>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</si>
  <si>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</si>
  <si>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</si>
  <si>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</si>
  <si>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</si>
  <si>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</si>
  <si>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</si>
  <si>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</si>
  <si>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</si>
  <si>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</si>
  <si>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</si>
  <si>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</si>
  <si>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</si>
  <si>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</si>
  <si>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</si>
  <si>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</si>
  <si>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</si>
  <si>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</si>
  <si>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</si>
  <si>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</si>
  <si>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</si>
  <si>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</si>
  <si>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</si>
  <si>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</si>
  <si>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</si>
  <si>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</si>
  <si>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</si>
  <si>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</si>
  <si>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</si>
  <si>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</si>
  <si>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</si>
  <si>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</si>
  <si>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</si>
  <si>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</si>
  <si>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</si>
  <si>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</si>
  <si>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</si>
  <si>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</si>
  <si>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</si>
  <si>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</si>
  <si>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</si>
  <si>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</si>
  <si>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</si>
  <si>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</si>
  <si>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</si>
  <si>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</si>
  <si>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</si>
  <si>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</si>
  <si>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</si>
  <si>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</si>
  <si>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</si>
  <si>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</si>
  <si>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</si>
  <si>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</si>
  <si>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</si>
  <si>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</si>
  <si>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</si>
  <si>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</si>
  <si>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</si>
  <si>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</si>
  <si>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</si>
  <si>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</si>
  <si>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</si>
  <si>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</si>
  <si>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</si>
  <si>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adelt</t>
  </si>
  <si>
    <t>amk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</si>
  <si>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</si>
  <si>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</si>
  <si>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</si>
  <si>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</si>
  <si>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</si>
  <si>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</si>
  <si>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2D Vectors from Guess to Mx v My Plot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</si>
  <si>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</si>
  <si>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</si>
  <si>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</si>
  <si>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</si>
  <si>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</si>
  <si>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</si>
  <si>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</si>
  <si>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</si>
  <si>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</si>
  <si>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</si>
  <si>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</si>
  <si>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</si>
  <si>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</si>
  <si>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</si>
  <si>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</si>
  <si>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</si>
  <si>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</si>
  <si>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</si>
  <si>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</si>
  <si>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</si>
  <si>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</si>
  <si>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</si>
  <si>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</si>
  <si>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</si>
  <si>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</si>
  <si>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</si>
  <si>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</si>
  <si>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</si>
  <si>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</si>
  <si>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</si>
  <si>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</si>
  <si>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</si>
  <si>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</si>
  <si>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</si>
  <si>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</si>
  <si>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</si>
  <si>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</si>
  <si>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</si>
  <si>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</si>
  <si>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</si>
  <si>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</si>
  <si>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</si>
  <si>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</si>
  <si>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</si>
  <si>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</si>
  <si>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</si>
  <si>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</si>
  <si>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</si>
  <si>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</si>
  <si>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</si>
  <si>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</si>
  <si>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</si>
  <si>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</si>
  <si>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</si>
  <si>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</si>
  <si>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</si>
  <si>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</si>
  <si>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</si>
  <si>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</si>
  <si>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</si>
  <si>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</si>
  <si>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Pn</t>
  </si>
  <si>
    <t>Mxn</t>
  </si>
  <si>
    <t>Myn</t>
  </si>
  <si>
    <t>vector</t>
  </si>
  <si>
    <t>ak-1</t>
  </si>
  <si>
    <t>amk-1</t>
  </si>
  <si>
    <t>amo-amk</t>
  </si>
  <si>
    <t>f_x</t>
  </si>
  <si>
    <t>alpha+h</t>
  </si>
  <si>
    <t xml:space="preserve">h = </t>
  </si>
  <si>
    <t>f_x_p</t>
  </si>
  <si>
    <t>alpha-h</t>
  </si>
  <si>
    <t>f_x_m</t>
  </si>
  <si>
    <t>f_prime_x</t>
  </si>
  <si>
    <t>alpha j</t>
  </si>
  <si>
    <t>alpha i</t>
  </si>
  <si>
    <t>Net Steel Stress</t>
  </si>
  <si>
    <t>Tan -1 Ux/Uy</t>
  </si>
  <si>
    <t>User Point</t>
  </si>
  <si>
    <t>Calc Point</t>
  </si>
  <si>
    <t>Vector</t>
  </si>
  <si>
    <t>G0</t>
  </si>
  <si>
    <t>0U</t>
  </si>
  <si>
    <t>GU</t>
  </si>
  <si>
    <t>dMx</t>
  </si>
  <si>
    <t>dMy</t>
  </si>
  <si>
    <t>GC</t>
  </si>
  <si>
    <t>0C</t>
  </si>
  <si>
    <t xml:space="preserve">Guess - Point inside Mx/My Slice </t>
  </si>
  <si>
    <t>GC-GU</t>
  </si>
  <si>
    <t>CU</t>
  </si>
  <si>
    <t>GC-G0</t>
  </si>
  <si>
    <t>parametric</t>
  </si>
  <si>
    <t>NA Angle Iters</t>
  </si>
  <si>
    <t>Total Iters</t>
  </si>
  <si>
    <t>Whitney</t>
  </si>
  <si>
    <t>Ec Calc:</t>
  </si>
  <si>
    <t>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</si>
</sst>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0" fontId="10" fillId="0" borderId="0" xfId="0" applyFont="1"/>
    <xf numFmtId="167" fontId="0" fillId="4" borderId="11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TLR_Section_Capacity!$E$3:$E$11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36</c:v>
                </c:pt>
                <c:pt idx="4">
                  <c:v>36</c:v>
                </c:pt>
                <c:pt idx="5">
                  <c:v>-12</c:v>
                </c:pt>
                <c:pt idx="6">
                  <c:v>-12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TLR_Section_Capacity!$F$3:$F$11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TLR_Section_Capacity!$K$15:$K$24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TLR_Section_Capacity!$L$15:$L$24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TLR_Section_Capacity!$X$4:$X$6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-46</c:v>
                </c:pt>
              </c:numCache>
            </c:numRef>
          </c:xVal>
          <c:yVal>
            <c:numRef>
              <c:f>TLR_Section_Capacity!$Y$4:$Y$6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TLR_Section_Capacity!$J$33:$J$34</c:f>
              <c:numCache>
                <c:formatCode>General</c:formatCode>
                <c:ptCount val="2"/>
                <c:pt idx="0">
                  <c:v>-13.435177732975127</c:v>
                </c:pt>
                <c:pt idx="1">
                  <c:v>37.015016010005269</c:v>
                </c:pt>
              </c:numCache>
            </c:numRef>
          </c:xVal>
          <c:yVal>
            <c:numRef>
              <c:f>TLR_Section_Capacity!$K$33:$K$34</c:f>
              <c:numCache>
                <c:formatCode>General</c:formatCode>
                <c:ptCount val="2"/>
                <c:pt idx="0">
                  <c:v>21.45833325815746</c:v>
                </c:pt>
                <c:pt idx="1">
                  <c:v>23.681219354707906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TLR_Section_Capacity!$N$33:$N$34</c:f>
              <c:numCache>
                <c:formatCode>General</c:formatCode>
                <c:ptCount val="2"/>
                <c:pt idx="0">
                  <c:v>-13.456975848748385</c:v>
                </c:pt>
                <c:pt idx="1">
                  <c:v>36.993217894232018</c:v>
                </c:pt>
              </c:numCache>
            </c:numRef>
          </c:xVal>
          <c:yVal>
            <c:numRef>
              <c:f>TLR_Section_Capacity!$O$33:$O$34</c:f>
              <c:numCache>
                <c:formatCode>General</c:formatCode>
                <c:ptCount val="2"/>
                <c:pt idx="0">
                  <c:v>21.95305908585474</c:v>
                </c:pt>
                <c:pt idx="1">
                  <c:v>24.175945182405187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TLR_Section_Capacity!$I$2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TLR_Section_Capacity!$I$3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strRef>
              <c:f>TLR_Section_Capacity!$Q$32</c:f>
              <c:strCache>
                <c:ptCount val="1"/>
                <c:pt idx="0">
                  <c:v>Cc = 189.6 kips
 @ ( 3 , 23.3391 )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8"/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TLR_Section_Capacity!$Q$33</c:f>
              <c:numCache>
                <c:formatCode>General</c:formatCode>
                <c:ptCount val="1"/>
                <c:pt idx="0">
                  <c:v>2.9999999995650057</c:v>
                </c:pt>
              </c:numCache>
            </c:numRef>
          </c:xVal>
          <c:yVal>
            <c:numRef>
              <c:f>TLR_Section_Capacity!$R$33</c:f>
              <c:numCache>
                <c:formatCode>General</c:formatCode>
                <c:ptCount val="1"/>
                <c:pt idx="0">
                  <c:v>23.339084967301453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8.0967177709097962E-2"/>
          <c:y val="0.87789643482064739"/>
          <c:w val="0.83275477730811442"/>
          <c:h val="0.10821467629046369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TLR_Section_Capacity!$C$37:$C$45</c:f>
              <c:numCache>
                <c:formatCode>0.000</c:formatCode>
                <c:ptCount val="9"/>
                <c:pt idx="0">
                  <c:v>-6.5224038901418933</c:v>
                </c:pt>
                <c:pt idx="1">
                  <c:v>5.4659648111491297</c:v>
                </c:pt>
                <c:pt idx="2">
                  <c:v>6.170257530477639</c:v>
                </c:pt>
                <c:pt idx="3">
                  <c:v>30.146994933059684</c:v>
                </c:pt>
                <c:pt idx="4">
                  <c:v>30.499141292723937</c:v>
                </c:pt>
                <c:pt idx="5">
                  <c:v>-17.454333512440154</c:v>
                </c:pt>
                <c:pt idx="6">
                  <c:v>-17.806479872104408</c:v>
                </c:pt>
                <c:pt idx="7">
                  <c:v>-5.8181111708133839</c:v>
                </c:pt>
                <c:pt idx="8">
                  <c:v>-6.5224038901418933</c:v>
                </c:pt>
              </c:numCache>
            </c:numRef>
          </c:xVal>
          <c:yVal>
            <c:numRef>
              <c:f>TLR_Section_Capacity!$D$37:$D$45</c:f>
              <c:numCache>
                <c:formatCode>0.000</c:formatCode>
                <c:ptCount val="9"/>
                <c:pt idx="0">
                  <c:v>-11.724258931542833</c:v>
                </c:pt>
                <c:pt idx="1">
                  <c:v>-12.252478471039213</c:v>
                </c:pt>
                <c:pt idx="2">
                  <c:v>3.7320131306821502</c:v>
                </c:pt>
                <c:pt idx="3">
                  <c:v>2.6755740516893871</c:v>
                </c:pt>
                <c:pt idx="4">
                  <c:v>10.667819852550069</c:v>
                </c:pt>
                <c:pt idx="5">
                  <c:v>12.780698010535595</c:v>
                </c:pt>
                <c:pt idx="6">
                  <c:v>4.7884522096749134</c:v>
                </c:pt>
                <c:pt idx="7">
                  <c:v>4.2602326701785316</c:v>
                </c:pt>
                <c:pt idx="8">
                  <c:v>-11.724258931542833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TLR_Section_Capacity!$Q$62:$Q$71</c:f>
              <c:numCache>
                <c:formatCode>General</c:formatCode>
                <c:ptCount val="10"/>
                <c:pt idx="0">
                  <c:v>-4.4363058500106591</c:v>
                </c:pt>
                <c:pt idx="1">
                  <c:v>-4.3482692600945958</c:v>
                </c:pt>
                <c:pt idx="2">
                  <c:v>-2.4382443997954888</c:v>
                </c:pt>
                <c:pt idx="3">
                  <c:v>-2.350207809879425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TLR_Section_Capacity!$R$62:$R$71</c:f>
              <c:numCache>
                <c:formatCode>General</c:formatCode>
                <c:ptCount val="10"/>
                <c:pt idx="0">
                  <c:v>-9.8142340712437264</c:v>
                </c:pt>
                <c:pt idx="1">
                  <c:v>-7.8161726210285547</c:v>
                </c:pt>
                <c:pt idx="2">
                  <c:v>-9.9022706611597897</c:v>
                </c:pt>
                <c:pt idx="3">
                  <c:v>-7.9042092109446189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TLR_Section_Capacity!$J$38:$J$39</c:f>
              <c:numCache>
                <c:formatCode>0.000</c:formatCode>
                <c:ptCount val="2"/>
                <c:pt idx="0">
                  <c:v>-19</c:v>
                </c:pt>
                <c:pt idx="1">
                  <c:v>31.499141292723937</c:v>
                </c:pt>
              </c:numCache>
            </c:numRef>
          </c:xVal>
          <c:yVal>
            <c:numRef>
              <c:f>TLR_Section_Capacity!$K$38:$K$39</c:f>
              <c:numCache>
                <c:formatCode>0.000</c:formatCode>
                <c:ptCount val="2"/>
                <c:pt idx="0">
                  <c:v>10.304668919218111</c:v>
                </c:pt>
                <c:pt idx="1">
                  <c:v>10.304668919218111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TLR_Section_Capacity!$N$38:$N$39</c:f>
              <c:numCache>
                <c:formatCode>0.000</c:formatCode>
                <c:ptCount val="2"/>
                <c:pt idx="0">
                  <c:v>-19</c:v>
                </c:pt>
                <c:pt idx="1">
                  <c:v>31.499141292723937</c:v>
                </c:pt>
              </c:numCache>
            </c:numRef>
          </c:xVal>
          <c:yVal>
            <c:numRef>
              <c:f>TLR_Section_Capacity!$O$38:$O$39</c:f>
              <c:numCache>
                <c:formatCode>0.000</c:formatCode>
                <c:ptCount val="2"/>
                <c:pt idx="0">
                  <c:v>10.799874737481607</c:v>
                </c:pt>
                <c:pt idx="1">
                  <c:v>10.799874737481607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TLR_Section_Capacity!$S$49:$S$56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27.502049116097467</c:v>
                </c:pt>
                <c:pt idx="5">
                  <c:v>-17.454333512440154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TLR_Section_Capacity!$T$49:$T$56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10.799874737481607</c:v>
                </c:pt>
                <c:pt idx="5">
                  <c:v>12.780698010535595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-17.454333512440154</c:v>
                </c:pt>
                <c:pt idx="5">
                  <c:v>-17.54161057099472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TLR_Section_Capacity!$W$49:$W$56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12.780698010535595</c:v>
                </c:pt>
                <c:pt idx="5">
                  <c:v>10.799874737481607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TLR_Section_Capacity!$AA$5:$AA$6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xVal>
          <c:yVal>
            <c:numRef>
              <c:f>TLR_Section_Capacity!$AB$5:$AB$6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(TLR_Section_Capacity!$AA$5,TLR_Section_Capacity!$AA$7)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289.22178823493851</c:v>
                </c:pt>
              </c:numCache>
            </c:numRef>
          </c:xVal>
          <c:yVal>
            <c:numRef>
              <c:f>(TLR_Section_Capacity!$AB$5,TLR_Section_Capacity!$AB$7)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-9.3365315478877164E-11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TLR_Section_Capacity!$AA$6:$AA$7</c:f>
              <c:numCache>
                <c:formatCode>General</c:formatCode>
                <c:ptCount val="2"/>
                <c:pt idx="0">
                  <c:v>50</c:v>
                </c:pt>
                <c:pt idx="1">
                  <c:v>289.22178823493851</c:v>
                </c:pt>
              </c:numCache>
            </c:numRef>
          </c:xVal>
          <c:yVal>
            <c:numRef>
              <c:f>TLR_Section_Capacity!$AB$6:$AB$7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-9.3365315478877164E-11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TLR_Section_Capacity!$BD$2:$BD$363</c:f>
              <c:numCache>
                <c:formatCode>General</c:formatCode>
                <c:ptCount val="362"/>
                <c:pt idx="0">
                  <c:v>292.01188235296047</c:v>
                </c:pt>
                <c:pt idx="1">
                  <c:v>290.22073929643784</c:v>
                </c:pt>
                <c:pt idx="2">
                  <c:v>286.78032161504001</c:v>
                </c:pt>
                <c:pt idx="3">
                  <c:v>284.10462870538743</c:v>
                </c:pt>
                <c:pt idx="4">
                  <c:v>281.83507885571555</c:v>
                </c:pt>
                <c:pt idx="5">
                  <c:v>279.81915250959901</c:v>
                </c:pt>
                <c:pt idx="6">
                  <c:v>277.97783243680789</c:v>
                </c:pt>
                <c:pt idx="7">
                  <c:v>276.2635125537476</c:v>
                </c:pt>
                <c:pt idx="8">
                  <c:v>274.64457800381473</c:v>
                </c:pt>
                <c:pt idx="9">
                  <c:v>273.09850797796452</c:v>
                </c:pt>
                <c:pt idx="10">
                  <c:v>271.60835862576073</c:v>
                </c:pt>
                <c:pt idx="11">
                  <c:v>270.16079137847959</c:v>
                </c:pt>
                <c:pt idx="12">
                  <c:v>268.74488335123141</c:v>
                </c:pt>
                <c:pt idx="13">
                  <c:v>267.35136461893273</c:v>
                </c:pt>
                <c:pt idx="14">
                  <c:v>265.97210214377759</c:v>
                </c:pt>
                <c:pt idx="15">
                  <c:v>264.59973225158427</c:v>
                </c:pt>
                <c:pt idx="16">
                  <c:v>263.22738489903634</c:v>
                </c:pt>
                <c:pt idx="17">
                  <c:v>261.84846497280012</c:v>
                </c:pt>
                <c:pt idx="18">
                  <c:v>260.45879411835659</c:v>
                </c:pt>
                <c:pt idx="19">
                  <c:v>259.14720619787283</c:v>
                </c:pt>
                <c:pt idx="20">
                  <c:v>257.94784885923025</c:v>
                </c:pt>
                <c:pt idx="21">
                  <c:v>256.84433020161521</c:v>
                </c:pt>
                <c:pt idx="22">
                  <c:v>255.82321226751338</c:v>
                </c:pt>
                <c:pt idx="23">
                  <c:v>254.87336733741378</c:v>
                </c:pt>
                <c:pt idx="24">
                  <c:v>253.9854950024673</c:v>
                </c:pt>
                <c:pt idx="25">
                  <c:v>253.15175498394476</c:v>
                </c:pt>
                <c:pt idx="26">
                  <c:v>252.36548452049394</c:v>
                </c:pt>
                <c:pt idx="27">
                  <c:v>251.62097838084782</c:v>
                </c:pt>
                <c:pt idx="28">
                  <c:v>250.91331582907483</c:v>
                </c:pt>
                <c:pt idx="29">
                  <c:v>250.23822318592713</c:v>
                </c:pt>
                <c:pt idx="30">
                  <c:v>249.59196366092246</c:v>
                </c:pt>
                <c:pt idx="31">
                  <c:v>248.97124827064422</c:v>
                </c:pt>
                <c:pt idx="32">
                  <c:v>248.37316320447891</c:v>
                </c:pt>
                <c:pt idx="33">
                  <c:v>247.79511012019171</c:v>
                </c:pt>
                <c:pt idx="34">
                  <c:v>247.23475667139039</c:v>
                </c:pt>
                <c:pt idx="35">
                  <c:v>246.68999518599344</c:v>
                </c:pt>
                <c:pt idx="36">
                  <c:v>246.15890786876557</c:v>
                </c:pt>
                <c:pt idx="37">
                  <c:v>244.80261524322751</c:v>
                </c:pt>
                <c:pt idx="38">
                  <c:v>241.58928015457627</c:v>
                </c:pt>
                <c:pt idx="39">
                  <c:v>238.31981202627551</c:v>
                </c:pt>
                <c:pt idx="40">
                  <c:v>234.98271468298987</c:v>
                </c:pt>
                <c:pt idx="41">
                  <c:v>231.56561628974913</c:v>
                </c:pt>
                <c:pt idx="42">
                  <c:v>228.05506500857342</c:v>
                </c:pt>
                <c:pt idx="43">
                  <c:v>224.43629113065907</c:v>
                </c:pt>
                <c:pt idx="44">
                  <c:v>220.69292614980924</c:v>
                </c:pt>
                <c:pt idx="45">
                  <c:v>216.80666666666636</c:v>
                </c:pt>
                <c:pt idx="46">
                  <c:v>208.69118337833578</c:v>
                </c:pt>
                <c:pt idx="47">
                  <c:v>200.95371139188555</c:v>
                </c:pt>
                <c:pt idx="48">
                  <c:v>193.19448154508638</c:v>
                </c:pt>
                <c:pt idx="49">
                  <c:v>183.57611937633936</c:v>
                </c:pt>
                <c:pt idx="50">
                  <c:v>173.86227706353597</c:v>
                </c:pt>
                <c:pt idx="51">
                  <c:v>164.16645985932971</c:v>
                </c:pt>
                <c:pt idx="52">
                  <c:v>154.4679740506179</c:v>
                </c:pt>
                <c:pt idx="53">
                  <c:v>144.58497362469186</c:v>
                </c:pt>
                <c:pt idx="54">
                  <c:v>133.91834470129152</c:v>
                </c:pt>
                <c:pt idx="55">
                  <c:v>123.08861927963535</c:v>
                </c:pt>
                <c:pt idx="56">
                  <c:v>111.88094992048262</c:v>
                </c:pt>
                <c:pt idx="57">
                  <c:v>101.01226449762667</c:v>
                </c:pt>
                <c:pt idx="58">
                  <c:v>89.004839040639965</c:v>
                </c:pt>
                <c:pt idx="59">
                  <c:v>75.827187855399814</c:v>
                </c:pt>
                <c:pt idx="60">
                  <c:v>61.586626772011556</c:v>
                </c:pt>
                <c:pt idx="61">
                  <c:v>47.829674030349594</c:v>
                </c:pt>
                <c:pt idx="62">
                  <c:v>35.536056000641139</c:v>
                </c:pt>
                <c:pt idx="63">
                  <c:v>24.673085977814754</c:v>
                </c:pt>
                <c:pt idx="64">
                  <c:v>13.860966441766537</c:v>
                </c:pt>
                <c:pt idx="65">
                  <c:v>5.1359799165707161</c:v>
                </c:pt>
                <c:pt idx="66">
                  <c:v>-1.291887297646318</c:v>
                </c:pt>
                <c:pt idx="67">
                  <c:v>-4.9939582865487919</c:v>
                </c:pt>
                <c:pt idx="68">
                  <c:v>-6.0148904205163847</c:v>
                </c:pt>
                <c:pt idx="69">
                  <c:v>-6.2174640441392279</c:v>
                </c:pt>
                <c:pt idx="70">
                  <c:v>-6.4233965855928314</c:v>
                </c:pt>
                <c:pt idx="71">
                  <c:v>-6.6345543193495562</c:v>
                </c:pt>
                <c:pt idx="72">
                  <c:v>-6.8529247269252496</c:v>
                </c:pt>
                <c:pt idx="73">
                  <c:v>-7.0807026825606441</c:v>
                </c:pt>
                <c:pt idx="74">
                  <c:v>-7.3203934779903586</c:v>
                </c:pt>
                <c:pt idx="75">
                  <c:v>-7.5749436787066236</c:v>
                </c:pt>
                <c:pt idx="76">
                  <c:v>-7.847915610959034</c:v>
                </c:pt>
                <c:pt idx="77">
                  <c:v>-8.1437295819841875</c:v>
                </c:pt>
                <c:pt idx="78">
                  <c:v>-8.4680123342541957</c:v>
                </c:pt>
                <c:pt idx="79">
                  <c:v>-8.8281158760882583</c:v>
                </c:pt>
                <c:pt idx="80">
                  <c:v>-9.2339181259230525</c:v>
                </c:pt>
                <c:pt idx="81">
                  <c:v>-9.6991082184210367</c:v>
                </c:pt>
                <c:pt idx="82">
                  <c:v>-10.243345950636074</c:v>
                </c:pt>
                <c:pt idx="83">
                  <c:v>-10.896092414762313</c:v>
                </c:pt>
                <c:pt idx="84">
                  <c:v>-11.837937697056271</c:v>
                </c:pt>
                <c:pt idx="85">
                  <c:v>-12.816280848055632</c:v>
                </c:pt>
                <c:pt idx="86">
                  <c:v>-13.76862544673901</c:v>
                </c:pt>
                <c:pt idx="87">
                  <c:v>-14.803883308707627</c:v>
                </c:pt>
                <c:pt idx="88">
                  <c:v>-15.730089371534092</c:v>
                </c:pt>
                <c:pt idx="89">
                  <c:v>-16.385554946417823</c:v>
                </c:pt>
                <c:pt idx="90">
                  <c:v>-16.970027538035495</c:v>
                </c:pt>
                <c:pt idx="91">
                  <c:v>-16.428095075743826</c:v>
                </c:pt>
                <c:pt idx="92">
                  <c:v>-15.913589121979593</c:v>
                </c:pt>
                <c:pt idx="93">
                  <c:v>-15.24346524756719</c:v>
                </c:pt>
                <c:pt idx="94">
                  <c:v>-14.569142779261554</c:v>
                </c:pt>
                <c:pt idx="95">
                  <c:v>-13.946996693821948</c:v>
                </c:pt>
                <c:pt idx="96">
                  <c:v>-13.37210619830789</c:v>
                </c:pt>
                <c:pt idx="97">
                  <c:v>-12.783050312976851</c:v>
                </c:pt>
                <c:pt idx="98">
                  <c:v>-12.172520856998682</c:v>
                </c:pt>
                <c:pt idx="99">
                  <c:v>-11.606049767357039</c:v>
                </c:pt>
                <c:pt idx="100">
                  <c:v>-11.10263209220212</c:v>
                </c:pt>
                <c:pt idx="101">
                  <c:v>-10.642553592757151</c:v>
                </c:pt>
                <c:pt idx="102">
                  <c:v>-10.211627638755319</c:v>
                </c:pt>
                <c:pt idx="103">
                  <c:v>-9.6891820355497522</c:v>
                </c:pt>
                <c:pt idx="104">
                  <c:v>-3.6058136769537863</c:v>
                </c:pt>
                <c:pt idx="105">
                  <c:v>9.5383845860949972</c:v>
                </c:pt>
                <c:pt idx="106">
                  <c:v>28.90943312538754</c:v>
                </c:pt>
                <c:pt idx="107">
                  <c:v>53.191464593112045</c:v>
                </c:pt>
                <c:pt idx="108">
                  <c:v>72.511535131364639</c:v>
                </c:pt>
                <c:pt idx="109">
                  <c:v>93.11982867577116</c:v>
                </c:pt>
                <c:pt idx="110">
                  <c:v>114.81194981434474</c:v>
                </c:pt>
                <c:pt idx="111">
                  <c:v>137.32877640120816</c:v>
                </c:pt>
                <c:pt idx="112">
                  <c:v>158.40095825151104</c:v>
                </c:pt>
                <c:pt idx="113">
                  <c:v>174.8671250196077</c:v>
                </c:pt>
                <c:pt idx="114">
                  <c:v>188.38430409000171</c:v>
                </c:pt>
                <c:pt idx="115">
                  <c:v>196.83479556041283</c:v>
                </c:pt>
                <c:pt idx="116">
                  <c:v>205.25807054430945</c:v>
                </c:pt>
                <c:pt idx="117">
                  <c:v>213.67335556075474</c:v>
                </c:pt>
                <c:pt idx="118">
                  <c:v>222.09995173067736</c:v>
                </c:pt>
                <c:pt idx="119">
                  <c:v>230.5573876345268</c:v>
                </c:pt>
                <c:pt idx="120">
                  <c:v>233.88803633900466</c:v>
                </c:pt>
                <c:pt idx="121">
                  <c:v>234.50875172940002</c:v>
                </c:pt>
                <c:pt idx="122">
                  <c:v>235.10683679546773</c:v>
                </c:pt>
                <c:pt idx="123">
                  <c:v>235.68488987982184</c:v>
                </c:pt>
                <c:pt idx="124">
                  <c:v>236.24524332868378</c:v>
                </c:pt>
                <c:pt idx="125">
                  <c:v>236.79000481398955</c:v>
                </c:pt>
                <c:pt idx="126">
                  <c:v>237.3210921312326</c:v>
                </c:pt>
                <c:pt idx="127">
                  <c:v>237.8402627536754</c:v>
                </c:pt>
                <c:pt idx="128">
                  <c:v>238.34913916136915</c:v>
                </c:pt>
                <c:pt idx="129">
                  <c:v>238.84923076129726</c:v>
                </c:pt>
                <c:pt idx="130">
                  <c:v>239.34195306236873</c:v>
                </c:pt>
                <c:pt idx="131">
                  <c:v>239.8286446480204</c:v>
                </c:pt>
                <c:pt idx="132">
                  <c:v>240.31058240036919</c:v>
                </c:pt>
                <c:pt idx="133">
                  <c:v>240.78899535755338</c:v>
                </c:pt>
                <c:pt idx="134">
                  <c:v>241.26507753493649</c:v>
                </c:pt>
                <c:pt idx="135">
                  <c:v>241.73999999994814</c:v>
                </c:pt>
                <c:pt idx="136">
                  <c:v>242.21492246505593</c:v>
                </c:pt>
                <c:pt idx="137">
                  <c:v>242.69100464241959</c:v>
                </c:pt>
                <c:pt idx="138">
                  <c:v>243.16941759961395</c:v>
                </c:pt>
                <c:pt idx="139">
                  <c:v>243.65135535197368</c:v>
                </c:pt>
                <c:pt idx="140">
                  <c:v>244.13804693764507</c:v>
                </c:pt>
                <c:pt idx="141">
                  <c:v>244.63076923867598</c:v>
                </c:pt>
                <c:pt idx="142">
                  <c:v>245.13086083867435</c:v>
                </c:pt>
                <c:pt idx="143">
                  <c:v>245.63973724630571</c:v>
                </c:pt>
                <c:pt idx="144">
                  <c:v>246.15890786879996</c:v>
                </c:pt>
                <c:pt idx="145">
                  <c:v>246.6899951860041</c:v>
                </c:pt>
                <c:pt idx="146">
                  <c:v>247.23475667140482</c:v>
                </c:pt>
                <c:pt idx="147">
                  <c:v>247.79511012016798</c:v>
                </c:pt>
                <c:pt idx="148">
                  <c:v>248.37316320448915</c:v>
                </c:pt>
                <c:pt idx="149">
                  <c:v>248.97124827057854</c:v>
                </c:pt>
                <c:pt idx="150">
                  <c:v>249.59196366104447</c:v>
                </c:pt>
                <c:pt idx="151">
                  <c:v>250.23822318600892</c:v>
                </c:pt>
                <c:pt idx="152">
                  <c:v>250.91331582911954</c:v>
                </c:pt>
                <c:pt idx="153">
                  <c:v>251.62097838089042</c:v>
                </c:pt>
                <c:pt idx="154">
                  <c:v>252.36548452043152</c:v>
                </c:pt>
                <c:pt idx="155">
                  <c:v>253.15175498406725</c:v>
                </c:pt>
                <c:pt idx="156">
                  <c:v>253.98549500242575</c:v>
                </c:pt>
                <c:pt idx="157">
                  <c:v>254.87336733732766</c:v>
                </c:pt>
                <c:pt idx="158">
                  <c:v>255.82321226752265</c:v>
                </c:pt>
                <c:pt idx="159">
                  <c:v>256.84433020168234</c:v>
                </c:pt>
                <c:pt idx="160">
                  <c:v>257.94784885931932</c:v>
                </c:pt>
                <c:pt idx="161">
                  <c:v>259.14720619783395</c:v>
                </c:pt>
                <c:pt idx="162">
                  <c:v>260.45879411842668</c:v>
                </c:pt>
                <c:pt idx="163">
                  <c:v>261.84846497274629</c:v>
                </c:pt>
                <c:pt idx="164">
                  <c:v>263.22738489907232</c:v>
                </c:pt>
                <c:pt idx="165">
                  <c:v>264.59973225150787</c:v>
                </c:pt>
                <c:pt idx="166">
                  <c:v>265.9721021438445</c:v>
                </c:pt>
                <c:pt idx="167">
                  <c:v>267.35136461881291</c:v>
                </c:pt>
                <c:pt idx="168">
                  <c:v>268.74488335121021</c:v>
                </c:pt>
                <c:pt idx="169">
                  <c:v>270.1607913784847</c:v>
                </c:pt>
                <c:pt idx="170">
                  <c:v>271.60835862584497</c:v>
                </c:pt>
                <c:pt idx="171">
                  <c:v>273.0985079779939</c:v>
                </c:pt>
                <c:pt idx="172">
                  <c:v>274.64457800393541</c:v>
                </c:pt>
                <c:pt idx="173">
                  <c:v>276.26351255371856</c:v>
                </c:pt>
                <c:pt idx="174">
                  <c:v>277.97783243678504</c:v>
                </c:pt>
                <c:pt idx="175">
                  <c:v>279.81915250958133</c:v>
                </c:pt>
                <c:pt idx="176">
                  <c:v>281.83507885563938</c:v>
                </c:pt>
                <c:pt idx="177">
                  <c:v>284.10462870532234</c:v>
                </c:pt>
                <c:pt idx="178">
                  <c:v>286.7803216150939</c:v>
                </c:pt>
                <c:pt idx="179">
                  <c:v>290.22073929659479</c:v>
                </c:pt>
                <c:pt idx="180">
                  <c:v>292.01188235301464</c:v>
                </c:pt>
                <c:pt idx="181">
                  <c:v>292.01188235295956</c:v>
                </c:pt>
                <c:pt idx="361" formatCode="0.000">
                  <c:v>284.0394926747486</c:v>
                </c:pt>
              </c:numCache>
            </c:numRef>
          </c:xVal>
          <c:yVal>
            <c:numRef>
              <c:f>TLR_Section_Capacity!$BE$2:$BE$363</c:f>
              <c:numCache>
                <c:formatCode>General</c:formatCode>
                <c:ptCount val="362"/>
                <c:pt idx="0">
                  <c:v>-127.98000000001048</c:v>
                </c:pt>
                <c:pt idx="1">
                  <c:v>-25.396747540994788</c:v>
                </c:pt>
                <c:pt idx="2">
                  <c:v>43.984710830680385</c:v>
                </c:pt>
                <c:pt idx="3">
                  <c:v>75.195467314176085</c:v>
                </c:pt>
                <c:pt idx="4">
                  <c:v>93.869080296981082</c:v>
                </c:pt>
                <c:pt idx="5">
                  <c:v>106.6750954344437</c:v>
                </c:pt>
                <c:pt idx="6">
                  <c:v>116.18623695746092</c:v>
                </c:pt>
                <c:pt idx="7">
                  <c:v>123.63302640977899</c:v>
                </c:pt>
                <c:pt idx="8">
                  <c:v>129.68776703343815</c:v>
                </c:pt>
                <c:pt idx="9">
                  <c:v>134.75292415966294</c:v>
                </c:pt>
                <c:pt idx="10">
                  <c:v>139.08612526195162</c:v>
                </c:pt>
                <c:pt idx="11">
                  <c:v>142.86098688224774</c:v>
                </c:pt>
                <c:pt idx="12">
                  <c:v>146.19938938217999</c:v>
                </c:pt>
                <c:pt idx="13">
                  <c:v>149.18979675720647</c:v>
                </c:pt>
                <c:pt idx="14">
                  <c:v>151.89823446389281</c:v>
                </c:pt>
                <c:pt idx="15">
                  <c:v>154.37516777262806</c:v>
                </c:pt>
                <c:pt idx="16">
                  <c:v>156.65997598087677</c:v>
                </c:pt>
                <c:pt idx="17">
                  <c:v>158.78395741637516</c:v>
                </c:pt>
                <c:pt idx="18">
                  <c:v>160.76918921876779</c:v>
                </c:pt>
                <c:pt idx="19">
                  <c:v>162.51119016133671</c:v>
                </c:pt>
                <c:pt idx="20">
                  <c:v>163.99341306443173</c:v>
                </c:pt>
                <c:pt idx="21">
                  <c:v>165.26376504250348</c:v>
                </c:pt>
                <c:pt idx="22">
                  <c:v>166.35949750828902</c:v>
                </c:pt>
                <c:pt idx="23">
                  <c:v>167.30992141114436</c:v>
                </c:pt>
                <c:pt idx="24">
                  <c:v>168.13834750535517</c:v>
                </c:pt>
                <c:pt idx="25">
                  <c:v>168.86349441845954</c:v>
                </c:pt>
                <c:pt idx="26">
                  <c:v>169.50052495238629</c:v>
                </c:pt>
                <c:pt idx="27">
                  <c:v>170.06181861160525</c:v>
                </c:pt>
                <c:pt idx="28">
                  <c:v>170.55755429048259</c:v>
                </c:pt>
                <c:pt idx="29">
                  <c:v>170.99615451028737</c:v>
                </c:pt>
                <c:pt idx="30">
                  <c:v>171.38462745089282</c:v>
                </c:pt>
                <c:pt idx="31">
                  <c:v>171.7288326636409</c:v>
                </c:pt>
                <c:pt idx="32">
                  <c:v>172.03368918756664</c:v>
                </c:pt>
                <c:pt idx="33">
                  <c:v>172.30333975853361</c:v>
                </c:pt>
                <c:pt idx="34">
                  <c:v>172.54128121779149</c:v>
                </c:pt>
                <c:pt idx="35">
                  <c:v>172.75046866386904</c:v>
                </c:pt>
                <c:pt idx="36">
                  <c:v>172.93339901644342</c:v>
                </c:pt>
                <c:pt idx="37">
                  <c:v>172.50229298346187</c:v>
                </c:pt>
                <c:pt idx="38">
                  <c:v>170.72581883625824</c:v>
                </c:pt>
                <c:pt idx="39">
                  <c:v>168.87215725892329</c:v>
                </c:pt>
                <c:pt idx="40">
                  <c:v>166.93576819126355</c:v>
                </c:pt>
                <c:pt idx="41">
                  <c:v>164.91009008906903</c:v>
                </c:pt>
                <c:pt idx="42">
                  <c:v>162.78743564460083</c:v>
                </c:pt>
                <c:pt idx="43">
                  <c:v>160.55885495809204</c:v>
                </c:pt>
                <c:pt idx="44">
                  <c:v>158.21396047842998</c:v>
                </c:pt>
                <c:pt idx="45">
                  <c:v>155.74070588235173</c:v>
                </c:pt>
                <c:pt idx="46">
                  <c:v>150.19895916515239</c:v>
                </c:pt>
                <c:pt idx="47">
                  <c:v>144.89528562386795</c:v>
                </c:pt>
                <c:pt idx="48">
                  <c:v>139.76661951515447</c:v>
                </c:pt>
                <c:pt idx="49">
                  <c:v>134.46619076472749</c:v>
                </c:pt>
                <c:pt idx="50">
                  <c:v>129.0608063380885</c:v>
                </c:pt>
                <c:pt idx="51">
                  <c:v>123.56054027928381</c:v>
                </c:pt>
                <c:pt idx="52">
                  <c:v>117.95120920576132</c:v>
                </c:pt>
                <c:pt idx="53">
                  <c:v>112.11256731841178</c:v>
                </c:pt>
                <c:pt idx="54">
                  <c:v>105.63594043988346</c:v>
                </c:pt>
                <c:pt idx="55">
                  <c:v>98.907386357273907</c:v>
                </c:pt>
                <c:pt idx="56">
                  <c:v>91.667870818195965</c:v>
                </c:pt>
                <c:pt idx="57">
                  <c:v>84.694375526545201</c:v>
                </c:pt>
                <c:pt idx="58">
                  <c:v>77.205183152884558</c:v>
                </c:pt>
                <c:pt idx="59">
                  <c:v>68.911354742916458</c:v>
                </c:pt>
                <c:pt idx="60">
                  <c:v>59.683746116876961</c:v>
                </c:pt>
                <c:pt idx="61">
                  <c:v>50.478723572424727</c:v>
                </c:pt>
                <c:pt idx="62">
                  <c:v>42.012585733157884</c:v>
                </c:pt>
                <c:pt idx="63">
                  <c:v>34.370199480252531</c:v>
                </c:pt>
                <c:pt idx="64">
                  <c:v>25.559673193308416</c:v>
                </c:pt>
                <c:pt idx="65">
                  <c:v>17.128455297882304</c:v>
                </c:pt>
                <c:pt idx="66">
                  <c:v>10.796534575541088</c:v>
                </c:pt>
                <c:pt idx="67">
                  <c:v>6.9231909947536314</c:v>
                </c:pt>
                <c:pt idx="68">
                  <c:v>5.813852995110123</c:v>
                </c:pt>
                <c:pt idx="69">
                  <c:v>5.612496439966641</c:v>
                </c:pt>
                <c:pt idx="70">
                  <c:v>5.4088512552613253</c:v>
                </c:pt>
                <c:pt idx="71">
                  <c:v>5.2007390010906382</c:v>
                </c:pt>
                <c:pt idx="72">
                  <c:v>4.9856543290762536</c:v>
                </c:pt>
                <c:pt idx="73">
                  <c:v>4.7606098139851261</c:v>
                </c:pt>
                <c:pt idx="74">
                  <c:v>4.5219227331446179</c:v>
                </c:pt>
                <c:pt idx="75">
                  <c:v>4.2649113154177583</c:v>
                </c:pt>
                <c:pt idx="76">
                  <c:v>3.9834479802485352</c:v>
                </c:pt>
                <c:pt idx="77">
                  <c:v>3.6692818127010112</c:v>
                </c:pt>
                <c:pt idx="78">
                  <c:v>3.3109782556133802</c:v>
                </c:pt>
                <c:pt idx="79">
                  <c:v>2.8922023232856349</c:v>
                </c:pt>
                <c:pt idx="80">
                  <c:v>2.3888305857702998</c:v>
                </c:pt>
                <c:pt idx="81">
                  <c:v>1.7638736749991344</c:v>
                </c:pt>
                <c:pt idx="82">
                  <c:v>0.95807134318533138</c:v>
                </c:pt>
                <c:pt idx="83">
                  <c:v>-0.12866287466381823</c:v>
                </c:pt>
                <c:pt idx="84">
                  <c:v>-1.3604858392766432</c:v>
                </c:pt>
                <c:pt idx="85">
                  <c:v>-3.4994170257365291</c:v>
                </c:pt>
                <c:pt idx="86">
                  <c:v>-5.7386234245871632</c:v>
                </c:pt>
                <c:pt idx="87">
                  <c:v>-8.0861886571983419</c:v>
                </c:pt>
                <c:pt idx="88">
                  <c:v>-10.581533405591729</c:v>
                </c:pt>
                <c:pt idx="89">
                  <c:v>-12.868241375513318</c:v>
                </c:pt>
                <c:pt idx="90">
                  <c:v>-15.25783045510058</c:v>
                </c:pt>
                <c:pt idx="91">
                  <c:v>-16.374412867840061</c:v>
                </c:pt>
                <c:pt idx="92">
                  <c:v>-17.507079490868207</c:v>
                </c:pt>
                <c:pt idx="93">
                  <c:v>-18.697223219223385</c:v>
                </c:pt>
                <c:pt idx="94">
                  <c:v>-19.773838258466711</c:v>
                </c:pt>
                <c:pt idx="95">
                  <c:v>-20.878693541655501</c:v>
                </c:pt>
                <c:pt idx="96">
                  <c:v>-22.057796637254238</c:v>
                </c:pt>
                <c:pt idx="97">
                  <c:v>-23.246883901702244</c:v>
                </c:pt>
                <c:pt idx="98">
                  <c:v>-24.448678125955322</c:v>
                </c:pt>
                <c:pt idx="99">
                  <c:v>-25.569721568318062</c:v>
                </c:pt>
                <c:pt idx="100">
                  <c:v>-26.599749124230605</c:v>
                </c:pt>
                <c:pt idx="101">
                  <c:v>-27.576321944026642</c:v>
                </c:pt>
                <c:pt idx="102">
                  <c:v>-28.522823021524562</c:v>
                </c:pt>
                <c:pt idx="103">
                  <c:v>-29.716654360153839</c:v>
                </c:pt>
                <c:pt idx="104">
                  <c:v>-43.451772248937139</c:v>
                </c:pt>
                <c:pt idx="105">
                  <c:v>-71.200090792960495</c:v>
                </c:pt>
                <c:pt idx="106">
                  <c:v>-110.124537338184</c:v>
                </c:pt>
                <c:pt idx="107">
                  <c:v>-154.93308790580301</c:v>
                </c:pt>
                <c:pt idx="108">
                  <c:v>-183.48510089903303</c:v>
                </c:pt>
                <c:pt idx="109">
                  <c:v>-213.28469318883805</c:v>
                </c:pt>
                <c:pt idx="110">
                  <c:v>-244.00456535293321</c:v>
                </c:pt>
                <c:pt idx="111">
                  <c:v>-275.45751093677586</c:v>
                </c:pt>
                <c:pt idx="112">
                  <c:v>-304.60570434540949</c:v>
                </c:pt>
                <c:pt idx="113">
                  <c:v>-327.33025179120364</c:v>
                </c:pt>
                <c:pt idx="114">
                  <c:v>-348.12803932430461</c:v>
                </c:pt>
                <c:pt idx="115">
                  <c:v>-363.04729221262107</c:v>
                </c:pt>
                <c:pt idx="116">
                  <c:v>-377.86119259232754</c:v>
                </c:pt>
                <c:pt idx="117">
                  <c:v>-392.60715795818584</c:v>
                </c:pt>
                <c:pt idx="118">
                  <c:v>-407.32200554820884</c:v>
                </c:pt>
                <c:pt idx="119">
                  <c:v>-422.04229860968934</c:v>
                </c:pt>
                <c:pt idx="120">
                  <c:v>-427.34462745093032</c:v>
                </c:pt>
                <c:pt idx="121">
                  <c:v>-427.68883266355402</c:v>
                </c:pt>
                <c:pt idx="122">
                  <c:v>-427.99368918748081</c:v>
                </c:pt>
                <c:pt idx="123">
                  <c:v>-428.26333975859484</c:v>
                </c:pt>
                <c:pt idx="124">
                  <c:v>-428.50128121786986</c:v>
                </c:pt>
                <c:pt idx="125">
                  <c:v>-428.71046866394096</c:v>
                </c:pt>
                <c:pt idx="126">
                  <c:v>-428.89339901644695</c:v>
                </c:pt>
                <c:pt idx="127">
                  <c:v>-429.05217828710545</c:v>
                </c:pt>
                <c:pt idx="128">
                  <c:v>-429.18857583734609</c:v>
                </c:pt>
                <c:pt idx="129">
                  <c:v>-429.30406813269502</c:v>
                </c:pt>
                <c:pt idx="130">
                  <c:v>-429.39987392960404</c:v>
                </c:pt>
                <c:pt idx="131">
                  <c:v>-429.47698237927642</c:v>
                </c:pt>
                <c:pt idx="132">
                  <c:v>-429.53617519575204</c:v>
                </c:pt>
                <c:pt idx="133">
                  <c:v>-429.57804375620708</c:v>
                </c:pt>
                <c:pt idx="134">
                  <c:v>-429.6030017887565</c:v>
                </c:pt>
                <c:pt idx="135">
                  <c:v>-429.6112941174888</c:v>
                </c:pt>
                <c:pt idx="136">
                  <c:v>-429.603001788585</c:v>
                </c:pt>
                <c:pt idx="137">
                  <c:v>-429.57804375621561</c:v>
                </c:pt>
                <c:pt idx="138">
                  <c:v>-429.53617519580826</c:v>
                </c:pt>
                <c:pt idx="139">
                  <c:v>-429.47698237942365</c:v>
                </c:pt>
                <c:pt idx="140">
                  <c:v>-429.39987392962263</c:v>
                </c:pt>
                <c:pt idx="141">
                  <c:v>-429.30406813255541</c:v>
                </c:pt>
                <c:pt idx="142">
                  <c:v>-429.18857583725696</c:v>
                </c:pt>
                <c:pt idx="143">
                  <c:v>-429.05217828707737</c:v>
                </c:pt>
                <c:pt idx="144">
                  <c:v>-428.89339901654591</c:v>
                </c:pt>
                <c:pt idx="145">
                  <c:v>-428.7104686638616</c:v>
                </c:pt>
                <c:pt idx="146">
                  <c:v>-428.50128121788407</c:v>
                </c:pt>
                <c:pt idx="147">
                  <c:v>-428.26333975845506</c:v>
                </c:pt>
                <c:pt idx="148">
                  <c:v>-427.99368918757335</c:v>
                </c:pt>
                <c:pt idx="149">
                  <c:v>-427.68883266351315</c:v>
                </c:pt>
                <c:pt idx="150">
                  <c:v>-427.34462745118117</c:v>
                </c:pt>
                <c:pt idx="151">
                  <c:v>-426.95615451047797</c:v>
                </c:pt>
                <c:pt idx="152">
                  <c:v>-426.51755429064661</c:v>
                </c:pt>
                <c:pt idx="153">
                  <c:v>-426.02181861169862</c:v>
                </c:pt>
                <c:pt idx="154">
                  <c:v>-425.46052495220027</c:v>
                </c:pt>
                <c:pt idx="155">
                  <c:v>-424.82349441873509</c:v>
                </c:pt>
                <c:pt idx="156">
                  <c:v>-424.09834750525448</c:v>
                </c:pt>
                <c:pt idx="157">
                  <c:v>-423.26992141093939</c:v>
                </c:pt>
                <c:pt idx="158">
                  <c:v>-422.31949750826124</c:v>
                </c:pt>
                <c:pt idx="159">
                  <c:v>-421.22376504261752</c:v>
                </c:pt>
                <c:pt idx="160">
                  <c:v>-419.95341306462853</c:v>
                </c:pt>
                <c:pt idx="161">
                  <c:v>-418.47119016129062</c:v>
                </c:pt>
                <c:pt idx="162">
                  <c:v>-416.72918921890727</c:v>
                </c:pt>
                <c:pt idx="163">
                  <c:v>-414.7439574162666</c:v>
                </c:pt>
                <c:pt idx="164">
                  <c:v>-412.61997598089783</c:v>
                </c:pt>
                <c:pt idx="165">
                  <c:v>-410.33516777249639</c:v>
                </c:pt>
                <c:pt idx="166">
                  <c:v>-407.85823446404305</c:v>
                </c:pt>
                <c:pt idx="167">
                  <c:v>-405.14979675697873</c:v>
                </c:pt>
                <c:pt idx="168">
                  <c:v>-402.15938938213861</c:v>
                </c:pt>
                <c:pt idx="169">
                  <c:v>-398.82098688225886</c:v>
                </c:pt>
                <c:pt idx="170">
                  <c:v>-395.04612526209519</c:v>
                </c:pt>
                <c:pt idx="171">
                  <c:v>-390.71292415971607</c:v>
                </c:pt>
                <c:pt idx="172">
                  <c:v>-385.6477670336547</c:v>
                </c:pt>
                <c:pt idx="173">
                  <c:v>-379.59302640970566</c:v>
                </c:pt>
                <c:pt idx="174">
                  <c:v>-372.14623695737328</c:v>
                </c:pt>
                <c:pt idx="175">
                  <c:v>-362.63509543438005</c:v>
                </c:pt>
                <c:pt idx="176">
                  <c:v>-349.82908029692823</c:v>
                </c:pt>
                <c:pt idx="177">
                  <c:v>-331.1554673141606</c:v>
                </c:pt>
                <c:pt idx="178">
                  <c:v>-299.94471083070596</c:v>
                </c:pt>
                <c:pt idx="179">
                  <c:v>-230.56325245905956</c:v>
                </c:pt>
                <c:pt idx="180">
                  <c:v>-127.98000000010308</c:v>
                </c:pt>
                <c:pt idx="181">
                  <c:v>-127.98000000001063</c:v>
                </c:pt>
                <c:pt idx="361" formatCode="0.000">
                  <c:v>-2.3310392745078038E-13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5"/>
          <c:order val="1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TLR_Section_Capacity!$BJ$2:$BJ$363</c:f>
              <c:numCache>
                <c:formatCode>General</c:formatCode>
                <c:ptCount val="362"/>
                <c:pt idx="0">
                  <c:v>324.45764705884494</c:v>
                </c:pt>
                <c:pt idx="1">
                  <c:v>322.46748810715314</c:v>
                </c:pt>
                <c:pt idx="2">
                  <c:v>318.6448017944889</c:v>
                </c:pt>
                <c:pt idx="3">
                  <c:v>315.67180967265267</c:v>
                </c:pt>
                <c:pt idx="4">
                  <c:v>313.15008761746174</c:v>
                </c:pt>
                <c:pt idx="5">
                  <c:v>310.91016945511001</c:v>
                </c:pt>
                <c:pt idx="6">
                  <c:v>308.86425826311989</c:v>
                </c:pt>
                <c:pt idx="7">
                  <c:v>306.9594583930529</c:v>
                </c:pt>
                <c:pt idx="8">
                  <c:v>305.16064222646082</c:v>
                </c:pt>
                <c:pt idx="9">
                  <c:v>303.4427866421828</c:v>
                </c:pt>
                <c:pt idx="10">
                  <c:v>301.78706513973412</c:v>
                </c:pt>
                <c:pt idx="11">
                  <c:v>300.17865708719955</c:v>
                </c:pt>
                <c:pt idx="12">
                  <c:v>298.60542594581267</c:v>
                </c:pt>
                <c:pt idx="13">
                  <c:v>297.05707179881415</c:v>
                </c:pt>
                <c:pt idx="14">
                  <c:v>295.52455793753063</c:v>
                </c:pt>
                <c:pt idx="15">
                  <c:v>293.99970250176028</c:v>
                </c:pt>
                <c:pt idx="16">
                  <c:v>292.47487211004039</c:v>
                </c:pt>
                <c:pt idx="17">
                  <c:v>290.94273885866681</c:v>
                </c:pt>
                <c:pt idx="18">
                  <c:v>289.39866013150731</c:v>
                </c:pt>
                <c:pt idx="19">
                  <c:v>287.94134021985872</c:v>
                </c:pt>
                <c:pt idx="20">
                  <c:v>286.60872095470029</c:v>
                </c:pt>
                <c:pt idx="21">
                  <c:v>285.3825891129058</c:v>
                </c:pt>
                <c:pt idx="22">
                  <c:v>284.24801363057043</c:v>
                </c:pt>
                <c:pt idx="23">
                  <c:v>283.19263037490418</c:v>
                </c:pt>
                <c:pt idx="24">
                  <c:v>282.206105558297</c:v>
                </c:pt>
                <c:pt idx="25">
                  <c:v>281.27972775993862</c:v>
                </c:pt>
                <c:pt idx="26">
                  <c:v>280.40609391165992</c:v>
                </c:pt>
                <c:pt idx="27">
                  <c:v>279.57886486760867</c:v>
                </c:pt>
                <c:pt idx="28">
                  <c:v>278.79257314341646</c:v>
                </c:pt>
                <c:pt idx="29">
                  <c:v>278.04247020658568</c:v>
                </c:pt>
                <c:pt idx="30">
                  <c:v>277.3244040676916</c:v>
                </c:pt>
                <c:pt idx="31">
                  <c:v>276.6347203007158</c:v>
                </c:pt>
                <c:pt idx="32">
                  <c:v>275.97018133830989</c:v>
                </c:pt>
                <c:pt idx="33">
                  <c:v>275.32790013354634</c:v>
                </c:pt>
                <c:pt idx="34">
                  <c:v>274.70528519043376</c:v>
                </c:pt>
                <c:pt idx="35">
                  <c:v>274.09999465110383</c:v>
                </c:pt>
                <c:pt idx="36">
                  <c:v>273.50989763196173</c:v>
                </c:pt>
                <c:pt idx="37">
                  <c:v>272.93304138485996</c:v>
                </c:pt>
                <c:pt idx="38">
                  <c:v>272.36762315406543</c:v>
                </c:pt>
                <c:pt idx="39">
                  <c:v>271.81196582081537</c:v>
                </c:pt>
                <c:pt idx="40">
                  <c:v>271.26449659736028</c:v>
                </c:pt>
                <c:pt idx="41">
                  <c:v>270.72372816883899</c:v>
                </c:pt>
                <c:pt idx="42">
                  <c:v>270.18824177742391</c:v>
                </c:pt>
                <c:pt idx="43">
                  <c:v>269.65667182494792</c:v>
                </c:pt>
                <c:pt idx="44">
                  <c:v>269.12769162785446</c:v>
                </c:pt>
                <c:pt idx="45">
                  <c:v>268.59999999999832</c:v>
                </c:pt>
                <c:pt idx="46">
                  <c:v>268.07230837210585</c:v>
                </c:pt>
                <c:pt idx="47">
                  <c:v>267.54332817508458</c:v>
                </c:pt>
                <c:pt idx="48">
                  <c:v>265.8056543852768</c:v>
                </c:pt>
                <c:pt idx="49">
                  <c:v>256.59365777938797</c:v>
                </c:pt>
                <c:pt idx="50">
                  <c:v>246.5516288359959</c:v>
                </c:pt>
                <c:pt idx="51">
                  <c:v>236.29962125060212</c:v>
                </c:pt>
                <c:pt idx="52">
                  <c:v>225.80052463885079</c:v>
                </c:pt>
                <c:pt idx="53">
                  <c:v>214.57346603181423</c:v>
                </c:pt>
                <c:pt idx="54">
                  <c:v>201.06972843320116</c:v>
                </c:pt>
                <c:pt idx="55">
                  <c:v>187.04866071333669</c:v>
                </c:pt>
                <c:pt idx="56">
                  <c:v>171.84887848325189</c:v>
                </c:pt>
                <c:pt idx="57">
                  <c:v>155.40348384250257</c:v>
                </c:pt>
                <c:pt idx="58">
                  <c:v>136.93052160098455</c:v>
                </c:pt>
                <c:pt idx="59">
                  <c:v>116.65721208523048</c:v>
                </c:pt>
                <c:pt idx="60">
                  <c:v>94.748656572325473</c:v>
                </c:pt>
                <c:pt idx="61">
                  <c:v>73.584113892845522</c:v>
                </c:pt>
                <c:pt idx="62">
                  <c:v>54.670855385601747</c:v>
                </c:pt>
                <c:pt idx="63">
                  <c:v>37.958593812022698</c:v>
                </c:pt>
                <c:pt idx="64">
                  <c:v>21.324563756563904</c:v>
                </c:pt>
                <c:pt idx="65">
                  <c:v>7.9015075639549472</c:v>
                </c:pt>
                <c:pt idx="66">
                  <c:v>-1.9875189194558738</c:v>
                </c:pt>
                <c:pt idx="67">
                  <c:v>-7.6830127485366031</c:v>
                </c:pt>
                <c:pt idx="68">
                  <c:v>-9.2536775700252072</c:v>
                </c:pt>
                <c:pt idx="69">
                  <c:v>-9.565329298675735</c:v>
                </c:pt>
                <c:pt idx="70">
                  <c:v>-9.8821485932197408</c:v>
                </c:pt>
                <c:pt idx="71">
                  <c:v>-10.207006645153163</c:v>
                </c:pt>
                <c:pt idx="72">
                  <c:v>-10.542961118346538</c:v>
                </c:pt>
                <c:pt idx="73">
                  <c:v>-10.89338874240099</c:v>
                </c:pt>
                <c:pt idx="74">
                  <c:v>-11.262143812292859</c:v>
                </c:pt>
                <c:pt idx="75">
                  <c:v>-11.653759505702498</c:v>
                </c:pt>
                <c:pt idx="76">
                  <c:v>-12.073716324552359</c:v>
                </c:pt>
                <c:pt idx="77">
                  <c:v>-12.528814741514134</c:v>
                </c:pt>
                <c:pt idx="78">
                  <c:v>-13.027711283467992</c:v>
                </c:pt>
                <c:pt idx="79">
                  <c:v>-13.581716732443473</c:v>
                </c:pt>
                <c:pt idx="80">
                  <c:v>-14.206027886035464</c:v>
                </c:pt>
                <c:pt idx="81">
                  <c:v>-14.921704951416979</c:v>
                </c:pt>
                <c:pt idx="82">
                  <c:v>-15.758993770209345</c:v>
                </c:pt>
                <c:pt idx="83">
                  <c:v>-16.763219099634327</c:v>
                </c:pt>
                <c:pt idx="84">
                  <c:v>-18.212211841625031</c:v>
                </c:pt>
                <c:pt idx="85">
                  <c:v>-19.717355150854818</c:v>
                </c:pt>
                <c:pt idx="86">
                  <c:v>-21.182500687290784</c:v>
                </c:pt>
                <c:pt idx="87">
                  <c:v>-22.528132744103232</c:v>
                </c:pt>
                <c:pt idx="88">
                  <c:v>-23.601191790360748</c:v>
                </c:pt>
                <c:pt idx="89">
                  <c:v>-23.978440030203664</c:v>
                </c:pt>
                <c:pt idx="90">
                  <c:v>-24.108891597367894</c:v>
                </c:pt>
                <c:pt idx="91">
                  <c:v>-24.117134651666394</c:v>
                </c:pt>
                <c:pt idx="92">
                  <c:v>-23.909017814925836</c:v>
                </c:pt>
                <c:pt idx="93">
                  <c:v>-23.171488034401893</c:v>
                </c:pt>
                <c:pt idx="94">
                  <c:v>-22.335119253881732</c:v>
                </c:pt>
                <c:pt idx="95">
                  <c:v>-21.456917990495302</c:v>
                </c:pt>
                <c:pt idx="96">
                  <c:v>-20.572471074319829</c:v>
                </c:pt>
                <c:pt idx="97">
                  <c:v>-19.666231250733617</c:v>
                </c:pt>
                <c:pt idx="98">
                  <c:v>-18.726955164613358</c:v>
                </c:pt>
                <c:pt idx="99">
                  <c:v>-17.855461180549291</c:v>
                </c:pt>
                <c:pt idx="100">
                  <c:v>-17.080972449541722</c:v>
                </c:pt>
                <c:pt idx="101">
                  <c:v>-16.373159373472539</c:v>
                </c:pt>
                <c:pt idx="102">
                  <c:v>-15.710196367315875</c:v>
                </c:pt>
                <c:pt idx="103">
                  <c:v>-14.906433900845773</c:v>
                </c:pt>
                <c:pt idx="104">
                  <c:v>-5.5474056568519785</c:v>
                </c:pt>
                <c:pt idx="105">
                  <c:v>14.674437824761533</c:v>
                </c:pt>
                <c:pt idx="106">
                  <c:v>43.350295898983902</c:v>
                </c:pt>
                <c:pt idx="107">
                  <c:v>77.267389467176969</c:v>
                </c:pt>
                <c:pt idx="108">
                  <c:v>106.12193683244148</c:v>
                </c:pt>
                <c:pt idx="109">
                  <c:v>136.29909241886543</c:v>
                </c:pt>
                <c:pt idx="110">
                  <c:v>167.16556493703342</c:v>
                </c:pt>
                <c:pt idx="111">
                  <c:v>198.04293903690547</c:v>
                </c:pt>
                <c:pt idx="112">
                  <c:v>225.44096380706858</c:v>
                </c:pt>
                <c:pt idx="113">
                  <c:v>243.24091199842979</c:v>
                </c:pt>
                <c:pt idx="114">
                  <c:v>254.9938944416599</c:v>
                </c:pt>
                <c:pt idx="115">
                  <c:v>255.92027223999679</c:v>
                </c:pt>
                <c:pt idx="116">
                  <c:v>256.79390608829891</c:v>
                </c:pt>
                <c:pt idx="117">
                  <c:v>257.6211351323887</c:v>
                </c:pt>
                <c:pt idx="118">
                  <c:v>258.40742685663986</c:v>
                </c:pt>
                <c:pt idx="119">
                  <c:v>259.15752979342233</c:v>
                </c:pt>
                <c:pt idx="120">
                  <c:v>259.87559593222738</c:v>
                </c:pt>
                <c:pt idx="121">
                  <c:v>260.56527969933336</c:v>
                </c:pt>
                <c:pt idx="122">
                  <c:v>261.22981866163082</c:v>
                </c:pt>
                <c:pt idx="123">
                  <c:v>261.87209986646872</c:v>
                </c:pt>
                <c:pt idx="124">
                  <c:v>262.49471480964866</c:v>
                </c:pt>
                <c:pt idx="125">
                  <c:v>263.10000534887729</c:v>
                </c:pt>
                <c:pt idx="126">
                  <c:v>263.69010236803621</c:v>
                </c:pt>
                <c:pt idx="127">
                  <c:v>264.26695861519488</c:v>
                </c:pt>
                <c:pt idx="128">
                  <c:v>264.83237684596571</c:v>
                </c:pt>
                <c:pt idx="129">
                  <c:v>265.38803417921918</c:v>
                </c:pt>
                <c:pt idx="130">
                  <c:v>265.93550340263192</c:v>
                </c:pt>
                <c:pt idx="131">
                  <c:v>266.47627183113377</c:v>
                </c:pt>
                <c:pt idx="132">
                  <c:v>267.01175822263241</c:v>
                </c:pt>
                <c:pt idx="133">
                  <c:v>267.54332817505929</c:v>
                </c:pt>
                <c:pt idx="134">
                  <c:v>268.07230837215167</c:v>
                </c:pt>
                <c:pt idx="135">
                  <c:v>268.59999999994238</c:v>
                </c:pt>
                <c:pt idx="136">
                  <c:v>269.12769162783991</c:v>
                </c:pt>
                <c:pt idx="137">
                  <c:v>269.65667182491063</c:v>
                </c:pt>
                <c:pt idx="138">
                  <c:v>270.18824177734882</c:v>
                </c:pt>
                <c:pt idx="139">
                  <c:v>270.72372816885962</c:v>
                </c:pt>
                <c:pt idx="140">
                  <c:v>271.26449659738341</c:v>
                </c:pt>
                <c:pt idx="141">
                  <c:v>271.81196582075108</c:v>
                </c:pt>
                <c:pt idx="142">
                  <c:v>272.36762315408259</c:v>
                </c:pt>
                <c:pt idx="143">
                  <c:v>272.93304138478413</c:v>
                </c:pt>
                <c:pt idx="144">
                  <c:v>273.50989763199993</c:v>
                </c:pt>
                <c:pt idx="145">
                  <c:v>274.09999465111565</c:v>
                </c:pt>
                <c:pt idx="146">
                  <c:v>274.70528519044979</c:v>
                </c:pt>
                <c:pt idx="147">
                  <c:v>275.32790013351996</c:v>
                </c:pt>
                <c:pt idx="148">
                  <c:v>275.97018133832125</c:v>
                </c:pt>
                <c:pt idx="149">
                  <c:v>276.63472030064281</c:v>
                </c:pt>
                <c:pt idx="150">
                  <c:v>277.32440406782717</c:v>
                </c:pt>
                <c:pt idx="151">
                  <c:v>278.04247020667657</c:v>
                </c:pt>
                <c:pt idx="152">
                  <c:v>278.79257314346614</c:v>
                </c:pt>
                <c:pt idx="153">
                  <c:v>279.57886486765602</c:v>
                </c:pt>
                <c:pt idx="154">
                  <c:v>280.40609391159057</c:v>
                </c:pt>
                <c:pt idx="155">
                  <c:v>281.27972776007471</c:v>
                </c:pt>
                <c:pt idx="156">
                  <c:v>282.20610555825084</c:v>
                </c:pt>
                <c:pt idx="157">
                  <c:v>283.19263037480852</c:v>
                </c:pt>
                <c:pt idx="158">
                  <c:v>284.24801363058072</c:v>
                </c:pt>
                <c:pt idx="159">
                  <c:v>285.38258911298038</c:v>
                </c:pt>
                <c:pt idx="160">
                  <c:v>286.60872095479925</c:v>
                </c:pt>
                <c:pt idx="161">
                  <c:v>287.94134021981552</c:v>
                </c:pt>
                <c:pt idx="162">
                  <c:v>289.39866013158519</c:v>
                </c:pt>
                <c:pt idx="163">
                  <c:v>290.94273885860696</c:v>
                </c:pt>
                <c:pt idx="164">
                  <c:v>292.47487211008036</c:v>
                </c:pt>
                <c:pt idx="165">
                  <c:v>293.99970250167542</c:v>
                </c:pt>
                <c:pt idx="166">
                  <c:v>295.52455793760498</c:v>
                </c:pt>
                <c:pt idx="167">
                  <c:v>297.05707179868102</c:v>
                </c:pt>
                <c:pt idx="168">
                  <c:v>298.60542594578914</c:v>
                </c:pt>
                <c:pt idx="169">
                  <c:v>300.17865708720524</c:v>
                </c:pt>
                <c:pt idx="170">
                  <c:v>301.78706513982775</c:v>
                </c:pt>
                <c:pt idx="171">
                  <c:v>303.44278664221542</c:v>
                </c:pt>
                <c:pt idx="172">
                  <c:v>305.16064222659492</c:v>
                </c:pt>
                <c:pt idx="173">
                  <c:v>306.95945839302061</c:v>
                </c:pt>
                <c:pt idx="174">
                  <c:v>308.86425826309448</c:v>
                </c:pt>
                <c:pt idx="175">
                  <c:v>310.91016945509034</c:v>
                </c:pt>
                <c:pt idx="176">
                  <c:v>313.1500876173771</c:v>
                </c:pt>
                <c:pt idx="177">
                  <c:v>315.67180967258037</c:v>
                </c:pt>
                <c:pt idx="178">
                  <c:v>318.64480179454875</c:v>
                </c:pt>
                <c:pt idx="179">
                  <c:v>322.46748810732754</c:v>
                </c:pt>
                <c:pt idx="180">
                  <c:v>324.45764705890514</c:v>
                </c:pt>
                <c:pt idx="181">
                  <c:v>324.45764705884397</c:v>
                </c:pt>
                <c:pt idx="361">
                  <c:v>315.59943630527624</c:v>
                </c:pt>
              </c:numCache>
            </c:numRef>
          </c:xVal>
          <c:yVal>
            <c:numRef>
              <c:f>TLR_Section_Capacity!$BK$2:$BK$363</c:f>
              <c:numCache>
                <c:formatCode>General</c:formatCode>
                <c:ptCount val="362"/>
                <c:pt idx="0">
                  <c:v>-142.20000000001164</c:v>
                </c:pt>
                <c:pt idx="1">
                  <c:v>-28.218608378883097</c:v>
                </c:pt>
                <c:pt idx="2">
                  <c:v>48.871900922978206</c:v>
                </c:pt>
                <c:pt idx="3">
                  <c:v>83.550519237973432</c:v>
                </c:pt>
                <c:pt idx="4">
                  <c:v>104.29897810775675</c:v>
                </c:pt>
                <c:pt idx="5">
                  <c:v>118.52788381604856</c:v>
                </c:pt>
                <c:pt idx="6">
                  <c:v>129.09581884162324</c:v>
                </c:pt>
                <c:pt idx="7">
                  <c:v>137.37002934419888</c:v>
                </c:pt>
                <c:pt idx="8">
                  <c:v>144.0975189260424</c:v>
                </c:pt>
                <c:pt idx="9">
                  <c:v>149.72547128851437</c:v>
                </c:pt>
                <c:pt idx="10">
                  <c:v>154.54013917994624</c:v>
                </c:pt>
                <c:pt idx="11">
                  <c:v>158.73442986916416</c:v>
                </c:pt>
                <c:pt idx="12">
                  <c:v>162.44376598019997</c:v>
                </c:pt>
                <c:pt idx="13">
                  <c:v>165.76644084134051</c:v>
                </c:pt>
                <c:pt idx="14">
                  <c:v>168.77581607099199</c:v>
                </c:pt>
                <c:pt idx="15">
                  <c:v>171.52796419180896</c:v>
                </c:pt>
                <c:pt idx="16">
                  <c:v>174.06663997875197</c:v>
                </c:pt>
                <c:pt idx="17">
                  <c:v>176.42661935152796</c:v>
                </c:pt>
                <c:pt idx="18">
                  <c:v>178.63243246529754</c:v>
                </c:pt>
                <c:pt idx="19">
                  <c:v>180.56798906815189</c:v>
                </c:pt>
                <c:pt idx="20">
                  <c:v>182.21490340492414</c:v>
                </c:pt>
                <c:pt idx="21">
                  <c:v>183.62640560278163</c:v>
                </c:pt>
                <c:pt idx="22">
                  <c:v>184.84388612032114</c:v>
                </c:pt>
                <c:pt idx="23">
                  <c:v>185.89991267904929</c:v>
                </c:pt>
                <c:pt idx="24">
                  <c:v>186.8203861170613</c:v>
                </c:pt>
                <c:pt idx="25">
                  <c:v>187.62610490939949</c:v>
                </c:pt>
                <c:pt idx="26">
                  <c:v>188.33391661376254</c:v>
                </c:pt>
                <c:pt idx="27">
                  <c:v>188.95757623511693</c:v>
                </c:pt>
                <c:pt idx="28">
                  <c:v>189.50839365609176</c:v>
                </c:pt>
                <c:pt idx="29">
                  <c:v>189.99572723365262</c:v>
                </c:pt>
                <c:pt idx="30">
                  <c:v>190.42736383432535</c:v>
                </c:pt>
                <c:pt idx="31">
                  <c:v>190.80981407071212</c:v>
                </c:pt>
                <c:pt idx="32">
                  <c:v>191.14854354174071</c:v>
                </c:pt>
                <c:pt idx="33">
                  <c:v>191.44815528725957</c:v>
                </c:pt>
                <c:pt idx="34">
                  <c:v>191.71253468643499</c:v>
                </c:pt>
                <c:pt idx="35">
                  <c:v>191.94496518207671</c:v>
                </c:pt>
                <c:pt idx="36">
                  <c:v>192.14822112938157</c:v>
                </c:pt>
                <c:pt idx="37">
                  <c:v>192.32464254133802</c:v>
                </c:pt>
                <c:pt idx="38">
                  <c:v>192.4761953746912</c:v>
                </c:pt>
                <c:pt idx="39">
                  <c:v>192.60452014744388</c:v>
                </c:pt>
                <c:pt idx="40">
                  <c:v>192.71097103286115</c:v>
                </c:pt>
                <c:pt idx="41">
                  <c:v>192.79664708818089</c:v>
                </c:pt>
                <c:pt idx="42">
                  <c:v>192.86241688434657</c:v>
                </c:pt>
                <c:pt idx="43">
                  <c:v>192.90893750698427</c:v>
                </c:pt>
                <c:pt idx="44">
                  <c:v>192.93666865405899</c:v>
                </c:pt>
                <c:pt idx="45">
                  <c:v>192.94588235293875</c:v>
                </c:pt>
                <c:pt idx="46">
                  <c:v>192.93666865406203</c:v>
                </c:pt>
                <c:pt idx="47">
                  <c:v>192.90893750696097</c:v>
                </c:pt>
                <c:pt idx="48">
                  <c:v>192.2971995076042</c:v>
                </c:pt>
                <c:pt idx="49">
                  <c:v>187.95021843363691</c:v>
                </c:pt>
                <c:pt idx="50">
                  <c:v>183.01929871719346</c:v>
                </c:pt>
                <c:pt idx="51">
                  <c:v>177.85185167867422</c:v>
                </c:pt>
                <c:pt idx="52">
                  <c:v>172.42049741469509</c:v>
                </c:pt>
                <c:pt idx="53">
                  <c:v>166.38231174479688</c:v>
                </c:pt>
                <c:pt idx="54">
                  <c:v>158.60552864814747</c:v>
                </c:pt>
                <c:pt idx="55">
                  <c:v>150.30223152276017</c:v>
                </c:pt>
                <c:pt idx="56">
                  <c:v>140.80163606271458</c:v>
                </c:pt>
                <c:pt idx="57">
                  <c:v>130.299039271608</c:v>
                </c:pt>
                <c:pt idx="58">
                  <c:v>118.77720485059163</c:v>
                </c:pt>
                <c:pt idx="59">
                  <c:v>106.01746883525608</c:v>
                </c:pt>
                <c:pt idx="60">
                  <c:v>91.821147872118402</c:v>
                </c:pt>
                <c:pt idx="61">
                  <c:v>77.659574726807264</c:v>
                </c:pt>
                <c:pt idx="62">
                  <c:v>64.634747281781358</c:v>
                </c:pt>
                <c:pt idx="63">
                  <c:v>52.877229969619279</c:v>
                </c:pt>
                <c:pt idx="64">
                  <c:v>39.322574143551407</c:v>
                </c:pt>
                <c:pt idx="65">
                  <c:v>26.351469689049697</c:v>
                </c:pt>
                <c:pt idx="66">
                  <c:v>16.610053193140136</c:v>
                </c:pt>
                <c:pt idx="67">
                  <c:v>10.651063068851741</c:v>
                </c:pt>
                <c:pt idx="68">
                  <c:v>8.9443892232463433</c:v>
                </c:pt>
                <c:pt idx="69">
                  <c:v>8.6346099076409857</c:v>
                </c:pt>
                <c:pt idx="70">
                  <c:v>8.3213096234789621</c:v>
                </c:pt>
                <c:pt idx="71">
                  <c:v>8.0011369247548281</c:v>
                </c:pt>
                <c:pt idx="72">
                  <c:v>7.6702374293480826</c:v>
                </c:pt>
                <c:pt idx="73">
                  <c:v>7.3240150984386556</c:v>
                </c:pt>
                <c:pt idx="74">
                  <c:v>6.9568042048378738</c:v>
                </c:pt>
                <c:pt idx="75">
                  <c:v>6.5614020237196282</c:v>
                </c:pt>
                <c:pt idx="76">
                  <c:v>6.1283815080746695</c:v>
                </c:pt>
                <c:pt idx="77">
                  <c:v>5.6450489426169401</c:v>
                </c:pt>
                <c:pt idx="78">
                  <c:v>5.093812700943662</c:v>
                </c:pt>
                <c:pt idx="79">
                  <c:v>4.4495420358240532</c:v>
                </c:pt>
                <c:pt idx="80">
                  <c:v>3.6751239781081533</c:v>
                </c:pt>
                <c:pt idx="81">
                  <c:v>2.7136518076909759</c:v>
                </c:pt>
                <c:pt idx="82">
                  <c:v>1.4739559125928174</c:v>
                </c:pt>
                <c:pt idx="83">
                  <c:v>-0.19794288409818189</c:v>
                </c:pt>
                <c:pt idx="84">
                  <c:v>-2.0930551373486819</c:v>
                </c:pt>
                <c:pt idx="85">
                  <c:v>-5.3837185011331217</c:v>
                </c:pt>
                <c:pt idx="86">
                  <c:v>-8.8286514224417889</c:v>
                </c:pt>
                <c:pt idx="87">
                  <c:v>-12.305334192689552</c:v>
                </c:pt>
                <c:pt idx="88">
                  <c:v>-15.876375107786416</c:v>
                </c:pt>
                <c:pt idx="89">
                  <c:v>-18.831242220721272</c:v>
                </c:pt>
                <c:pt idx="90">
                  <c:v>-21.676416236129555</c:v>
                </c:pt>
                <c:pt idx="91">
                  <c:v>-24.038326912214885</c:v>
                </c:pt>
                <c:pt idx="92">
                  <c:v>-26.303121956087129</c:v>
                </c:pt>
                <c:pt idx="93">
                  <c:v>-28.421522079431384</c:v>
                </c:pt>
                <c:pt idx="94">
                  <c:v>-30.314140118009636</c:v>
                </c:pt>
                <c:pt idx="95">
                  <c:v>-32.121066987162308</c:v>
                </c:pt>
                <c:pt idx="96">
                  <c:v>-33.935071749621905</c:v>
                </c:pt>
                <c:pt idx="97">
                  <c:v>-35.764436771849603</c:v>
                </c:pt>
                <c:pt idx="98">
                  <c:v>-37.613350963008187</c:v>
                </c:pt>
                <c:pt idx="99">
                  <c:v>-39.338033182027786</c:v>
                </c:pt>
                <c:pt idx="100">
                  <c:v>-40.922690960354778</c:v>
                </c:pt>
                <c:pt idx="101">
                  <c:v>-42.425110683117907</c:v>
                </c:pt>
                <c:pt idx="102">
                  <c:v>-43.881266186960865</c:v>
                </c:pt>
                <c:pt idx="103">
                  <c:v>-45.71792978485206</c:v>
                </c:pt>
                <c:pt idx="104">
                  <c:v>-66.848880382980212</c:v>
                </c:pt>
                <c:pt idx="105">
                  <c:v>-109.53860121993922</c:v>
                </c:pt>
                <c:pt idx="106">
                  <c:v>-165.13403284814433</c:v>
                </c:pt>
                <c:pt idx="107">
                  <c:v>-225.06007939702889</c:v>
                </c:pt>
                <c:pt idx="108">
                  <c:v>-268.53374779647811</c:v>
                </c:pt>
                <c:pt idx="109">
                  <c:v>-312.1838873833608</c:v>
                </c:pt>
                <c:pt idx="110">
                  <c:v>-355.26929975839613</c:v>
                </c:pt>
                <c:pt idx="111">
                  <c:v>-397.23950416869576</c:v>
                </c:pt>
                <c:pt idx="112">
                  <c:v>-433.52391504932723</c:v>
                </c:pt>
                <c:pt idx="113">
                  <c:v>-455.31776748454178</c:v>
                </c:pt>
                <c:pt idx="114">
                  <c:v>-471.22038611684508</c:v>
                </c:pt>
                <c:pt idx="115">
                  <c:v>-472.02610490954186</c:v>
                </c:pt>
                <c:pt idx="116">
                  <c:v>-472.73391661362331</c:v>
                </c:pt>
                <c:pt idx="117">
                  <c:v>-473.35757623523699</c:v>
                </c:pt>
                <c:pt idx="118">
                  <c:v>-473.90839365617194</c:v>
                </c:pt>
                <c:pt idx="119">
                  <c:v>-474.39572723388039</c:v>
                </c:pt>
                <c:pt idx="120">
                  <c:v>-474.82736383436702</c:v>
                </c:pt>
                <c:pt idx="121">
                  <c:v>-475.20981407061555</c:v>
                </c:pt>
                <c:pt idx="122">
                  <c:v>-475.54854354164536</c:v>
                </c:pt>
                <c:pt idx="123">
                  <c:v>-475.84815528732759</c:v>
                </c:pt>
                <c:pt idx="124">
                  <c:v>-476.11253468652205</c:v>
                </c:pt>
                <c:pt idx="125">
                  <c:v>-476.34496518215661</c:v>
                </c:pt>
                <c:pt idx="126">
                  <c:v>-476.54822112938547</c:v>
                </c:pt>
                <c:pt idx="127">
                  <c:v>-476.72464254122826</c:v>
                </c:pt>
                <c:pt idx="128">
                  <c:v>-476.87619537482897</c:v>
                </c:pt>
                <c:pt idx="129">
                  <c:v>-477.00452014743888</c:v>
                </c:pt>
                <c:pt idx="130">
                  <c:v>-477.11097103289336</c:v>
                </c:pt>
                <c:pt idx="131">
                  <c:v>-477.19664708808489</c:v>
                </c:pt>
                <c:pt idx="132">
                  <c:v>-477.26241688416894</c:v>
                </c:pt>
                <c:pt idx="133">
                  <c:v>-477.30893750689677</c:v>
                </c:pt>
                <c:pt idx="134">
                  <c:v>-477.33666865417388</c:v>
                </c:pt>
                <c:pt idx="135">
                  <c:v>-477.34588235276533</c:v>
                </c:pt>
                <c:pt idx="136">
                  <c:v>-477.33666865398334</c:v>
                </c:pt>
                <c:pt idx="137">
                  <c:v>-477.3089375069062</c:v>
                </c:pt>
                <c:pt idx="138">
                  <c:v>-477.26241688423136</c:v>
                </c:pt>
                <c:pt idx="139">
                  <c:v>-477.19664708824848</c:v>
                </c:pt>
                <c:pt idx="140">
                  <c:v>-477.11097103291399</c:v>
                </c:pt>
                <c:pt idx="141">
                  <c:v>-477.00452014728376</c:v>
                </c:pt>
                <c:pt idx="142">
                  <c:v>-476.87619537472995</c:v>
                </c:pt>
                <c:pt idx="143">
                  <c:v>-476.72464254119706</c:v>
                </c:pt>
                <c:pt idx="144">
                  <c:v>-476.54822112949546</c:v>
                </c:pt>
                <c:pt idx="145">
                  <c:v>-476.34496518206845</c:v>
                </c:pt>
                <c:pt idx="146">
                  <c:v>-476.11253468653786</c:v>
                </c:pt>
                <c:pt idx="147">
                  <c:v>-475.84815528717229</c:v>
                </c:pt>
                <c:pt idx="148">
                  <c:v>-475.54854354174813</c:v>
                </c:pt>
                <c:pt idx="149">
                  <c:v>-475.20981407057013</c:v>
                </c:pt>
                <c:pt idx="150">
                  <c:v>-474.82736383464572</c:v>
                </c:pt>
                <c:pt idx="151">
                  <c:v>-474.39572723386442</c:v>
                </c:pt>
                <c:pt idx="152">
                  <c:v>-473.90839365627403</c:v>
                </c:pt>
                <c:pt idx="153">
                  <c:v>-473.35757623522068</c:v>
                </c:pt>
                <c:pt idx="154">
                  <c:v>-472.73391661355583</c:v>
                </c:pt>
                <c:pt idx="155">
                  <c:v>-472.02610490970562</c:v>
                </c:pt>
                <c:pt idx="156">
                  <c:v>-471.22038611694938</c:v>
                </c:pt>
                <c:pt idx="157">
                  <c:v>-470.29991267882156</c:v>
                </c:pt>
                <c:pt idx="158">
                  <c:v>-469.24388612029026</c:v>
                </c:pt>
                <c:pt idx="159">
                  <c:v>-468.02640560290831</c:v>
                </c:pt>
                <c:pt idx="160">
                  <c:v>-466.6149034051428</c:v>
                </c:pt>
                <c:pt idx="161">
                  <c:v>-464.96798906810068</c:v>
                </c:pt>
                <c:pt idx="162">
                  <c:v>-463.03243246545253</c:v>
                </c:pt>
                <c:pt idx="163">
                  <c:v>-460.82661935140732</c:v>
                </c:pt>
                <c:pt idx="164">
                  <c:v>-458.46663997877533</c:v>
                </c:pt>
                <c:pt idx="165">
                  <c:v>-455.92796419166262</c:v>
                </c:pt>
                <c:pt idx="166">
                  <c:v>-453.17581607115892</c:v>
                </c:pt>
                <c:pt idx="167">
                  <c:v>-450.16644084108748</c:v>
                </c:pt>
                <c:pt idx="168">
                  <c:v>-446.84376598015399</c:v>
                </c:pt>
                <c:pt idx="169">
                  <c:v>-443.13442986917653</c:v>
                </c:pt>
                <c:pt idx="170">
                  <c:v>-438.94013918010575</c:v>
                </c:pt>
                <c:pt idx="171">
                  <c:v>-434.12547128857341</c:v>
                </c:pt>
                <c:pt idx="172">
                  <c:v>-428.49751892628296</c:v>
                </c:pt>
                <c:pt idx="173">
                  <c:v>-421.7700293441174</c:v>
                </c:pt>
                <c:pt idx="174">
                  <c:v>-413.49581884152587</c:v>
                </c:pt>
                <c:pt idx="175">
                  <c:v>-402.92788381597779</c:v>
                </c:pt>
                <c:pt idx="176">
                  <c:v>-388.698978107698</c:v>
                </c:pt>
                <c:pt idx="177">
                  <c:v>-367.9505192379562</c:v>
                </c:pt>
                <c:pt idx="178">
                  <c:v>-333.27190092300663</c:v>
                </c:pt>
                <c:pt idx="179">
                  <c:v>-256.18139162117728</c:v>
                </c:pt>
                <c:pt idx="180">
                  <c:v>-142.20000000011453</c:v>
                </c:pt>
                <c:pt idx="181">
                  <c:v>-142.20000000001181</c:v>
                </c:pt>
                <c:pt idx="361">
                  <c:v>-2.5900436383420042E-13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ser>
          <c:idx val="1"/>
          <c:order val="2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TLR_Section_Capacity!$U$5</c:f>
              <c:numCache>
                <c:formatCode>0.000</c:formatCode>
                <c:ptCount val="1"/>
                <c:pt idx="0">
                  <c:v>289.22178823493851</c:v>
                </c:pt>
              </c:numCache>
            </c:numRef>
          </c:xVal>
          <c:yVal>
            <c:numRef>
              <c:f>TLR_Section_Capacity!$U$6</c:f>
              <c:numCache>
                <c:formatCode>0.000</c:formatCode>
                <c:ptCount val="1"/>
                <c:pt idx="0">
                  <c:v>6.1622856151188897E-9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3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TLR_Section_Capacity!$U$11</c:f>
              <c:numCache>
                <c:formatCode>0.000</c:formatCode>
                <c:ptCount val="1"/>
                <c:pt idx="0">
                  <c:v>50</c:v>
                </c:pt>
              </c:numCache>
            </c:numRef>
          </c:xVal>
          <c:yVal>
            <c:numRef>
              <c:f>TLR_Section_Capacity!$U$12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TLR_Section_Capacity!$AE$9:$AE$11</c:f>
              <c:numCache>
                <c:formatCode>0.000</c:formatCode>
                <c:ptCount val="3"/>
                <c:pt idx="0">
                  <c:v>0</c:v>
                </c:pt>
                <c:pt idx="1">
                  <c:v>50</c:v>
                </c:pt>
                <c:pt idx="2">
                  <c:v>289.22178823493851</c:v>
                </c:pt>
              </c:numCache>
            </c:numRef>
          </c:xVal>
          <c:yVal>
            <c:numRef>
              <c:f>TLR_Section_Capacity!$AF$9:$AF$11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6.1622856151188897E-9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3"/>
          <c:order val="5"/>
          <c:tx>
            <c:v>guess_center_from_parametric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TLR_Section_Capacity!$B$132</c:f>
              <c:numCache>
                <c:formatCode>General</c:formatCode>
                <c:ptCount val="1"/>
                <c:pt idx="0">
                  <c:v>156.7666765884093</c:v>
                </c:pt>
              </c:numCache>
            </c:numRef>
          </c:xVal>
          <c:yVal>
            <c:numRef>
              <c:f>TLR_Section_Capacity!$B$133</c:f>
              <c:numCache>
                <c:formatCode>General</c:formatCode>
                <c:ptCount val="1"/>
                <c:pt idx="0">
                  <c:v>-84.412825855297342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6"/>
          <c:order val="6"/>
          <c:tx>
            <c:v>center_of_Mx_My_points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9050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TLR_Section_Capacity!$BD$365</c:f>
              <c:numCache>
                <c:formatCode>0.000</c:formatCode>
                <c:ptCount val="1"/>
                <c:pt idx="0">
                  <c:v>173.99076874204405</c:v>
                </c:pt>
              </c:numCache>
            </c:numRef>
          </c:xVal>
          <c:yVal>
            <c:numRef>
              <c:f>TLR_Section_Capacity!$BE$365</c:f>
              <c:numCache>
                <c:formatCode>0.000</c:formatCode>
                <c:ptCount val="1"/>
                <c:pt idx="0">
                  <c:v>-115.44475783858537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3-488A-8815-A3157AAF4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  <c:pt idx="181">
                  <c:v>6.3180918922194511</c:v>
                </c:pt>
              </c:numCache>
            </c:numRef>
          </c:xVal>
          <c:yVal>
            <c:numRef>
              <c:f>TLR_Section_Capacity!$BF$2:$BF$362</c:f>
              <c:numCache>
                <c:formatCode>0.000</c:formatCode>
                <c:ptCount val="361"/>
                <c:pt idx="0">
                  <c:v>5.8701288902491564</c:v>
                </c:pt>
                <c:pt idx="1">
                  <c:v>6.1958992751630477</c:v>
                </c:pt>
                <c:pt idx="2">
                  <c:v>0.15218828281597507</c:v>
                </c:pt>
                <c:pt idx="3">
                  <c:v>0.25874227735383365</c:v>
                </c:pt>
                <c:pt idx="4">
                  <c:v>0.3215080121467484</c:v>
                </c:pt>
                <c:pt idx="5">
                  <c:v>0.3642202462295836</c:v>
                </c:pt>
                <c:pt idx="6">
                  <c:v>0.39590065531976526</c:v>
                </c:pt>
                <c:pt idx="7">
                  <c:v>0.42078837439411587</c:v>
                </c:pt>
                <c:pt idx="8">
                  <c:v>0.44116308820922867</c:v>
                </c:pt>
                <c:pt idx="9">
                  <c:v>0.45837170527742616</c:v>
                </c:pt>
                <c:pt idx="10">
                  <c:v>0.47326751530640743</c:v>
                </c:pt>
                <c:pt idx="11">
                  <c:v>0.48642115855465862</c:v>
                </c:pt>
                <c:pt idx="12">
                  <c:v>0.49823125597728835</c:v>
                </c:pt>
                <c:pt idx="13">
                  <c:v>0.508986553432342</c:v>
                </c:pt>
                <c:pt idx="14">
                  <c:v>0.51890282928376619</c:v>
                </c:pt>
                <c:pt idx="15">
                  <c:v>0.5281458535371184</c:v>
                </c:pt>
                <c:pt idx="16">
                  <c:v>0.536846247142864</c:v>
                </c:pt>
                <c:pt idx="17">
                  <c:v>0.54510944089491908</c:v>
                </c:pt>
                <c:pt idx="18">
                  <c:v>0.55300963650904511</c:v>
                </c:pt>
                <c:pt idx="19">
                  <c:v>0.56010793935444514</c:v>
                </c:pt>
                <c:pt idx="20">
                  <c:v>0.56630080213944289</c:v>
                </c:pt>
                <c:pt idx="21">
                  <c:v>0.57174937409789828</c:v>
                </c:pt>
                <c:pt idx="22">
                  <c:v>0.57657966660196902</c:v>
                </c:pt>
                <c:pt idx="23">
                  <c:v>0.58089147306657618</c:v>
                </c:pt>
                <c:pt idx="24">
                  <c:v>0.58476473464417711</c:v>
                </c:pt>
                <c:pt idx="25">
                  <c:v>0.58826415834391432</c:v>
                </c:pt>
                <c:pt idx="26">
                  <c:v>0.59144261771677464</c:v>
                </c:pt>
                <c:pt idx="27">
                  <c:v>0.59434369135948262</c:v>
                </c:pt>
                <c:pt idx="28">
                  <c:v>0.59700358156254218</c:v>
                </c:pt>
                <c:pt idx="29">
                  <c:v>0.59945258109513888</c:v>
                </c:pt>
                <c:pt idx="30">
                  <c:v>0.60171620636504342</c:v>
                </c:pt>
                <c:pt idx="31">
                  <c:v>0.60381608130880782</c:v>
                </c:pt>
                <c:pt idx="32">
                  <c:v>0.60577063298054179</c:v>
                </c:pt>
                <c:pt idx="33">
                  <c:v>0.60759564342205941</c:v>
                </c:pt>
                <c:pt idx="34">
                  <c:v>0.60930469076258043</c:v>
                </c:pt>
                <c:pt idx="35">
                  <c:v>0.61090950416203249</c:v>
                </c:pt>
                <c:pt idx="36">
                  <c:v>0.61242025114022047</c:v>
                </c:pt>
                <c:pt idx="37">
                  <c:v>0.61384577138268626</c:v>
                </c:pt>
                <c:pt idx="38">
                  <c:v>0.61519376781801471</c:v>
                </c:pt>
                <c:pt idx="39">
                  <c:v>0.61647096328235662</c:v>
                </c:pt>
                <c:pt idx="40">
                  <c:v>0.61768322921106456</c:v>
                </c:pt>
                <c:pt idx="41">
                  <c:v>0.61883569137366168</c:v>
                </c:pt>
                <c:pt idx="42">
                  <c:v>0.61993281654836152</c:v>
                </c:pt>
                <c:pt idx="43">
                  <c:v>0.62097848317170301</c:v>
                </c:pt>
                <c:pt idx="44">
                  <c:v>0.62197603830465087</c:v>
                </c:pt>
                <c:pt idx="45">
                  <c:v>0.62292834269135933</c:v>
                </c:pt>
                <c:pt idx="46">
                  <c:v>0.62383780522498566</c:v>
                </c:pt>
                <c:pt idx="47">
                  <c:v>0.62470640773074015</c:v>
                </c:pt>
                <c:pt idx="48">
                  <c:v>0.62629171076620138</c:v>
                </c:pt>
                <c:pt idx="49">
                  <c:v>0.63219495385803337</c:v>
                </c:pt>
                <c:pt idx="50">
                  <c:v>0.63856539215174801</c:v>
                </c:pt>
                <c:pt idx="51">
                  <c:v>0.64519749675819571</c:v>
                </c:pt>
                <c:pt idx="52">
                  <c:v>0.6521462510414604</c:v>
                </c:pt>
                <c:pt idx="53">
                  <c:v>0.65956587768958685</c:v>
                </c:pt>
                <c:pt idx="54">
                  <c:v>0.66787955999644588</c:v>
                </c:pt>
                <c:pt idx="55">
                  <c:v>0.67689949264608551</c:v>
                </c:pt>
                <c:pt idx="56">
                  <c:v>0.68641931418666502</c:v>
                </c:pt>
                <c:pt idx="57">
                  <c:v>0.69775409372449648</c:v>
                </c:pt>
                <c:pt idx="58">
                  <c:v>0.71452462445074971</c:v>
                </c:pt>
                <c:pt idx="59">
                  <c:v>0.73765291835672886</c:v>
                </c:pt>
                <c:pt idx="60">
                  <c:v>0.76970822643603432</c:v>
                </c:pt>
                <c:pt idx="61">
                  <c:v>0.81233796430840843</c:v>
                </c:pt>
                <c:pt idx="62">
                  <c:v>0.86872050963586978</c:v>
                </c:pt>
                <c:pt idx="63">
                  <c:v>0.94818226683673557</c:v>
                </c:pt>
                <c:pt idx="64">
                  <c:v>1.0738853790978553</c:v>
                </c:pt>
                <c:pt idx="65">
                  <c:v>1.2794764779831689</c:v>
                </c:pt>
                <c:pt idx="66">
                  <c:v>1.689887688948057</c:v>
                </c:pt>
                <c:pt idx="67">
                  <c:v>2.1956997779037075</c:v>
                </c:pt>
                <c:pt idx="68">
                  <c:v>2.3731885245504367</c:v>
                </c:pt>
                <c:pt idx="69">
                  <c:v>2.4072885804311683</c:v>
                </c:pt>
                <c:pt idx="70">
                  <c:v>2.4417293712586101</c:v>
                </c:pt>
                <c:pt idx="71">
                  <c:v>2.476754399542183</c:v>
                </c:pt>
                <c:pt idx="72">
                  <c:v>2.512633269861599</c:v>
                </c:pt>
                <c:pt idx="73">
                  <c:v>2.5496755365344415</c:v>
                </c:pt>
                <c:pt idx="74">
                  <c:v>2.5882485690636985</c:v>
                </c:pt>
                <c:pt idx="75">
                  <c:v>2.6288015977825414</c:v>
                </c:pt>
                <c:pt idx="76">
                  <c:v>2.6718991473474771</c:v>
                </c:pt>
                <c:pt idx="77">
                  <c:v>2.7182687382316106</c:v>
                </c:pt>
                <c:pt idx="78">
                  <c:v>2.7688703856019048</c:v>
                </c:pt>
                <c:pt idx="79">
                  <c:v>2.8249995313335834</c:v>
                </c:pt>
                <c:pt idx="80">
                  <c:v>2.8884410439387209</c:v>
                </c:pt>
                <c:pt idx="81">
                  <c:v>2.9616992874358523</c:v>
                </c:pt>
                <c:pt idx="82">
                  <c:v>3.0483328765747961</c:v>
                </c:pt>
                <c:pt idx="83">
                  <c:v>3.1534002714334313</c:v>
                </c:pt>
                <c:pt idx="84">
                  <c:v>3.2560165632064471</c:v>
                </c:pt>
                <c:pt idx="85">
                  <c:v>3.4081400917244018</c:v>
                </c:pt>
                <c:pt idx="86">
                  <c:v>3.5364887352108973</c:v>
                </c:pt>
                <c:pt idx="87">
                  <c:v>3.641529720898109</c:v>
                </c:pt>
                <c:pt idx="88">
                  <c:v>3.7337562806267304</c:v>
                </c:pt>
                <c:pt idx="89">
                  <c:v>3.8073307937428487</c:v>
                </c:pt>
                <c:pt idx="90">
                  <c:v>3.8739128595779926</c:v>
                </c:pt>
                <c:pt idx="91">
                  <c:v>3.9253542908999108</c:v>
                </c:pt>
                <c:pt idx="92">
                  <c:v>3.9746345222905428</c:v>
                </c:pt>
                <c:pt idx="93">
                  <c:v>4.028400382760724</c:v>
                </c:pt>
                <c:pt idx="94">
                  <c:v>4.0773967866828835</c:v>
                </c:pt>
                <c:pt idx="95">
                  <c:v>4.1234628939470372</c:v>
                </c:pt>
                <c:pt idx="96">
                  <c:v>4.1674009157682121</c:v>
                </c:pt>
                <c:pt idx="97">
                  <c:v>4.2096361278876184</c:v>
                </c:pt>
                <c:pt idx="98">
                  <c:v>4.2504383833540791</c:v>
                </c:pt>
                <c:pt idx="99">
                  <c:v>4.2862980681392795</c:v>
                </c:pt>
                <c:pt idx="100">
                  <c:v>4.3169764751811348</c:v>
                </c:pt>
                <c:pt idx="101">
                  <c:v>4.3440696981676741</c:v>
                </c:pt>
                <c:pt idx="102">
                  <c:v>4.3685908635430035</c:v>
                </c:pt>
                <c:pt idx="103">
                  <c:v>4.3972056511602098</c:v>
                </c:pt>
                <c:pt idx="104">
                  <c:v>4.6295944127444439</c:v>
                </c:pt>
                <c:pt idx="105">
                  <c:v>4.8455619832999153</c:v>
                </c:pt>
                <c:pt idx="106">
                  <c:v>4.9691121101198856</c:v>
                </c:pt>
                <c:pt idx="107">
                  <c:v>5.0430995053294572</c:v>
                </c:pt>
                <c:pt idx="108">
                  <c:v>5.088742214581635</c:v>
                </c:pt>
                <c:pt idx="109">
                  <c:v>5.1240427057276019</c:v>
                </c:pt>
                <c:pt idx="110">
                  <c:v>5.1521855013022178</c:v>
                </c:pt>
                <c:pt idx="111">
                  <c:v>5.1748742719390881</c:v>
                </c:pt>
                <c:pt idx="112">
                  <c:v>5.1919237565926597</c:v>
                </c:pt>
                <c:pt idx="113">
                  <c:v>5.2030381652269266</c:v>
                </c:pt>
                <c:pt idx="114">
                  <c:v>5.2084006652515864</c:v>
                </c:pt>
                <c:pt idx="115">
                  <c:v>5.2092038824249354</c:v>
                </c:pt>
                <c:pt idx="116">
                  <c:v>5.2100043856300671</c:v>
                </c:pt>
                <c:pt idx="117">
                  <c:v>5.210800815816099</c:v>
                </c:pt>
                <c:pt idx="118">
                  <c:v>5.2115924810186369</c:v>
                </c:pt>
                <c:pt idx="119">
                  <c:v>5.2123791793794236</c:v>
                </c:pt>
                <c:pt idx="120">
                  <c:v>5.2131610722058888</c:v>
                </c:pt>
                <c:pt idx="121">
                  <c:v>5.2139385926180566</c:v>
                </c:pt>
                <c:pt idx="122">
                  <c:v>5.2147123797957455</c:v>
                </c:pt>
                <c:pt idx="123">
                  <c:v>5.2154832318444191</c:v>
                </c:pt>
                <c:pt idx="124">
                  <c:v>5.216252072360791</c:v>
                </c:pt>
                <c:pt idx="125">
                  <c:v>5.2170199271999422</c:v>
                </c:pt>
                <c:pt idx="126">
                  <c:v>5.2177879089489325</c:v>
                </c:pt>
                <c:pt idx="127">
                  <c:v>5.2185572073202273</c:v>
                </c:pt>
                <c:pt idx="128">
                  <c:v>5.2193290841882805</c:v>
                </c:pt>
                <c:pt idx="129">
                  <c:v>5.2201048723671573</c:v>
                </c:pt>
                <c:pt idx="130">
                  <c:v>5.2208859775019949</c:v>
                </c:pt>
                <c:pt idx="131">
                  <c:v>5.221673882660304</c:v>
                </c:pt>
                <c:pt idx="132">
                  <c:v>5.2224701553703694</c:v>
                </c:pt>
                <c:pt idx="133">
                  <c:v>5.2232764569904377</c:v>
                </c:pt>
                <c:pt idx="134">
                  <c:v>5.2240945544035071</c:v>
                </c:pt>
                <c:pt idx="135">
                  <c:v>5.224926334137189</c:v>
                </c:pt>
                <c:pt idx="136">
                  <c:v>5.2257738191034591</c:v>
                </c:pt>
                <c:pt idx="137">
                  <c:v>5.226639188257745</c:v>
                </c:pt>
                <c:pt idx="138">
                  <c:v>5.2275247995795677</c:v>
                </c:pt>
                <c:pt idx="139">
                  <c:v>5.2284332169044259</c:v>
                </c:pt>
                <c:pt idx="140">
                  <c:v>5.2293672412779779</c:v>
                </c:pt>
                <c:pt idx="141">
                  <c:v>5.2303299476773901</c:v>
                </c:pt>
                <c:pt idx="142">
                  <c:v>5.2313247281585102</c:v>
                </c:pt>
                <c:pt idx="143">
                  <c:v>5.2323553427546114</c:v>
                </c:pt>
                <c:pt idx="144">
                  <c:v>5.2334259797869693</c:v>
                </c:pt>
                <c:pt idx="145">
                  <c:v>5.2345413276831456</c:v>
                </c:pt>
                <c:pt idx="146">
                  <c:v>5.2357066609487042</c:v>
                </c:pt>
                <c:pt idx="147">
                  <c:v>5.2369279436682161</c:v>
                </c:pt>
                <c:pt idx="148">
                  <c:v>5.2382119548531181</c:v>
                </c:pt>
                <c:pt idx="149">
                  <c:v>5.2395664412209619</c:v>
                </c:pt>
                <c:pt idx="150">
                  <c:v>5.241000304663209</c:v>
                </c:pt>
                <c:pt idx="151">
                  <c:v>5.2425238339365814</c:v>
                </c:pt>
                <c:pt idx="152">
                  <c:v>5.2441489932016676</c:v>
                </c:pt>
                <c:pt idx="153">
                  <c:v>5.2458897843069678</c:v>
                </c:pt>
                <c:pt idx="154">
                  <c:v>5.2477627056624421</c:v>
                </c:pt>
                <c:pt idx="155">
                  <c:v>5.2497873389586731</c:v>
                </c:pt>
                <c:pt idx="156">
                  <c:v>5.2519871070213275</c:v>
                </c:pt>
                <c:pt idx="157">
                  <c:v>5.2543902635663624</c:v>
                </c:pt>
                <c:pt idx="158">
                  <c:v>5.2570312014275364</c:v>
                </c:pt>
                <c:pt idx="159">
                  <c:v>5.2599522045448657</c:v>
                </c:pt>
                <c:pt idx="160">
                  <c:v>5.2632058282579326</c:v>
                </c:pt>
                <c:pt idx="161">
                  <c:v>5.2668581849830183</c:v>
                </c:pt>
                <c:pt idx="162">
                  <c:v>5.2709935602195674</c:v>
                </c:pt>
                <c:pt idx="163">
                  <c:v>5.2755413330964576</c:v>
                </c:pt>
                <c:pt idx="164">
                  <c:v>5.2802404259757054</c:v>
                </c:pt>
                <c:pt idx="165">
                  <c:v>5.2851268550225825</c:v>
                </c:pt>
                <c:pt idx="166">
                  <c:v>5.2902523866598363</c:v>
                </c:pt>
                <c:pt idx="167">
                  <c:v>5.2956803142319586</c:v>
                </c:pt>
                <c:pt idx="168">
                  <c:v>5.3014901537398451</c:v>
                </c:pt>
                <c:pt idx="169">
                  <c:v>5.3077846520463439</c:v>
                </c:pt>
                <c:pt idx="170">
                  <c:v>5.314700644275888</c:v>
                </c:pt>
                <c:pt idx="171">
                  <c:v>5.3224265939513549</c:v>
                </c:pt>
                <c:pt idx="172">
                  <c:v>5.3312323463849305</c:v>
                </c:pt>
                <c:pt idx="173">
                  <c:v>5.3415226534420404</c:v>
                </c:pt>
                <c:pt idx="174">
                  <c:v>5.3539407503471512</c:v>
                </c:pt>
                <c:pt idx="175">
                  <c:v>5.3695885132243601</c:v>
                </c:pt>
                <c:pt idx="176">
                  <c:v>5.3905573807826803</c:v>
                </c:pt>
                <c:pt idx="177">
                  <c:v>5.4214626111906288</c:v>
                </c:pt>
                <c:pt idx="178">
                  <c:v>5.4753538401497623</c:v>
                </c:pt>
                <c:pt idx="179">
                  <c:v>5.6118432066923347</c:v>
                </c:pt>
                <c:pt idx="180">
                  <c:v>5.8701288902489583</c:v>
                </c:pt>
                <c:pt idx="181">
                  <c:v>5.8701288902491546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4.4032522417015357E-2</c:v>
                </c:pt>
              </c:numCache>
            </c:numRef>
          </c:xVal>
          <c:yVal>
            <c:numRef>
              <c:f>TLR_Section_Capacity!$U$7</c:f>
              <c:numCache>
                <c:formatCode>0.000E+00</c:formatCode>
                <c:ptCount val="1"/>
                <c:pt idx="0">
                  <c:v>2.1306436325997637E-11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TLR_Section_Capacity!$AD$37:$AD$41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TLR_Section_Capacity!$AE$37:$AE$41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  <c:pt idx="181">
                  <c:v>6.3180918922194511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TLR_Section_Capacity!$CB$15:$CB$375</c:f>
              <c:numCache>
                <c:formatCode>0.000</c:formatCode>
                <c:ptCount val="361"/>
                <c:pt idx="0">
                  <c:v>-0.41305641693042994</c:v>
                </c:pt>
                <c:pt idx="1">
                  <c:v>-8.728603201653852E-2</c:v>
                </c:pt>
                <c:pt idx="2">
                  <c:v>0.15218828281597513</c:v>
                </c:pt>
                <c:pt idx="3">
                  <c:v>0.25874227735383365</c:v>
                </c:pt>
                <c:pt idx="4">
                  <c:v>0.3215080121467484</c:v>
                </c:pt>
                <c:pt idx="5">
                  <c:v>0.3642202462295836</c:v>
                </c:pt>
                <c:pt idx="6">
                  <c:v>0.39590065531976526</c:v>
                </c:pt>
                <c:pt idx="7">
                  <c:v>0.42078837439411593</c:v>
                </c:pt>
                <c:pt idx="8">
                  <c:v>0.44116308820922867</c:v>
                </c:pt>
                <c:pt idx="9">
                  <c:v>0.45837170527742616</c:v>
                </c:pt>
                <c:pt idx="10">
                  <c:v>0.47326751530640743</c:v>
                </c:pt>
                <c:pt idx="11">
                  <c:v>0.48642115855465862</c:v>
                </c:pt>
                <c:pt idx="12">
                  <c:v>0.49823125597728835</c:v>
                </c:pt>
                <c:pt idx="13">
                  <c:v>0.508986553432342</c:v>
                </c:pt>
                <c:pt idx="14">
                  <c:v>0.51890282928376619</c:v>
                </c:pt>
                <c:pt idx="15">
                  <c:v>0.5281458535371184</c:v>
                </c:pt>
                <c:pt idx="16">
                  <c:v>0.536846247142864</c:v>
                </c:pt>
                <c:pt idx="17">
                  <c:v>0.54510944089491908</c:v>
                </c:pt>
                <c:pt idx="18">
                  <c:v>0.55300963650904511</c:v>
                </c:pt>
                <c:pt idx="19">
                  <c:v>0.56010793935444514</c:v>
                </c:pt>
                <c:pt idx="20">
                  <c:v>0.56630080213944289</c:v>
                </c:pt>
                <c:pt idx="21">
                  <c:v>0.57174937409789828</c:v>
                </c:pt>
                <c:pt idx="22">
                  <c:v>0.57657966660196902</c:v>
                </c:pt>
                <c:pt idx="23">
                  <c:v>0.58089147306657618</c:v>
                </c:pt>
                <c:pt idx="24">
                  <c:v>0.58476473464417711</c:v>
                </c:pt>
                <c:pt idx="25">
                  <c:v>0.58826415834391432</c:v>
                </c:pt>
                <c:pt idx="26">
                  <c:v>0.59144261771677464</c:v>
                </c:pt>
                <c:pt idx="27">
                  <c:v>0.59434369135948262</c:v>
                </c:pt>
                <c:pt idx="28">
                  <c:v>0.59700358156254218</c:v>
                </c:pt>
                <c:pt idx="29">
                  <c:v>0.59945258109513888</c:v>
                </c:pt>
                <c:pt idx="30">
                  <c:v>0.60171620636504342</c:v>
                </c:pt>
                <c:pt idx="31">
                  <c:v>0.60381608130880782</c:v>
                </c:pt>
                <c:pt idx="32">
                  <c:v>0.60577063298054179</c:v>
                </c:pt>
                <c:pt idx="33">
                  <c:v>0.60759564342205952</c:v>
                </c:pt>
                <c:pt idx="34">
                  <c:v>0.60930469076258043</c:v>
                </c:pt>
                <c:pt idx="35">
                  <c:v>0.61090950416203238</c:v>
                </c:pt>
                <c:pt idx="36">
                  <c:v>0.61242025114022058</c:v>
                </c:pt>
                <c:pt idx="37">
                  <c:v>0.61384577138268626</c:v>
                </c:pt>
                <c:pt idx="38">
                  <c:v>0.61519376781801471</c:v>
                </c:pt>
                <c:pt idx="39">
                  <c:v>0.61647096328235662</c:v>
                </c:pt>
                <c:pt idx="40">
                  <c:v>0.61768322921106456</c:v>
                </c:pt>
                <c:pt idx="41">
                  <c:v>0.61883569137366168</c:v>
                </c:pt>
                <c:pt idx="42">
                  <c:v>0.61993281654836152</c:v>
                </c:pt>
                <c:pt idx="43">
                  <c:v>0.62097848317170301</c:v>
                </c:pt>
                <c:pt idx="44">
                  <c:v>0.62197603830465087</c:v>
                </c:pt>
                <c:pt idx="45">
                  <c:v>0.62292834269135933</c:v>
                </c:pt>
                <c:pt idx="46">
                  <c:v>0.62383780522498566</c:v>
                </c:pt>
                <c:pt idx="47">
                  <c:v>0.62470640773074015</c:v>
                </c:pt>
                <c:pt idx="48">
                  <c:v>0.62629171076620138</c:v>
                </c:pt>
                <c:pt idx="49">
                  <c:v>0.63219495385803337</c:v>
                </c:pt>
                <c:pt idx="50">
                  <c:v>0.63856539215174801</c:v>
                </c:pt>
                <c:pt idx="51">
                  <c:v>0.64519749675819582</c:v>
                </c:pt>
                <c:pt idx="52">
                  <c:v>0.6521462510414604</c:v>
                </c:pt>
                <c:pt idx="53">
                  <c:v>0.65956587768958685</c:v>
                </c:pt>
                <c:pt idx="54">
                  <c:v>0.66787955999644588</c:v>
                </c:pt>
                <c:pt idx="55">
                  <c:v>0.67689949264608551</c:v>
                </c:pt>
                <c:pt idx="56">
                  <c:v>0.68641931418666513</c:v>
                </c:pt>
                <c:pt idx="57">
                  <c:v>0.69775409372449648</c:v>
                </c:pt>
                <c:pt idx="58">
                  <c:v>0.71452462445074971</c:v>
                </c:pt>
                <c:pt idx="59">
                  <c:v>0.73765291835672875</c:v>
                </c:pt>
                <c:pt idx="60">
                  <c:v>0.76970822643603432</c:v>
                </c:pt>
                <c:pt idx="61">
                  <c:v>0.81233796430840832</c:v>
                </c:pt>
                <c:pt idx="62">
                  <c:v>0.86872050963586978</c:v>
                </c:pt>
                <c:pt idx="63">
                  <c:v>0.94818226683673523</c:v>
                </c:pt>
                <c:pt idx="64">
                  <c:v>1.0738853790978549</c:v>
                </c:pt>
                <c:pt idx="65">
                  <c:v>1.2794764779831695</c:v>
                </c:pt>
                <c:pt idx="66">
                  <c:v>1.6898876889480579</c:v>
                </c:pt>
                <c:pt idx="67">
                  <c:v>2.1956997779037088</c:v>
                </c:pt>
                <c:pt idx="68">
                  <c:v>2.3731885245504372</c:v>
                </c:pt>
                <c:pt idx="69">
                  <c:v>2.4072885804311692</c:v>
                </c:pt>
                <c:pt idx="70">
                  <c:v>2.4417293712586101</c:v>
                </c:pt>
                <c:pt idx="71">
                  <c:v>2.4767543995421826</c:v>
                </c:pt>
                <c:pt idx="72">
                  <c:v>2.5126332698615981</c:v>
                </c:pt>
                <c:pt idx="73">
                  <c:v>2.5496755365344423</c:v>
                </c:pt>
                <c:pt idx="74">
                  <c:v>2.5882485690636985</c:v>
                </c:pt>
                <c:pt idx="75">
                  <c:v>2.6288015977825414</c:v>
                </c:pt>
                <c:pt idx="76">
                  <c:v>2.6718991473474762</c:v>
                </c:pt>
                <c:pt idx="77">
                  <c:v>2.7182687382316102</c:v>
                </c:pt>
                <c:pt idx="78">
                  <c:v>2.7688703856019048</c:v>
                </c:pt>
                <c:pt idx="79">
                  <c:v>2.8249995313335834</c:v>
                </c:pt>
                <c:pt idx="80">
                  <c:v>2.8884410439387214</c:v>
                </c:pt>
                <c:pt idx="81">
                  <c:v>2.9616992874358528</c:v>
                </c:pt>
                <c:pt idx="82">
                  <c:v>3.0483328765747957</c:v>
                </c:pt>
                <c:pt idx="83">
                  <c:v>-3.129785035746155</c:v>
                </c:pt>
                <c:pt idx="84">
                  <c:v>-3.0271687439731392</c:v>
                </c:pt>
                <c:pt idx="85">
                  <c:v>-2.8750452154551844</c:v>
                </c:pt>
                <c:pt idx="86">
                  <c:v>-2.7466965719686893</c:v>
                </c:pt>
                <c:pt idx="87">
                  <c:v>-2.6416555862814781</c:v>
                </c:pt>
                <c:pt idx="88">
                  <c:v>-2.5494290265528563</c:v>
                </c:pt>
                <c:pt idx="89">
                  <c:v>-2.4758545134367371</c:v>
                </c:pt>
                <c:pt idx="90">
                  <c:v>-2.4092724476015941</c:v>
                </c:pt>
                <c:pt idx="91">
                  <c:v>-2.357831016279675</c:v>
                </c:pt>
                <c:pt idx="92">
                  <c:v>-2.308550784889043</c:v>
                </c:pt>
                <c:pt idx="93">
                  <c:v>-2.2547849244188627</c:v>
                </c:pt>
                <c:pt idx="94">
                  <c:v>-2.2057885204967036</c:v>
                </c:pt>
                <c:pt idx="95">
                  <c:v>-2.1597224132325481</c:v>
                </c:pt>
                <c:pt idx="96">
                  <c:v>-2.1157843914113732</c:v>
                </c:pt>
                <c:pt idx="97">
                  <c:v>-2.0735491792919678</c:v>
                </c:pt>
                <c:pt idx="98">
                  <c:v>-2.0327469238255071</c:v>
                </c:pt>
                <c:pt idx="99">
                  <c:v>-1.9968872390403072</c:v>
                </c:pt>
                <c:pt idx="100">
                  <c:v>-1.9662088319984521</c:v>
                </c:pt>
                <c:pt idx="101">
                  <c:v>-1.9391156090119117</c:v>
                </c:pt>
                <c:pt idx="102">
                  <c:v>-1.9145944436365832</c:v>
                </c:pt>
                <c:pt idx="103">
                  <c:v>-1.885979656019376</c:v>
                </c:pt>
                <c:pt idx="104">
                  <c:v>-1.6535908944351421</c:v>
                </c:pt>
                <c:pt idx="105">
                  <c:v>-1.4376233238796714</c:v>
                </c:pt>
                <c:pt idx="106">
                  <c:v>-1.3140731970597006</c:v>
                </c:pt>
                <c:pt idx="107">
                  <c:v>-1.2400858018501288</c:v>
                </c:pt>
                <c:pt idx="108">
                  <c:v>-1.1944430925979512</c:v>
                </c:pt>
                <c:pt idx="109">
                  <c:v>-1.1591426014519848</c:v>
                </c:pt>
                <c:pt idx="110">
                  <c:v>-1.1309998058773685</c:v>
                </c:pt>
                <c:pt idx="111">
                  <c:v>-1.1083110352404981</c:v>
                </c:pt>
                <c:pt idx="112">
                  <c:v>-1.091261550586927</c:v>
                </c:pt>
                <c:pt idx="113">
                  <c:v>-1.0801471419526598</c:v>
                </c:pt>
                <c:pt idx="114">
                  <c:v>-1.0747846419280001</c:v>
                </c:pt>
                <c:pt idx="115">
                  <c:v>-1.0739814247546513</c:v>
                </c:pt>
                <c:pt idx="116">
                  <c:v>-1.0731809215495194</c:v>
                </c:pt>
                <c:pt idx="117">
                  <c:v>-1.0723844913634872</c:v>
                </c:pt>
                <c:pt idx="118">
                  <c:v>-1.0715928261609491</c:v>
                </c:pt>
                <c:pt idx="119">
                  <c:v>-1.0708061278001628</c:v>
                </c:pt>
                <c:pt idx="120">
                  <c:v>-1.0700242349736979</c:v>
                </c:pt>
                <c:pt idx="121">
                  <c:v>-1.0692467145615301</c:v>
                </c:pt>
                <c:pt idx="122">
                  <c:v>-1.0684729273838407</c:v>
                </c:pt>
                <c:pt idx="123">
                  <c:v>-1.0677020753351674</c:v>
                </c:pt>
                <c:pt idx="124">
                  <c:v>-1.066933234818795</c:v>
                </c:pt>
                <c:pt idx="125">
                  <c:v>-1.0661653799796444</c:v>
                </c:pt>
                <c:pt idx="126">
                  <c:v>-1.0653973982306537</c:v>
                </c:pt>
                <c:pt idx="127">
                  <c:v>-1.0646280998593589</c:v>
                </c:pt>
                <c:pt idx="128">
                  <c:v>-1.0638562229913056</c:v>
                </c:pt>
                <c:pt idx="129">
                  <c:v>-1.0630804348124294</c:v>
                </c:pt>
                <c:pt idx="130">
                  <c:v>-1.0622993296775918</c:v>
                </c:pt>
                <c:pt idx="131">
                  <c:v>-1.0615114245192823</c:v>
                </c:pt>
                <c:pt idx="132">
                  <c:v>-1.060715151809217</c:v>
                </c:pt>
                <c:pt idx="133">
                  <c:v>-1.0599088501891487</c:v>
                </c:pt>
                <c:pt idx="134">
                  <c:v>-1.0590907527760787</c:v>
                </c:pt>
                <c:pt idx="135">
                  <c:v>-1.058258973042397</c:v>
                </c:pt>
                <c:pt idx="136">
                  <c:v>-1.0574114880761274</c:v>
                </c:pt>
                <c:pt idx="137">
                  <c:v>-1.056546118921841</c:v>
                </c:pt>
                <c:pt idx="138">
                  <c:v>-1.0556605076000185</c:v>
                </c:pt>
                <c:pt idx="139">
                  <c:v>-1.0547520902751604</c:v>
                </c:pt>
                <c:pt idx="140">
                  <c:v>-1.0538180659016081</c:v>
                </c:pt>
                <c:pt idx="141">
                  <c:v>-1.0528553595021963</c:v>
                </c:pt>
                <c:pt idx="142">
                  <c:v>-1.051860579021076</c:v>
                </c:pt>
                <c:pt idx="143">
                  <c:v>-1.0508299644249748</c:v>
                </c:pt>
                <c:pt idx="144">
                  <c:v>-1.0497593273926167</c:v>
                </c:pt>
                <c:pt idx="145">
                  <c:v>-1.0486439794964408</c:v>
                </c:pt>
                <c:pt idx="146">
                  <c:v>-1.0474786462308823</c:v>
                </c:pt>
                <c:pt idx="147">
                  <c:v>-1.0462573635113699</c:v>
                </c:pt>
                <c:pt idx="148">
                  <c:v>-1.0449733523264682</c:v>
                </c:pt>
                <c:pt idx="149">
                  <c:v>-1.0436188659586243</c:v>
                </c:pt>
                <c:pt idx="150">
                  <c:v>-1.0421850025163772</c:v>
                </c:pt>
                <c:pt idx="151">
                  <c:v>-1.0406614732430051</c:v>
                </c:pt>
                <c:pt idx="152">
                  <c:v>-1.0390363139779182</c:v>
                </c:pt>
                <c:pt idx="153">
                  <c:v>-1.0372955228726182</c:v>
                </c:pt>
                <c:pt idx="154">
                  <c:v>-1.0354226015171442</c:v>
                </c:pt>
                <c:pt idx="155">
                  <c:v>-1.0333979682209129</c:v>
                </c:pt>
                <c:pt idx="156">
                  <c:v>-1.0311982001582589</c:v>
                </c:pt>
                <c:pt idx="157">
                  <c:v>-1.0287950436132243</c:v>
                </c:pt>
                <c:pt idx="158">
                  <c:v>-1.02615410575205</c:v>
                </c:pt>
                <c:pt idx="159">
                  <c:v>-1.0232331026347208</c:v>
                </c:pt>
                <c:pt idx="160">
                  <c:v>-1.0199794789216539</c:v>
                </c:pt>
                <c:pt idx="161">
                  <c:v>-1.0163271221965677</c:v>
                </c:pt>
                <c:pt idx="162">
                  <c:v>-1.012191746960019</c:v>
                </c:pt>
                <c:pt idx="163">
                  <c:v>-1.0076439740831282</c:v>
                </c:pt>
                <c:pt idx="164">
                  <c:v>-1.002944881203881</c:v>
                </c:pt>
                <c:pt idx="165">
                  <c:v>-0.99805845215700384</c:v>
                </c:pt>
                <c:pt idx="166">
                  <c:v>-0.99293292051975002</c:v>
                </c:pt>
                <c:pt idx="167">
                  <c:v>-0.98750499294762761</c:v>
                </c:pt>
                <c:pt idx="168">
                  <c:v>-0.98169515343974101</c:v>
                </c:pt>
                <c:pt idx="169">
                  <c:v>-0.97540065513324214</c:v>
                </c:pt>
                <c:pt idx="170">
                  <c:v>-0.96848466290369795</c:v>
                </c:pt>
                <c:pt idx="171">
                  <c:v>-0.9607587132282317</c:v>
                </c:pt>
                <c:pt idx="172">
                  <c:v>-0.95195296079465597</c:v>
                </c:pt>
                <c:pt idx="173">
                  <c:v>-0.94166265373754587</c:v>
                </c:pt>
                <c:pt idx="174">
                  <c:v>-0.92924455683243512</c:v>
                </c:pt>
                <c:pt idx="175">
                  <c:v>-0.91359679395522608</c:v>
                </c:pt>
                <c:pt idx="176">
                  <c:v>-0.89262792639690625</c:v>
                </c:pt>
                <c:pt idx="177">
                  <c:v>-0.86172269598895712</c:v>
                </c:pt>
                <c:pt idx="178">
                  <c:v>-0.807831467029824</c:v>
                </c:pt>
                <c:pt idx="179">
                  <c:v>-0.67134210048725163</c:v>
                </c:pt>
                <c:pt idx="180">
                  <c:v>-0.41305641693062772</c:v>
                </c:pt>
                <c:pt idx="181">
                  <c:v>-0.41305641693043149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  <c:pt idx="181">
                  <c:v>6.3180918922194511</c:v>
                </c:pt>
              </c:numCache>
            </c:numRef>
          </c:xVal>
          <c:yVal>
            <c:numRef>
              <c:f>TLR_Section_Capacity!$BH$2:$BH$362</c:f>
              <c:numCache>
                <c:formatCode>0.000</c:formatCode>
                <c:ptCount val="361"/>
                <c:pt idx="0">
                  <c:v>0.41305641693043005</c:v>
                </c:pt>
                <c:pt idx="1">
                  <c:v>8.7286032016538756E-2</c:v>
                </c:pt>
                <c:pt idx="2">
                  <c:v>-0.15218828281597507</c:v>
                </c:pt>
                <c:pt idx="3">
                  <c:v>-0.25874227735383365</c:v>
                </c:pt>
                <c:pt idx="4">
                  <c:v>-0.32150801214674835</c:v>
                </c:pt>
                <c:pt idx="5">
                  <c:v>-0.3642202462295836</c:v>
                </c:pt>
                <c:pt idx="6">
                  <c:v>-0.39590065531976526</c:v>
                </c:pt>
                <c:pt idx="7">
                  <c:v>-0.42078837439411582</c:v>
                </c:pt>
                <c:pt idx="8">
                  <c:v>-0.44116308820922867</c:v>
                </c:pt>
                <c:pt idx="9">
                  <c:v>-0.45837170527742616</c:v>
                </c:pt>
                <c:pt idx="10">
                  <c:v>-0.47326751530640743</c:v>
                </c:pt>
                <c:pt idx="11">
                  <c:v>-0.48642115855465862</c:v>
                </c:pt>
                <c:pt idx="12">
                  <c:v>-0.4982312559772884</c:v>
                </c:pt>
                <c:pt idx="13">
                  <c:v>-0.508986553432342</c:v>
                </c:pt>
                <c:pt idx="14">
                  <c:v>-0.51890282928376619</c:v>
                </c:pt>
                <c:pt idx="15">
                  <c:v>-0.52814585353711851</c:v>
                </c:pt>
                <c:pt idx="16">
                  <c:v>-0.53684624714286389</c:v>
                </c:pt>
                <c:pt idx="17">
                  <c:v>-0.54510944089491908</c:v>
                </c:pt>
                <c:pt idx="18">
                  <c:v>-0.55300963650904511</c:v>
                </c:pt>
                <c:pt idx="19">
                  <c:v>-0.56010793935444503</c:v>
                </c:pt>
                <c:pt idx="20">
                  <c:v>-0.56630080213944289</c:v>
                </c:pt>
                <c:pt idx="21">
                  <c:v>-0.57174937409789828</c:v>
                </c:pt>
                <c:pt idx="22">
                  <c:v>-0.57657966660196902</c:v>
                </c:pt>
                <c:pt idx="23">
                  <c:v>-0.58089147306657618</c:v>
                </c:pt>
                <c:pt idx="24">
                  <c:v>-0.58476473464417711</c:v>
                </c:pt>
                <c:pt idx="25">
                  <c:v>-0.58826415834391432</c:v>
                </c:pt>
                <c:pt idx="26">
                  <c:v>-0.59144261771677464</c:v>
                </c:pt>
                <c:pt idx="27">
                  <c:v>-0.59434369135948262</c:v>
                </c:pt>
                <c:pt idx="28">
                  <c:v>-0.59700358156254218</c:v>
                </c:pt>
                <c:pt idx="29">
                  <c:v>-0.59945258109513888</c:v>
                </c:pt>
                <c:pt idx="30">
                  <c:v>-0.60171620636504342</c:v>
                </c:pt>
                <c:pt idx="31">
                  <c:v>-0.60381608130880782</c:v>
                </c:pt>
                <c:pt idx="32">
                  <c:v>-0.60577063298054179</c:v>
                </c:pt>
                <c:pt idx="33">
                  <c:v>-0.60759564342205941</c:v>
                </c:pt>
                <c:pt idx="34">
                  <c:v>-0.60930469076258043</c:v>
                </c:pt>
                <c:pt idx="35">
                  <c:v>-0.61090950416203249</c:v>
                </c:pt>
                <c:pt idx="36">
                  <c:v>-0.61242025114022047</c:v>
                </c:pt>
                <c:pt idx="37">
                  <c:v>-0.61384577138268626</c:v>
                </c:pt>
                <c:pt idx="38">
                  <c:v>-0.61519376781801471</c:v>
                </c:pt>
                <c:pt idx="39">
                  <c:v>-0.61647096328235662</c:v>
                </c:pt>
                <c:pt idx="40">
                  <c:v>-0.61768322921106456</c:v>
                </c:pt>
                <c:pt idx="41">
                  <c:v>-0.61883569137366168</c:v>
                </c:pt>
                <c:pt idx="42">
                  <c:v>-0.61993281654836152</c:v>
                </c:pt>
                <c:pt idx="43">
                  <c:v>-0.62097848317170312</c:v>
                </c:pt>
                <c:pt idx="44">
                  <c:v>-0.62197603830465087</c:v>
                </c:pt>
                <c:pt idx="45">
                  <c:v>-0.62292834269135933</c:v>
                </c:pt>
                <c:pt idx="46">
                  <c:v>-0.62383780522498566</c:v>
                </c:pt>
                <c:pt idx="47">
                  <c:v>-0.62470640773074015</c:v>
                </c:pt>
                <c:pt idx="48">
                  <c:v>-0.62629171076620138</c:v>
                </c:pt>
                <c:pt idx="49">
                  <c:v>-0.63219495385803337</c:v>
                </c:pt>
                <c:pt idx="50">
                  <c:v>-0.63856539215174801</c:v>
                </c:pt>
                <c:pt idx="51">
                  <c:v>-0.64519749675819571</c:v>
                </c:pt>
                <c:pt idx="52">
                  <c:v>-0.6521462510414604</c:v>
                </c:pt>
                <c:pt idx="53">
                  <c:v>-0.65956587768958685</c:v>
                </c:pt>
                <c:pt idx="54">
                  <c:v>-0.66787955999644599</c:v>
                </c:pt>
                <c:pt idx="55">
                  <c:v>-0.67689949264608562</c:v>
                </c:pt>
                <c:pt idx="56">
                  <c:v>-0.68641931418666502</c:v>
                </c:pt>
                <c:pt idx="57">
                  <c:v>-0.69775409372449648</c:v>
                </c:pt>
                <c:pt idx="58">
                  <c:v>-0.71452462445074971</c:v>
                </c:pt>
                <c:pt idx="59">
                  <c:v>-0.73765291835672886</c:v>
                </c:pt>
                <c:pt idx="60">
                  <c:v>-0.76970822643603432</c:v>
                </c:pt>
                <c:pt idx="61">
                  <c:v>-0.81233796430840843</c:v>
                </c:pt>
                <c:pt idx="62">
                  <c:v>-0.86872050963586978</c:v>
                </c:pt>
                <c:pt idx="63">
                  <c:v>-0.94818226683673557</c:v>
                </c:pt>
                <c:pt idx="64">
                  <c:v>-1.0738853790978553</c:v>
                </c:pt>
                <c:pt idx="65">
                  <c:v>-1.2794764779831689</c:v>
                </c:pt>
                <c:pt idx="66">
                  <c:v>-1.6898876889480567</c:v>
                </c:pt>
                <c:pt idx="67">
                  <c:v>-2.1956997779037071</c:v>
                </c:pt>
                <c:pt idx="68">
                  <c:v>-2.3731885245504367</c:v>
                </c:pt>
                <c:pt idx="69">
                  <c:v>-2.4072885804311683</c:v>
                </c:pt>
                <c:pt idx="70">
                  <c:v>-2.4417293712586101</c:v>
                </c:pt>
                <c:pt idx="71">
                  <c:v>-2.476754399542183</c:v>
                </c:pt>
                <c:pt idx="72">
                  <c:v>-2.512633269861599</c:v>
                </c:pt>
                <c:pt idx="73">
                  <c:v>-2.5496755365344415</c:v>
                </c:pt>
                <c:pt idx="74">
                  <c:v>-2.5882485690636985</c:v>
                </c:pt>
                <c:pt idx="75">
                  <c:v>-2.6288015977825414</c:v>
                </c:pt>
                <c:pt idx="76">
                  <c:v>-2.6718991473474771</c:v>
                </c:pt>
                <c:pt idx="77">
                  <c:v>-2.7182687382316106</c:v>
                </c:pt>
                <c:pt idx="78">
                  <c:v>-2.7688703856019048</c:v>
                </c:pt>
                <c:pt idx="79">
                  <c:v>-2.8249995313335834</c:v>
                </c:pt>
                <c:pt idx="80">
                  <c:v>-2.8884410439387209</c:v>
                </c:pt>
                <c:pt idx="81">
                  <c:v>-2.9616992874358523</c:v>
                </c:pt>
                <c:pt idx="82">
                  <c:v>-3.0483328765747961</c:v>
                </c:pt>
                <c:pt idx="83">
                  <c:v>3.129785035746155</c:v>
                </c:pt>
                <c:pt idx="84">
                  <c:v>3.0271687439731392</c:v>
                </c:pt>
                <c:pt idx="85">
                  <c:v>2.8750452154551844</c:v>
                </c:pt>
                <c:pt idx="86">
                  <c:v>2.7466965719686889</c:v>
                </c:pt>
                <c:pt idx="87">
                  <c:v>2.6416555862814772</c:v>
                </c:pt>
                <c:pt idx="88">
                  <c:v>2.5494290265528559</c:v>
                </c:pt>
                <c:pt idx="89">
                  <c:v>2.4758545134367376</c:v>
                </c:pt>
                <c:pt idx="90">
                  <c:v>2.4092724476015936</c:v>
                </c:pt>
                <c:pt idx="91">
                  <c:v>2.3578310162796754</c:v>
                </c:pt>
                <c:pt idx="92">
                  <c:v>2.3085507848890434</c:v>
                </c:pt>
                <c:pt idx="93">
                  <c:v>2.2547849244188622</c:v>
                </c:pt>
                <c:pt idx="94">
                  <c:v>2.2057885204967027</c:v>
                </c:pt>
                <c:pt idx="95">
                  <c:v>2.159722413232549</c:v>
                </c:pt>
                <c:pt idx="96">
                  <c:v>2.1157843914113741</c:v>
                </c:pt>
                <c:pt idx="97">
                  <c:v>2.0735491792919678</c:v>
                </c:pt>
                <c:pt idx="98">
                  <c:v>2.0327469238255071</c:v>
                </c:pt>
                <c:pt idx="99">
                  <c:v>1.996887239040307</c:v>
                </c:pt>
                <c:pt idx="100">
                  <c:v>1.9662088319984516</c:v>
                </c:pt>
                <c:pt idx="101">
                  <c:v>1.9391156090119124</c:v>
                </c:pt>
                <c:pt idx="102">
                  <c:v>1.9145944436365829</c:v>
                </c:pt>
                <c:pt idx="103">
                  <c:v>1.8859796560193767</c:v>
                </c:pt>
                <c:pt idx="104">
                  <c:v>1.6535908944351425</c:v>
                </c:pt>
                <c:pt idx="105">
                  <c:v>1.4376233238796712</c:v>
                </c:pt>
                <c:pt idx="106">
                  <c:v>1.3140731970597008</c:v>
                </c:pt>
                <c:pt idx="107">
                  <c:v>1.2400858018501293</c:v>
                </c:pt>
                <c:pt idx="108">
                  <c:v>1.1944430925979515</c:v>
                </c:pt>
                <c:pt idx="109">
                  <c:v>1.1591426014519846</c:v>
                </c:pt>
                <c:pt idx="110">
                  <c:v>1.1309998058773687</c:v>
                </c:pt>
                <c:pt idx="111">
                  <c:v>1.1083110352404983</c:v>
                </c:pt>
                <c:pt idx="112">
                  <c:v>1.0912615505869268</c:v>
                </c:pt>
                <c:pt idx="113">
                  <c:v>1.0801471419526598</c:v>
                </c:pt>
                <c:pt idx="114">
                  <c:v>1.0747846419280001</c:v>
                </c:pt>
                <c:pt idx="115">
                  <c:v>1.0739814247546511</c:v>
                </c:pt>
                <c:pt idx="116">
                  <c:v>1.0731809215495194</c:v>
                </c:pt>
                <c:pt idx="117">
                  <c:v>1.0723844913634875</c:v>
                </c:pt>
                <c:pt idx="118">
                  <c:v>1.0715928261609495</c:v>
                </c:pt>
                <c:pt idx="119">
                  <c:v>1.0708061278001628</c:v>
                </c:pt>
                <c:pt idx="120">
                  <c:v>1.0700242349736977</c:v>
                </c:pt>
                <c:pt idx="121">
                  <c:v>1.0692467145615299</c:v>
                </c:pt>
                <c:pt idx="122">
                  <c:v>1.0684729273838409</c:v>
                </c:pt>
                <c:pt idx="123">
                  <c:v>1.0677020753351674</c:v>
                </c:pt>
                <c:pt idx="124">
                  <c:v>1.0669332348187954</c:v>
                </c:pt>
                <c:pt idx="125">
                  <c:v>1.0661653799796442</c:v>
                </c:pt>
                <c:pt idx="126">
                  <c:v>1.0653973982306539</c:v>
                </c:pt>
                <c:pt idx="127">
                  <c:v>1.0646280998593591</c:v>
                </c:pt>
                <c:pt idx="128">
                  <c:v>1.063856222991306</c:v>
                </c:pt>
                <c:pt idx="129">
                  <c:v>1.0630804348124292</c:v>
                </c:pt>
                <c:pt idx="130">
                  <c:v>1.0622993296775916</c:v>
                </c:pt>
                <c:pt idx="131">
                  <c:v>1.0615114245192825</c:v>
                </c:pt>
                <c:pt idx="132">
                  <c:v>1.060715151809217</c:v>
                </c:pt>
                <c:pt idx="133">
                  <c:v>1.0599088501891487</c:v>
                </c:pt>
                <c:pt idx="134">
                  <c:v>1.0590907527760793</c:v>
                </c:pt>
                <c:pt idx="135">
                  <c:v>1.0582589730423975</c:v>
                </c:pt>
                <c:pt idx="136">
                  <c:v>1.0574114880761274</c:v>
                </c:pt>
                <c:pt idx="137">
                  <c:v>1.0565461189218415</c:v>
                </c:pt>
                <c:pt idx="138">
                  <c:v>1.0556605076000187</c:v>
                </c:pt>
                <c:pt idx="139">
                  <c:v>1.0547520902751606</c:v>
                </c:pt>
                <c:pt idx="140">
                  <c:v>1.0538180659016085</c:v>
                </c:pt>
                <c:pt idx="141">
                  <c:v>1.0528553595021963</c:v>
                </c:pt>
                <c:pt idx="142">
                  <c:v>1.0518605790210762</c:v>
                </c:pt>
                <c:pt idx="143">
                  <c:v>1.050829964424975</c:v>
                </c:pt>
                <c:pt idx="144">
                  <c:v>1.0497593273926171</c:v>
                </c:pt>
                <c:pt idx="145">
                  <c:v>1.0486439794964408</c:v>
                </c:pt>
                <c:pt idx="146">
                  <c:v>1.0474786462308823</c:v>
                </c:pt>
                <c:pt idx="147">
                  <c:v>1.0462573635113703</c:v>
                </c:pt>
                <c:pt idx="148">
                  <c:v>1.0449733523264684</c:v>
                </c:pt>
                <c:pt idx="149">
                  <c:v>1.0436188659586245</c:v>
                </c:pt>
                <c:pt idx="150">
                  <c:v>1.0421850025163775</c:v>
                </c:pt>
                <c:pt idx="151">
                  <c:v>1.0406614732430051</c:v>
                </c:pt>
                <c:pt idx="152">
                  <c:v>1.0390363139779188</c:v>
                </c:pt>
                <c:pt idx="153">
                  <c:v>1.0372955228726186</c:v>
                </c:pt>
                <c:pt idx="154">
                  <c:v>1.0354226015171444</c:v>
                </c:pt>
                <c:pt idx="155">
                  <c:v>1.0333979682209133</c:v>
                </c:pt>
                <c:pt idx="156">
                  <c:v>1.0311982001582589</c:v>
                </c:pt>
                <c:pt idx="157">
                  <c:v>1.028795043613224</c:v>
                </c:pt>
                <c:pt idx="158">
                  <c:v>1.02615410575205</c:v>
                </c:pt>
                <c:pt idx="159">
                  <c:v>1.0232331026347208</c:v>
                </c:pt>
                <c:pt idx="160">
                  <c:v>1.0199794789216539</c:v>
                </c:pt>
                <c:pt idx="161">
                  <c:v>1.0163271221965682</c:v>
                </c:pt>
                <c:pt idx="162">
                  <c:v>1.012191746960019</c:v>
                </c:pt>
                <c:pt idx="163">
                  <c:v>1.0076439740831289</c:v>
                </c:pt>
                <c:pt idx="164">
                  <c:v>1.002944881203881</c:v>
                </c:pt>
                <c:pt idx="165">
                  <c:v>0.99805845215700395</c:v>
                </c:pt>
                <c:pt idx="166">
                  <c:v>0.99293292051975013</c:v>
                </c:pt>
                <c:pt idx="167">
                  <c:v>0.98750499294762795</c:v>
                </c:pt>
                <c:pt idx="168">
                  <c:v>0.98169515343974134</c:v>
                </c:pt>
                <c:pt idx="169">
                  <c:v>0.97540065513324259</c:v>
                </c:pt>
                <c:pt idx="170">
                  <c:v>0.9684846629036985</c:v>
                </c:pt>
                <c:pt idx="171">
                  <c:v>0.9607587132282317</c:v>
                </c:pt>
                <c:pt idx="172">
                  <c:v>0.95195296079465597</c:v>
                </c:pt>
                <c:pt idx="173">
                  <c:v>0.9416626537375461</c:v>
                </c:pt>
                <c:pt idx="174">
                  <c:v>0.92924455683243523</c:v>
                </c:pt>
                <c:pt idx="175">
                  <c:v>0.91359679395522619</c:v>
                </c:pt>
                <c:pt idx="176">
                  <c:v>0.89262792639690625</c:v>
                </c:pt>
                <c:pt idx="177">
                  <c:v>0.86172269598895768</c:v>
                </c:pt>
                <c:pt idx="178">
                  <c:v>0.80783146702982411</c:v>
                </c:pt>
                <c:pt idx="179">
                  <c:v>0.67134210048725185</c:v>
                </c:pt>
                <c:pt idx="180">
                  <c:v>0.41305641693062817</c:v>
                </c:pt>
                <c:pt idx="181">
                  <c:v>0.41305641693043188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4.4032522417015357E-2</c:v>
                </c:pt>
              </c:numCache>
            </c:numRef>
          </c:xVal>
          <c:yVal>
            <c:numRef>
              <c:f>TLR_Section_Capacity!$W$7</c:f>
              <c:numCache>
                <c:formatCode>0.000E+00</c:formatCode>
                <c:ptCount val="1"/>
                <c:pt idx="0">
                  <c:v>-2.1306436325997637E-11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TLR_Section_Capacity!$U$13</c:f>
              <c:numCache>
                <c:formatCode>0.000E+00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TLR_Section_Capacity!$AD$45:$AD$46</c:f>
              <c:numCache>
                <c:formatCode>0.000E+00</c:formatCode>
                <c:ptCount val="2"/>
                <c:pt idx="0">
                  <c:v>1.5707963267948966</c:v>
                </c:pt>
                <c:pt idx="1">
                  <c:v>-1.5707963267948966</c:v>
                </c:pt>
              </c:numCache>
            </c:numRef>
          </c:xVal>
          <c:yVal>
            <c:numRef>
              <c:f>TLR_Section_Capacity!$AE$45:$AE$46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TLR_Section_Capacity!$AC$49:$AC$53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TLR_Section_Capacity!$AD$49:$AD$53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  <c:pt idx="181">
                  <c:v>6.3180918922194511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TLR_Section_Capacity!$CC$15:$CC$375</c:f>
              <c:numCache>
                <c:formatCode>0.000</c:formatCode>
                <c:ptCount val="361"/>
                <c:pt idx="0">
                  <c:v>-0.73378148952676248</c:v>
                </c:pt>
                <c:pt idx="1">
                  <c:v>-0.18045236118229613</c:v>
                </c:pt>
                <c:pt idx="2">
                  <c:v>0.31479859155062545</c:v>
                </c:pt>
                <c:pt idx="3">
                  <c:v>0.52052928483138206</c:v>
                </c:pt>
                <c:pt idx="4">
                  <c:v>0.63211857485400758</c:v>
                </c:pt>
                <c:pt idx="5">
                  <c:v>0.70354553694791055</c:v>
                </c:pt>
                <c:pt idx="6">
                  <c:v>0.75427836765589495</c:v>
                </c:pt>
                <c:pt idx="7">
                  <c:v>0.79295716003462469</c:v>
                </c:pt>
                <c:pt idx="8">
                  <c:v>0.82399494297952025</c:v>
                </c:pt>
                <c:pt idx="9">
                  <c:v>0.84988462947071008</c:v>
                </c:pt>
                <c:pt idx="10">
                  <c:v>0.87214556667799203</c:v>
                </c:pt>
                <c:pt idx="11">
                  <c:v>0.89176069806395697</c:v>
                </c:pt>
                <c:pt idx="12">
                  <c:v>0.90939766166976521</c:v>
                </c:pt>
                <c:pt idx="13">
                  <c:v>0.92552896791414097</c:v>
                </c:pt>
                <c:pt idx="14">
                  <c:v>0.94050128116590193</c:v>
                </c:pt>
                <c:pt idx="15">
                  <c:v>0.95457738189785635</c:v>
                </c:pt>
                <c:pt idx="16">
                  <c:v>0.96796269109315503</c:v>
                </c:pt>
                <c:pt idx="17">
                  <c:v>0.98082269174813996</c:v>
                </c:pt>
                <c:pt idx="18">
                  <c:v>0.99327430545779749</c:v>
                </c:pt>
                <c:pt idx="19">
                  <c:v>1.0046179318462232</c:v>
                </c:pt>
                <c:pt idx="20">
                  <c:v>1.0146717992285379</c:v>
                </c:pt>
                <c:pt idx="21">
                  <c:v>1.0236718896123076</c:v>
                </c:pt>
                <c:pt idx="22">
                  <c:v>1.0318003973799927</c:v>
                </c:pt>
                <c:pt idx="23">
                  <c:v>1.0392002621268961</c:v>
                </c:pt>
                <c:pt idx="24">
                  <c:v>1.0459852566272687</c:v>
                </c:pt>
                <c:pt idx="25">
                  <c:v>1.0522471300507341</c:v>
                </c:pt>
                <c:pt idx="26">
                  <c:v>1.058060758325321</c:v>
                </c:pt>
                <c:pt idx="27">
                  <c:v>1.0634879194015225</c:v>
                </c:pt>
                <c:pt idx="28">
                  <c:v>1.0685801026764463</c:v>
                </c:pt>
                <c:pt idx="29">
                  <c:v>1.0733806289261647</c:v>
                </c:pt>
                <c:pt idx="30">
                  <c:v>1.0779262706134272</c:v>
                </c:pt>
                <c:pt idx="31">
                  <c:v>1.0822485051738717</c:v>
                </c:pt>
                <c:pt idx="32">
                  <c:v>1.0863744952684975</c:v>
                </c:pt>
                <c:pt idx="33">
                  <c:v>1.0903278635595548</c:v>
                </c:pt>
                <c:pt idx="34">
                  <c:v>1.0941293112199857</c:v>
                </c:pt>
                <c:pt idx="35">
                  <c:v>1.0977971164339029</c:v>
                </c:pt>
                <c:pt idx="36">
                  <c:v>1.1013475399361805</c:v>
                </c:pt>
                <c:pt idx="37">
                  <c:v>1.1091344685135929</c:v>
                </c:pt>
                <c:pt idx="38">
                  <c:v>1.1268416844367712</c:v>
                </c:pt>
                <c:pt idx="39">
                  <c:v>1.1453495750812406</c:v>
                </c:pt>
                <c:pt idx="40">
                  <c:v>1.1647820662081743</c:v>
                </c:pt>
                <c:pt idx="41">
                  <c:v>1.1852818218147676</c:v>
                </c:pt>
                <c:pt idx="42">
                  <c:v>1.2070147440990973</c:v>
                </c:pt>
                <c:pt idx="43">
                  <c:v>1.2301756988748969</c:v>
                </c:pt>
                <c:pt idx="44">
                  <c:v>1.2549958978883535</c:v>
                </c:pt>
                <c:pt idx="45">
                  <c:v>1.2817525470930002</c:v>
                </c:pt>
                <c:pt idx="46">
                  <c:v>1.3407458118653481</c:v>
                </c:pt>
                <c:pt idx="47">
                  <c:v>1.4021651603478871</c:v>
                </c:pt>
                <c:pt idx="48">
                  <c:v>1.4699279338110938</c:v>
                </c:pt>
                <c:pt idx="49">
                  <c:v>1.5652383499009126</c:v>
                </c:pt>
                <c:pt idx="50">
                  <c:v>1.6738367287102716</c:v>
                </c:pt>
                <c:pt idx="51">
                  <c:v>1.7969637080582355</c:v>
                </c:pt>
                <c:pt idx="52">
                  <c:v>1.9379864593703922</c:v>
                </c:pt>
                <c:pt idx="53">
                  <c:v>2.1042817294850646</c:v>
                </c:pt>
                <c:pt idx="54">
                  <c:v>2.315931033076847</c:v>
                </c:pt>
                <c:pt idx="55">
                  <c:v>2.5749873584471521</c:v>
                </c:pt>
                <c:pt idx="56">
                  <c:v>2.9058884759124757</c:v>
                </c:pt>
                <c:pt idx="57">
                  <c:v>3.3092597606612948</c:v>
                </c:pt>
                <c:pt idx="58">
                  <c:v>3.8846469807996158</c:v>
                </c:pt>
                <c:pt idx="59">
                  <c:v>4.7455811746213179</c:v>
                </c:pt>
                <c:pt idx="60">
                  <c:v>6.0933951920525899</c:v>
                </c:pt>
                <c:pt idx="61">
                  <c:v>8.0142676526312169</c:v>
                </c:pt>
                <c:pt idx="62">
                  <c:v>10.336426367816895</c:v>
                </c:pt>
                <c:pt idx="63">
                  <c:v>12.576691532263709</c:v>
                </c:pt>
                <c:pt idx="64">
                  <c:v>14.521257903336091</c:v>
                </c:pt>
                <c:pt idx="65">
                  <c:v>14.97409438536743</c:v>
                </c:pt>
                <c:pt idx="66">
                  <c:v>12.442415486668427</c:v>
                </c:pt>
                <c:pt idx="67">
                  <c:v>8.2066164125945562</c:v>
                </c:pt>
                <c:pt idx="68">
                  <c:v>6.6498323395433356</c:v>
                </c:pt>
                <c:pt idx="69">
                  <c:v>6.34798333205711</c:v>
                </c:pt>
                <c:pt idx="70">
                  <c:v>6.0429346315651378</c:v>
                </c:pt>
                <c:pt idx="71">
                  <c:v>5.7326529452770023</c:v>
                </c:pt>
                <c:pt idx="72">
                  <c:v>5.4148925368778658</c:v>
                </c:pt>
                <c:pt idx="73">
                  <c:v>5.0870830053243576</c:v>
                </c:pt>
                <c:pt idx="74">
                  <c:v>4.7461857779348726</c:v>
                </c:pt>
                <c:pt idx="75">
                  <c:v>4.388502791434421</c:v>
                </c:pt>
                <c:pt idx="76">
                  <c:v>4.0094133845136515</c:v>
                </c:pt>
                <c:pt idx="77">
                  <c:v>3.6030039644841017</c:v>
                </c:pt>
                <c:pt idx="78">
                  <c:v>3.1615380141528293</c:v>
                </c:pt>
                <c:pt idx="79">
                  <c:v>2.6746906916085584</c:v>
                </c:pt>
                <c:pt idx="80">
                  <c:v>2.1284469003908546</c:v>
                </c:pt>
                <c:pt idx="81">
                  <c:v>1.5035589521419013</c:v>
                </c:pt>
                <c:pt idx="82">
                  <c:v>0.77357762119060425</c:v>
                </c:pt>
                <c:pt idx="83">
                  <c:v>-9.6947945390470913E-2</c:v>
                </c:pt>
                <c:pt idx="84">
                  <c:v>-0.92426630188797265</c:v>
                </c:pt>
                <c:pt idx="85">
                  <c:v>-2.1089620253836738</c:v>
                </c:pt>
                <c:pt idx="86">
                  <c:v>-3.0514650764498126</c:v>
                </c:pt>
                <c:pt idx="87">
                  <c:v>-3.7579930030387665</c:v>
                </c:pt>
                <c:pt idx="88">
                  <c:v>-4.3254847049763798</c:v>
                </c:pt>
                <c:pt idx="89">
                  <c:v>-4.7427166305821267</c:v>
                </c:pt>
                <c:pt idx="90">
                  <c:v>-5.0831307022108696</c:v>
                </c:pt>
                <c:pt idx="91">
                  <c:v>-5.4208139244541078</c:v>
                </c:pt>
                <c:pt idx="92">
                  <c:v>-5.7342949485142292</c:v>
                </c:pt>
                <c:pt idx="93">
                  <c:v>-6.077114035208222</c:v>
                </c:pt>
                <c:pt idx="94">
                  <c:v>-6.3862984028331216</c:v>
                </c:pt>
                <c:pt idx="95">
                  <c:v>-6.6628225376576999</c:v>
                </c:pt>
                <c:pt idx="96">
                  <c:v>-6.9085571581950491</c:v>
                </c:pt>
                <c:pt idx="97">
                  <c:v>-7.1342323255199638</c:v>
                </c:pt>
                <c:pt idx="98">
                  <c:v>-7.3418110106114121</c:v>
                </c:pt>
                <c:pt idx="99">
                  <c:v>-7.5129079130277931</c:v>
                </c:pt>
                <c:pt idx="100">
                  <c:v>-7.6479702899483986</c:v>
                </c:pt>
                <c:pt idx="101">
                  <c:v>-7.7569205910138539</c:v>
                </c:pt>
                <c:pt idx="102">
                  <c:v>-7.8460329152761421</c:v>
                </c:pt>
                <c:pt idx="103">
                  <c:v>-7.9368156303828341</c:v>
                </c:pt>
                <c:pt idx="104">
                  <c:v>-8.0684312666380471</c:v>
                </c:pt>
                <c:pt idx="105">
                  <c:v>-6.4994265488367065</c:v>
                </c:pt>
                <c:pt idx="106">
                  <c:v>-4.4594746220734338</c:v>
                </c:pt>
                <c:pt idx="107">
                  <c:v>-3.1011445116708276</c:v>
                </c:pt>
                <c:pt idx="108">
                  <c:v>-2.5427469658769319</c:v>
                </c:pt>
                <c:pt idx="109">
                  <c:v>-2.121722200014176</c:v>
                </c:pt>
                <c:pt idx="110">
                  <c:v>-1.8017364005804826</c:v>
                </c:pt>
                <c:pt idx="111">
                  <c:v>-1.5547719800389426</c:v>
                </c:pt>
                <c:pt idx="112">
                  <c:v>-1.3763746040104374</c:v>
                </c:pt>
                <c:pt idx="113">
                  <c:v>-1.2621707594963394</c:v>
                </c:pt>
                <c:pt idx="114">
                  <c:v>-1.1765388146864895</c:v>
                </c:pt>
                <c:pt idx="115">
                  <c:v>-1.1247746102572376</c:v>
                </c:pt>
                <c:pt idx="116">
                  <c:v>-1.0775946837349437</c:v>
                </c:pt>
                <c:pt idx="117">
                  <c:v>-1.0343182919800542</c:v>
                </c:pt>
                <c:pt idx="118">
                  <c:v>-0.99438938372945718</c:v>
                </c:pt>
                <c:pt idx="119">
                  <c:v>-0.95734912221585156</c:v>
                </c:pt>
                <c:pt idx="120">
                  <c:v>-0.94417630845694989</c:v>
                </c:pt>
                <c:pt idx="121">
                  <c:v>-0.94263150354933167</c:v>
                </c:pt>
                <c:pt idx="122">
                  <c:v>-0.94118227786123221</c:v>
                </c:pt>
                <c:pt idx="123">
                  <c:v>-0.93981775696527114</c:v>
                </c:pt>
                <c:pt idx="124">
                  <c:v>-0.93852854842369604</c:v>
                </c:pt>
                <c:pt idx="125">
                  <c:v>-0.93730649578009473</c:v>
                </c:pt>
                <c:pt idx="126">
                  <c:v>-0.93614447943003209</c:v>
                </c:pt>
                <c:pt idx="127">
                  <c:v>-0.93503625434743221</c:v>
                </c:pt>
                <c:pt idx="128">
                  <c:v>-0.93397631701140238</c:v>
                </c:pt>
                <c:pt idx="129">
                  <c:v>-0.93295979564756315</c:v>
                </c:pt>
                <c:pt idx="130">
                  <c:v>-0.93198235921065908</c:v>
                </c:pt>
                <c:pt idx="131">
                  <c:v>-0.93104014154908443</c:v>
                </c:pt>
                <c:pt idx="132">
                  <c:v>-0.93012967794222645</c:v>
                </c:pt>
                <c:pt idx="133">
                  <c:v>-0.92924785180455993</c:v>
                </c:pt>
                <c:pt idx="134">
                  <c:v>-0.92839184979784051</c:v>
                </c:pt>
                <c:pt idx="135">
                  <c:v>-0.92755912396345297</c:v>
                </c:pt>
                <c:pt idx="136">
                  <c:v>-0.9267473597603848</c:v>
                </c:pt>
                <c:pt idx="137">
                  <c:v>-0.92595444914419733</c:v>
                </c:pt>
                <c:pt idx="138">
                  <c:v>-0.92517846798634507</c:v>
                </c:pt>
                <c:pt idx="139">
                  <c:v>-0.92441765731296577</c:v>
                </c:pt>
                <c:pt idx="140">
                  <c:v>-0.92367040796696553</c:v>
                </c:pt>
                <c:pt idx="141">
                  <c:v>-0.92293524842067542</c:v>
                </c:pt>
                <c:pt idx="142">
                  <c:v>-0.92221083558167827</c:v>
                </c:pt>
                <c:pt idx="143">
                  <c:v>-0.92149594854854966</c:v>
                </c:pt>
                <c:pt idx="144">
                  <c:v>-0.92078948537866134</c:v>
                </c:pt>
                <c:pt idx="145">
                  <c:v>-0.9200904630787976</c:v>
                </c:pt>
                <c:pt idx="146">
                  <c:v>-0.91939802115223568</c:v>
                </c:pt>
                <c:pt idx="147">
                  <c:v>-0.91871142924271332</c:v>
                </c:pt>
                <c:pt idx="148">
                  <c:v>-0.91803009960359072</c:v>
                </c:pt>
                <c:pt idx="149">
                  <c:v>-0.91735360543929934</c:v>
                </c:pt>
                <c:pt idx="150">
                  <c:v>-0.91668170649237701</c:v>
                </c:pt>
                <c:pt idx="151">
                  <c:v>-0.91601438375931388</c:v>
                </c:pt>
                <c:pt idx="152">
                  <c:v>-0.91535188582312366</c:v>
                </c:pt>
                <c:pt idx="153">
                  <c:v>-0.91469479016316635</c:v>
                </c:pt>
                <c:pt idx="154">
                  <c:v>-0.91404408391258629</c:v>
                </c:pt>
                <c:pt idx="155">
                  <c:v>-0.91340127008658023</c:v>
                </c:pt>
                <c:pt idx="156">
                  <c:v>-0.91276850737161086</c:v>
                </c:pt>
                <c:pt idx="157">
                  <c:v>-0.91214879434191387</c:v>
                </c:pt>
                <c:pt idx="158">
                  <c:v>-0.91154621275336012</c:v>
                </c:pt>
                <c:pt idx="159">
                  <c:v>-0.91096624946370941</c:v>
                </c:pt>
                <c:pt idx="160">
                  <c:v>-0.91041622286407653</c:v>
                </c:pt>
                <c:pt idx="161">
                  <c:v>-0.90990584722563161</c:v>
                </c:pt>
                <c:pt idx="162">
                  <c:v>-0.90944797594917581</c:v>
                </c:pt>
                <c:pt idx="163">
                  <c:v>-0.90907375832310011</c:v>
                </c:pt>
                <c:pt idx="164">
                  <c:v>-0.90882305014224907</c:v>
                </c:pt>
                <c:pt idx="165">
                  <c:v>-0.90870662934410595</c:v>
                </c:pt>
                <c:pt idx="166">
                  <c:v>-0.90873874175091518</c:v>
                </c:pt>
                <c:pt idx="167">
                  <c:v>-0.90893895494191801</c:v>
                </c:pt>
                <c:pt idx="168">
                  <c:v>-0.90933383663494116</c:v>
                </c:pt>
                <c:pt idx="169">
                  <c:v>-0.90995943568984217</c:v>
                </c:pt>
                <c:pt idx="170">
                  <c:v>-0.91086501440390655</c:v>
                </c:pt>
                <c:pt idx="171">
                  <c:v>-0.91211879129013851</c:v>
                </c:pt>
                <c:pt idx="172">
                  <c:v>-0.91381701108723468</c:v>
                </c:pt>
                <c:pt idx="173">
                  <c:v>-0.91609866659949191</c:v>
                </c:pt>
                <c:pt idx="174">
                  <c:v>-0.91916993644444722</c:v>
                </c:pt>
                <c:pt idx="175">
                  <c:v>-0.92334463242311093</c:v>
                </c:pt>
                <c:pt idx="176">
                  <c:v>-0.92910331955301617</c:v>
                </c:pt>
                <c:pt idx="177">
                  <c:v>-0.93709985628525061</c:v>
                </c:pt>
                <c:pt idx="178">
                  <c:v>-0.94712687140146468</c:v>
                </c:pt>
                <c:pt idx="179">
                  <c:v>-0.93545313401826147</c:v>
                </c:pt>
                <c:pt idx="180">
                  <c:v>-0.73378148952684907</c:v>
                </c:pt>
                <c:pt idx="181">
                  <c:v>-0.73378148952676747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2"/>
          <c:order val="0"/>
          <c:tx>
            <c:v>@ alpha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4.4032522417015357E-2</c:v>
                </c:pt>
              </c:numCache>
            </c:numRef>
          </c:xVal>
          <c:yVal>
            <c:numRef>
              <c:f>TLR_Section_Capacity!$CK$11</c:f>
              <c:numCache>
                <c:formatCode>0.000E+00</c:formatCode>
                <c:ptCount val="1"/>
                <c:pt idx="0">
                  <c:v>4.4532956232567168E-11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8-49DE-9AA4-65C22ACBA318}"/>
            </c:ext>
          </c:extLst>
        </c:ser>
        <c:ser>
          <c:idx val="3"/>
          <c:order val="1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TLR_Section_Capacity!$U$13</c:f>
              <c:numCache>
                <c:formatCode>0.000E+00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588-49DE-9AA4-65C22ACBA318}"/>
            </c:ext>
          </c:extLst>
        </c:ser>
        <c:ser>
          <c:idx val="4"/>
          <c:order val="2"/>
          <c:tx>
            <c:v>User+/-pi/2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TLR_Section_Capacity!$AD$45:$AD$46</c:f>
              <c:numCache>
                <c:formatCode>0.000E+00</c:formatCode>
                <c:ptCount val="2"/>
                <c:pt idx="0">
                  <c:v>1.5707963267948966</c:v>
                </c:pt>
                <c:pt idx="1">
                  <c:v>-1.5707963267948966</c:v>
                </c:pt>
              </c:numCache>
            </c:numRef>
          </c:xVal>
          <c:yVal>
            <c:numRef>
              <c:f>TLR_Section_Capacity!$AE$45:$AE$46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88-49DE-9AA4-65C22ACBA318}"/>
            </c:ext>
          </c:extLst>
        </c:ser>
        <c:ser>
          <c:idx val="0"/>
          <c:order val="3"/>
          <c:tx>
            <c:v>new reference point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  <c:pt idx="181">
                  <c:v>6.3180918922194511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TLR_Section_Capacity!$CC$15:$CC$375</c:f>
              <c:numCache>
                <c:formatCode>0.000</c:formatCode>
                <c:ptCount val="361"/>
                <c:pt idx="0">
                  <c:v>-0.73378148952676248</c:v>
                </c:pt>
                <c:pt idx="1">
                  <c:v>-0.18045236118229613</c:v>
                </c:pt>
                <c:pt idx="2">
                  <c:v>0.31479859155062545</c:v>
                </c:pt>
                <c:pt idx="3">
                  <c:v>0.52052928483138206</c:v>
                </c:pt>
                <c:pt idx="4">
                  <c:v>0.63211857485400758</c:v>
                </c:pt>
                <c:pt idx="5">
                  <c:v>0.70354553694791055</c:v>
                </c:pt>
                <c:pt idx="6">
                  <c:v>0.75427836765589495</c:v>
                </c:pt>
                <c:pt idx="7">
                  <c:v>0.79295716003462469</c:v>
                </c:pt>
                <c:pt idx="8">
                  <c:v>0.82399494297952025</c:v>
                </c:pt>
                <c:pt idx="9">
                  <c:v>0.84988462947071008</c:v>
                </c:pt>
                <c:pt idx="10">
                  <c:v>0.87214556667799203</c:v>
                </c:pt>
                <c:pt idx="11">
                  <c:v>0.89176069806395697</c:v>
                </c:pt>
                <c:pt idx="12">
                  <c:v>0.90939766166976521</c:v>
                </c:pt>
                <c:pt idx="13">
                  <c:v>0.92552896791414097</c:v>
                </c:pt>
                <c:pt idx="14">
                  <c:v>0.94050128116590193</c:v>
                </c:pt>
                <c:pt idx="15">
                  <c:v>0.95457738189785635</c:v>
                </c:pt>
                <c:pt idx="16">
                  <c:v>0.96796269109315503</c:v>
                </c:pt>
                <c:pt idx="17">
                  <c:v>0.98082269174813996</c:v>
                </c:pt>
                <c:pt idx="18">
                  <c:v>0.99327430545779749</c:v>
                </c:pt>
                <c:pt idx="19">
                  <c:v>1.0046179318462232</c:v>
                </c:pt>
                <c:pt idx="20">
                  <c:v>1.0146717992285379</c:v>
                </c:pt>
                <c:pt idx="21">
                  <c:v>1.0236718896123076</c:v>
                </c:pt>
                <c:pt idx="22">
                  <c:v>1.0318003973799927</c:v>
                </c:pt>
                <c:pt idx="23">
                  <c:v>1.0392002621268961</c:v>
                </c:pt>
                <c:pt idx="24">
                  <c:v>1.0459852566272687</c:v>
                </c:pt>
                <c:pt idx="25">
                  <c:v>1.0522471300507341</c:v>
                </c:pt>
                <c:pt idx="26">
                  <c:v>1.058060758325321</c:v>
                </c:pt>
                <c:pt idx="27">
                  <c:v>1.0634879194015225</c:v>
                </c:pt>
                <c:pt idx="28">
                  <c:v>1.0685801026764463</c:v>
                </c:pt>
                <c:pt idx="29">
                  <c:v>1.0733806289261647</c:v>
                </c:pt>
                <c:pt idx="30">
                  <c:v>1.0779262706134272</c:v>
                </c:pt>
                <c:pt idx="31">
                  <c:v>1.0822485051738717</c:v>
                </c:pt>
                <c:pt idx="32">
                  <c:v>1.0863744952684975</c:v>
                </c:pt>
                <c:pt idx="33">
                  <c:v>1.0903278635595548</c:v>
                </c:pt>
                <c:pt idx="34">
                  <c:v>1.0941293112199857</c:v>
                </c:pt>
                <c:pt idx="35">
                  <c:v>1.0977971164339029</c:v>
                </c:pt>
                <c:pt idx="36">
                  <c:v>1.1013475399361805</c:v>
                </c:pt>
                <c:pt idx="37">
                  <c:v>1.1091344685135929</c:v>
                </c:pt>
                <c:pt idx="38">
                  <c:v>1.1268416844367712</c:v>
                </c:pt>
                <c:pt idx="39">
                  <c:v>1.1453495750812406</c:v>
                </c:pt>
                <c:pt idx="40">
                  <c:v>1.1647820662081743</c:v>
                </c:pt>
                <c:pt idx="41">
                  <c:v>1.1852818218147676</c:v>
                </c:pt>
                <c:pt idx="42">
                  <c:v>1.2070147440990973</c:v>
                </c:pt>
                <c:pt idx="43">
                  <c:v>1.2301756988748969</c:v>
                </c:pt>
                <c:pt idx="44">
                  <c:v>1.2549958978883535</c:v>
                </c:pt>
                <c:pt idx="45">
                  <c:v>1.2817525470930002</c:v>
                </c:pt>
                <c:pt idx="46">
                  <c:v>1.3407458118653481</c:v>
                </c:pt>
                <c:pt idx="47">
                  <c:v>1.4021651603478871</c:v>
                </c:pt>
                <c:pt idx="48">
                  <c:v>1.4699279338110938</c:v>
                </c:pt>
                <c:pt idx="49">
                  <c:v>1.5652383499009126</c:v>
                </c:pt>
                <c:pt idx="50">
                  <c:v>1.6738367287102716</c:v>
                </c:pt>
                <c:pt idx="51">
                  <c:v>1.7969637080582355</c:v>
                </c:pt>
                <c:pt idx="52">
                  <c:v>1.9379864593703922</c:v>
                </c:pt>
                <c:pt idx="53">
                  <c:v>2.1042817294850646</c:v>
                </c:pt>
                <c:pt idx="54">
                  <c:v>2.315931033076847</c:v>
                </c:pt>
                <c:pt idx="55">
                  <c:v>2.5749873584471521</c:v>
                </c:pt>
                <c:pt idx="56">
                  <c:v>2.9058884759124757</c:v>
                </c:pt>
                <c:pt idx="57">
                  <c:v>3.3092597606612948</c:v>
                </c:pt>
                <c:pt idx="58">
                  <c:v>3.8846469807996158</c:v>
                </c:pt>
                <c:pt idx="59">
                  <c:v>4.7455811746213179</c:v>
                </c:pt>
                <c:pt idx="60">
                  <c:v>6.0933951920525899</c:v>
                </c:pt>
                <c:pt idx="61">
                  <c:v>8.0142676526312169</c:v>
                </c:pt>
                <c:pt idx="62">
                  <c:v>10.336426367816895</c:v>
                </c:pt>
                <c:pt idx="63">
                  <c:v>12.576691532263709</c:v>
                </c:pt>
                <c:pt idx="64">
                  <c:v>14.521257903336091</c:v>
                </c:pt>
                <c:pt idx="65">
                  <c:v>14.97409438536743</c:v>
                </c:pt>
                <c:pt idx="66">
                  <c:v>12.442415486668427</c:v>
                </c:pt>
                <c:pt idx="67">
                  <c:v>8.2066164125945562</c:v>
                </c:pt>
                <c:pt idx="68">
                  <c:v>6.6498323395433356</c:v>
                </c:pt>
                <c:pt idx="69">
                  <c:v>6.34798333205711</c:v>
                </c:pt>
                <c:pt idx="70">
                  <c:v>6.0429346315651378</c:v>
                </c:pt>
                <c:pt idx="71">
                  <c:v>5.7326529452770023</c:v>
                </c:pt>
                <c:pt idx="72">
                  <c:v>5.4148925368778658</c:v>
                </c:pt>
                <c:pt idx="73">
                  <c:v>5.0870830053243576</c:v>
                </c:pt>
                <c:pt idx="74">
                  <c:v>4.7461857779348726</c:v>
                </c:pt>
                <c:pt idx="75">
                  <c:v>4.388502791434421</c:v>
                </c:pt>
                <c:pt idx="76">
                  <c:v>4.0094133845136515</c:v>
                </c:pt>
                <c:pt idx="77">
                  <c:v>3.6030039644841017</c:v>
                </c:pt>
                <c:pt idx="78">
                  <c:v>3.1615380141528293</c:v>
                </c:pt>
                <c:pt idx="79">
                  <c:v>2.6746906916085584</c:v>
                </c:pt>
                <c:pt idx="80">
                  <c:v>2.1284469003908546</c:v>
                </c:pt>
                <c:pt idx="81">
                  <c:v>1.5035589521419013</c:v>
                </c:pt>
                <c:pt idx="82">
                  <c:v>0.77357762119060425</c:v>
                </c:pt>
                <c:pt idx="83">
                  <c:v>-9.6947945390470913E-2</c:v>
                </c:pt>
                <c:pt idx="84">
                  <c:v>-0.92426630188797265</c:v>
                </c:pt>
                <c:pt idx="85">
                  <c:v>-2.1089620253836738</c:v>
                </c:pt>
                <c:pt idx="86">
                  <c:v>-3.0514650764498126</c:v>
                </c:pt>
                <c:pt idx="87">
                  <c:v>-3.7579930030387665</c:v>
                </c:pt>
                <c:pt idx="88">
                  <c:v>-4.3254847049763798</c:v>
                </c:pt>
                <c:pt idx="89">
                  <c:v>-4.7427166305821267</c:v>
                </c:pt>
                <c:pt idx="90">
                  <c:v>-5.0831307022108696</c:v>
                </c:pt>
                <c:pt idx="91">
                  <c:v>-5.4208139244541078</c:v>
                </c:pt>
                <c:pt idx="92">
                  <c:v>-5.7342949485142292</c:v>
                </c:pt>
                <c:pt idx="93">
                  <c:v>-6.077114035208222</c:v>
                </c:pt>
                <c:pt idx="94">
                  <c:v>-6.3862984028331216</c:v>
                </c:pt>
                <c:pt idx="95">
                  <c:v>-6.6628225376576999</c:v>
                </c:pt>
                <c:pt idx="96">
                  <c:v>-6.9085571581950491</c:v>
                </c:pt>
                <c:pt idx="97">
                  <c:v>-7.1342323255199638</c:v>
                </c:pt>
                <c:pt idx="98">
                  <c:v>-7.3418110106114121</c:v>
                </c:pt>
                <c:pt idx="99">
                  <c:v>-7.5129079130277931</c:v>
                </c:pt>
                <c:pt idx="100">
                  <c:v>-7.6479702899483986</c:v>
                </c:pt>
                <c:pt idx="101">
                  <c:v>-7.7569205910138539</c:v>
                </c:pt>
                <c:pt idx="102">
                  <c:v>-7.8460329152761421</c:v>
                </c:pt>
                <c:pt idx="103">
                  <c:v>-7.9368156303828341</c:v>
                </c:pt>
                <c:pt idx="104">
                  <c:v>-8.0684312666380471</c:v>
                </c:pt>
                <c:pt idx="105">
                  <c:v>-6.4994265488367065</c:v>
                </c:pt>
                <c:pt idx="106">
                  <c:v>-4.4594746220734338</c:v>
                </c:pt>
                <c:pt idx="107">
                  <c:v>-3.1011445116708276</c:v>
                </c:pt>
                <c:pt idx="108">
                  <c:v>-2.5427469658769319</c:v>
                </c:pt>
                <c:pt idx="109">
                  <c:v>-2.121722200014176</c:v>
                </c:pt>
                <c:pt idx="110">
                  <c:v>-1.8017364005804826</c:v>
                </c:pt>
                <c:pt idx="111">
                  <c:v>-1.5547719800389426</c:v>
                </c:pt>
                <c:pt idx="112">
                  <c:v>-1.3763746040104374</c:v>
                </c:pt>
                <c:pt idx="113">
                  <c:v>-1.2621707594963394</c:v>
                </c:pt>
                <c:pt idx="114">
                  <c:v>-1.1765388146864895</c:v>
                </c:pt>
                <c:pt idx="115">
                  <c:v>-1.1247746102572376</c:v>
                </c:pt>
                <c:pt idx="116">
                  <c:v>-1.0775946837349437</c:v>
                </c:pt>
                <c:pt idx="117">
                  <c:v>-1.0343182919800542</c:v>
                </c:pt>
                <c:pt idx="118">
                  <c:v>-0.99438938372945718</c:v>
                </c:pt>
                <c:pt idx="119">
                  <c:v>-0.95734912221585156</c:v>
                </c:pt>
                <c:pt idx="120">
                  <c:v>-0.94417630845694989</c:v>
                </c:pt>
                <c:pt idx="121">
                  <c:v>-0.94263150354933167</c:v>
                </c:pt>
                <c:pt idx="122">
                  <c:v>-0.94118227786123221</c:v>
                </c:pt>
                <c:pt idx="123">
                  <c:v>-0.93981775696527114</c:v>
                </c:pt>
                <c:pt idx="124">
                  <c:v>-0.93852854842369604</c:v>
                </c:pt>
                <c:pt idx="125">
                  <c:v>-0.93730649578009473</c:v>
                </c:pt>
                <c:pt idx="126">
                  <c:v>-0.93614447943003209</c:v>
                </c:pt>
                <c:pt idx="127">
                  <c:v>-0.93503625434743221</c:v>
                </c:pt>
                <c:pt idx="128">
                  <c:v>-0.93397631701140238</c:v>
                </c:pt>
                <c:pt idx="129">
                  <c:v>-0.93295979564756315</c:v>
                </c:pt>
                <c:pt idx="130">
                  <c:v>-0.93198235921065908</c:v>
                </c:pt>
                <c:pt idx="131">
                  <c:v>-0.93104014154908443</c:v>
                </c:pt>
                <c:pt idx="132">
                  <c:v>-0.93012967794222645</c:v>
                </c:pt>
                <c:pt idx="133">
                  <c:v>-0.92924785180455993</c:v>
                </c:pt>
                <c:pt idx="134">
                  <c:v>-0.92839184979784051</c:v>
                </c:pt>
                <c:pt idx="135">
                  <c:v>-0.92755912396345297</c:v>
                </c:pt>
                <c:pt idx="136">
                  <c:v>-0.9267473597603848</c:v>
                </c:pt>
                <c:pt idx="137">
                  <c:v>-0.92595444914419733</c:v>
                </c:pt>
                <c:pt idx="138">
                  <c:v>-0.92517846798634507</c:v>
                </c:pt>
                <c:pt idx="139">
                  <c:v>-0.92441765731296577</c:v>
                </c:pt>
                <c:pt idx="140">
                  <c:v>-0.92367040796696553</c:v>
                </c:pt>
                <c:pt idx="141">
                  <c:v>-0.92293524842067542</c:v>
                </c:pt>
                <c:pt idx="142">
                  <c:v>-0.92221083558167827</c:v>
                </c:pt>
                <c:pt idx="143">
                  <c:v>-0.92149594854854966</c:v>
                </c:pt>
                <c:pt idx="144">
                  <c:v>-0.92078948537866134</c:v>
                </c:pt>
                <c:pt idx="145">
                  <c:v>-0.9200904630787976</c:v>
                </c:pt>
                <c:pt idx="146">
                  <c:v>-0.91939802115223568</c:v>
                </c:pt>
                <c:pt idx="147">
                  <c:v>-0.91871142924271332</c:v>
                </c:pt>
                <c:pt idx="148">
                  <c:v>-0.91803009960359072</c:v>
                </c:pt>
                <c:pt idx="149">
                  <c:v>-0.91735360543929934</c:v>
                </c:pt>
                <c:pt idx="150">
                  <c:v>-0.91668170649237701</c:v>
                </c:pt>
                <c:pt idx="151">
                  <c:v>-0.91601438375931388</c:v>
                </c:pt>
                <c:pt idx="152">
                  <c:v>-0.91535188582312366</c:v>
                </c:pt>
                <c:pt idx="153">
                  <c:v>-0.91469479016316635</c:v>
                </c:pt>
                <c:pt idx="154">
                  <c:v>-0.91404408391258629</c:v>
                </c:pt>
                <c:pt idx="155">
                  <c:v>-0.91340127008658023</c:v>
                </c:pt>
                <c:pt idx="156">
                  <c:v>-0.91276850737161086</c:v>
                </c:pt>
                <c:pt idx="157">
                  <c:v>-0.91214879434191387</c:v>
                </c:pt>
                <c:pt idx="158">
                  <c:v>-0.91154621275336012</c:v>
                </c:pt>
                <c:pt idx="159">
                  <c:v>-0.91096624946370941</c:v>
                </c:pt>
                <c:pt idx="160">
                  <c:v>-0.91041622286407653</c:v>
                </c:pt>
                <c:pt idx="161">
                  <c:v>-0.90990584722563161</c:v>
                </c:pt>
                <c:pt idx="162">
                  <c:v>-0.90944797594917581</c:v>
                </c:pt>
                <c:pt idx="163">
                  <c:v>-0.90907375832310011</c:v>
                </c:pt>
                <c:pt idx="164">
                  <c:v>-0.90882305014224907</c:v>
                </c:pt>
                <c:pt idx="165">
                  <c:v>-0.90870662934410595</c:v>
                </c:pt>
                <c:pt idx="166">
                  <c:v>-0.90873874175091518</c:v>
                </c:pt>
                <c:pt idx="167">
                  <c:v>-0.90893895494191801</c:v>
                </c:pt>
                <c:pt idx="168">
                  <c:v>-0.90933383663494116</c:v>
                </c:pt>
                <c:pt idx="169">
                  <c:v>-0.90995943568984217</c:v>
                </c:pt>
                <c:pt idx="170">
                  <c:v>-0.91086501440390655</c:v>
                </c:pt>
                <c:pt idx="171">
                  <c:v>-0.91211879129013851</c:v>
                </c:pt>
                <c:pt idx="172">
                  <c:v>-0.91381701108723468</c:v>
                </c:pt>
                <c:pt idx="173">
                  <c:v>-0.91609866659949191</c:v>
                </c:pt>
                <c:pt idx="174">
                  <c:v>-0.91916993644444722</c:v>
                </c:pt>
                <c:pt idx="175">
                  <c:v>-0.92334463242311093</c:v>
                </c:pt>
                <c:pt idx="176">
                  <c:v>-0.92910331955301617</c:v>
                </c:pt>
                <c:pt idx="177">
                  <c:v>-0.93709985628525061</c:v>
                </c:pt>
                <c:pt idx="178">
                  <c:v>-0.94712687140146468</c:v>
                </c:pt>
                <c:pt idx="179">
                  <c:v>-0.93545313401826147</c:v>
                </c:pt>
                <c:pt idx="180">
                  <c:v>-0.73378148952684907</c:v>
                </c:pt>
                <c:pt idx="181">
                  <c:v>-0.73378148952676747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88-49DE-9AA4-65C22ACBA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364330</xdr:colOff>
      <xdr:row>2</xdr:row>
      <xdr:rowOff>61911</xdr:rowOff>
    </xdr:from>
    <xdr:to>
      <xdr:col>18</xdr:col>
      <xdr:colOff>773905</xdr:colOff>
      <xdr:row>30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971550</xdr:colOff>
      <xdr:row>27</xdr:row>
      <xdr:rowOff>154782</xdr:rowOff>
    </xdr:from>
    <xdr:to>
      <xdr:col>22</xdr:col>
      <xdr:colOff>319087</xdr:colOff>
      <xdr:row>47</xdr:row>
      <xdr:rowOff>2382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23</xdr:row>
          <xdr:rowOff>95250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827087</xdr:colOff>
      <xdr:row>29</xdr:row>
      <xdr:rowOff>79375</xdr:rowOff>
    </xdr:from>
    <xdr:to>
      <xdr:col>37</xdr:col>
      <xdr:colOff>527050</xdr:colOff>
      <xdr:row>58</xdr:row>
      <xdr:rowOff>17462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38102</xdr:colOff>
      <xdr:row>0</xdr:row>
      <xdr:rowOff>85722</xdr:rowOff>
    </xdr:from>
    <xdr:to>
      <xdr:col>37</xdr:col>
      <xdr:colOff>571502</xdr:colOff>
      <xdr:row>28</xdr:row>
      <xdr:rowOff>130966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692943</xdr:colOff>
      <xdr:row>0</xdr:row>
      <xdr:rowOff>73816</xdr:rowOff>
    </xdr:from>
    <xdr:to>
      <xdr:col>43</xdr:col>
      <xdr:colOff>380999</xdr:colOff>
      <xdr:row>28</xdr:row>
      <xdr:rowOff>119060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659605</xdr:colOff>
      <xdr:row>29</xdr:row>
      <xdr:rowOff>90489</xdr:rowOff>
    </xdr:from>
    <xdr:to>
      <xdr:col>43</xdr:col>
      <xdr:colOff>347661</xdr:colOff>
      <xdr:row>58</xdr:row>
      <xdr:rowOff>28576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821532</xdr:colOff>
      <xdr:row>29</xdr:row>
      <xdr:rowOff>83344</xdr:rowOff>
    </xdr:from>
    <xdr:to>
      <xdr:col>49</xdr:col>
      <xdr:colOff>21431</xdr:colOff>
      <xdr:row>58</xdr:row>
      <xdr:rowOff>21431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352425</xdr:colOff>
          <xdr:row>23</xdr:row>
          <xdr:rowOff>19050</xdr:rowOff>
        </xdr:from>
        <xdr:to>
          <xdr:col>22</xdr:col>
          <xdr:colOff>857250</xdr:colOff>
          <xdr:row>27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EXPERIMENTAL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for Solution Using Alternate Reference 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K378"/>
  <sheetViews>
    <sheetView tabSelected="1" topLeftCell="J1" zoomScale="80" zoomScaleNormal="80" workbookViewId="0">
      <selection activeCell="I18" sqref="I18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6" max="7" width="11.42578125" bestFit="1" customWidth="1"/>
    <col min="8" max="8" width="13.140625" bestFit="1" customWidth="1"/>
    <col min="9" max="9" width="12.140625" bestFit="1" customWidth="1"/>
    <col min="10" max="10" width="13.140625" bestFit="1" customWidth="1"/>
    <col min="11" max="11" width="12.140625" bestFit="1" customWidth="1"/>
    <col min="12" max="12" width="12.42578125" customWidth="1"/>
    <col min="13" max="13" width="17.28515625" customWidth="1"/>
    <col min="14" max="15" width="17" bestFit="1" customWidth="1"/>
    <col min="16" max="16" width="15.42578125" bestFit="1" customWidth="1"/>
    <col min="17" max="18" width="16.42578125" bestFit="1" customWidth="1"/>
    <col min="19" max="19" width="14.85546875" bestFit="1" customWidth="1"/>
    <col min="20" max="20" width="16.42578125" customWidth="1"/>
    <col min="21" max="22" width="16.42578125" bestFit="1" customWidth="1"/>
    <col min="23" max="24" width="15.42578125" bestFit="1" customWidth="1"/>
    <col min="25" max="26" width="17.7109375" bestFit="1" customWidth="1"/>
    <col min="27" max="27" width="11" bestFit="1" customWidth="1"/>
    <col min="28" max="28" width="14.42578125" bestFit="1" customWidth="1"/>
    <col min="29" max="29" width="13.42578125" bestFit="1" customWidth="1"/>
    <col min="30" max="30" width="14.42578125" bestFit="1" customWidth="1"/>
    <col min="31" max="31" width="13.42578125" bestFit="1" customWidth="1"/>
    <col min="32" max="32" width="12.42578125" bestFit="1" customWidth="1"/>
    <col min="33" max="33" width="14.85546875" bestFit="1" customWidth="1"/>
    <col min="34" max="34" width="17" bestFit="1" customWidth="1"/>
    <col min="35" max="35" width="14.42578125" bestFit="1" customWidth="1"/>
    <col min="36" max="36" width="13.42578125" bestFit="1" customWidth="1"/>
    <col min="37" max="37" width="14.42578125" bestFit="1" customWidth="1"/>
    <col min="38" max="39" width="13.42578125" bestFit="1" customWidth="1"/>
    <col min="40" max="40" width="14.85546875" bestFit="1" customWidth="1"/>
    <col min="41" max="41" width="17" bestFit="1" customWidth="1"/>
    <col min="42" max="42" width="14.42578125" bestFit="1" customWidth="1"/>
    <col min="43" max="43" width="13.42578125" bestFit="1" customWidth="1"/>
    <col min="44" max="44" width="14.42578125" bestFit="1" customWidth="1"/>
    <col min="45" max="46" width="14" style="6" bestFit="1" customWidth="1"/>
    <col min="47" max="47" width="14.85546875" style="6" bestFit="1" customWidth="1"/>
    <col min="48" max="48" width="17" style="6" bestFit="1" customWidth="1"/>
    <col min="49" max="49" width="19.7109375" style="6" bestFit="1" customWidth="1"/>
    <col min="50" max="50" width="19.140625" style="6" bestFit="1" customWidth="1"/>
    <col min="51" max="51" width="24.28515625" style="6" bestFit="1" customWidth="1"/>
    <col min="52" max="52" width="11" style="48" bestFit="1" customWidth="1"/>
    <col min="53" max="53" width="19.42578125" style="48" bestFit="1" customWidth="1"/>
    <col min="54" max="54" width="19.140625" style="48" bestFit="1" customWidth="1"/>
    <col min="55" max="56" width="24.28515625" style="48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4" max="74" width="9.85546875" bestFit="1" customWidth="1"/>
    <col min="75" max="75" width="14.140625" customWidth="1"/>
    <col min="78" max="78" width="13" bestFit="1" customWidth="1"/>
    <col min="79" max="79" width="10.28515625" customWidth="1"/>
    <col min="80" max="80" width="12.855468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2.42578125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  <col min="106" max="106" width="7" customWidth="1"/>
    <col min="112" max="112" width="10.28515625" bestFit="1" customWidth="1"/>
    <col min="120" max="120" width="9.140625" bestFit="1" customWidth="1"/>
    <col min="121" max="121" width="13.8554687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7109375" bestFit="1" customWidth="1"/>
    <col min="127" max="127" width="13.140625" bestFit="1" customWidth="1"/>
    <col min="129" max="129" width="13.7109375" bestFit="1" customWidth="1"/>
  </cols>
  <sheetData>
    <row r="1" spans="1:141" x14ac:dyDescent="0.25">
      <c r="A1" s="8" t="s">
        <v>191</v>
      </c>
      <c r="B1" s="20" t="s">
        <v>244</v>
      </c>
      <c r="D1" s="8" t="s">
        <v>245</v>
      </c>
      <c r="E1" s="20" t="s">
        <v>246</v>
      </c>
      <c r="K1" s="8" t="s">
        <v>71</v>
      </c>
      <c r="L1" s="52">
        <v>1E-10</v>
      </c>
      <c r="M1" s="1" t="s">
        <v>243</v>
      </c>
      <c r="N1" s="1" t="s">
        <v>242</v>
      </c>
      <c r="P1" s="8" t="s">
        <v>142</v>
      </c>
      <c r="Q1" s="4">
        <v>1</v>
      </c>
      <c r="T1" t="s">
        <v>152</v>
      </c>
      <c r="U1" s="4">
        <v>0</v>
      </c>
      <c r="W1" t="s">
        <v>192</v>
      </c>
      <c r="X1" s="4">
        <v>1</v>
      </c>
      <c r="Z1" s="1" t="s">
        <v>212</v>
      </c>
      <c r="AA1" s="4">
        <v>0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143</v>
      </c>
      <c r="BH1" s="6" t="s">
        <v>144</v>
      </c>
      <c r="BI1" s="6" t="s">
        <v>145</v>
      </c>
      <c r="BJ1" s="6" t="s">
        <v>210</v>
      </c>
      <c r="BK1" s="6" t="s">
        <v>211</v>
      </c>
      <c r="BW1" s="44" t="s">
        <v>146</v>
      </c>
      <c r="CU1" t="s">
        <v>113</v>
      </c>
      <c r="DC1" t="s">
        <v>136</v>
      </c>
      <c r="DK1" t="s">
        <v>141</v>
      </c>
      <c r="DN1" s="1" t="s">
        <v>218</v>
      </c>
      <c r="DO1">
        <v>1E-10</v>
      </c>
      <c r="DV1" t="s">
        <v>195</v>
      </c>
    </row>
    <row r="2" spans="1:141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 s="1">
        <v>1815</v>
      </c>
      <c r="N2" s="1">
        <v>39</v>
      </c>
      <c r="O2" s="1">
        <v>1</v>
      </c>
      <c r="AD2" s="8" t="s">
        <v>153</v>
      </c>
      <c r="AE2" s="20">
        <v>180</v>
      </c>
      <c r="BC2">
        <v>0</v>
      </c>
      <c r="BD2">
        <v>292.01188235296047</v>
      </c>
      <c r="BE2">
        <v>-127.98000000001048</v>
      </c>
      <c r="BF2" s="6">
        <f t="shared" ref="BF2:BF33" si="0">IF(BC2&lt;&gt;"",IF(AND(BD2=0,BE2=0),0,MOD(ATAN2(BD2,BE2),2*PI())),NA())</f>
        <v>5.8701288902491564</v>
      </c>
      <c r="BG2" s="6">
        <f t="shared" ref="BG2:BG33" si="1">ABS(BC2-BF2)</f>
        <v>5.8701288902491564</v>
      </c>
      <c r="BH2" s="6">
        <f>ATAN2(COS($U$13-BF2),SIN($U$13-BF2))</f>
        <v>0.41305641693043005</v>
      </c>
      <c r="BI2" s="6">
        <f>ABS(BH2)</f>
        <v>0.41305641693043005</v>
      </c>
      <c r="BJ2">
        <v>324.45764705884494</v>
      </c>
      <c r="BK2">
        <v>-142.20000000001164</v>
      </c>
      <c r="BT2">
        <v>0.78539816339744828</v>
      </c>
      <c r="BV2" s="37"/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0</v>
      </c>
      <c r="DK2" s="1" t="s">
        <v>224</v>
      </c>
      <c r="DL2" s="1" t="s">
        <v>216</v>
      </c>
      <c r="DM2" s="1" t="s">
        <v>217</v>
      </c>
      <c r="DN2" s="1" t="s">
        <v>219</v>
      </c>
      <c r="DO2" s="1" t="s">
        <v>220</v>
      </c>
      <c r="DP2" s="1" t="s">
        <v>221</v>
      </c>
      <c r="DQ2" s="1" t="s">
        <v>222</v>
      </c>
      <c r="DR2" s="1" t="s">
        <v>223</v>
      </c>
    </row>
    <row r="3" spans="1:141" x14ac:dyDescent="0.25">
      <c r="A3" s="8" t="s">
        <v>2</v>
      </c>
      <c r="B3" s="3">
        <f>IF(E1="Density",(POWER(145,1.5)*33*SQRT(1000*B2))/1000,(57000*SQRT(1000*B2))/1000)</f>
        <v>4030.5086527633212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0.9</v>
      </c>
      <c r="V3" s="15"/>
      <c r="W3" s="29" t="s">
        <v>95</v>
      </c>
      <c r="X3" t="s">
        <v>79</v>
      </c>
      <c r="AA3" t="s">
        <v>110</v>
      </c>
      <c r="BC3">
        <v>3.4906585039886591E-2</v>
      </c>
      <c r="BD3">
        <v>290.22073929643784</v>
      </c>
      <c r="BE3">
        <v>-25.396747540994788</v>
      </c>
      <c r="BF3" s="6">
        <f t="shared" si="0"/>
        <v>6.1958992751630477</v>
      </c>
      <c r="BG3" s="6">
        <f t="shared" si="1"/>
        <v>6.1609926901231615</v>
      </c>
      <c r="BH3" s="6">
        <f t="shared" ref="BH3:BH66" si="2">ATAN2(COS($U$13-BF3),SIN($U$13-BF3))</f>
        <v>8.7286032016538756E-2</v>
      </c>
      <c r="BI3" s="6">
        <f t="shared" ref="BI3:BI66" si="3">ABS(BH3)</f>
        <v>8.7286032016538756E-2</v>
      </c>
      <c r="BJ3">
        <v>322.46748810715314</v>
      </c>
      <c r="BK3">
        <v>-28.218608378883097</v>
      </c>
      <c r="BV3" s="37"/>
      <c r="BW3" s="20" t="s">
        <v>241</v>
      </c>
      <c r="CU3">
        <v>1.5707963267948966</v>
      </c>
      <c r="CV3">
        <v>-1.5707963267948966</v>
      </c>
      <c r="CW3">
        <v>0</v>
      </c>
      <c r="CX3">
        <v>1.2817525470929971</v>
      </c>
      <c r="CY3">
        <v>-0.92755912396345297</v>
      </c>
      <c r="CZ3">
        <v>-0.73378148952676248</v>
      </c>
      <c r="DC3" s="1" t="s">
        <v>213</v>
      </c>
      <c r="DD3" s="1" t="s">
        <v>214</v>
      </c>
      <c r="DE3" s="1" t="s">
        <v>140</v>
      </c>
      <c r="DF3" s="1" t="s">
        <v>139</v>
      </c>
      <c r="DG3" s="1" t="s">
        <v>138</v>
      </c>
      <c r="DH3" s="1" t="s">
        <v>215</v>
      </c>
      <c r="DK3">
        <v>0</v>
      </c>
      <c r="DL3">
        <v>0.41305641693043005</v>
      </c>
      <c r="DV3" s="9"/>
      <c r="DW3" s="9" t="str">
        <f t="shared" ref="DW3:DY5" si="4">Z14</f>
        <v>P</v>
      </c>
      <c r="DX3" s="9" t="str">
        <f t="shared" si="4"/>
        <v>Mx</v>
      </c>
      <c r="DY3" s="9" t="str">
        <f t="shared" si="4"/>
        <v>My</v>
      </c>
    </row>
    <row r="4" spans="1:141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-9.3365315478877164E-11</v>
      </c>
      <c r="V4" s="16" t="s">
        <v>68</v>
      </c>
      <c r="W4" s="30">
        <f ca="1">U4-U10</f>
        <v>-9.3365315478877164E-11</v>
      </c>
      <c r="X4" cm="1">
        <f t="array" ref="X4">MAX(ABS(E3:F11))+10</f>
        <v>46</v>
      </c>
      <c r="Y4">
        <f>X4</f>
        <v>46</v>
      </c>
      <c r="AA4" t="s">
        <v>8</v>
      </c>
      <c r="AB4" t="s">
        <v>9</v>
      </c>
      <c r="BC4">
        <v>6.9813170079773182E-2</v>
      </c>
      <c r="BD4">
        <v>286.78032161504001</v>
      </c>
      <c r="BE4">
        <v>43.984710830680385</v>
      </c>
      <c r="BF4" s="6">
        <f t="shared" si="0"/>
        <v>0.15218828281597507</v>
      </c>
      <c r="BG4" s="6">
        <f t="shared" si="1"/>
        <v>8.2375112736201891E-2</v>
      </c>
      <c r="BH4" s="6">
        <f t="shared" si="2"/>
        <v>-0.15218828281597507</v>
      </c>
      <c r="BI4" s="6">
        <f t="shared" si="3"/>
        <v>0.15218828281597507</v>
      </c>
      <c r="BJ4">
        <v>318.6448017944889</v>
      </c>
      <c r="BK4">
        <v>48.871900922978206</v>
      </c>
      <c r="BV4" s="37"/>
      <c r="BW4" s="1" t="s">
        <v>100</v>
      </c>
      <c r="BX4" s="1" t="s">
        <v>101</v>
      </c>
      <c r="BY4" s="1" t="s">
        <v>202</v>
      </c>
      <c r="BZ4" s="1" t="s">
        <v>148</v>
      </c>
      <c r="CA4" s="1" t="s">
        <v>149</v>
      </c>
      <c r="CB4" s="1" t="s">
        <v>226</v>
      </c>
      <c r="CD4" s="1" t="s">
        <v>229</v>
      </c>
      <c r="CE4" s="1" t="s">
        <v>233</v>
      </c>
      <c r="CF4" s="1" t="s">
        <v>234</v>
      </c>
      <c r="CG4" s="1" t="s">
        <v>226</v>
      </c>
      <c r="CH4" s="1"/>
      <c r="CI4" s="1"/>
      <c r="CK4" s="1" t="s">
        <v>226</v>
      </c>
      <c r="CU4">
        <v>1.5707963267948966</v>
      </c>
      <c r="CV4">
        <v>0</v>
      </c>
      <c r="CW4">
        <v>0.78539816339744828</v>
      </c>
      <c r="CX4">
        <v>1.2817525470929971</v>
      </c>
      <c r="CY4">
        <v>-0.73378148952676248</v>
      </c>
      <c r="CZ4">
        <v>1.0355837110556509</v>
      </c>
      <c r="DE4">
        <v>5.8701288902491564</v>
      </c>
      <c r="DF4">
        <v>1</v>
      </c>
      <c r="DG4">
        <v>0.41305641693043005</v>
      </c>
      <c r="DH4">
        <v>-5.8701288902491564</v>
      </c>
      <c r="DK4">
        <v>0</v>
      </c>
      <c r="DL4">
        <v>0.41305641693043005</v>
      </c>
      <c r="DM4">
        <v>1E-10</v>
      </c>
      <c r="DN4">
        <v>0.41305641608653443</v>
      </c>
      <c r="DO4">
        <v>-1E-10</v>
      </c>
      <c r="DP4">
        <v>0.41305641777429014</v>
      </c>
      <c r="DQ4">
        <v>-8.4387785648232239</v>
      </c>
      <c r="DR4">
        <v>4.8947417420364882E-2</v>
      </c>
      <c r="DV4" s="9" t="str">
        <f>Y15</f>
        <v>Max</v>
      </c>
      <c r="DW4" s="9">
        <f t="shared" ca="1" si="4"/>
        <v>1705.7105000000001</v>
      </c>
      <c r="DX4" s="9">
        <f t="shared" ca="1" si="4"/>
        <v>444.51712500000002</v>
      </c>
      <c r="DY4" s="9">
        <f t="shared" ca="1" si="4"/>
        <v>-501.77237500000001</v>
      </c>
      <c r="DZ4" s="9"/>
      <c r="EA4" t="s">
        <v>203</v>
      </c>
      <c r="EB4" s="9">
        <f>U10</f>
        <v>0</v>
      </c>
      <c r="EC4" s="9">
        <f>U11</f>
        <v>50</v>
      </c>
      <c r="ED4" s="9">
        <f>U12</f>
        <v>0</v>
      </c>
      <c r="EF4">
        <f>ATAN2(EC4,ED4)</f>
        <v>0</v>
      </c>
      <c r="EG4" s="9">
        <f>SQRT(POWER(EB4,2)+POWER(EC4,2)+POWER(ED4,2))</f>
        <v>50</v>
      </c>
      <c r="EH4">
        <f>EB4/EG4</f>
        <v>0</v>
      </c>
      <c r="EI4">
        <f>EC4/EG4</f>
        <v>1</v>
      </c>
      <c r="EJ4">
        <f>ED4/EG4</f>
        <v>0</v>
      </c>
      <c r="EK4">
        <v>0</v>
      </c>
    </row>
    <row r="5" spans="1:141" x14ac:dyDescent="0.25">
      <c r="A5" s="8" t="s">
        <v>5</v>
      </c>
      <c r="B5" s="43">
        <v>12</v>
      </c>
      <c r="C5" t="s">
        <v>4</v>
      </c>
      <c r="E5" s="5">
        <f>E4</f>
        <v>12</v>
      </c>
      <c r="F5">
        <f>(B8-B9)</f>
        <v>16</v>
      </c>
      <c r="G5">
        <f t="shared" ref="G5:G11" si="5">((E4*F5)-(E5*F4))*0.5</f>
        <v>96</v>
      </c>
      <c r="T5" s="26" t="s">
        <v>77</v>
      </c>
      <c r="U5" s="10">
        <f ca="1">U3*IF(B1="PCA_Parabolic",B204*(1/12),B79*(1/12))</f>
        <v>289.22178823493851</v>
      </c>
      <c r="V5" s="16" t="s">
        <v>70</v>
      </c>
      <c r="W5" s="74" t="str">
        <f>IF(U11=0,U5,"")</f>
        <v/>
      </c>
      <c r="X5">
        <f>X4</f>
        <v>46</v>
      </c>
      <c r="Y5">
        <f>X5</f>
        <v>46</v>
      </c>
      <c r="AA5">
        <v>0</v>
      </c>
      <c r="AB5">
        <v>0</v>
      </c>
      <c r="BC5">
        <v>0.10471975511965978</v>
      </c>
      <c r="BD5">
        <v>284.10462870538743</v>
      </c>
      <c r="BE5">
        <v>75.195467314176085</v>
      </c>
      <c r="BF5" s="6">
        <f t="shared" si="0"/>
        <v>0.25874227735383365</v>
      </c>
      <c r="BG5" s="6">
        <f t="shared" si="1"/>
        <v>0.15402252223417387</v>
      </c>
      <c r="BH5" s="6">
        <f t="shared" si="2"/>
        <v>-0.25874227735383365</v>
      </c>
      <c r="BI5" s="6">
        <f t="shared" si="3"/>
        <v>0.25874227735383365</v>
      </c>
      <c r="BJ5">
        <v>315.67180967265267</v>
      </c>
      <c r="BK5">
        <v>83.550519237973432</v>
      </c>
      <c r="BU5" s="6"/>
      <c r="BV5" s="72" t="s">
        <v>237</v>
      </c>
      <c r="BW5">
        <f ca="1">IF(BW3="parametric",B132,BD365)</f>
        <v>156.7666765884093</v>
      </c>
      <c r="BX5">
        <f ca="1">IF(BW3="parametric",B133,BE365)</f>
        <v>-84.412825855297342</v>
      </c>
      <c r="BY5">
        <f ca="1">SQRT(POWER(BW5,2)+POWER(BX5,2))</f>
        <v>178.04863396682288</v>
      </c>
      <c r="BZ5">
        <f ca="1">BW5/BY5</f>
        <v>0.8804710999221752</v>
      </c>
      <c r="CA5">
        <f ca="1">BX5/BY5</f>
        <v>-0.47409982303501758</v>
      </c>
      <c r="CB5">
        <f ca="1">ATAN2(BZ5,CA5)</f>
        <v>-0.49394136891958135</v>
      </c>
      <c r="CD5" s="1" t="s">
        <v>230</v>
      </c>
      <c r="CE5" s="6">
        <f ca="1">0-BW5</f>
        <v>-156.7666765884093</v>
      </c>
      <c r="CF5" s="6">
        <f ca="1">0-BX5</f>
        <v>84.412825855297342</v>
      </c>
      <c r="CG5">
        <f ca="1">ATAN2(CE5,CF5)</f>
        <v>2.6476512846702116</v>
      </c>
      <c r="CH5" s="1"/>
      <c r="CI5" s="6"/>
      <c r="CJ5" s="6"/>
      <c r="CU5">
        <v>0.78539816339744828</v>
      </c>
      <c r="CV5">
        <v>0</v>
      </c>
      <c r="CW5">
        <v>0.39269908169872414</v>
      </c>
      <c r="CX5">
        <v>1.0355837110556509</v>
      </c>
      <c r="CY5">
        <v>-0.73378148952676248</v>
      </c>
      <c r="CZ5">
        <v>0.89633426095758251</v>
      </c>
      <c r="DC5">
        <v>0</v>
      </c>
      <c r="DD5">
        <v>5.8701288902491564</v>
      </c>
      <c r="DE5">
        <v>0.49634131421780592</v>
      </c>
      <c r="DF5">
        <v>-7.6865043711958639E-2</v>
      </c>
      <c r="DG5">
        <v>0.45120771374383267</v>
      </c>
      <c r="DH5">
        <v>-0.49634131421780592</v>
      </c>
      <c r="DK5">
        <v>4.8947417420364882E-2</v>
      </c>
      <c r="DL5">
        <v>-3.8108219596760348E-2</v>
      </c>
      <c r="DM5">
        <v>4.8947417520364883E-2</v>
      </c>
      <c r="DN5">
        <v>-3.8108220314020023E-2</v>
      </c>
      <c r="DO5">
        <v>4.894741732036488E-2</v>
      </c>
      <c r="DP5">
        <v>-3.8108218879648666E-2</v>
      </c>
      <c r="DQ5">
        <v>-7.1718567890011187</v>
      </c>
      <c r="DR5">
        <v>4.3633839539779791E-2</v>
      </c>
      <c r="DV5" s="9" t="str">
        <f>Y16</f>
        <v>Min</v>
      </c>
      <c r="DW5" s="9">
        <f t="shared" ca="1" si="4"/>
        <v>-170.64000000000001</v>
      </c>
      <c r="DX5" s="9">
        <f t="shared" ca="1" si="4"/>
        <v>127.98</v>
      </c>
      <c r="DY5" s="9">
        <f t="shared" ca="1" si="4"/>
        <v>-42.660000000000004</v>
      </c>
      <c r="DZ5" s="9"/>
      <c r="EA5" t="s">
        <v>204</v>
      </c>
      <c r="EB5" s="9">
        <f ca="1">U4</f>
        <v>-9.3365315478877164E-11</v>
      </c>
      <c r="EC5" s="9">
        <f ca="1">U5</f>
        <v>289.22178823493851</v>
      </c>
      <c r="ED5" s="9">
        <f ca="1">U6</f>
        <v>6.1622856151188897E-9</v>
      </c>
      <c r="EF5">
        <f ca="1">ATAN2(EC5,ED5)</f>
        <v>2.1306436325997637E-11</v>
      </c>
      <c r="EG5" s="9">
        <f t="shared" ref="EG5:EG6" ca="1" si="6">SQRT(POWER(EB5,2)+POWER(EC5,2)+POWER(ED5,2))</f>
        <v>289.22178823493851</v>
      </c>
      <c r="EH5">
        <f t="shared" ref="EH5:EH6" ca="1" si="7">EB5/EG5</f>
        <v>-3.2281563587814947E-13</v>
      </c>
      <c r="EI5">
        <f t="shared" ref="EI5:EI6" ca="1" si="8">EC5/EG5</f>
        <v>1</v>
      </c>
      <c r="EJ5">
        <f t="shared" ref="EJ5:EJ6" ca="1" si="9">ED5/EG5</f>
        <v>2.1306436325997637E-11</v>
      </c>
      <c r="EK5">
        <v>0</v>
      </c>
    </row>
    <row r="6" spans="1:141" x14ac:dyDescent="0.25">
      <c r="A6" s="8" t="s">
        <v>92</v>
      </c>
      <c r="B6" s="43">
        <v>12</v>
      </c>
      <c r="C6" t="s">
        <v>4</v>
      </c>
      <c r="E6" s="5">
        <f>B7+B5</f>
        <v>36</v>
      </c>
      <c r="F6">
        <f>F5</f>
        <v>16</v>
      </c>
      <c r="G6">
        <f t="shared" si="5"/>
        <v>-192</v>
      </c>
      <c r="T6" s="26" t="s">
        <v>76</v>
      </c>
      <c r="U6" s="10">
        <f ca="1">U3*IF(B1="PCA_Parabolic",B205*(1/12),B80*(1/12))</f>
        <v>6.1622856151188897E-9</v>
      </c>
      <c r="V6" s="16" t="s">
        <v>70</v>
      </c>
      <c r="W6" s="74">
        <f ca="1">IF(U12=0,U6,"")</f>
        <v>6.1622856151188897E-9</v>
      </c>
      <c r="X6">
        <f>IF(B6=0,0,-1*X5)</f>
        <v>-46</v>
      </c>
      <c r="Y6">
        <f>IF(B6=0,0,Y5)</f>
        <v>46</v>
      </c>
      <c r="AA6">
        <f>U14</f>
        <v>50</v>
      </c>
      <c r="AB6">
        <f>U10</f>
        <v>0</v>
      </c>
      <c r="BC6">
        <v>0.13962634015954636</v>
      </c>
      <c r="BD6">
        <v>281.83507885571555</v>
      </c>
      <c r="BE6">
        <v>93.869080296981082</v>
      </c>
      <c r="BF6" s="6">
        <f t="shared" si="0"/>
        <v>0.3215080121467484</v>
      </c>
      <c r="BG6" s="6">
        <f t="shared" si="1"/>
        <v>0.18188167198720204</v>
      </c>
      <c r="BH6" s="6">
        <f t="shared" si="2"/>
        <v>-0.32150801214674835</v>
      </c>
      <c r="BI6" s="6">
        <f t="shared" si="3"/>
        <v>0.32150801214674835</v>
      </c>
      <c r="BJ6">
        <v>313.15008761746174</v>
      </c>
      <c r="BK6">
        <v>104.29897810775675</v>
      </c>
      <c r="BV6" s="37" t="s">
        <v>227</v>
      </c>
      <c r="BW6" s="9">
        <f>U11</f>
        <v>50</v>
      </c>
      <c r="BX6" s="9">
        <f>U12</f>
        <v>0</v>
      </c>
      <c r="BY6">
        <f t="shared" ref="BY6:BY7" si="10">SQRT(POWER(BW6,2)+POWER(BX6,2))</f>
        <v>50</v>
      </c>
      <c r="BZ6">
        <f t="shared" ref="BZ6:BZ7" si="11">BW6/BY6</f>
        <v>1</v>
      </c>
      <c r="CA6">
        <f t="shared" ref="CA6:CA7" si="12">BX6/BY6</f>
        <v>0</v>
      </c>
      <c r="CB6">
        <f t="shared" ref="CB6:CB7" si="13">ATAN2(BZ6,CA6)</f>
        <v>0</v>
      </c>
      <c r="CD6" s="1" t="s">
        <v>231</v>
      </c>
      <c r="CE6" s="6">
        <f>BW6-0</f>
        <v>50</v>
      </c>
      <c r="CF6" s="6">
        <f>BX6-0</f>
        <v>0</v>
      </c>
      <c r="CG6">
        <f t="shared" ref="CG6:CG8" si="14">ATAN2(CE6,CF6)</f>
        <v>0</v>
      </c>
      <c r="CH6" s="1" t="s">
        <v>236</v>
      </c>
      <c r="CI6" s="6">
        <f ca="1">BW7</f>
        <v>289.22178823493851</v>
      </c>
      <c r="CJ6" s="6">
        <f ca="1">BX7</f>
        <v>6.1622856151188897E-9</v>
      </c>
      <c r="CK6">
        <f ca="1">ATAN2(CI6,CJ6)</f>
        <v>2.1306436325997637E-11</v>
      </c>
      <c r="CU6">
        <v>0.39269908169872414</v>
      </c>
      <c r="CV6">
        <v>0</v>
      </c>
      <c r="CW6">
        <v>0.19634954084936207</v>
      </c>
      <c r="CX6">
        <v>0.89633426095758251</v>
      </c>
      <c r="CY6">
        <v>-0.73378148952676248</v>
      </c>
      <c r="CZ6">
        <v>0.73700018233167974</v>
      </c>
      <c r="DC6">
        <v>0.41305641693043005</v>
      </c>
      <c r="DD6">
        <v>0.49634131421780592</v>
      </c>
      <c r="DE6">
        <v>0.50822325794073531</v>
      </c>
      <c r="DF6">
        <v>3.210863281550433</v>
      </c>
      <c r="DG6">
        <v>-1.1806276840080088</v>
      </c>
      <c r="DH6">
        <v>-0.50822325794073531</v>
      </c>
      <c r="DK6">
        <v>4.3633839539779791E-2</v>
      </c>
      <c r="DL6">
        <v>3.365404643456383E-3</v>
      </c>
      <c r="DM6">
        <v>4.3633839639779792E-2</v>
      </c>
      <c r="DN6">
        <v>3.3654037937156608E-3</v>
      </c>
      <c r="DO6">
        <v>4.363383943977979E-2</v>
      </c>
      <c r="DP6">
        <v>3.3654054933862873E-3</v>
      </c>
      <c r="DQ6">
        <v>-8.4983531323246098</v>
      </c>
      <c r="DR6">
        <v>4.4029846223787264E-2</v>
      </c>
      <c r="DZ6" s="9"/>
      <c r="EA6" t="s">
        <v>207</v>
      </c>
      <c r="EB6" s="9">
        <f ca="1">EB5</f>
        <v>-9.3365315478877164E-11</v>
      </c>
      <c r="EC6" s="9">
        <f>EC4+5</f>
        <v>55</v>
      </c>
      <c r="ED6" s="9">
        <f>ED4+5</f>
        <v>5</v>
      </c>
      <c r="EF6">
        <f>ATAN2(EC6,ED6)</f>
        <v>9.065988720074511E-2</v>
      </c>
      <c r="EG6" s="9">
        <f t="shared" ca="1" si="6"/>
        <v>55.226805085936306</v>
      </c>
      <c r="EH6">
        <f t="shared" ca="1" si="7"/>
        <v>-1.6905796982750494E-12</v>
      </c>
      <c r="EI6">
        <f t="shared" ca="1" si="8"/>
        <v>0.99589320646770385</v>
      </c>
      <c r="EJ6">
        <f t="shared" ca="1" si="9"/>
        <v>9.0535746042518531E-2</v>
      </c>
      <c r="EK6">
        <v>0</v>
      </c>
    </row>
    <row r="7" spans="1:141" ht="15.75" thickBot="1" x14ac:dyDescent="0.3">
      <c r="A7" s="8" t="s">
        <v>91</v>
      </c>
      <c r="B7" s="43">
        <v>24</v>
      </c>
      <c r="C7" t="s">
        <v>4</v>
      </c>
      <c r="E7" s="5">
        <f>E6</f>
        <v>36</v>
      </c>
      <c r="F7">
        <f>B8</f>
        <v>24</v>
      </c>
      <c r="G7">
        <f t="shared" si="5"/>
        <v>144</v>
      </c>
      <c r="T7" s="27" t="s">
        <v>96</v>
      </c>
      <c r="U7" s="28">
        <f ca="1">IF(AND(U5=0,U6=0),0,MOD(ATAN2(U5,U6),2*PI()))</f>
        <v>2.1306436325997637E-11</v>
      </c>
      <c r="V7" s="17" t="s">
        <v>97</v>
      </c>
      <c r="W7" s="31">
        <f ca="1">IF((U13-U7)=0,0,ATAN2(COS(U13-U7),SIN(U13-U7)))</f>
        <v>-2.1306436325997637E-11</v>
      </c>
      <c r="X7" s="37">
        <f ca="1">U7+2*PI()</f>
        <v>6.2831853072008927</v>
      </c>
      <c r="AA7">
        <f ca="1">U8</f>
        <v>289.22178823493851</v>
      </c>
      <c r="AB7" s="9">
        <f ca="1">U4</f>
        <v>-9.3365315478877164E-11</v>
      </c>
      <c r="AE7" s="48"/>
      <c r="AF7" s="48"/>
      <c r="BC7">
        <v>0.17453292519943295</v>
      </c>
      <c r="BD7">
        <v>279.81915250959901</v>
      </c>
      <c r="BE7">
        <v>106.6750954344437</v>
      </c>
      <c r="BF7" s="6">
        <f t="shared" si="0"/>
        <v>0.3642202462295836</v>
      </c>
      <c r="BG7" s="6">
        <f t="shared" si="1"/>
        <v>0.18968732103015065</v>
      </c>
      <c r="BH7" s="6">
        <f t="shared" si="2"/>
        <v>-0.3642202462295836</v>
      </c>
      <c r="BI7" s="6">
        <f t="shared" si="3"/>
        <v>0.3642202462295836</v>
      </c>
      <c r="BJ7">
        <v>310.91016945511001</v>
      </c>
      <c r="BK7">
        <v>118.52788381604856</v>
      </c>
      <c r="BV7" s="37" t="s">
        <v>228</v>
      </c>
      <c r="BW7" s="9">
        <f ca="1">U5</f>
        <v>289.22178823493851</v>
      </c>
      <c r="BX7" s="9">
        <f ca="1">U6</f>
        <v>6.1622856151188897E-9</v>
      </c>
      <c r="BY7">
        <f t="shared" ca="1" si="10"/>
        <v>289.22178823493851</v>
      </c>
      <c r="BZ7">
        <f t="shared" ca="1" si="11"/>
        <v>1</v>
      </c>
      <c r="CA7">
        <f t="shared" ca="1" si="12"/>
        <v>2.1306436325997637E-11</v>
      </c>
      <c r="CB7">
        <f t="shared" ca="1" si="13"/>
        <v>2.1306436325997637E-11</v>
      </c>
      <c r="CD7" s="1" t="s">
        <v>232</v>
      </c>
      <c r="CE7" s="6">
        <f ca="1">BW6-BW5</f>
        <v>-106.7666765884093</v>
      </c>
      <c r="CF7" s="6">
        <f ca="1">BX6-BX5</f>
        <v>84.412825855297342</v>
      </c>
      <c r="CG7">
        <f t="shared" ca="1" si="14"/>
        <v>2.4725919408963106</v>
      </c>
      <c r="CH7" s="1" t="s">
        <v>235</v>
      </c>
      <c r="CI7" s="6">
        <f ca="1">BW7-BW5</f>
        <v>132.45511164652922</v>
      </c>
      <c r="CJ7" s="6">
        <f ca="1">BX7-BX5</f>
        <v>84.412825861459623</v>
      </c>
      <c r="CK7">
        <f t="shared" ref="CK7:CK10" ca="1" si="15">ATAN2(CI7,CJ7)</f>
        <v>0.56739102004982345</v>
      </c>
      <c r="CU7">
        <v>0.19634954084936207</v>
      </c>
      <c r="CV7">
        <v>0</v>
      </c>
      <c r="CW7">
        <v>9.8174770424681035E-2</v>
      </c>
      <c r="CX7">
        <v>0.73700018233167974</v>
      </c>
      <c r="CY7">
        <v>-0.73378148952676248</v>
      </c>
      <c r="CZ7">
        <v>0.49189724129231555</v>
      </c>
      <c r="DC7">
        <v>0.45120771374383267</v>
      </c>
      <c r="DD7">
        <v>0.50822325794073531</v>
      </c>
      <c r="DE7">
        <v>5.2359191816314503</v>
      </c>
      <c r="DF7">
        <v>-0.34516504954868915</v>
      </c>
      <c r="DG7">
        <v>0.62662861975274275</v>
      </c>
      <c r="DH7">
        <v>-5.2359191816314503</v>
      </c>
      <c r="DK7">
        <v>4.4029846223787264E-2</v>
      </c>
      <c r="DL7">
        <v>2.2441619405700556E-5</v>
      </c>
      <c r="DM7">
        <v>4.4029846323787265E-2</v>
      </c>
      <c r="DN7">
        <v>2.2440780763655858E-5</v>
      </c>
      <c r="DO7">
        <v>4.4029846123787263E-2</v>
      </c>
      <c r="DP7">
        <v>2.2442457861227786E-5</v>
      </c>
      <c r="DQ7">
        <v>-8.3854878596412163</v>
      </c>
      <c r="DR7">
        <v>4.4032522468721531E-2</v>
      </c>
      <c r="DV7" t="s">
        <v>196</v>
      </c>
    </row>
    <row r="8" spans="1:141" ht="15.75" thickBot="1" x14ac:dyDescent="0.3">
      <c r="A8" s="8" t="s">
        <v>6</v>
      </c>
      <c r="B8" s="7">
        <v>24</v>
      </c>
      <c r="C8" t="s">
        <v>4</v>
      </c>
      <c r="E8" s="5">
        <f>E7-(B7+B6+B5)</f>
        <v>-12</v>
      </c>
      <c r="F8">
        <f>F7</f>
        <v>24</v>
      </c>
      <c r="G8">
        <f t="shared" si="5"/>
        <v>576</v>
      </c>
      <c r="T8" s="35" t="s">
        <v>109</v>
      </c>
      <c r="U8" s="6">
        <f ca="1">SQRT(POWER(U5,2)+POWER(U6,2))</f>
        <v>289.22178823493851</v>
      </c>
      <c r="V8" s="39" t="s">
        <v>70</v>
      </c>
      <c r="W8" s="73" t="str">
        <f ca="1">IF((ABS(ABS(W7)-PI()))/10&lt;=L1,"ALT SOLUTION","")</f>
        <v/>
      </c>
      <c r="X8">
        <f ca="1">DEGREES(U7)</f>
        <v>1.2207688779438884E-9</v>
      </c>
      <c r="Y8" s="49">
        <f ca="1">DEGREES(W7)</f>
        <v>-1.2207688779438884E-9</v>
      </c>
      <c r="AE8" s="6" t="s">
        <v>8</v>
      </c>
      <c r="AF8" s="6" t="s">
        <v>9</v>
      </c>
      <c r="BC8">
        <v>0.20943951023931953</v>
      </c>
      <c r="BD8">
        <v>277.97783243680789</v>
      </c>
      <c r="BE8">
        <v>116.18623695746092</v>
      </c>
      <c r="BF8" s="6">
        <f t="shared" si="0"/>
        <v>0.39590065531976526</v>
      </c>
      <c r="BG8" s="6">
        <f t="shared" si="1"/>
        <v>0.18646114508044573</v>
      </c>
      <c r="BH8" s="6">
        <f t="shared" si="2"/>
        <v>-0.39590065531976526</v>
      </c>
      <c r="BI8" s="6">
        <f t="shared" si="3"/>
        <v>0.39590065531976526</v>
      </c>
      <c r="BJ8">
        <v>308.86425826311989</v>
      </c>
      <c r="BK8">
        <v>129.09581884162324</v>
      </c>
      <c r="BV8" s="37"/>
      <c r="BW8" s="1"/>
      <c r="BX8" s="1"/>
      <c r="BY8" s="1"/>
      <c r="BZ8" s="1"/>
      <c r="CA8" s="1"/>
      <c r="CB8" s="1"/>
      <c r="CC8" s="1"/>
      <c r="CD8" s="1" t="str">
        <f>"GU-G0"</f>
        <v>GU-G0</v>
      </c>
      <c r="CE8" s="6">
        <f ca="1">CE7-CE5</f>
        <v>50</v>
      </c>
      <c r="CF8" s="6">
        <f ca="1">CF7-CF5</f>
        <v>0</v>
      </c>
      <c r="CG8">
        <f t="shared" ca="1" si="14"/>
        <v>0</v>
      </c>
      <c r="CH8" s="1" t="s">
        <v>238</v>
      </c>
      <c r="CI8" s="6">
        <f ca="1">CI7-CE7</f>
        <v>239.22178823493851</v>
      </c>
      <c r="CJ8" s="6">
        <f ca="1">CJ7-CF7</f>
        <v>6.1622813518624753E-9</v>
      </c>
      <c r="CK8">
        <f t="shared" ca="1" si="15"/>
        <v>2.5759699387459348E-11</v>
      </c>
      <c r="CL8" s="6">
        <f ca="1">ATAN2(COS($CG$8-CK8),SIN($CG$8-CK8))</f>
        <v>-2.5759699387459348E-11</v>
      </c>
      <c r="CN8" s="1"/>
      <c r="CO8" s="1"/>
      <c r="CP8" s="1"/>
      <c r="CQ8" s="1"/>
      <c r="CU8">
        <v>9.8174770424681035E-2</v>
      </c>
      <c r="CV8">
        <v>0</v>
      </c>
      <c r="CW8">
        <v>4.9087385212340517E-2</v>
      </c>
      <c r="CX8">
        <v>0.49189724129231555</v>
      </c>
      <c r="CY8">
        <v>-0.73378148952676248</v>
      </c>
      <c r="CZ8">
        <v>8.1812499615229184E-2</v>
      </c>
      <c r="DC8">
        <v>-1.1806276840080088</v>
      </c>
      <c r="DD8">
        <v>5.2359191816314503</v>
      </c>
      <c r="DE8">
        <v>0.55263962846631154</v>
      </c>
      <c r="DF8">
        <v>-0.38589545707117545</v>
      </c>
      <c r="DG8">
        <v>0.83988974177539466</v>
      </c>
      <c r="DH8">
        <v>-0.55263962846631154</v>
      </c>
      <c r="DK8">
        <v>4.4032522468721531E-2</v>
      </c>
      <c r="DL8">
        <v>-4.5477178201877129E-10</v>
      </c>
      <c r="DM8">
        <v>4.4032522568721533E-2</v>
      </c>
      <c r="DN8">
        <v>-1.2933214735028046E-9</v>
      </c>
      <c r="DO8">
        <v>4.403252236872153E-2</v>
      </c>
      <c r="DP8">
        <v>3.8377769929001659E-10</v>
      </c>
      <c r="DQ8">
        <v>-8.3854958639641062</v>
      </c>
      <c r="DR8">
        <v>4.4032522414488399E-2</v>
      </c>
      <c r="DW8" s="9">
        <f ca="1">DW5</f>
        <v>-170.64000000000001</v>
      </c>
      <c r="DX8" s="9">
        <f ca="1">DX5</f>
        <v>127.98</v>
      </c>
      <c r="DY8" s="9">
        <f ca="1">DY5</f>
        <v>-42.660000000000004</v>
      </c>
    </row>
    <row r="9" spans="1:141" x14ac:dyDescent="0.25">
      <c r="A9" s="8" t="s">
        <v>7</v>
      </c>
      <c r="B9" s="7">
        <v>8</v>
      </c>
      <c r="C9" t="s">
        <v>4</v>
      </c>
      <c r="E9" s="5">
        <f>E8</f>
        <v>-12</v>
      </c>
      <c r="F9">
        <f>F6</f>
        <v>16</v>
      </c>
      <c r="G9">
        <f t="shared" si="5"/>
        <v>48</v>
      </c>
      <c r="T9" s="33" t="s">
        <v>98</v>
      </c>
      <c r="U9" s="34"/>
      <c r="V9" s="15"/>
      <c r="Y9" s="37"/>
      <c r="AA9" s="9">
        <f ca="1">U5-U11</f>
        <v>239.22178823493851</v>
      </c>
      <c r="AB9" s="9">
        <f ca="1">U6-U12</f>
        <v>6.1622856151188897E-9</v>
      </c>
      <c r="AC9" s="9">
        <f ca="1">AA9+AB9</f>
        <v>239.2217882411008</v>
      </c>
      <c r="AE9" s="6">
        <v>0</v>
      </c>
      <c r="AF9" s="6">
        <v>0</v>
      </c>
      <c r="BC9">
        <v>0.24434609527920612</v>
      </c>
      <c r="BD9">
        <v>276.2635125537476</v>
      </c>
      <c r="BE9">
        <v>123.63302640977899</v>
      </c>
      <c r="BF9" s="6">
        <f t="shared" si="0"/>
        <v>0.42078837439411587</v>
      </c>
      <c r="BG9" s="6">
        <f t="shared" si="1"/>
        <v>0.17644227911490976</v>
      </c>
      <c r="BH9" s="6">
        <f t="shared" si="2"/>
        <v>-0.42078837439411582</v>
      </c>
      <c r="BI9" s="6">
        <f t="shared" si="3"/>
        <v>0.42078837439411582</v>
      </c>
      <c r="BJ9">
        <v>306.9594583930529</v>
      </c>
      <c r="BK9">
        <v>137.37002934419888</v>
      </c>
      <c r="BV9" s="37"/>
      <c r="BW9" s="6"/>
      <c r="BX9" s="6"/>
      <c r="BY9" s="1"/>
      <c r="CD9" s="6"/>
      <c r="CF9" s="9"/>
      <c r="CH9" s="1" t="s">
        <v>239</v>
      </c>
      <c r="CI9" s="6">
        <f ca="1">BW7-BW6</f>
        <v>239.22178823493851</v>
      </c>
      <c r="CJ9" s="6">
        <f ca="1">BX7-BX6</f>
        <v>6.1622856151188897E-9</v>
      </c>
      <c r="CK9">
        <f t="shared" ca="1" si="15"/>
        <v>2.5759717208814357E-11</v>
      </c>
      <c r="CL9" s="1"/>
      <c r="CM9" s="9"/>
      <c r="CR9" s="37"/>
      <c r="CU9">
        <v>4.9087385212340517E-2</v>
      </c>
      <c r="CV9">
        <v>0</v>
      </c>
      <c r="CW9">
        <v>2.4543692606170259E-2</v>
      </c>
      <c r="CX9">
        <v>8.1812499615229184E-2</v>
      </c>
      <c r="CY9">
        <v>-0.73378148952676248</v>
      </c>
      <c r="CZ9">
        <v>-0.3807923222188031</v>
      </c>
      <c r="DC9">
        <v>0.62662861975274275</v>
      </c>
      <c r="DD9">
        <v>0.55263962846631154</v>
      </c>
      <c r="DE9">
        <v>0.58498856937710675</v>
      </c>
      <c r="DF9">
        <v>6.5925225376229939</v>
      </c>
      <c r="DG9">
        <v>-3.0166605860950138</v>
      </c>
      <c r="DH9">
        <v>-0.58498856937710675</v>
      </c>
      <c r="DK9">
        <v>4.4032522414488399E-2</v>
      </c>
      <c r="DL9">
        <v>-7.2972548192379622E-14</v>
      </c>
      <c r="DW9" s="9" t="s">
        <v>200</v>
      </c>
      <c r="DX9" s="9" t="s">
        <v>8</v>
      </c>
      <c r="DY9" s="9" t="s">
        <v>9</v>
      </c>
      <c r="DZ9" s="9" t="s">
        <v>202</v>
      </c>
    </row>
    <row r="10" spans="1:141" x14ac:dyDescent="0.25">
      <c r="E10">
        <v>0</v>
      </c>
      <c r="F10">
        <f>F9</f>
        <v>16</v>
      </c>
      <c r="G10">
        <f t="shared" si="5"/>
        <v>-96</v>
      </c>
      <c r="T10" s="35" t="s">
        <v>99</v>
      </c>
      <c r="U10" s="46">
        <v>0</v>
      </c>
      <c r="V10" s="16" t="s">
        <v>68</v>
      </c>
      <c r="W10" t="str">
        <f>"+ Compression"</f>
        <v>+ Compression</v>
      </c>
      <c r="AE10" s="6">
        <f>U11</f>
        <v>50</v>
      </c>
      <c r="AF10" s="6">
        <f>U12</f>
        <v>0</v>
      </c>
      <c r="BC10">
        <v>0.27925268031909273</v>
      </c>
      <c r="BD10">
        <v>274.64457800381473</v>
      </c>
      <c r="BE10">
        <v>129.68776703343815</v>
      </c>
      <c r="BF10" s="6">
        <f t="shared" si="0"/>
        <v>0.44116308820922867</v>
      </c>
      <c r="BG10" s="6">
        <f t="shared" si="1"/>
        <v>0.16191040789013594</v>
      </c>
      <c r="BH10" s="6">
        <f t="shared" si="2"/>
        <v>-0.44116308820922867</v>
      </c>
      <c r="BI10" s="6">
        <f t="shared" si="3"/>
        <v>0.44116308820922867</v>
      </c>
      <c r="BJ10">
        <v>305.16064222646082</v>
      </c>
      <c r="BK10">
        <v>144.0975189260424</v>
      </c>
      <c r="BU10" s="9"/>
      <c r="BV10" s="37"/>
      <c r="BW10" s="9"/>
      <c r="BX10" s="6"/>
      <c r="BY10" s="1"/>
      <c r="CD10" s="1"/>
      <c r="CE10" s="1"/>
      <c r="CH10" s="38" t="s">
        <v>240</v>
      </c>
      <c r="CI10" s="6">
        <f ca="1">CI7-CE5</f>
        <v>289.22178823493851</v>
      </c>
      <c r="CJ10" s="6">
        <f ca="1">CJ7-CF5</f>
        <v>6.1622813518624753E-9</v>
      </c>
      <c r="CK10">
        <f t="shared" ca="1" si="15"/>
        <v>2.1306421585557641E-11</v>
      </c>
      <c r="CL10" s="1"/>
      <c r="CU10">
        <v>4.9087385212340517E-2</v>
      </c>
      <c r="CV10">
        <v>2.4543692606170259E-2</v>
      </c>
      <c r="CW10">
        <v>3.6815538909255388E-2</v>
      </c>
      <c r="CX10">
        <v>8.1812499615229184E-2</v>
      </c>
      <c r="CY10">
        <v>-0.3807923222188031</v>
      </c>
      <c r="CZ10">
        <v>-0.14128594400838759</v>
      </c>
      <c r="DC10">
        <v>0.83988974177539466</v>
      </c>
      <c r="DD10">
        <v>0.58498856937710675</v>
      </c>
      <c r="DE10">
        <v>4.0572488980754979</v>
      </c>
      <c r="DF10">
        <v>-1.1106743051481027</v>
      </c>
      <c r="DG10">
        <v>1.4896215145878953</v>
      </c>
      <c r="DH10">
        <v>-4.0572488980754979</v>
      </c>
      <c r="DV10" t="s">
        <v>193</v>
      </c>
      <c r="DW10" s="9">
        <f ca="1">DW4-$DW$8</f>
        <v>1876.3505000000002</v>
      </c>
      <c r="DX10" s="9">
        <f ca="1">DX4-$DX$8</f>
        <v>316.537125</v>
      </c>
      <c r="DY10" s="9">
        <f ca="1">DY4-$DY$8</f>
        <v>-459.11237499999999</v>
      </c>
      <c r="DZ10" s="9">
        <v>0</v>
      </c>
      <c r="EB10" s="9">
        <f ca="1">EB4-$DW$8</f>
        <v>170.64000000000001</v>
      </c>
      <c r="EC10" s="9">
        <f ca="1">EC4-$DX$8</f>
        <v>-77.98</v>
      </c>
      <c r="ED10" s="9">
        <f ca="1">ED4-$DY$8</f>
        <v>42.660000000000004</v>
      </c>
      <c r="EE10" s="9">
        <v>0</v>
      </c>
      <c r="EF10">
        <f ca="1">ATAN2(EC10,ED10)</f>
        <v>2.6410068641795221</v>
      </c>
      <c r="EG10" s="9">
        <f ca="1">SQRT(POWER(EB10,2)+POWER(EC10,2)+POWER(ED10,2))</f>
        <v>192.40261328786573</v>
      </c>
      <c r="EH10">
        <f ca="1">EB10/EG10</f>
        <v>0.88689024064706801</v>
      </c>
      <c r="EI10">
        <f ca="1">EC10/EG10</f>
        <v>-0.40529595033789478</v>
      </c>
      <c r="EJ10">
        <f ca="1">ED10/EG10</f>
        <v>0.221722560161767</v>
      </c>
      <c r="EK10">
        <v>0</v>
      </c>
    </row>
    <row r="11" spans="1:141" x14ac:dyDescent="0.25">
      <c r="A11" t="s">
        <v>10</v>
      </c>
      <c r="E11">
        <v>0</v>
      </c>
      <c r="F11">
        <v>0</v>
      </c>
      <c r="G11">
        <f t="shared" si="5"/>
        <v>0</v>
      </c>
      <c r="T11" s="35" t="s">
        <v>100</v>
      </c>
      <c r="U11" s="46">
        <v>50</v>
      </c>
      <c r="V11" s="16" t="s">
        <v>70</v>
      </c>
      <c r="W11" t="str">
        <f>"+ Puts Top of Section in Compression"</f>
        <v>+ Puts Top of Section in Compression</v>
      </c>
      <c r="AE11" s="6">
        <f ca="1">U5</f>
        <v>289.22178823493851</v>
      </c>
      <c r="AF11" s="6">
        <f ca="1">U6</f>
        <v>6.1622856151188897E-9</v>
      </c>
      <c r="BC11">
        <v>0.31415926535897931</v>
      </c>
      <c r="BD11">
        <v>273.09850797796452</v>
      </c>
      <c r="BE11">
        <v>134.75292415966294</v>
      </c>
      <c r="BF11" s="6">
        <f t="shared" si="0"/>
        <v>0.45837170527742616</v>
      </c>
      <c r="BG11" s="6">
        <f t="shared" si="1"/>
        <v>0.14421243991844684</v>
      </c>
      <c r="BH11" s="6">
        <f t="shared" si="2"/>
        <v>-0.45837170527742616</v>
      </c>
      <c r="BI11" s="6">
        <f t="shared" si="3"/>
        <v>0.45837170527742616</v>
      </c>
      <c r="BJ11">
        <v>303.4427866421828</v>
      </c>
      <c r="BK11">
        <v>149.72547128851437</v>
      </c>
      <c r="BV11" s="37"/>
      <c r="BW11" s="6"/>
      <c r="BX11" s="1"/>
      <c r="BY11" s="1"/>
      <c r="CC11" s="1"/>
      <c r="CD11" s="1"/>
      <c r="CE11" s="1"/>
      <c r="CF11" s="9"/>
      <c r="CH11" s="38"/>
      <c r="CI11" s="1"/>
      <c r="CK11" s="38">
        <f ca="1">ATAN2(COS(CK9-CK10),SIN(CK9-CK10))*10</f>
        <v>4.4532956232567168E-11</v>
      </c>
      <c r="CL11" s="1"/>
      <c r="CM11" s="37"/>
      <c r="CU11">
        <v>4.9087385212340517E-2</v>
      </c>
      <c r="CV11">
        <v>3.6815538909255388E-2</v>
      </c>
      <c r="CW11">
        <v>4.2951462060797953E-2</v>
      </c>
      <c r="CX11">
        <v>8.1812499615229184E-2</v>
      </c>
      <c r="CY11">
        <v>-0.14128594400838759</v>
      </c>
      <c r="CZ11">
        <v>-1.9283429247120443E-2</v>
      </c>
      <c r="DC11">
        <v>-3.0166605860950138</v>
      </c>
      <c r="DD11">
        <v>4.0572488980754979</v>
      </c>
      <c r="DE11">
        <v>0.62064356561133427</v>
      </c>
      <c r="DF11">
        <v>-1.3112597068141516</v>
      </c>
      <c r="DG11">
        <v>2.3034464144675031</v>
      </c>
      <c r="DH11">
        <v>-0.62064356561133427</v>
      </c>
      <c r="DV11" t="s">
        <v>194</v>
      </c>
      <c r="DW11" s="9">
        <f ca="1">DW5-$DW$8</f>
        <v>0</v>
      </c>
      <c r="DX11" s="9">
        <f ca="1">DX5-$DX$8</f>
        <v>0</v>
      </c>
      <c r="DY11" s="9">
        <f ca="1">DY5-$DY$8</f>
        <v>0</v>
      </c>
      <c r="DZ11" s="9">
        <v>0</v>
      </c>
      <c r="EB11" s="9">
        <f ca="1">EB5-$DW$8</f>
        <v>170.63999999990665</v>
      </c>
      <c r="EC11" s="9">
        <f ca="1">EC5-$DX$8</f>
        <v>161.2417882349385</v>
      </c>
      <c r="ED11" s="9">
        <f ca="1">ED5-$DY$8</f>
        <v>42.660000006162292</v>
      </c>
      <c r="EE11" s="9">
        <v>0</v>
      </c>
      <c r="EF11">
        <f ca="1">ATAN2(EC11,ED11)</f>
        <v>0.25864541059246426</v>
      </c>
      <c r="EG11" s="9">
        <f t="shared" ref="EG11:EG12" ca="1" si="16">SQRT(POWER(EB11,2)+POWER(EC11,2)+POWER(ED11,2))</f>
        <v>238.61433207939263</v>
      </c>
      <c r="EH11">
        <f t="shared" ref="EH11:EH12" ca="1" si="17">EB11/EG11</f>
        <v>0.71512887978216955</v>
      </c>
      <c r="EI11">
        <f t="shared" ref="EI11:EI12" ca="1" si="18">EC11/EG11</f>
        <v>0.67574226086842737</v>
      </c>
      <c r="EJ11">
        <f t="shared" ref="EJ11:EJ12" ca="1" si="19">ED11/EG11</f>
        <v>0.17878221997146551</v>
      </c>
      <c r="EK11">
        <v>0</v>
      </c>
    </row>
    <row r="12" spans="1:141" x14ac:dyDescent="0.25">
      <c r="A12" s="8" t="s">
        <v>11</v>
      </c>
      <c r="B12" s="2">
        <v>60</v>
      </c>
      <c r="C12" t="s">
        <v>1</v>
      </c>
      <c r="G12">
        <f>SUM(G4:G11)</f>
        <v>576</v>
      </c>
      <c r="T12" s="35" t="s">
        <v>101</v>
      </c>
      <c r="U12" s="46">
        <v>0</v>
      </c>
      <c r="V12" s="16" t="s">
        <v>70</v>
      </c>
      <c r="W12" t="str">
        <f>"+ Puts Left of Section in Compression"</f>
        <v>+ Puts Left of Section in Compression</v>
      </c>
      <c r="BC12">
        <v>0.3490658503988659</v>
      </c>
      <c r="BD12">
        <v>271.60835862576073</v>
      </c>
      <c r="BE12">
        <v>139.08612526195162</v>
      </c>
      <c r="BF12" s="6">
        <f t="shared" si="0"/>
        <v>0.47326751530640743</v>
      </c>
      <c r="BG12" s="6">
        <f t="shared" si="1"/>
        <v>0.12420166490754153</v>
      </c>
      <c r="BH12" s="6">
        <f t="shared" si="2"/>
        <v>-0.47326751530640743</v>
      </c>
      <c r="BI12" s="6">
        <f t="shared" si="3"/>
        <v>0.47326751530640743</v>
      </c>
      <c r="BJ12">
        <v>301.78706513973412</v>
      </c>
      <c r="BK12">
        <v>154.54013917994624</v>
      </c>
      <c r="BV12" s="37"/>
      <c r="CE12" s="9"/>
      <c r="CF12" s="9"/>
      <c r="CG12" s="1"/>
      <c r="CH12" s="37"/>
      <c r="CK12" s="38"/>
      <c r="CN12" s="1"/>
      <c r="CO12" s="1"/>
      <c r="CP12" s="1"/>
      <c r="CQ12" s="1"/>
      <c r="CU12">
        <v>4.9087385212340517E-2</v>
      </c>
      <c r="CV12">
        <v>4.2951462060797953E-2</v>
      </c>
      <c r="CW12">
        <v>4.6019423636569232E-2</v>
      </c>
      <c r="CX12">
        <v>8.1812499615229184E-2</v>
      </c>
      <c r="CY12">
        <v>-1.9283429247120443E-2</v>
      </c>
      <c r="CZ12">
        <v>3.3731747533976494E-2</v>
      </c>
      <c r="DC12">
        <v>1.4896215145878953</v>
      </c>
      <c r="DD12">
        <v>0.62064356561133427</v>
      </c>
      <c r="DE12">
        <v>1.6841326901514899</v>
      </c>
      <c r="DF12">
        <v>0.76524045342870739</v>
      </c>
      <c r="DG12">
        <v>1.0146799510218683</v>
      </c>
      <c r="DH12">
        <v>-1.6841326901514899</v>
      </c>
      <c r="EB12" s="9">
        <f ca="1">EB6-$DW$8</f>
        <v>170.63999999990665</v>
      </c>
      <c r="EC12" s="9">
        <f ca="1">EC6-$DX$8</f>
        <v>-72.98</v>
      </c>
      <c r="ED12" s="9">
        <f ca="1">ED6-$DY$8</f>
        <v>47.660000000000004</v>
      </c>
      <c r="EE12" s="9">
        <v>0</v>
      </c>
      <c r="EF12">
        <f ca="1">ATAN2(EC12,ED12)</f>
        <v>2.563072359864325</v>
      </c>
      <c r="EG12" s="9">
        <f t="shared" ca="1" si="16"/>
        <v>191.61306218514474</v>
      </c>
      <c r="EH12">
        <f t="shared" ca="1" si="17"/>
        <v>0.89054471576174166</v>
      </c>
      <c r="EI12">
        <f t="shared" ca="1" si="18"/>
        <v>-0.3808717379062791</v>
      </c>
      <c r="EJ12">
        <f t="shared" ca="1" si="19"/>
        <v>0.2487304333874111</v>
      </c>
      <c r="EK12">
        <v>0</v>
      </c>
    </row>
    <row r="13" spans="1:141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0</v>
      </c>
      <c r="V13" s="17" t="s">
        <v>97</v>
      </c>
      <c r="X13" s="37"/>
      <c r="Y13" s="9"/>
      <c r="Z13" s="1">
        <f ca="1">Z15*0.8</f>
        <v>1364.5684000000001</v>
      </c>
      <c r="AA13" s="47"/>
      <c r="BC13">
        <v>0.38397243543875248</v>
      </c>
      <c r="BD13">
        <v>270.16079137847959</v>
      </c>
      <c r="BE13">
        <v>142.86098688224774</v>
      </c>
      <c r="BF13" s="6">
        <f t="shared" si="0"/>
        <v>0.48642115855465862</v>
      </c>
      <c r="BG13" s="6">
        <f t="shared" si="1"/>
        <v>0.10244872311590614</v>
      </c>
      <c r="BH13" s="6">
        <f t="shared" si="2"/>
        <v>-0.48642115855465862</v>
      </c>
      <c r="BI13" s="6">
        <f t="shared" si="3"/>
        <v>0.48642115855465862</v>
      </c>
      <c r="BJ13">
        <v>300.17865708719955</v>
      </c>
      <c r="BK13">
        <v>158.73442986916416</v>
      </c>
      <c r="BV13" s="37"/>
      <c r="BW13" t="s">
        <v>147</v>
      </c>
      <c r="CF13" s="1"/>
      <c r="CG13" s="38"/>
      <c r="CH13" s="1"/>
      <c r="CI13" s="9"/>
      <c r="CJ13" s="9"/>
      <c r="CU13">
        <v>4.6019423636569232E-2</v>
      </c>
      <c r="CV13">
        <v>4.2951462060797953E-2</v>
      </c>
      <c r="CW13">
        <v>4.4485442848683596E-2</v>
      </c>
      <c r="CX13">
        <v>3.3731747533976494E-2</v>
      </c>
      <c r="CY13">
        <v>-1.9283429247120443E-2</v>
      </c>
      <c r="CZ13">
        <v>7.880090794287857E-3</v>
      </c>
      <c r="DC13">
        <v>2.3034464144675031</v>
      </c>
      <c r="DD13">
        <v>1.6841326901514899</v>
      </c>
      <c r="DE13">
        <v>0.59961314642369623</v>
      </c>
      <c r="DF13">
        <v>1.1883294043884058</v>
      </c>
      <c r="DG13">
        <v>0.30214201786873934</v>
      </c>
      <c r="DH13">
        <v>-0.59961314642369623</v>
      </c>
      <c r="DV13" t="s">
        <v>208</v>
      </c>
    </row>
    <row r="14" spans="1:141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0" t="s">
        <v>109</v>
      </c>
      <c r="U14" s="41">
        <f>SQRT(POWER(U11,2)+POWER(U12,2))</f>
        <v>50</v>
      </c>
      <c r="V14" s="42" t="s">
        <v>70</v>
      </c>
      <c r="W14">
        <f>DEGREES(U13)</f>
        <v>0</v>
      </c>
      <c r="Y14" s="53"/>
      <c r="Z14" s="54" t="s">
        <v>99</v>
      </c>
      <c r="AA14" s="55" t="s">
        <v>100</v>
      </c>
      <c r="AB14" s="56" t="s">
        <v>101</v>
      </c>
      <c r="AC14" s="59" t="s">
        <v>209</v>
      </c>
      <c r="AD14" s="54" t="s">
        <v>210</v>
      </c>
      <c r="AE14" s="56" t="s">
        <v>211</v>
      </c>
      <c r="BC14">
        <v>0.41887902047863906</v>
      </c>
      <c r="BD14">
        <v>268.74488335123141</v>
      </c>
      <c r="BE14">
        <v>146.19938938217999</v>
      </c>
      <c r="BF14" s="6">
        <f t="shared" si="0"/>
        <v>0.49823125597728835</v>
      </c>
      <c r="BG14" s="6">
        <f t="shared" si="1"/>
        <v>7.9352235498649282E-2</v>
      </c>
      <c r="BH14" s="6">
        <f t="shared" si="2"/>
        <v>-0.4982312559772884</v>
      </c>
      <c r="BI14" s="6">
        <f t="shared" si="3"/>
        <v>0.4982312559772884</v>
      </c>
      <c r="BJ14">
        <v>298.60542594581267</v>
      </c>
      <c r="BK14">
        <v>162.44376598019997</v>
      </c>
      <c r="BV14" s="37"/>
      <c r="BW14" t="s">
        <v>111</v>
      </c>
      <c r="BX14" s="1" t="s">
        <v>100</v>
      </c>
      <c r="BY14" s="1" t="s">
        <v>101</v>
      </c>
      <c r="BZ14" s="1"/>
      <c r="CA14" s="1"/>
      <c r="CB14" s="1" t="s">
        <v>150</v>
      </c>
      <c r="CC14" s="1" t="s">
        <v>151</v>
      </c>
      <c r="CE14" s="1"/>
      <c r="CF14" s="1" t="s">
        <v>150</v>
      </c>
      <c r="CG14" s="38"/>
      <c r="CH14" s="1"/>
      <c r="CI14" s="1"/>
      <c r="CJ14" s="1"/>
      <c r="CL14" s="1"/>
      <c r="CM14" s="1"/>
      <c r="CN14" s="1"/>
      <c r="CO14" s="1"/>
      <c r="CP14" s="1"/>
      <c r="CU14">
        <v>4.4485442848683596E-2</v>
      </c>
      <c r="CV14">
        <v>4.2951462060797953E-2</v>
      </c>
      <c r="CW14">
        <v>4.3718452454740778E-2</v>
      </c>
      <c r="CX14">
        <v>7.880090794287857E-3</v>
      </c>
      <c r="CY14">
        <v>-1.9283429247120443E-2</v>
      </c>
      <c r="CZ14">
        <v>-5.5325597868448447E-3</v>
      </c>
      <c r="DC14">
        <v>1.0146799510218683</v>
      </c>
      <c r="DD14">
        <v>0.59961314642369623</v>
      </c>
      <c r="DE14">
        <v>0.45274413497485361</v>
      </c>
      <c r="DF14">
        <v>4.8515199096394817</v>
      </c>
      <c r="DG14">
        <v>-1.8943551669342675</v>
      </c>
      <c r="DH14">
        <v>-0.45274413497485361</v>
      </c>
      <c r="DV14" t="s">
        <v>197</v>
      </c>
      <c r="DW14">
        <f ca="1">ATAN2(-1*DX10,-1*DY10)</f>
        <v>2.1744097032161758</v>
      </c>
      <c r="DX14" t="s">
        <v>97</v>
      </c>
    </row>
    <row r="15" spans="1:141" x14ac:dyDescent="0.25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20">IF($B15=0,NA(),D15)</f>
        <v>2</v>
      </c>
      <c r="L15" s="1">
        <f t="shared" ref="L15:L24" si="21">IF($B15=0,NA(),E15)</f>
        <v>2</v>
      </c>
      <c r="T15" s="36" t="s">
        <v>103</v>
      </c>
      <c r="U15" s="6">
        <f>SQRT(POWER(U12,2)+POWER(U11,2)+POWER(U10,2))</f>
        <v>50</v>
      </c>
      <c r="Y15" s="57" t="s">
        <v>193</v>
      </c>
      <c r="Z15" s="61">
        <f ca="1">B115</f>
        <v>1705.7105000000001</v>
      </c>
      <c r="AA15" s="61">
        <f ca="1">C116</f>
        <v>444.51712500000002</v>
      </c>
      <c r="AB15" s="62">
        <f ca="1">C117</f>
        <v>-501.77237500000001</v>
      </c>
      <c r="AC15" s="63">
        <f ca="1">Z15/0.65</f>
        <v>2624.17</v>
      </c>
      <c r="AD15" s="61">
        <f t="shared" ref="AD15:AE15" ca="1" si="22">AA15/0.65</f>
        <v>683.87250000000006</v>
      </c>
      <c r="AE15" s="62">
        <f t="shared" ca="1" si="22"/>
        <v>-771.95749999999998</v>
      </c>
      <c r="BC15">
        <v>0.45378560551852565</v>
      </c>
      <c r="BD15">
        <v>267.35136461893273</v>
      </c>
      <c r="BE15">
        <v>149.18979675720647</v>
      </c>
      <c r="BF15" s="6">
        <f t="shared" si="0"/>
        <v>0.508986553432342</v>
      </c>
      <c r="BG15" s="6">
        <f t="shared" si="1"/>
        <v>5.5200947913816356E-2</v>
      </c>
      <c r="BH15" s="6">
        <f t="shared" si="2"/>
        <v>-0.508986553432342</v>
      </c>
      <c r="BI15" s="6">
        <f t="shared" si="3"/>
        <v>0.508986553432342</v>
      </c>
      <c r="BJ15">
        <v>297.05707179881415</v>
      </c>
      <c r="BK15">
        <v>165.76644084134051</v>
      </c>
      <c r="BV15" s="37"/>
      <c r="BW15" s="6">
        <f>IF(BC2="",NA(),BC2)</f>
        <v>0</v>
      </c>
      <c r="BX15" s="9">
        <f ca="1">BD2-$BW$5</f>
        <v>135.24520576455117</v>
      </c>
      <c r="BY15" s="9">
        <f ca="1">BE2-$BX$5</f>
        <v>-43.567174144713135</v>
      </c>
      <c r="BZ15" s="9">
        <f ca="1">BX15-$CE$5</f>
        <v>292.01188235296047</v>
      </c>
      <c r="CA15" s="6">
        <f ca="1">BY15-$CF$5</f>
        <v>-127.98000000001048</v>
      </c>
      <c r="CB15" s="6">
        <f ca="1">ATAN2(BZ15,CA15)</f>
        <v>-0.41305641693042994</v>
      </c>
      <c r="CC15" s="6">
        <f ca="1">ATAN2(COS(CF15-CB15),SIN(CF15-CB15))*10</f>
        <v>-0.73378148952676248</v>
      </c>
      <c r="CD15" s="9">
        <f>BD2-$BW$6</f>
        <v>242.01188235296047</v>
      </c>
      <c r="CE15" s="9">
        <f>BE2-$BX$6</f>
        <v>-127.98000000001048</v>
      </c>
      <c r="CF15" s="6">
        <f>ATAN2(CD15,CE15)</f>
        <v>-0.48643456588310618</v>
      </c>
      <c r="CG15" s="6"/>
      <c r="CH15" s="6"/>
      <c r="CI15" s="6"/>
      <c r="CJ15" s="1"/>
      <c r="CK15" s="6"/>
      <c r="CL15" s="9"/>
      <c r="CM15" s="9"/>
      <c r="CN15" s="1"/>
      <c r="CO15" s="1"/>
      <c r="CP15" s="1"/>
      <c r="CQ15" s="1"/>
      <c r="CU15">
        <v>4.4485442848683596E-2</v>
      </c>
      <c r="CV15">
        <v>4.3718452454740778E-2</v>
      </c>
      <c r="CW15">
        <v>4.4101947651712187E-2</v>
      </c>
      <c r="CX15">
        <v>7.880090794287857E-3</v>
      </c>
      <c r="CY15">
        <v>-5.5325597868448447E-3</v>
      </c>
      <c r="CZ15">
        <v>1.2153918827134647E-3</v>
      </c>
      <c r="DC15">
        <v>0.30214201786873934</v>
      </c>
      <c r="DD15">
        <v>0.45274413497485361</v>
      </c>
      <c r="DE15">
        <v>5.2175810296863858</v>
      </c>
      <c r="DF15">
        <v>-0.46098056100113055</v>
      </c>
      <c r="DG15">
        <v>0.51084826319941901</v>
      </c>
      <c r="DH15">
        <v>-5.2175810296863858</v>
      </c>
      <c r="DV15" t="s">
        <v>198</v>
      </c>
      <c r="DW15">
        <v>1</v>
      </c>
      <c r="DX15">
        <v>0</v>
      </c>
      <c r="DY15">
        <v>0</v>
      </c>
    </row>
    <row r="16" spans="1:141" ht="15.75" thickBot="1" x14ac:dyDescent="0.3">
      <c r="A16">
        <v>2</v>
      </c>
      <c r="B16" s="19">
        <v>8</v>
      </c>
      <c r="C16" s="6">
        <f t="shared" ref="C16:C24" ca="1" si="23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20"/>
        <v>2</v>
      </c>
      <c r="L16" s="1">
        <f t="shared" si="21"/>
        <v>4</v>
      </c>
      <c r="T16" s="36" t="s">
        <v>104</v>
      </c>
      <c r="U16" s="38">
        <f>U10/U15</f>
        <v>0</v>
      </c>
      <c r="V16" s="38">
        <f>U11/U15</f>
        <v>1</v>
      </c>
      <c r="W16" s="38">
        <f>U12/U15</f>
        <v>0</v>
      </c>
      <c r="X16" s="37"/>
      <c r="Y16" s="58" t="s">
        <v>194</v>
      </c>
      <c r="Z16" s="64">
        <f ca="1">J115</f>
        <v>-170.64000000000001</v>
      </c>
      <c r="AA16" s="64">
        <f ca="1">K116</f>
        <v>127.98</v>
      </c>
      <c r="AB16" s="65">
        <f ca="1">K117</f>
        <v>-42.660000000000004</v>
      </c>
      <c r="AC16" s="66">
        <f ca="1">Z16/0.9</f>
        <v>-189.60000000000002</v>
      </c>
      <c r="AD16" s="64">
        <f t="shared" ref="AD16:AE16" ca="1" si="24">AA16/0.9</f>
        <v>142.19999999999999</v>
      </c>
      <c r="AE16" s="65">
        <f t="shared" ca="1" si="24"/>
        <v>-47.400000000000006</v>
      </c>
      <c r="BC16">
        <v>0.48869219055841223</v>
      </c>
      <c r="BD16">
        <v>265.97210214377759</v>
      </c>
      <c r="BE16">
        <v>151.89823446389281</v>
      </c>
      <c r="BF16" s="6">
        <f t="shared" si="0"/>
        <v>0.51890282928376619</v>
      </c>
      <c r="BG16" s="6">
        <f t="shared" si="1"/>
        <v>3.0210638725353955E-2</v>
      </c>
      <c r="BH16" s="6">
        <f t="shared" si="2"/>
        <v>-0.51890282928376619</v>
      </c>
      <c r="BI16" s="6">
        <f t="shared" si="3"/>
        <v>0.51890282928376619</v>
      </c>
      <c r="BJ16">
        <v>295.52455793753063</v>
      </c>
      <c r="BK16">
        <v>168.77581607099199</v>
      </c>
      <c r="BV16" s="37"/>
      <c r="BW16" s="6">
        <f t="shared" ref="BW16:BW79" si="25">IF(BC3="",NA(),BC3)</f>
        <v>3.4906585039886591E-2</v>
      </c>
      <c r="BX16" s="9">
        <f t="shared" ref="BX16:BX79" ca="1" si="26">BD3-$BW$5</f>
        <v>133.45406270802854</v>
      </c>
      <c r="BY16" s="9">
        <f t="shared" ref="BY16:BY79" ca="1" si="27">BE3-$BX$5</f>
        <v>59.016078314302554</v>
      </c>
      <c r="BZ16" s="9">
        <f t="shared" ref="BZ16:BZ79" ca="1" si="28">BX16-$CE$5</f>
        <v>290.22073929643784</v>
      </c>
      <c r="CA16" s="6">
        <f t="shared" ref="CA16:CA79" ca="1" si="29">BY16-$CF$5</f>
        <v>-25.396747540994788</v>
      </c>
      <c r="CB16" s="6">
        <f t="shared" ref="CB16:CB79" ca="1" si="30">ATAN2(BZ16,CA16)</f>
        <v>-8.728603201653852E-2</v>
      </c>
      <c r="CC16" s="6">
        <f t="shared" ref="CC16:CC79" ca="1" si="31">ATAN2(COS(CF16-CB16),SIN(CF16-CB16))*10</f>
        <v>-0.18045236118229613</v>
      </c>
      <c r="CD16" s="9">
        <f t="shared" ref="CD16:CD79" si="32">BD3-$BW$6</f>
        <v>240.22073929643784</v>
      </c>
      <c r="CE16" s="9">
        <f t="shared" ref="CE16:CE79" si="33">BE3-$BX$6</f>
        <v>-25.396747540994788</v>
      </c>
      <c r="CF16" s="6">
        <f t="shared" ref="CF16:CF79" si="34">ATAN2(CD16,CE16)</f>
        <v>-0.10533126813476813</v>
      </c>
      <c r="CG16" s="6"/>
      <c r="CH16" s="6"/>
      <c r="CI16" s="6"/>
      <c r="CJ16" s="1"/>
      <c r="CK16" s="6"/>
      <c r="CU16">
        <v>4.4101947651712187E-2</v>
      </c>
      <c r="CV16">
        <v>4.3718452454740778E-2</v>
      </c>
      <c r="CW16">
        <v>4.3910200053226482E-2</v>
      </c>
      <c r="CX16">
        <v>1.2153918827134647E-3</v>
      </c>
      <c r="CY16">
        <v>-5.5325597868448447E-3</v>
      </c>
      <c r="CZ16">
        <v>-2.1480966061925835E-3</v>
      </c>
      <c r="DC16">
        <v>-1.8943551669342675</v>
      </c>
      <c r="DD16">
        <v>5.2175810296863858</v>
      </c>
      <c r="DE16">
        <v>0.52483877272881474</v>
      </c>
      <c r="DF16">
        <v>-0.51253687043384388</v>
      </c>
      <c r="DG16">
        <v>0.77984748525618519</v>
      </c>
      <c r="DH16">
        <v>-0.52483877272881474</v>
      </c>
      <c r="DV16" t="s">
        <v>199</v>
      </c>
      <c r="DW16">
        <f ca="1">(DW15*DW15*(1-COS(DW14)))+COS(DW14)</f>
        <v>1</v>
      </c>
      <c r="DX16">
        <f ca="1">(DX15*DW15*(1-COS(DW14)))-(DY15*SIN(DW14))</f>
        <v>0</v>
      </c>
      <c r="DY16">
        <f ca="1">(DY15*DW15*(1-COS(DW14)))+(DX15*SIN(DW14))</f>
        <v>0</v>
      </c>
      <c r="DZ16">
        <v>0</v>
      </c>
    </row>
    <row r="17" spans="1:136" x14ac:dyDescent="0.25">
      <c r="A17">
        <v>3</v>
      </c>
      <c r="B17" s="19">
        <v>8</v>
      </c>
      <c r="C17" s="6">
        <f t="shared" ca="1" si="23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20"/>
        <v>4</v>
      </c>
      <c r="L17" s="1">
        <f t="shared" si="21"/>
        <v>2</v>
      </c>
      <c r="Y17" s="59" t="s">
        <v>203</v>
      </c>
      <c r="Z17" s="67">
        <f>U10</f>
        <v>0</v>
      </c>
      <c r="AA17" s="67">
        <f>U11</f>
        <v>50</v>
      </c>
      <c r="AB17" s="68">
        <f>U12</f>
        <v>0</v>
      </c>
      <c r="AC17" s="69">
        <f ca="1">Z17/$U$3</f>
        <v>0</v>
      </c>
      <c r="AD17" s="67">
        <f t="shared" ref="AD17:AE17" ca="1" si="35">AA17/$U$3</f>
        <v>55.555555555555557</v>
      </c>
      <c r="AE17" s="68">
        <f t="shared" ca="1" si="35"/>
        <v>0</v>
      </c>
      <c r="BC17">
        <v>0.52359877559829882</v>
      </c>
      <c r="BD17">
        <v>264.59973225158427</v>
      </c>
      <c r="BE17">
        <v>154.37516777262806</v>
      </c>
      <c r="BF17" s="6">
        <f t="shared" si="0"/>
        <v>0.5281458535371184</v>
      </c>
      <c r="BG17" s="6">
        <f t="shared" si="1"/>
        <v>4.5470779388195881E-3</v>
      </c>
      <c r="BH17" s="6">
        <f t="shared" si="2"/>
        <v>-0.52814585353711851</v>
      </c>
      <c r="BI17" s="6">
        <f t="shared" si="3"/>
        <v>0.52814585353711851</v>
      </c>
      <c r="BJ17">
        <v>293.99970250176028</v>
      </c>
      <c r="BK17">
        <v>171.52796419180896</v>
      </c>
      <c r="BV17" s="37"/>
      <c r="BW17" s="6">
        <f t="shared" si="25"/>
        <v>6.9813170079773182E-2</v>
      </c>
      <c r="BX17" s="9">
        <f t="shared" ca="1" si="26"/>
        <v>130.01364502663071</v>
      </c>
      <c r="BY17" s="9">
        <f t="shared" ca="1" si="27"/>
        <v>128.39753668597774</v>
      </c>
      <c r="BZ17" s="9">
        <f t="shared" ca="1" si="28"/>
        <v>286.78032161504001</v>
      </c>
      <c r="CA17" s="6">
        <f t="shared" ca="1" si="29"/>
        <v>43.984710830680399</v>
      </c>
      <c r="CB17" s="6">
        <f t="shared" ca="1" si="30"/>
        <v>0.15218828281597513</v>
      </c>
      <c r="CC17" s="6">
        <f t="shared" ca="1" si="31"/>
        <v>0.31479859155062545</v>
      </c>
      <c r="CD17" s="9">
        <f t="shared" si="32"/>
        <v>236.78032161504001</v>
      </c>
      <c r="CE17" s="9">
        <f t="shared" si="33"/>
        <v>43.984710830680385</v>
      </c>
      <c r="CF17" s="6">
        <f t="shared" si="34"/>
        <v>0.18366814197103767</v>
      </c>
      <c r="CG17" s="6"/>
      <c r="CH17" s="6"/>
      <c r="CI17" s="6"/>
      <c r="CJ17" s="1"/>
      <c r="CK17" s="6"/>
      <c r="CU17">
        <v>4.4101947651712187E-2</v>
      </c>
      <c r="CV17">
        <v>4.3910200053226482E-2</v>
      </c>
      <c r="CW17">
        <v>4.4006073852469338E-2</v>
      </c>
      <c r="CX17">
        <v>1.2153918827134647E-3</v>
      </c>
      <c r="CY17">
        <v>-2.1480966061925835E-3</v>
      </c>
      <c r="CZ17">
        <v>-4.6374065854109966E-4</v>
      </c>
      <c r="DC17">
        <v>0.51084826319941901</v>
      </c>
      <c r="DD17">
        <v>0.52483877272881474</v>
      </c>
      <c r="DE17">
        <v>0.57810380545791884</v>
      </c>
      <c r="DF17">
        <v>5.0502028868515945</v>
      </c>
      <c r="DG17">
        <v>-2.1396940219672893</v>
      </c>
      <c r="DH17">
        <v>-0.57810380545791884</v>
      </c>
      <c r="DW17">
        <f ca="1">(DW15*DX15*(1-COS(DW14)))+(DY15*SIN(DW14))</f>
        <v>0</v>
      </c>
      <c r="DX17">
        <f ca="1">(DX15*DX15*(1-COS(DW14)))+COS(DW14)</f>
        <v>-0.56762102903582434</v>
      </c>
      <c r="DY17">
        <f ca="1">(DY15*DX15*(1-COS(DW14)))-(DW15*SIN(DW14))</f>
        <v>-0.82328996556274858</v>
      </c>
      <c r="DZ17">
        <v>0</v>
      </c>
    </row>
    <row r="18" spans="1:136" ht="15.75" thickBot="1" x14ac:dyDescent="0.3">
      <c r="A18">
        <v>4</v>
      </c>
      <c r="B18" s="19">
        <v>8</v>
      </c>
      <c r="C18" s="6">
        <f t="shared" ca="1" si="23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20"/>
        <v>4</v>
      </c>
      <c r="L18" s="1">
        <f t="shared" si="21"/>
        <v>4</v>
      </c>
      <c r="T18" s="8" t="s">
        <v>105</v>
      </c>
      <c r="U18" s="6">
        <f ca="1">SQRT(POWER(U6,2)+POWER(U5,2)+POWER(U4,2))</f>
        <v>289.22178823493851</v>
      </c>
      <c r="Y18" s="60" t="s">
        <v>204</v>
      </c>
      <c r="Z18" s="64">
        <f ca="1">U4</f>
        <v>-9.3365315478877164E-11</v>
      </c>
      <c r="AA18" s="64">
        <f ca="1">U5</f>
        <v>289.22178823493851</v>
      </c>
      <c r="AB18" s="65">
        <f ca="1">U6</f>
        <v>6.1622856151188897E-9</v>
      </c>
      <c r="AC18" s="66">
        <f ca="1">Z18/$U$3</f>
        <v>-1.0373923942097463E-10</v>
      </c>
      <c r="AD18" s="64">
        <f t="shared" ref="AD18" ca="1" si="36">AA18/$U$3</f>
        <v>321.35754248326504</v>
      </c>
      <c r="AE18" s="65">
        <f t="shared" ref="AE18" ca="1" si="37">AB18/$U$3</f>
        <v>6.8469840167987659E-9</v>
      </c>
      <c r="BC18">
        <v>0.55850536063818546</v>
      </c>
      <c r="BD18">
        <v>263.22738489903634</v>
      </c>
      <c r="BE18">
        <v>156.65997598087677</v>
      </c>
      <c r="BF18" s="6">
        <f t="shared" si="0"/>
        <v>0.536846247142864</v>
      </c>
      <c r="BG18" s="6">
        <f t="shared" si="1"/>
        <v>2.1659113495321458E-2</v>
      </c>
      <c r="BH18" s="6">
        <f t="shared" si="2"/>
        <v>-0.53684624714286389</v>
      </c>
      <c r="BI18" s="6">
        <f t="shared" si="3"/>
        <v>0.53684624714286389</v>
      </c>
      <c r="BJ18">
        <v>292.47487211004039</v>
      </c>
      <c r="BK18">
        <v>174.06663997875197</v>
      </c>
      <c r="BV18" s="37"/>
      <c r="BW18" s="6">
        <f t="shared" si="25"/>
        <v>0.10471975511965978</v>
      </c>
      <c r="BX18" s="9">
        <f t="shared" ca="1" si="26"/>
        <v>127.33795211697813</v>
      </c>
      <c r="BY18" s="9">
        <f t="shared" ca="1" si="27"/>
        <v>159.60829316947343</v>
      </c>
      <c r="BZ18" s="9">
        <f t="shared" ca="1" si="28"/>
        <v>284.10462870538743</v>
      </c>
      <c r="CA18" s="6">
        <f t="shared" ca="1" si="29"/>
        <v>75.195467314176085</v>
      </c>
      <c r="CB18" s="6">
        <f t="shared" ca="1" si="30"/>
        <v>0.25874227735383365</v>
      </c>
      <c r="CC18" s="6">
        <f t="shared" ca="1" si="31"/>
        <v>0.52052928483138206</v>
      </c>
      <c r="CD18" s="9">
        <f t="shared" si="32"/>
        <v>234.10462870538743</v>
      </c>
      <c r="CE18" s="9">
        <f t="shared" si="33"/>
        <v>75.195467314176085</v>
      </c>
      <c r="CF18" s="6">
        <f t="shared" si="34"/>
        <v>0.31079520583697184</v>
      </c>
      <c r="CG18" s="6"/>
      <c r="CH18" s="6"/>
      <c r="CI18" s="6"/>
      <c r="CJ18" s="1"/>
      <c r="CK18" s="6"/>
      <c r="CU18">
        <v>4.4101947651712187E-2</v>
      </c>
      <c r="CV18">
        <v>4.4006073852469338E-2</v>
      </c>
      <c r="CW18">
        <v>4.4054010752090762E-2</v>
      </c>
      <c r="CX18">
        <v>1.2153918827134647E-3</v>
      </c>
      <c r="CY18">
        <v>-4.6374065854109966E-4</v>
      </c>
      <c r="CZ18">
        <v>3.7647727469200027E-4</v>
      </c>
      <c r="DC18">
        <v>0.77984748525618519</v>
      </c>
      <c r="DD18">
        <v>0.57810380545791884</v>
      </c>
      <c r="DE18">
        <v>5.2121454803514276</v>
      </c>
      <c r="DF18">
        <v>-0.63002055485195141</v>
      </c>
      <c r="DG18">
        <v>1.1440647655328078</v>
      </c>
      <c r="DH18">
        <v>-5.2121454803514276</v>
      </c>
      <c r="DW18">
        <f ca="1">(DW15*DY15*(1-COS(DW14)))-(DX15*SIN(DW14))</f>
        <v>0</v>
      </c>
      <c r="DX18">
        <f ca="1">(DX15*DY15*(1-COS(DW14)))+(DW15*SIN(DW14))</f>
        <v>0.82328996556274858</v>
      </c>
      <c r="DY18">
        <f ca="1">(DY15*DY15*(1-COS(DW14)))+COS(DW14)</f>
        <v>-0.56762102903582434</v>
      </c>
      <c r="DZ18">
        <v>0</v>
      </c>
    </row>
    <row r="19" spans="1:136" x14ac:dyDescent="0.25">
      <c r="A19">
        <v>5</v>
      </c>
      <c r="B19" s="19">
        <v>0</v>
      </c>
      <c r="C19" s="6">
        <f t="shared" ca="1" si="23"/>
        <v>0</v>
      </c>
      <c r="D19" s="2">
        <v>2.5</v>
      </c>
      <c r="E19" s="2">
        <v>12.5</v>
      </c>
      <c r="G19" s="1">
        <v>7</v>
      </c>
      <c r="H19" s="6">
        <v>0.875</v>
      </c>
      <c r="I19" s="6">
        <v>0.6</v>
      </c>
      <c r="K19" s="1" t="e">
        <f t="shared" si="20"/>
        <v>#N/A</v>
      </c>
      <c r="L19" s="1" t="e">
        <f t="shared" si="21"/>
        <v>#N/A</v>
      </c>
      <c r="T19" s="8" t="s">
        <v>106</v>
      </c>
      <c r="U19" s="38">
        <f ca="1">U4/U18</f>
        <v>-3.2281563587814947E-13</v>
      </c>
      <c r="V19" s="38">
        <f ca="1">U5/U18</f>
        <v>1</v>
      </c>
      <c r="W19" s="38">
        <f ca="1">U6/U18</f>
        <v>2.1306436325997637E-11</v>
      </c>
      <c r="X19" s="37"/>
      <c r="BC19">
        <v>0.59341194567807209</v>
      </c>
      <c r="BD19">
        <v>261.84846497280012</v>
      </c>
      <c r="BE19">
        <v>158.78395741637516</v>
      </c>
      <c r="BF19" s="6">
        <f t="shared" si="0"/>
        <v>0.54510944089491908</v>
      </c>
      <c r="BG19" s="6">
        <f t="shared" si="1"/>
        <v>4.8302504783153011E-2</v>
      </c>
      <c r="BH19" s="6">
        <f t="shared" si="2"/>
        <v>-0.54510944089491908</v>
      </c>
      <c r="BI19" s="6">
        <f t="shared" si="3"/>
        <v>0.54510944089491908</v>
      </c>
      <c r="BJ19">
        <v>290.94273885866681</v>
      </c>
      <c r="BK19">
        <v>176.42661935152796</v>
      </c>
      <c r="BV19" s="37"/>
      <c r="BW19" s="6">
        <f t="shared" si="25"/>
        <v>0.13962634015954636</v>
      </c>
      <c r="BX19" s="9">
        <f t="shared" ca="1" si="26"/>
        <v>125.06840226730625</v>
      </c>
      <c r="BY19" s="9">
        <f t="shared" ca="1" si="27"/>
        <v>178.28190615227842</v>
      </c>
      <c r="BZ19" s="9">
        <f t="shared" ca="1" si="28"/>
        <v>281.83507885571555</v>
      </c>
      <c r="CA19" s="6">
        <f t="shared" ca="1" si="29"/>
        <v>93.869080296981082</v>
      </c>
      <c r="CB19" s="6">
        <f t="shared" ca="1" si="30"/>
        <v>0.3215080121467484</v>
      </c>
      <c r="CC19" s="6">
        <f t="shared" ca="1" si="31"/>
        <v>0.63211857485400758</v>
      </c>
      <c r="CD19" s="9">
        <f t="shared" si="32"/>
        <v>231.83507885571555</v>
      </c>
      <c r="CE19" s="9">
        <f t="shared" si="33"/>
        <v>93.869080296981082</v>
      </c>
      <c r="CF19" s="6">
        <f t="shared" si="34"/>
        <v>0.38471986963214916</v>
      </c>
      <c r="CG19" s="6"/>
      <c r="CH19" s="6"/>
      <c r="CI19" s="6"/>
      <c r="CJ19" s="1"/>
      <c r="CK19" s="6"/>
      <c r="CU19">
        <v>4.4054010752090762E-2</v>
      </c>
      <c r="CV19">
        <v>4.4006073852469338E-2</v>
      </c>
      <c r="CW19">
        <v>4.4030042302280054E-2</v>
      </c>
      <c r="CX19">
        <v>3.7647727469200027E-4</v>
      </c>
      <c r="CY19">
        <v>-4.6374065854109966E-4</v>
      </c>
      <c r="CZ19">
        <v>-4.3468618407200283E-5</v>
      </c>
      <c r="DC19">
        <v>-2.1396940219672893</v>
      </c>
      <c r="DD19">
        <v>5.2121454803514276</v>
      </c>
      <c r="DE19">
        <v>0.60719565248696128</v>
      </c>
      <c r="DF19">
        <v>-0.71309328228293245</v>
      </c>
      <c r="DG19">
        <v>1.5770519063526616</v>
      </c>
      <c r="DH19">
        <v>-0.60719565248696128</v>
      </c>
      <c r="DW19">
        <v>0</v>
      </c>
      <c r="DX19">
        <v>0</v>
      </c>
      <c r="DY19">
        <v>0</v>
      </c>
      <c r="DZ19">
        <v>1</v>
      </c>
    </row>
    <row r="20" spans="1:136" x14ac:dyDescent="0.25">
      <c r="A20">
        <v>6</v>
      </c>
      <c r="B20" s="19">
        <v>0</v>
      </c>
      <c r="C20" s="6">
        <f t="shared" ca="1" si="23"/>
        <v>0</v>
      </c>
      <c r="D20" s="2">
        <v>2.5</v>
      </c>
      <c r="E20" s="2">
        <v>17.5</v>
      </c>
      <c r="G20" s="1">
        <v>8</v>
      </c>
      <c r="H20" s="6">
        <v>1</v>
      </c>
      <c r="I20" s="6">
        <v>0.79</v>
      </c>
      <c r="K20" s="1" t="e">
        <f t="shared" si="20"/>
        <v>#N/A</v>
      </c>
      <c r="L20" s="1" t="e">
        <f t="shared" si="21"/>
        <v>#N/A</v>
      </c>
      <c r="Y20" s="37"/>
      <c r="BC20">
        <v>0.62831853071795873</v>
      </c>
      <c r="BD20">
        <v>260.45879411835659</v>
      </c>
      <c r="BE20">
        <v>160.76918921876779</v>
      </c>
      <c r="BF20" s="6">
        <f t="shared" si="0"/>
        <v>0.55300963650904511</v>
      </c>
      <c r="BG20" s="6">
        <f t="shared" si="1"/>
        <v>7.5308894208913624E-2</v>
      </c>
      <c r="BH20" s="6">
        <f t="shared" si="2"/>
        <v>-0.55300963650904511</v>
      </c>
      <c r="BI20" s="6">
        <f t="shared" si="3"/>
        <v>0.55300963650904511</v>
      </c>
      <c r="BJ20">
        <v>289.39866013150731</v>
      </c>
      <c r="BK20">
        <v>178.63243246529754</v>
      </c>
      <c r="BV20" s="37"/>
      <c r="BW20" s="6">
        <f t="shared" si="25"/>
        <v>0.17453292519943295</v>
      </c>
      <c r="BX20" s="9">
        <f t="shared" ca="1" si="26"/>
        <v>123.05247592118971</v>
      </c>
      <c r="BY20" s="9">
        <f t="shared" ca="1" si="27"/>
        <v>191.08792128974105</v>
      </c>
      <c r="BZ20" s="9">
        <f t="shared" ca="1" si="28"/>
        <v>279.81915250959901</v>
      </c>
      <c r="CA20" s="6">
        <f t="shared" ca="1" si="29"/>
        <v>106.6750954344437</v>
      </c>
      <c r="CB20" s="6">
        <f t="shared" ca="1" si="30"/>
        <v>0.3642202462295836</v>
      </c>
      <c r="CC20" s="6">
        <f t="shared" ca="1" si="31"/>
        <v>0.70354553694791055</v>
      </c>
      <c r="CD20" s="9">
        <f t="shared" si="32"/>
        <v>229.81915250959901</v>
      </c>
      <c r="CE20" s="9">
        <f t="shared" si="33"/>
        <v>106.6750954344437</v>
      </c>
      <c r="CF20" s="6">
        <f t="shared" si="34"/>
        <v>0.43457479992437464</v>
      </c>
      <c r="CG20" s="6"/>
      <c r="CH20" s="6"/>
      <c r="CI20" s="6"/>
      <c r="CJ20" s="1"/>
      <c r="CK20" s="6"/>
      <c r="CU20">
        <v>4.4054010752090762E-2</v>
      </c>
      <c r="CV20">
        <v>4.4030042302280054E-2</v>
      </c>
      <c r="CW20">
        <v>4.4042026527185404E-2</v>
      </c>
      <c r="CX20">
        <v>3.7647727469200027E-4</v>
      </c>
      <c r="CY20">
        <v>-4.3468618407200283E-5</v>
      </c>
      <c r="CZ20">
        <v>1.6654507698020253E-4</v>
      </c>
      <c r="DC20">
        <v>1.1440647655328078</v>
      </c>
      <c r="DD20">
        <v>0.60719565248696128</v>
      </c>
      <c r="DE20">
        <v>0.62309441477705074</v>
      </c>
      <c r="DF20">
        <v>27.234015637164251</v>
      </c>
      <c r="DG20">
        <v>-2.8259405147560726</v>
      </c>
      <c r="DH20">
        <v>-0.62309441477705074</v>
      </c>
      <c r="DV20" t="s">
        <v>193</v>
      </c>
      <c r="DW20">
        <f t="array" aca="1" ref="DW20:DZ20" ca="1">MMULT(DW10:DZ10,DW16:DZ19)</f>
        <v>1876.3505000000002</v>
      </c>
      <c r="DX20">
        <f ca="1"/>
        <v>-557.65574002372307</v>
      </c>
      <c r="DY20">
        <f ca="1"/>
        <v>-1.7053025658242404E-13</v>
      </c>
      <c r="DZ20" s="9">
        <f ca="1"/>
        <v>0</v>
      </c>
      <c r="EB20">
        <f t="array" aca="1" ref="EB20:EE20" ca="1">MMULT(EB10:EE10,DW16:DZ19)</f>
        <v>170.64000000000001</v>
      </c>
      <c r="EC20">
        <f ca="1"/>
        <v>79.384637775120439</v>
      </c>
      <c r="ED20">
        <f ca="1"/>
        <v>39.985438415914871</v>
      </c>
      <c r="EE20" s="9">
        <f ca="1"/>
        <v>0</v>
      </c>
    </row>
    <row r="21" spans="1:136" x14ac:dyDescent="0.25">
      <c r="A21">
        <v>7</v>
      </c>
      <c r="B21" s="19">
        <v>0</v>
      </c>
      <c r="C21" s="6">
        <f t="shared" ca="1" si="23"/>
        <v>0</v>
      </c>
      <c r="D21" s="2">
        <v>8</v>
      </c>
      <c r="E21" s="2">
        <v>17.5</v>
      </c>
      <c r="G21" s="1">
        <v>9</v>
      </c>
      <c r="H21" s="6">
        <v>1.1279999999999999</v>
      </c>
      <c r="I21" s="6">
        <v>1</v>
      </c>
      <c r="K21" s="1" t="e">
        <f t="shared" si="20"/>
        <v>#N/A</v>
      </c>
      <c r="L21" s="1" t="e">
        <f t="shared" si="21"/>
        <v>#N/A</v>
      </c>
      <c r="T21" s="8" t="s">
        <v>107</v>
      </c>
      <c r="U21" s="38">
        <f ca="1">U16-U19</f>
        <v>3.2281563587814947E-13</v>
      </c>
      <c r="V21" s="38">
        <f t="shared" ref="V21:W21" ca="1" si="38">V16-V19</f>
        <v>0</v>
      </c>
      <c r="W21" s="38">
        <f t="shared" ca="1" si="38"/>
        <v>-2.1306436325997637E-11</v>
      </c>
      <c r="BC21">
        <v>0.66322511575784537</v>
      </c>
      <c r="BD21">
        <v>259.14720619787283</v>
      </c>
      <c r="BE21">
        <v>162.51119016133671</v>
      </c>
      <c r="BF21" s="6">
        <f t="shared" si="0"/>
        <v>0.56010793935444514</v>
      </c>
      <c r="BG21" s="6">
        <f t="shared" si="1"/>
        <v>0.10311717640340023</v>
      </c>
      <c r="BH21" s="6">
        <f t="shared" si="2"/>
        <v>-0.56010793935444503</v>
      </c>
      <c r="BI21" s="6">
        <f t="shared" si="3"/>
        <v>0.56010793935444503</v>
      </c>
      <c r="BJ21">
        <v>287.94134021985872</v>
      </c>
      <c r="BK21">
        <v>180.56798906815189</v>
      </c>
      <c r="BV21" s="37"/>
      <c r="BW21" s="6">
        <f t="shared" si="25"/>
        <v>0.20943951023931953</v>
      </c>
      <c r="BX21" s="9">
        <f t="shared" ca="1" si="26"/>
        <v>121.21115584839859</v>
      </c>
      <c r="BY21" s="9">
        <f t="shared" ca="1" si="27"/>
        <v>200.59906281275826</v>
      </c>
      <c r="BZ21" s="9">
        <f t="shared" ca="1" si="28"/>
        <v>277.97783243680789</v>
      </c>
      <c r="CA21" s="6">
        <f t="shared" ca="1" si="29"/>
        <v>116.18623695746092</v>
      </c>
      <c r="CB21" s="6">
        <f t="shared" ca="1" si="30"/>
        <v>0.39590065531976526</v>
      </c>
      <c r="CC21" s="6">
        <f t="shared" ca="1" si="31"/>
        <v>0.75427836765589495</v>
      </c>
      <c r="CD21" s="9">
        <f t="shared" si="32"/>
        <v>227.97783243680789</v>
      </c>
      <c r="CE21" s="9">
        <f t="shared" si="33"/>
        <v>116.18623695746092</v>
      </c>
      <c r="CF21" s="6">
        <f t="shared" si="34"/>
        <v>0.47132849208535477</v>
      </c>
      <c r="CG21" s="6"/>
      <c r="CH21" s="6"/>
      <c r="CI21" s="6"/>
      <c r="CJ21" s="1"/>
      <c r="CK21" s="6"/>
      <c r="CU21">
        <v>4.4042026527185404E-2</v>
      </c>
      <c r="CV21">
        <v>4.4030042302280054E-2</v>
      </c>
      <c r="CW21">
        <v>4.4036034414732729E-2</v>
      </c>
      <c r="CX21">
        <v>1.6654507698020253E-4</v>
      </c>
      <c r="CY21">
        <v>-4.3468618407200283E-5</v>
      </c>
      <c r="CZ21">
        <v>6.1548418749365953E-5</v>
      </c>
      <c r="DC21">
        <v>1.5770519063526616</v>
      </c>
      <c r="DD21">
        <v>0.62309441477705074</v>
      </c>
      <c r="DE21">
        <v>4.2877019886505021</v>
      </c>
      <c r="DF21">
        <v>-1.201490836972434</v>
      </c>
      <c r="DG21">
        <v>2.3256941362759886</v>
      </c>
      <c r="DH21">
        <v>-4.2877019886505021</v>
      </c>
      <c r="DV21" t="s">
        <v>194</v>
      </c>
      <c r="DW21">
        <f t="array" aca="1" ref="DW21:DZ21" ca="1">MMULT(DW11:DZ11,DW16:DZ19)</f>
        <v>0</v>
      </c>
      <c r="DX21">
        <f ca="1"/>
        <v>0</v>
      </c>
      <c r="DY21">
        <f ca="1"/>
        <v>0</v>
      </c>
      <c r="DZ21" s="9">
        <f ca="1"/>
        <v>0</v>
      </c>
      <c r="EB21">
        <f t="array" aca="1" ref="EB21:EE21" ca="1">MMULT(EB11:EE11,DW16:DZ19)</f>
        <v>170.63999999990665</v>
      </c>
      <c r="EC21">
        <f ca="1"/>
        <v>-56.40267982551206</v>
      </c>
      <c r="ED21">
        <f ca="1"/>
        <v>-156.96345938538462</v>
      </c>
      <c r="EE21" s="9">
        <f ca="1"/>
        <v>0</v>
      </c>
    </row>
    <row r="22" spans="1:136" x14ac:dyDescent="0.25">
      <c r="A22">
        <v>8</v>
      </c>
      <c r="B22" s="19">
        <v>0</v>
      </c>
      <c r="C22" s="6">
        <f t="shared" ca="1" si="23"/>
        <v>0</v>
      </c>
      <c r="D22" s="2">
        <v>13.5</v>
      </c>
      <c r="E22" s="2">
        <v>7.5</v>
      </c>
      <c r="G22" s="1">
        <v>10</v>
      </c>
      <c r="H22" s="6">
        <v>1.27</v>
      </c>
      <c r="I22" s="6">
        <v>1.27</v>
      </c>
      <c r="K22" s="1" t="e">
        <f t="shared" si="20"/>
        <v>#N/A</v>
      </c>
      <c r="L22" s="1" t="e">
        <f t="shared" si="21"/>
        <v>#N/A</v>
      </c>
      <c r="U22" s="1" t="s">
        <v>99</v>
      </c>
      <c r="V22" s="1" t="s">
        <v>100</v>
      </c>
      <c r="W22" s="1" t="s">
        <v>101</v>
      </c>
      <c r="BC22">
        <v>0.69813170079773201</v>
      </c>
      <c r="BD22">
        <v>257.94784885923025</v>
      </c>
      <c r="BE22">
        <v>163.99341306443173</v>
      </c>
      <c r="BF22" s="6">
        <f t="shared" si="0"/>
        <v>0.56630080213944289</v>
      </c>
      <c r="BG22" s="6">
        <f t="shared" si="1"/>
        <v>0.13183089865828912</v>
      </c>
      <c r="BH22" s="6">
        <f t="shared" si="2"/>
        <v>-0.56630080213944289</v>
      </c>
      <c r="BI22" s="6">
        <f t="shared" si="3"/>
        <v>0.56630080213944289</v>
      </c>
      <c r="BJ22">
        <v>286.60872095470029</v>
      </c>
      <c r="BK22">
        <v>182.21490340492414</v>
      </c>
      <c r="BV22" s="37"/>
      <c r="BW22" s="6">
        <f t="shared" si="25"/>
        <v>0.24434609527920612</v>
      </c>
      <c r="BX22" s="9">
        <f t="shared" ca="1" si="26"/>
        <v>119.49683596533831</v>
      </c>
      <c r="BY22" s="9">
        <f t="shared" ca="1" si="27"/>
        <v>208.04585226507635</v>
      </c>
      <c r="BZ22" s="9">
        <f t="shared" ca="1" si="28"/>
        <v>276.2635125537476</v>
      </c>
      <c r="CA22" s="6">
        <f t="shared" ca="1" si="29"/>
        <v>123.63302640977901</v>
      </c>
      <c r="CB22" s="6">
        <f t="shared" ca="1" si="30"/>
        <v>0.42078837439411593</v>
      </c>
      <c r="CC22" s="6">
        <f t="shared" ca="1" si="31"/>
        <v>0.79295716003462469</v>
      </c>
      <c r="CD22" s="9">
        <f t="shared" si="32"/>
        <v>226.2635125537476</v>
      </c>
      <c r="CE22" s="9">
        <f t="shared" si="33"/>
        <v>123.63302640977899</v>
      </c>
      <c r="CF22" s="6">
        <f t="shared" si="34"/>
        <v>0.5000840903975784</v>
      </c>
      <c r="CG22" s="6"/>
      <c r="CH22" s="6"/>
      <c r="CI22" s="6"/>
      <c r="CJ22" s="1"/>
      <c r="CK22" s="6"/>
      <c r="CU22">
        <v>4.4036034414732729E-2</v>
      </c>
      <c r="CV22">
        <v>4.4030042302280054E-2</v>
      </c>
      <c r="CW22">
        <v>4.4033038358506388E-2</v>
      </c>
      <c r="CX22">
        <v>6.1548418749365953E-5</v>
      </c>
      <c r="CY22">
        <v>-4.3468618407200283E-5</v>
      </c>
      <c r="CZ22">
        <v>9.0424479508520174E-6</v>
      </c>
      <c r="DC22">
        <v>-2.8259405147560726</v>
      </c>
      <c r="DD22">
        <v>4.2877019886505021</v>
      </c>
      <c r="DE22">
        <v>2.0242293896168562</v>
      </c>
      <c r="DF22">
        <v>-2.2759871947340873</v>
      </c>
      <c r="DG22">
        <v>0.64962899906876426</v>
      </c>
      <c r="DH22">
        <v>-2.0242293896168562</v>
      </c>
      <c r="EB22">
        <f t="array" aca="1" ref="EB22:EE22" ca="1">MMULT(EB12:EE12,DW16:DZ19)</f>
        <v>170.63999999990665</v>
      </c>
      <c r="EC22">
        <f ca="1"/>
        <v>80.662982457755064</v>
      </c>
      <c r="ED22">
        <f ca="1"/>
        <v>33.030883442922004</v>
      </c>
      <c r="EE22">
        <f ca="1"/>
        <v>0</v>
      </c>
    </row>
    <row r="23" spans="1:136" x14ac:dyDescent="0.25">
      <c r="A23">
        <v>9</v>
      </c>
      <c r="B23" s="19">
        <v>0</v>
      </c>
      <c r="C23" s="6">
        <f t="shared" ca="1" si="23"/>
        <v>0</v>
      </c>
      <c r="D23" s="2">
        <v>13.5</v>
      </c>
      <c r="E23" s="2">
        <v>12.5</v>
      </c>
      <c r="G23" s="1">
        <v>11</v>
      </c>
      <c r="H23" s="6">
        <v>1.41</v>
      </c>
      <c r="I23" s="6">
        <v>1.56</v>
      </c>
      <c r="K23" s="1" t="e">
        <f t="shared" si="20"/>
        <v>#N/A</v>
      </c>
      <c r="L23" s="1" t="e">
        <f t="shared" si="21"/>
        <v>#N/A</v>
      </c>
      <c r="T23" s="8" t="s">
        <v>108</v>
      </c>
      <c r="U23" s="38">
        <f ca="1">SQRT(POWER(U21,2)+POWER(V21,2)+POWER(W21,2))</f>
        <v>2.1308881689299397E-11</v>
      </c>
      <c r="V23" t="str">
        <f ca="1">IF(ABS(U23)&lt;=L1,"","NG")</f>
        <v/>
      </c>
      <c r="BC23">
        <v>0.73303828583761865</v>
      </c>
      <c r="BD23">
        <v>256.84433020161521</v>
      </c>
      <c r="BE23">
        <v>165.26376504250348</v>
      </c>
      <c r="BF23" s="6">
        <f t="shared" si="0"/>
        <v>0.57174937409789828</v>
      </c>
      <c r="BG23" s="6">
        <f t="shared" si="1"/>
        <v>0.16128891173972038</v>
      </c>
      <c r="BH23" s="6">
        <f t="shared" si="2"/>
        <v>-0.57174937409789828</v>
      </c>
      <c r="BI23" s="6">
        <f t="shared" si="3"/>
        <v>0.57174937409789828</v>
      </c>
      <c r="BJ23">
        <v>285.3825891129058</v>
      </c>
      <c r="BK23">
        <v>183.62640560278163</v>
      </c>
      <c r="BV23" s="37"/>
      <c r="BW23" s="6">
        <f t="shared" si="25"/>
        <v>0.27925268031909273</v>
      </c>
      <c r="BX23" s="9">
        <f t="shared" ca="1" si="26"/>
        <v>117.87790141540543</v>
      </c>
      <c r="BY23" s="9">
        <f t="shared" ca="1" si="27"/>
        <v>214.10059288873549</v>
      </c>
      <c r="BZ23" s="9">
        <f t="shared" ca="1" si="28"/>
        <v>274.64457800381473</v>
      </c>
      <c r="CA23" s="6">
        <f t="shared" ca="1" si="29"/>
        <v>129.68776703343815</v>
      </c>
      <c r="CB23" s="6">
        <f t="shared" ca="1" si="30"/>
        <v>0.44116308820922867</v>
      </c>
      <c r="CC23" s="6">
        <f t="shared" ca="1" si="31"/>
        <v>0.82399494297952025</v>
      </c>
      <c r="CD23" s="9">
        <f t="shared" si="32"/>
        <v>224.64457800381473</v>
      </c>
      <c r="CE23" s="9">
        <f t="shared" si="33"/>
        <v>129.68776703343815</v>
      </c>
      <c r="CF23" s="6">
        <f t="shared" si="34"/>
        <v>0.52356258250718068</v>
      </c>
      <c r="CG23" s="6"/>
      <c r="CH23" s="6"/>
      <c r="CI23" s="6"/>
      <c r="CJ23" s="1"/>
      <c r="CK23" s="6"/>
      <c r="CU23">
        <v>4.4033038358506388E-2</v>
      </c>
      <c r="CV23">
        <v>4.4030042302280054E-2</v>
      </c>
      <c r="CW23">
        <v>4.4031540330393221E-2</v>
      </c>
      <c r="CX23">
        <v>9.0424479508520174E-6</v>
      </c>
      <c r="CY23">
        <v>-4.3468618407200283E-5</v>
      </c>
      <c r="CZ23">
        <v>-1.721244804299012E-5</v>
      </c>
      <c r="DC23">
        <v>2.3256941362759886</v>
      </c>
      <c r="DD23">
        <v>2.0242293896168562</v>
      </c>
      <c r="DE23">
        <v>0.55746108707301389</v>
      </c>
      <c r="DF23">
        <v>1.1426924990814125</v>
      </c>
      <c r="DG23">
        <v>1.2622396340661136E-2</v>
      </c>
      <c r="DH23">
        <v>-0.55746108707301389</v>
      </c>
      <c r="DV23" t="s">
        <v>201</v>
      </c>
    </row>
    <row r="24" spans="1:136" ht="15.75" thickBot="1" x14ac:dyDescent="0.3">
      <c r="A24">
        <v>10</v>
      </c>
      <c r="B24" s="19">
        <v>0</v>
      </c>
      <c r="C24" s="11">
        <f t="shared" ca="1" si="23"/>
        <v>0</v>
      </c>
      <c r="D24" s="2">
        <v>13.5</v>
      </c>
      <c r="E24" s="2">
        <v>17.5</v>
      </c>
      <c r="G24" s="1">
        <v>14</v>
      </c>
      <c r="H24" s="6">
        <v>1.6930000000000001</v>
      </c>
      <c r="I24" s="6">
        <v>2.25</v>
      </c>
      <c r="K24" s="1" t="e">
        <f t="shared" si="20"/>
        <v>#N/A</v>
      </c>
      <c r="L24" s="1" t="e">
        <f t="shared" si="21"/>
        <v>#N/A</v>
      </c>
      <c r="BC24">
        <v>0.76794487087750529</v>
      </c>
      <c r="BD24">
        <v>255.82321226751338</v>
      </c>
      <c r="BE24">
        <v>166.35949750828902</v>
      </c>
      <c r="BF24" s="6">
        <f t="shared" si="0"/>
        <v>0.57657966660196902</v>
      </c>
      <c r="BG24" s="6">
        <f t="shared" si="1"/>
        <v>0.19136520427553627</v>
      </c>
      <c r="BH24" s="6">
        <f t="shared" si="2"/>
        <v>-0.57657966660196902</v>
      </c>
      <c r="BI24" s="6">
        <f t="shared" si="3"/>
        <v>0.57657966660196902</v>
      </c>
      <c r="BJ24">
        <v>284.24801363057043</v>
      </c>
      <c r="BK24">
        <v>184.84388612032114</v>
      </c>
      <c r="BV24" s="37"/>
      <c r="BW24" s="6">
        <f t="shared" si="25"/>
        <v>0.31415926535897931</v>
      </c>
      <c r="BX24" s="9">
        <f t="shared" ca="1" si="26"/>
        <v>116.33183138955522</v>
      </c>
      <c r="BY24" s="9">
        <f t="shared" ca="1" si="27"/>
        <v>219.16575001496028</v>
      </c>
      <c r="BZ24" s="9">
        <f t="shared" ca="1" si="28"/>
        <v>273.09850797796452</v>
      </c>
      <c r="CA24" s="6">
        <f t="shared" ca="1" si="29"/>
        <v>134.75292415966294</v>
      </c>
      <c r="CB24" s="6">
        <f t="shared" ca="1" si="30"/>
        <v>0.45837170527742616</v>
      </c>
      <c r="CC24" s="6">
        <f t="shared" ca="1" si="31"/>
        <v>0.84988462947071008</v>
      </c>
      <c r="CD24" s="9">
        <f t="shared" si="32"/>
        <v>223.09850797796452</v>
      </c>
      <c r="CE24" s="9">
        <f t="shared" si="33"/>
        <v>134.75292415966294</v>
      </c>
      <c r="CF24" s="6">
        <f t="shared" si="34"/>
        <v>0.54336016822449718</v>
      </c>
      <c r="CG24" s="6"/>
      <c r="CH24" s="6"/>
      <c r="CI24" s="6"/>
      <c r="CJ24" s="1"/>
      <c r="CK24" s="6"/>
      <c r="CU24">
        <v>4.4033038358506388E-2</v>
      </c>
      <c r="CV24">
        <v>4.4031540330393221E-2</v>
      </c>
      <c r="CW24">
        <v>4.4032289344449804E-2</v>
      </c>
      <c r="CX24">
        <v>9.0424479508520174E-6</v>
      </c>
      <c r="CY24">
        <v>-1.721244804299012E-5</v>
      </c>
      <c r="CZ24">
        <v>-4.084841047391534E-6</v>
      </c>
      <c r="DC24">
        <v>0.64962899906876426</v>
      </c>
      <c r="DD24">
        <v>0.55746108707301389</v>
      </c>
      <c r="DE24">
        <v>5.9811814836283439</v>
      </c>
      <c r="DF24">
        <v>-0.11744827464422275</v>
      </c>
      <c r="DG24">
        <v>0.71510184192678261</v>
      </c>
      <c r="DH24">
        <v>-5.9811814836283439</v>
      </c>
      <c r="DV24" t="s">
        <v>197</v>
      </c>
      <c r="DW24">
        <f ca="1">ATAN2(DW20,DX20)</f>
        <v>-0.2888881523097489</v>
      </c>
    </row>
    <row r="25" spans="1:136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0.80285145591739193</v>
      </c>
      <c r="BD25">
        <v>254.87336733741378</v>
      </c>
      <c r="BE25">
        <v>167.30992141114436</v>
      </c>
      <c r="BF25" s="6">
        <f t="shared" si="0"/>
        <v>0.58089147306657618</v>
      </c>
      <c r="BG25" s="6">
        <f t="shared" si="1"/>
        <v>0.22195998285081575</v>
      </c>
      <c r="BH25" s="6">
        <f t="shared" si="2"/>
        <v>-0.58089147306657618</v>
      </c>
      <c r="BI25" s="6">
        <f t="shared" si="3"/>
        <v>0.58089147306657618</v>
      </c>
      <c r="BJ25">
        <v>283.19263037490418</v>
      </c>
      <c r="BK25">
        <v>185.89991267904929</v>
      </c>
      <c r="BV25" s="37"/>
      <c r="BW25" s="6">
        <f t="shared" si="25"/>
        <v>0.3490658503988659</v>
      </c>
      <c r="BX25" s="9">
        <f t="shared" ca="1" si="26"/>
        <v>114.84168203735143</v>
      </c>
      <c r="BY25" s="9">
        <f t="shared" ca="1" si="27"/>
        <v>223.49895111724896</v>
      </c>
      <c r="BZ25" s="9">
        <f t="shared" ca="1" si="28"/>
        <v>271.60835862576073</v>
      </c>
      <c r="CA25" s="6">
        <f t="shared" ca="1" si="29"/>
        <v>139.08612526195162</v>
      </c>
      <c r="CB25" s="6">
        <f t="shared" ca="1" si="30"/>
        <v>0.47326751530640743</v>
      </c>
      <c r="CC25" s="6">
        <f t="shared" ca="1" si="31"/>
        <v>0.87214556667799203</v>
      </c>
      <c r="CD25" s="9">
        <f t="shared" si="32"/>
        <v>221.60835862576073</v>
      </c>
      <c r="CE25" s="9">
        <f t="shared" si="33"/>
        <v>139.08612526195162</v>
      </c>
      <c r="CF25" s="6">
        <f t="shared" si="34"/>
        <v>0.56048207197420663</v>
      </c>
      <c r="CG25" s="6"/>
      <c r="CH25" s="6"/>
      <c r="CI25" s="6"/>
      <c r="CJ25" s="1"/>
      <c r="CK25" s="6"/>
      <c r="CU25">
        <v>4.4033038358506388E-2</v>
      </c>
      <c r="CV25">
        <v>4.4032289344449804E-2</v>
      </c>
      <c r="CW25">
        <v>4.4032663851478096E-2</v>
      </c>
      <c r="CX25">
        <v>9.0424479508520174E-6</v>
      </c>
      <c r="CY25">
        <v>-4.084841047391534E-6</v>
      </c>
      <c r="CZ25">
        <v>2.4788432509599804E-6</v>
      </c>
      <c r="DC25">
        <v>1.2622396340661136E-2</v>
      </c>
      <c r="DD25">
        <v>5.9811814836283439</v>
      </c>
      <c r="DE25">
        <v>0.56903413693026417</v>
      </c>
      <c r="DF25">
        <v>-0.12979680717944611</v>
      </c>
      <c r="DG25">
        <v>0.78896065607644272</v>
      </c>
      <c r="DH25">
        <v>-0.56903413693026417</v>
      </c>
      <c r="DV25" t="s">
        <v>198</v>
      </c>
      <c r="DW25">
        <v>0</v>
      </c>
      <c r="DX25">
        <v>0</v>
      </c>
      <c r="DY25">
        <v>1</v>
      </c>
    </row>
    <row r="26" spans="1:136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0.83775804095727857</v>
      </c>
      <c r="BD26">
        <v>253.9854950024673</v>
      </c>
      <c r="BE26">
        <v>168.13834750535517</v>
      </c>
      <c r="BF26" s="6">
        <f t="shared" si="0"/>
        <v>0.58476473464417711</v>
      </c>
      <c r="BG26" s="6">
        <f t="shared" si="1"/>
        <v>0.25299330631310146</v>
      </c>
      <c r="BH26" s="6">
        <f t="shared" si="2"/>
        <v>-0.58476473464417711</v>
      </c>
      <c r="BI26" s="6">
        <f t="shared" si="3"/>
        <v>0.58476473464417711</v>
      </c>
      <c r="BJ26">
        <v>282.206105558297</v>
      </c>
      <c r="BK26">
        <v>186.8203861170613</v>
      </c>
      <c r="BV26" s="37"/>
      <c r="BW26" s="6">
        <f t="shared" si="25"/>
        <v>0.38397243543875248</v>
      </c>
      <c r="BX26" s="9">
        <f t="shared" ca="1" si="26"/>
        <v>113.39411479007029</v>
      </c>
      <c r="BY26" s="9">
        <f t="shared" ca="1" si="27"/>
        <v>227.27381273754509</v>
      </c>
      <c r="BZ26" s="9">
        <f t="shared" ca="1" si="28"/>
        <v>270.16079137847959</v>
      </c>
      <c r="CA26" s="6">
        <f t="shared" ca="1" si="29"/>
        <v>142.86098688224774</v>
      </c>
      <c r="CB26" s="6">
        <f t="shared" ca="1" si="30"/>
        <v>0.48642115855465862</v>
      </c>
      <c r="CC26" s="6">
        <f t="shared" ca="1" si="31"/>
        <v>0.89176069806395697</v>
      </c>
      <c r="CD26" s="9">
        <f t="shared" si="32"/>
        <v>220.16079137847959</v>
      </c>
      <c r="CE26" s="9">
        <f t="shared" si="33"/>
        <v>142.86098688224774</v>
      </c>
      <c r="CF26" s="6">
        <f t="shared" si="34"/>
        <v>0.57559722836105431</v>
      </c>
      <c r="CG26" s="6"/>
      <c r="CH26" s="6"/>
      <c r="CI26" s="6"/>
      <c r="CJ26" s="1"/>
      <c r="CK26" s="6"/>
      <c r="CU26">
        <v>4.4032663851478096E-2</v>
      </c>
      <c r="CV26">
        <v>4.4032289344449804E-2</v>
      </c>
      <c r="CW26">
        <v>4.403247659796395E-2</v>
      </c>
      <c r="CX26">
        <v>2.4788432509599804E-6</v>
      </c>
      <c r="CY26">
        <v>-4.084841047391534E-6</v>
      </c>
      <c r="CZ26">
        <v>-8.0298914294817893E-7</v>
      </c>
      <c r="DC26">
        <v>0.71510184192678261</v>
      </c>
      <c r="DD26">
        <v>0.56903413693026417</v>
      </c>
      <c r="DE26">
        <v>0.57923223685982994</v>
      </c>
      <c r="DF26">
        <v>7.2424093370111695</v>
      </c>
      <c r="DG26">
        <v>2.8771090027245312</v>
      </c>
      <c r="DH26">
        <v>-0.57923223685982994</v>
      </c>
      <c r="DW26">
        <f ca="1">(DW25*DW25*(1-COS(DW24)))+COS(DW24)</f>
        <v>0.95856121847518538</v>
      </c>
      <c r="DX26">
        <f ca="1">(DX25*DW25*(1-COS(DW24)))-(DY25*SIN(DW24))</f>
        <v>0.28488662733685477</v>
      </c>
      <c r="DY26">
        <f ca="1">(DY25*DW25*(1-COS(DW24)))+(DX25*SIN(DW24))</f>
        <v>0</v>
      </c>
      <c r="DZ26">
        <v>0</v>
      </c>
    </row>
    <row r="27" spans="1:136" x14ac:dyDescent="0.25">
      <c r="A27" s="8" t="s">
        <v>15</v>
      </c>
      <c r="B27" s="32">
        <v>4.4032522417015357E-2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v>1E-3</v>
      </c>
      <c r="I27" s="6">
        <f>IF(F26="web",(B5*F27)*H27,G12*H27)</f>
        <v>0.26400000000000001</v>
      </c>
      <c r="BC27">
        <v>0.87266462599716521</v>
      </c>
      <c r="BD27">
        <v>253.15175498394476</v>
      </c>
      <c r="BE27">
        <v>168.86349441845954</v>
      </c>
      <c r="BF27" s="6">
        <f t="shared" si="0"/>
        <v>0.58826415834391432</v>
      </c>
      <c r="BG27" s="6">
        <f t="shared" si="1"/>
        <v>0.28440046765325089</v>
      </c>
      <c r="BH27" s="6">
        <f t="shared" si="2"/>
        <v>-0.58826415834391432</v>
      </c>
      <c r="BI27" s="6">
        <f t="shared" si="3"/>
        <v>0.58826415834391432</v>
      </c>
      <c r="BJ27">
        <v>281.27972775993862</v>
      </c>
      <c r="BK27">
        <v>187.62610490939949</v>
      </c>
      <c r="BV27" s="37"/>
      <c r="BW27" s="6">
        <f t="shared" si="25"/>
        <v>0.41887902047863906</v>
      </c>
      <c r="BX27" s="9">
        <f t="shared" ca="1" si="26"/>
        <v>111.97820676282211</v>
      </c>
      <c r="BY27" s="9">
        <f t="shared" ca="1" si="27"/>
        <v>230.61221523747733</v>
      </c>
      <c r="BZ27" s="9">
        <f t="shared" ca="1" si="28"/>
        <v>268.74488335123141</v>
      </c>
      <c r="CA27" s="6">
        <f t="shared" ca="1" si="29"/>
        <v>146.19938938217999</v>
      </c>
      <c r="CB27" s="6">
        <f t="shared" ca="1" si="30"/>
        <v>0.49823125597728835</v>
      </c>
      <c r="CC27" s="6">
        <f t="shared" ca="1" si="31"/>
        <v>0.90939766166976521</v>
      </c>
      <c r="CD27" s="9">
        <f t="shared" si="32"/>
        <v>218.74488335123141</v>
      </c>
      <c r="CE27" s="9">
        <f t="shared" si="33"/>
        <v>146.19938938217999</v>
      </c>
      <c r="CF27" s="6">
        <f t="shared" si="34"/>
        <v>0.58917102214426487</v>
      </c>
      <c r="CG27" s="6"/>
      <c r="CH27" s="6"/>
      <c r="CI27" s="6"/>
      <c r="CJ27" s="1"/>
      <c r="CK27" s="6"/>
      <c r="CU27">
        <v>4.4032663851478096E-2</v>
      </c>
      <c r="CV27">
        <v>4.403247659796395E-2</v>
      </c>
      <c r="CW27">
        <v>4.4032570224721027E-2</v>
      </c>
      <c r="CX27">
        <v>2.4788432509599804E-6</v>
      </c>
      <c r="CY27">
        <v>-8.0298914294817893E-7</v>
      </c>
      <c r="CZ27">
        <v>8.3792973387573871E-7</v>
      </c>
      <c r="DC27">
        <v>0.78896065607644272</v>
      </c>
      <c r="DD27">
        <v>0.57923223685982994</v>
      </c>
      <c r="DE27">
        <v>3.0901800852703563</v>
      </c>
      <c r="DF27">
        <v>0.83161756942499732</v>
      </c>
      <c r="DG27">
        <v>0.30726095112646662</v>
      </c>
      <c r="DH27">
        <v>-3.0901800852703563</v>
      </c>
      <c r="DW27">
        <f ca="1">(DW25*DX25*(1-COS(DW24)))+(DY25*SIN(DW24))</f>
        <v>-0.28488662733685477</v>
      </c>
      <c r="DX27">
        <f ca="1">(DX25*DX25*(1-COS(DW24)))+COS(DW24)</f>
        <v>0.95856121847518538</v>
      </c>
      <c r="DY27">
        <f ca="1">(DY25*DX25*(1-COS(DW24)))-(DW25*SIN(DW24))</f>
        <v>0</v>
      </c>
      <c r="DZ27">
        <v>0</v>
      </c>
    </row>
    <row r="28" spans="1:136" x14ac:dyDescent="0.25">
      <c r="A28" s="8" t="s">
        <v>17</v>
      </c>
      <c r="B28" s="32">
        <v>2.4760290913174838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1.056</v>
      </c>
      <c r="BC28">
        <v>0.90757121103705185</v>
      </c>
      <c r="BD28">
        <v>252.36548452049394</v>
      </c>
      <c r="BE28">
        <v>169.50052495238629</v>
      </c>
      <c r="BF28" s="6">
        <f t="shared" si="0"/>
        <v>0.59144261771677464</v>
      </c>
      <c r="BG28" s="6">
        <f t="shared" si="1"/>
        <v>0.31612859332027721</v>
      </c>
      <c r="BH28" s="6">
        <f t="shared" si="2"/>
        <v>-0.59144261771677464</v>
      </c>
      <c r="BI28" s="6">
        <f t="shared" si="3"/>
        <v>0.59144261771677464</v>
      </c>
      <c r="BJ28">
        <v>280.40609391165992</v>
      </c>
      <c r="BK28">
        <v>188.33391661376254</v>
      </c>
      <c r="BV28" s="37"/>
      <c r="BW28" s="6">
        <f t="shared" si="25"/>
        <v>0.45378560551852565</v>
      </c>
      <c r="BX28" s="9">
        <f t="shared" ca="1" si="26"/>
        <v>110.58468803052344</v>
      </c>
      <c r="BY28" s="9">
        <f t="shared" ca="1" si="27"/>
        <v>233.60262261250381</v>
      </c>
      <c r="BZ28" s="9">
        <f t="shared" ca="1" si="28"/>
        <v>267.35136461893273</v>
      </c>
      <c r="CA28" s="6">
        <f t="shared" ca="1" si="29"/>
        <v>149.18979675720647</v>
      </c>
      <c r="CB28" s="6">
        <f t="shared" ca="1" si="30"/>
        <v>0.508986553432342</v>
      </c>
      <c r="CC28" s="6">
        <f t="shared" ca="1" si="31"/>
        <v>0.92552896791414097</v>
      </c>
      <c r="CD28" s="9">
        <f t="shared" si="32"/>
        <v>217.35136461893273</v>
      </c>
      <c r="CE28" s="9">
        <f t="shared" si="33"/>
        <v>149.18979675720647</v>
      </c>
      <c r="CF28" s="6">
        <f t="shared" si="34"/>
        <v>0.6015394502237561</v>
      </c>
      <c r="CG28" s="6"/>
      <c r="CH28" s="6"/>
      <c r="CI28" s="6"/>
      <c r="CJ28" s="1"/>
      <c r="CK28" s="6"/>
      <c r="CU28">
        <v>4.4032570224721027E-2</v>
      </c>
      <c r="CV28">
        <v>4.403247659796395E-2</v>
      </c>
      <c r="CW28">
        <v>4.4032523411342492E-2</v>
      </c>
      <c r="CX28">
        <v>8.3792973387573871E-7</v>
      </c>
      <c r="CY28">
        <v>-8.0298914294817893E-7</v>
      </c>
      <c r="CZ28">
        <v>1.7470869579858443E-8</v>
      </c>
      <c r="DC28">
        <v>2.8771090027245312</v>
      </c>
      <c r="DD28">
        <v>3.0901800852703563</v>
      </c>
      <c r="DE28">
        <v>0.45517631781202866</v>
      </c>
      <c r="DF28">
        <v>0.97527300846210518</v>
      </c>
      <c r="DG28">
        <v>-0.13666022572677389</v>
      </c>
      <c r="DH28">
        <v>-0.45517631781202866</v>
      </c>
      <c r="DW28">
        <f ca="1">(DW25*DY25*(1-COS(DW24)))-(DX25*SIN(DW24))</f>
        <v>0</v>
      </c>
      <c r="DX28">
        <f ca="1">(DX25*DY25*(1-COS(DW24)))+(DW25*SIN(DW24))</f>
        <v>0</v>
      </c>
      <c r="DY28">
        <f ca="1">(DY25*DY25*(1-COS(DW24)))+COS(DW24)</f>
        <v>1</v>
      </c>
      <c r="DZ28">
        <v>0</v>
      </c>
    </row>
    <row r="29" spans="1:136" x14ac:dyDescent="0.25">
      <c r="A29" s="8" t="s">
        <v>18</v>
      </c>
      <c r="B29" s="6">
        <f>B28*B4</f>
        <v>1.980823273053987</v>
      </c>
      <c r="C29" t="s">
        <v>4</v>
      </c>
      <c r="G29" s="1" t="s">
        <v>84</v>
      </c>
      <c r="H29" s="21" t="s">
        <v>85</v>
      </c>
      <c r="I29" s="7">
        <v>5</v>
      </c>
      <c r="BC29">
        <v>0.94247779607693849</v>
      </c>
      <c r="BD29">
        <v>251.62097838084782</v>
      </c>
      <c r="BE29">
        <v>170.06181861160525</v>
      </c>
      <c r="BF29" s="6">
        <f t="shared" si="0"/>
        <v>0.59434369135948262</v>
      </c>
      <c r="BG29" s="6">
        <f t="shared" si="1"/>
        <v>0.34813410471745587</v>
      </c>
      <c r="BH29" s="6">
        <f t="shared" si="2"/>
        <v>-0.59434369135948262</v>
      </c>
      <c r="BI29" s="6">
        <f t="shared" si="3"/>
        <v>0.59434369135948262</v>
      </c>
      <c r="BJ29">
        <v>279.57886486760867</v>
      </c>
      <c r="BK29">
        <v>188.95757623511693</v>
      </c>
      <c r="BV29" s="37"/>
      <c r="BW29" s="6">
        <f t="shared" si="25"/>
        <v>0.48869219055841223</v>
      </c>
      <c r="BX29" s="9">
        <f t="shared" ca="1" si="26"/>
        <v>109.20542555536829</v>
      </c>
      <c r="BY29" s="9">
        <f t="shared" ca="1" si="27"/>
        <v>236.31106031919015</v>
      </c>
      <c r="BZ29" s="9">
        <f t="shared" ca="1" si="28"/>
        <v>265.97210214377759</v>
      </c>
      <c r="CA29" s="6">
        <f t="shared" ca="1" si="29"/>
        <v>151.89823446389281</v>
      </c>
      <c r="CB29" s="6">
        <f t="shared" ca="1" si="30"/>
        <v>0.51890282928376619</v>
      </c>
      <c r="CC29" s="6">
        <f t="shared" ca="1" si="31"/>
        <v>0.94050128116590193</v>
      </c>
      <c r="CD29" s="9">
        <f t="shared" si="32"/>
        <v>215.97210214377759</v>
      </c>
      <c r="CE29" s="9">
        <f t="shared" si="33"/>
        <v>151.89823446389281</v>
      </c>
      <c r="CF29" s="6">
        <f t="shared" si="34"/>
        <v>0.61295295740035638</v>
      </c>
      <c r="CG29" s="6"/>
      <c r="CH29" s="6"/>
      <c r="CI29" s="6"/>
      <c r="CJ29" s="1"/>
      <c r="CK29" s="6"/>
      <c r="CU29">
        <v>4.4032523411342492E-2</v>
      </c>
      <c r="CV29">
        <v>4.403247659796395E-2</v>
      </c>
      <c r="CW29">
        <v>4.4032500004653224E-2</v>
      </c>
      <c r="CX29">
        <v>1.7470869579858443E-8</v>
      </c>
      <c r="CY29">
        <v>-8.0298914294817893E-7</v>
      </c>
      <c r="CZ29">
        <v>-3.9275855672872138E-7</v>
      </c>
      <c r="DC29">
        <v>0.30726095112646662</v>
      </c>
      <c r="DD29">
        <v>0.45517631781202866</v>
      </c>
      <c r="DE29">
        <v>5.392699885684296</v>
      </c>
      <c r="DF29">
        <v>-8.990765730046732E-2</v>
      </c>
      <c r="DG29">
        <v>0.34818478751959903</v>
      </c>
      <c r="DH29">
        <v>-5.392699885684296</v>
      </c>
      <c r="DW29">
        <v>0</v>
      </c>
      <c r="DX29">
        <v>0</v>
      </c>
      <c r="DY29">
        <v>0</v>
      </c>
      <c r="DZ29">
        <v>1</v>
      </c>
      <c r="EF29" t="s">
        <v>205</v>
      </c>
    </row>
    <row r="30" spans="1:136" x14ac:dyDescent="0.25">
      <c r="A30" s="8" t="s">
        <v>102</v>
      </c>
      <c r="B30" s="1">
        <v>3.0000000000000001E-3</v>
      </c>
      <c r="BC30">
        <v>0.97738438111682513</v>
      </c>
      <c r="BD30">
        <v>250.91331582907483</v>
      </c>
      <c r="BE30">
        <v>170.55755429048259</v>
      </c>
      <c r="BF30" s="6">
        <f t="shared" si="0"/>
        <v>0.59700358156254218</v>
      </c>
      <c r="BG30" s="6">
        <f t="shared" si="1"/>
        <v>0.38038079955428294</v>
      </c>
      <c r="BH30" s="6">
        <f t="shared" si="2"/>
        <v>-0.59700358156254218</v>
      </c>
      <c r="BI30" s="6">
        <f t="shared" si="3"/>
        <v>0.59700358156254218</v>
      </c>
      <c r="BJ30">
        <v>278.79257314341646</v>
      </c>
      <c r="BK30">
        <v>189.50839365609176</v>
      </c>
      <c r="BV30" s="37"/>
      <c r="BW30" s="6">
        <f t="shared" si="25"/>
        <v>0.52359877559829882</v>
      </c>
      <c r="BX30" s="9">
        <f t="shared" ca="1" si="26"/>
        <v>107.83305566317497</v>
      </c>
      <c r="BY30" s="9">
        <f t="shared" ca="1" si="27"/>
        <v>238.7879936279254</v>
      </c>
      <c r="BZ30" s="9">
        <f t="shared" ca="1" si="28"/>
        <v>264.59973225158427</v>
      </c>
      <c r="CA30" s="6">
        <f t="shared" ca="1" si="29"/>
        <v>154.37516777262806</v>
      </c>
      <c r="CB30" s="6">
        <f t="shared" ca="1" si="30"/>
        <v>0.5281458535371184</v>
      </c>
      <c r="CC30" s="6">
        <f t="shared" ca="1" si="31"/>
        <v>0.95457738189785635</v>
      </c>
      <c r="CD30" s="9">
        <f t="shared" si="32"/>
        <v>214.59973225158427</v>
      </c>
      <c r="CE30" s="9">
        <f t="shared" si="33"/>
        <v>154.37516777262806</v>
      </c>
      <c r="CF30" s="6">
        <f t="shared" si="34"/>
        <v>0.62360359172690405</v>
      </c>
      <c r="CG30" s="6"/>
      <c r="CH30" s="6"/>
      <c r="CI30" s="6"/>
      <c r="CJ30" s="1"/>
      <c r="CK30" s="6"/>
      <c r="CU30">
        <v>4.4032523411342492E-2</v>
      </c>
      <c r="CV30">
        <v>4.4032500004653224E-2</v>
      </c>
      <c r="CW30">
        <v>4.4032511707997858E-2</v>
      </c>
      <c r="CX30">
        <v>1.7470869579858443E-8</v>
      </c>
      <c r="CY30">
        <v>-3.9275855672872138E-7</v>
      </c>
      <c r="CZ30">
        <v>-1.8764379377416421E-7</v>
      </c>
      <c r="DC30">
        <v>-0.13666022572677389</v>
      </c>
      <c r="DD30">
        <v>5.392699885684296</v>
      </c>
      <c r="DE30">
        <v>0.47291494293256214</v>
      </c>
      <c r="DF30">
        <v>-9.8550042103098395E-2</v>
      </c>
      <c r="DG30">
        <v>0.39479057505678739</v>
      </c>
      <c r="DH30">
        <v>-0.47291494293256214</v>
      </c>
      <c r="DV30" t="s">
        <v>193</v>
      </c>
      <c r="DW30">
        <f t="array" aca="1" ref="DW30:DZ30" ca="1">MMULT(DW20:DZ20,DW26:DZ29)</f>
        <v>1957.46548455692</v>
      </c>
      <c r="DX30">
        <f ca="1"/>
        <v>0</v>
      </c>
      <c r="DY30">
        <f ca="1"/>
        <v>-1.7053025658242404E-13</v>
      </c>
      <c r="DZ30" s="9">
        <f ca="1"/>
        <v>0</v>
      </c>
      <c r="EB30">
        <f t="array" aca="1" ref="EB30:EE30" ca="1">MMULT(EB20:EE20,DW26:DZ29)</f>
        <v>140.95326460249373</v>
      </c>
      <c r="EC30">
        <f ca="1"/>
        <v>124.70808920269158</v>
      </c>
      <c r="ED30">
        <f ca="1"/>
        <v>39.985438415914871</v>
      </c>
      <c r="EE30" s="9">
        <f ca="1"/>
        <v>0</v>
      </c>
      <c r="EF30">
        <f ca="1">ATAN2(EC30,ED30)</f>
        <v>0.31027638378466199</v>
      </c>
    </row>
    <row r="31" spans="1:136" x14ac:dyDescent="0.25">
      <c r="A31" s="8" t="s">
        <v>49</v>
      </c>
      <c r="B31" s="1">
        <f>B2*0.85</f>
        <v>4.25</v>
      </c>
      <c r="C31" t="s">
        <v>1</v>
      </c>
      <c r="BC31">
        <v>1.0122909661567117</v>
      </c>
      <c r="BD31">
        <v>250.23822318592713</v>
      </c>
      <c r="BE31">
        <v>170.99615451028737</v>
      </c>
      <c r="BF31" s="6">
        <f t="shared" si="0"/>
        <v>0.59945258109513888</v>
      </c>
      <c r="BG31" s="6">
        <f t="shared" si="1"/>
        <v>0.41283838506157278</v>
      </c>
      <c r="BH31" s="6">
        <f t="shared" si="2"/>
        <v>-0.59945258109513888</v>
      </c>
      <c r="BI31" s="6">
        <f t="shared" si="3"/>
        <v>0.59945258109513888</v>
      </c>
      <c r="BJ31">
        <v>278.04247020658568</v>
      </c>
      <c r="BK31">
        <v>189.99572723365262</v>
      </c>
      <c r="BV31" s="37"/>
      <c r="BW31" s="6">
        <f t="shared" si="25"/>
        <v>0.55850536063818546</v>
      </c>
      <c r="BX31" s="9">
        <f t="shared" ca="1" si="26"/>
        <v>106.46070831062704</v>
      </c>
      <c r="BY31" s="9">
        <f t="shared" ca="1" si="27"/>
        <v>241.07280183617411</v>
      </c>
      <c r="BZ31" s="9">
        <f t="shared" ca="1" si="28"/>
        <v>263.22738489903634</v>
      </c>
      <c r="CA31" s="6">
        <f t="shared" ca="1" si="29"/>
        <v>156.65997598087677</v>
      </c>
      <c r="CB31" s="6">
        <f t="shared" ca="1" si="30"/>
        <v>0.536846247142864</v>
      </c>
      <c r="CC31" s="6">
        <f t="shared" ca="1" si="31"/>
        <v>0.96796269109315503</v>
      </c>
      <c r="CD31" s="9">
        <f t="shared" si="32"/>
        <v>213.22738489903634</v>
      </c>
      <c r="CE31" s="9">
        <f t="shared" si="33"/>
        <v>156.65997598087677</v>
      </c>
      <c r="CF31" s="6">
        <f t="shared" si="34"/>
        <v>0.63364251625217949</v>
      </c>
      <c r="CG31" s="6"/>
      <c r="CH31" s="6"/>
      <c r="CI31" s="6"/>
      <c r="CJ31" s="1"/>
      <c r="CK31" s="6"/>
      <c r="CU31">
        <v>4.4032523411342492E-2</v>
      </c>
      <c r="CV31">
        <v>4.4032511707997858E-2</v>
      </c>
      <c r="CW31">
        <v>4.4032517559670178E-2</v>
      </c>
      <c r="CX31">
        <v>1.7470869579858443E-8</v>
      </c>
      <c r="CY31">
        <v>-1.8764379377416421E-7</v>
      </c>
      <c r="CZ31">
        <v>-8.5086644492007086E-8</v>
      </c>
      <c r="DC31">
        <v>0.34818478751959903</v>
      </c>
      <c r="DD31">
        <v>0.47291494293256214</v>
      </c>
      <c r="DE31">
        <v>0.49020973926715028</v>
      </c>
      <c r="DF31">
        <v>2.6947867228699716</v>
      </c>
      <c r="DG31">
        <v>-0.92622012174187973</v>
      </c>
      <c r="DH31">
        <v>-0.49020973926715028</v>
      </c>
      <c r="DV31" t="s">
        <v>194</v>
      </c>
      <c r="DW31">
        <f t="array" aca="1" ref="DW31:DY31" ca="1">MMULT(DW21:DY21,DW26:DY28)</f>
        <v>0</v>
      </c>
      <c r="DX31">
        <f ca="1"/>
        <v>0</v>
      </c>
      <c r="DY31">
        <f ca="1"/>
        <v>0</v>
      </c>
      <c r="DZ31" s="9">
        <f ca="1">SQRT(POWER(DW31,2)+POWER(DX31,2)+POWER(DY31,2))</f>
        <v>0</v>
      </c>
      <c r="EB31">
        <f t="array" aca="1" ref="EB31:EE31" ca="1">MMULT(EB21:EE21,DW26:DZ29)</f>
        <v>179.63725554876675</v>
      </c>
      <c r="EC31">
        <f ca="1"/>
        <v>-5.4523674100742952</v>
      </c>
      <c r="ED31">
        <f ca="1"/>
        <v>-156.96345938538462</v>
      </c>
      <c r="EE31" s="9">
        <f ca="1"/>
        <v>0</v>
      </c>
      <c r="EF31">
        <f ca="1">ATAN2(EC31,ED31)</f>
        <v>-1.6055189050698364</v>
      </c>
    </row>
    <row r="32" spans="1:136" x14ac:dyDescent="0.25">
      <c r="J32" t="s">
        <v>88</v>
      </c>
      <c r="N32" t="s">
        <v>89</v>
      </c>
      <c r="Q32" t="str">
        <f>IF(B1="Whitney",S60,J178)</f>
        <v>Cc = 189.6 kips
 @ ( 3 , 23.3391 )</v>
      </c>
      <c r="BC32">
        <v>1.0471975511965983</v>
      </c>
      <c r="BD32">
        <v>249.59196366092246</v>
      </c>
      <c r="BE32">
        <v>171.38462745089282</v>
      </c>
      <c r="BF32" s="6">
        <f t="shared" si="0"/>
        <v>0.60171620636504342</v>
      </c>
      <c r="BG32" s="6">
        <f t="shared" si="1"/>
        <v>0.44548134483155488</v>
      </c>
      <c r="BH32" s="6">
        <f t="shared" si="2"/>
        <v>-0.60171620636504342</v>
      </c>
      <c r="BI32" s="6">
        <f t="shared" si="3"/>
        <v>0.60171620636504342</v>
      </c>
      <c r="BJ32">
        <v>277.3244040676916</v>
      </c>
      <c r="BK32">
        <v>190.42736383432535</v>
      </c>
      <c r="BV32" s="37"/>
      <c r="BW32" s="6">
        <f t="shared" si="25"/>
        <v>0.59341194567807209</v>
      </c>
      <c r="BX32" s="9">
        <f t="shared" ca="1" si="26"/>
        <v>105.08178838439082</v>
      </c>
      <c r="BY32" s="9">
        <f t="shared" ca="1" si="27"/>
        <v>243.1967832716725</v>
      </c>
      <c r="BZ32" s="9">
        <f t="shared" ca="1" si="28"/>
        <v>261.84846497280012</v>
      </c>
      <c r="CA32" s="6">
        <f t="shared" ca="1" si="29"/>
        <v>158.78395741637516</v>
      </c>
      <c r="CB32" s="6">
        <f t="shared" ca="1" si="30"/>
        <v>0.54510944089491908</v>
      </c>
      <c r="CC32" s="6">
        <f t="shared" ca="1" si="31"/>
        <v>0.98082269174813996</v>
      </c>
      <c r="CD32" s="9">
        <f t="shared" si="32"/>
        <v>211.84846497280012</v>
      </c>
      <c r="CE32" s="9">
        <f t="shared" si="33"/>
        <v>158.78395741637516</v>
      </c>
      <c r="CF32" s="6">
        <f t="shared" si="34"/>
        <v>0.64319171006973308</v>
      </c>
      <c r="CG32" s="6"/>
      <c r="CH32" s="6"/>
      <c r="CI32" s="6"/>
      <c r="CJ32" s="1"/>
      <c r="CK32" s="6"/>
      <c r="CU32">
        <v>4.4032523411342492E-2</v>
      </c>
      <c r="CV32">
        <v>4.4032517559670178E-2</v>
      </c>
      <c r="CW32">
        <v>4.4032520485506335E-2</v>
      </c>
      <c r="CX32">
        <v>1.7470869579858443E-8</v>
      </c>
      <c r="CY32">
        <v>-8.5086644492007086E-8</v>
      </c>
      <c r="CZ32">
        <v>-3.3807883480451871E-8</v>
      </c>
      <c r="DC32">
        <v>0.39479057505678739</v>
      </c>
      <c r="DD32">
        <v>0.49020973926715028</v>
      </c>
      <c r="DE32">
        <v>5.2467445443739029</v>
      </c>
      <c r="DF32">
        <v>-0.27772543478088124</v>
      </c>
      <c r="DG32">
        <v>0.53093428802857912</v>
      </c>
      <c r="DH32">
        <v>-5.2467445443739029</v>
      </c>
      <c r="EB32">
        <f t="array" aca="1" ref="EB32:EE32" ca="1">MMULT(EB22:EE22,DW26:DZ29)</f>
        <v>140.58908129719444</v>
      </c>
      <c r="EC32">
        <f ca="1"/>
        <v>125.9334608392825</v>
      </c>
      <c r="ED32">
        <f ca="1"/>
        <v>33.030883442922004</v>
      </c>
      <c r="EE32" s="9">
        <f ca="1"/>
        <v>0</v>
      </c>
      <c r="EF32">
        <f ca="1">ATAN2(COS(EF30-EF31),SIN(EF30-EF31))</f>
        <v>1.9157952888544985</v>
      </c>
    </row>
    <row r="33" spans="1:139" x14ac:dyDescent="0.25">
      <c r="A33" t="s">
        <v>19</v>
      </c>
      <c r="J33">
        <f>(J38*COS(-1*$B$27))+(K38*SIN(-1*$B$27))+$I$2</f>
        <v>-13.435177732975127</v>
      </c>
      <c r="K33">
        <f>(-1*J38*SIN(-1*$B$27))+(K38*COS(-1*$B$27))+$I$3</f>
        <v>21.45833325815746</v>
      </c>
      <c r="N33">
        <f>IF(B1="PCA_Parabolic",NA(),(N38*COS(-1*$B$27))+(O38*SIN(-1*$B$27))+$I$2)</f>
        <v>-13.456975848748385</v>
      </c>
      <c r="O33">
        <f>(-1*N38*SIN(-1*$B$27))+(O38*COS(-1*$B$27))+$I$3</f>
        <v>21.95305908585474</v>
      </c>
      <c r="Q33" s="1">
        <f>IF(B1="Whitney",S58,G178)</f>
        <v>2.9999999995650057</v>
      </c>
      <c r="R33" s="1">
        <f>IF(B1="Whitney",T58,H178)</f>
        <v>23.339084967301453</v>
      </c>
      <c r="BC33">
        <v>1.0821041362364849</v>
      </c>
      <c r="BD33">
        <v>248.97124827064422</v>
      </c>
      <c r="BE33">
        <v>171.7288326636409</v>
      </c>
      <c r="BF33" s="6">
        <f t="shared" si="0"/>
        <v>0.60381608130880782</v>
      </c>
      <c r="BG33" s="6">
        <f t="shared" si="1"/>
        <v>0.47828805492767712</v>
      </c>
      <c r="BH33" s="6">
        <f t="shared" si="2"/>
        <v>-0.60381608130880782</v>
      </c>
      <c r="BI33" s="6">
        <f t="shared" si="3"/>
        <v>0.60381608130880782</v>
      </c>
      <c r="BJ33">
        <v>276.6347203007158</v>
      </c>
      <c r="BK33">
        <v>190.80981407071212</v>
      </c>
      <c r="BV33" s="37"/>
      <c r="BW33" s="6">
        <f t="shared" si="25"/>
        <v>0.62831853071795873</v>
      </c>
      <c r="BX33" s="9">
        <f t="shared" ca="1" si="26"/>
        <v>103.6921175299473</v>
      </c>
      <c r="BY33" s="9">
        <f t="shared" ca="1" si="27"/>
        <v>245.18201507406513</v>
      </c>
      <c r="BZ33" s="9">
        <f t="shared" ca="1" si="28"/>
        <v>260.45879411835659</v>
      </c>
      <c r="CA33" s="6">
        <f t="shared" ca="1" si="29"/>
        <v>160.76918921876779</v>
      </c>
      <c r="CB33" s="6">
        <f t="shared" ca="1" si="30"/>
        <v>0.55300963650904511</v>
      </c>
      <c r="CC33" s="6">
        <f t="shared" ca="1" si="31"/>
        <v>0.99327430545779749</v>
      </c>
      <c r="CD33" s="9">
        <f t="shared" si="32"/>
        <v>210.45879411835659</v>
      </c>
      <c r="CE33" s="9">
        <f t="shared" si="33"/>
        <v>160.76918921876779</v>
      </c>
      <c r="CF33" s="6">
        <f t="shared" si="34"/>
        <v>0.65233706705482486</v>
      </c>
      <c r="CG33" s="6"/>
      <c r="CH33" s="6"/>
      <c r="CI33" s="6"/>
      <c r="CJ33" s="1"/>
      <c r="CK33" s="6"/>
      <c r="CU33">
        <v>4.4032523411342492E-2</v>
      </c>
      <c r="CV33">
        <v>4.4032520485506335E-2</v>
      </c>
      <c r="CW33">
        <v>4.4032521948424413E-2</v>
      </c>
      <c r="CX33">
        <v>1.7470869579858443E-8</v>
      </c>
      <c r="CY33">
        <v>-3.3807883480451871E-8</v>
      </c>
      <c r="CZ33">
        <v>-8.1681180574300451E-9</v>
      </c>
      <c r="DC33">
        <v>-0.92622012174187973</v>
      </c>
      <c r="DD33">
        <v>5.2467445443739029</v>
      </c>
      <c r="DE33">
        <v>0.53001539529509889</v>
      </c>
      <c r="DF33">
        <v>-0.3089332382070416</v>
      </c>
      <c r="DG33">
        <v>0.69467366039667922</v>
      </c>
      <c r="DH33">
        <v>-0.53001539529509889</v>
      </c>
    </row>
    <row r="34" spans="1:139" x14ac:dyDescent="0.25">
      <c r="J34">
        <f>(J39*COS(-1*$B$27))+(K39*SIN(-1*$B$27))+$I$2</f>
        <v>37.015016010005269</v>
      </c>
      <c r="K34">
        <f>(-1*J39*SIN(-1*$B$27))+(K39*COS(-1*$B$27))+$I$3</f>
        <v>23.681219354707906</v>
      </c>
      <c r="N34">
        <f>IF(B1="PCA_Parabolic",NA(),(N39*COS(-1*$B$27))+(O39*SIN(-1*$B$27))+$I$2)</f>
        <v>36.993217894232018</v>
      </c>
      <c r="O34">
        <f>(-1*N39*SIN(-1*$B$27))+(O39*COS(-1*$B$27))+$I$3</f>
        <v>24.175945182405187</v>
      </c>
      <c r="BC34">
        <v>1.1170107212763716</v>
      </c>
      <c r="BD34">
        <v>248.37316320447891</v>
      </c>
      <c r="BE34">
        <v>172.03368918756664</v>
      </c>
      <c r="BF34" s="6">
        <f t="shared" ref="BF34:BF65" si="39">IF(BC34&lt;&gt;"",IF(AND(BD34=0,BE34=0),0,MOD(ATAN2(BD34,BE34),2*PI())),NA())</f>
        <v>0.60577063298054179</v>
      </c>
      <c r="BG34" s="6">
        <f t="shared" ref="BG34:BG65" si="40">ABS(BC34-BF34)</f>
        <v>0.51124008829582979</v>
      </c>
      <c r="BH34" s="6">
        <f t="shared" si="2"/>
        <v>-0.60577063298054179</v>
      </c>
      <c r="BI34" s="6">
        <f t="shared" si="3"/>
        <v>0.60577063298054179</v>
      </c>
      <c r="BJ34">
        <v>275.97018133830989</v>
      </c>
      <c r="BK34">
        <v>191.14854354174071</v>
      </c>
      <c r="BV34" s="37"/>
      <c r="BW34" s="6">
        <f t="shared" si="25"/>
        <v>0.66322511575784537</v>
      </c>
      <c r="BX34" s="9">
        <f t="shared" ca="1" si="26"/>
        <v>102.38052960946354</v>
      </c>
      <c r="BY34" s="9">
        <f t="shared" ca="1" si="27"/>
        <v>246.92401601663406</v>
      </c>
      <c r="BZ34" s="9">
        <f t="shared" ca="1" si="28"/>
        <v>259.14720619787283</v>
      </c>
      <c r="CA34" s="6">
        <f t="shared" ca="1" si="29"/>
        <v>162.51119016133671</v>
      </c>
      <c r="CB34" s="6">
        <f t="shared" ca="1" si="30"/>
        <v>0.56010793935444514</v>
      </c>
      <c r="CC34" s="6">
        <f t="shared" ca="1" si="31"/>
        <v>1.0046179318462232</v>
      </c>
      <c r="CD34" s="9">
        <f t="shared" si="32"/>
        <v>209.14720619787283</v>
      </c>
      <c r="CE34" s="9">
        <f t="shared" si="33"/>
        <v>162.51119016133671</v>
      </c>
      <c r="CF34" s="6">
        <f t="shared" si="34"/>
        <v>0.66056973253906748</v>
      </c>
      <c r="CG34" s="6"/>
      <c r="CH34" s="6"/>
      <c r="CI34" s="6"/>
      <c r="CJ34" s="1"/>
      <c r="CK34" s="6"/>
      <c r="CU34">
        <v>4.4032523411342492E-2</v>
      </c>
      <c r="CV34">
        <v>4.4032521948424413E-2</v>
      </c>
      <c r="CW34">
        <v>4.4032522679883453E-2</v>
      </c>
      <c r="CX34">
        <v>1.7470869579858443E-8</v>
      </c>
      <c r="CY34">
        <v>-8.1681180574300451E-9</v>
      </c>
      <c r="CZ34">
        <v>4.6513759763342176E-9</v>
      </c>
      <c r="DC34">
        <v>0.53093428802857912</v>
      </c>
      <c r="DD34">
        <v>0.53001539529509889</v>
      </c>
      <c r="DE34">
        <v>0.56572284446066134</v>
      </c>
      <c r="DF34">
        <v>4.5855802134983144</v>
      </c>
      <c r="DG34">
        <v>-1.8994938214861139</v>
      </c>
      <c r="DH34">
        <v>-0.56572284446066134</v>
      </c>
      <c r="EB34" t="s">
        <v>206</v>
      </c>
    </row>
    <row r="35" spans="1:139" x14ac:dyDescent="0.25">
      <c r="A35" s="8" t="s">
        <v>20</v>
      </c>
      <c r="Q35" t="str">
        <f ca="1">IF(B1="Whitney",R75,S198)</f>
        <v>Ts = -189.6 kips
 @ ( 3 , 3 )</v>
      </c>
      <c r="AD35" t="s">
        <v>135</v>
      </c>
      <c r="BC35">
        <v>1.1519173063162582</v>
      </c>
      <c r="BD35">
        <v>247.79511012019171</v>
      </c>
      <c r="BE35">
        <v>172.30333975853361</v>
      </c>
      <c r="BF35" s="6">
        <f t="shared" si="39"/>
        <v>0.60759564342205941</v>
      </c>
      <c r="BG35" s="6">
        <f t="shared" si="40"/>
        <v>0.54432166289419881</v>
      </c>
      <c r="BH35" s="6">
        <f t="shared" si="2"/>
        <v>-0.60759564342205941</v>
      </c>
      <c r="BI35" s="6">
        <f t="shared" si="3"/>
        <v>0.60759564342205941</v>
      </c>
      <c r="BJ35">
        <v>275.32790013354634</v>
      </c>
      <c r="BK35">
        <v>191.44815528725957</v>
      </c>
      <c r="BV35" s="37"/>
      <c r="BW35" s="6">
        <f t="shared" si="25"/>
        <v>0.69813170079773201</v>
      </c>
      <c r="BX35" s="9">
        <f t="shared" ca="1" si="26"/>
        <v>101.18117227082095</v>
      </c>
      <c r="BY35" s="9">
        <f t="shared" ca="1" si="27"/>
        <v>248.40623891972908</v>
      </c>
      <c r="BZ35" s="9">
        <f t="shared" ca="1" si="28"/>
        <v>257.94784885923025</v>
      </c>
      <c r="CA35" s="6">
        <f t="shared" ca="1" si="29"/>
        <v>163.99341306443173</v>
      </c>
      <c r="CB35" s="6">
        <f t="shared" ca="1" si="30"/>
        <v>0.56630080213944289</v>
      </c>
      <c r="CC35" s="6">
        <f t="shared" ca="1" si="31"/>
        <v>1.0146717992285379</v>
      </c>
      <c r="CD35" s="9">
        <f t="shared" si="32"/>
        <v>207.94784885923025</v>
      </c>
      <c r="CE35" s="9">
        <f t="shared" si="33"/>
        <v>163.99341306443173</v>
      </c>
      <c r="CF35" s="6">
        <f t="shared" si="34"/>
        <v>0.66776798206229671</v>
      </c>
      <c r="CG35" s="6"/>
      <c r="CH35" s="6"/>
      <c r="CI35" s="6"/>
      <c r="CJ35" s="1"/>
      <c r="CK35" s="6"/>
      <c r="CU35">
        <v>4.4032522679883453E-2</v>
      </c>
      <c r="CV35">
        <v>4.4032521948424413E-2</v>
      </c>
      <c r="CW35">
        <v>4.403252231415393E-2</v>
      </c>
      <c r="CX35">
        <v>4.6513759763342176E-9</v>
      </c>
      <c r="CY35">
        <v>-8.1681180574300451E-9</v>
      </c>
      <c r="CZ35">
        <v>-1.758564371136791E-9</v>
      </c>
      <c r="DC35">
        <v>0.69467366039667922</v>
      </c>
      <c r="DD35">
        <v>0.56572284446066134</v>
      </c>
      <c r="DE35">
        <v>5.2174679624901197</v>
      </c>
      <c r="DF35">
        <v>-0.55767618733627378</v>
      </c>
      <c r="DG35">
        <v>1.0101638193845328</v>
      </c>
      <c r="DH35">
        <v>-5.2174679624901197</v>
      </c>
      <c r="EE35" s="9"/>
    </row>
    <row r="36" spans="1:13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73.089565719907355</v>
      </c>
      <c r="H36" s="14" t="s">
        <v>4</v>
      </c>
      <c r="J36" t="s">
        <v>52</v>
      </c>
      <c r="N36" t="s">
        <v>53</v>
      </c>
      <c r="Q36" s="1">
        <f ca="1">IF(B1="Whitney",R73,S196)</f>
        <v>3.0000000000000004</v>
      </c>
      <c r="R36" s="1">
        <f ca="1">IF(B1="Whitney",S73,T196)</f>
        <v>3</v>
      </c>
      <c r="AD36" t="s">
        <v>8</v>
      </c>
      <c r="AE36" t="s">
        <v>9</v>
      </c>
      <c r="BC36">
        <v>1.1868238913561449</v>
      </c>
      <c r="BD36">
        <v>247.23475667139039</v>
      </c>
      <c r="BE36">
        <v>172.54128121779149</v>
      </c>
      <c r="BF36" s="6">
        <f t="shared" si="39"/>
        <v>0.60930469076258043</v>
      </c>
      <c r="BG36" s="6">
        <f t="shared" si="40"/>
        <v>0.57751920059356443</v>
      </c>
      <c r="BH36" s="6">
        <f t="shared" si="2"/>
        <v>-0.60930469076258043</v>
      </c>
      <c r="BI36" s="6">
        <f t="shared" si="3"/>
        <v>0.60930469076258043</v>
      </c>
      <c r="BJ36">
        <v>274.70528519043376</v>
      </c>
      <c r="BK36">
        <v>191.71253468643499</v>
      </c>
      <c r="BV36" s="37"/>
      <c r="BW36" s="6">
        <f t="shared" si="25"/>
        <v>0.73303828583761865</v>
      </c>
      <c r="BX36" s="9">
        <f t="shared" ca="1" si="26"/>
        <v>100.07765361320591</v>
      </c>
      <c r="BY36" s="9">
        <f t="shared" ca="1" si="27"/>
        <v>249.67659089780082</v>
      </c>
      <c r="BZ36" s="9">
        <f t="shared" ca="1" si="28"/>
        <v>256.84433020161521</v>
      </c>
      <c r="CA36" s="6">
        <f t="shared" ca="1" si="29"/>
        <v>165.26376504250348</v>
      </c>
      <c r="CB36" s="6">
        <f t="shared" ca="1" si="30"/>
        <v>0.57174937409789828</v>
      </c>
      <c r="CC36" s="6">
        <f t="shared" ca="1" si="31"/>
        <v>1.0236718896123076</v>
      </c>
      <c r="CD36" s="9">
        <f t="shared" si="32"/>
        <v>206.84433020161521</v>
      </c>
      <c r="CE36" s="9">
        <f t="shared" si="33"/>
        <v>165.26376504250348</v>
      </c>
      <c r="CF36" s="6">
        <f t="shared" si="34"/>
        <v>0.67411656305912904</v>
      </c>
      <c r="CG36" s="6"/>
      <c r="CH36" s="6"/>
      <c r="CI36" s="6"/>
      <c r="CJ36" s="1"/>
      <c r="CK36" s="6"/>
      <c r="CU36">
        <v>4.4032522679883453E-2</v>
      </c>
      <c r="CV36">
        <v>4.403252231415393E-2</v>
      </c>
      <c r="CW36">
        <v>4.4032522497018695E-2</v>
      </c>
      <c r="CX36">
        <v>4.6513759763342176E-9</v>
      </c>
      <c r="CY36">
        <v>-1.758564371136791E-9</v>
      </c>
      <c r="CZ36">
        <v>1.4465991486628577E-9</v>
      </c>
      <c r="DC36">
        <v>-1.8994938214861139</v>
      </c>
      <c r="DD36">
        <v>5.2174679624901197</v>
      </c>
      <c r="DE36">
        <v>0.59930888483214872</v>
      </c>
      <c r="DF36">
        <v>-0.63004707978709029</v>
      </c>
      <c r="DG36">
        <v>1.3877566321634858</v>
      </c>
      <c r="DH36">
        <v>-0.59930888483214872</v>
      </c>
      <c r="EB36">
        <f ca="1">(EB32-EB30)</f>
        <v>-0.36418330529929221</v>
      </c>
      <c r="EC36">
        <f t="shared" ref="EC36:ED36" ca="1" si="41">(EC32-EC30)</f>
        <v>1.2253716365909213</v>
      </c>
      <c r="ED36">
        <f t="shared" ca="1" si="41"/>
        <v>-6.9545549729928666</v>
      </c>
      <c r="EE36" s="9">
        <f ca="1">SQRT(POWER(EB36,2)+POWER(EC36,2)+POWER(ED36,2))</f>
        <v>7.0710678118654782</v>
      </c>
      <c r="EF36">
        <f ca="1">EB36/EE36</f>
        <v>-5.1503296954412033E-2</v>
      </c>
      <c r="EG36">
        <f ca="1">EC36/EE36</f>
        <v>0.17329371874141958</v>
      </c>
      <c r="EH36">
        <f ca="1">ED36/EE36</f>
        <v>-0.98352259630757621</v>
      </c>
    </row>
    <row r="37" spans="1:139" x14ac:dyDescent="0.25">
      <c r="A37" s="3">
        <f t="shared" ref="A37:A45" si="42">E3-$I$2</f>
        <v>-6</v>
      </c>
      <c r="B37" s="6">
        <f t="shared" ref="B37:B45" si="43">F3-$I$3</f>
        <v>-12</v>
      </c>
      <c r="C37" s="6">
        <f t="shared" ref="C37:C45" si="44">A37*COS($B$27)+B37*SIN($B$27)</f>
        <v>-6.5224038901418933</v>
      </c>
      <c r="D37" s="6">
        <f t="shared" ref="D37:D45" si="45">-1*A37*SIN($B$27)+B37*COS($B$27)</f>
        <v>-11.724258931542833</v>
      </c>
      <c r="F37" s="8" t="s">
        <v>23</v>
      </c>
      <c r="G37" s="1">
        <f>MAX(D37:D41)-MIN(D37:D41)</f>
        <v>22.920298323589282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1.2217304763960315</v>
      </c>
      <c r="BD37">
        <v>246.68999518599344</v>
      </c>
      <c r="BE37">
        <v>172.75046866386904</v>
      </c>
      <c r="BF37" s="6">
        <f t="shared" si="39"/>
        <v>0.61090950416203249</v>
      </c>
      <c r="BG37" s="6">
        <f t="shared" si="40"/>
        <v>0.610820972233999</v>
      </c>
      <c r="BH37" s="6">
        <f t="shared" si="2"/>
        <v>-0.61090950416203249</v>
      </c>
      <c r="BI37" s="6">
        <f t="shared" si="3"/>
        <v>0.61090950416203249</v>
      </c>
      <c r="BJ37">
        <v>274.09999465110383</v>
      </c>
      <c r="BK37">
        <v>191.94496518207671</v>
      </c>
      <c r="BV37" s="37"/>
      <c r="BW37" s="6">
        <f t="shared" si="25"/>
        <v>0.76794487087750529</v>
      </c>
      <c r="BX37" s="9">
        <f t="shared" ca="1" si="26"/>
        <v>99.056535679104087</v>
      </c>
      <c r="BY37" s="9">
        <f t="shared" ca="1" si="27"/>
        <v>250.77232336358637</v>
      </c>
      <c r="BZ37" s="9">
        <f t="shared" ca="1" si="28"/>
        <v>255.82321226751338</v>
      </c>
      <c r="CA37" s="6">
        <f t="shared" ca="1" si="29"/>
        <v>166.35949750828902</v>
      </c>
      <c r="CB37" s="6">
        <f t="shared" ca="1" si="30"/>
        <v>0.57657966660196902</v>
      </c>
      <c r="CC37" s="6">
        <f t="shared" ca="1" si="31"/>
        <v>1.0318003973799927</v>
      </c>
      <c r="CD37" s="9">
        <f t="shared" si="32"/>
        <v>205.82321226751338</v>
      </c>
      <c r="CE37" s="9">
        <f t="shared" si="33"/>
        <v>166.35949750828902</v>
      </c>
      <c r="CF37" s="6">
        <f t="shared" si="34"/>
        <v>0.67975970633996829</v>
      </c>
      <c r="CG37" s="6"/>
      <c r="CH37" s="6"/>
      <c r="CI37" s="6"/>
      <c r="CJ37" s="1"/>
      <c r="CK37" s="6"/>
      <c r="CU37">
        <v>4.4032522497018695E-2</v>
      </c>
      <c r="CV37">
        <v>4.403252231415393E-2</v>
      </c>
      <c r="CW37">
        <v>4.4032522405586312E-2</v>
      </c>
      <c r="CX37">
        <v>1.4465991486628577E-9</v>
      </c>
      <c r="CY37">
        <v>-1.758564371136791E-9</v>
      </c>
      <c r="CZ37">
        <v>-1.5598430838179699E-10</v>
      </c>
      <c r="DC37">
        <v>1.0101638193845328</v>
      </c>
      <c r="DD37">
        <v>0.59930888483214872</v>
      </c>
      <c r="DE37">
        <v>0.61739349422193679</v>
      </c>
      <c r="DF37">
        <v>20.879235190568746</v>
      </c>
      <c r="DG37">
        <v>1.063423275535794</v>
      </c>
      <c r="DH37">
        <v>-0.61739349422193679</v>
      </c>
      <c r="EB37">
        <f ca="1">EB31-EB30</f>
        <v>38.683990946273013</v>
      </c>
      <c r="EC37">
        <f t="shared" ref="EC37:ED37" ca="1" si="46">EC31-EC30</f>
        <v>-130.16045661276587</v>
      </c>
      <c r="ED37">
        <f t="shared" ca="1" si="46"/>
        <v>-196.94889780129949</v>
      </c>
      <c r="EE37" s="9">
        <f ca="1">SQRT(POWER(EB37,2)+POWER(EC37,2)+POWER(ED37,2))</f>
        <v>239.22178823493849</v>
      </c>
      <c r="EF37">
        <f ca="1">EB37/EE37</f>
        <v>0.16170764056107492</v>
      </c>
      <c r="EG37">
        <f ca="1">EC37/EE37</f>
        <v>-0.54409950520450068</v>
      </c>
      <c r="EH37">
        <f ca="1">ED37/EE37</f>
        <v>-0.82328996557737044</v>
      </c>
    </row>
    <row r="38" spans="1:139" x14ac:dyDescent="0.25">
      <c r="A38" s="3">
        <f t="shared" si="42"/>
        <v>6</v>
      </c>
      <c r="B38" s="6">
        <f t="shared" si="43"/>
        <v>-12</v>
      </c>
      <c r="C38" s="6">
        <f t="shared" si="44"/>
        <v>5.4659648111491297</v>
      </c>
      <c r="D38" s="6">
        <f t="shared" si="45"/>
        <v>-12.252478471039213</v>
      </c>
      <c r="F38" s="8" t="s">
        <v>24</v>
      </c>
      <c r="G38" s="6">
        <f>MAX(D37:D43)</f>
        <v>12.780698010535595</v>
      </c>
      <c r="H38" t="s">
        <v>4</v>
      </c>
      <c r="J38" s="9">
        <f>MIN(C37:C43,A37:A43)-1</f>
        <v>-19</v>
      </c>
      <c r="K38" s="9">
        <f>G40</f>
        <v>10.304668919218111</v>
      </c>
      <c r="N38" s="9">
        <f>J38</f>
        <v>-19</v>
      </c>
      <c r="O38" s="9">
        <f>G41</f>
        <v>10.799874737481607</v>
      </c>
      <c r="AD38">
        <f>AE37</f>
        <v>6.2831853071795862</v>
      </c>
      <c r="AE38">
        <f>AE37</f>
        <v>6.2831853071795862</v>
      </c>
      <c r="BC38">
        <v>1.2566370614359181</v>
      </c>
      <c r="BD38">
        <v>246.15890786876557</v>
      </c>
      <c r="BE38">
        <v>172.93339901644342</v>
      </c>
      <c r="BF38" s="6">
        <f t="shared" si="39"/>
        <v>0.61242025114022047</v>
      </c>
      <c r="BG38" s="6">
        <f t="shared" si="40"/>
        <v>0.64421681029569766</v>
      </c>
      <c r="BH38" s="6">
        <f t="shared" si="2"/>
        <v>-0.61242025114022047</v>
      </c>
      <c r="BI38" s="6">
        <f t="shared" si="3"/>
        <v>0.61242025114022047</v>
      </c>
      <c r="BJ38">
        <v>273.50989763196173</v>
      </c>
      <c r="BK38">
        <v>192.14822112938157</v>
      </c>
      <c r="BV38" s="37"/>
      <c r="BW38" s="6">
        <f t="shared" si="25"/>
        <v>0.80285145591739193</v>
      </c>
      <c r="BX38" s="9">
        <f t="shared" ca="1" si="26"/>
        <v>98.106690749004485</v>
      </c>
      <c r="BY38" s="9">
        <f t="shared" ca="1" si="27"/>
        <v>251.7227472664417</v>
      </c>
      <c r="BZ38" s="9">
        <f t="shared" ca="1" si="28"/>
        <v>254.87336733741378</v>
      </c>
      <c r="CA38" s="6">
        <f t="shared" ca="1" si="29"/>
        <v>167.30992141114436</v>
      </c>
      <c r="CB38" s="6">
        <f t="shared" ca="1" si="30"/>
        <v>0.58089147306657618</v>
      </c>
      <c r="CC38" s="6">
        <f t="shared" ca="1" si="31"/>
        <v>1.0392002621268961</v>
      </c>
      <c r="CD38" s="9">
        <f t="shared" si="32"/>
        <v>204.87336733741378</v>
      </c>
      <c r="CE38" s="9">
        <f t="shared" si="33"/>
        <v>167.30992141114436</v>
      </c>
      <c r="CF38" s="6">
        <f t="shared" si="34"/>
        <v>0.68481149927926577</v>
      </c>
      <c r="CG38" s="6"/>
      <c r="CH38" s="6"/>
      <c r="CI38" s="6"/>
      <c r="CJ38" s="1"/>
      <c r="CK38" s="6"/>
      <c r="CU38">
        <v>4.4032522497018695E-2</v>
      </c>
      <c r="CV38">
        <v>4.4032522405586312E-2</v>
      </c>
      <c r="CW38">
        <v>4.40325224513025E-2</v>
      </c>
      <c r="CX38">
        <v>1.4465991486628577E-9</v>
      </c>
      <c r="CY38">
        <v>-1.5598430838179699E-10</v>
      </c>
      <c r="CZ38">
        <v>6.4530807958615828E-10</v>
      </c>
      <c r="DC38">
        <v>1.3877566321634858</v>
      </c>
      <c r="DD38">
        <v>0.61739349422193679</v>
      </c>
      <c r="DE38">
        <v>0.60271147787634993</v>
      </c>
      <c r="DF38">
        <v>22.090518699441471</v>
      </c>
      <c r="DG38">
        <v>0.31558471749945355</v>
      </c>
      <c r="DH38">
        <v>-0.60271147787634993</v>
      </c>
      <c r="EF38">
        <f ca="1">EF36-EF37</f>
        <v>-0.21321093751548695</v>
      </c>
      <c r="EG38">
        <f ca="1">EG36-EG37</f>
        <v>0.7173932239459202</v>
      </c>
      <c r="EH38">
        <f ca="1">EH36-EH37</f>
        <v>-0.16023263073020577</v>
      </c>
      <c r="EI38" s="9"/>
    </row>
    <row r="39" spans="1:139" x14ac:dyDescent="0.25">
      <c r="A39" s="3">
        <f t="shared" si="42"/>
        <v>6</v>
      </c>
      <c r="B39" s="6">
        <f t="shared" si="43"/>
        <v>4</v>
      </c>
      <c r="C39" s="6">
        <f t="shared" si="44"/>
        <v>6.170257530477639</v>
      </c>
      <c r="D39" s="6">
        <f t="shared" si="45"/>
        <v>3.7320131306821502</v>
      </c>
      <c r="J39" s="9">
        <f>MAX(C37:C43,A37:A43)+1</f>
        <v>31.499141292723937</v>
      </c>
      <c r="K39" s="9">
        <f>K38</f>
        <v>10.304668919218111</v>
      </c>
      <c r="N39" s="9">
        <f>J39</f>
        <v>31.499141292723937</v>
      </c>
      <c r="O39" s="9">
        <f>G41</f>
        <v>10.799874737481607</v>
      </c>
      <c r="AD39">
        <f>AD38</f>
        <v>6.2831853071795862</v>
      </c>
      <c r="AE39">
        <v>0</v>
      </c>
      <c r="BC39">
        <v>1.2915436464758048</v>
      </c>
      <c r="BD39">
        <v>244.80261524322751</v>
      </c>
      <c r="BE39">
        <v>172.50229298346187</v>
      </c>
      <c r="BF39" s="6">
        <f t="shared" si="39"/>
        <v>0.61384577138268626</v>
      </c>
      <c r="BG39" s="6">
        <f t="shared" si="40"/>
        <v>0.67769787509311852</v>
      </c>
      <c r="BH39" s="6">
        <f t="shared" si="2"/>
        <v>-0.61384577138268626</v>
      </c>
      <c r="BI39" s="6">
        <f t="shared" si="3"/>
        <v>0.61384577138268626</v>
      </c>
      <c r="BJ39">
        <v>272.93304138485996</v>
      </c>
      <c r="BK39">
        <v>192.32464254133802</v>
      </c>
      <c r="BV39" s="37"/>
      <c r="BW39" s="6">
        <f t="shared" si="25"/>
        <v>0.83775804095727857</v>
      </c>
      <c r="BX39" s="9">
        <f t="shared" ca="1" si="26"/>
        <v>97.218818414058006</v>
      </c>
      <c r="BY39" s="9">
        <f t="shared" ca="1" si="27"/>
        <v>252.55117336065251</v>
      </c>
      <c r="BZ39" s="9">
        <f t="shared" ca="1" si="28"/>
        <v>253.9854950024673</v>
      </c>
      <c r="CA39" s="6">
        <f t="shared" ca="1" si="29"/>
        <v>168.13834750535517</v>
      </c>
      <c r="CB39" s="6">
        <f t="shared" ca="1" si="30"/>
        <v>0.58476473464417711</v>
      </c>
      <c r="CC39" s="6">
        <f t="shared" ca="1" si="31"/>
        <v>1.0459852566272687</v>
      </c>
      <c r="CD39" s="9">
        <f t="shared" si="32"/>
        <v>203.9854950024673</v>
      </c>
      <c r="CE39" s="9">
        <f t="shared" si="33"/>
        <v>168.13834750535517</v>
      </c>
      <c r="CF39" s="6">
        <f t="shared" si="34"/>
        <v>0.68936326030690398</v>
      </c>
      <c r="CG39" s="6"/>
      <c r="CH39" s="6"/>
      <c r="CI39" s="6"/>
      <c r="CJ39" s="1"/>
      <c r="CK39" s="6"/>
      <c r="CU39">
        <v>4.40325224513025E-2</v>
      </c>
      <c r="CV39">
        <v>4.4032522405586312E-2</v>
      </c>
      <c r="CW39">
        <v>4.4032522428444409E-2</v>
      </c>
      <c r="CX39">
        <v>6.4530807958615828E-10</v>
      </c>
      <c r="CY39">
        <v>-1.5598430838179699E-10</v>
      </c>
      <c r="CZ39">
        <v>2.446632045459824E-10</v>
      </c>
      <c r="DC39">
        <v>1.063423275535794</v>
      </c>
      <c r="DD39">
        <v>0.60271147787634993</v>
      </c>
      <c r="DE39">
        <v>0.45902066636598965</v>
      </c>
      <c r="DF39">
        <v>5.2044981176991989</v>
      </c>
      <c r="DG39">
        <v>-2.0733874765873717</v>
      </c>
      <c r="DH39">
        <v>-0.45902066636598965</v>
      </c>
    </row>
    <row r="40" spans="1:139" x14ac:dyDescent="0.25">
      <c r="A40" s="3">
        <f t="shared" si="42"/>
        <v>30</v>
      </c>
      <c r="B40" s="6">
        <f t="shared" si="43"/>
        <v>4</v>
      </c>
      <c r="C40" s="6">
        <f t="shared" si="44"/>
        <v>30.146994933059684</v>
      </c>
      <c r="D40" s="6">
        <f t="shared" si="45"/>
        <v>2.6755740516893871</v>
      </c>
      <c r="F40" s="8" t="s">
        <v>50</v>
      </c>
      <c r="G40" s="9">
        <f>G38-B28</f>
        <v>10.304668919218111</v>
      </c>
      <c r="AD40">
        <f>AE39</f>
        <v>0</v>
      </c>
      <c r="AE40">
        <f>AE39</f>
        <v>0</v>
      </c>
      <c r="BC40">
        <v>1.3264502315156914</v>
      </c>
      <c r="BD40">
        <v>241.58928015457627</v>
      </c>
      <c r="BE40">
        <v>170.72581883625824</v>
      </c>
      <c r="BF40" s="6">
        <f t="shared" si="39"/>
        <v>0.61519376781801471</v>
      </c>
      <c r="BG40" s="6">
        <f t="shared" si="40"/>
        <v>0.7112564636976767</v>
      </c>
      <c r="BH40" s="6">
        <f t="shared" si="2"/>
        <v>-0.61519376781801471</v>
      </c>
      <c r="BI40" s="6">
        <f t="shared" si="3"/>
        <v>0.61519376781801471</v>
      </c>
      <c r="BJ40">
        <v>272.36762315406543</v>
      </c>
      <c r="BK40">
        <v>192.4761953746912</v>
      </c>
      <c r="BV40" s="37"/>
      <c r="BW40" s="6">
        <f t="shared" si="25"/>
        <v>0.87266462599716521</v>
      </c>
      <c r="BX40" s="9">
        <f t="shared" ca="1" si="26"/>
        <v>96.385078395535459</v>
      </c>
      <c r="BY40" s="9">
        <f t="shared" ca="1" si="27"/>
        <v>253.27632027375688</v>
      </c>
      <c r="BZ40" s="9">
        <f t="shared" ca="1" si="28"/>
        <v>253.15175498394476</v>
      </c>
      <c r="CA40" s="6">
        <f t="shared" ca="1" si="29"/>
        <v>168.86349441845954</v>
      </c>
      <c r="CB40" s="6">
        <f t="shared" ca="1" si="30"/>
        <v>0.58826415834391432</v>
      </c>
      <c r="CC40" s="6">
        <f t="shared" ca="1" si="31"/>
        <v>1.0522471300507341</v>
      </c>
      <c r="CD40" s="9">
        <f t="shared" si="32"/>
        <v>203.15175498394476</v>
      </c>
      <c r="CE40" s="9">
        <f t="shared" si="33"/>
        <v>168.86349441845954</v>
      </c>
      <c r="CF40" s="6">
        <f t="shared" si="34"/>
        <v>0.69348887134898773</v>
      </c>
      <c r="CG40" s="6"/>
      <c r="CH40" s="6"/>
      <c r="CI40" s="6"/>
      <c r="CJ40" s="1"/>
      <c r="CK40" s="6"/>
      <c r="CU40">
        <v>4.4032522428444409E-2</v>
      </c>
      <c r="CV40">
        <v>4.4032522405586312E-2</v>
      </c>
      <c r="CW40">
        <v>4.4032522417015357E-2</v>
      </c>
      <c r="CX40">
        <v>2.446632045459824E-10</v>
      </c>
      <c r="CY40">
        <v>-1.5598430838179699E-10</v>
      </c>
      <c r="CZ40">
        <v>4.4532956232567168E-11</v>
      </c>
      <c r="DC40">
        <v>0.31558471749945355</v>
      </c>
      <c r="DD40">
        <v>0.45902066636598965</v>
      </c>
      <c r="DE40">
        <v>5.2136294897454132</v>
      </c>
      <c r="DF40">
        <v>-0.50245399418344161</v>
      </c>
      <c r="DG40">
        <v>0.54622148472778975</v>
      </c>
      <c r="DH40">
        <v>-5.2136294897454132</v>
      </c>
      <c r="DW40">
        <f t="array" aca="1" ref="DW40:DZ43" ca="1">MMULT(DW16:DZ19,DW26:DZ29)</f>
        <v>0.95856121847518538</v>
      </c>
      <c r="DX40">
        <f ca="1"/>
        <v>0.28488662733685477</v>
      </c>
      <c r="DY40">
        <f ca="1"/>
        <v>0</v>
      </c>
      <c r="DZ40">
        <f ca="1"/>
        <v>0</v>
      </c>
    </row>
    <row r="41" spans="1:139" x14ac:dyDescent="0.25">
      <c r="A41" s="3">
        <f t="shared" si="42"/>
        <v>30</v>
      </c>
      <c r="B41" s="6">
        <f t="shared" si="43"/>
        <v>12</v>
      </c>
      <c r="C41" s="6">
        <f t="shared" si="44"/>
        <v>30.499141292723937</v>
      </c>
      <c r="D41" s="6">
        <f t="shared" si="45"/>
        <v>10.667819852550069</v>
      </c>
      <c r="F41" s="8" t="s">
        <v>51</v>
      </c>
      <c r="G41" s="9">
        <f>G38-B29</f>
        <v>10.799874737481607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1.3613568165555781</v>
      </c>
      <c r="BD41">
        <v>238.31981202627551</v>
      </c>
      <c r="BE41">
        <v>168.87215725892329</v>
      </c>
      <c r="BF41" s="6">
        <f t="shared" si="39"/>
        <v>0.61647096328235662</v>
      </c>
      <c r="BG41" s="6">
        <f t="shared" si="40"/>
        <v>0.74488585327322143</v>
      </c>
      <c r="BH41" s="6">
        <f t="shared" si="2"/>
        <v>-0.61647096328235662</v>
      </c>
      <c r="BI41" s="6">
        <f t="shared" si="3"/>
        <v>0.61647096328235662</v>
      </c>
      <c r="BJ41">
        <v>271.81196582081537</v>
      </c>
      <c r="BK41">
        <v>192.60452014744388</v>
      </c>
      <c r="BV41" s="37"/>
      <c r="BW41" s="6">
        <f t="shared" si="25"/>
        <v>0.90757121103705185</v>
      </c>
      <c r="BX41" s="9">
        <f t="shared" ca="1" si="26"/>
        <v>95.59880793208464</v>
      </c>
      <c r="BY41" s="9">
        <f t="shared" ca="1" si="27"/>
        <v>253.91335080768363</v>
      </c>
      <c r="BZ41" s="9">
        <f t="shared" ca="1" si="28"/>
        <v>252.36548452049394</v>
      </c>
      <c r="CA41" s="6">
        <f t="shared" ca="1" si="29"/>
        <v>169.50052495238629</v>
      </c>
      <c r="CB41" s="6">
        <f t="shared" ca="1" si="30"/>
        <v>0.59144261771677464</v>
      </c>
      <c r="CC41" s="6">
        <f t="shared" ca="1" si="31"/>
        <v>1.058060758325321</v>
      </c>
      <c r="CD41" s="9">
        <f t="shared" si="32"/>
        <v>202.36548452049394</v>
      </c>
      <c r="CE41" s="9">
        <f t="shared" si="33"/>
        <v>169.50052495238629</v>
      </c>
      <c r="CF41" s="6">
        <f t="shared" si="34"/>
        <v>0.69724869354930674</v>
      </c>
      <c r="CG41" s="6"/>
      <c r="CH41" s="6"/>
      <c r="CI41" s="6"/>
      <c r="CJ41" s="1"/>
      <c r="CK41" s="6"/>
      <c r="DC41">
        <v>-2.0733874765873717</v>
      </c>
      <c r="DD41">
        <v>5.2136294897454132</v>
      </c>
      <c r="DE41">
        <v>0.53383934468552763</v>
      </c>
      <c r="DF41">
        <v>-0.55977060511580679</v>
      </c>
      <c r="DG41">
        <v>0.8450490577370332</v>
      </c>
      <c r="DH41">
        <v>-0.53383934468552763</v>
      </c>
      <c r="DW41">
        <f ca="1"/>
        <v>0.1617076405674909</v>
      </c>
      <c r="DX41">
        <f ca="1"/>
        <v>-0.54409950522471839</v>
      </c>
      <c r="DY41">
        <f ca="1"/>
        <v>-0.82328996556274858</v>
      </c>
      <c r="DZ41">
        <f ca="1"/>
        <v>0</v>
      </c>
    </row>
    <row r="42" spans="1:139" x14ac:dyDescent="0.25">
      <c r="A42" s="3">
        <f t="shared" si="42"/>
        <v>-18</v>
      </c>
      <c r="B42" s="6">
        <f t="shared" si="43"/>
        <v>12</v>
      </c>
      <c r="C42" s="6">
        <f t="shared" si="44"/>
        <v>-17.454333512440154</v>
      </c>
      <c r="D42" s="6">
        <f t="shared" si="45"/>
        <v>12.780698010535595</v>
      </c>
      <c r="J42" s="9"/>
      <c r="K42" s="9"/>
      <c r="N42" s="9"/>
      <c r="O42" s="9"/>
      <c r="BC42">
        <v>1.3962634015954647</v>
      </c>
      <c r="BD42">
        <v>234.98271468298987</v>
      </c>
      <c r="BE42">
        <v>166.93576819126355</v>
      </c>
      <c r="BF42" s="6">
        <f t="shared" si="39"/>
        <v>0.61768322921106456</v>
      </c>
      <c r="BG42" s="6">
        <f t="shared" si="40"/>
        <v>0.77858017238440014</v>
      </c>
      <c r="BH42" s="6">
        <f t="shared" si="2"/>
        <v>-0.61768322921106456</v>
      </c>
      <c r="BI42" s="6">
        <f t="shared" si="3"/>
        <v>0.61768322921106456</v>
      </c>
      <c r="BJ42">
        <v>271.26449659736028</v>
      </c>
      <c r="BK42">
        <v>192.71097103286115</v>
      </c>
      <c r="BV42" s="37"/>
      <c r="BW42" s="6">
        <f t="shared" si="25"/>
        <v>0.94247779607693849</v>
      </c>
      <c r="BX42" s="9">
        <f t="shared" ca="1" si="26"/>
        <v>94.85430179243852</v>
      </c>
      <c r="BY42" s="9">
        <f t="shared" ca="1" si="27"/>
        <v>254.47464446690259</v>
      </c>
      <c r="BZ42" s="9">
        <f t="shared" ca="1" si="28"/>
        <v>251.62097838084782</v>
      </c>
      <c r="CA42" s="6">
        <f t="shared" ca="1" si="29"/>
        <v>170.06181861160525</v>
      </c>
      <c r="CB42" s="6">
        <f t="shared" ca="1" si="30"/>
        <v>0.59434369135948262</v>
      </c>
      <c r="CC42" s="6">
        <f t="shared" ca="1" si="31"/>
        <v>1.0634879194015225</v>
      </c>
      <c r="CD42" s="9">
        <f t="shared" si="32"/>
        <v>201.62097838084782</v>
      </c>
      <c r="CE42" s="9">
        <f t="shared" si="33"/>
        <v>170.06181861160525</v>
      </c>
      <c r="CF42" s="6">
        <f t="shared" si="34"/>
        <v>0.70069248329963485</v>
      </c>
      <c r="CG42" s="6"/>
      <c r="CH42" s="6"/>
      <c r="CI42" s="6"/>
      <c r="CJ42" s="1"/>
      <c r="CK42" s="6"/>
      <c r="DC42">
        <v>0.54622148472778975</v>
      </c>
      <c r="DD42">
        <v>0.53383934468552763</v>
      </c>
      <c r="DE42">
        <v>0.5855246366903466</v>
      </c>
      <c r="DF42">
        <v>5.7816752390870061</v>
      </c>
      <c r="DG42">
        <v>-2.5402642360909589</v>
      </c>
      <c r="DH42">
        <v>-0.5855246366903466</v>
      </c>
      <c r="DW42">
        <f ca="1"/>
        <v>-0.23454430160944675</v>
      </c>
      <c r="DX42">
        <f ca="1"/>
        <v>0.78917383254822171</v>
      </c>
      <c r="DY42">
        <f ca="1"/>
        <v>-0.56762102903582434</v>
      </c>
      <c r="DZ42">
        <f ca="1"/>
        <v>0</v>
      </c>
    </row>
    <row r="43" spans="1:139" x14ac:dyDescent="0.25">
      <c r="A43" s="3">
        <f t="shared" si="42"/>
        <v>-18</v>
      </c>
      <c r="B43" s="6">
        <f t="shared" si="43"/>
        <v>4</v>
      </c>
      <c r="C43" s="6">
        <f t="shared" si="44"/>
        <v>-17.806479872104408</v>
      </c>
      <c r="D43" s="6">
        <f t="shared" si="45"/>
        <v>4.7884522096749134</v>
      </c>
      <c r="AD43" t="s">
        <v>134</v>
      </c>
      <c r="BC43">
        <v>1.4311699866353513</v>
      </c>
      <c r="BD43">
        <v>231.56561628974913</v>
      </c>
      <c r="BE43">
        <v>164.91009008906903</v>
      </c>
      <c r="BF43" s="6">
        <f t="shared" si="39"/>
        <v>0.61883569137366168</v>
      </c>
      <c r="BG43" s="6">
        <f t="shared" si="40"/>
        <v>0.81233429526168965</v>
      </c>
      <c r="BH43" s="6">
        <f t="shared" si="2"/>
        <v>-0.61883569137366168</v>
      </c>
      <c r="BI43" s="6">
        <f t="shared" si="3"/>
        <v>0.61883569137366168</v>
      </c>
      <c r="BJ43">
        <v>270.72372816883899</v>
      </c>
      <c r="BK43">
        <v>192.79664708818089</v>
      </c>
      <c r="BV43" s="37"/>
      <c r="BW43" s="6">
        <f t="shared" si="25"/>
        <v>0.97738438111682513</v>
      </c>
      <c r="BX43" s="9">
        <f t="shared" ca="1" si="26"/>
        <v>94.146639240665536</v>
      </c>
      <c r="BY43" s="9">
        <f t="shared" ca="1" si="27"/>
        <v>254.97038014577993</v>
      </c>
      <c r="BZ43" s="9">
        <f t="shared" ca="1" si="28"/>
        <v>250.91331582907483</v>
      </c>
      <c r="CA43" s="6">
        <f t="shared" ca="1" si="29"/>
        <v>170.55755429048259</v>
      </c>
      <c r="CB43" s="6">
        <f t="shared" ca="1" si="30"/>
        <v>0.59700358156254218</v>
      </c>
      <c r="CC43" s="6">
        <f t="shared" ca="1" si="31"/>
        <v>1.0685801026764463</v>
      </c>
      <c r="CD43" s="9">
        <f t="shared" si="32"/>
        <v>200.91331582907483</v>
      </c>
      <c r="CE43" s="9">
        <f t="shared" si="33"/>
        <v>170.55755429048259</v>
      </c>
      <c r="CF43" s="6">
        <f t="shared" si="34"/>
        <v>0.70386159183018682</v>
      </c>
      <c r="CG43" s="6"/>
      <c r="CH43" s="6"/>
      <c r="CI43" s="6"/>
      <c r="CJ43" s="1"/>
      <c r="CK43" s="6"/>
      <c r="DC43">
        <v>0.8450490577370332</v>
      </c>
      <c r="DD43">
        <v>0.5855246366903466</v>
      </c>
      <c r="DE43">
        <v>5.0546009593805206</v>
      </c>
      <c r="DF43">
        <v>-0.7574973102697411</v>
      </c>
      <c r="DG43">
        <v>1.2885823951266384</v>
      </c>
      <c r="DH43">
        <v>-5.0546009593805206</v>
      </c>
      <c r="DV43" s="5"/>
      <c r="DW43">
        <f ca="1"/>
        <v>0</v>
      </c>
      <c r="DX43">
        <f ca="1"/>
        <v>0</v>
      </c>
      <c r="DY43">
        <f ca="1"/>
        <v>0</v>
      </c>
      <c r="DZ43">
        <f ca="1"/>
        <v>1</v>
      </c>
    </row>
    <row r="44" spans="1:139" x14ac:dyDescent="0.25">
      <c r="A44" s="3">
        <f t="shared" si="42"/>
        <v>-6</v>
      </c>
      <c r="B44" s="6">
        <f t="shared" si="43"/>
        <v>4</v>
      </c>
      <c r="C44" s="6">
        <f t="shared" si="44"/>
        <v>-5.8181111708133839</v>
      </c>
      <c r="D44" s="6">
        <f t="shared" si="45"/>
        <v>4.2602326701785316</v>
      </c>
      <c r="AD44" t="s">
        <v>8</v>
      </c>
      <c r="AE44" t="s">
        <v>9</v>
      </c>
      <c r="BC44">
        <v>1.466076571675238</v>
      </c>
      <c r="BD44">
        <v>228.05506500857342</v>
      </c>
      <c r="BE44">
        <v>162.78743564460083</v>
      </c>
      <c r="BF44" s="6">
        <f t="shared" si="39"/>
        <v>0.61993281654836152</v>
      </c>
      <c r="BG44" s="6">
        <f t="shared" si="40"/>
        <v>0.84614375512687645</v>
      </c>
      <c r="BH44" s="6">
        <f t="shared" si="2"/>
        <v>-0.61993281654836152</v>
      </c>
      <c r="BI44" s="6">
        <f t="shared" si="3"/>
        <v>0.61993281654836152</v>
      </c>
      <c r="BJ44">
        <v>270.18824177742391</v>
      </c>
      <c r="BK44">
        <v>192.86241688434657</v>
      </c>
      <c r="BV44" s="37"/>
      <c r="BW44" s="6">
        <f t="shared" si="25"/>
        <v>1.0122909661567117</v>
      </c>
      <c r="BX44" s="9">
        <f t="shared" ca="1" si="26"/>
        <v>93.471546597517829</v>
      </c>
      <c r="BY44" s="9">
        <f t="shared" ca="1" si="27"/>
        <v>255.40898036558471</v>
      </c>
      <c r="BZ44" s="9">
        <f t="shared" ca="1" si="28"/>
        <v>250.23822318592713</v>
      </c>
      <c r="CA44" s="6">
        <f t="shared" ca="1" si="29"/>
        <v>170.99615451028737</v>
      </c>
      <c r="CB44" s="6">
        <f t="shared" ca="1" si="30"/>
        <v>0.59945258109513888</v>
      </c>
      <c r="CC44" s="6">
        <f t="shared" ca="1" si="31"/>
        <v>1.0733806289261647</v>
      </c>
      <c r="CD44" s="9">
        <f t="shared" si="32"/>
        <v>200.23822318592713</v>
      </c>
      <c r="CE44" s="9">
        <f t="shared" si="33"/>
        <v>170.99615451028737</v>
      </c>
      <c r="CF44" s="6">
        <f t="shared" si="34"/>
        <v>0.70679064398775537</v>
      </c>
      <c r="CG44" s="6"/>
      <c r="CH44" s="6"/>
      <c r="CI44" s="6"/>
      <c r="CJ44" s="1"/>
      <c r="CK44" s="6"/>
      <c r="DC44">
        <v>-2.5402642360909589</v>
      </c>
      <c r="DD44">
        <v>5.0546009593805206</v>
      </c>
      <c r="DE44">
        <v>0.61372794986083457</v>
      </c>
      <c r="DF44">
        <v>-0.86218331913789992</v>
      </c>
      <c r="DG44">
        <v>1.8177283959853512</v>
      </c>
      <c r="DH44">
        <v>-0.61372794986083457</v>
      </c>
      <c r="DV44" s="5"/>
      <c r="DW44">
        <f t="array" aca="1" ref="DW44:DZ44" ca="1">MMULT(DW10:DZ10,DW40:DZ43)</f>
        <v>1957.46548455692</v>
      </c>
      <c r="DX44">
        <f ca="1"/>
        <v>5.6843418860808015E-14</v>
      </c>
      <c r="DY44">
        <f ca="1"/>
        <v>-1.7053025658242404E-13</v>
      </c>
      <c r="DZ44">
        <f ca="1"/>
        <v>0</v>
      </c>
    </row>
    <row r="45" spans="1:139" x14ac:dyDescent="0.25">
      <c r="A45" s="3">
        <f t="shared" si="42"/>
        <v>-6</v>
      </c>
      <c r="B45" s="6">
        <f t="shared" si="43"/>
        <v>-12</v>
      </c>
      <c r="C45" s="6">
        <f t="shared" si="44"/>
        <v>-6.5224038901418933</v>
      </c>
      <c r="D45" s="6">
        <f t="shared" si="45"/>
        <v>-11.724258931542833</v>
      </c>
      <c r="AD45" s="37">
        <f>U13+PI()/2</f>
        <v>1.5707963267948966</v>
      </c>
      <c r="AE45">
        <v>0</v>
      </c>
      <c r="BC45">
        <v>1.5009831567151246</v>
      </c>
      <c r="BD45">
        <v>224.43629113065907</v>
      </c>
      <c r="BE45">
        <v>160.55885495809204</v>
      </c>
      <c r="BF45" s="6">
        <f t="shared" si="39"/>
        <v>0.62097848317170301</v>
      </c>
      <c r="BG45" s="6">
        <f t="shared" si="40"/>
        <v>0.8800046735434216</v>
      </c>
      <c r="BH45" s="6">
        <f t="shared" si="2"/>
        <v>-0.62097848317170312</v>
      </c>
      <c r="BI45" s="6">
        <f t="shared" si="3"/>
        <v>0.62097848317170312</v>
      </c>
      <c r="BJ45">
        <v>269.65667182494792</v>
      </c>
      <c r="BK45">
        <v>192.90893750698427</v>
      </c>
      <c r="BV45" s="37"/>
      <c r="BW45" s="6">
        <f t="shared" si="25"/>
        <v>1.0471975511965983</v>
      </c>
      <c r="BX45" s="9">
        <f t="shared" ca="1" si="26"/>
        <v>92.825287072513163</v>
      </c>
      <c r="BY45" s="9">
        <f t="shared" ca="1" si="27"/>
        <v>255.79745330619016</v>
      </c>
      <c r="BZ45" s="9">
        <f t="shared" ca="1" si="28"/>
        <v>249.59196366092246</v>
      </c>
      <c r="CA45" s="6">
        <f t="shared" ca="1" si="29"/>
        <v>171.38462745089282</v>
      </c>
      <c r="CB45" s="6">
        <f t="shared" ca="1" si="30"/>
        <v>0.60171620636504342</v>
      </c>
      <c r="CC45" s="6">
        <f t="shared" ca="1" si="31"/>
        <v>1.0779262706134272</v>
      </c>
      <c r="CD45" s="9">
        <f t="shared" si="32"/>
        <v>199.59196366092246</v>
      </c>
      <c r="CE45" s="9">
        <f t="shared" si="33"/>
        <v>171.38462745089282</v>
      </c>
      <c r="CF45" s="6">
        <f t="shared" si="34"/>
        <v>0.70950883342638615</v>
      </c>
      <c r="CG45" s="6"/>
      <c r="CH45" s="6"/>
      <c r="CI45" s="6"/>
      <c r="CJ45" s="1"/>
      <c r="CK45" s="6"/>
      <c r="DC45">
        <v>1.2885823951266384</v>
      </c>
      <c r="DD45">
        <v>0.61372794986083457</v>
      </c>
      <c r="DE45">
        <v>0.65267539704167887</v>
      </c>
      <c r="DF45">
        <v>13.586153629061597</v>
      </c>
      <c r="DG45">
        <v>-0.76643451095208603</v>
      </c>
      <c r="DH45">
        <v>-0.65267539704167887</v>
      </c>
      <c r="DV45" s="5"/>
    </row>
    <row r="46" spans="1:139" x14ac:dyDescent="0.25">
      <c r="AD46" s="37">
        <f>U13-PI()/2</f>
        <v>-1.5707963267948966</v>
      </c>
      <c r="AE46">
        <f>AE45</f>
        <v>0</v>
      </c>
      <c r="BC46">
        <v>1.5358897417550113</v>
      </c>
      <c r="BD46">
        <v>220.69292614980924</v>
      </c>
      <c r="BE46">
        <v>158.21396047842998</v>
      </c>
      <c r="BF46" s="6">
        <f t="shared" si="39"/>
        <v>0.62197603830465087</v>
      </c>
      <c r="BG46" s="6">
        <f t="shared" si="40"/>
        <v>0.91391370345036038</v>
      </c>
      <c r="BH46" s="6">
        <f t="shared" si="2"/>
        <v>-0.62197603830465087</v>
      </c>
      <c r="BI46" s="6">
        <f t="shared" si="3"/>
        <v>0.62197603830465087</v>
      </c>
      <c r="BJ46">
        <v>269.12769162785446</v>
      </c>
      <c r="BK46">
        <v>192.93666865405899</v>
      </c>
      <c r="BV46" s="37"/>
      <c r="BW46" s="6">
        <f t="shared" si="25"/>
        <v>1.0821041362364849</v>
      </c>
      <c r="BX46" s="9">
        <f t="shared" ca="1" si="26"/>
        <v>92.204571682234928</v>
      </c>
      <c r="BY46" s="9">
        <f t="shared" ca="1" si="27"/>
        <v>256.14165851893824</v>
      </c>
      <c r="BZ46" s="9">
        <f t="shared" ca="1" si="28"/>
        <v>248.97124827064422</v>
      </c>
      <c r="CA46" s="6">
        <f t="shared" ca="1" si="29"/>
        <v>171.7288326636409</v>
      </c>
      <c r="CB46" s="6">
        <f t="shared" ca="1" si="30"/>
        <v>0.60381608130880782</v>
      </c>
      <c r="CC46" s="6">
        <f t="shared" ca="1" si="31"/>
        <v>1.0822485051738717</v>
      </c>
      <c r="CD46" s="9">
        <f t="shared" si="32"/>
        <v>198.97124827064422</v>
      </c>
      <c r="CE46" s="9">
        <f t="shared" si="33"/>
        <v>171.7288326636409</v>
      </c>
      <c r="CF46" s="6">
        <f t="shared" si="34"/>
        <v>0.71204093182619499</v>
      </c>
      <c r="CG46" s="6"/>
      <c r="CH46" s="6"/>
      <c r="CI46" s="6"/>
      <c r="CJ46" s="1"/>
      <c r="CK46" s="6"/>
      <c r="DC46">
        <v>1.8177283959853512</v>
      </c>
      <c r="DD46">
        <v>0.65267539704167887</v>
      </c>
      <c r="DE46">
        <v>5.2571514542200006</v>
      </c>
      <c r="DF46">
        <v>-0.56122843833855074</v>
      </c>
      <c r="DG46">
        <v>2.184028389809046</v>
      </c>
      <c r="DH46">
        <v>-5.2571514542200006</v>
      </c>
    </row>
    <row r="47" spans="1:139" x14ac:dyDescent="0.25">
      <c r="A47" t="s">
        <v>27</v>
      </c>
      <c r="BC47">
        <v>1.5707963267948979</v>
      </c>
      <c r="BD47">
        <v>216.80666666666636</v>
      </c>
      <c r="BE47">
        <v>155.74070588235173</v>
      </c>
      <c r="BF47" s="6">
        <f t="shared" si="39"/>
        <v>0.62292834269135933</v>
      </c>
      <c r="BG47" s="6">
        <f t="shared" si="40"/>
        <v>0.94786798410353856</v>
      </c>
      <c r="BH47" s="6">
        <f t="shared" si="2"/>
        <v>-0.62292834269135933</v>
      </c>
      <c r="BI47" s="6">
        <f t="shared" si="3"/>
        <v>0.62292834269135933</v>
      </c>
      <c r="BJ47">
        <v>268.59999999999832</v>
      </c>
      <c r="BK47">
        <v>192.94588235293875</v>
      </c>
      <c r="BV47" s="37"/>
      <c r="BW47" s="6">
        <f t="shared" si="25"/>
        <v>1.1170107212763716</v>
      </c>
      <c r="BX47" s="9">
        <f t="shared" ca="1" si="26"/>
        <v>91.606486616069617</v>
      </c>
      <c r="BY47" s="9">
        <f t="shared" ca="1" si="27"/>
        <v>256.44651504286401</v>
      </c>
      <c r="BZ47" s="9">
        <f t="shared" ca="1" si="28"/>
        <v>248.37316320447891</v>
      </c>
      <c r="CA47" s="6">
        <f t="shared" ca="1" si="29"/>
        <v>172.03368918756667</v>
      </c>
      <c r="CB47" s="6">
        <f t="shared" ca="1" si="30"/>
        <v>0.60577063298054179</v>
      </c>
      <c r="CC47" s="6">
        <f t="shared" ca="1" si="31"/>
        <v>1.0863744952684975</v>
      </c>
      <c r="CD47" s="9">
        <f t="shared" si="32"/>
        <v>198.37316320447891</v>
      </c>
      <c r="CE47" s="9">
        <f t="shared" si="33"/>
        <v>172.03368918756664</v>
      </c>
      <c r="CF47" s="6">
        <f t="shared" si="34"/>
        <v>0.71440808250739152</v>
      </c>
      <c r="CG47" s="6"/>
      <c r="CH47" s="6"/>
      <c r="CI47" s="6"/>
      <c r="CJ47" s="1"/>
      <c r="CK47" s="6"/>
      <c r="DC47">
        <v>-0.76643451095208603</v>
      </c>
      <c r="DD47">
        <v>5.2571514542200006</v>
      </c>
      <c r="DE47">
        <v>0.91011552293786824</v>
      </c>
      <c r="DF47">
        <v>-0.67872981668474741</v>
      </c>
      <c r="DG47">
        <v>2.8017509318546083</v>
      </c>
      <c r="DH47">
        <v>-0.91011552293786824</v>
      </c>
    </row>
    <row r="48" spans="1:13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1.6057029118347845</v>
      </c>
      <c r="BD48">
        <v>208.69118337833578</v>
      </c>
      <c r="BE48">
        <v>150.19895916515239</v>
      </c>
      <c r="BF48" s="6">
        <f t="shared" si="39"/>
        <v>0.62383780522498566</v>
      </c>
      <c r="BG48" s="6">
        <f t="shared" si="40"/>
        <v>0.98186510660979887</v>
      </c>
      <c r="BH48" s="6">
        <f t="shared" si="2"/>
        <v>-0.62383780522498566</v>
      </c>
      <c r="BI48" s="6">
        <f t="shared" si="3"/>
        <v>0.62383780522498566</v>
      </c>
      <c r="BJ48">
        <v>268.07230837210585</v>
      </c>
      <c r="BK48">
        <v>192.93666865406203</v>
      </c>
      <c r="BV48" s="37"/>
      <c r="BW48" s="6">
        <f t="shared" si="25"/>
        <v>1.1519173063162582</v>
      </c>
      <c r="BX48" s="9">
        <f t="shared" ca="1" si="26"/>
        <v>91.028433531782412</v>
      </c>
      <c r="BY48" s="9">
        <f t="shared" ca="1" si="27"/>
        <v>256.71616561383098</v>
      </c>
      <c r="BZ48" s="9">
        <f t="shared" ca="1" si="28"/>
        <v>247.79511012019171</v>
      </c>
      <c r="CA48" s="6">
        <f t="shared" ca="1" si="29"/>
        <v>172.30333975853364</v>
      </c>
      <c r="CB48" s="6">
        <f t="shared" ca="1" si="30"/>
        <v>0.60759564342205952</v>
      </c>
      <c r="CC48" s="6">
        <f t="shared" ca="1" si="31"/>
        <v>1.0903278635595548</v>
      </c>
      <c r="CD48" s="9">
        <f t="shared" si="32"/>
        <v>197.79511012019171</v>
      </c>
      <c r="CE48" s="9">
        <f t="shared" si="33"/>
        <v>172.30333975853361</v>
      </c>
      <c r="CF48" s="6">
        <f t="shared" si="34"/>
        <v>0.716628429778015</v>
      </c>
      <c r="CG48" s="6"/>
      <c r="CH48" s="6"/>
      <c r="CI48" s="6"/>
      <c r="CJ48" s="1"/>
      <c r="CK48" s="6"/>
      <c r="DC48">
        <v>2.184028389809046</v>
      </c>
      <c r="DD48">
        <v>0.91011552293786824</v>
      </c>
      <c r="DE48">
        <v>2.9067215465420162</v>
      </c>
      <c r="DF48">
        <v>0.30938629591554989</v>
      </c>
      <c r="DG48">
        <v>1.902451119312055</v>
      </c>
      <c r="DH48">
        <v>-2.9067215465420162</v>
      </c>
    </row>
    <row r="49" spans="1:112" x14ac:dyDescent="0.25">
      <c r="A49" t="s">
        <v>43</v>
      </c>
      <c r="B49" s="6">
        <f>C37</f>
        <v>-6.5224038901418933</v>
      </c>
      <c r="C49" s="6">
        <f>D37</f>
        <v>-11.724258931542833</v>
      </c>
      <c r="D49" s="6">
        <f t="shared" ref="D49:E56" si="47">C38</f>
        <v>5.4659648111491297</v>
      </c>
      <c r="E49" s="6">
        <f t="shared" si="47"/>
        <v>-12.252478471039213</v>
      </c>
      <c r="F49" s="6">
        <f t="shared" ref="F49:F56" si="48">IF(B49=D49,"V",(C49-E49)/(B49-D49))</f>
        <v>-4.4061002181180517E-2</v>
      </c>
      <c r="G49" s="6">
        <f t="shared" ref="G49:G56" si="49">IF(F49="V",0,(-1*B49*F49)+C49)</f>
        <v>-12.011642583572915</v>
      </c>
      <c r="H49" s="6">
        <f t="shared" ref="H49:H56" si="50">IF(AND(C49&lt;$G$41,E49&lt;$G$41),0,IF(AND(C49&lt;$G$41,E49&gt;$G$41),IF(F49="V",B49,($G$41-G49)/F49),B49))</f>
        <v>0</v>
      </c>
      <c r="I49" s="6">
        <f t="shared" ref="I49:I56" si="51">IF(AND(C49&lt;$G$41,E49&lt;$G$41),0,IF(AND(C49&lt;$G$41,E49&gt;$G$41),$G$41,C49))</f>
        <v>0</v>
      </c>
      <c r="J49" s="6">
        <f t="shared" ref="J49:J56" si="52">IF(AND(C49&lt;$G$41,E49&lt;$G$41),0,IF(E49&gt;=$G$41,D49,IF(F49="V",D49,($G$41-G49)/F49)))</f>
        <v>0</v>
      </c>
      <c r="K49" s="6">
        <f t="shared" ref="K49:K56" si="53">IF(AND(C49&lt;$G$41,E49&lt;$G$41),0,IF(E49&gt;=$G$41,E49,$G$41))</f>
        <v>0</v>
      </c>
      <c r="L49" s="6">
        <f t="shared" ref="L49:L56" si="54">IF(AND(I49=0,K49=0,H49=0,J49=0),0,$B$31)</f>
        <v>0</v>
      </c>
      <c r="M49" s="6">
        <f t="shared" ref="M49:M56" si="55">IF(AND(I49=0,K49=0,H49=0,J49=0),0,$B$31)</f>
        <v>0</v>
      </c>
      <c r="N49" s="10">
        <f t="shared" ref="N49:N56" si="56">(1/6)*(K49-I49)*((L49*((2*H49)+J49))+(M49*(H49+(2*J49))))</f>
        <v>0</v>
      </c>
      <c r="O49" s="10">
        <f t="shared" ref="O49:O56" si="57">((1/12)*(K49-I49)*(L49*H49*((3*I49)+K49)+L49*J49*(I49+K49)+M49*H49*(I49+K49)+M49*J49*(I49+(3*K49))))</f>
        <v>0</v>
      </c>
      <c r="P49" s="10">
        <f t="shared" ref="P49:P56" si="58">((-1/24)*(K49-I49)*(H49*H49*((3*L49)+M49)+2*H49*J49*(L49+M49)+J49*J49*(L49+(3*M49))))</f>
        <v>0</v>
      </c>
      <c r="S49" t="e">
        <f t="shared" ref="S49:S56" si="59">IF(AND(I49=0,K49=0,H49=0,J49=0),NA(),H49)</f>
        <v>#N/A</v>
      </c>
      <c r="T49" t="e">
        <f t="shared" ref="T49:T56" si="60">IF(AND(I49=0,K49=0,H49=0,J49=0),NA(),I49)</f>
        <v>#N/A</v>
      </c>
      <c r="V49" t="e">
        <f t="shared" ref="V49:V56" si="61">IF(AND(I49=0,K49=0,H49=0,J49=0),NA(),J49)</f>
        <v>#N/A</v>
      </c>
      <c r="W49" t="e">
        <f t="shared" ref="W49:W56" si="62">IF(AND(I49=0,K49=0,H49=0,J49=0),NA(),K49)</f>
        <v>#N/A</v>
      </c>
      <c r="AC49">
        <v>0</v>
      </c>
      <c r="AD49">
        <f>-PI()</f>
        <v>-3.1415926535897931</v>
      </c>
      <c r="BC49">
        <v>1.6406094968746712</v>
      </c>
      <c r="BD49">
        <v>200.95371139188555</v>
      </c>
      <c r="BE49">
        <v>144.89528562386795</v>
      </c>
      <c r="BF49" s="6">
        <f t="shared" si="39"/>
        <v>0.62470640773074015</v>
      </c>
      <c r="BG49" s="6">
        <f t="shared" si="40"/>
        <v>1.0159030891439311</v>
      </c>
      <c r="BH49" s="6">
        <f t="shared" si="2"/>
        <v>-0.62470640773074015</v>
      </c>
      <c r="BI49" s="6">
        <f t="shared" si="3"/>
        <v>0.62470640773074015</v>
      </c>
      <c r="BJ49">
        <v>267.54332817508458</v>
      </c>
      <c r="BK49">
        <v>192.90893750696097</v>
      </c>
      <c r="BV49" s="37"/>
      <c r="BW49" s="6">
        <f t="shared" si="25"/>
        <v>1.1868238913561449</v>
      </c>
      <c r="BX49" s="9">
        <f t="shared" ca="1" si="26"/>
        <v>90.468080082981089</v>
      </c>
      <c r="BY49" s="9">
        <f t="shared" ca="1" si="27"/>
        <v>256.95410707308884</v>
      </c>
      <c r="BZ49" s="9">
        <f t="shared" ca="1" si="28"/>
        <v>247.23475667139039</v>
      </c>
      <c r="CA49" s="6">
        <f t="shared" ca="1" si="29"/>
        <v>172.54128121779149</v>
      </c>
      <c r="CB49" s="6">
        <f t="shared" ca="1" si="30"/>
        <v>0.60930469076258043</v>
      </c>
      <c r="CC49" s="6">
        <f t="shared" ca="1" si="31"/>
        <v>1.0941293112199857</v>
      </c>
      <c r="CD49" s="9">
        <f t="shared" si="32"/>
        <v>197.23475667139039</v>
      </c>
      <c r="CE49" s="9">
        <f t="shared" si="33"/>
        <v>172.54128121779149</v>
      </c>
      <c r="CF49" s="6">
        <f t="shared" si="34"/>
        <v>0.71871762188457899</v>
      </c>
      <c r="CG49" s="6"/>
      <c r="CH49" s="6"/>
      <c r="CI49" s="6"/>
      <c r="CJ49" s="1"/>
      <c r="CK49" s="6"/>
      <c r="DC49">
        <v>2.8017509318546083</v>
      </c>
      <c r="DD49">
        <v>2.9067215465420162</v>
      </c>
      <c r="DE49">
        <v>0.67230072500366977</v>
      </c>
      <c r="DF49">
        <v>0.40247557840219483</v>
      </c>
      <c r="DG49">
        <v>1.6318664961559879</v>
      </c>
      <c r="DH49">
        <v>-0.67230072500366977</v>
      </c>
    </row>
    <row r="50" spans="1:112" x14ac:dyDescent="0.25">
      <c r="A50" t="s">
        <v>44</v>
      </c>
      <c r="B50" s="6">
        <f t="shared" ref="B50:C56" si="63">D49</f>
        <v>5.4659648111491297</v>
      </c>
      <c r="C50" s="6">
        <f t="shared" si="63"/>
        <v>-12.252478471039213</v>
      </c>
      <c r="D50" s="6">
        <f t="shared" si="47"/>
        <v>6.170257530477639</v>
      </c>
      <c r="E50" s="6">
        <f t="shared" si="47"/>
        <v>3.7320131306821502</v>
      </c>
      <c r="F50" s="6">
        <f t="shared" si="48"/>
        <v>22.695806960721367</v>
      </c>
      <c r="G50" s="6">
        <f t="shared" si="49"/>
        <v>-136.30696067897568</v>
      </c>
      <c r="H50" s="6">
        <f t="shared" si="50"/>
        <v>0</v>
      </c>
      <c r="I50" s="6">
        <f t="shared" si="51"/>
        <v>0</v>
      </c>
      <c r="J50" s="6">
        <f t="shared" si="52"/>
        <v>0</v>
      </c>
      <c r="K50" s="6">
        <f t="shared" si="53"/>
        <v>0</v>
      </c>
      <c r="L50" s="6">
        <f t="shared" si="54"/>
        <v>0</v>
      </c>
      <c r="M50" s="6">
        <f t="shared" si="55"/>
        <v>0</v>
      </c>
      <c r="N50" s="10">
        <f t="shared" si="56"/>
        <v>0</v>
      </c>
      <c r="O50" s="10">
        <f t="shared" si="57"/>
        <v>0</v>
      </c>
      <c r="P50" s="10">
        <f t="shared" si="58"/>
        <v>0</v>
      </c>
      <c r="S50" t="e">
        <f t="shared" si="59"/>
        <v>#N/A</v>
      </c>
      <c r="T50" t="e">
        <f t="shared" si="60"/>
        <v>#N/A</v>
      </c>
      <c r="V50" t="e">
        <f t="shared" si="61"/>
        <v>#N/A</v>
      </c>
      <c r="W50" t="e">
        <f t="shared" si="62"/>
        <v>#N/A</v>
      </c>
      <c r="AC50">
        <f>2*PI()</f>
        <v>6.2831853071795862</v>
      </c>
      <c r="AD50">
        <f>AD49</f>
        <v>-3.1415926535897931</v>
      </c>
      <c r="BC50">
        <v>1.6755160819145578</v>
      </c>
      <c r="BD50">
        <v>193.19448154508638</v>
      </c>
      <c r="BE50">
        <v>139.76661951515447</v>
      </c>
      <c r="BF50" s="6">
        <f t="shared" si="39"/>
        <v>0.62629171076620138</v>
      </c>
      <c r="BG50" s="6">
        <f t="shared" si="40"/>
        <v>1.0492243711483564</v>
      </c>
      <c r="BH50" s="6">
        <f t="shared" si="2"/>
        <v>-0.62629171076620138</v>
      </c>
      <c r="BI50" s="6">
        <f t="shared" si="3"/>
        <v>0.62629171076620138</v>
      </c>
      <c r="BJ50">
        <v>265.8056543852768</v>
      </c>
      <c r="BK50">
        <v>192.2971995076042</v>
      </c>
      <c r="BV50" s="37"/>
      <c r="BW50" s="6">
        <f t="shared" si="25"/>
        <v>1.2217304763960315</v>
      </c>
      <c r="BX50" s="9">
        <f t="shared" ca="1" si="26"/>
        <v>89.923318597584142</v>
      </c>
      <c r="BY50" s="9">
        <f t="shared" ca="1" si="27"/>
        <v>257.16329451916636</v>
      </c>
      <c r="BZ50" s="9">
        <f t="shared" ca="1" si="28"/>
        <v>246.68999518599344</v>
      </c>
      <c r="CA50" s="6">
        <f t="shared" ca="1" si="29"/>
        <v>172.75046866386901</v>
      </c>
      <c r="CB50" s="6">
        <f t="shared" ca="1" si="30"/>
        <v>0.61090950416203238</v>
      </c>
      <c r="CC50" s="6">
        <f t="shared" ca="1" si="31"/>
        <v>1.0977971164339029</v>
      </c>
      <c r="CD50" s="9">
        <f t="shared" si="32"/>
        <v>196.68999518599344</v>
      </c>
      <c r="CE50" s="9">
        <f t="shared" si="33"/>
        <v>172.75046866386904</v>
      </c>
      <c r="CF50" s="6">
        <f t="shared" si="34"/>
        <v>0.72068921580542267</v>
      </c>
      <c r="CG50" s="6"/>
      <c r="CH50" s="6"/>
      <c r="CI50" s="6"/>
      <c r="CJ50" s="1"/>
      <c r="CK50" s="6"/>
      <c r="DC50">
        <v>1.902451119312055</v>
      </c>
      <c r="DD50">
        <v>0.67230072500366977</v>
      </c>
      <c r="DE50">
        <v>0.62449259264367907</v>
      </c>
      <c r="DF50">
        <v>5.6598032551991482</v>
      </c>
      <c r="DG50">
        <v>-1.9026387125364623</v>
      </c>
      <c r="DH50">
        <v>-0.62449259264367907</v>
      </c>
    </row>
    <row r="51" spans="1:112" x14ac:dyDescent="0.25">
      <c r="A51" t="s">
        <v>45</v>
      </c>
      <c r="B51" s="6">
        <f t="shared" si="63"/>
        <v>6.170257530477639</v>
      </c>
      <c r="C51" s="6">
        <f t="shared" si="63"/>
        <v>3.7320131306821502</v>
      </c>
      <c r="D51" s="6">
        <f t="shared" si="47"/>
        <v>30.146994933059684</v>
      </c>
      <c r="E51" s="6">
        <f t="shared" si="47"/>
        <v>2.6755740516893871</v>
      </c>
      <c r="F51" s="6">
        <f t="shared" si="48"/>
        <v>-4.4061002181180649E-2</v>
      </c>
      <c r="G51" s="6">
        <f t="shared" si="49"/>
        <v>4.0038808611909715</v>
      </c>
      <c r="H51" s="6">
        <f t="shared" si="50"/>
        <v>0</v>
      </c>
      <c r="I51" s="6">
        <f t="shared" si="51"/>
        <v>0</v>
      </c>
      <c r="J51" s="6">
        <f t="shared" si="52"/>
        <v>0</v>
      </c>
      <c r="K51" s="6">
        <f t="shared" si="53"/>
        <v>0</v>
      </c>
      <c r="L51" s="6">
        <f t="shared" si="54"/>
        <v>0</v>
      </c>
      <c r="M51" s="6">
        <f t="shared" si="55"/>
        <v>0</v>
      </c>
      <c r="N51" s="10">
        <f t="shared" si="56"/>
        <v>0</v>
      </c>
      <c r="O51" s="10">
        <f t="shared" si="57"/>
        <v>0</v>
      </c>
      <c r="P51" s="10">
        <f t="shared" si="58"/>
        <v>0</v>
      </c>
      <c r="S51" t="e">
        <f t="shared" si="59"/>
        <v>#N/A</v>
      </c>
      <c r="T51" t="e">
        <f t="shared" si="60"/>
        <v>#N/A</v>
      </c>
      <c r="V51" t="e">
        <f t="shared" si="61"/>
        <v>#N/A</v>
      </c>
      <c r="W51" t="e">
        <f t="shared" si="62"/>
        <v>#N/A</v>
      </c>
      <c r="AC51">
        <f>AC50</f>
        <v>6.2831853071795862</v>
      </c>
      <c r="AD51">
        <f>-1*AD50</f>
        <v>3.1415926535897931</v>
      </c>
      <c r="BC51">
        <v>1.7104226669544444</v>
      </c>
      <c r="BD51">
        <v>183.57611937633936</v>
      </c>
      <c r="BE51">
        <v>134.46619076472749</v>
      </c>
      <c r="BF51" s="6">
        <f t="shared" si="39"/>
        <v>0.63219495385803337</v>
      </c>
      <c r="BG51" s="6">
        <f t="shared" si="40"/>
        <v>1.0782277130964111</v>
      </c>
      <c r="BH51" s="6">
        <f t="shared" si="2"/>
        <v>-0.63219495385803337</v>
      </c>
      <c r="BI51" s="6">
        <f t="shared" si="3"/>
        <v>0.63219495385803337</v>
      </c>
      <c r="BJ51">
        <v>256.59365777938797</v>
      </c>
      <c r="BK51">
        <v>187.95021843363691</v>
      </c>
      <c r="BV51" s="37"/>
      <c r="BW51" s="6">
        <f t="shared" si="25"/>
        <v>1.2566370614359181</v>
      </c>
      <c r="BX51" s="9">
        <f t="shared" ca="1" si="26"/>
        <v>89.39223128035627</v>
      </c>
      <c r="BY51" s="9">
        <f t="shared" ca="1" si="27"/>
        <v>257.34622487174079</v>
      </c>
      <c r="BZ51" s="9">
        <f t="shared" ca="1" si="28"/>
        <v>246.15890786876557</v>
      </c>
      <c r="CA51" s="6">
        <f t="shared" ca="1" si="29"/>
        <v>172.93339901644345</v>
      </c>
      <c r="CB51" s="6">
        <f t="shared" ca="1" si="30"/>
        <v>0.61242025114022058</v>
      </c>
      <c r="CC51" s="6">
        <f t="shared" ca="1" si="31"/>
        <v>1.1013475399361805</v>
      </c>
      <c r="CD51" s="9">
        <f t="shared" si="32"/>
        <v>196.15890786876557</v>
      </c>
      <c r="CE51" s="9">
        <f t="shared" si="33"/>
        <v>172.93339901644342</v>
      </c>
      <c r="CF51" s="6">
        <f t="shared" si="34"/>
        <v>0.72255500513383863</v>
      </c>
      <c r="CG51" s="6"/>
      <c r="CH51" s="6"/>
      <c r="CI51" s="6"/>
      <c r="CJ51" s="1"/>
      <c r="CK51" s="6"/>
      <c r="DC51">
        <v>1.6318664961559879</v>
      </c>
      <c r="DD51">
        <v>0.62449259264367907</v>
      </c>
      <c r="DE51">
        <v>5.2173987734689442</v>
      </c>
      <c r="DF51">
        <v>-0.76955745872809478</v>
      </c>
      <c r="DG51">
        <v>2.1124494287453772</v>
      </c>
      <c r="DH51">
        <v>-5.2173987734689442</v>
      </c>
    </row>
    <row r="52" spans="1:112" x14ac:dyDescent="0.25">
      <c r="A52" t="s">
        <v>46</v>
      </c>
      <c r="B52" s="6">
        <f t="shared" si="63"/>
        <v>30.146994933059684</v>
      </c>
      <c r="C52" s="6">
        <f t="shared" si="63"/>
        <v>2.6755740516893871</v>
      </c>
      <c r="D52" s="6">
        <f t="shared" si="47"/>
        <v>30.499141292723937</v>
      </c>
      <c r="E52" s="6">
        <f t="shared" si="47"/>
        <v>10.667819852550069</v>
      </c>
      <c r="F52" s="6">
        <f t="shared" si="48"/>
        <v>22.695806960721455</v>
      </c>
      <c r="G52" s="6">
        <f t="shared" si="49"/>
        <v>-681.53480339488101</v>
      </c>
      <c r="H52" s="6">
        <f t="shared" si="50"/>
        <v>0</v>
      </c>
      <c r="I52" s="6">
        <f t="shared" si="51"/>
        <v>0</v>
      </c>
      <c r="J52" s="6">
        <f t="shared" si="52"/>
        <v>0</v>
      </c>
      <c r="K52" s="6">
        <f t="shared" si="53"/>
        <v>0</v>
      </c>
      <c r="L52" s="6">
        <f t="shared" si="54"/>
        <v>0</v>
      </c>
      <c r="M52" s="6">
        <f t="shared" si="55"/>
        <v>0</v>
      </c>
      <c r="N52" s="10">
        <f t="shared" si="56"/>
        <v>0</v>
      </c>
      <c r="O52" s="10">
        <f t="shared" si="57"/>
        <v>0</v>
      </c>
      <c r="P52" s="10">
        <f t="shared" si="58"/>
        <v>0</v>
      </c>
      <c r="S52" t="e">
        <f t="shared" si="59"/>
        <v>#N/A</v>
      </c>
      <c r="T52" t="e">
        <f t="shared" si="60"/>
        <v>#N/A</v>
      </c>
      <c r="V52" t="e">
        <f t="shared" si="61"/>
        <v>#N/A</v>
      </c>
      <c r="W52" t="e">
        <f t="shared" si="62"/>
        <v>#N/A</v>
      </c>
      <c r="AC52">
        <f>0</f>
        <v>0</v>
      </c>
      <c r="AD52">
        <f>AD51</f>
        <v>3.1415926535897931</v>
      </c>
      <c r="BC52">
        <v>1.7453292519943311</v>
      </c>
      <c r="BD52">
        <v>173.86227706353597</v>
      </c>
      <c r="BE52">
        <v>129.0608063380885</v>
      </c>
      <c r="BF52" s="6">
        <f t="shared" si="39"/>
        <v>0.63856539215174801</v>
      </c>
      <c r="BG52" s="6">
        <f t="shared" si="40"/>
        <v>1.1067638598425831</v>
      </c>
      <c r="BH52" s="6">
        <f t="shared" si="2"/>
        <v>-0.63856539215174801</v>
      </c>
      <c r="BI52" s="6">
        <f t="shared" si="3"/>
        <v>0.63856539215174801</v>
      </c>
      <c r="BJ52">
        <v>246.5516288359959</v>
      </c>
      <c r="BK52">
        <v>183.01929871719346</v>
      </c>
      <c r="BV52" s="37"/>
      <c r="BW52" s="6">
        <f t="shared" si="25"/>
        <v>1.2915436464758048</v>
      </c>
      <c r="BX52" s="9">
        <f t="shared" ca="1" si="26"/>
        <v>88.03593865481821</v>
      </c>
      <c r="BY52" s="9">
        <f t="shared" ca="1" si="27"/>
        <v>256.91511883875921</v>
      </c>
      <c r="BZ52" s="9">
        <f t="shared" ca="1" si="28"/>
        <v>244.80261524322751</v>
      </c>
      <c r="CA52" s="6">
        <f t="shared" ca="1" si="29"/>
        <v>172.50229298346187</v>
      </c>
      <c r="CB52" s="6">
        <f t="shared" ca="1" si="30"/>
        <v>0.61384577138268626</v>
      </c>
      <c r="CC52" s="6">
        <f t="shared" ca="1" si="31"/>
        <v>1.1091344685135929</v>
      </c>
      <c r="CD52" s="9">
        <f t="shared" si="32"/>
        <v>194.80261524322751</v>
      </c>
      <c r="CE52" s="9">
        <f t="shared" si="33"/>
        <v>172.50229298346187</v>
      </c>
      <c r="CF52" s="6">
        <f t="shared" si="34"/>
        <v>0.72475921823404554</v>
      </c>
      <c r="CG52" s="6"/>
      <c r="CH52" s="6"/>
      <c r="CI52" s="6"/>
      <c r="CJ52" s="1"/>
      <c r="CK52" s="6"/>
      <c r="DC52">
        <v>-1.9026387125364623</v>
      </c>
      <c r="DD52">
        <v>5.2173987734689442</v>
      </c>
      <c r="DE52">
        <v>0.79041020073702439</v>
      </c>
      <c r="DF52">
        <v>-0.90695696980399154</v>
      </c>
      <c r="DG52">
        <v>2.8293174693079934</v>
      </c>
      <c r="DH52">
        <v>-0.79041020073702439</v>
      </c>
    </row>
    <row r="53" spans="1:112" x14ac:dyDescent="0.25">
      <c r="A53" t="s">
        <v>47</v>
      </c>
      <c r="B53" s="6">
        <f t="shared" si="63"/>
        <v>30.499141292723937</v>
      </c>
      <c r="C53" s="6">
        <f t="shared" si="63"/>
        <v>10.667819852550069</v>
      </c>
      <c r="D53" s="6">
        <f t="shared" si="47"/>
        <v>-17.454333512440154</v>
      </c>
      <c r="E53" s="6">
        <f t="shared" si="47"/>
        <v>12.780698010535595</v>
      </c>
      <c r="F53" s="6">
        <f t="shared" si="48"/>
        <v>-4.4061002181180628E-2</v>
      </c>
      <c r="G53" s="6">
        <f t="shared" si="49"/>
        <v>12.011642583572915</v>
      </c>
      <c r="H53" s="6">
        <f t="shared" si="50"/>
        <v>27.502049116097467</v>
      </c>
      <c r="I53" s="6">
        <f t="shared" si="51"/>
        <v>10.799874737481607</v>
      </c>
      <c r="J53" s="6">
        <f t="shared" si="52"/>
        <v>-17.454333512440154</v>
      </c>
      <c r="K53" s="6">
        <f t="shared" si="53"/>
        <v>12.780698010535595</v>
      </c>
      <c r="L53" s="6">
        <f t="shared" si="54"/>
        <v>4.25</v>
      </c>
      <c r="M53" s="6">
        <f t="shared" si="55"/>
        <v>4.25</v>
      </c>
      <c r="N53" s="10">
        <f t="shared" si="56"/>
        <v>42.293341431098199</v>
      </c>
      <c r="O53" s="10">
        <f t="shared" si="57"/>
        <v>436.17787456634881</v>
      </c>
      <c r="P53" s="10">
        <f t="shared" si="58"/>
        <v>-815.1724065834012</v>
      </c>
      <c r="S53">
        <f t="shared" si="59"/>
        <v>27.502049116097467</v>
      </c>
      <c r="T53">
        <f t="shared" si="60"/>
        <v>10.799874737481607</v>
      </c>
      <c r="V53">
        <f t="shared" si="61"/>
        <v>-17.454333512440154</v>
      </c>
      <c r="W53">
        <f t="shared" si="62"/>
        <v>12.780698010535595</v>
      </c>
      <c r="AC53">
        <f>AC49</f>
        <v>0</v>
      </c>
      <c r="AD53">
        <f>AD49</f>
        <v>-3.1415926535897931</v>
      </c>
      <c r="BC53">
        <v>1.7802358370342177</v>
      </c>
      <c r="BD53">
        <v>164.16645985932971</v>
      </c>
      <c r="BE53">
        <v>123.56054027928381</v>
      </c>
      <c r="BF53" s="6">
        <f t="shared" si="39"/>
        <v>0.64519749675819571</v>
      </c>
      <c r="BG53" s="6">
        <f t="shared" si="40"/>
        <v>1.135038340276022</v>
      </c>
      <c r="BH53" s="6">
        <f t="shared" si="2"/>
        <v>-0.64519749675819571</v>
      </c>
      <c r="BI53" s="6">
        <f t="shared" si="3"/>
        <v>0.64519749675819571</v>
      </c>
      <c r="BJ53">
        <v>236.29962125060212</v>
      </c>
      <c r="BK53">
        <v>177.85185167867422</v>
      </c>
      <c r="BV53" s="37"/>
      <c r="BW53" s="6">
        <f t="shared" si="25"/>
        <v>1.3264502315156914</v>
      </c>
      <c r="BX53" s="9">
        <f t="shared" ca="1" si="26"/>
        <v>84.822603566166975</v>
      </c>
      <c r="BY53" s="9">
        <f t="shared" ca="1" si="27"/>
        <v>255.13864469155558</v>
      </c>
      <c r="BZ53" s="9">
        <f t="shared" ca="1" si="28"/>
        <v>241.58928015457627</v>
      </c>
      <c r="CA53" s="6">
        <f t="shared" ca="1" si="29"/>
        <v>170.72581883625824</v>
      </c>
      <c r="CB53" s="6">
        <f t="shared" ca="1" si="30"/>
        <v>0.61519376781801471</v>
      </c>
      <c r="CC53" s="6">
        <f t="shared" ca="1" si="31"/>
        <v>1.1268416844367712</v>
      </c>
      <c r="CD53" s="9">
        <f t="shared" si="32"/>
        <v>191.58928015457627</v>
      </c>
      <c r="CE53" s="9">
        <f t="shared" si="33"/>
        <v>170.72581883625824</v>
      </c>
      <c r="CF53" s="6">
        <f t="shared" si="34"/>
        <v>0.72787793626169184</v>
      </c>
      <c r="CG53" s="6"/>
      <c r="CH53" s="6"/>
      <c r="CI53" s="6"/>
      <c r="CJ53" s="1"/>
      <c r="CK53" s="6"/>
      <c r="DC53">
        <v>2.1124494287453772</v>
      </c>
      <c r="DD53">
        <v>0.79041020073702439</v>
      </c>
      <c r="DE53">
        <v>2.9659959015621138</v>
      </c>
      <c r="DF53">
        <v>0.32950576954552724</v>
      </c>
      <c r="DG53">
        <v>1.8520047072948893</v>
      </c>
      <c r="DH53">
        <v>-2.9659959015621138</v>
      </c>
    </row>
    <row r="54" spans="1:112" x14ac:dyDescent="0.25">
      <c r="A54" t="s">
        <v>48</v>
      </c>
      <c r="B54" s="6">
        <f t="shared" si="63"/>
        <v>-17.454333512440154</v>
      </c>
      <c r="C54" s="6">
        <f t="shared" si="63"/>
        <v>12.780698010535595</v>
      </c>
      <c r="D54" s="6">
        <f t="shared" si="47"/>
        <v>-17.806479872104408</v>
      </c>
      <c r="E54" s="6">
        <f t="shared" si="47"/>
        <v>4.7884522096749134</v>
      </c>
      <c r="F54" s="6">
        <f t="shared" si="48"/>
        <v>22.695806960721452</v>
      </c>
      <c r="G54" s="6">
        <f t="shared" si="49"/>
        <v>408.92088203692856</v>
      </c>
      <c r="H54" s="6">
        <f t="shared" si="50"/>
        <v>-17.454333512440154</v>
      </c>
      <c r="I54" s="6">
        <f t="shared" si="51"/>
        <v>12.780698010535595</v>
      </c>
      <c r="J54" s="6">
        <f t="shared" si="52"/>
        <v>-17.54161057099472</v>
      </c>
      <c r="K54" s="6">
        <f t="shared" si="53"/>
        <v>10.799874737481607</v>
      </c>
      <c r="L54" s="6">
        <f t="shared" si="54"/>
        <v>4.25</v>
      </c>
      <c r="M54" s="6">
        <f t="shared" si="55"/>
        <v>4.25</v>
      </c>
      <c r="N54" s="10">
        <f t="shared" si="56"/>
        <v>147.30665856879807</v>
      </c>
      <c r="O54" s="10">
        <f t="shared" si="57"/>
        <v>1736.6664065159871</v>
      </c>
      <c r="P54" s="10">
        <f t="shared" si="58"/>
        <v>1288.7865685188663</v>
      </c>
      <c r="S54">
        <f t="shared" si="59"/>
        <v>-17.454333512440154</v>
      </c>
      <c r="T54">
        <f t="shared" si="60"/>
        <v>12.780698010535595</v>
      </c>
      <c r="V54">
        <f t="shared" si="61"/>
        <v>-17.54161057099472</v>
      </c>
      <c r="W54">
        <f t="shared" si="62"/>
        <v>10.799874737481607</v>
      </c>
      <c r="BC54">
        <v>1.8151424220741044</v>
      </c>
      <c r="BD54">
        <v>154.4679740506179</v>
      </c>
      <c r="BE54">
        <v>117.95120920576132</v>
      </c>
      <c r="BF54" s="6">
        <f t="shared" si="39"/>
        <v>0.6521462510414604</v>
      </c>
      <c r="BG54" s="6">
        <f t="shared" si="40"/>
        <v>1.162996171032644</v>
      </c>
      <c r="BH54" s="6">
        <f t="shared" si="2"/>
        <v>-0.6521462510414604</v>
      </c>
      <c r="BI54" s="6">
        <f t="shared" si="3"/>
        <v>0.6521462510414604</v>
      </c>
      <c r="BJ54">
        <v>225.80052463885079</v>
      </c>
      <c r="BK54">
        <v>172.42049741469509</v>
      </c>
      <c r="BV54" s="37"/>
      <c r="BW54" s="6">
        <f t="shared" si="25"/>
        <v>1.3613568165555781</v>
      </c>
      <c r="BX54" s="9">
        <f t="shared" ca="1" si="26"/>
        <v>81.553135437866217</v>
      </c>
      <c r="BY54" s="9">
        <f t="shared" ca="1" si="27"/>
        <v>253.28498311422064</v>
      </c>
      <c r="BZ54" s="9">
        <f t="shared" ca="1" si="28"/>
        <v>238.31981202627551</v>
      </c>
      <c r="CA54" s="6">
        <f t="shared" ca="1" si="29"/>
        <v>168.87215725892329</v>
      </c>
      <c r="CB54" s="6">
        <f t="shared" ca="1" si="30"/>
        <v>0.61647096328235662</v>
      </c>
      <c r="CC54" s="6">
        <f t="shared" ca="1" si="31"/>
        <v>1.1453495750812406</v>
      </c>
      <c r="CD54" s="9">
        <f t="shared" si="32"/>
        <v>188.31981202627551</v>
      </c>
      <c r="CE54" s="9">
        <f t="shared" si="33"/>
        <v>168.87215725892329</v>
      </c>
      <c r="CF54" s="6">
        <f t="shared" si="34"/>
        <v>0.73100592079048066</v>
      </c>
      <c r="CG54" s="6"/>
      <c r="CH54" s="6"/>
      <c r="CI54" s="6"/>
      <c r="CJ54" s="1"/>
      <c r="CK54" s="6"/>
      <c r="DC54">
        <v>2.8293174693079934</v>
      </c>
      <c r="DD54">
        <v>2.9659959015621138</v>
      </c>
      <c r="DE54">
        <v>0.66001577425935043</v>
      </c>
      <c r="DF54">
        <v>0.42381664544361791</v>
      </c>
      <c r="DG54">
        <v>1.5722790359084191</v>
      </c>
      <c r="DH54">
        <v>-0.66001577425935043</v>
      </c>
    </row>
    <row r="55" spans="1:112" x14ac:dyDescent="0.25">
      <c r="A55" t="s">
        <v>93</v>
      </c>
      <c r="B55" s="6">
        <f t="shared" si="63"/>
        <v>-17.806479872104408</v>
      </c>
      <c r="C55" s="6">
        <f t="shared" si="63"/>
        <v>4.7884522096749134</v>
      </c>
      <c r="D55" s="6">
        <f t="shared" si="47"/>
        <v>-5.8181111708133839</v>
      </c>
      <c r="E55" s="6">
        <f t="shared" si="47"/>
        <v>4.2602326701785316</v>
      </c>
      <c r="F55" s="6">
        <f t="shared" si="48"/>
        <v>-4.4061002181180663E-2</v>
      </c>
      <c r="G55" s="6">
        <f t="shared" si="49"/>
        <v>4.0038808611909715</v>
      </c>
      <c r="H55" s="6">
        <f t="shared" si="50"/>
        <v>0</v>
      </c>
      <c r="I55" s="6">
        <f t="shared" si="51"/>
        <v>0</v>
      </c>
      <c r="J55" s="6">
        <f t="shared" si="52"/>
        <v>0</v>
      </c>
      <c r="K55" s="6">
        <f t="shared" si="53"/>
        <v>0</v>
      </c>
      <c r="L55" s="6">
        <f t="shared" si="54"/>
        <v>0</v>
      </c>
      <c r="M55" s="6">
        <f t="shared" si="55"/>
        <v>0</v>
      </c>
      <c r="N55" s="10">
        <f t="shared" si="56"/>
        <v>0</v>
      </c>
      <c r="O55" s="10">
        <f t="shared" si="57"/>
        <v>0</v>
      </c>
      <c r="P55" s="10">
        <f t="shared" si="58"/>
        <v>0</v>
      </c>
      <c r="S55" t="e">
        <f t="shared" si="59"/>
        <v>#N/A</v>
      </c>
      <c r="T55" t="e">
        <f t="shared" si="60"/>
        <v>#N/A</v>
      </c>
      <c r="V55" t="e">
        <f t="shared" si="61"/>
        <v>#N/A</v>
      </c>
      <c r="W55" t="e">
        <f t="shared" si="62"/>
        <v>#N/A</v>
      </c>
      <c r="BC55">
        <v>1.850049007113991</v>
      </c>
      <c r="BD55">
        <v>144.58497362469186</v>
      </c>
      <c r="BE55">
        <v>112.11256731841178</v>
      </c>
      <c r="BF55" s="6">
        <f t="shared" si="39"/>
        <v>0.65956587768958685</v>
      </c>
      <c r="BG55" s="6">
        <f t="shared" si="40"/>
        <v>1.190483129424404</v>
      </c>
      <c r="BH55" s="6">
        <f t="shared" si="2"/>
        <v>-0.65956587768958685</v>
      </c>
      <c r="BI55" s="6">
        <f t="shared" si="3"/>
        <v>0.65956587768958685</v>
      </c>
      <c r="BJ55">
        <v>214.57346603181423</v>
      </c>
      <c r="BK55">
        <v>166.38231174479688</v>
      </c>
      <c r="BV55" s="37"/>
      <c r="BW55" s="6">
        <f t="shared" si="25"/>
        <v>1.3962634015954647</v>
      </c>
      <c r="BX55" s="9">
        <f t="shared" ca="1" si="26"/>
        <v>78.216038094580568</v>
      </c>
      <c r="BY55" s="9">
        <f t="shared" ca="1" si="27"/>
        <v>251.34859404656089</v>
      </c>
      <c r="BZ55" s="9">
        <f t="shared" ca="1" si="28"/>
        <v>234.98271468298987</v>
      </c>
      <c r="CA55" s="6">
        <f t="shared" ca="1" si="29"/>
        <v>166.93576819126355</v>
      </c>
      <c r="CB55" s="6">
        <f t="shared" ca="1" si="30"/>
        <v>0.61768322921106456</v>
      </c>
      <c r="CC55" s="6">
        <f t="shared" ca="1" si="31"/>
        <v>1.1647820662081743</v>
      </c>
      <c r="CD55" s="9">
        <f t="shared" si="32"/>
        <v>184.98271468298987</v>
      </c>
      <c r="CE55" s="9">
        <f t="shared" si="33"/>
        <v>166.93576819126355</v>
      </c>
      <c r="CF55" s="6">
        <f t="shared" si="34"/>
        <v>0.73416143583188198</v>
      </c>
      <c r="CG55" s="6"/>
      <c r="CH55" s="6"/>
      <c r="CI55" s="6"/>
      <c r="CJ55" s="1"/>
      <c r="CK55" s="6"/>
      <c r="DC55">
        <v>1.8520047072948893</v>
      </c>
      <c r="DD55">
        <v>0.66001577425935043</v>
      </c>
      <c r="DE55">
        <v>0.62296782924854088</v>
      </c>
      <c r="DF55">
        <v>7.5503694281789215</v>
      </c>
      <c r="DG55">
        <v>-3.1313582167887506</v>
      </c>
      <c r="DH55">
        <v>-0.62296782924854088</v>
      </c>
    </row>
    <row r="56" spans="1:112" ht="15.75" thickBot="1" x14ac:dyDescent="0.3">
      <c r="A56" t="s">
        <v>94</v>
      </c>
      <c r="B56" s="6">
        <f t="shared" si="63"/>
        <v>-5.8181111708133839</v>
      </c>
      <c r="C56" s="6">
        <f t="shared" si="63"/>
        <v>4.2602326701785316</v>
      </c>
      <c r="D56" s="6">
        <f t="shared" si="47"/>
        <v>-6.5224038901418933</v>
      </c>
      <c r="E56" s="6">
        <f t="shared" si="47"/>
        <v>-11.724258931542833</v>
      </c>
      <c r="F56" s="6">
        <f t="shared" si="48"/>
        <v>22.69580696072137</v>
      </c>
      <c r="G56" s="6">
        <f t="shared" si="49"/>
        <v>136.30696067897568</v>
      </c>
      <c r="H56" s="6">
        <f t="shared" si="50"/>
        <v>0</v>
      </c>
      <c r="I56" s="6">
        <f t="shared" si="51"/>
        <v>0</v>
      </c>
      <c r="J56" s="6">
        <f t="shared" si="52"/>
        <v>0</v>
      </c>
      <c r="K56" s="6">
        <f t="shared" si="53"/>
        <v>0</v>
      </c>
      <c r="L56" s="6">
        <f t="shared" si="54"/>
        <v>0</v>
      </c>
      <c r="M56" s="6">
        <f t="shared" si="55"/>
        <v>0</v>
      </c>
      <c r="N56" s="11">
        <f t="shared" si="56"/>
        <v>0</v>
      </c>
      <c r="O56" s="11">
        <f t="shared" si="57"/>
        <v>0</v>
      </c>
      <c r="P56" s="11">
        <f t="shared" si="58"/>
        <v>0</v>
      </c>
      <c r="S56" t="e">
        <f t="shared" si="59"/>
        <v>#N/A</v>
      </c>
      <c r="T56" t="e">
        <f t="shared" si="60"/>
        <v>#N/A</v>
      </c>
      <c r="V56" t="e">
        <f t="shared" si="61"/>
        <v>#N/A</v>
      </c>
      <c r="W56" t="e">
        <f t="shared" si="62"/>
        <v>#N/A</v>
      </c>
      <c r="BC56">
        <v>1.8849555921538776</v>
      </c>
      <c r="BD56">
        <v>133.91834470129152</v>
      </c>
      <c r="BE56">
        <v>105.63594043988346</v>
      </c>
      <c r="BF56" s="6">
        <f t="shared" si="39"/>
        <v>0.66787955999644588</v>
      </c>
      <c r="BG56" s="6">
        <f t="shared" si="40"/>
        <v>1.2170760321574319</v>
      </c>
      <c r="BH56" s="6">
        <f t="shared" si="2"/>
        <v>-0.66787955999644599</v>
      </c>
      <c r="BI56" s="6">
        <f t="shared" si="3"/>
        <v>0.66787955999644599</v>
      </c>
      <c r="BJ56">
        <v>201.06972843320116</v>
      </c>
      <c r="BK56">
        <v>158.60552864814747</v>
      </c>
      <c r="BV56" s="37"/>
      <c r="BW56" s="6">
        <f t="shared" si="25"/>
        <v>1.4311699866353513</v>
      </c>
      <c r="BX56" s="9">
        <f t="shared" ca="1" si="26"/>
        <v>74.798939701339833</v>
      </c>
      <c r="BY56" s="9">
        <f t="shared" ca="1" si="27"/>
        <v>249.32291594436637</v>
      </c>
      <c r="BZ56" s="9">
        <f t="shared" ca="1" si="28"/>
        <v>231.56561628974913</v>
      </c>
      <c r="CA56" s="6">
        <f t="shared" ca="1" si="29"/>
        <v>164.91009008906903</v>
      </c>
      <c r="CB56" s="6">
        <f t="shared" ca="1" si="30"/>
        <v>0.61883569137366168</v>
      </c>
      <c r="CC56" s="6">
        <f t="shared" ca="1" si="31"/>
        <v>1.1852818218147676</v>
      </c>
      <c r="CD56" s="9">
        <f t="shared" si="32"/>
        <v>181.56561628974913</v>
      </c>
      <c r="CE56" s="9">
        <f t="shared" si="33"/>
        <v>164.91009008906903</v>
      </c>
      <c r="CF56" s="6">
        <f t="shared" si="34"/>
        <v>0.73736387355513844</v>
      </c>
      <c r="CG56" s="6"/>
      <c r="CH56" s="6"/>
      <c r="CI56" s="6"/>
      <c r="CJ56" s="1"/>
      <c r="CK56" s="6"/>
      <c r="DC56">
        <v>1.5722790359084191</v>
      </c>
      <c r="DD56">
        <v>0.62296782924854088</v>
      </c>
      <c r="DE56">
        <v>3.8895748854208234</v>
      </c>
      <c r="DF56">
        <v>-1.4399152306395733</v>
      </c>
      <c r="DG56">
        <v>2.469299901441866</v>
      </c>
      <c r="DH56">
        <v>-3.8895748854208234</v>
      </c>
    </row>
    <row r="57" spans="1:112" ht="15.75" thickTop="1" x14ac:dyDescent="0.25">
      <c r="N57" s="6">
        <f>SUM(N49:N56)</f>
        <v>189.59999999989628</v>
      </c>
      <c r="O57" s="6">
        <f>SUM(O49:O56)</f>
        <v>2172.8442810823358</v>
      </c>
      <c r="P57" s="6">
        <f>SUM(P49:P56)</f>
        <v>473.61416193546506</v>
      </c>
      <c r="BC57">
        <v>1.9198621771937643</v>
      </c>
      <c r="BD57">
        <v>123.08861927963535</v>
      </c>
      <c r="BE57">
        <v>98.907386357273907</v>
      </c>
      <c r="BF57" s="6">
        <f t="shared" si="39"/>
        <v>0.67689949264608551</v>
      </c>
      <c r="BG57" s="6">
        <f t="shared" si="40"/>
        <v>1.2429626845476789</v>
      </c>
      <c r="BH57" s="6">
        <f t="shared" si="2"/>
        <v>-0.67689949264608562</v>
      </c>
      <c r="BI57" s="6">
        <f t="shared" si="3"/>
        <v>0.67689949264608562</v>
      </c>
      <c r="BJ57">
        <v>187.04866071333669</v>
      </c>
      <c r="BK57">
        <v>150.30223152276017</v>
      </c>
      <c r="BV57" s="37"/>
      <c r="BW57" s="6">
        <f t="shared" si="25"/>
        <v>1.466076571675238</v>
      </c>
      <c r="BX57" s="9">
        <f t="shared" ca="1" si="26"/>
        <v>71.288388420164125</v>
      </c>
      <c r="BY57" s="9">
        <f t="shared" ca="1" si="27"/>
        <v>247.20026149989818</v>
      </c>
      <c r="BZ57" s="9">
        <f t="shared" ca="1" si="28"/>
        <v>228.05506500857342</v>
      </c>
      <c r="CA57" s="6">
        <f t="shared" ca="1" si="29"/>
        <v>162.78743564460083</v>
      </c>
      <c r="CB57" s="6">
        <f t="shared" ca="1" si="30"/>
        <v>0.61993281654836152</v>
      </c>
      <c r="CC57" s="6">
        <f t="shared" ca="1" si="31"/>
        <v>1.2070147440990973</v>
      </c>
      <c r="CD57" s="9">
        <f t="shared" si="32"/>
        <v>178.05506500857342</v>
      </c>
      <c r="CE57" s="9">
        <f t="shared" si="33"/>
        <v>162.78743564460083</v>
      </c>
      <c r="CF57" s="6">
        <f t="shared" si="34"/>
        <v>0.74063429095827127</v>
      </c>
      <c r="CG57" s="6"/>
      <c r="CH57" s="6"/>
      <c r="CI57" s="6"/>
      <c r="CJ57" s="1"/>
      <c r="CK57" s="6"/>
      <c r="DC57">
        <v>-3.1313582167887506</v>
      </c>
      <c r="DD57">
        <v>3.8895748854208234</v>
      </c>
      <c r="DE57">
        <v>2.467585368117315</v>
      </c>
      <c r="DF57">
        <v>-3.9386071768313999</v>
      </c>
      <c r="DG57">
        <v>-0.37822127260629884</v>
      </c>
      <c r="DH57">
        <v>-2.467585368117315</v>
      </c>
    </row>
    <row r="58" spans="1:112" x14ac:dyDescent="0.25">
      <c r="O58" s="6">
        <f>O57/N57</f>
        <v>11.460149161832934</v>
      </c>
      <c r="P58" s="6">
        <f>-1*P57/N57</f>
        <v>-2.4979649891124689</v>
      </c>
      <c r="S58">
        <f>(P58*COS(-1*$B$27))+(O58*SIN(-1*$B$27))+$I$2</f>
        <v>2.9999999995650057</v>
      </c>
      <c r="T58">
        <f>(-1*P58*SIN(-1*$B$27))+(O58*COS(-1*$B$27))+$I$3</f>
        <v>23.339084967301453</v>
      </c>
      <c r="BC58">
        <v>1.9547687622336509</v>
      </c>
      <c r="BD58">
        <v>111.88094992048262</v>
      </c>
      <c r="BE58">
        <v>91.667870818195965</v>
      </c>
      <c r="BF58" s="6">
        <f t="shared" si="39"/>
        <v>0.68641931418666502</v>
      </c>
      <c r="BG58" s="6">
        <f t="shared" si="40"/>
        <v>1.2683494480469859</v>
      </c>
      <c r="BH58" s="6">
        <f t="shared" si="2"/>
        <v>-0.68641931418666502</v>
      </c>
      <c r="BI58" s="6">
        <f t="shared" si="3"/>
        <v>0.68641931418666502</v>
      </c>
      <c r="BJ58">
        <v>171.84887848325189</v>
      </c>
      <c r="BK58">
        <v>140.80163606271458</v>
      </c>
      <c r="BV58" s="37"/>
      <c r="BW58" s="6">
        <f t="shared" si="25"/>
        <v>1.5009831567151246</v>
      </c>
      <c r="BX58" s="9">
        <f t="shared" ca="1" si="26"/>
        <v>67.669614542249775</v>
      </c>
      <c r="BY58" s="9">
        <f t="shared" ca="1" si="27"/>
        <v>244.97168081338938</v>
      </c>
      <c r="BZ58" s="9">
        <f t="shared" ca="1" si="28"/>
        <v>224.43629113065907</v>
      </c>
      <c r="CA58" s="6">
        <f t="shared" ca="1" si="29"/>
        <v>160.55885495809204</v>
      </c>
      <c r="CB58" s="6">
        <f t="shared" ca="1" si="30"/>
        <v>0.62097848317170301</v>
      </c>
      <c r="CC58" s="6">
        <f t="shared" ca="1" si="31"/>
        <v>1.2301756988748969</v>
      </c>
      <c r="CD58" s="9">
        <f t="shared" si="32"/>
        <v>174.43629113065907</v>
      </c>
      <c r="CE58" s="9">
        <f t="shared" si="33"/>
        <v>160.55885495809204</v>
      </c>
      <c r="CF58" s="6">
        <f t="shared" si="34"/>
        <v>0.7439960530591927</v>
      </c>
      <c r="CG58" s="6"/>
      <c r="CH58" s="6"/>
      <c r="CI58" s="6"/>
      <c r="CJ58" s="1"/>
      <c r="CK58" s="6"/>
      <c r="DC58">
        <v>2.469299901441866</v>
      </c>
      <c r="DD58">
        <v>2.467585368117315</v>
      </c>
      <c r="DE58">
        <v>5.3088770756679873</v>
      </c>
      <c r="DF58">
        <v>-1.0021924769220063</v>
      </c>
      <c r="DG58">
        <v>-1.3408899136477272</v>
      </c>
      <c r="DH58">
        <v>-5.3088770756679873</v>
      </c>
    </row>
    <row r="59" spans="1:112" x14ac:dyDescent="0.25">
      <c r="A59" t="s">
        <v>54</v>
      </c>
      <c r="O59">
        <f>O57/12</f>
        <v>181.07035675686132</v>
      </c>
      <c r="P59">
        <f>P57/12</f>
        <v>39.46784682795542</v>
      </c>
      <c r="BC59">
        <v>1.9896753472735376</v>
      </c>
      <c r="BD59">
        <v>101.01226449762667</v>
      </c>
      <c r="BE59">
        <v>84.694375526545201</v>
      </c>
      <c r="BF59" s="6">
        <f t="shared" si="39"/>
        <v>0.69775409372449648</v>
      </c>
      <c r="BG59" s="6">
        <f t="shared" si="40"/>
        <v>1.2919212535490412</v>
      </c>
      <c r="BH59" s="6">
        <f t="shared" si="2"/>
        <v>-0.69775409372449648</v>
      </c>
      <c r="BI59" s="6">
        <f t="shared" si="3"/>
        <v>0.69775409372449648</v>
      </c>
      <c r="BJ59">
        <v>155.40348384250257</v>
      </c>
      <c r="BK59">
        <v>130.299039271608</v>
      </c>
      <c r="BV59" s="37"/>
      <c r="BW59" s="6">
        <f t="shared" si="25"/>
        <v>1.5358897417550113</v>
      </c>
      <c r="BX59" s="9">
        <f t="shared" ca="1" si="26"/>
        <v>63.926249561399942</v>
      </c>
      <c r="BY59" s="9">
        <f t="shared" ca="1" si="27"/>
        <v>242.62678633372732</v>
      </c>
      <c r="BZ59" s="9">
        <f t="shared" ca="1" si="28"/>
        <v>220.69292614980924</v>
      </c>
      <c r="CA59" s="6">
        <f t="shared" ca="1" si="29"/>
        <v>158.21396047842998</v>
      </c>
      <c r="CB59" s="6">
        <f t="shared" ca="1" si="30"/>
        <v>0.62197603830465087</v>
      </c>
      <c r="CC59" s="6">
        <f t="shared" ca="1" si="31"/>
        <v>1.2549958978883535</v>
      </c>
      <c r="CD59" s="9">
        <f t="shared" si="32"/>
        <v>170.69292614980924</v>
      </c>
      <c r="CE59" s="9">
        <f t="shared" si="33"/>
        <v>158.21396047842998</v>
      </c>
      <c r="CF59" s="6">
        <f t="shared" si="34"/>
        <v>0.74747562809348622</v>
      </c>
      <c r="CG59" s="6"/>
      <c r="CH59" s="6"/>
      <c r="CI59" s="6"/>
      <c r="CJ59" s="1"/>
      <c r="CK59" s="6"/>
      <c r="DC59">
        <v>-0.37822127260629884</v>
      </c>
      <c r="DD59">
        <v>5.3088770756679873</v>
      </c>
      <c r="DE59">
        <v>5.2309090990275973</v>
      </c>
      <c r="DF59">
        <v>12.346974777625997</v>
      </c>
      <c r="DG59">
        <v>-3.0949395515999329</v>
      </c>
      <c r="DH59">
        <v>-5.2309090990275973</v>
      </c>
    </row>
    <row r="60" spans="1:112" x14ac:dyDescent="0.25">
      <c r="S60" t="str">
        <f>"Cc = "&amp;ROUND(N57,4)&amp;" "&amp;C178&amp;CHAR(10)&amp;" @ ( "&amp;ROUND(S58,4)&amp;" , "&amp;ROUND(T58,4)&amp;" )"</f>
        <v>Cc = 189.6 kips
 @ ( 3 , 23.3391 )</v>
      </c>
      <c r="BC60">
        <v>2.0245819323134242</v>
      </c>
      <c r="BD60">
        <v>89.004839040639965</v>
      </c>
      <c r="BE60">
        <v>77.205183152884558</v>
      </c>
      <c r="BF60" s="6">
        <f t="shared" si="39"/>
        <v>0.71452462445074971</v>
      </c>
      <c r="BG60" s="6">
        <f t="shared" si="40"/>
        <v>1.3100573078626745</v>
      </c>
      <c r="BH60" s="6">
        <f t="shared" si="2"/>
        <v>-0.71452462445074971</v>
      </c>
      <c r="BI60" s="6">
        <f t="shared" si="3"/>
        <v>0.71452462445074971</v>
      </c>
      <c r="BJ60">
        <v>136.93052160098455</v>
      </c>
      <c r="BK60">
        <v>118.77720485059163</v>
      </c>
      <c r="BV60" s="37"/>
      <c r="BW60" s="6">
        <f t="shared" si="25"/>
        <v>1.5707963267948979</v>
      </c>
      <c r="BX60" s="9">
        <f t="shared" ca="1" si="26"/>
        <v>60.039990078257063</v>
      </c>
      <c r="BY60" s="9">
        <f t="shared" ca="1" si="27"/>
        <v>240.15353173764908</v>
      </c>
      <c r="BZ60" s="9">
        <f t="shared" ca="1" si="28"/>
        <v>216.80666666666636</v>
      </c>
      <c r="CA60" s="6">
        <f t="shared" ca="1" si="29"/>
        <v>155.74070588235173</v>
      </c>
      <c r="CB60" s="6">
        <f t="shared" ca="1" si="30"/>
        <v>0.62292834269135933</v>
      </c>
      <c r="CC60" s="6">
        <f t="shared" ca="1" si="31"/>
        <v>1.2817525470930002</v>
      </c>
      <c r="CD60" s="9">
        <f t="shared" si="32"/>
        <v>166.80666666666636</v>
      </c>
      <c r="CE60" s="9">
        <f t="shared" si="33"/>
        <v>155.74070588235173</v>
      </c>
      <c r="CF60" s="6">
        <f t="shared" si="34"/>
        <v>0.75110359740065935</v>
      </c>
      <c r="CG60" s="6"/>
      <c r="CH60" s="6"/>
      <c r="CI60" s="6"/>
      <c r="CJ60" s="1"/>
      <c r="CK60" s="6"/>
      <c r="DC60">
        <v>-1.3408899136477272</v>
      </c>
      <c r="DD60">
        <v>5.2309090990275973</v>
      </c>
      <c r="DE60">
        <v>3.9415329852304621</v>
      </c>
      <c r="DF60">
        <v>1.3603863288475502</v>
      </c>
      <c r="DG60">
        <v>-2.1737618322295407</v>
      </c>
      <c r="DH60">
        <v>-3.9415329852304621</v>
      </c>
    </row>
    <row r="61" spans="1:112" x14ac:dyDescent="0.25">
      <c r="A61">
        <f t="shared" ref="A61:E71" si="64">A14</f>
        <v>0</v>
      </c>
      <c r="B61" s="1" t="str">
        <f t="shared" si="64"/>
        <v>Bar #</v>
      </c>
      <c r="C61" s="1" t="str">
        <f t="shared" si="64"/>
        <v>As (in^2)</v>
      </c>
      <c r="D61" s="1" t="str">
        <f t="shared" si="64"/>
        <v>x</v>
      </c>
      <c r="E61" s="1" t="str">
        <f t="shared" si="64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2.0594885173533108</v>
      </c>
      <c r="BD61">
        <v>75.827187855399814</v>
      </c>
      <c r="BE61">
        <v>68.911354742916458</v>
      </c>
      <c r="BF61" s="6">
        <f t="shared" si="39"/>
        <v>0.73765291835672886</v>
      </c>
      <c r="BG61" s="6">
        <f t="shared" si="40"/>
        <v>1.321835598996582</v>
      </c>
      <c r="BH61" s="6">
        <f t="shared" si="2"/>
        <v>-0.73765291835672886</v>
      </c>
      <c r="BI61" s="6">
        <f t="shared" si="3"/>
        <v>0.73765291835672886</v>
      </c>
      <c r="BJ61">
        <v>116.65721208523048</v>
      </c>
      <c r="BK61">
        <v>106.01746883525608</v>
      </c>
      <c r="BV61" s="37"/>
      <c r="BW61" s="6">
        <f t="shared" si="25"/>
        <v>1.6057029118347845</v>
      </c>
      <c r="BX61" s="9">
        <f t="shared" ca="1" si="26"/>
        <v>51.924506789926482</v>
      </c>
      <c r="BY61" s="9">
        <f t="shared" ca="1" si="27"/>
        <v>234.61178502044973</v>
      </c>
      <c r="BZ61" s="9">
        <f t="shared" ca="1" si="28"/>
        <v>208.69118337833578</v>
      </c>
      <c r="CA61" s="6">
        <f t="shared" ca="1" si="29"/>
        <v>150.19895916515239</v>
      </c>
      <c r="CB61" s="6">
        <f t="shared" ca="1" si="30"/>
        <v>0.62383780522498566</v>
      </c>
      <c r="CC61" s="6">
        <f t="shared" ca="1" si="31"/>
        <v>1.3407458118653481</v>
      </c>
      <c r="CD61" s="9">
        <f t="shared" si="32"/>
        <v>158.69118337833578</v>
      </c>
      <c r="CE61" s="9">
        <f t="shared" si="33"/>
        <v>150.19895916515239</v>
      </c>
      <c r="CF61" s="6">
        <f t="shared" si="34"/>
        <v>0.75791238641152048</v>
      </c>
      <c r="CG61" s="6"/>
      <c r="CH61" s="6"/>
      <c r="CI61" s="6"/>
      <c r="CJ61" s="1"/>
      <c r="CK61" s="6"/>
      <c r="DC61">
        <v>-3.0949395515999329</v>
      </c>
      <c r="DD61">
        <v>3.9415329852304621</v>
      </c>
      <c r="DE61">
        <v>5.2113763033575164</v>
      </c>
      <c r="DF61">
        <v>0.72542628387341224</v>
      </c>
      <c r="DG61">
        <v>0.32895412933944201</v>
      </c>
      <c r="DH61">
        <v>-5.2113763033575164</v>
      </c>
    </row>
    <row r="62" spans="1:112" x14ac:dyDescent="0.25">
      <c r="A62">
        <f t="shared" si="64"/>
        <v>1</v>
      </c>
      <c r="B62" s="1">
        <f t="shared" si="64"/>
        <v>8</v>
      </c>
      <c r="C62" s="1">
        <f t="shared" ca="1" si="64"/>
        <v>0.79</v>
      </c>
      <c r="D62" s="1">
        <f t="shared" si="64"/>
        <v>2</v>
      </c>
      <c r="E62" s="1">
        <f t="shared" si="64"/>
        <v>2</v>
      </c>
      <c r="F62" s="1">
        <f t="shared" ref="F62:F71" si="65">D62-$I$2</f>
        <v>-4</v>
      </c>
      <c r="G62" s="1">
        <f t="shared" ref="G62:G71" si="66">E62-$I$3</f>
        <v>-10</v>
      </c>
      <c r="H62" s="6">
        <f t="shared" ref="H62:H71" si="67">F62*COS($B$27)+G62*SIN($B$27)</f>
        <v>-4.4363058500106591</v>
      </c>
      <c r="I62" s="6">
        <f t="shared" ref="I62:I71" si="68">-1*F62*SIN($B$27)+G62*COS($B$27)</f>
        <v>-9.8142340712437264</v>
      </c>
      <c r="J62" s="6">
        <f t="shared" ref="J62:J65" si="69">IF(B62=0,0,$G$38-I62)</f>
        <v>22.594932081779319</v>
      </c>
      <c r="K62">
        <f t="shared" ref="K62:K71" ca="1" si="70">IF($B$28=0,-1,IF(C62=0,0,(($B$28-J62)/$B$28)*$B$30)*IF($B$28&lt;0,-1,1))</f>
        <v>-2.4376413501373671E-2</v>
      </c>
      <c r="L62">
        <f t="shared" ref="L62:L72" ca="1" si="71">IF(AND(K62&gt;0,J62&lt;=$B$29),MIN((K62*B$13),B$12)-$B$31,MAX(K62*B$13,-1*B$12))</f>
        <v>-60</v>
      </c>
      <c r="M62" s="6">
        <f t="shared" ref="M62:M71" ca="1" si="72">L62*C62</f>
        <v>-47.400000000000006</v>
      </c>
      <c r="N62" s="6">
        <f t="shared" ref="N62:N71" ca="1" si="73">M62*I62</f>
        <v>465.19469497695269</v>
      </c>
      <c r="O62" s="6">
        <f t="shared" ref="O62:O71" ca="1" si="74">M62*H62*-1</f>
        <v>-210.28089729050527</v>
      </c>
      <c r="Q62">
        <f t="shared" ref="Q62:Q71" si="75">IF($B62=0,NA(),H62)</f>
        <v>-4.4363058500106591</v>
      </c>
      <c r="R62">
        <f t="shared" ref="R62:R71" si="76">IF($B62=0,NA(),I62)</f>
        <v>-9.8142340712437264</v>
      </c>
      <c r="BC62">
        <v>2.0943951023931975</v>
      </c>
      <c r="BD62">
        <v>61.586626772011556</v>
      </c>
      <c r="BE62">
        <v>59.683746116876961</v>
      </c>
      <c r="BF62" s="6">
        <f t="shared" si="39"/>
        <v>0.76970822643603432</v>
      </c>
      <c r="BG62" s="6">
        <f t="shared" si="40"/>
        <v>1.3246868759571631</v>
      </c>
      <c r="BH62" s="6">
        <f t="shared" si="2"/>
        <v>-0.76970822643603432</v>
      </c>
      <c r="BI62" s="6">
        <f t="shared" si="3"/>
        <v>0.76970822643603432</v>
      </c>
      <c r="BJ62">
        <v>94.748656572325473</v>
      </c>
      <c r="BK62">
        <v>91.821147872118402</v>
      </c>
      <c r="BV62" s="37"/>
      <c r="BW62" s="6">
        <f t="shared" si="25"/>
        <v>1.6406094968746712</v>
      </c>
      <c r="BX62" s="9">
        <f t="shared" ca="1" si="26"/>
        <v>44.187034803476251</v>
      </c>
      <c r="BY62" s="9">
        <f t="shared" ca="1" si="27"/>
        <v>229.30811147916529</v>
      </c>
      <c r="BZ62" s="9">
        <f t="shared" ca="1" si="28"/>
        <v>200.95371139188555</v>
      </c>
      <c r="CA62" s="6">
        <f t="shared" ca="1" si="29"/>
        <v>144.89528562386795</v>
      </c>
      <c r="CB62" s="6">
        <f t="shared" ca="1" si="30"/>
        <v>0.62470640773074015</v>
      </c>
      <c r="CC62" s="6">
        <f t="shared" ca="1" si="31"/>
        <v>1.4021651603478871</v>
      </c>
      <c r="CD62" s="9">
        <f t="shared" si="32"/>
        <v>150.95371139188555</v>
      </c>
      <c r="CE62" s="9">
        <f t="shared" si="33"/>
        <v>144.89528562386795</v>
      </c>
      <c r="CF62" s="6">
        <f t="shared" si="34"/>
        <v>0.76492292376552884</v>
      </c>
      <c r="CG62" s="6"/>
      <c r="CH62" s="6"/>
      <c r="CI62" s="6"/>
      <c r="CJ62" s="1"/>
      <c r="CK62" s="6"/>
      <c r="DC62">
        <v>-2.1737618322295407</v>
      </c>
      <c r="DD62">
        <v>5.2113763033575164</v>
      </c>
      <c r="DE62">
        <v>0.46492957780985422</v>
      </c>
      <c r="DF62">
        <v>-0.52728200826486893</v>
      </c>
      <c r="DG62">
        <v>0.57410313082875963</v>
      </c>
      <c r="DH62">
        <v>-0.46492957780985422</v>
      </c>
    </row>
    <row r="63" spans="1:112" x14ac:dyDescent="0.25">
      <c r="A63">
        <f t="shared" si="64"/>
        <v>2</v>
      </c>
      <c r="B63" s="1">
        <f t="shared" si="64"/>
        <v>8</v>
      </c>
      <c r="C63" s="1">
        <f t="shared" ca="1" si="64"/>
        <v>0.79</v>
      </c>
      <c r="D63" s="1">
        <f t="shared" si="64"/>
        <v>2</v>
      </c>
      <c r="E63" s="1">
        <f t="shared" si="64"/>
        <v>4</v>
      </c>
      <c r="F63" s="1">
        <f t="shared" si="65"/>
        <v>-4</v>
      </c>
      <c r="G63" s="1">
        <f t="shared" si="66"/>
        <v>-8</v>
      </c>
      <c r="H63" s="6">
        <f t="shared" si="67"/>
        <v>-4.3482692600945958</v>
      </c>
      <c r="I63" s="6">
        <f t="shared" si="68"/>
        <v>-7.8161726210285547</v>
      </c>
      <c r="J63" s="6">
        <f t="shared" si="69"/>
        <v>20.596870631564151</v>
      </c>
      <c r="K63">
        <f t="shared" ca="1" si="70"/>
        <v>-2.1955527425493188E-2</v>
      </c>
      <c r="L63">
        <f t="shared" ca="1" si="71"/>
        <v>-60</v>
      </c>
      <c r="M63" s="6">
        <f t="shared" ca="1" si="72"/>
        <v>-47.400000000000006</v>
      </c>
      <c r="N63" s="6">
        <f t="shared" ca="1" si="73"/>
        <v>370.48658223675352</v>
      </c>
      <c r="O63" s="6">
        <f t="shared" ca="1" si="74"/>
        <v>-206.10796292848386</v>
      </c>
      <c r="Q63">
        <f t="shared" si="75"/>
        <v>-4.3482692600945958</v>
      </c>
      <c r="R63">
        <f t="shared" si="76"/>
        <v>-7.8161726210285547</v>
      </c>
      <c r="BC63">
        <v>2.1293016874330841</v>
      </c>
      <c r="BD63">
        <v>47.829674030349594</v>
      </c>
      <c r="BE63">
        <v>50.478723572424727</v>
      </c>
      <c r="BF63" s="6">
        <f t="shared" si="39"/>
        <v>0.81233796430840843</v>
      </c>
      <c r="BG63" s="6">
        <f t="shared" si="40"/>
        <v>1.3169637231246756</v>
      </c>
      <c r="BH63" s="6">
        <f t="shared" si="2"/>
        <v>-0.81233796430840843</v>
      </c>
      <c r="BI63" s="6">
        <f t="shared" si="3"/>
        <v>0.81233796430840843</v>
      </c>
      <c r="BJ63">
        <v>73.584113892845522</v>
      </c>
      <c r="BK63">
        <v>77.659574726807264</v>
      </c>
      <c r="BV63" s="37"/>
      <c r="BW63" s="6">
        <f t="shared" si="25"/>
        <v>1.6755160819145578</v>
      </c>
      <c r="BX63" s="9">
        <f t="shared" ca="1" si="26"/>
        <v>36.427804956677079</v>
      </c>
      <c r="BY63" s="9">
        <f t="shared" ca="1" si="27"/>
        <v>224.17944537045182</v>
      </c>
      <c r="BZ63" s="9">
        <f t="shared" ca="1" si="28"/>
        <v>193.19448154508638</v>
      </c>
      <c r="CA63" s="6">
        <f t="shared" ca="1" si="29"/>
        <v>139.76661951515447</v>
      </c>
      <c r="CB63" s="6">
        <f t="shared" ca="1" si="30"/>
        <v>0.62629171076620138</v>
      </c>
      <c r="CC63" s="6">
        <f t="shared" ca="1" si="31"/>
        <v>1.4699279338110938</v>
      </c>
      <c r="CD63" s="9">
        <f t="shared" si="32"/>
        <v>143.19448154508638</v>
      </c>
      <c r="CE63" s="9">
        <f t="shared" si="33"/>
        <v>139.76661951515447</v>
      </c>
      <c r="CF63" s="6">
        <f t="shared" si="34"/>
        <v>0.77328450414731076</v>
      </c>
      <c r="CG63" s="6"/>
      <c r="CH63" s="6"/>
      <c r="CI63" s="6"/>
      <c r="CJ63" s="1"/>
      <c r="CK63" s="6"/>
      <c r="DC63">
        <v>0.32895412933944201</v>
      </c>
      <c r="DD63">
        <v>0.46492957780985422</v>
      </c>
      <c r="DE63">
        <v>0.54058707776059434</v>
      </c>
      <c r="DF63">
        <v>3.2402471883016464</v>
      </c>
      <c r="DG63">
        <v>-1.1775326279172096</v>
      </c>
      <c r="DH63">
        <v>-0.54058707776059434</v>
      </c>
    </row>
    <row r="64" spans="1:112" x14ac:dyDescent="0.25">
      <c r="A64">
        <f t="shared" si="64"/>
        <v>3</v>
      </c>
      <c r="B64" s="1">
        <f t="shared" si="64"/>
        <v>8</v>
      </c>
      <c r="C64" s="1">
        <f t="shared" ca="1" si="64"/>
        <v>0.79</v>
      </c>
      <c r="D64" s="1">
        <f t="shared" si="64"/>
        <v>4</v>
      </c>
      <c r="E64" s="1">
        <f t="shared" si="64"/>
        <v>2</v>
      </c>
      <c r="F64" s="1">
        <f t="shared" si="65"/>
        <v>-2</v>
      </c>
      <c r="G64" s="1">
        <f t="shared" si="66"/>
        <v>-10</v>
      </c>
      <c r="H64" s="6">
        <f t="shared" si="67"/>
        <v>-2.4382443997954888</v>
      </c>
      <c r="I64" s="6">
        <f t="shared" si="68"/>
        <v>-9.9022706611597897</v>
      </c>
      <c r="J64" s="6">
        <f t="shared" si="69"/>
        <v>22.682968671695384</v>
      </c>
      <c r="K64">
        <f t="shared" ca="1" si="70"/>
        <v>-2.4483080168043434E-2</v>
      </c>
      <c r="L64">
        <f t="shared" ca="1" si="71"/>
        <v>-60</v>
      </c>
      <c r="M64" s="6">
        <f t="shared" ca="1" si="72"/>
        <v>-47.400000000000006</v>
      </c>
      <c r="N64" s="6">
        <f t="shared" ca="1" si="73"/>
        <v>469.3676293389741</v>
      </c>
      <c r="O64" s="6">
        <f t="shared" ca="1" si="74"/>
        <v>-115.57278455030618</v>
      </c>
      <c r="Q64">
        <f t="shared" si="75"/>
        <v>-2.4382443997954888</v>
      </c>
      <c r="R64">
        <f t="shared" si="76"/>
        <v>-9.9022706611597897</v>
      </c>
      <c r="BC64">
        <v>2.1642082724729708</v>
      </c>
      <c r="BD64">
        <v>35.536056000641139</v>
      </c>
      <c r="BE64">
        <v>42.012585733157884</v>
      </c>
      <c r="BF64" s="6">
        <f t="shared" si="39"/>
        <v>0.86872050963586978</v>
      </c>
      <c r="BG64" s="6">
        <f t="shared" si="40"/>
        <v>1.2954877628371011</v>
      </c>
      <c r="BH64" s="6">
        <f t="shared" si="2"/>
        <v>-0.86872050963586978</v>
      </c>
      <c r="BI64" s="6">
        <f t="shared" si="3"/>
        <v>0.86872050963586978</v>
      </c>
      <c r="BJ64">
        <v>54.670855385601747</v>
      </c>
      <c r="BK64">
        <v>64.634747281781358</v>
      </c>
      <c r="BV64" s="37"/>
      <c r="BW64" s="6">
        <f t="shared" si="25"/>
        <v>1.7104226669544444</v>
      </c>
      <c r="BX64" s="9">
        <f t="shared" ca="1" si="26"/>
        <v>26.809442787930067</v>
      </c>
      <c r="BY64" s="9">
        <f t="shared" ca="1" si="27"/>
        <v>218.87901662002483</v>
      </c>
      <c r="BZ64" s="9">
        <f t="shared" ca="1" si="28"/>
        <v>183.57611937633936</v>
      </c>
      <c r="CA64" s="6">
        <f t="shared" ca="1" si="29"/>
        <v>134.46619076472749</v>
      </c>
      <c r="CB64" s="6">
        <f t="shared" ca="1" si="30"/>
        <v>0.63219495385803337</v>
      </c>
      <c r="CC64" s="6">
        <f t="shared" ca="1" si="31"/>
        <v>1.5652383499009126</v>
      </c>
      <c r="CD64" s="9">
        <f t="shared" si="32"/>
        <v>133.57611937633936</v>
      </c>
      <c r="CE64" s="9">
        <f t="shared" si="33"/>
        <v>134.46619076472749</v>
      </c>
      <c r="CF64" s="6">
        <f t="shared" si="34"/>
        <v>0.78871878884812463</v>
      </c>
      <c r="CG64" s="6"/>
      <c r="CH64" s="6"/>
      <c r="CI64" s="6"/>
      <c r="CJ64" s="1"/>
      <c r="CK64" s="6"/>
      <c r="DC64">
        <v>0.57410313082875963</v>
      </c>
      <c r="DD64">
        <v>0.54058707776059434</v>
      </c>
      <c r="DE64">
        <v>5.2360260080562142</v>
      </c>
      <c r="DF64">
        <v>-0.37305048255322276</v>
      </c>
      <c r="DG64">
        <v>0.77576940104938574</v>
      </c>
      <c r="DH64">
        <v>-5.2360260080562142</v>
      </c>
    </row>
    <row r="65" spans="1:112" x14ac:dyDescent="0.25">
      <c r="A65">
        <f t="shared" si="64"/>
        <v>4</v>
      </c>
      <c r="B65" s="1">
        <f t="shared" si="64"/>
        <v>8</v>
      </c>
      <c r="C65" s="1">
        <f t="shared" ca="1" si="64"/>
        <v>0.79</v>
      </c>
      <c r="D65" s="1">
        <f t="shared" si="64"/>
        <v>4</v>
      </c>
      <c r="E65" s="1">
        <f t="shared" si="64"/>
        <v>4</v>
      </c>
      <c r="F65" s="1">
        <f t="shared" si="65"/>
        <v>-2</v>
      </c>
      <c r="G65" s="1">
        <f t="shared" si="66"/>
        <v>-8</v>
      </c>
      <c r="H65" s="6">
        <f t="shared" si="67"/>
        <v>-2.350207809879425</v>
      </c>
      <c r="I65" s="6">
        <f t="shared" si="68"/>
        <v>-7.9042092109446189</v>
      </c>
      <c r="J65" s="6">
        <f t="shared" si="69"/>
        <v>20.684907221480213</v>
      </c>
      <c r="K65">
        <f t="shared" ca="1" si="70"/>
        <v>-2.2062194092162951E-2</v>
      </c>
      <c r="L65">
        <f t="shared" ca="1" si="71"/>
        <v>-60</v>
      </c>
      <c r="M65" s="6">
        <f t="shared" ca="1" si="72"/>
        <v>-47.400000000000006</v>
      </c>
      <c r="N65" s="6">
        <f t="shared" ca="1" si="73"/>
        <v>374.65951659877499</v>
      </c>
      <c r="O65" s="6">
        <f t="shared" ca="1" si="74"/>
        <v>-111.39985018828476</v>
      </c>
      <c r="Q65">
        <f t="shared" si="75"/>
        <v>-2.350207809879425</v>
      </c>
      <c r="R65">
        <f t="shared" si="76"/>
        <v>-7.9042092109446189</v>
      </c>
      <c r="BC65">
        <v>2.1991148575128574</v>
      </c>
      <c r="BD65">
        <v>24.673085977814754</v>
      </c>
      <c r="BE65">
        <v>34.370199480252531</v>
      </c>
      <c r="BF65" s="6">
        <f t="shared" si="39"/>
        <v>0.94818226683673557</v>
      </c>
      <c r="BG65" s="6">
        <f t="shared" si="40"/>
        <v>1.2509325906761219</v>
      </c>
      <c r="BH65" s="6">
        <f t="shared" si="2"/>
        <v>-0.94818226683673557</v>
      </c>
      <c r="BI65" s="6">
        <f t="shared" si="3"/>
        <v>0.94818226683673557</v>
      </c>
      <c r="BJ65">
        <v>37.958593812022698</v>
      </c>
      <c r="BK65">
        <v>52.877229969619279</v>
      </c>
      <c r="BV65" s="37"/>
      <c r="BW65" s="6">
        <f t="shared" si="25"/>
        <v>1.7453292519943311</v>
      </c>
      <c r="BX65" s="9">
        <f t="shared" ca="1" si="26"/>
        <v>17.095600475126673</v>
      </c>
      <c r="BY65" s="9">
        <f t="shared" ca="1" si="27"/>
        <v>213.47363219338584</v>
      </c>
      <c r="BZ65" s="9">
        <f t="shared" ca="1" si="28"/>
        <v>173.86227706353597</v>
      </c>
      <c r="CA65" s="6">
        <f t="shared" ca="1" si="29"/>
        <v>129.0608063380885</v>
      </c>
      <c r="CB65" s="6">
        <f t="shared" ca="1" si="30"/>
        <v>0.63856539215174801</v>
      </c>
      <c r="CC65" s="6">
        <f t="shared" ca="1" si="31"/>
        <v>1.6738367287102716</v>
      </c>
      <c r="CD65" s="9">
        <f t="shared" si="32"/>
        <v>123.86227706353597</v>
      </c>
      <c r="CE65" s="9">
        <f t="shared" si="33"/>
        <v>129.0608063380885</v>
      </c>
      <c r="CF65" s="6">
        <f t="shared" si="34"/>
        <v>0.80594906502277519</v>
      </c>
      <c r="CG65" s="6"/>
      <c r="CH65" s="6"/>
      <c r="CI65" s="6"/>
      <c r="CJ65" s="1"/>
      <c r="CK65" s="6"/>
      <c r="DC65">
        <v>-1.1775326279172096</v>
      </c>
      <c r="DD65">
        <v>5.2360260080562142</v>
      </c>
      <c r="DE65">
        <v>0.57758815797024532</v>
      </c>
      <c r="DF65">
        <v>-0.41930408686906667</v>
      </c>
      <c r="DG65">
        <v>1.0179544762134858</v>
      </c>
      <c r="DH65">
        <v>-0.57758815797024532</v>
      </c>
    </row>
    <row r="66" spans="1:112" x14ac:dyDescent="0.25">
      <c r="A66">
        <f t="shared" si="64"/>
        <v>5</v>
      </c>
      <c r="B66" s="1">
        <f t="shared" si="64"/>
        <v>0</v>
      </c>
      <c r="C66" s="1">
        <f t="shared" ca="1" si="64"/>
        <v>0</v>
      </c>
      <c r="D66" s="1">
        <f t="shared" si="64"/>
        <v>2.5</v>
      </c>
      <c r="E66" s="1">
        <f t="shared" si="64"/>
        <v>12.5</v>
      </c>
      <c r="F66" s="1">
        <f t="shared" si="65"/>
        <v>-3.5</v>
      </c>
      <c r="G66" s="1">
        <f t="shared" si="66"/>
        <v>0.5</v>
      </c>
      <c r="H66" s="6">
        <f t="shared" si="67"/>
        <v>-3.4745983903975328</v>
      </c>
      <c r="I66" s="6">
        <f t="shared" si="68"/>
        <v>0.65357939490690398</v>
      </c>
      <c r="J66" s="6">
        <f>IF(B66=0,0,$G$38-I66)</f>
        <v>0</v>
      </c>
      <c r="K66">
        <f t="shared" ca="1" si="70"/>
        <v>0</v>
      </c>
      <c r="L66">
        <f t="shared" ca="1" si="71"/>
        <v>0</v>
      </c>
      <c r="M66" s="6">
        <f t="shared" ca="1" si="72"/>
        <v>0</v>
      </c>
      <c r="N66" s="6">
        <f t="shared" ca="1" si="73"/>
        <v>0</v>
      </c>
      <c r="O66" s="6">
        <f t="shared" ca="1" si="74"/>
        <v>0</v>
      </c>
      <c r="Q66" t="e">
        <f t="shared" si="75"/>
        <v>#N/A</v>
      </c>
      <c r="R66" t="e">
        <f t="shared" si="76"/>
        <v>#N/A</v>
      </c>
      <c r="BC66">
        <v>2.234021442552744</v>
      </c>
      <c r="BD66">
        <v>13.860966441766537</v>
      </c>
      <c r="BE66">
        <v>25.559673193308416</v>
      </c>
      <c r="BF66" s="6">
        <f t="shared" ref="BF66:BF97" si="77">IF(BC66&lt;&gt;"",IF(AND(BD66=0,BE66=0),0,MOD(ATAN2(BD66,BE66),2*PI())),NA())</f>
        <v>1.0738853790978553</v>
      </c>
      <c r="BG66" s="6">
        <f t="shared" ref="BG66:BG97" si="78">ABS(BC66-BF66)</f>
        <v>1.1601360634548887</v>
      </c>
      <c r="BH66" s="6">
        <f t="shared" si="2"/>
        <v>-1.0738853790978553</v>
      </c>
      <c r="BI66" s="6">
        <f t="shared" si="3"/>
        <v>1.0738853790978553</v>
      </c>
      <c r="BJ66">
        <v>21.324563756563904</v>
      </c>
      <c r="BK66">
        <v>39.322574143551407</v>
      </c>
      <c r="BV66" s="37"/>
      <c r="BW66" s="6">
        <f t="shared" si="25"/>
        <v>1.7802358370342177</v>
      </c>
      <c r="BX66" s="9">
        <f t="shared" ca="1" si="26"/>
        <v>7.399783270920409</v>
      </c>
      <c r="BY66" s="9">
        <f t="shared" ca="1" si="27"/>
        <v>207.97336613458117</v>
      </c>
      <c r="BZ66" s="9">
        <f t="shared" ca="1" si="28"/>
        <v>164.16645985932971</v>
      </c>
      <c r="CA66" s="6">
        <f t="shared" ca="1" si="29"/>
        <v>123.56054027928383</v>
      </c>
      <c r="CB66" s="6">
        <f t="shared" ca="1" si="30"/>
        <v>0.64519749675819582</v>
      </c>
      <c r="CC66" s="6">
        <f t="shared" ca="1" si="31"/>
        <v>1.7969637080582355</v>
      </c>
      <c r="CD66" s="9">
        <f t="shared" si="32"/>
        <v>114.16645985932971</v>
      </c>
      <c r="CE66" s="9">
        <f t="shared" si="33"/>
        <v>123.56054027928381</v>
      </c>
      <c r="CF66" s="6">
        <f t="shared" si="34"/>
        <v>0.82489386756401939</v>
      </c>
      <c r="CG66" s="6"/>
      <c r="CH66" s="6"/>
      <c r="CI66" s="6"/>
      <c r="CJ66" s="1"/>
      <c r="CK66" s="6"/>
      <c r="DC66">
        <v>0.77576940104938574</v>
      </c>
      <c r="DD66">
        <v>0.57758815797024532</v>
      </c>
      <c r="DE66">
        <v>0.59983183484760427</v>
      </c>
      <c r="DF66">
        <v>10.887816636583658</v>
      </c>
      <c r="DG66">
        <v>0.77028075278682562</v>
      </c>
      <c r="DH66">
        <v>-0.59983183484760427</v>
      </c>
    </row>
    <row r="67" spans="1:112" x14ac:dyDescent="0.25">
      <c r="A67">
        <f t="shared" si="64"/>
        <v>6</v>
      </c>
      <c r="B67" s="1">
        <f t="shared" si="64"/>
        <v>0</v>
      </c>
      <c r="C67" s="1">
        <f t="shared" ca="1" si="64"/>
        <v>0</v>
      </c>
      <c r="D67" s="1">
        <f t="shared" si="64"/>
        <v>2.5</v>
      </c>
      <c r="E67" s="1">
        <f t="shared" si="64"/>
        <v>17.5</v>
      </c>
      <c r="F67" s="1">
        <f t="shared" si="65"/>
        <v>-3.5</v>
      </c>
      <c r="G67" s="1">
        <f t="shared" si="66"/>
        <v>5.5</v>
      </c>
      <c r="H67" s="6">
        <f t="shared" si="67"/>
        <v>-3.2545069156073736</v>
      </c>
      <c r="I67" s="6">
        <f t="shared" si="68"/>
        <v>5.6487330204448307</v>
      </c>
      <c r="J67" s="6">
        <f t="shared" ref="J67:J71" si="79">IF(B67=0,0,$G$38-I67)</f>
        <v>0</v>
      </c>
      <c r="K67">
        <f ca="1">IF($B$28=0,-1,IF(C67=0,0,(($B$28-J67)/$B$28)*$B$30)*IF($B$28&lt;0,-1,1))</f>
        <v>0</v>
      </c>
      <c r="L67">
        <f t="shared" ca="1" si="71"/>
        <v>0</v>
      </c>
      <c r="M67" s="6">
        <f t="shared" ca="1" si="72"/>
        <v>0</v>
      </c>
      <c r="N67" s="6">
        <f t="shared" ca="1" si="73"/>
        <v>0</v>
      </c>
      <c r="O67" s="6">
        <f t="shared" ca="1" si="74"/>
        <v>0</v>
      </c>
      <c r="Q67" t="e">
        <f t="shared" si="75"/>
        <v>#N/A</v>
      </c>
      <c r="R67" t="e">
        <f t="shared" si="76"/>
        <v>#N/A</v>
      </c>
      <c r="BC67">
        <v>2.2689280275926307</v>
      </c>
      <c r="BD67">
        <v>5.1359799165707161</v>
      </c>
      <c r="BE67">
        <v>17.128455297882304</v>
      </c>
      <c r="BF67" s="6">
        <f t="shared" si="77"/>
        <v>1.2794764779831689</v>
      </c>
      <c r="BG67" s="6">
        <f t="shared" si="78"/>
        <v>0.9894515496094618</v>
      </c>
      <c r="BH67" s="6">
        <f t="shared" ref="BH67:BH130" si="80">ATAN2(COS($U$13-BF67),SIN($U$13-BF67))</f>
        <v>-1.2794764779831689</v>
      </c>
      <c r="BI67" s="6">
        <f t="shared" ref="BI67:BI130" si="81">ABS(BH67)</f>
        <v>1.2794764779831689</v>
      </c>
      <c r="BJ67">
        <v>7.9015075639549472</v>
      </c>
      <c r="BK67">
        <v>26.351469689049697</v>
      </c>
      <c r="BV67" s="37"/>
      <c r="BW67" s="6">
        <f t="shared" si="25"/>
        <v>1.8151424220741044</v>
      </c>
      <c r="BX67" s="9">
        <f t="shared" ca="1" si="26"/>
        <v>-2.2987025377913994</v>
      </c>
      <c r="BY67" s="9">
        <f t="shared" ca="1" si="27"/>
        <v>202.36403506105864</v>
      </c>
      <c r="BZ67" s="9">
        <f t="shared" ca="1" si="28"/>
        <v>154.4679740506179</v>
      </c>
      <c r="CA67" s="6">
        <f t="shared" ca="1" si="29"/>
        <v>117.9512092057613</v>
      </c>
      <c r="CB67" s="6">
        <f t="shared" ca="1" si="30"/>
        <v>0.6521462510414604</v>
      </c>
      <c r="CC67" s="6">
        <f t="shared" ca="1" si="31"/>
        <v>1.9379864593703922</v>
      </c>
      <c r="CD67" s="9">
        <f t="shared" si="32"/>
        <v>104.4679740506179</v>
      </c>
      <c r="CE67" s="9">
        <f t="shared" si="33"/>
        <v>117.95120920576132</v>
      </c>
      <c r="CF67" s="6">
        <f t="shared" si="34"/>
        <v>0.84594489697849962</v>
      </c>
      <c r="CG67" s="6"/>
      <c r="CH67" s="6"/>
      <c r="CI67" s="6"/>
      <c r="CJ67" s="1"/>
      <c r="CK67" s="6"/>
      <c r="DC67">
        <v>1.0179544762134858</v>
      </c>
      <c r="DD67">
        <v>0.59983183484760427</v>
      </c>
      <c r="DE67">
        <v>0.57688340931306104</v>
      </c>
      <c r="DF67">
        <v>10.792623792593004</v>
      </c>
      <c r="DG67">
        <v>0.82738045106210145</v>
      </c>
      <c r="DH67">
        <v>-0.57688340931306104</v>
      </c>
    </row>
    <row r="68" spans="1:112" x14ac:dyDescent="0.25">
      <c r="A68">
        <f t="shared" si="64"/>
        <v>7</v>
      </c>
      <c r="B68" s="1">
        <f t="shared" si="64"/>
        <v>0</v>
      </c>
      <c r="C68" s="1">
        <f t="shared" ca="1" si="64"/>
        <v>0</v>
      </c>
      <c r="D68" s="1">
        <f t="shared" si="64"/>
        <v>8</v>
      </c>
      <c r="E68" s="1">
        <f t="shared" si="64"/>
        <v>17.5</v>
      </c>
      <c r="F68" s="1">
        <f t="shared" si="65"/>
        <v>2</v>
      </c>
      <c r="G68" s="1">
        <f t="shared" si="66"/>
        <v>5.5</v>
      </c>
      <c r="H68" s="6">
        <f t="shared" si="67"/>
        <v>2.2401620724843454</v>
      </c>
      <c r="I68" s="6">
        <f t="shared" si="68"/>
        <v>5.4066323981756561</v>
      </c>
      <c r="J68" s="6">
        <f t="shared" si="79"/>
        <v>0</v>
      </c>
      <c r="K68">
        <f t="shared" ca="1" si="70"/>
        <v>0</v>
      </c>
      <c r="L68">
        <f t="shared" ca="1" si="71"/>
        <v>0</v>
      </c>
      <c r="M68" s="6">
        <f t="shared" ca="1" si="72"/>
        <v>0</v>
      </c>
      <c r="N68" s="6">
        <f t="shared" ca="1" si="73"/>
        <v>0</v>
      </c>
      <c r="O68" s="6">
        <f t="shared" ca="1" si="74"/>
        <v>0</v>
      </c>
      <c r="Q68" t="e">
        <f t="shared" si="75"/>
        <v>#N/A</v>
      </c>
      <c r="R68" t="e">
        <f t="shared" si="76"/>
        <v>#N/A</v>
      </c>
      <c r="BC68">
        <v>2.3038346126325173</v>
      </c>
      <c r="BD68">
        <v>-1.291887297646318</v>
      </c>
      <c r="BE68">
        <v>10.796534575541088</v>
      </c>
      <c r="BF68" s="6">
        <f t="shared" si="77"/>
        <v>1.689887688948057</v>
      </c>
      <c r="BG68" s="6">
        <f t="shared" si="78"/>
        <v>0.61394692368446036</v>
      </c>
      <c r="BH68" s="6">
        <f t="shared" si="80"/>
        <v>-1.6898876889480567</v>
      </c>
      <c r="BI68" s="6">
        <f t="shared" si="81"/>
        <v>1.6898876889480567</v>
      </c>
      <c r="BJ68">
        <v>-1.9875189194558738</v>
      </c>
      <c r="BK68">
        <v>16.610053193140136</v>
      </c>
      <c r="BV68" s="37"/>
      <c r="BW68" s="6">
        <f t="shared" si="25"/>
        <v>1.850049007113991</v>
      </c>
      <c r="BX68" s="9">
        <f t="shared" ca="1" si="26"/>
        <v>-12.181702963717441</v>
      </c>
      <c r="BY68" s="9">
        <f t="shared" ca="1" si="27"/>
        <v>196.52539317370912</v>
      </c>
      <c r="BZ68" s="9">
        <f t="shared" ca="1" si="28"/>
        <v>144.58497362469186</v>
      </c>
      <c r="CA68" s="6">
        <f t="shared" ca="1" si="29"/>
        <v>112.11256731841178</v>
      </c>
      <c r="CB68" s="6">
        <f t="shared" ca="1" si="30"/>
        <v>0.65956587768958685</v>
      </c>
      <c r="CC68" s="6">
        <f t="shared" ca="1" si="31"/>
        <v>2.1042817294850646</v>
      </c>
      <c r="CD68" s="9">
        <f t="shared" si="32"/>
        <v>94.584973624691855</v>
      </c>
      <c r="CE68" s="9">
        <f t="shared" si="33"/>
        <v>112.11256731841178</v>
      </c>
      <c r="CF68" s="6">
        <f t="shared" si="34"/>
        <v>0.86999405063809332</v>
      </c>
      <c r="CG68" s="6"/>
      <c r="CH68" s="6"/>
      <c r="CI68" s="6"/>
      <c r="CJ68" s="1"/>
      <c r="CK68" s="6"/>
      <c r="DC68">
        <v>0.77028075278682562</v>
      </c>
      <c r="DD68">
        <v>0.57688340931306104</v>
      </c>
      <c r="DE68">
        <v>0.58365494793040296</v>
      </c>
      <c r="DF68">
        <v>8.4323078552699116</v>
      </c>
      <c r="DG68">
        <v>2.1890075560410001</v>
      </c>
      <c r="DH68">
        <v>-0.58365494793040296</v>
      </c>
    </row>
    <row r="69" spans="1:112" x14ac:dyDescent="0.25">
      <c r="A69">
        <f t="shared" si="64"/>
        <v>8</v>
      </c>
      <c r="B69" s="1">
        <f t="shared" si="64"/>
        <v>0</v>
      </c>
      <c r="C69" s="1">
        <f t="shared" ca="1" si="64"/>
        <v>0</v>
      </c>
      <c r="D69" s="1">
        <f t="shared" si="64"/>
        <v>13.5</v>
      </c>
      <c r="E69" s="1">
        <f t="shared" si="64"/>
        <v>7.5</v>
      </c>
      <c r="F69" s="1">
        <f t="shared" si="65"/>
        <v>7.5</v>
      </c>
      <c r="G69" s="1">
        <f t="shared" si="66"/>
        <v>-4.5</v>
      </c>
      <c r="H69" s="6">
        <f t="shared" si="67"/>
        <v>7.2946481109957464</v>
      </c>
      <c r="I69" s="6">
        <f t="shared" si="68"/>
        <v>-4.8257754751693724</v>
      </c>
      <c r="J69" s="6">
        <f t="shared" si="79"/>
        <v>0</v>
      </c>
      <c r="K69">
        <f t="shared" ca="1" si="70"/>
        <v>0</v>
      </c>
      <c r="L69">
        <f t="shared" ca="1" si="71"/>
        <v>0</v>
      </c>
      <c r="M69" s="6">
        <f t="shared" ca="1" si="72"/>
        <v>0</v>
      </c>
      <c r="N69" s="6">
        <f t="shared" ca="1" si="73"/>
        <v>0</v>
      </c>
      <c r="O69" s="6">
        <f t="shared" ca="1" si="74"/>
        <v>0</v>
      </c>
      <c r="Q69" t="e">
        <f t="shared" si="75"/>
        <v>#N/A</v>
      </c>
      <c r="R69" t="e">
        <f t="shared" si="76"/>
        <v>#N/A</v>
      </c>
      <c r="BC69">
        <v>2.338741197672404</v>
      </c>
      <c r="BD69">
        <v>-4.9939582865487919</v>
      </c>
      <c r="BE69">
        <v>6.9231909947536314</v>
      </c>
      <c r="BF69" s="6">
        <f t="shared" si="77"/>
        <v>2.1956997779037075</v>
      </c>
      <c r="BG69" s="6">
        <f t="shared" si="78"/>
        <v>0.14304141976869644</v>
      </c>
      <c r="BH69" s="6">
        <f t="shared" si="80"/>
        <v>-2.1956997779037071</v>
      </c>
      <c r="BI69" s="6">
        <f t="shared" si="81"/>
        <v>2.1956997779037071</v>
      </c>
      <c r="BJ69">
        <v>-7.6830127485366031</v>
      </c>
      <c r="BK69">
        <v>10.651063068851741</v>
      </c>
      <c r="BV69" s="37"/>
      <c r="BW69" s="6">
        <f t="shared" si="25"/>
        <v>1.8849555921538776</v>
      </c>
      <c r="BX69" s="9">
        <f t="shared" ca="1" si="26"/>
        <v>-22.84833188711778</v>
      </c>
      <c r="BY69" s="9">
        <f t="shared" ca="1" si="27"/>
        <v>190.0487662951808</v>
      </c>
      <c r="BZ69" s="9">
        <f t="shared" ca="1" si="28"/>
        <v>133.91834470129152</v>
      </c>
      <c r="CA69" s="6">
        <f t="shared" ca="1" si="29"/>
        <v>105.63594043988346</v>
      </c>
      <c r="CB69" s="6">
        <f t="shared" ca="1" si="30"/>
        <v>0.66787955999644588</v>
      </c>
      <c r="CC69" s="6">
        <f t="shared" ca="1" si="31"/>
        <v>2.315931033076847</v>
      </c>
      <c r="CD69" s="9">
        <f t="shared" si="32"/>
        <v>83.918344701291517</v>
      </c>
      <c r="CE69" s="9">
        <f t="shared" si="33"/>
        <v>105.63594043988346</v>
      </c>
      <c r="CF69" s="6">
        <f t="shared" si="34"/>
        <v>0.89947266330413056</v>
      </c>
      <c r="CG69" s="6"/>
      <c r="CH69" s="6"/>
      <c r="CI69" s="6"/>
      <c r="CJ69" s="1"/>
      <c r="CK69" s="6"/>
      <c r="DC69">
        <v>0.82738045106210145</v>
      </c>
      <c r="DD69">
        <v>0.58365494793040296</v>
      </c>
      <c r="DE69">
        <v>0.9219630882031109</v>
      </c>
      <c r="DF69">
        <v>4.02481330742234</v>
      </c>
      <c r="DG69">
        <v>-1.5217217503110774</v>
      </c>
      <c r="DH69">
        <v>-0.9219630882031109</v>
      </c>
    </row>
    <row r="70" spans="1:112" x14ac:dyDescent="0.25">
      <c r="A70">
        <f t="shared" si="64"/>
        <v>9</v>
      </c>
      <c r="B70" s="1">
        <f t="shared" si="64"/>
        <v>0</v>
      </c>
      <c r="C70" s="1">
        <f t="shared" ca="1" si="64"/>
        <v>0</v>
      </c>
      <c r="D70" s="1">
        <f t="shared" si="64"/>
        <v>13.5</v>
      </c>
      <c r="E70" s="1">
        <f t="shared" si="64"/>
        <v>12.5</v>
      </c>
      <c r="F70" s="1">
        <f t="shared" si="65"/>
        <v>7.5</v>
      </c>
      <c r="G70" s="1">
        <f t="shared" si="66"/>
        <v>0.5</v>
      </c>
      <c r="H70" s="6">
        <f t="shared" si="67"/>
        <v>7.5147395857859056</v>
      </c>
      <c r="I70" s="6">
        <f t="shared" si="68"/>
        <v>0.16937815036855408</v>
      </c>
      <c r="J70" s="6">
        <f t="shared" si="79"/>
        <v>0</v>
      </c>
      <c r="K70">
        <f t="shared" ca="1" si="70"/>
        <v>0</v>
      </c>
      <c r="L70">
        <f t="shared" ca="1" si="71"/>
        <v>0</v>
      </c>
      <c r="M70" s="6">
        <f t="shared" ca="1" si="72"/>
        <v>0</v>
      </c>
      <c r="N70" s="6">
        <f t="shared" ca="1" si="73"/>
        <v>0</v>
      </c>
      <c r="O70" s="6">
        <f t="shared" ca="1" si="74"/>
        <v>0</v>
      </c>
      <c r="Q70" t="e">
        <f t="shared" si="75"/>
        <v>#N/A</v>
      </c>
      <c r="R70" t="e">
        <f t="shared" si="76"/>
        <v>#N/A</v>
      </c>
      <c r="BC70">
        <v>2.3736477827122906</v>
      </c>
      <c r="BD70">
        <v>-6.0148904205163847</v>
      </c>
      <c r="BE70">
        <v>5.813852995110123</v>
      </c>
      <c r="BF70" s="6">
        <f t="shared" si="77"/>
        <v>2.3731885245504367</v>
      </c>
      <c r="BG70" s="6">
        <f t="shared" si="78"/>
        <v>4.5925816185388157E-4</v>
      </c>
      <c r="BH70" s="6">
        <f t="shared" si="80"/>
        <v>-2.3731885245504367</v>
      </c>
      <c r="BI70" s="6">
        <f t="shared" si="81"/>
        <v>2.3731885245504367</v>
      </c>
      <c r="BJ70">
        <v>-9.2536775700252072</v>
      </c>
      <c r="BK70">
        <v>8.9443892232463433</v>
      </c>
      <c r="BV70" s="37"/>
      <c r="BW70" s="6">
        <f t="shared" si="25"/>
        <v>1.9198621771937643</v>
      </c>
      <c r="BX70" s="9">
        <f t="shared" ca="1" si="26"/>
        <v>-33.678057308773944</v>
      </c>
      <c r="BY70" s="9">
        <f t="shared" ca="1" si="27"/>
        <v>183.32021221257125</v>
      </c>
      <c r="BZ70" s="9">
        <f t="shared" ca="1" si="28"/>
        <v>123.08861927963535</v>
      </c>
      <c r="CA70" s="6">
        <f t="shared" ca="1" si="29"/>
        <v>98.907386357273907</v>
      </c>
      <c r="CB70" s="6">
        <f t="shared" ca="1" si="30"/>
        <v>0.67689949264608551</v>
      </c>
      <c r="CC70" s="6">
        <f t="shared" ca="1" si="31"/>
        <v>2.5749873584471521</v>
      </c>
      <c r="CD70" s="9">
        <f t="shared" si="32"/>
        <v>73.088619279635353</v>
      </c>
      <c r="CE70" s="9">
        <f t="shared" si="33"/>
        <v>98.907386357273907</v>
      </c>
      <c r="CF70" s="6">
        <f t="shared" si="34"/>
        <v>0.93439822849080068</v>
      </c>
      <c r="CG70" s="6"/>
      <c r="CH70" s="6"/>
      <c r="CI70" s="6"/>
      <c r="CJ70" s="1"/>
      <c r="CK70" s="6"/>
      <c r="DC70">
        <v>2.1890075560410001</v>
      </c>
      <c r="DD70">
        <v>0.9219630882031109</v>
      </c>
      <c r="DE70">
        <v>5.2261227725365451</v>
      </c>
      <c r="DF70">
        <v>-0.86212631001090312</v>
      </c>
      <c r="DG70">
        <v>2.9838561912398047</v>
      </c>
      <c r="DH70">
        <v>-5.2261227725365451</v>
      </c>
    </row>
    <row r="71" spans="1:112" ht="15.75" thickBot="1" x14ac:dyDescent="0.3">
      <c r="A71">
        <f t="shared" si="64"/>
        <v>10</v>
      </c>
      <c r="B71" s="1">
        <f t="shared" si="64"/>
        <v>0</v>
      </c>
      <c r="C71" s="1">
        <f t="shared" ca="1" si="64"/>
        <v>0</v>
      </c>
      <c r="D71" s="1">
        <f t="shared" si="64"/>
        <v>13.5</v>
      </c>
      <c r="E71" s="1">
        <f t="shared" si="64"/>
        <v>17.5</v>
      </c>
      <c r="F71" s="1">
        <f t="shared" si="65"/>
        <v>7.5</v>
      </c>
      <c r="G71" s="1">
        <f t="shared" si="66"/>
        <v>5.5</v>
      </c>
      <c r="H71" s="6">
        <f t="shared" si="67"/>
        <v>7.734831060576064</v>
      </c>
      <c r="I71" s="6">
        <f t="shared" si="68"/>
        <v>5.1645317759064806</v>
      </c>
      <c r="J71" s="6">
        <f t="shared" si="79"/>
        <v>0</v>
      </c>
      <c r="K71" s="12">
        <f t="shared" ca="1" si="70"/>
        <v>0</v>
      </c>
      <c r="L71">
        <f t="shared" ca="1" si="71"/>
        <v>0</v>
      </c>
      <c r="M71" s="11">
        <f t="shared" ca="1" si="72"/>
        <v>0</v>
      </c>
      <c r="N71" s="11">
        <f t="shared" ca="1" si="73"/>
        <v>0</v>
      </c>
      <c r="O71" s="11">
        <f t="shared" ca="1" si="74"/>
        <v>0</v>
      </c>
      <c r="Q71" t="e">
        <f t="shared" si="75"/>
        <v>#N/A</v>
      </c>
      <c r="R71" t="e">
        <f t="shared" si="76"/>
        <v>#N/A</v>
      </c>
      <c r="BC71">
        <v>2.4085543677521772</v>
      </c>
      <c r="BD71">
        <v>-6.2174640441392279</v>
      </c>
      <c r="BE71">
        <v>5.612496439966641</v>
      </c>
      <c r="BF71" s="6">
        <f t="shared" si="77"/>
        <v>2.4072885804311683</v>
      </c>
      <c r="BG71" s="6">
        <f t="shared" si="78"/>
        <v>1.2657873210089043E-3</v>
      </c>
      <c r="BH71" s="6">
        <f t="shared" si="80"/>
        <v>-2.4072885804311683</v>
      </c>
      <c r="BI71" s="6">
        <f t="shared" si="81"/>
        <v>2.4072885804311683</v>
      </c>
      <c r="BJ71">
        <v>-9.565329298675735</v>
      </c>
      <c r="BK71">
        <v>8.6346099076409857</v>
      </c>
      <c r="BV71" s="37"/>
      <c r="BW71" s="6">
        <f t="shared" si="25"/>
        <v>1.9547687622336509</v>
      </c>
      <c r="BX71" s="9">
        <f t="shared" ca="1" si="26"/>
        <v>-44.885726667926676</v>
      </c>
      <c r="BY71" s="9">
        <f t="shared" ca="1" si="27"/>
        <v>176.08069667349332</v>
      </c>
      <c r="BZ71" s="9">
        <f t="shared" ca="1" si="28"/>
        <v>111.88094992048262</v>
      </c>
      <c r="CA71" s="6">
        <f t="shared" ca="1" si="29"/>
        <v>91.667870818195979</v>
      </c>
      <c r="CB71" s="6">
        <f t="shared" ca="1" si="30"/>
        <v>0.68641931418666513</v>
      </c>
      <c r="CC71" s="6">
        <f t="shared" ca="1" si="31"/>
        <v>2.9058884759124757</v>
      </c>
      <c r="CD71" s="9">
        <f t="shared" si="32"/>
        <v>61.880949920482621</v>
      </c>
      <c r="CE71" s="9">
        <f t="shared" si="33"/>
        <v>91.667870818195965</v>
      </c>
      <c r="CF71" s="6">
        <f t="shared" si="34"/>
        <v>0.97700816177791272</v>
      </c>
      <c r="CG71" s="6"/>
      <c r="CH71" s="6"/>
      <c r="CI71" s="6"/>
      <c r="CJ71" s="1"/>
      <c r="CK71" s="6"/>
      <c r="DC71">
        <v>-1.5217217503110774</v>
      </c>
      <c r="DD71">
        <v>5.2261227725365451</v>
      </c>
      <c r="DE71">
        <v>3.4733546641756434</v>
      </c>
      <c r="DF71">
        <v>-2.5705499318813292</v>
      </c>
      <c r="DG71">
        <v>-0.65408282772297055</v>
      </c>
      <c r="DH71">
        <v>-3.4733546641756434</v>
      </c>
    </row>
    <row r="72" spans="1:112" ht="15.75" thickTop="1" x14ac:dyDescent="0.25">
      <c r="J72" s="6">
        <f>MAX(J62:J71)</f>
        <v>22.682968671695384</v>
      </c>
      <c r="K72" s="13">
        <f ca="1">MIN(K62:K71)</f>
        <v>-2.4483080168043434E-2</v>
      </c>
      <c r="L72">
        <f t="shared" ca="1" si="71"/>
        <v>-60</v>
      </c>
      <c r="M72" s="6">
        <f ca="1">SUM(M62:M71)</f>
        <v>-189.60000000000002</v>
      </c>
      <c r="N72" s="6">
        <f ca="1">SUM(N62:N71)</f>
        <v>1679.7084231514555</v>
      </c>
      <c r="O72" s="6">
        <f ca="1">SUM(O62:O71)</f>
        <v>-643.36149495758002</v>
      </c>
      <c r="BC72">
        <v>2.4434609527920639</v>
      </c>
      <c r="BD72">
        <v>-6.4233965855928314</v>
      </c>
      <c r="BE72">
        <v>5.4088512552613253</v>
      </c>
      <c r="BF72" s="6">
        <f t="shared" si="77"/>
        <v>2.4417293712586101</v>
      </c>
      <c r="BG72" s="6">
        <f t="shared" si="78"/>
        <v>1.7315815334537632E-3</v>
      </c>
      <c r="BH72" s="6">
        <f t="shared" si="80"/>
        <v>-2.4417293712586101</v>
      </c>
      <c r="BI72" s="6">
        <f t="shared" si="81"/>
        <v>2.4417293712586101</v>
      </c>
      <c r="BJ72">
        <v>-9.8821485932197408</v>
      </c>
      <c r="BK72">
        <v>8.3213096234789621</v>
      </c>
      <c r="BV72" s="37"/>
      <c r="BW72" s="6">
        <f t="shared" si="25"/>
        <v>1.9896753472735376</v>
      </c>
      <c r="BX72" s="9">
        <f t="shared" ca="1" si="26"/>
        <v>-55.754412090782623</v>
      </c>
      <c r="BY72" s="9">
        <f t="shared" ca="1" si="27"/>
        <v>169.10720138184254</v>
      </c>
      <c r="BZ72" s="9">
        <f t="shared" ca="1" si="28"/>
        <v>101.01226449762667</v>
      </c>
      <c r="CA72" s="6">
        <f t="shared" ca="1" si="29"/>
        <v>84.694375526545201</v>
      </c>
      <c r="CB72" s="6">
        <f t="shared" ca="1" si="30"/>
        <v>0.69775409372449648</v>
      </c>
      <c r="CC72" s="6">
        <f t="shared" ca="1" si="31"/>
        <v>3.3092597606612948</v>
      </c>
      <c r="CD72" s="9">
        <f t="shared" si="32"/>
        <v>51.012264497626674</v>
      </c>
      <c r="CE72" s="9">
        <f t="shared" si="33"/>
        <v>84.694375526545201</v>
      </c>
      <c r="CF72" s="6">
        <f t="shared" si="34"/>
        <v>1.028680069790626</v>
      </c>
      <c r="CG72" s="6"/>
      <c r="CH72" s="6"/>
      <c r="CI72" s="6"/>
      <c r="CJ72" s="1"/>
      <c r="CK72" s="6"/>
      <c r="DC72">
        <v>2.9838561912398047</v>
      </c>
      <c r="DD72">
        <v>3.4733546641756434</v>
      </c>
      <c r="DE72">
        <v>5.2678906504170087</v>
      </c>
      <c r="DF72">
        <v>-2.0272310206397122</v>
      </c>
      <c r="DG72">
        <v>-2.5412221022188732</v>
      </c>
      <c r="DH72">
        <v>-5.2678906504170087</v>
      </c>
    </row>
    <row r="73" spans="1:112" x14ac:dyDescent="0.25">
      <c r="M73" s="1"/>
      <c r="N73" s="45">
        <f ca="1">N72/M72</f>
        <v>-8.8592216410941731</v>
      </c>
      <c r="O73" s="45">
        <f ca="1">-1*O72/M72</f>
        <v>-3.3932568299450421</v>
      </c>
      <c r="R73">
        <f ca="1">(O73*COS(-1*$B$27))+(N73*SIN(-1*$B$27))+$I$2</f>
        <v>3.0000000000000004</v>
      </c>
      <c r="S73">
        <f ca="1">(-1*O73*SIN(-1*$B$27))+(N73*COS(-1*$B$27))+$I$3</f>
        <v>3</v>
      </c>
      <c r="BC73">
        <v>2.4783675378319505</v>
      </c>
      <c r="BD73">
        <v>-6.6345543193495562</v>
      </c>
      <c r="BE73">
        <v>5.2007390010906382</v>
      </c>
      <c r="BF73" s="6">
        <f t="shared" si="77"/>
        <v>2.476754399542183</v>
      </c>
      <c r="BG73" s="6">
        <f t="shared" si="78"/>
        <v>1.6131382897675017E-3</v>
      </c>
      <c r="BH73" s="6">
        <f t="shared" si="80"/>
        <v>-2.476754399542183</v>
      </c>
      <c r="BI73" s="6">
        <f t="shared" si="81"/>
        <v>2.476754399542183</v>
      </c>
      <c r="BJ73">
        <v>-10.207006645153163</v>
      </c>
      <c r="BK73">
        <v>8.0011369247548281</v>
      </c>
      <c r="BV73" s="37"/>
      <c r="BW73" s="6">
        <f t="shared" si="25"/>
        <v>2.0245819323134242</v>
      </c>
      <c r="BX73" s="9">
        <f t="shared" ca="1" si="26"/>
        <v>-67.761837547769332</v>
      </c>
      <c r="BY73" s="9">
        <f t="shared" ca="1" si="27"/>
        <v>161.6180090081819</v>
      </c>
      <c r="BZ73" s="9">
        <f t="shared" ca="1" si="28"/>
        <v>89.004839040639965</v>
      </c>
      <c r="CA73" s="6">
        <f t="shared" ca="1" si="29"/>
        <v>77.205183152884558</v>
      </c>
      <c r="CB73" s="6">
        <f t="shared" ca="1" si="30"/>
        <v>0.71452462445074971</v>
      </c>
      <c r="CC73" s="6">
        <f t="shared" ca="1" si="31"/>
        <v>3.8846469807996158</v>
      </c>
      <c r="CD73" s="9">
        <f t="shared" si="32"/>
        <v>39.004839040639965</v>
      </c>
      <c r="CE73" s="9">
        <f t="shared" si="33"/>
        <v>77.205183152884558</v>
      </c>
      <c r="CF73" s="6">
        <f t="shared" si="34"/>
        <v>1.1029893225307112</v>
      </c>
      <c r="CG73" s="6"/>
      <c r="CH73" s="6"/>
      <c r="CI73" s="6"/>
      <c r="CJ73" s="1"/>
      <c r="CK73" s="6"/>
      <c r="DC73">
        <v>-0.65408282772297055</v>
      </c>
      <c r="DD73">
        <v>5.2678906504170087</v>
      </c>
      <c r="DE73">
        <v>5.0532495978103036</v>
      </c>
      <c r="DF73">
        <v>8.7920705362630667</v>
      </c>
      <c r="DG73">
        <v>-2.9874518532529262</v>
      </c>
      <c r="DH73">
        <v>-5.0532495978103036</v>
      </c>
    </row>
    <row r="74" spans="1:112" x14ac:dyDescent="0.25">
      <c r="BC74">
        <v>2.5132741228718372</v>
      </c>
      <c r="BD74">
        <v>-6.8529247269252496</v>
      </c>
      <c r="BE74">
        <v>4.9856543290762536</v>
      </c>
      <c r="BF74" s="6">
        <f t="shared" si="77"/>
        <v>2.512633269861599</v>
      </c>
      <c r="BG74" s="6">
        <f t="shared" si="78"/>
        <v>6.4085301023819596E-4</v>
      </c>
      <c r="BH74" s="6">
        <f t="shared" si="80"/>
        <v>-2.512633269861599</v>
      </c>
      <c r="BI74" s="6">
        <f t="shared" si="81"/>
        <v>2.512633269861599</v>
      </c>
      <c r="BJ74">
        <v>-10.542961118346538</v>
      </c>
      <c r="BK74">
        <v>7.6702374293480826</v>
      </c>
      <c r="BV74" s="37"/>
      <c r="BW74" s="6">
        <f t="shared" si="25"/>
        <v>2.0594885173533108</v>
      </c>
      <c r="BX74" s="9">
        <f t="shared" ca="1" si="26"/>
        <v>-80.939488733009483</v>
      </c>
      <c r="BY74" s="9">
        <f t="shared" ca="1" si="27"/>
        <v>153.32418059821379</v>
      </c>
      <c r="BZ74" s="9">
        <f t="shared" ca="1" si="28"/>
        <v>75.827187855399814</v>
      </c>
      <c r="CA74" s="6">
        <f t="shared" ca="1" si="29"/>
        <v>68.911354742916444</v>
      </c>
      <c r="CB74" s="6">
        <f t="shared" ca="1" si="30"/>
        <v>0.73765291835672875</v>
      </c>
      <c r="CC74" s="6">
        <f t="shared" ca="1" si="31"/>
        <v>4.7455811746213179</v>
      </c>
      <c r="CD74" s="9">
        <f t="shared" si="32"/>
        <v>25.827187855399814</v>
      </c>
      <c r="CE74" s="9">
        <f t="shared" si="33"/>
        <v>68.911354742916458</v>
      </c>
      <c r="CF74" s="6">
        <f t="shared" si="34"/>
        <v>1.2122110358188605</v>
      </c>
      <c r="CG74" s="6"/>
      <c r="CH74" s="6"/>
      <c r="CI74" s="6"/>
      <c r="CJ74" s="1"/>
      <c r="CK74" s="6"/>
      <c r="DC74">
        <v>-2.5412221022188732</v>
      </c>
      <c r="DD74">
        <v>5.0532495978103036</v>
      </c>
      <c r="DE74">
        <v>4.0968404458059267</v>
      </c>
      <c r="DF74">
        <v>0.46656783877368291</v>
      </c>
      <c r="DG74">
        <v>1.3842794613263776</v>
      </c>
      <c r="DH74">
        <v>-4.0968404458059267</v>
      </c>
    </row>
    <row r="75" spans="1:112" x14ac:dyDescent="0.25">
      <c r="A75" s="8" t="s">
        <v>63</v>
      </c>
      <c r="B75" s="9">
        <f ca="1">N57+M72</f>
        <v>-1.0373923942097463E-10</v>
      </c>
      <c r="C75" t="s">
        <v>68</v>
      </c>
      <c r="E75">
        <f>((O59*COS(-1*B27))+(P59*SIN(-1*B27)))</f>
        <v>179.15754248326496</v>
      </c>
      <c r="F75">
        <f>(-1*(O59)*SIN(-1*B27))+((P59)*COS(-1*B27))</f>
        <v>47.400000006846987</v>
      </c>
      <c r="R75" t="str">
        <f ca="1">"Ts = "&amp;ROUND(M72,4)&amp;" "&amp;V10&amp;CHAR(10)&amp;" @ ( "&amp;ROUND(R73,4)&amp;" , "&amp;ROUND(S73,4)&amp;" )"</f>
        <v>Ts = -189.6 kips
 @ ( 3 , 3 )</v>
      </c>
      <c r="BC75">
        <v>2.5481807079117238</v>
      </c>
      <c r="BD75">
        <v>-7.0807026825606441</v>
      </c>
      <c r="BE75">
        <v>4.7606098139851261</v>
      </c>
      <c r="BF75" s="6">
        <f t="shared" si="77"/>
        <v>2.5496755365344415</v>
      </c>
      <c r="BG75" s="6">
        <f t="shared" si="78"/>
        <v>1.4948286227176588E-3</v>
      </c>
      <c r="BH75" s="6">
        <f t="shared" si="80"/>
        <v>-2.5496755365344415</v>
      </c>
      <c r="BI75" s="6">
        <f t="shared" si="81"/>
        <v>2.5496755365344415</v>
      </c>
      <c r="BJ75">
        <v>-10.89338874240099</v>
      </c>
      <c r="BK75">
        <v>7.3240150984386556</v>
      </c>
      <c r="BV75" s="37"/>
      <c r="BW75" s="6">
        <f t="shared" si="25"/>
        <v>2.0943951023931975</v>
      </c>
      <c r="BX75" s="9">
        <f t="shared" ca="1" si="26"/>
        <v>-95.180049816397741</v>
      </c>
      <c r="BY75" s="9">
        <f t="shared" ca="1" si="27"/>
        <v>144.0965719721743</v>
      </c>
      <c r="BZ75" s="9">
        <f t="shared" ca="1" si="28"/>
        <v>61.586626772011556</v>
      </c>
      <c r="CA75" s="6">
        <f t="shared" ca="1" si="29"/>
        <v>59.683746116876961</v>
      </c>
      <c r="CB75" s="6">
        <f t="shared" ca="1" si="30"/>
        <v>0.76970822643603432</v>
      </c>
      <c r="CC75" s="6">
        <f t="shared" ca="1" si="31"/>
        <v>6.0933951920525899</v>
      </c>
      <c r="CD75" s="9">
        <f t="shared" si="32"/>
        <v>11.586626772011556</v>
      </c>
      <c r="CE75" s="9">
        <f t="shared" si="33"/>
        <v>59.683746116876961</v>
      </c>
      <c r="CF75" s="6">
        <f t="shared" si="34"/>
        <v>1.3790477456412933</v>
      </c>
      <c r="CG75" s="6"/>
      <c r="CH75" s="6"/>
      <c r="CI75" s="6"/>
      <c r="CJ75" s="1"/>
      <c r="CK75" s="6"/>
      <c r="DC75">
        <v>-2.9874518532529262</v>
      </c>
      <c r="DD75">
        <v>4.0968404458059267</v>
      </c>
      <c r="DE75">
        <v>0.61727402616159965</v>
      </c>
      <c r="DF75">
        <v>-1.2564011682312337</v>
      </c>
      <c r="DG75">
        <v>2.1598232689146082</v>
      </c>
      <c r="DH75">
        <v>-0.61727402616159965</v>
      </c>
    </row>
    <row r="76" spans="1:112" x14ac:dyDescent="0.25">
      <c r="A76" s="8" t="s">
        <v>66</v>
      </c>
      <c r="B76" s="9">
        <f ca="1">O57+N72</f>
        <v>3852.5527042337912</v>
      </c>
      <c r="C76" t="s">
        <v>69</v>
      </c>
      <c r="E76">
        <f ca="1">((N73*COS(-1*B27))+(O73*SIN(-1*B27)))</f>
        <v>-8.7012692399822456</v>
      </c>
      <c r="F76">
        <f ca="1">(-1*(N73)*SIN(-1*B27))+((O73)*COS(-1*B27))</f>
        <v>-3.7799356625925236</v>
      </c>
      <c r="BC76">
        <v>2.5830872929516104</v>
      </c>
      <c r="BD76">
        <v>-7.3203934779903586</v>
      </c>
      <c r="BE76">
        <v>4.5219227331446179</v>
      </c>
      <c r="BF76" s="6">
        <f t="shared" si="77"/>
        <v>2.5882485690636985</v>
      </c>
      <c r="BG76" s="6">
        <f t="shared" si="78"/>
        <v>5.1612761120880535E-3</v>
      </c>
      <c r="BH76" s="6">
        <f t="shared" si="80"/>
        <v>-2.5882485690636985</v>
      </c>
      <c r="BI76" s="6">
        <f t="shared" si="81"/>
        <v>2.5882485690636985</v>
      </c>
      <c r="BJ76">
        <v>-11.262143812292859</v>
      </c>
      <c r="BK76">
        <v>6.9568042048378738</v>
      </c>
      <c r="BV76" s="37"/>
      <c r="BW76" s="6">
        <f t="shared" si="25"/>
        <v>2.1293016874330841</v>
      </c>
      <c r="BX76" s="9">
        <f t="shared" ca="1" si="26"/>
        <v>-108.9370025580597</v>
      </c>
      <c r="BY76" s="9">
        <f t="shared" ca="1" si="27"/>
        <v>134.89154942772205</v>
      </c>
      <c r="BZ76" s="9">
        <f t="shared" ca="1" si="28"/>
        <v>47.829674030349594</v>
      </c>
      <c r="CA76" s="6">
        <f t="shared" ca="1" si="29"/>
        <v>50.478723572424713</v>
      </c>
      <c r="CB76" s="6">
        <f t="shared" ca="1" si="30"/>
        <v>0.81233796430840832</v>
      </c>
      <c r="CC76" s="6">
        <f t="shared" ca="1" si="31"/>
        <v>8.0142676526312169</v>
      </c>
      <c r="CD76" s="9">
        <f t="shared" si="32"/>
        <v>-2.1703259696504063</v>
      </c>
      <c r="CE76" s="9">
        <f t="shared" si="33"/>
        <v>50.478723572424727</v>
      </c>
      <c r="CF76" s="6">
        <f t="shared" si="34"/>
        <v>1.6137647295715301</v>
      </c>
      <c r="CG76" s="6"/>
      <c r="CH76" s="6"/>
      <c r="CI76" s="6"/>
      <c r="CJ76" s="1"/>
      <c r="CK76" s="6"/>
      <c r="DC76">
        <v>1.3842794613263776</v>
      </c>
      <c r="DD76">
        <v>0.61727402616159965</v>
      </c>
      <c r="DE76">
        <v>0.86062446421889727</v>
      </c>
      <c r="DF76">
        <v>3.1869423115878117</v>
      </c>
      <c r="DG76">
        <v>-0.58293725049218625</v>
      </c>
      <c r="DH76">
        <v>-0.86062446421889727</v>
      </c>
    </row>
    <row r="77" spans="1:112" x14ac:dyDescent="0.25">
      <c r="A77" s="8" t="s">
        <v>67</v>
      </c>
      <c r="B77" s="9">
        <f ca="1">P57+O72</f>
        <v>-169.74733302211496</v>
      </c>
      <c r="C77" t="s">
        <v>69</v>
      </c>
      <c r="BC77">
        <v>2.6179938779914971</v>
      </c>
      <c r="BD77">
        <v>-7.5749436787066236</v>
      </c>
      <c r="BE77">
        <v>4.2649113154177583</v>
      </c>
      <c r="BF77" s="6">
        <f t="shared" si="77"/>
        <v>2.6288015977825414</v>
      </c>
      <c r="BG77" s="6">
        <f t="shared" si="78"/>
        <v>1.0807719791044335E-2</v>
      </c>
      <c r="BH77" s="6">
        <f t="shared" si="80"/>
        <v>-2.6288015977825414</v>
      </c>
      <c r="BI77" s="6">
        <f t="shared" si="81"/>
        <v>2.6288015977825414</v>
      </c>
      <c r="BJ77">
        <v>-11.653759505702498</v>
      </c>
      <c r="BK77">
        <v>6.5614020237196282</v>
      </c>
      <c r="BV77" s="37"/>
      <c r="BW77" s="6">
        <f t="shared" si="25"/>
        <v>2.1642082724729708</v>
      </c>
      <c r="BX77" s="9">
        <f t="shared" ca="1" si="26"/>
        <v>-121.23062058776816</v>
      </c>
      <c r="BY77" s="9">
        <f t="shared" ca="1" si="27"/>
        <v>126.42541158845523</v>
      </c>
      <c r="BZ77" s="9">
        <f t="shared" ca="1" si="28"/>
        <v>35.536056000641139</v>
      </c>
      <c r="CA77" s="6">
        <f t="shared" ca="1" si="29"/>
        <v>42.012585733157891</v>
      </c>
      <c r="CB77" s="6">
        <f t="shared" ca="1" si="30"/>
        <v>0.86872050963586978</v>
      </c>
      <c r="CC77" s="6">
        <f t="shared" ca="1" si="31"/>
        <v>10.336426367816895</v>
      </c>
      <c r="CD77" s="9">
        <f t="shared" si="32"/>
        <v>-14.463943999358861</v>
      </c>
      <c r="CE77" s="9">
        <f t="shared" si="33"/>
        <v>42.012585733157884</v>
      </c>
      <c r="CF77" s="6">
        <f t="shared" si="34"/>
        <v>1.9023631464175594</v>
      </c>
      <c r="CG77" s="6"/>
      <c r="CH77" s="6"/>
      <c r="CI77" s="6"/>
      <c r="CJ77" s="1"/>
      <c r="CK77" s="6"/>
      <c r="DC77">
        <v>2.1598232689146082</v>
      </c>
      <c r="DD77">
        <v>0.86062446421889727</v>
      </c>
      <c r="DE77">
        <v>5.2769344748530216</v>
      </c>
      <c r="DF77">
        <v>-0.62105253317870457</v>
      </c>
      <c r="DG77">
        <v>2.6943162725333201</v>
      </c>
      <c r="DH77">
        <v>-5.2769344748530216</v>
      </c>
    </row>
    <row r="78" spans="1:112" x14ac:dyDescent="0.25">
      <c r="BC78">
        <v>2.6529004630313837</v>
      </c>
      <c r="BD78">
        <v>-7.847915610959034</v>
      </c>
      <c r="BE78">
        <v>3.9834479802485352</v>
      </c>
      <c r="BF78" s="6">
        <f t="shared" si="77"/>
        <v>2.6718991473474771</v>
      </c>
      <c r="BG78" s="6">
        <f t="shared" si="78"/>
        <v>1.8998684316093417E-2</v>
      </c>
      <c r="BH78" s="6">
        <f t="shared" si="80"/>
        <v>-2.6718991473474771</v>
      </c>
      <c r="BI78" s="6">
        <f t="shared" si="81"/>
        <v>2.6718991473474771</v>
      </c>
      <c r="BJ78">
        <v>-12.073716324552359</v>
      </c>
      <c r="BK78">
        <v>6.1283815080746695</v>
      </c>
      <c r="BV78" s="37"/>
      <c r="BW78" s="6">
        <f t="shared" si="25"/>
        <v>2.1991148575128574</v>
      </c>
      <c r="BX78" s="9">
        <f t="shared" ca="1" si="26"/>
        <v>-132.09359061059453</v>
      </c>
      <c r="BY78" s="9">
        <f t="shared" ca="1" si="27"/>
        <v>118.78302533554987</v>
      </c>
      <c r="BZ78" s="9">
        <f t="shared" ca="1" si="28"/>
        <v>24.673085977814765</v>
      </c>
      <c r="CA78" s="6">
        <f t="shared" ca="1" si="29"/>
        <v>34.370199480252523</v>
      </c>
      <c r="CB78" s="6">
        <f t="shared" ca="1" si="30"/>
        <v>0.94818226683673523</v>
      </c>
      <c r="CC78" s="6">
        <f t="shared" ca="1" si="31"/>
        <v>12.576691532263709</v>
      </c>
      <c r="CD78" s="9">
        <f t="shared" si="32"/>
        <v>-25.326914022185246</v>
      </c>
      <c r="CE78" s="9">
        <f t="shared" si="33"/>
        <v>34.370199480252531</v>
      </c>
      <c r="CF78" s="6">
        <f t="shared" si="34"/>
        <v>2.2058514200631061</v>
      </c>
      <c r="CG78" s="6"/>
      <c r="CH78" s="6"/>
      <c r="CI78" s="6"/>
      <c r="CJ78" s="1"/>
      <c r="CK78" s="6"/>
      <c r="DC78">
        <v>-0.58293725049218625</v>
      </c>
      <c r="DD78">
        <v>5.2769344748530216</v>
      </c>
      <c r="DE78">
        <v>2.7273501484510421</v>
      </c>
      <c r="DF78">
        <v>-1.2854069932452192</v>
      </c>
      <c r="DG78">
        <v>-8.3114080798910167E-2</v>
      </c>
      <c r="DH78">
        <v>-2.7273501484510421</v>
      </c>
    </row>
    <row r="79" spans="1:112" x14ac:dyDescent="0.25">
      <c r="A79" s="8" t="s">
        <v>64</v>
      </c>
      <c r="B79">
        <f ca="1">((B76*COS(-1*B27))+(B77*SIN(-1*B27)))</f>
        <v>3856.2905097991797</v>
      </c>
      <c r="C79" t="s">
        <v>69</v>
      </c>
      <c r="BC79">
        <v>2.6878070480712704</v>
      </c>
      <c r="BD79">
        <v>-8.1437295819841875</v>
      </c>
      <c r="BE79">
        <v>3.6692818127010112</v>
      </c>
      <c r="BF79" s="6">
        <f t="shared" si="77"/>
        <v>2.7182687382316106</v>
      </c>
      <c r="BG79" s="6">
        <f t="shared" si="78"/>
        <v>3.0461690160340282E-2</v>
      </c>
      <c r="BH79" s="6">
        <f t="shared" si="80"/>
        <v>-2.7182687382316106</v>
      </c>
      <c r="BI79" s="6">
        <f t="shared" si="81"/>
        <v>2.7182687382316106</v>
      </c>
      <c r="BJ79">
        <v>-12.528814741514134</v>
      </c>
      <c r="BK79">
        <v>5.6450489426169401</v>
      </c>
      <c r="BV79" s="37"/>
      <c r="BW79" s="6">
        <f t="shared" si="25"/>
        <v>2.234021442552744</v>
      </c>
      <c r="BX79" s="9">
        <f t="shared" ca="1" si="26"/>
        <v>-142.90571014664275</v>
      </c>
      <c r="BY79" s="9">
        <f t="shared" ca="1" si="27"/>
        <v>109.97249904860575</v>
      </c>
      <c r="BZ79" s="9">
        <f t="shared" ca="1" si="28"/>
        <v>13.86096644176655</v>
      </c>
      <c r="CA79" s="6">
        <f t="shared" ca="1" si="29"/>
        <v>25.559673193308413</v>
      </c>
      <c r="CB79" s="6">
        <f t="shared" ca="1" si="30"/>
        <v>1.0738853790978549</v>
      </c>
      <c r="CC79" s="6">
        <f t="shared" ca="1" si="31"/>
        <v>14.521257903336091</v>
      </c>
      <c r="CD79" s="9">
        <f t="shared" si="32"/>
        <v>-36.139033558233464</v>
      </c>
      <c r="CE79" s="9">
        <f t="shared" si="33"/>
        <v>25.559673193308416</v>
      </c>
      <c r="CF79" s="6">
        <f t="shared" si="34"/>
        <v>2.526011169431464</v>
      </c>
      <c r="CG79" s="6"/>
      <c r="CH79" s="6"/>
      <c r="CI79" s="6"/>
      <c r="CJ79" s="1"/>
      <c r="CK79" s="6"/>
      <c r="DC79">
        <v>2.6943162725333201</v>
      </c>
      <c r="DD79">
        <v>2.7273501484510421</v>
      </c>
      <c r="DE79">
        <v>5.4504119847697439</v>
      </c>
      <c r="DF79">
        <v>-1.0199659501992908</v>
      </c>
      <c r="DG79">
        <v>-0.80706474895522207</v>
      </c>
      <c r="DH79">
        <v>-5.4504119847697439</v>
      </c>
    </row>
    <row r="80" spans="1:112" x14ac:dyDescent="0.25">
      <c r="A80" s="8" t="s">
        <v>65</v>
      </c>
      <c r="B80">
        <f ca="1">(-1*(B76)*SIN(-1*B27))+((B77)*COS(-1*B27))</f>
        <v>8.2163808201585198E-8</v>
      </c>
      <c r="C80" t="s">
        <v>69</v>
      </c>
      <c r="BC80">
        <v>2.722713633111157</v>
      </c>
      <c r="BD80">
        <v>-8.4680123342541957</v>
      </c>
      <c r="BE80">
        <v>3.3109782556133802</v>
      </c>
      <c r="BF80" s="6">
        <f t="shared" si="77"/>
        <v>2.7688703856019048</v>
      </c>
      <c r="BG80" s="6">
        <f t="shared" si="78"/>
        <v>4.6156752490747799E-2</v>
      </c>
      <c r="BH80" s="6">
        <f t="shared" si="80"/>
        <v>-2.7688703856019048</v>
      </c>
      <c r="BI80" s="6">
        <f t="shared" si="81"/>
        <v>2.7688703856019048</v>
      </c>
      <c r="BJ80">
        <v>-13.027711283467992</v>
      </c>
      <c r="BK80">
        <v>5.093812700943662</v>
      </c>
      <c r="BV80" s="37"/>
      <c r="BW80" s="6">
        <f t="shared" ref="BW80:BW143" si="82">IF(BC67="",NA(),BC67)</f>
        <v>2.2689280275926307</v>
      </c>
      <c r="BX80" s="9">
        <f t="shared" ref="BX80:BX143" ca="1" si="83">BD67-$BW$5</f>
        <v>-151.63069667183859</v>
      </c>
      <c r="BY80" s="9">
        <f t="shared" ref="BY80:BY143" ca="1" si="84">BE67-$BX$5</f>
        <v>101.54128115317965</v>
      </c>
      <c r="BZ80" s="9">
        <f t="shared" ref="BZ80:BZ143" ca="1" si="85">BX80-$CE$5</f>
        <v>5.1359799165707045</v>
      </c>
      <c r="CA80" s="6">
        <f t="shared" ref="CA80:CA143" ca="1" si="86">BY80-$CF$5</f>
        <v>17.128455297882311</v>
      </c>
      <c r="CB80" s="6">
        <f t="shared" ref="CB80:CB143" ca="1" si="87">ATAN2(BZ80,CA80)</f>
        <v>1.2794764779831695</v>
      </c>
      <c r="CC80" s="6">
        <f t="shared" ref="CC80:CC143" ca="1" si="88">ATAN2(COS(CF80-CB80),SIN(CF80-CB80))*10</f>
        <v>14.97409438536743</v>
      </c>
      <c r="CD80" s="9">
        <f t="shared" ref="CD80:CD143" si="89">BD67-$BW$6</f>
        <v>-44.864020083429281</v>
      </c>
      <c r="CE80" s="9">
        <f t="shared" ref="CE80:CE143" si="90">BE67-$BX$6</f>
        <v>17.128455297882304</v>
      </c>
      <c r="CF80" s="6">
        <f t="shared" ref="CF80:CF143" si="91">ATAN2(CD80,CE80)</f>
        <v>2.7768859165199125</v>
      </c>
      <c r="CG80" s="6"/>
      <c r="CH80" s="6"/>
      <c r="CI80" s="6"/>
      <c r="CJ80" s="1"/>
      <c r="CK80" s="6"/>
      <c r="DC80">
        <v>-8.3114080798910167E-2</v>
      </c>
      <c r="DD80">
        <v>5.4504119847697439</v>
      </c>
      <c r="DE80">
        <v>5.2540883270235108</v>
      </c>
      <c r="DF80">
        <v>3.6875365733664496</v>
      </c>
      <c r="DG80">
        <v>-1.3321516930134003</v>
      </c>
      <c r="DH80">
        <v>-5.2540883270235108</v>
      </c>
    </row>
    <row r="81" spans="1:89" x14ac:dyDescent="0.25">
      <c r="BC81">
        <v>2.7576202181510436</v>
      </c>
      <c r="BD81">
        <v>-8.8281158760882583</v>
      </c>
      <c r="BE81">
        <v>2.8922023232856349</v>
      </c>
      <c r="BF81" s="6">
        <f t="shared" si="77"/>
        <v>2.8249995313335834</v>
      </c>
      <c r="BG81" s="6">
        <f t="shared" si="78"/>
        <v>6.7379313182539757E-2</v>
      </c>
      <c r="BH81" s="6">
        <f t="shared" si="80"/>
        <v>-2.8249995313335834</v>
      </c>
      <c r="BI81" s="6">
        <f t="shared" si="81"/>
        <v>2.8249995313335834</v>
      </c>
      <c r="BJ81">
        <v>-13.581716732443473</v>
      </c>
      <c r="BK81">
        <v>4.4495420358240532</v>
      </c>
      <c r="BV81" s="37"/>
      <c r="BW81" s="6">
        <f t="shared" si="82"/>
        <v>2.3038346126325173</v>
      </c>
      <c r="BX81" s="9">
        <f t="shared" ca="1" si="83"/>
        <v>-158.05856388605562</v>
      </c>
      <c r="BY81" s="9">
        <f t="shared" ca="1" si="84"/>
        <v>95.20936043083843</v>
      </c>
      <c r="BZ81" s="9">
        <f t="shared" ca="1" si="85"/>
        <v>-1.2918872976463263</v>
      </c>
      <c r="CA81" s="6">
        <f t="shared" ca="1" si="86"/>
        <v>10.796534575541088</v>
      </c>
      <c r="CB81" s="6">
        <f t="shared" ca="1" si="87"/>
        <v>1.6898876889480579</v>
      </c>
      <c r="CC81" s="6">
        <f t="shared" ca="1" si="88"/>
        <v>12.442415486668427</v>
      </c>
      <c r="CD81" s="9">
        <f t="shared" si="89"/>
        <v>-51.291887297646319</v>
      </c>
      <c r="CE81" s="9">
        <f t="shared" si="90"/>
        <v>10.796534575541088</v>
      </c>
      <c r="CF81" s="6">
        <f t="shared" si="91"/>
        <v>2.9341292376149006</v>
      </c>
      <c r="CG81" s="6"/>
      <c r="CH81" s="6"/>
      <c r="CI81" s="6"/>
      <c r="CJ81" s="1"/>
      <c r="CK81" s="6"/>
    </row>
    <row r="82" spans="1:89" x14ac:dyDescent="0.25">
      <c r="B82">
        <f>ATAN2(1,0)</f>
        <v>0</v>
      </c>
      <c r="BC82">
        <v>2.7925268031909303</v>
      </c>
      <c r="BD82">
        <v>-9.2339181259230525</v>
      </c>
      <c r="BE82">
        <v>2.3888305857702998</v>
      </c>
      <c r="BF82" s="6">
        <f t="shared" si="77"/>
        <v>2.8884410439387209</v>
      </c>
      <c r="BG82" s="6">
        <f t="shared" si="78"/>
        <v>9.5914240747790647E-2</v>
      </c>
      <c r="BH82" s="6">
        <f t="shared" si="80"/>
        <v>-2.8884410439387209</v>
      </c>
      <c r="BI82" s="6">
        <f t="shared" si="81"/>
        <v>2.8884410439387209</v>
      </c>
      <c r="BJ82">
        <v>-14.206027886035464</v>
      </c>
      <c r="BK82">
        <v>3.6751239781081533</v>
      </c>
      <c r="BV82" s="37"/>
      <c r="BW82" s="6">
        <f t="shared" si="82"/>
        <v>2.338741197672404</v>
      </c>
      <c r="BX82" s="9">
        <f t="shared" ca="1" si="83"/>
        <v>-161.7606348749581</v>
      </c>
      <c r="BY82" s="9">
        <f t="shared" ca="1" si="84"/>
        <v>91.336016850050967</v>
      </c>
      <c r="BZ82" s="9">
        <f t="shared" ca="1" si="85"/>
        <v>-4.9939582865488035</v>
      </c>
      <c r="CA82" s="6">
        <f t="shared" ca="1" si="86"/>
        <v>6.9231909947536252</v>
      </c>
      <c r="CB82" s="6">
        <f t="shared" ca="1" si="87"/>
        <v>2.1956997779037088</v>
      </c>
      <c r="CC82" s="6">
        <f t="shared" ca="1" si="88"/>
        <v>8.2066164125945562</v>
      </c>
      <c r="CD82" s="9">
        <f t="shared" si="89"/>
        <v>-54.993958286548789</v>
      </c>
      <c r="CE82" s="9">
        <f t="shared" si="90"/>
        <v>6.9231909947536314</v>
      </c>
      <c r="CF82" s="6">
        <f t="shared" si="91"/>
        <v>3.0163614191631645</v>
      </c>
      <c r="CG82" s="6"/>
      <c r="CH82" s="6"/>
      <c r="CI82" s="6"/>
      <c r="CJ82" s="1"/>
      <c r="CK82" s="6"/>
    </row>
    <row r="83" spans="1:89" x14ac:dyDescent="0.25">
      <c r="A83" t="s">
        <v>74</v>
      </c>
      <c r="B83">
        <f ca="1">ATAN2(B79,B80)</f>
        <v>2.130643632599764E-11</v>
      </c>
      <c r="BC83">
        <v>2.8274333882308169</v>
      </c>
      <c r="BD83">
        <v>-9.6991082184210367</v>
      </c>
      <c r="BE83">
        <v>1.7638736749991344</v>
      </c>
      <c r="BF83" s="6">
        <f t="shared" si="77"/>
        <v>2.9616992874358523</v>
      </c>
      <c r="BG83" s="6">
        <f t="shared" si="78"/>
        <v>0.1342658992050354</v>
      </c>
      <c r="BH83" s="6">
        <f t="shared" si="80"/>
        <v>-2.9616992874358523</v>
      </c>
      <c r="BI83" s="6">
        <f t="shared" si="81"/>
        <v>2.9616992874358523</v>
      </c>
      <c r="BJ83">
        <v>-14.921704951416979</v>
      </c>
      <c r="BK83">
        <v>2.7136518076909759</v>
      </c>
      <c r="BV83" s="37"/>
      <c r="BW83" s="6">
        <f t="shared" si="82"/>
        <v>2.3736477827122906</v>
      </c>
      <c r="BX83" s="9">
        <f t="shared" ca="1" si="83"/>
        <v>-162.78156700892569</v>
      </c>
      <c r="BY83" s="9">
        <f t="shared" ca="1" si="84"/>
        <v>90.226678850407467</v>
      </c>
      <c r="BZ83" s="9">
        <f t="shared" ca="1" si="85"/>
        <v>-6.0148904205163944</v>
      </c>
      <c r="CA83" s="6">
        <f t="shared" ca="1" si="86"/>
        <v>5.8138529951101248</v>
      </c>
      <c r="CB83" s="6">
        <f t="shared" ca="1" si="87"/>
        <v>2.3731885245504372</v>
      </c>
      <c r="CC83" s="6">
        <f t="shared" ca="1" si="88"/>
        <v>6.6498323395433356</v>
      </c>
      <c r="CD83" s="9">
        <f t="shared" si="89"/>
        <v>-56.014890420516387</v>
      </c>
      <c r="CE83" s="9">
        <f t="shared" si="90"/>
        <v>5.813852995110123</v>
      </c>
      <c r="CF83" s="6">
        <f t="shared" si="91"/>
        <v>3.0381717585047707</v>
      </c>
      <c r="CG83" s="6"/>
      <c r="CH83" s="6"/>
      <c r="CI83" s="6"/>
      <c r="CJ83" s="1"/>
      <c r="CK83" s="6"/>
    </row>
    <row r="84" spans="1:89" x14ac:dyDescent="0.25">
      <c r="BC84">
        <v>2.8623399732707036</v>
      </c>
      <c r="BD84">
        <v>-10.243345950636074</v>
      </c>
      <c r="BE84">
        <v>0.95807134318533138</v>
      </c>
      <c r="BF84" s="6">
        <f t="shared" si="77"/>
        <v>3.0483328765747961</v>
      </c>
      <c r="BG84" s="6">
        <f t="shared" si="78"/>
        <v>0.18599290330409257</v>
      </c>
      <c r="BH84" s="6">
        <f t="shared" si="80"/>
        <v>-3.0483328765747961</v>
      </c>
      <c r="BI84" s="6">
        <f t="shared" si="81"/>
        <v>3.0483328765747961</v>
      </c>
      <c r="BJ84">
        <v>-15.758993770209345</v>
      </c>
      <c r="BK84">
        <v>1.4739559125928174</v>
      </c>
      <c r="BV84" s="37"/>
      <c r="BW84" s="6">
        <f t="shared" si="82"/>
        <v>2.4085543677521772</v>
      </c>
      <c r="BX84" s="9">
        <f t="shared" ca="1" si="83"/>
        <v>-162.98414063254853</v>
      </c>
      <c r="BY84" s="9">
        <f t="shared" ca="1" si="84"/>
        <v>90.025322295263976</v>
      </c>
      <c r="BZ84" s="9">
        <f t="shared" ca="1" si="85"/>
        <v>-6.2174640441392341</v>
      </c>
      <c r="CA84" s="6">
        <f t="shared" ca="1" si="86"/>
        <v>5.6124964399666339</v>
      </c>
      <c r="CB84" s="6">
        <f t="shared" ca="1" si="87"/>
        <v>2.4072885804311692</v>
      </c>
      <c r="CC84" s="6">
        <f t="shared" ca="1" si="88"/>
        <v>6.34798333205711</v>
      </c>
      <c r="CD84" s="9">
        <f t="shared" si="89"/>
        <v>-56.217464044139227</v>
      </c>
      <c r="CE84" s="9">
        <f t="shared" si="90"/>
        <v>5.612496439966641</v>
      </c>
      <c r="CF84" s="6">
        <f t="shared" si="91"/>
        <v>3.0420869136368802</v>
      </c>
      <c r="CG84" s="6"/>
      <c r="CH84" s="6"/>
      <c r="CI84" s="6"/>
      <c r="CJ84" s="1"/>
      <c r="CK84" s="6"/>
    </row>
    <row r="85" spans="1:89" x14ac:dyDescent="0.25">
      <c r="BC85">
        <v>2.8972465583105902</v>
      </c>
      <c r="BD85">
        <v>-10.896092414762313</v>
      </c>
      <c r="BE85">
        <v>-0.12866287466381823</v>
      </c>
      <c r="BF85" s="6">
        <f t="shared" si="77"/>
        <v>3.1534002714334313</v>
      </c>
      <c r="BG85" s="6">
        <f t="shared" si="78"/>
        <v>0.25615371312284108</v>
      </c>
      <c r="BH85" s="6">
        <f t="shared" si="80"/>
        <v>3.129785035746155</v>
      </c>
      <c r="BI85" s="6">
        <f t="shared" si="81"/>
        <v>3.129785035746155</v>
      </c>
      <c r="BJ85">
        <v>-16.763219099634327</v>
      </c>
      <c r="BK85">
        <v>-0.19794288409818189</v>
      </c>
      <c r="BV85" s="37"/>
      <c r="BW85" s="6">
        <f t="shared" si="82"/>
        <v>2.4434609527920639</v>
      </c>
      <c r="BX85" s="9">
        <f t="shared" ca="1" si="83"/>
        <v>-163.19007317400212</v>
      </c>
      <c r="BY85" s="9">
        <f t="shared" ca="1" si="84"/>
        <v>89.821677110558667</v>
      </c>
      <c r="BZ85" s="9">
        <f t="shared" ca="1" si="85"/>
        <v>-6.4233965855928261</v>
      </c>
      <c r="CA85" s="6">
        <f t="shared" ca="1" si="86"/>
        <v>5.4088512552613253</v>
      </c>
      <c r="CB85" s="6">
        <f t="shared" ca="1" si="87"/>
        <v>2.4417293712586101</v>
      </c>
      <c r="CC85" s="6">
        <f t="shared" ca="1" si="88"/>
        <v>6.0429346315651378</v>
      </c>
      <c r="CD85" s="9">
        <f t="shared" si="89"/>
        <v>-56.423396585592833</v>
      </c>
      <c r="CE85" s="9">
        <f t="shared" si="90"/>
        <v>5.4088512552613253</v>
      </c>
      <c r="CF85" s="6">
        <f t="shared" si="91"/>
        <v>3.0460228344151239</v>
      </c>
      <c r="CG85" s="6"/>
      <c r="CH85" s="6"/>
      <c r="CI85" s="6"/>
      <c r="CJ85" s="1"/>
      <c r="CK85" s="6"/>
    </row>
    <row r="86" spans="1:89" x14ac:dyDescent="0.25">
      <c r="BC86">
        <v>2.9321531433504768</v>
      </c>
      <c r="BD86">
        <v>-11.837937697056271</v>
      </c>
      <c r="BE86">
        <v>-1.3604858392766432</v>
      </c>
      <c r="BF86" s="6">
        <f t="shared" si="77"/>
        <v>3.2560165632064471</v>
      </c>
      <c r="BG86" s="6">
        <f t="shared" si="78"/>
        <v>0.32386341985597022</v>
      </c>
      <c r="BH86" s="6">
        <f t="shared" si="80"/>
        <v>3.0271687439731392</v>
      </c>
      <c r="BI86" s="6">
        <f t="shared" si="81"/>
        <v>3.0271687439731392</v>
      </c>
      <c r="BJ86">
        <v>-18.212211841625031</v>
      </c>
      <c r="BK86">
        <v>-2.0930551373486819</v>
      </c>
      <c r="BV86" s="37"/>
      <c r="BW86" s="6">
        <f t="shared" si="82"/>
        <v>2.4783675378319505</v>
      </c>
      <c r="BX86" s="9">
        <f t="shared" ca="1" si="83"/>
        <v>-163.40123090775884</v>
      </c>
      <c r="BY86" s="9">
        <f t="shared" ca="1" si="84"/>
        <v>89.613564856387981</v>
      </c>
      <c r="BZ86" s="9">
        <f t="shared" ca="1" si="85"/>
        <v>-6.6345543193495473</v>
      </c>
      <c r="CA86" s="6">
        <f t="shared" ca="1" si="86"/>
        <v>5.2007390010906391</v>
      </c>
      <c r="CB86" s="6">
        <f t="shared" ca="1" si="87"/>
        <v>2.4767543995421826</v>
      </c>
      <c r="CC86" s="6">
        <f t="shared" ca="1" si="88"/>
        <v>5.7326529452770023</v>
      </c>
      <c r="CD86" s="9">
        <f t="shared" si="89"/>
        <v>-56.634554319349554</v>
      </c>
      <c r="CE86" s="9">
        <f t="shared" si="90"/>
        <v>5.2007390010906382</v>
      </c>
      <c r="CF86" s="6">
        <f t="shared" si="91"/>
        <v>3.0500196940698827</v>
      </c>
      <c r="CG86" s="6"/>
      <c r="CH86" s="6"/>
      <c r="CI86" s="6"/>
      <c r="CJ86" s="1"/>
      <c r="CK86" s="6"/>
    </row>
    <row r="87" spans="1:89" x14ac:dyDescent="0.25">
      <c r="A87" t="s">
        <v>119</v>
      </c>
      <c r="BC87">
        <v>2.9670597283903635</v>
      </c>
      <c r="BD87">
        <v>-12.816280848055632</v>
      </c>
      <c r="BE87">
        <v>-3.4994170257365291</v>
      </c>
      <c r="BF87" s="6">
        <f t="shared" si="77"/>
        <v>3.4081400917244018</v>
      </c>
      <c r="BG87" s="6">
        <f t="shared" si="78"/>
        <v>0.44108036333403833</v>
      </c>
      <c r="BH87" s="6">
        <f t="shared" si="80"/>
        <v>2.8750452154551844</v>
      </c>
      <c r="BI87" s="6">
        <f t="shared" si="81"/>
        <v>2.8750452154551844</v>
      </c>
      <c r="BJ87">
        <v>-19.717355150854818</v>
      </c>
      <c r="BK87">
        <v>-5.3837185011331217</v>
      </c>
      <c r="BV87" s="37"/>
      <c r="BW87" s="6">
        <f t="shared" si="82"/>
        <v>2.5132741228718372</v>
      </c>
      <c r="BX87" s="9">
        <f t="shared" ca="1" si="83"/>
        <v>-163.61960131533453</v>
      </c>
      <c r="BY87" s="9">
        <f t="shared" ca="1" si="84"/>
        <v>89.398480184373597</v>
      </c>
      <c r="BZ87" s="9">
        <f t="shared" ca="1" si="85"/>
        <v>-6.852924726925238</v>
      </c>
      <c r="CA87" s="6">
        <f t="shared" ca="1" si="86"/>
        <v>4.9856543290762545</v>
      </c>
      <c r="CB87" s="6">
        <f t="shared" ca="1" si="87"/>
        <v>2.5126332698615981</v>
      </c>
      <c r="CC87" s="6">
        <f t="shared" ca="1" si="88"/>
        <v>5.4148925368778658</v>
      </c>
      <c r="CD87" s="9">
        <f t="shared" si="89"/>
        <v>-56.852924726925252</v>
      </c>
      <c r="CE87" s="9">
        <f t="shared" si="90"/>
        <v>4.9856543290762536</v>
      </c>
      <c r="CF87" s="6">
        <f t="shared" si="91"/>
        <v>3.0541225235493847</v>
      </c>
      <c r="CG87" s="6"/>
      <c r="CH87" s="6"/>
      <c r="CI87" s="6"/>
      <c r="CJ87" s="1"/>
      <c r="CK87" s="6"/>
    </row>
    <row r="88" spans="1:89" x14ac:dyDescent="0.25">
      <c r="A88" t="s">
        <v>120</v>
      </c>
      <c r="BC88">
        <v>3.0019663134302501</v>
      </c>
      <c r="BD88">
        <v>-13.76862544673901</v>
      </c>
      <c r="BE88">
        <v>-5.7386234245871632</v>
      </c>
      <c r="BF88" s="6">
        <f t="shared" si="77"/>
        <v>3.5364887352108973</v>
      </c>
      <c r="BG88" s="6">
        <f t="shared" si="78"/>
        <v>0.53452242178064724</v>
      </c>
      <c r="BH88" s="6">
        <f t="shared" si="80"/>
        <v>2.7466965719686889</v>
      </c>
      <c r="BI88" s="6">
        <f t="shared" si="81"/>
        <v>2.7466965719686889</v>
      </c>
      <c r="BJ88">
        <v>-21.182500687290784</v>
      </c>
      <c r="BK88">
        <v>-8.8286514224417889</v>
      </c>
      <c r="BV88" s="37"/>
      <c r="BW88" s="6">
        <f t="shared" si="82"/>
        <v>2.5481807079117238</v>
      </c>
      <c r="BX88" s="9">
        <f t="shared" ca="1" si="83"/>
        <v>-163.84737927096995</v>
      </c>
      <c r="BY88" s="9">
        <f t="shared" ca="1" si="84"/>
        <v>89.173435669282469</v>
      </c>
      <c r="BZ88" s="9">
        <f t="shared" ca="1" si="85"/>
        <v>-7.0807026825606556</v>
      </c>
      <c r="CA88" s="6">
        <f t="shared" ca="1" si="86"/>
        <v>4.7606098139851269</v>
      </c>
      <c r="CB88" s="6">
        <f t="shared" ca="1" si="87"/>
        <v>2.5496755365344423</v>
      </c>
      <c r="CC88" s="6">
        <f t="shared" ca="1" si="88"/>
        <v>5.0870830053243576</v>
      </c>
      <c r="CD88" s="9">
        <f t="shared" si="89"/>
        <v>-57.080702682560641</v>
      </c>
      <c r="CE88" s="9">
        <f t="shared" si="90"/>
        <v>4.7606098139851261</v>
      </c>
      <c r="CF88" s="6">
        <f t="shared" si="91"/>
        <v>3.0583838370668781</v>
      </c>
      <c r="CG88" s="6"/>
      <c r="CH88" s="6"/>
      <c r="CI88" s="6"/>
      <c r="CJ88" s="1"/>
      <c r="CK88" s="6"/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3.0368728984701368</v>
      </c>
      <c r="BD89">
        <v>-14.803883308707627</v>
      </c>
      <c r="BE89">
        <v>-8.0861886571983419</v>
      </c>
      <c r="BF89" s="6">
        <f t="shared" si="77"/>
        <v>3.641529720898109</v>
      </c>
      <c r="BG89" s="6">
        <f t="shared" si="78"/>
        <v>0.60465682242797225</v>
      </c>
      <c r="BH89" s="6">
        <f t="shared" si="80"/>
        <v>2.6416555862814772</v>
      </c>
      <c r="BI89" s="6">
        <f t="shared" si="81"/>
        <v>2.6416555862814772</v>
      </c>
      <c r="BJ89">
        <v>-22.528132744103232</v>
      </c>
      <c r="BK89">
        <v>-12.305334192689552</v>
      </c>
      <c r="BV89" s="37"/>
      <c r="BW89" s="6">
        <f t="shared" si="82"/>
        <v>2.5830872929516104</v>
      </c>
      <c r="BX89" s="9">
        <f t="shared" ca="1" si="83"/>
        <v>-164.08707006639966</v>
      </c>
      <c r="BY89" s="9">
        <f t="shared" ca="1" si="84"/>
        <v>88.934748588441963</v>
      </c>
      <c r="BZ89" s="9">
        <f t="shared" ca="1" si="85"/>
        <v>-7.3203934779903648</v>
      </c>
      <c r="CA89" s="6">
        <f t="shared" ca="1" si="86"/>
        <v>4.5219227331446206</v>
      </c>
      <c r="CB89" s="6">
        <f t="shared" ca="1" si="87"/>
        <v>2.5882485690636985</v>
      </c>
      <c r="CC89" s="6">
        <f t="shared" ca="1" si="88"/>
        <v>4.7461857779348726</v>
      </c>
      <c r="CD89" s="9">
        <f t="shared" si="89"/>
        <v>-57.320393477990358</v>
      </c>
      <c r="CE89" s="9">
        <f t="shared" si="90"/>
        <v>4.5219227331446179</v>
      </c>
      <c r="CF89" s="6">
        <f t="shared" si="91"/>
        <v>3.0628671468571858</v>
      </c>
      <c r="CG89" s="6"/>
      <c r="CH89" s="6"/>
      <c r="CI89" s="6"/>
      <c r="CJ89" s="1"/>
      <c r="CK89" s="6"/>
    </row>
    <row r="90" spans="1:89" x14ac:dyDescent="0.25">
      <c r="A90" s="6">
        <f t="shared" ref="A90:A98" si="92">E3-$I$2</f>
        <v>-6</v>
      </c>
      <c r="B90" s="1">
        <f t="shared" ref="B90:B98" si="93">F3-$I$3</f>
        <v>-12</v>
      </c>
      <c r="C90" s="1"/>
      <c r="BC90">
        <v>3.0717794835100234</v>
      </c>
      <c r="BD90">
        <v>-15.730089371534092</v>
      </c>
      <c r="BE90">
        <v>-10.581533405591729</v>
      </c>
      <c r="BF90" s="6">
        <f t="shared" si="77"/>
        <v>3.7337562806267304</v>
      </c>
      <c r="BG90" s="6">
        <f t="shared" si="78"/>
        <v>0.66197679711670698</v>
      </c>
      <c r="BH90" s="6">
        <f t="shared" si="80"/>
        <v>2.5494290265528559</v>
      </c>
      <c r="BI90" s="6">
        <f t="shared" si="81"/>
        <v>2.5494290265528559</v>
      </c>
      <c r="BJ90">
        <v>-23.601191790360748</v>
      </c>
      <c r="BK90">
        <v>-15.876375107786416</v>
      </c>
      <c r="BV90" s="37"/>
      <c r="BW90" s="6">
        <f t="shared" si="82"/>
        <v>2.6179938779914971</v>
      </c>
      <c r="BX90" s="9">
        <f t="shared" ca="1" si="83"/>
        <v>-164.34162026711593</v>
      </c>
      <c r="BY90" s="9">
        <f t="shared" ca="1" si="84"/>
        <v>88.677737170715105</v>
      </c>
      <c r="BZ90" s="9">
        <f t="shared" ca="1" si="85"/>
        <v>-7.5749436787066315</v>
      </c>
      <c r="CA90" s="6">
        <f t="shared" ca="1" si="86"/>
        <v>4.2649113154177627</v>
      </c>
      <c r="CB90" s="6">
        <f t="shared" ca="1" si="87"/>
        <v>2.6288015977825414</v>
      </c>
      <c r="CC90" s="6">
        <f t="shared" ca="1" si="88"/>
        <v>4.388502791434421</v>
      </c>
      <c r="CD90" s="9">
        <f t="shared" si="89"/>
        <v>-57.574943678706624</v>
      </c>
      <c r="CE90" s="9">
        <f t="shared" si="90"/>
        <v>4.2649113154177583</v>
      </c>
      <c r="CF90" s="6">
        <f t="shared" si="91"/>
        <v>3.0676518769259835</v>
      </c>
      <c r="CG90" s="6"/>
      <c r="CH90" s="6"/>
      <c r="CI90" s="6"/>
      <c r="CJ90" s="1"/>
      <c r="CK90" s="6"/>
    </row>
    <row r="91" spans="1:89" x14ac:dyDescent="0.25">
      <c r="A91" s="6">
        <f t="shared" si="92"/>
        <v>6</v>
      </c>
      <c r="B91" s="1">
        <f t="shared" si="93"/>
        <v>-12</v>
      </c>
      <c r="C91" s="1">
        <f t="shared" ref="C91:C98" si="94">((A90*B91)-(A91*B90))*0.5</f>
        <v>72</v>
      </c>
      <c r="D91" s="6">
        <f t="shared" ref="D91:D98" si="95">(A91+A90)*((A90*B91)-(A91*B90))*(1/6)</f>
        <v>0</v>
      </c>
      <c r="E91" s="6">
        <f t="shared" ref="E91:E98" si="96">(B91+B90)*((A90*B91)-(A91*B90))*(1/6)</f>
        <v>-576</v>
      </c>
      <c r="BC91">
        <v>3.10668606854991</v>
      </c>
      <c r="BD91">
        <v>-16.385554946417823</v>
      </c>
      <c r="BE91">
        <v>-12.868241375513318</v>
      </c>
      <c r="BF91" s="6">
        <f t="shared" si="77"/>
        <v>3.8073307937428487</v>
      </c>
      <c r="BG91" s="6">
        <f t="shared" si="78"/>
        <v>0.70064472519293863</v>
      </c>
      <c r="BH91" s="6">
        <f t="shared" si="80"/>
        <v>2.4758545134367376</v>
      </c>
      <c r="BI91" s="6">
        <f t="shared" si="81"/>
        <v>2.4758545134367376</v>
      </c>
      <c r="BJ91">
        <v>-23.978440030203664</v>
      </c>
      <c r="BK91">
        <v>-18.831242220721272</v>
      </c>
      <c r="BV91" s="37"/>
      <c r="BW91" s="6">
        <f t="shared" si="82"/>
        <v>2.6529004630313837</v>
      </c>
      <c r="BX91" s="9">
        <f t="shared" ca="1" si="83"/>
        <v>-164.61459219936833</v>
      </c>
      <c r="BY91" s="9">
        <f t="shared" ca="1" si="84"/>
        <v>88.396273835545884</v>
      </c>
      <c r="BZ91" s="9">
        <f t="shared" ca="1" si="85"/>
        <v>-7.8479156109590349</v>
      </c>
      <c r="CA91" s="6">
        <f t="shared" ca="1" si="86"/>
        <v>3.9834479802485419</v>
      </c>
      <c r="CB91" s="6">
        <f t="shared" ca="1" si="87"/>
        <v>2.6718991473474762</v>
      </c>
      <c r="CC91" s="6">
        <f t="shared" ca="1" si="88"/>
        <v>4.0094133845136515</v>
      </c>
      <c r="CD91" s="9">
        <f t="shared" si="89"/>
        <v>-57.847915610959035</v>
      </c>
      <c r="CE91" s="9">
        <f t="shared" si="90"/>
        <v>3.9834479802485352</v>
      </c>
      <c r="CF91" s="6">
        <f t="shared" si="91"/>
        <v>3.0728404857988414</v>
      </c>
      <c r="CG91" s="6"/>
      <c r="CH91" s="6"/>
      <c r="CI91" s="6"/>
      <c r="CJ91" s="1"/>
      <c r="CK91" s="6"/>
    </row>
    <row r="92" spans="1:89" x14ac:dyDescent="0.25">
      <c r="A92" s="6">
        <f t="shared" si="92"/>
        <v>6</v>
      </c>
      <c r="B92" s="1">
        <f t="shared" si="93"/>
        <v>4</v>
      </c>
      <c r="C92" s="1">
        <f t="shared" si="94"/>
        <v>48</v>
      </c>
      <c r="D92" s="6">
        <f t="shared" si="95"/>
        <v>192</v>
      </c>
      <c r="E92" s="6">
        <f t="shared" si="96"/>
        <v>-128</v>
      </c>
      <c r="BC92">
        <v>3.1415926535897967</v>
      </c>
      <c r="BD92">
        <v>-16.970027538035495</v>
      </c>
      <c r="BE92">
        <v>-15.25783045510058</v>
      </c>
      <c r="BF92" s="6">
        <f t="shared" si="77"/>
        <v>3.8739128595779926</v>
      </c>
      <c r="BG92" s="6">
        <f t="shared" si="78"/>
        <v>0.73232020598819592</v>
      </c>
      <c r="BH92" s="6">
        <f t="shared" si="80"/>
        <v>2.4092724476015936</v>
      </c>
      <c r="BI92" s="6">
        <f t="shared" si="81"/>
        <v>2.4092724476015936</v>
      </c>
      <c r="BJ92">
        <v>-24.108891597367894</v>
      </c>
      <c r="BK92">
        <v>-21.676416236129555</v>
      </c>
      <c r="BV92" s="37"/>
      <c r="BW92" s="6">
        <f t="shared" si="82"/>
        <v>2.6878070480712704</v>
      </c>
      <c r="BX92" s="9">
        <f t="shared" ca="1" si="83"/>
        <v>-164.91040617039349</v>
      </c>
      <c r="BY92" s="9">
        <f t="shared" ca="1" si="84"/>
        <v>88.082107667998358</v>
      </c>
      <c r="BZ92" s="9">
        <f t="shared" ca="1" si="85"/>
        <v>-8.1437295819841893</v>
      </c>
      <c r="CA92" s="6">
        <f t="shared" ca="1" si="86"/>
        <v>3.6692818127010156</v>
      </c>
      <c r="CB92" s="6">
        <f t="shared" ca="1" si="87"/>
        <v>2.7182687382316102</v>
      </c>
      <c r="CC92" s="6">
        <f t="shared" ca="1" si="88"/>
        <v>3.6030039644841017</v>
      </c>
      <c r="CD92" s="9">
        <f t="shared" si="89"/>
        <v>-58.143729581984189</v>
      </c>
      <c r="CE92" s="9">
        <f t="shared" si="90"/>
        <v>3.6692818127010112</v>
      </c>
      <c r="CF92" s="6">
        <f t="shared" si="91"/>
        <v>3.0785691346800204</v>
      </c>
      <c r="CG92" s="6"/>
      <c r="CH92" s="6"/>
      <c r="CI92" s="6"/>
      <c r="CJ92" s="1"/>
      <c r="CK92" s="6"/>
    </row>
    <row r="93" spans="1:89" x14ac:dyDescent="0.25">
      <c r="A93" s="6">
        <f t="shared" si="92"/>
        <v>30</v>
      </c>
      <c r="B93" s="1">
        <f t="shared" si="93"/>
        <v>4</v>
      </c>
      <c r="C93" s="1">
        <f t="shared" si="94"/>
        <v>-48</v>
      </c>
      <c r="D93" s="6">
        <f t="shared" si="95"/>
        <v>-576</v>
      </c>
      <c r="E93" s="6">
        <f t="shared" si="96"/>
        <v>-128</v>
      </c>
      <c r="BC93">
        <v>3.1764992386296833</v>
      </c>
      <c r="BD93">
        <v>-16.428095075743826</v>
      </c>
      <c r="BE93">
        <v>-16.374412867840061</v>
      </c>
      <c r="BF93" s="6">
        <f t="shared" si="77"/>
        <v>3.9253542908999108</v>
      </c>
      <c r="BG93" s="6">
        <f t="shared" si="78"/>
        <v>0.74885505227022753</v>
      </c>
      <c r="BH93" s="6">
        <f t="shared" si="80"/>
        <v>2.3578310162796754</v>
      </c>
      <c r="BI93" s="6">
        <f t="shared" si="81"/>
        <v>2.3578310162796754</v>
      </c>
      <c r="BJ93">
        <v>-24.117134651666394</v>
      </c>
      <c r="BK93">
        <v>-24.038326912214885</v>
      </c>
      <c r="BV93" s="37"/>
      <c r="BW93" s="6">
        <f t="shared" si="82"/>
        <v>2.722713633111157</v>
      </c>
      <c r="BX93" s="9">
        <f t="shared" ca="1" si="83"/>
        <v>-165.23468892266348</v>
      </c>
      <c r="BY93" s="9">
        <f t="shared" ca="1" si="84"/>
        <v>87.72380411091072</v>
      </c>
      <c r="BZ93" s="9">
        <f t="shared" ca="1" si="85"/>
        <v>-8.4680123342541833</v>
      </c>
      <c r="CA93" s="6">
        <f t="shared" ca="1" si="86"/>
        <v>3.310978255613378</v>
      </c>
      <c r="CB93" s="6">
        <f t="shared" ca="1" si="87"/>
        <v>2.7688703856019048</v>
      </c>
      <c r="CC93" s="6">
        <f t="shared" ca="1" si="88"/>
        <v>3.1615380141528293</v>
      </c>
      <c r="CD93" s="9">
        <f t="shared" si="89"/>
        <v>-58.468012334254198</v>
      </c>
      <c r="CE93" s="9">
        <f t="shared" si="90"/>
        <v>3.3109782556133802</v>
      </c>
      <c r="CF93" s="6">
        <f t="shared" si="91"/>
        <v>3.0850241870171877</v>
      </c>
      <c r="CG93" s="6"/>
      <c r="CH93" s="6"/>
      <c r="CI93" s="6"/>
      <c r="CJ93" s="1"/>
      <c r="CK93" s="6"/>
    </row>
    <row r="94" spans="1:89" x14ac:dyDescent="0.25">
      <c r="A94" s="6">
        <f t="shared" si="92"/>
        <v>30</v>
      </c>
      <c r="B94" s="1">
        <f t="shared" si="93"/>
        <v>12</v>
      </c>
      <c r="C94" s="1">
        <f t="shared" si="94"/>
        <v>120</v>
      </c>
      <c r="D94" s="6">
        <f t="shared" si="95"/>
        <v>2400</v>
      </c>
      <c r="E94" s="6">
        <f t="shared" si="96"/>
        <v>640</v>
      </c>
      <c r="BC94">
        <v>3.2114058236695699</v>
      </c>
      <c r="BD94">
        <v>-15.913589121979593</v>
      </c>
      <c r="BE94">
        <v>-17.507079490868207</v>
      </c>
      <c r="BF94" s="6">
        <f t="shared" si="77"/>
        <v>3.9746345222905428</v>
      </c>
      <c r="BG94" s="6">
        <f t="shared" si="78"/>
        <v>0.76322869862097287</v>
      </c>
      <c r="BH94" s="6">
        <f t="shared" si="80"/>
        <v>2.3085507848890434</v>
      </c>
      <c r="BI94" s="6">
        <f t="shared" si="81"/>
        <v>2.3085507848890434</v>
      </c>
      <c r="BJ94">
        <v>-23.909017814925836</v>
      </c>
      <c r="BK94">
        <v>-26.303121956087129</v>
      </c>
      <c r="BV94" s="37"/>
      <c r="BW94" s="6">
        <f t="shared" si="82"/>
        <v>2.7576202181510436</v>
      </c>
      <c r="BX94" s="9">
        <f t="shared" ca="1" si="83"/>
        <v>-165.59479246449754</v>
      </c>
      <c r="BY94" s="9">
        <f t="shared" ca="1" si="84"/>
        <v>87.305028178582972</v>
      </c>
      <c r="BZ94" s="9">
        <f t="shared" ca="1" si="85"/>
        <v>-8.8281158760882477</v>
      </c>
      <c r="CA94" s="6">
        <f t="shared" ca="1" si="86"/>
        <v>2.8922023232856304</v>
      </c>
      <c r="CB94" s="6">
        <f t="shared" ca="1" si="87"/>
        <v>2.8249995313335834</v>
      </c>
      <c r="CC94" s="6">
        <f t="shared" ca="1" si="88"/>
        <v>2.6746906916085584</v>
      </c>
      <c r="CD94" s="9">
        <f t="shared" si="89"/>
        <v>-58.828115876088262</v>
      </c>
      <c r="CE94" s="9">
        <f t="shared" si="90"/>
        <v>2.8922023232856349</v>
      </c>
      <c r="CF94" s="6">
        <f t="shared" si="91"/>
        <v>3.0924686004944393</v>
      </c>
      <c r="CG94" s="6"/>
      <c r="CH94" s="6"/>
      <c r="CI94" s="6"/>
      <c r="CJ94" s="1"/>
      <c r="CK94" s="6"/>
    </row>
    <row r="95" spans="1:89" x14ac:dyDescent="0.25">
      <c r="A95" s="6">
        <f t="shared" si="92"/>
        <v>-18</v>
      </c>
      <c r="B95" s="1">
        <f t="shared" si="93"/>
        <v>12</v>
      </c>
      <c r="C95" s="1">
        <f t="shared" si="94"/>
        <v>288</v>
      </c>
      <c r="D95" s="6">
        <f t="shared" si="95"/>
        <v>1152</v>
      </c>
      <c r="E95" s="6">
        <f t="shared" si="96"/>
        <v>2304</v>
      </c>
      <c r="BC95">
        <v>3.2463124087094566</v>
      </c>
      <c r="BD95">
        <v>-15.24346524756719</v>
      </c>
      <c r="BE95">
        <v>-18.697223219223385</v>
      </c>
      <c r="BF95" s="6">
        <f t="shared" si="77"/>
        <v>4.028400382760724</v>
      </c>
      <c r="BG95" s="6">
        <f t="shared" si="78"/>
        <v>0.7820879740512674</v>
      </c>
      <c r="BH95" s="6">
        <f t="shared" si="80"/>
        <v>2.2547849244188622</v>
      </c>
      <c r="BI95" s="6">
        <f t="shared" si="81"/>
        <v>2.2547849244188622</v>
      </c>
      <c r="BJ95">
        <v>-23.171488034401893</v>
      </c>
      <c r="BK95">
        <v>-28.421522079431384</v>
      </c>
      <c r="BV95" s="37"/>
      <c r="BW95" s="6">
        <f t="shared" si="82"/>
        <v>2.7925268031909303</v>
      </c>
      <c r="BX95" s="9">
        <f t="shared" ca="1" si="83"/>
        <v>-166.00059471433235</v>
      </c>
      <c r="BY95" s="9">
        <f t="shared" ca="1" si="84"/>
        <v>86.801656441067635</v>
      </c>
      <c r="BZ95" s="9">
        <f t="shared" ca="1" si="85"/>
        <v>-9.2339181259230543</v>
      </c>
      <c r="CA95" s="6">
        <f t="shared" ca="1" si="86"/>
        <v>2.3888305857702932</v>
      </c>
      <c r="CB95" s="6">
        <f t="shared" ca="1" si="87"/>
        <v>2.8884410439387214</v>
      </c>
      <c r="CC95" s="6">
        <f t="shared" ca="1" si="88"/>
        <v>2.1284469003908546</v>
      </c>
      <c r="CD95" s="9">
        <f t="shared" si="89"/>
        <v>-59.233918125923054</v>
      </c>
      <c r="CE95" s="9">
        <f t="shared" si="90"/>
        <v>2.3888305857702998</v>
      </c>
      <c r="CF95" s="6">
        <f t="shared" si="91"/>
        <v>3.1012857339778068</v>
      </c>
      <c r="CG95" s="6"/>
      <c r="CH95" s="6"/>
      <c r="CI95" s="6"/>
      <c r="CJ95" s="1"/>
      <c r="CK95" s="6"/>
    </row>
    <row r="96" spans="1:89" x14ac:dyDescent="0.25">
      <c r="A96" s="6">
        <f t="shared" si="92"/>
        <v>-18</v>
      </c>
      <c r="B96" s="1">
        <f t="shared" si="93"/>
        <v>4</v>
      </c>
      <c r="C96" s="1">
        <f t="shared" si="94"/>
        <v>72</v>
      </c>
      <c r="D96" s="6">
        <f t="shared" si="95"/>
        <v>-864</v>
      </c>
      <c r="E96" s="6">
        <f t="shared" si="96"/>
        <v>384</v>
      </c>
      <c r="BC96">
        <v>3.2812189937493432</v>
      </c>
      <c r="BD96">
        <v>-14.569142779261554</v>
      </c>
      <c r="BE96">
        <v>-19.773838258466711</v>
      </c>
      <c r="BF96" s="6">
        <f t="shared" si="77"/>
        <v>4.0773967866828835</v>
      </c>
      <c r="BG96" s="6">
        <f t="shared" si="78"/>
        <v>0.7961777929335403</v>
      </c>
      <c r="BH96" s="6">
        <f t="shared" si="80"/>
        <v>2.2057885204967027</v>
      </c>
      <c r="BI96" s="6">
        <f t="shared" si="81"/>
        <v>2.2057885204967027</v>
      </c>
      <c r="BJ96">
        <v>-22.335119253881732</v>
      </c>
      <c r="BK96">
        <v>-30.314140118009636</v>
      </c>
      <c r="BV96" s="37"/>
      <c r="BW96" s="6">
        <f t="shared" si="82"/>
        <v>2.8274333882308169</v>
      </c>
      <c r="BX96" s="9">
        <f t="shared" ca="1" si="83"/>
        <v>-166.46578480683033</v>
      </c>
      <c r="BY96" s="9">
        <f t="shared" ca="1" si="84"/>
        <v>86.176699530296474</v>
      </c>
      <c r="BZ96" s="9">
        <f t="shared" ca="1" si="85"/>
        <v>-9.6991082184210313</v>
      </c>
      <c r="CA96" s="6">
        <f t="shared" ca="1" si="86"/>
        <v>1.7638736749991324</v>
      </c>
      <c r="CB96" s="6">
        <f t="shared" ca="1" si="87"/>
        <v>2.9616992874358528</v>
      </c>
      <c r="CC96" s="6">
        <f t="shared" ca="1" si="88"/>
        <v>1.5035589521419013</v>
      </c>
      <c r="CD96" s="9">
        <f t="shared" si="89"/>
        <v>-59.699108218421038</v>
      </c>
      <c r="CE96" s="9">
        <f t="shared" si="90"/>
        <v>1.7638736749991344</v>
      </c>
      <c r="CF96" s="6">
        <f t="shared" si="91"/>
        <v>3.1120551826500429</v>
      </c>
      <c r="CG96" s="6"/>
      <c r="CH96" s="6"/>
      <c r="CI96" s="6"/>
      <c r="CJ96" s="1"/>
      <c r="CK96" s="6"/>
    </row>
    <row r="97" spans="1:89" x14ac:dyDescent="0.25">
      <c r="A97" s="6">
        <f t="shared" si="92"/>
        <v>-6</v>
      </c>
      <c r="B97" s="1">
        <f t="shared" si="93"/>
        <v>4</v>
      </c>
      <c r="C97" s="1">
        <f t="shared" si="94"/>
        <v>-24</v>
      </c>
      <c r="D97" s="6">
        <f t="shared" si="95"/>
        <v>192</v>
      </c>
      <c r="E97" s="6">
        <f t="shared" si="96"/>
        <v>-64</v>
      </c>
      <c r="BC97">
        <v>3.3161255787892299</v>
      </c>
      <c r="BD97">
        <v>-13.946996693821948</v>
      </c>
      <c r="BE97">
        <v>-20.878693541655501</v>
      </c>
      <c r="BF97" s="6">
        <f t="shared" si="77"/>
        <v>4.1234628939470372</v>
      </c>
      <c r="BG97" s="6">
        <f t="shared" si="78"/>
        <v>0.80733731515780738</v>
      </c>
      <c r="BH97" s="6">
        <f t="shared" si="80"/>
        <v>2.159722413232549</v>
      </c>
      <c r="BI97" s="6">
        <f t="shared" si="81"/>
        <v>2.159722413232549</v>
      </c>
      <c r="BJ97">
        <v>-21.456917990495302</v>
      </c>
      <c r="BK97">
        <v>-32.121066987162308</v>
      </c>
      <c r="BV97" s="37"/>
      <c r="BW97" s="6">
        <f t="shared" si="82"/>
        <v>2.8623399732707036</v>
      </c>
      <c r="BX97" s="9">
        <f t="shared" ca="1" si="83"/>
        <v>-167.01002253904537</v>
      </c>
      <c r="BY97" s="9">
        <f t="shared" ca="1" si="84"/>
        <v>85.37089719848268</v>
      </c>
      <c r="BZ97" s="9">
        <f t="shared" ca="1" si="85"/>
        <v>-10.243345950636069</v>
      </c>
      <c r="CA97" s="6">
        <f t="shared" ca="1" si="86"/>
        <v>0.95807134318533826</v>
      </c>
      <c r="CB97" s="6">
        <f t="shared" ca="1" si="87"/>
        <v>3.0483328765747957</v>
      </c>
      <c r="CC97" s="6">
        <f t="shared" ca="1" si="88"/>
        <v>0.77357762119060425</v>
      </c>
      <c r="CD97" s="9">
        <f t="shared" si="89"/>
        <v>-60.243345950636076</v>
      </c>
      <c r="CE97" s="9">
        <f t="shared" si="90"/>
        <v>0.95807134318533138</v>
      </c>
      <c r="CF97" s="6">
        <f t="shared" si="91"/>
        <v>3.1256906386938561</v>
      </c>
      <c r="CG97" s="6"/>
      <c r="CH97" s="6"/>
      <c r="CI97" s="6"/>
      <c r="CJ97" s="1"/>
      <c r="CK97" s="6"/>
    </row>
    <row r="98" spans="1:89" x14ac:dyDescent="0.25">
      <c r="A98" s="6">
        <f t="shared" si="92"/>
        <v>-6</v>
      </c>
      <c r="B98" s="1">
        <f t="shared" si="93"/>
        <v>-12</v>
      </c>
      <c r="C98" s="1">
        <f t="shared" si="94"/>
        <v>48</v>
      </c>
      <c r="D98" s="6">
        <f t="shared" si="95"/>
        <v>-192</v>
      </c>
      <c r="E98" s="6">
        <f t="shared" si="96"/>
        <v>-128</v>
      </c>
      <c r="BC98">
        <v>3.3510321638291165</v>
      </c>
      <c r="BD98">
        <v>-13.37210619830789</v>
      </c>
      <c r="BE98">
        <v>-22.057796637254238</v>
      </c>
      <c r="BF98" s="6">
        <f t="shared" ref="BF98:BF129" si="97">IF(BC98&lt;&gt;"",IF(AND(BD98=0,BE98=0),0,MOD(ATAN2(BD98,BE98),2*PI())),NA())</f>
        <v>4.1674009157682121</v>
      </c>
      <c r="BG98" s="6">
        <f t="shared" ref="BG98:BG129" si="98">ABS(BC98-BF98)</f>
        <v>0.81636875193909564</v>
      </c>
      <c r="BH98" s="6">
        <f t="shared" si="80"/>
        <v>2.1157843914113741</v>
      </c>
      <c r="BI98" s="6">
        <f t="shared" si="81"/>
        <v>2.1157843914113741</v>
      </c>
      <c r="BJ98">
        <v>-20.572471074319829</v>
      </c>
      <c r="BK98">
        <v>-33.935071749621905</v>
      </c>
      <c r="BV98" s="37"/>
      <c r="BW98" s="6">
        <f t="shared" si="82"/>
        <v>2.8972465583105902</v>
      </c>
      <c r="BX98" s="9">
        <f t="shared" ca="1" si="83"/>
        <v>-167.6627690031716</v>
      </c>
      <c r="BY98" s="9">
        <f t="shared" ca="1" si="84"/>
        <v>84.284162980633525</v>
      </c>
      <c r="BZ98" s="9">
        <f t="shared" ca="1" si="85"/>
        <v>-10.896092414762307</v>
      </c>
      <c r="CA98" s="6">
        <f t="shared" ca="1" si="86"/>
        <v>-0.12866287466381721</v>
      </c>
      <c r="CB98" s="6">
        <f t="shared" ca="1" si="87"/>
        <v>-3.129785035746155</v>
      </c>
      <c r="CC98" s="6">
        <f t="shared" ca="1" si="88"/>
        <v>-9.6947945390470913E-2</v>
      </c>
      <c r="CD98" s="9">
        <f t="shared" si="89"/>
        <v>-60.896092414762315</v>
      </c>
      <c r="CE98" s="9">
        <f t="shared" si="90"/>
        <v>-0.12866287466381823</v>
      </c>
      <c r="CF98" s="6">
        <f t="shared" si="91"/>
        <v>-3.1394798302852021</v>
      </c>
      <c r="CG98" s="6"/>
      <c r="CH98" s="6"/>
      <c r="CI98" s="6"/>
      <c r="CJ98" s="1"/>
      <c r="CK98" s="6"/>
    </row>
    <row r="99" spans="1:89" x14ac:dyDescent="0.25">
      <c r="C99" s="1">
        <f>SUM(C91:C98)</f>
        <v>576</v>
      </c>
      <c r="D99" s="6">
        <f>SUM(D91:D98)/C99</f>
        <v>4</v>
      </c>
      <c r="E99" s="6">
        <f>SUM(E91:E98)/C99</f>
        <v>4</v>
      </c>
      <c r="BC99">
        <v>3.3859387488690031</v>
      </c>
      <c r="BD99">
        <v>-12.783050312976851</v>
      </c>
      <c r="BE99">
        <v>-23.246883901702244</v>
      </c>
      <c r="BF99" s="6">
        <f t="shared" si="97"/>
        <v>4.2096361278876184</v>
      </c>
      <c r="BG99" s="6">
        <f t="shared" si="98"/>
        <v>0.82369737901861528</v>
      </c>
      <c r="BH99" s="6">
        <f t="shared" si="80"/>
        <v>2.0735491792919678</v>
      </c>
      <c r="BI99" s="6">
        <f t="shared" si="81"/>
        <v>2.0735491792919678</v>
      </c>
      <c r="BJ99">
        <v>-19.666231250733617</v>
      </c>
      <c r="BK99">
        <v>-35.764436771849603</v>
      </c>
      <c r="BV99" s="37"/>
      <c r="BW99" s="6">
        <f t="shared" si="82"/>
        <v>2.9321531433504768</v>
      </c>
      <c r="BX99" s="9">
        <f t="shared" ca="1" si="83"/>
        <v>-168.60461428546557</v>
      </c>
      <c r="BY99" s="9">
        <f t="shared" ca="1" si="84"/>
        <v>83.052340016020693</v>
      </c>
      <c r="BZ99" s="9">
        <f t="shared" ca="1" si="85"/>
        <v>-11.837937697056276</v>
      </c>
      <c r="CA99" s="6">
        <f t="shared" ca="1" si="86"/>
        <v>-1.3604858392766488</v>
      </c>
      <c r="CB99" s="6">
        <f t="shared" ca="1" si="87"/>
        <v>-3.0271687439731392</v>
      </c>
      <c r="CC99" s="6">
        <f t="shared" ca="1" si="88"/>
        <v>-0.92426630188797265</v>
      </c>
      <c r="CD99" s="9">
        <f t="shared" si="89"/>
        <v>-61.837937697056269</v>
      </c>
      <c r="CE99" s="9">
        <f t="shared" si="90"/>
        <v>-1.3604858392766432</v>
      </c>
      <c r="CF99" s="6">
        <f t="shared" si="91"/>
        <v>-3.1195953741619364</v>
      </c>
      <c r="CG99" s="6"/>
      <c r="CH99" s="6"/>
      <c r="CI99" s="6"/>
      <c r="CJ99" s="1"/>
      <c r="CK99" s="6"/>
    </row>
    <row r="100" spans="1:89" x14ac:dyDescent="0.25">
      <c r="A100" s="8" t="s">
        <v>124</v>
      </c>
      <c r="B100" s="1">
        <f>B31*C99*0.65</f>
        <v>1591.2</v>
      </c>
      <c r="C100" t="s">
        <v>68</v>
      </c>
      <c r="BC100">
        <v>3.4208453339088898</v>
      </c>
      <c r="BD100">
        <v>-12.172520856998682</v>
      </c>
      <c r="BE100">
        <v>-24.448678125955322</v>
      </c>
      <c r="BF100" s="6">
        <f t="shared" si="97"/>
        <v>4.2504383833540791</v>
      </c>
      <c r="BG100" s="6">
        <f t="shared" si="98"/>
        <v>0.8295930494451893</v>
      </c>
      <c r="BH100" s="6">
        <f t="shared" si="80"/>
        <v>2.0327469238255071</v>
      </c>
      <c r="BI100" s="6">
        <f t="shared" si="81"/>
        <v>2.0327469238255071</v>
      </c>
      <c r="BJ100">
        <v>-18.726955164613358</v>
      </c>
      <c r="BK100">
        <v>-37.613350963008187</v>
      </c>
      <c r="BV100" s="37"/>
      <c r="BW100" s="6">
        <f t="shared" si="82"/>
        <v>2.9670597283903635</v>
      </c>
      <c r="BX100" s="9">
        <f t="shared" ca="1" si="83"/>
        <v>-169.58295743646494</v>
      </c>
      <c r="BY100" s="9">
        <f t="shared" ca="1" si="84"/>
        <v>80.913408829560808</v>
      </c>
      <c r="BZ100" s="9">
        <f t="shared" ca="1" si="85"/>
        <v>-12.816280848055641</v>
      </c>
      <c r="CA100" s="6">
        <f t="shared" ca="1" si="86"/>
        <v>-3.499417025736534</v>
      </c>
      <c r="CB100" s="6">
        <f t="shared" ca="1" si="87"/>
        <v>-2.8750452154551844</v>
      </c>
      <c r="CC100" s="6">
        <f t="shared" ca="1" si="88"/>
        <v>-2.1089620253836738</v>
      </c>
      <c r="CD100" s="9">
        <f t="shared" si="89"/>
        <v>-62.816280848055634</v>
      </c>
      <c r="CE100" s="9">
        <f t="shared" si="90"/>
        <v>-3.4994170257365291</v>
      </c>
      <c r="CF100" s="6">
        <f t="shared" si="91"/>
        <v>-3.0859414179935518</v>
      </c>
      <c r="CG100" s="6"/>
      <c r="CH100" s="6"/>
      <c r="CI100" s="6"/>
      <c r="CJ100" s="1"/>
      <c r="CK100" s="6"/>
    </row>
    <row r="101" spans="1:89" x14ac:dyDescent="0.25">
      <c r="A101" s="8" t="s">
        <v>77</v>
      </c>
      <c r="B101" s="1">
        <f>B100*E99</f>
        <v>6364.8</v>
      </c>
      <c r="C101" t="s">
        <v>69</v>
      </c>
      <c r="BC101">
        <v>3.4557519189487764</v>
      </c>
      <c r="BD101">
        <v>-11.606049767357039</v>
      </c>
      <c r="BE101">
        <v>-25.569721568318062</v>
      </c>
      <c r="BF101" s="6">
        <f t="shared" si="97"/>
        <v>4.2862980681392795</v>
      </c>
      <c r="BG101" s="6">
        <f t="shared" si="98"/>
        <v>0.83054614919050307</v>
      </c>
      <c r="BH101" s="6">
        <f t="shared" si="80"/>
        <v>1.996887239040307</v>
      </c>
      <c r="BI101" s="6">
        <f t="shared" si="81"/>
        <v>1.996887239040307</v>
      </c>
      <c r="BJ101">
        <v>-17.855461180549291</v>
      </c>
      <c r="BK101">
        <v>-39.338033182027786</v>
      </c>
      <c r="BV101" s="37"/>
      <c r="BW101" s="6">
        <f t="shared" si="82"/>
        <v>3.0019663134302501</v>
      </c>
      <c r="BX101" s="9">
        <f t="shared" ca="1" si="83"/>
        <v>-170.53530203514831</v>
      </c>
      <c r="BY101" s="9">
        <f t="shared" ca="1" si="84"/>
        <v>78.674202430710181</v>
      </c>
      <c r="BZ101" s="9">
        <f t="shared" ca="1" si="85"/>
        <v>-13.768625446739009</v>
      </c>
      <c r="CA101" s="6">
        <f t="shared" ca="1" si="86"/>
        <v>-5.7386234245871606</v>
      </c>
      <c r="CB101" s="6">
        <f t="shared" ca="1" si="87"/>
        <v>-2.7466965719686893</v>
      </c>
      <c r="CC101" s="6">
        <f t="shared" ca="1" si="88"/>
        <v>-3.0514650764498126</v>
      </c>
      <c r="CD101" s="9">
        <f t="shared" si="89"/>
        <v>-63.768625446739009</v>
      </c>
      <c r="CE101" s="9">
        <f t="shared" si="90"/>
        <v>-5.7386234245871632</v>
      </c>
      <c r="CF101" s="6">
        <f t="shared" si="91"/>
        <v>-3.0518430796136706</v>
      </c>
      <c r="CG101" s="6"/>
      <c r="CH101" s="6"/>
      <c r="CI101" s="6"/>
      <c r="CJ101" s="1"/>
      <c r="CK101" s="6"/>
    </row>
    <row r="102" spans="1:89" x14ac:dyDescent="0.25">
      <c r="A102" s="8" t="s">
        <v>125</v>
      </c>
      <c r="B102" s="1">
        <f>B100*D99*-1</f>
        <v>-6364.8</v>
      </c>
      <c r="C102" t="s">
        <v>69</v>
      </c>
      <c r="J102" t="s">
        <v>127</v>
      </c>
      <c r="BC102">
        <v>3.4906585039886631</v>
      </c>
      <c r="BD102">
        <v>-11.10263209220212</v>
      </c>
      <c r="BE102">
        <v>-26.599749124230605</v>
      </c>
      <c r="BF102" s="6">
        <f t="shared" si="97"/>
        <v>4.3169764751811348</v>
      </c>
      <c r="BG102" s="6">
        <f t="shared" si="98"/>
        <v>0.82631797119247175</v>
      </c>
      <c r="BH102" s="6">
        <f t="shared" si="80"/>
        <v>1.9662088319984516</v>
      </c>
      <c r="BI102" s="6">
        <f t="shared" si="81"/>
        <v>1.9662088319984516</v>
      </c>
      <c r="BJ102">
        <v>-17.080972449541722</v>
      </c>
      <c r="BK102">
        <v>-40.922690960354778</v>
      </c>
      <c r="BV102" s="37"/>
      <c r="BW102" s="6">
        <f t="shared" si="82"/>
        <v>3.0368728984701368</v>
      </c>
      <c r="BX102" s="9">
        <f t="shared" ca="1" si="83"/>
        <v>-171.57055989711694</v>
      </c>
      <c r="BY102" s="9">
        <f t="shared" ca="1" si="84"/>
        <v>76.326637198099007</v>
      </c>
      <c r="BZ102" s="9">
        <f t="shared" ca="1" si="85"/>
        <v>-14.80388330870764</v>
      </c>
      <c r="CA102" s="6">
        <f t="shared" ca="1" si="86"/>
        <v>-8.0861886571983348</v>
      </c>
      <c r="CB102" s="6">
        <f t="shared" ca="1" si="87"/>
        <v>-2.6416555862814781</v>
      </c>
      <c r="CC102" s="6">
        <f t="shared" ca="1" si="88"/>
        <v>-3.7579930030387665</v>
      </c>
      <c r="CD102" s="9">
        <f t="shared" si="89"/>
        <v>-64.803883308707626</v>
      </c>
      <c r="CE102" s="9">
        <f t="shared" si="90"/>
        <v>-8.0861886571983419</v>
      </c>
      <c r="CF102" s="6">
        <f t="shared" si="91"/>
        <v>-3.0174548865853548</v>
      </c>
      <c r="CG102" s="6"/>
      <c r="CH102" s="6"/>
      <c r="CI102" s="6"/>
      <c r="CJ102" s="1"/>
      <c r="CK102" s="6"/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3.5255650890285497</v>
      </c>
      <c r="BD103">
        <v>-10.642553592757151</v>
      </c>
      <c r="BE103">
        <v>-27.576321944026642</v>
      </c>
      <c r="BF103" s="6">
        <f t="shared" si="97"/>
        <v>4.3440696981676741</v>
      </c>
      <c r="BG103" s="6">
        <f t="shared" si="98"/>
        <v>0.81850460913912437</v>
      </c>
      <c r="BH103" s="6">
        <f t="shared" si="80"/>
        <v>1.9391156090119124</v>
      </c>
      <c r="BI103" s="6">
        <f t="shared" si="81"/>
        <v>1.9391156090119124</v>
      </c>
      <c r="BJ103">
        <v>-16.373159373472539</v>
      </c>
      <c r="BK103">
        <v>-42.425110683117907</v>
      </c>
      <c r="BV103" s="37"/>
      <c r="BW103" s="6">
        <f t="shared" si="82"/>
        <v>3.0717794835100234</v>
      </c>
      <c r="BX103" s="9">
        <f t="shared" ca="1" si="83"/>
        <v>-172.49676595994339</v>
      </c>
      <c r="BY103" s="9">
        <f t="shared" ca="1" si="84"/>
        <v>73.831292449705614</v>
      </c>
      <c r="BZ103" s="9">
        <f t="shared" ca="1" si="85"/>
        <v>-15.730089371534092</v>
      </c>
      <c r="CA103" s="6">
        <f t="shared" ca="1" si="86"/>
        <v>-10.581533405591728</v>
      </c>
      <c r="CB103" s="6">
        <f t="shared" ca="1" si="87"/>
        <v>-2.5494290265528563</v>
      </c>
      <c r="CC103" s="6">
        <f t="shared" ca="1" si="88"/>
        <v>-4.3254847049763798</v>
      </c>
      <c r="CD103" s="9">
        <f t="shared" si="89"/>
        <v>-65.730089371534092</v>
      </c>
      <c r="CE103" s="9">
        <f t="shared" si="90"/>
        <v>-10.581533405591729</v>
      </c>
      <c r="CF103" s="6">
        <f t="shared" si="91"/>
        <v>-2.9819774970504942</v>
      </c>
      <c r="CG103" s="6"/>
      <c r="CH103" s="6"/>
      <c r="CI103" s="6"/>
      <c r="CJ103" s="1"/>
      <c r="CK103" s="6"/>
    </row>
    <row r="104" spans="1:89" x14ac:dyDescent="0.25">
      <c r="A104">
        <f t="shared" ref="A104:C113" si="99">A15</f>
        <v>1</v>
      </c>
      <c r="B104">
        <f t="shared" si="99"/>
        <v>8</v>
      </c>
      <c r="C104">
        <f t="shared" ca="1" si="99"/>
        <v>0.79</v>
      </c>
      <c r="D104" s="9">
        <f t="shared" ref="D104:D113" si="100">D15-$I$2</f>
        <v>-4</v>
      </c>
      <c r="E104" s="5">
        <f t="shared" ref="E104:E113" si="101">E15-$I$3</f>
        <v>-10</v>
      </c>
      <c r="F104" s="5">
        <f t="shared" ref="F104:F113" ca="1" si="102">($B$12-$B$31)*C104*0.65</f>
        <v>28.627625000000002</v>
      </c>
      <c r="G104">
        <f t="shared" ref="G104:G113" ca="1" si="103">E104*F104</f>
        <v>-286.27625</v>
      </c>
      <c r="H104">
        <f t="shared" ref="H104:H113" ca="1" si="104">D104*F104*-1</f>
        <v>114.51050000000001</v>
      </c>
      <c r="J104">
        <f t="shared" ref="J104:J113" ca="1" si="105">-1*C104*$B$12*0.9</f>
        <v>-42.660000000000004</v>
      </c>
      <c r="K104">
        <f t="shared" ref="K104:K113" ca="1" si="106">E104*J104</f>
        <v>426.6</v>
      </c>
      <c r="L104">
        <f t="shared" ref="L104:L113" ca="1" si="107">D104*J104*-1</f>
        <v>-170.64000000000001</v>
      </c>
      <c r="BC104">
        <v>3.5604716740684363</v>
      </c>
      <c r="BD104">
        <v>-10.211627638755319</v>
      </c>
      <c r="BE104">
        <v>-28.522823021524562</v>
      </c>
      <c r="BF104" s="6">
        <f t="shared" si="97"/>
        <v>4.3685908635430035</v>
      </c>
      <c r="BG104" s="6">
        <f t="shared" si="98"/>
        <v>0.80811918947456718</v>
      </c>
      <c r="BH104" s="6">
        <f t="shared" si="80"/>
        <v>1.9145944436365829</v>
      </c>
      <c r="BI104" s="6">
        <f t="shared" si="81"/>
        <v>1.9145944436365829</v>
      </c>
      <c r="BJ104">
        <v>-15.710196367315875</v>
      </c>
      <c r="BK104">
        <v>-43.881266186960865</v>
      </c>
      <c r="BV104" s="37"/>
      <c r="BW104" s="6">
        <f t="shared" si="82"/>
        <v>3.10668606854991</v>
      </c>
      <c r="BX104" s="9">
        <f t="shared" ca="1" si="83"/>
        <v>-173.15223153482711</v>
      </c>
      <c r="BY104" s="9">
        <f t="shared" ca="1" si="84"/>
        <v>71.544584479784021</v>
      </c>
      <c r="BZ104" s="9">
        <f t="shared" ca="1" si="85"/>
        <v>-16.385554946417813</v>
      </c>
      <c r="CA104" s="6">
        <f t="shared" ca="1" si="86"/>
        <v>-12.868241375513321</v>
      </c>
      <c r="CB104" s="6">
        <f t="shared" ca="1" si="87"/>
        <v>-2.4758545134367371</v>
      </c>
      <c r="CC104" s="6">
        <f t="shared" ca="1" si="88"/>
        <v>-4.7427166305821267</v>
      </c>
      <c r="CD104" s="9">
        <f t="shared" si="89"/>
        <v>-66.385554946417827</v>
      </c>
      <c r="CE104" s="9">
        <f t="shared" si="90"/>
        <v>-12.868241375513318</v>
      </c>
      <c r="CF104" s="6">
        <f t="shared" si="91"/>
        <v>-2.9501261764949498</v>
      </c>
      <c r="CG104" s="6"/>
      <c r="CH104" s="6"/>
      <c r="CI104" s="6"/>
      <c r="CJ104" s="1"/>
      <c r="CK104" s="6"/>
    </row>
    <row r="105" spans="1:89" x14ac:dyDescent="0.25">
      <c r="A105">
        <f t="shared" si="99"/>
        <v>2</v>
      </c>
      <c r="B105">
        <f t="shared" si="99"/>
        <v>8</v>
      </c>
      <c r="C105">
        <f t="shared" ca="1" si="99"/>
        <v>0.79</v>
      </c>
      <c r="D105" s="9">
        <f t="shared" si="100"/>
        <v>-4</v>
      </c>
      <c r="E105" s="5">
        <f t="shared" si="101"/>
        <v>-8</v>
      </c>
      <c r="F105" s="5">
        <f t="shared" ca="1" si="102"/>
        <v>28.627625000000002</v>
      </c>
      <c r="G105">
        <f t="shared" ca="1" si="103"/>
        <v>-229.02100000000002</v>
      </c>
      <c r="H105">
        <f t="shared" ca="1" si="104"/>
        <v>114.51050000000001</v>
      </c>
      <c r="J105">
        <f t="shared" ca="1" si="105"/>
        <v>-42.660000000000004</v>
      </c>
      <c r="K105">
        <f t="shared" ca="1" si="106"/>
        <v>341.28000000000003</v>
      </c>
      <c r="L105">
        <f t="shared" ca="1" si="107"/>
        <v>-170.64000000000001</v>
      </c>
      <c r="BC105">
        <v>3.595378259108323</v>
      </c>
      <c r="BD105">
        <v>-9.6891820355497522</v>
      </c>
      <c r="BE105">
        <v>-29.716654360153839</v>
      </c>
      <c r="BF105" s="6">
        <f t="shared" si="97"/>
        <v>4.3972056511602098</v>
      </c>
      <c r="BG105" s="6">
        <f t="shared" si="98"/>
        <v>0.8018273920518868</v>
      </c>
      <c r="BH105" s="6">
        <f t="shared" si="80"/>
        <v>1.8859796560193767</v>
      </c>
      <c r="BI105" s="6">
        <f t="shared" si="81"/>
        <v>1.8859796560193767</v>
      </c>
      <c r="BJ105">
        <v>-14.906433900845773</v>
      </c>
      <c r="BK105">
        <v>-45.71792978485206</v>
      </c>
      <c r="BV105" s="37"/>
      <c r="BW105" s="6">
        <f t="shared" si="82"/>
        <v>3.1415926535897967</v>
      </c>
      <c r="BX105" s="9">
        <f t="shared" ca="1" si="83"/>
        <v>-173.73670412644481</v>
      </c>
      <c r="BY105" s="9">
        <f t="shared" ca="1" si="84"/>
        <v>69.154995400196768</v>
      </c>
      <c r="BZ105" s="9">
        <f t="shared" ca="1" si="85"/>
        <v>-16.970027538035509</v>
      </c>
      <c r="CA105" s="6">
        <f t="shared" ca="1" si="86"/>
        <v>-15.257830455100574</v>
      </c>
      <c r="CB105" s="6">
        <f t="shared" ca="1" si="87"/>
        <v>-2.4092724476015941</v>
      </c>
      <c r="CC105" s="6">
        <f t="shared" ca="1" si="88"/>
        <v>-5.0831307022108696</v>
      </c>
      <c r="CD105" s="9">
        <f t="shared" si="89"/>
        <v>-66.970027538035495</v>
      </c>
      <c r="CE105" s="9">
        <f t="shared" si="90"/>
        <v>-15.25783045510058</v>
      </c>
      <c r="CF105" s="6">
        <f t="shared" si="91"/>
        <v>-2.9175855178226811</v>
      </c>
      <c r="CG105" s="6"/>
      <c r="CH105" s="6"/>
      <c r="CI105" s="6"/>
      <c r="CJ105" s="1"/>
      <c r="CK105" s="6"/>
    </row>
    <row r="106" spans="1:89" x14ac:dyDescent="0.25">
      <c r="A106">
        <f t="shared" si="99"/>
        <v>3</v>
      </c>
      <c r="B106">
        <f t="shared" si="99"/>
        <v>8</v>
      </c>
      <c r="C106">
        <f t="shared" ca="1" si="99"/>
        <v>0.79</v>
      </c>
      <c r="D106" s="9">
        <f t="shared" si="100"/>
        <v>-2</v>
      </c>
      <c r="E106" s="5">
        <f t="shared" si="101"/>
        <v>-10</v>
      </c>
      <c r="F106" s="5">
        <f t="shared" ca="1" si="102"/>
        <v>28.627625000000002</v>
      </c>
      <c r="G106">
        <f t="shared" ca="1" si="103"/>
        <v>-286.27625</v>
      </c>
      <c r="H106">
        <f t="shared" ca="1" si="104"/>
        <v>57.255250000000004</v>
      </c>
      <c r="J106">
        <f t="shared" ca="1" si="105"/>
        <v>-42.660000000000004</v>
      </c>
      <c r="K106">
        <f t="shared" ca="1" si="106"/>
        <v>426.6</v>
      </c>
      <c r="L106">
        <f t="shared" ca="1" si="107"/>
        <v>-85.320000000000007</v>
      </c>
      <c r="BC106">
        <v>3.6302848441482096</v>
      </c>
      <c r="BD106">
        <v>-3.6058136769537863</v>
      </c>
      <c r="BE106">
        <v>-43.451772248937139</v>
      </c>
      <c r="BF106" s="6">
        <f t="shared" si="97"/>
        <v>4.6295944127444439</v>
      </c>
      <c r="BG106" s="6">
        <f t="shared" si="98"/>
        <v>0.99930956859623432</v>
      </c>
      <c r="BH106" s="6">
        <f t="shared" si="80"/>
        <v>1.6535908944351425</v>
      </c>
      <c r="BI106" s="6">
        <f t="shared" si="81"/>
        <v>1.6535908944351425</v>
      </c>
      <c r="BJ106">
        <v>-5.5474056568519785</v>
      </c>
      <c r="BK106">
        <v>-66.848880382980212</v>
      </c>
      <c r="BV106" s="37"/>
      <c r="BW106" s="6">
        <f t="shared" si="82"/>
        <v>3.1764992386296833</v>
      </c>
      <c r="BX106" s="9">
        <f t="shared" ca="1" si="83"/>
        <v>-173.19477166415311</v>
      </c>
      <c r="BY106" s="9">
        <f t="shared" ca="1" si="84"/>
        <v>68.038412987457278</v>
      </c>
      <c r="BZ106" s="9">
        <f t="shared" ca="1" si="85"/>
        <v>-16.428095075743812</v>
      </c>
      <c r="CA106" s="6">
        <f t="shared" ca="1" si="86"/>
        <v>-16.374412867840064</v>
      </c>
      <c r="CB106" s="6">
        <f t="shared" ca="1" si="87"/>
        <v>-2.357831016279675</v>
      </c>
      <c r="CC106" s="6">
        <f t="shared" ca="1" si="88"/>
        <v>-5.4208139244541078</v>
      </c>
      <c r="CD106" s="9">
        <f t="shared" si="89"/>
        <v>-66.428095075743826</v>
      </c>
      <c r="CE106" s="9">
        <f t="shared" si="90"/>
        <v>-16.374412867840061</v>
      </c>
      <c r="CF106" s="6">
        <f t="shared" si="91"/>
        <v>-2.8999124087250858</v>
      </c>
      <c r="CG106" s="6"/>
      <c r="CH106" s="6"/>
      <c r="CI106" s="6"/>
      <c r="CJ106" s="1"/>
      <c r="CK106" s="6"/>
    </row>
    <row r="107" spans="1:89" x14ac:dyDescent="0.25">
      <c r="A107">
        <f t="shared" si="99"/>
        <v>4</v>
      </c>
      <c r="B107">
        <f t="shared" si="99"/>
        <v>8</v>
      </c>
      <c r="C107">
        <f t="shared" ca="1" si="99"/>
        <v>0.79</v>
      </c>
      <c r="D107" s="9">
        <f t="shared" si="100"/>
        <v>-2</v>
      </c>
      <c r="E107" s="5">
        <f t="shared" si="101"/>
        <v>-8</v>
      </c>
      <c r="F107" s="5">
        <f t="shared" ca="1" si="102"/>
        <v>28.627625000000002</v>
      </c>
      <c r="G107">
        <f t="shared" ca="1" si="103"/>
        <v>-229.02100000000002</v>
      </c>
      <c r="H107">
        <f t="shared" ca="1" si="104"/>
        <v>57.255250000000004</v>
      </c>
      <c r="J107">
        <f t="shared" ca="1" si="105"/>
        <v>-42.660000000000004</v>
      </c>
      <c r="K107">
        <f t="shared" ca="1" si="106"/>
        <v>341.28000000000003</v>
      </c>
      <c r="L107">
        <f t="shared" ca="1" si="107"/>
        <v>-85.320000000000007</v>
      </c>
      <c r="BC107">
        <v>3.6651914291880963</v>
      </c>
      <c r="BD107">
        <v>9.5383845860949972</v>
      </c>
      <c r="BE107">
        <v>-71.200090792960495</v>
      </c>
      <c r="BF107" s="6">
        <f t="shared" si="97"/>
        <v>4.8455619832999153</v>
      </c>
      <c r="BG107" s="6">
        <f t="shared" si="98"/>
        <v>1.180370554111819</v>
      </c>
      <c r="BH107" s="6">
        <f t="shared" si="80"/>
        <v>1.4376233238796712</v>
      </c>
      <c r="BI107" s="6">
        <f t="shared" si="81"/>
        <v>1.4376233238796712</v>
      </c>
      <c r="BJ107">
        <v>14.674437824761533</v>
      </c>
      <c r="BK107">
        <v>-109.53860121993922</v>
      </c>
      <c r="BV107" s="37"/>
      <c r="BW107" s="6">
        <f t="shared" si="82"/>
        <v>3.2114058236695699</v>
      </c>
      <c r="BX107" s="9">
        <f t="shared" ca="1" si="83"/>
        <v>-172.68026571038888</v>
      </c>
      <c r="BY107" s="9">
        <f t="shared" ca="1" si="84"/>
        <v>66.905746364429135</v>
      </c>
      <c r="BZ107" s="9">
        <f t="shared" ca="1" si="85"/>
        <v>-15.913589121979584</v>
      </c>
      <c r="CA107" s="6">
        <f t="shared" ca="1" si="86"/>
        <v>-17.507079490868207</v>
      </c>
      <c r="CB107" s="6">
        <f t="shared" ca="1" si="87"/>
        <v>-2.308550784889043</v>
      </c>
      <c r="CC107" s="6">
        <f t="shared" ca="1" si="88"/>
        <v>-5.7342949485142292</v>
      </c>
      <c r="CD107" s="9">
        <f t="shared" si="89"/>
        <v>-65.913589121979598</v>
      </c>
      <c r="CE107" s="9">
        <f t="shared" si="90"/>
        <v>-17.507079490868207</v>
      </c>
      <c r="CF107" s="6">
        <f t="shared" si="91"/>
        <v>-2.8819802797404659</v>
      </c>
      <c r="CG107" s="6"/>
      <c r="CH107" s="6"/>
      <c r="CI107" s="6"/>
      <c r="CJ107" s="1"/>
      <c r="CK107" s="6"/>
    </row>
    <row r="108" spans="1:89" x14ac:dyDescent="0.25">
      <c r="A108">
        <f t="shared" si="99"/>
        <v>5</v>
      </c>
      <c r="B108">
        <f t="shared" si="99"/>
        <v>0</v>
      </c>
      <c r="C108">
        <f t="shared" ca="1" si="99"/>
        <v>0</v>
      </c>
      <c r="D108" s="9">
        <f t="shared" si="100"/>
        <v>-3.5</v>
      </c>
      <c r="E108" s="5">
        <f t="shared" si="101"/>
        <v>0.5</v>
      </c>
      <c r="F108" s="5">
        <f t="shared" ca="1" si="102"/>
        <v>0</v>
      </c>
      <c r="G108">
        <f t="shared" ca="1" si="103"/>
        <v>0</v>
      </c>
      <c r="H108">
        <f t="shared" ca="1" si="104"/>
        <v>0</v>
      </c>
      <c r="J108">
        <f t="shared" ca="1" si="105"/>
        <v>0</v>
      </c>
      <c r="K108">
        <f t="shared" ca="1" si="106"/>
        <v>0</v>
      </c>
      <c r="L108">
        <f t="shared" ca="1" si="107"/>
        <v>0</v>
      </c>
      <c r="BC108">
        <v>3.7000980142279829</v>
      </c>
      <c r="BD108">
        <v>28.90943312538754</v>
      </c>
      <c r="BE108">
        <v>-110.124537338184</v>
      </c>
      <c r="BF108" s="6">
        <f t="shared" si="97"/>
        <v>4.9691121101198856</v>
      </c>
      <c r="BG108" s="6">
        <f t="shared" si="98"/>
        <v>1.2690140958919027</v>
      </c>
      <c r="BH108" s="6">
        <f t="shared" si="80"/>
        <v>1.3140731970597008</v>
      </c>
      <c r="BI108" s="6">
        <f t="shared" si="81"/>
        <v>1.3140731970597008</v>
      </c>
      <c r="BJ108">
        <v>43.350295898983902</v>
      </c>
      <c r="BK108">
        <v>-165.13403284814433</v>
      </c>
      <c r="BV108" s="37"/>
      <c r="BW108" s="6">
        <f t="shared" si="82"/>
        <v>3.2463124087094566</v>
      </c>
      <c r="BX108" s="9">
        <f t="shared" ca="1" si="83"/>
        <v>-172.0101418359765</v>
      </c>
      <c r="BY108" s="9">
        <f t="shared" ca="1" si="84"/>
        <v>65.715602636073953</v>
      </c>
      <c r="BZ108" s="9">
        <f t="shared" ca="1" si="85"/>
        <v>-15.243465247567201</v>
      </c>
      <c r="CA108" s="6">
        <f t="shared" ca="1" si="86"/>
        <v>-18.697223219223389</v>
      </c>
      <c r="CB108" s="6">
        <f t="shared" ca="1" si="87"/>
        <v>-2.2547849244188627</v>
      </c>
      <c r="CC108" s="6">
        <f t="shared" ca="1" si="88"/>
        <v>-6.077114035208222</v>
      </c>
      <c r="CD108" s="9">
        <f t="shared" si="89"/>
        <v>-65.243465247567187</v>
      </c>
      <c r="CE108" s="9">
        <f t="shared" si="90"/>
        <v>-18.697223219223385</v>
      </c>
      <c r="CF108" s="6">
        <f t="shared" si="91"/>
        <v>-2.8624963279396849</v>
      </c>
      <c r="CG108" s="6"/>
      <c r="CH108" s="6"/>
      <c r="CI108" s="6"/>
      <c r="CJ108" s="1"/>
      <c r="CK108" s="6"/>
    </row>
    <row r="109" spans="1:89" x14ac:dyDescent="0.25">
      <c r="A109">
        <f t="shared" si="99"/>
        <v>6</v>
      </c>
      <c r="B109">
        <f t="shared" si="99"/>
        <v>0</v>
      </c>
      <c r="C109">
        <f t="shared" ca="1" si="99"/>
        <v>0</v>
      </c>
      <c r="D109" s="9">
        <f t="shared" si="100"/>
        <v>-3.5</v>
      </c>
      <c r="E109" s="5">
        <f t="shared" si="101"/>
        <v>5.5</v>
      </c>
      <c r="F109" s="5">
        <f t="shared" ca="1" si="102"/>
        <v>0</v>
      </c>
      <c r="G109">
        <f t="shared" ca="1" si="103"/>
        <v>0</v>
      </c>
      <c r="H109">
        <f t="shared" ca="1" si="104"/>
        <v>0</v>
      </c>
      <c r="J109">
        <f t="shared" ca="1" si="105"/>
        <v>0</v>
      </c>
      <c r="K109">
        <f t="shared" ca="1" si="106"/>
        <v>0</v>
      </c>
      <c r="L109">
        <f t="shared" ca="1" si="107"/>
        <v>0</v>
      </c>
      <c r="BC109">
        <v>3.7350045992678695</v>
      </c>
      <c r="BD109">
        <v>53.191464593112045</v>
      </c>
      <c r="BE109">
        <v>-154.93308790580301</v>
      </c>
      <c r="BF109" s="6">
        <f t="shared" si="97"/>
        <v>5.0430995053294572</v>
      </c>
      <c r="BG109" s="6">
        <f t="shared" si="98"/>
        <v>1.3080949060615876</v>
      </c>
      <c r="BH109" s="6">
        <f t="shared" si="80"/>
        <v>1.2400858018501293</v>
      </c>
      <c r="BI109" s="6">
        <f t="shared" si="81"/>
        <v>1.2400858018501293</v>
      </c>
      <c r="BJ109">
        <v>77.267389467176969</v>
      </c>
      <c r="BK109">
        <v>-225.06007939702889</v>
      </c>
      <c r="BV109" s="37"/>
      <c r="BW109" s="6">
        <f t="shared" si="82"/>
        <v>3.2812189937493432</v>
      </c>
      <c r="BX109" s="9">
        <f t="shared" ca="1" si="83"/>
        <v>-171.33581936767087</v>
      </c>
      <c r="BY109" s="9">
        <f t="shared" ca="1" si="84"/>
        <v>64.638987596830631</v>
      </c>
      <c r="BZ109" s="9">
        <f t="shared" ca="1" si="85"/>
        <v>-14.569142779261568</v>
      </c>
      <c r="CA109" s="6">
        <f t="shared" ca="1" si="86"/>
        <v>-19.773838258466711</v>
      </c>
      <c r="CB109" s="6">
        <f t="shared" ca="1" si="87"/>
        <v>-2.2057885204967036</v>
      </c>
      <c r="CC109" s="6">
        <f t="shared" ca="1" si="88"/>
        <v>-6.3862984028331216</v>
      </c>
      <c r="CD109" s="9">
        <f t="shared" si="89"/>
        <v>-64.569142779261554</v>
      </c>
      <c r="CE109" s="9">
        <f t="shared" si="90"/>
        <v>-19.773838258466711</v>
      </c>
      <c r="CF109" s="6">
        <f t="shared" si="91"/>
        <v>-2.8444183607800158</v>
      </c>
      <c r="CG109" s="6"/>
      <c r="CH109" s="6"/>
      <c r="CI109" s="6"/>
      <c r="CJ109" s="1"/>
      <c r="CK109" s="6"/>
    </row>
    <row r="110" spans="1:89" x14ac:dyDescent="0.25">
      <c r="A110">
        <f t="shared" si="99"/>
        <v>7</v>
      </c>
      <c r="B110">
        <f t="shared" si="99"/>
        <v>0</v>
      </c>
      <c r="C110">
        <f t="shared" ca="1" si="99"/>
        <v>0</v>
      </c>
      <c r="D110" s="9">
        <f t="shared" si="100"/>
        <v>2</v>
      </c>
      <c r="E110" s="5">
        <f t="shared" si="101"/>
        <v>5.5</v>
      </c>
      <c r="F110" s="5">
        <f t="shared" ca="1" si="102"/>
        <v>0</v>
      </c>
      <c r="G110">
        <f t="shared" ca="1" si="103"/>
        <v>0</v>
      </c>
      <c r="H110">
        <f t="shared" ca="1" si="104"/>
        <v>0</v>
      </c>
      <c r="J110">
        <f t="shared" ca="1" si="105"/>
        <v>0</v>
      </c>
      <c r="K110">
        <f t="shared" ca="1" si="106"/>
        <v>0</v>
      </c>
      <c r="L110">
        <f t="shared" ca="1" si="107"/>
        <v>0</v>
      </c>
      <c r="BC110">
        <v>3.7699111843077562</v>
      </c>
      <c r="BD110">
        <v>72.511535131364639</v>
      </c>
      <c r="BE110">
        <v>-183.48510089903303</v>
      </c>
      <c r="BF110" s="6">
        <f t="shared" si="97"/>
        <v>5.088742214581635</v>
      </c>
      <c r="BG110" s="6">
        <f t="shared" si="98"/>
        <v>1.3188310302738788</v>
      </c>
      <c r="BH110" s="6">
        <f t="shared" si="80"/>
        <v>1.1944430925979515</v>
      </c>
      <c r="BI110" s="6">
        <f t="shared" si="81"/>
        <v>1.1944430925979515</v>
      </c>
      <c r="BJ110">
        <v>106.12193683244148</v>
      </c>
      <c r="BK110">
        <v>-268.53374779647811</v>
      </c>
      <c r="BV110" s="37"/>
      <c r="BW110" s="6">
        <f t="shared" si="82"/>
        <v>3.3161255787892299</v>
      </c>
      <c r="BX110" s="9">
        <f t="shared" ca="1" si="83"/>
        <v>-170.71367328223124</v>
      </c>
      <c r="BY110" s="9">
        <f t="shared" ca="1" si="84"/>
        <v>63.534132313641841</v>
      </c>
      <c r="BZ110" s="9">
        <f t="shared" ca="1" si="85"/>
        <v>-13.946996693821944</v>
      </c>
      <c r="CA110" s="6">
        <f t="shared" ca="1" si="86"/>
        <v>-20.878693541655501</v>
      </c>
      <c r="CB110" s="6">
        <f t="shared" ca="1" si="87"/>
        <v>-2.1597224132325481</v>
      </c>
      <c r="CC110" s="6">
        <f t="shared" ca="1" si="88"/>
        <v>-6.6628225376576999</v>
      </c>
      <c r="CD110" s="9">
        <f t="shared" si="89"/>
        <v>-63.946996693821944</v>
      </c>
      <c r="CE110" s="9">
        <f t="shared" si="90"/>
        <v>-20.878693541655501</v>
      </c>
      <c r="CF110" s="6">
        <f t="shared" si="91"/>
        <v>-2.8260046669983181</v>
      </c>
      <c r="CG110" s="6"/>
      <c r="CH110" s="6"/>
      <c r="CI110" s="6"/>
      <c r="CJ110" s="1"/>
      <c r="CK110" s="6"/>
    </row>
    <row r="111" spans="1:89" x14ac:dyDescent="0.25">
      <c r="A111">
        <f t="shared" si="99"/>
        <v>8</v>
      </c>
      <c r="B111">
        <f t="shared" si="99"/>
        <v>0</v>
      </c>
      <c r="C111">
        <f t="shared" ca="1" si="99"/>
        <v>0</v>
      </c>
      <c r="D111" s="9">
        <f t="shared" si="100"/>
        <v>7.5</v>
      </c>
      <c r="E111" s="5">
        <f t="shared" si="101"/>
        <v>-4.5</v>
      </c>
      <c r="F111" s="5">
        <f t="shared" ca="1" si="102"/>
        <v>0</v>
      </c>
      <c r="G111">
        <f t="shared" ca="1" si="103"/>
        <v>0</v>
      </c>
      <c r="H111">
        <f t="shared" ca="1" si="104"/>
        <v>0</v>
      </c>
      <c r="J111">
        <f t="shared" ca="1" si="105"/>
        <v>0</v>
      </c>
      <c r="K111">
        <f t="shared" ca="1" si="106"/>
        <v>0</v>
      </c>
      <c r="L111">
        <f t="shared" ca="1" si="107"/>
        <v>0</v>
      </c>
      <c r="BC111">
        <v>3.8048177693476428</v>
      </c>
      <c r="BD111">
        <v>93.11982867577116</v>
      </c>
      <c r="BE111">
        <v>-213.28469318883805</v>
      </c>
      <c r="BF111" s="6">
        <f t="shared" si="97"/>
        <v>5.1240427057276019</v>
      </c>
      <c r="BG111" s="6">
        <f t="shared" si="98"/>
        <v>1.3192249363799591</v>
      </c>
      <c r="BH111" s="6">
        <f t="shared" si="80"/>
        <v>1.1591426014519846</v>
      </c>
      <c r="BI111" s="6">
        <f t="shared" si="81"/>
        <v>1.1591426014519846</v>
      </c>
      <c r="BJ111">
        <v>136.29909241886543</v>
      </c>
      <c r="BK111">
        <v>-312.1838873833608</v>
      </c>
      <c r="BV111" s="37"/>
      <c r="BW111" s="6">
        <f t="shared" si="82"/>
        <v>3.3510321638291165</v>
      </c>
      <c r="BX111" s="9">
        <f t="shared" ca="1" si="83"/>
        <v>-170.13878278671717</v>
      </c>
      <c r="BY111" s="9">
        <f t="shared" ca="1" si="84"/>
        <v>62.3550292180431</v>
      </c>
      <c r="BZ111" s="9">
        <f t="shared" ca="1" si="85"/>
        <v>-13.372106198307876</v>
      </c>
      <c r="CA111" s="6">
        <f t="shared" ca="1" si="86"/>
        <v>-22.057796637254242</v>
      </c>
      <c r="CB111" s="6">
        <f t="shared" ca="1" si="87"/>
        <v>-2.1157843914113732</v>
      </c>
      <c r="CC111" s="6">
        <f t="shared" ca="1" si="88"/>
        <v>-6.9085571581950491</v>
      </c>
      <c r="CD111" s="9">
        <f t="shared" si="89"/>
        <v>-63.37210619830789</v>
      </c>
      <c r="CE111" s="9">
        <f t="shared" si="90"/>
        <v>-22.057796637254238</v>
      </c>
      <c r="CF111" s="6">
        <f t="shared" si="91"/>
        <v>-2.8066401072308782</v>
      </c>
      <c r="CG111" s="6"/>
      <c r="CH111" s="6"/>
      <c r="CI111" s="6"/>
      <c r="CJ111" s="1"/>
      <c r="CK111" s="6"/>
    </row>
    <row r="112" spans="1:89" x14ac:dyDescent="0.25">
      <c r="A112">
        <f t="shared" si="99"/>
        <v>9</v>
      </c>
      <c r="B112">
        <f t="shared" si="99"/>
        <v>0</v>
      </c>
      <c r="C112">
        <f t="shared" ca="1" si="99"/>
        <v>0</v>
      </c>
      <c r="D112" s="9">
        <f t="shared" si="100"/>
        <v>7.5</v>
      </c>
      <c r="E112" s="5">
        <f t="shared" si="101"/>
        <v>0.5</v>
      </c>
      <c r="F112" s="5">
        <f t="shared" ca="1" si="102"/>
        <v>0</v>
      </c>
      <c r="G112">
        <f t="shared" ca="1" si="103"/>
        <v>0</v>
      </c>
      <c r="H112">
        <f t="shared" ca="1" si="104"/>
        <v>0</v>
      </c>
      <c r="J112">
        <f t="shared" ca="1" si="105"/>
        <v>0</v>
      </c>
      <c r="K112">
        <f t="shared" ca="1" si="106"/>
        <v>0</v>
      </c>
      <c r="L112">
        <f t="shared" ca="1" si="107"/>
        <v>0</v>
      </c>
      <c r="BC112">
        <v>3.8397243543875295</v>
      </c>
      <c r="BD112">
        <v>114.81194981434474</v>
      </c>
      <c r="BE112">
        <v>-244.00456535293321</v>
      </c>
      <c r="BF112" s="6">
        <f t="shared" si="97"/>
        <v>5.1521855013022178</v>
      </c>
      <c r="BG112" s="6">
        <f t="shared" si="98"/>
        <v>1.3124611469146883</v>
      </c>
      <c r="BH112" s="6">
        <f t="shared" si="80"/>
        <v>1.1309998058773687</v>
      </c>
      <c r="BI112" s="6">
        <f t="shared" si="81"/>
        <v>1.1309998058773687</v>
      </c>
      <c r="BJ112">
        <v>167.16556493703342</v>
      </c>
      <c r="BK112">
        <v>-355.26929975839613</v>
      </c>
      <c r="BV112" s="37"/>
      <c r="BW112" s="6">
        <f t="shared" si="82"/>
        <v>3.3859387488690031</v>
      </c>
      <c r="BX112" s="9">
        <f t="shared" ca="1" si="83"/>
        <v>-169.54972690138615</v>
      </c>
      <c r="BY112" s="9">
        <f t="shared" ca="1" si="84"/>
        <v>61.165941953595095</v>
      </c>
      <c r="BZ112" s="9">
        <f t="shared" ca="1" si="85"/>
        <v>-12.783050312976854</v>
      </c>
      <c r="CA112" s="6">
        <f t="shared" ca="1" si="86"/>
        <v>-23.246883901702247</v>
      </c>
      <c r="CB112" s="6">
        <f t="shared" ca="1" si="87"/>
        <v>-2.0735491792919678</v>
      </c>
      <c r="CC112" s="6">
        <f t="shared" ca="1" si="88"/>
        <v>-7.1342323255199638</v>
      </c>
      <c r="CD112" s="9">
        <f t="shared" si="89"/>
        <v>-62.783050312976854</v>
      </c>
      <c r="CE112" s="9">
        <f t="shared" si="90"/>
        <v>-23.246883901702244</v>
      </c>
      <c r="CF112" s="6">
        <f t="shared" si="91"/>
        <v>-2.7869724118439643</v>
      </c>
      <c r="CG112" s="6"/>
      <c r="CH112" s="6"/>
      <c r="CI112" s="6"/>
      <c r="CJ112" s="1"/>
      <c r="CK112" s="6"/>
    </row>
    <row r="113" spans="1:89" x14ac:dyDescent="0.25">
      <c r="A113">
        <f t="shared" si="99"/>
        <v>10</v>
      </c>
      <c r="B113">
        <f t="shared" si="99"/>
        <v>0</v>
      </c>
      <c r="C113">
        <f t="shared" ca="1" si="99"/>
        <v>0</v>
      </c>
      <c r="D113" s="9">
        <f t="shared" si="100"/>
        <v>7.5</v>
      </c>
      <c r="E113" s="5">
        <f t="shared" si="101"/>
        <v>5.5</v>
      </c>
      <c r="F113" s="5">
        <f t="shared" ca="1" si="102"/>
        <v>0</v>
      </c>
      <c r="G113">
        <f t="shared" ca="1" si="103"/>
        <v>0</v>
      </c>
      <c r="H113">
        <f t="shared" ca="1" si="104"/>
        <v>0</v>
      </c>
      <c r="J113">
        <f t="shared" ca="1" si="105"/>
        <v>0</v>
      </c>
      <c r="K113">
        <f t="shared" ca="1" si="106"/>
        <v>0</v>
      </c>
      <c r="L113">
        <f t="shared" ca="1" si="107"/>
        <v>0</v>
      </c>
      <c r="BC113">
        <v>3.8746309394274161</v>
      </c>
      <c r="BD113">
        <v>137.32877640120816</v>
      </c>
      <c r="BE113">
        <v>-275.45751093677586</v>
      </c>
      <c r="BF113" s="6">
        <f t="shared" si="97"/>
        <v>5.1748742719390881</v>
      </c>
      <c r="BG113" s="6">
        <f t="shared" si="98"/>
        <v>1.300243332511672</v>
      </c>
      <c r="BH113" s="6">
        <f t="shared" si="80"/>
        <v>1.1083110352404983</v>
      </c>
      <c r="BI113" s="6">
        <f t="shared" si="81"/>
        <v>1.1083110352404983</v>
      </c>
      <c r="BJ113">
        <v>198.04293903690547</v>
      </c>
      <c r="BK113">
        <v>-397.23950416869576</v>
      </c>
      <c r="BV113" s="37"/>
      <c r="BW113" s="6">
        <f t="shared" si="82"/>
        <v>3.4208453339088898</v>
      </c>
      <c r="BX113" s="9">
        <f t="shared" ca="1" si="83"/>
        <v>-168.93919744540798</v>
      </c>
      <c r="BY113" s="9">
        <f t="shared" ca="1" si="84"/>
        <v>59.964147729342017</v>
      </c>
      <c r="BZ113" s="9">
        <f t="shared" ca="1" si="85"/>
        <v>-12.172520856998688</v>
      </c>
      <c r="CA113" s="6">
        <f t="shared" ca="1" si="86"/>
        <v>-24.448678125955325</v>
      </c>
      <c r="CB113" s="6">
        <f t="shared" ca="1" si="87"/>
        <v>-2.0327469238255071</v>
      </c>
      <c r="CC113" s="6">
        <f t="shared" ca="1" si="88"/>
        <v>-7.3418110106114121</v>
      </c>
      <c r="CD113" s="9">
        <f t="shared" si="89"/>
        <v>-62.17252085699868</v>
      </c>
      <c r="CE113" s="9">
        <f t="shared" si="90"/>
        <v>-24.448678125955322</v>
      </c>
      <c r="CF113" s="6">
        <f t="shared" si="91"/>
        <v>-2.7669280248866484</v>
      </c>
      <c r="CG113" s="6"/>
      <c r="CH113" s="6"/>
      <c r="CI113" s="6"/>
      <c r="CJ113" s="1"/>
      <c r="CK113" s="6"/>
    </row>
    <row r="114" spans="1:89" x14ac:dyDescent="0.25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3.9095375244673027</v>
      </c>
      <c r="BD114">
        <v>158.40095825151104</v>
      </c>
      <c r="BE114">
        <v>-304.60570434540949</v>
      </c>
      <c r="BF114" s="6">
        <f t="shared" si="97"/>
        <v>5.1919237565926597</v>
      </c>
      <c r="BG114" s="6">
        <f t="shared" si="98"/>
        <v>1.282386232125357</v>
      </c>
      <c r="BH114" s="6">
        <f t="shared" si="80"/>
        <v>1.0912615505869268</v>
      </c>
      <c r="BI114" s="6">
        <f t="shared" si="81"/>
        <v>1.0912615505869268</v>
      </c>
      <c r="BJ114">
        <v>225.44096380706858</v>
      </c>
      <c r="BK114">
        <v>-433.52391504932723</v>
      </c>
      <c r="BV114" s="37"/>
      <c r="BW114" s="6">
        <f t="shared" si="82"/>
        <v>3.4557519189487764</v>
      </c>
      <c r="BX114" s="9">
        <f t="shared" ca="1" si="83"/>
        <v>-168.37272635576633</v>
      </c>
      <c r="BY114" s="9">
        <f t="shared" ca="1" si="84"/>
        <v>58.843104286979283</v>
      </c>
      <c r="BZ114" s="9">
        <f t="shared" ca="1" si="85"/>
        <v>-11.606049767357035</v>
      </c>
      <c r="CA114" s="6">
        <f t="shared" ca="1" si="86"/>
        <v>-25.569721568318059</v>
      </c>
      <c r="CB114" s="6">
        <f t="shared" ca="1" si="87"/>
        <v>-1.9968872390403072</v>
      </c>
      <c r="CC114" s="6">
        <f t="shared" ca="1" si="88"/>
        <v>-7.5129079130277931</v>
      </c>
      <c r="CD114" s="9">
        <f t="shared" si="89"/>
        <v>-61.606049767357035</v>
      </c>
      <c r="CE114" s="9">
        <f t="shared" si="90"/>
        <v>-25.569721568318062</v>
      </c>
      <c r="CF114" s="6">
        <f t="shared" si="91"/>
        <v>-2.7481780303430865</v>
      </c>
      <c r="CG114" s="6"/>
      <c r="CH114" s="6"/>
      <c r="CI114" s="6"/>
      <c r="CJ114" s="1"/>
      <c r="CK114" s="6"/>
    </row>
    <row r="115" spans="1:89" x14ac:dyDescent="0.25">
      <c r="A115" s="8" t="s">
        <v>99</v>
      </c>
      <c r="B115" s="5">
        <f ca="1">B100+F114</f>
        <v>1705.7105000000001</v>
      </c>
      <c r="J115">
        <f ca="1">J114</f>
        <v>-170.64000000000001</v>
      </c>
      <c r="BC115">
        <v>3.9444441095071894</v>
      </c>
      <c r="BD115">
        <v>174.8671250196077</v>
      </c>
      <c r="BE115">
        <v>-327.33025179120364</v>
      </c>
      <c r="BF115" s="6">
        <f t="shared" si="97"/>
        <v>5.2030381652269266</v>
      </c>
      <c r="BG115" s="6">
        <f t="shared" si="98"/>
        <v>1.2585940557197373</v>
      </c>
      <c r="BH115" s="6">
        <f t="shared" si="80"/>
        <v>1.0801471419526598</v>
      </c>
      <c r="BI115" s="6">
        <f t="shared" si="81"/>
        <v>1.0801471419526598</v>
      </c>
      <c r="BJ115">
        <v>243.24091199842979</v>
      </c>
      <c r="BK115">
        <v>-455.31776748454178</v>
      </c>
      <c r="BV115" s="37"/>
      <c r="BW115" s="6">
        <f t="shared" si="82"/>
        <v>3.4906585039886631</v>
      </c>
      <c r="BX115" s="9">
        <f t="shared" ca="1" si="83"/>
        <v>-167.86930868061143</v>
      </c>
      <c r="BY115" s="9">
        <f t="shared" ca="1" si="84"/>
        <v>57.813076731066737</v>
      </c>
      <c r="BZ115" s="9">
        <f t="shared" ca="1" si="85"/>
        <v>-11.102632092202128</v>
      </c>
      <c r="CA115" s="6">
        <f t="shared" ca="1" si="86"/>
        <v>-26.599749124230605</v>
      </c>
      <c r="CB115" s="6">
        <f t="shared" ca="1" si="87"/>
        <v>-1.9662088319984521</v>
      </c>
      <c r="CC115" s="6">
        <f t="shared" ca="1" si="88"/>
        <v>-7.6479702899483986</v>
      </c>
      <c r="CD115" s="9">
        <f t="shared" si="89"/>
        <v>-61.102632092202121</v>
      </c>
      <c r="CE115" s="9">
        <f t="shared" si="90"/>
        <v>-26.599749124230605</v>
      </c>
      <c r="CF115" s="6">
        <f t="shared" si="91"/>
        <v>-2.7310058609932919</v>
      </c>
      <c r="CG115" s="6"/>
      <c r="CH115" s="6"/>
      <c r="CI115" s="6"/>
      <c r="CJ115" s="1"/>
      <c r="CK115" s="6"/>
    </row>
    <row r="116" spans="1:89" x14ac:dyDescent="0.25">
      <c r="A116" s="8" t="s">
        <v>100</v>
      </c>
      <c r="B116" s="5">
        <f ca="1">B101+G114</f>
        <v>5334.2055</v>
      </c>
      <c r="C116">
        <f ca="1">B116/12</f>
        <v>444.51712500000002</v>
      </c>
      <c r="J116">
        <f ca="1">K114</f>
        <v>1535.76</v>
      </c>
      <c r="K116">
        <f ca="1">J116/12</f>
        <v>127.98</v>
      </c>
      <c r="BC116">
        <v>3.979350694547076</v>
      </c>
      <c r="BD116">
        <v>188.38430409000171</v>
      </c>
      <c r="BE116">
        <v>-348.12803932430461</v>
      </c>
      <c r="BF116" s="6">
        <f t="shared" si="97"/>
        <v>5.2084006652515864</v>
      </c>
      <c r="BG116" s="6">
        <f t="shared" si="98"/>
        <v>1.2290499707045104</v>
      </c>
      <c r="BH116" s="6">
        <f t="shared" si="80"/>
        <v>1.0747846419280001</v>
      </c>
      <c r="BI116" s="6">
        <f t="shared" si="81"/>
        <v>1.0747846419280001</v>
      </c>
      <c r="BJ116">
        <v>254.9938944416599</v>
      </c>
      <c r="BK116">
        <v>-471.22038611684508</v>
      </c>
      <c r="BV116" s="37"/>
      <c r="BW116" s="6">
        <f t="shared" si="82"/>
        <v>3.5255650890285497</v>
      </c>
      <c r="BX116" s="9">
        <f t="shared" ca="1" si="83"/>
        <v>-167.40923018116644</v>
      </c>
      <c r="BY116" s="9">
        <f t="shared" ca="1" si="84"/>
        <v>56.836503911270697</v>
      </c>
      <c r="BZ116" s="9">
        <f t="shared" ca="1" si="85"/>
        <v>-10.642553592757139</v>
      </c>
      <c r="CA116" s="6">
        <f t="shared" ca="1" si="86"/>
        <v>-27.576321944026645</v>
      </c>
      <c r="CB116" s="6">
        <f t="shared" ca="1" si="87"/>
        <v>-1.9391156090119117</v>
      </c>
      <c r="CC116" s="6">
        <f t="shared" ca="1" si="88"/>
        <v>-7.7569205910138539</v>
      </c>
      <c r="CD116" s="9">
        <f t="shared" si="89"/>
        <v>-60.642553592757153</v>
      </c>
      <c r="CE116" s="9">
        <f t="shared" si="90"/>
        <v>-27.576321944026642</v>
      </c>
      <c r="CF116" s="6">
        <f t="shared" si="91"/>
        <v>-2.7148076681132971</v>
      </c>
      <c r="CG116" s="6"/>
      <c r="CH116" s="6"/>
      <c r="CI116" s="6"/>
      <c r="CJ116" s="1"/>
      <c r="CK116" s="6"/>
    </row>
    <row r="117" spans="1:89" x14ac:dyDescent="0.25">
      <c r="A117" s="8" t="s">
        <v>101</v>
      </c>
      <c r="B117" s="5">
        <f ca="1">B102+H114</f>
        <v>-6021.2685000000001</v>
      </c>
      <c r="C117">
        <f ca="1">B117/12</f>
        <v>-501.77237500000001</v>
      </c>
      <c r="J117">
        <f ca="1">L114</f>
        <v>-511.92</v>
      </c>
      <c r="K117">
        <f ca="1">J117/12</f>
        <v>-42.660000000000004</v>
      </c>
      <c r="BC117">
        <v>4.0142572795869622</v>
      </c>
      <c r="BD117">
        <v>196.83479556041283</v>
      </c>
      <c r="BE117">
        <v>-363.04729221262107</v>
      </c>
      <c r="BF117" s="6">
        <f t="shared" si="97"/>
        <v>5.2092038824249354</v>
      </c>
      <c r="BG117" s="6">
        <f t="shared" si="98"/>
        <v>1.1949466028379732</v>
      </c>
      <c r="BH117" s="6">
        <f t="shared" si="80"/>
        <v>1.0739814247546511</v>
      </c>
      <c r="BI117" s="6">
        <f t="shared" si="81"/>
        <v>1.0739814247546511</v>
      </c>
      <c r="BJ117">
        <v>255.92027223999679</v>
      </c>
      <c r="BK117">
        <v>-472.02610490954186</v>
      </c>
      <c r="BV117" s="37"/>
      <c r="BW117" s="6">
        <f t="shared" si="82"/>
        <v>3.5604716740684363</v>
      </c>
      <c r="BX117" s="9">
        <f t="shared" ca="1" si="83"/>
        <v>-166.97830422716461</v>
      </c>
      <c r="BY117" s="9">
        <f t="shared" ca="1" si="84"/>
        <v>55.890002833772783</v>
      </c>
      <c r="BZ117" s="9">
        <f t="shared" ca="1" si="85"/>
        <v>-10.211627638755317</v>
      </c>
      <c r="CA117" s="6">
        <f t="shared" ca="1" si="86"/>
        <v>-28.522823021524559</v>
      </c>
      <c r="CB117" s="6">
        <f t="shared" ca="1" si="87"/>
        <v>-1.9145944436365832</v>
      </c>
      <c r="CC117" s="6">
        <f t="shared" ca="1" si="88"/>
        <v>-7.8460329152761421</v>
      </c>
      <c r="CD117" s="9">
        <f t="shared" si="89"/>
        <v>-60.211627638755317</v>
      </c>
      <c r="CE117" s="9">
        <f t="shared" si="90"/>
        <v>-28.522823021524562</v>
      </c>
      <c r="CF117" s="6">
        <f t="shared" si="91"/>
        <v>-2.6991977351641974</v>
      </c>
      <c r="CG117" s="6"/>
      <c r="CH117" s="6"/>
      <c r="CI117" s="6"/>
      <c r="CJ117" s="1"/>
      <c r="CK117" s="6"/>
    </row>
    <row r="118" spans="1:89" x14ac:dyDescent="0.25">
      <c r="BC118">
        <v>4.0491638646268484</v>
      </c>
      <c r="BD118">
        <v>205.25807054430945</v>
      </c>
      <c r="BE118">
        <v>-377.86119259232754</v>
      </c>
      <c r="BF118" s="6">
        <f t="shared" si="97"/>
        <v>5.2100043856300671</v>
      </c>
      <c r="BG118" s="6">
        <f t="shared" si="98"/>
        <v>1.1608405210032187</v>
      </c>
      <c r="BH118" s="6">
        <f t="shared" si="80"/>
        <v>1.0731809215495194</v>
      </c>
      <c r="BI118" s="6">
        <f t="shared" si="81"/>
        <v>1.0731809215495194</v>
      </c>
      <c r="BJ118">
        <v>256.79390608829891</v>
      </c>
      <c r="BK118">
        <v>-472.73391661362331</v>
      </c>
      <c r="BV118" s="37"/>
      <c r="BW118" s="6">
        <f t="shared" si="82"/>
        <v>3.595378259108323</v>
      </c>
      <c r="BX118" s="9">
        <f t="shared" ca="1" si="83"/>
        <v>-166.45585862395905</v>
      </c>
      <c r="BY118" s="9">
        <f t="shared" ca="1" si="84"/>
        <v>54.696171495143503</v>
      </c>
      <c r="BZ118" s="9">
        <f t="shared" ca="1" si="85"/>
        <v>-9.6891820355497487</v>
      </c>
      <c r="CA118" s="6">
        <f t="shared" ca="1" si="86"/>
        <v>-29.716654360153839</v>
      </c>
      <c r="CB118" s="6">
        <f t="shared" ca="1" si="87"/>
        <v>-1.885979656019376</v>
      </c>
      <c r="CC118" s="6">
        <f t="shared" ca="1" si="88"/>
        <v>-7.9368156303828341</v>
      </c>
      <c r="CD118" s="9">
        <f t="shared" si="89"/>
        <v>-59.689182035549749</v>
      </c>
      <c r="CE118" s="9">
        <f t="shared" si="90"/>
        <v>-29.716654360153839</v>
      </c>
      <c r="CF118" s="6">
        <f t="shared" si="91"/>
        <v>-2.6796612190576594</v>
      </c>
      <c r="CG118" s="6"/>
      <c r="CH118" s="6"/>
      <c r="CI118" s="6"/>
      <c r="CJ118" s="1"/>
      <c r="CK118" s="6"/>
    </row>
    <row r="119" spans="1:89" x14ac:dyDescent="0.25">
      <c r="A119" s="8" t="s">
        <v>8</v>
      </c>
      <c r="B119">
        <f ca="1">B117/B115</f>
        <v>-3.5300647442810487</v>
      </c>
      <c r="J119">
        <f ca="1">J117/J115</f>
        <v>3</v>
      </c>
      <c r="BC119">
        <v>4.0840704496667346</v>
      </c>
      <c r="BD119">
        <v>213.67335556075474</v>
      </c>
      <c r="BE119">
        <v>-392.60715795818584</v>
      </c>
      <c r="BF119" s="6">
        <f t="shared" si="97"/>
        <v>5.210800815816099</v>
      </c>
      <c r="BG119" s="6">
        <f t="shared" si="98"/>
        <v>1.1267303661493644</v>
      </c>
      <c r="BH119" s="6">
        <f t="shared" si="80"/>
        <v>1.0723844913634875</v>
      </c>
      <c r="BI119" s="6">
        <f t="shared" si="81"/>
        <v>1.0723844913634875</v>
      </c>
      <c r="BJ119">
        <v>257.6211351323887</v>
      </c>
      <c r="BK119">
        <v>-473.35757623523699</v>
      </c>
      <c r="BV119" s="37"/>
      <c r="BW119" s="6">
        <f t="shared" si="82"/>
        <v>3.6302848441482096</v>
      </c>
      <c r="BX119" s="9">
        <f t="shared" ca="1" si="83"/>
        <v>-160.37249026536307</v>
      </c>
      <c r="BY119" s="9">
        <f t="shared" ca="1" si="84"/>
        <v>40.961053606360203</v>
      </c>
      <c r="BZ119" s="9">
        <f t="shared" ca="1" si="85"/>
        <v>-3.6058136769537725</v>
      </c>
      <c r="CA119" s="6">
        <f t="shared" ca="1" si="86"/>
        <v>-43.451772248937139</v>
      </c>
      <c r="CB119" s="6">
        <f t="shared" ca="1" si="87"/>
        <v>-1.6535908944351421</v>
      </c>
      <c r="CC119" s="6">
        <f t="shared" ca="1" si="88"/>
        <v>-8.0684312666380471</v>
      </c>
      <c r="CD119" s="9">
        <f t="shared" si="89"/>
        <v>-53.605813676953787</v>
      </c>
      <c r="CE119" s="9">
        <f t="shared" si="90"/>
        <v>-43.451772248937139</v>
      </c>
      <c r="CF119" s="6">
        <f t="shared" si="91"/>
        <v>-2.4604340210989468</v>
      </c>
      <c r="CG119" s="6"/>
      <c r="CH119" s="6"/>
      <c r="CI119" s="6"/>
      <c r="CJ119" s="1"/>
      <c r="CK119" s="6"/>
    </row>
    <row r="120" spans="1:89" x14ac:dyDescent="0.25">
      <c r="A120" s="8" t="s">
        <v>9</v>
      </c>
      <c r="B120">
        <f ca="1">B116/B115</f>
        <v>3.1272630965219474</v>
      </c>
      <c r="J120">
        <f ca="1">J116/J115</f>
        <v>-9</v>
      </c>
      <c r="BC120">
        <v>4.1189770347066208</v>
      </c>
      <c r="BD120">
        <v>222.09995173067736</v>
      </c>
      <c r="BE120">
        <v>-407.32200554820884</v>
      </c>
      <c r="BF120" s="6">
        <f t="shared" si="97"/>
        <v>5.2115924810186369</v>
      </c>
      <c r="BG120" s="6">
        <f t="shared" si="98"/>
        <v>1.0926154463120161</v>
      </c>
      <c r="BH120" s="6">
        <f t="shared" si="80"/>
        <v>1.0715928261609495</v>
      </c>
      <c r="BI120" s="6">
        <f t="shared" si="81"/>
        <v>1.0715928261609495</v>
      </c>
      <c r="BJ120">
        <v>258.40742685663986</v>
      </c>
      <c r="BK120">
        <v>-473.90839365617194</v>
      </c>
      <c r="BV120" s="37"/>
      <c r="BW120" s="6">
        <f t="shared" si="82"/>
        <v>3.6651914291880963</v>
      </c>
      <c r="BX120" s="9">
        <f t="shared" ca="1" si="83"/>
        <v>-147.2282920023143</v>
      </c>
      <c r="BY120" s="9">
        <f t="shared" ca="1" si="84"/>
        <v>13.212735062336847</v>
      </c>
      <c r="BZ120" s="9">
        <f t="shared" ca="1" si="85"/>
        <v>9.5383845860949918</v>
      </c>
      <c r="CA120" s="6">
        <f t="shared" ca="1" si="86"/>
        <v>-71.200090792960495</v>
      </c>
      <c r="CB120" s="6">
        <f t="shared" ca="1" si="87"/>
        <v>-1.4376233238796714</v>
      </c>
      <c r="CC120" s="6">
        <f t="shared" ca="1" si="88"/>
        <v>-6.4994265488367065</v>
      </c>
      <c r="CD120" s="9">
        <f t="shared" si="89"/>
        <v>-40.461615413905001</v>
      </c>
      <c r="CE120" s="9">
        <f t="shared" si="90"/>
        <v>-71.200090792960495</v>
      </c>
      <c r="CF120" s="6">
        <f t="shared" si="91"/>
        <v>-2.087565978763342</v>
      </c>
      <c r="CG120" s="6"/>
      <c r="CH120" s="6"/>
      <c r="CI120" s="6"/>
      <c r="CJ120" s="1"/>
      <c r="CK120" s="6"/>
    </row>
    <row r="121" spans="1:89" x14ac:dyDescent="0.25">
      <c r="BC121">
        <v>4.153883619746507</v>
      </c>
      <c r="BD121">
        <v>230.5573876345268</v>
      </c>
      <c r="BE121">
        <v>-422.04229860968934</v>
      </c>
      <c r="BF121" s="6">
        <f t="shared" si="97"/>
        <v>5.2123791793794236</v>
      </c>
      <c r="BG121" s="6">
        <f t="shared" si="98"/>
        <v>1.0584955596329166</v>
      </c>
      <c r="BH121" s="6">
        <f t="shared" si="80"/>
        <v>1.0708061278001628</v>
      </c>
      <c r="BI121" s="6">
        <f t="shared" si="81"/>
        <v>1.0708061278001628</v>
      </c>
      <c r="BJ121">
        <v>259.15752979342233</v>
      </c>
      <c r="BK121">
        <v>-474.39572723388039</v>
      </c>
      <c r="BV121" s="37"/>
      <c r="BW121" s="6">
        <f t="shared" si="82"/>
        <v>3.7000980142279829</v>
      </c>
      <c r="BX121" s="9">
        <f t="shared" ca="1" si="83"/>
        <v>-127.85724346302176</v>
      </c>
      <c r="BY121" s="9">
        <f t="shared" ca="1" si="84"/>
        <v>-25.711711482886656</v>
      </c>
      <c r="BZ121" s="9">
        <f t="shared" ca="1" si="85"/>
        <v>28.909433125387537</v>
      </c>
      <c r="CA121" s="6">
        <f t="shared" ca="1" si="86"/>
        <v>-110.124537338184</v>
      </c>
      <c r="CB121" s="6">
        <f t="shared" ca="1" si="87"/>
        <v>-1.3140731970597006</v>
      </c>
      <c r="CC121" s="6">
        <f t="shared" ca="1" si="88"/>
        <v>-4.4594746220734338</v>
      </c>
      <c r="CD121" s="9">
        <f t="shared" si="89"/>
        <v>-21.09056687461246</v>
      </c>
      <c r="CE121" s="9">
        <f t="shared" si="90"/>
        <v>-110.124537338184</v>
      </c>
      <c r="CF121" s="6">
        <f t="shared" si="91"/>
        <v>-1.760020659267044</v>
      </c>
      <c r="CG121" s="6"/>
      <c r="CH121" s="6"/>
      <c r="CI121" s="6"/>
      <c r="CJ121" s="1"/>
      <c r="CK121" s="6"/>
    </row>
    <row r="122" spans="1:89" x14ac:dyDescent="0.25">
      <c r="BC122">
        <v>4.1887902047863932</v>
      </c>
      <c r="BD122">
        <v>233.88803633900466</v>
      </c>
      <c r="BE122">
        <v>-427.34462745093032</v>
      </c>
      <c r="BF122" s="6">
        <f t="shared" si="97"/>
        <v>5.2131610722058888</v>
      </c>
      <c r="BG122" s="6">
        <f t="shared" si="98"/>
        <v>1.0243708674194956</v>
      </c>
      <c r="BH122" s="6">
        <f t="shared" si="80"/>
        <v>1.0700242349736977</v>
      </c>
      <c r="BI122" s="6">
        <f t="shared" si="81"/>
        <v>1.0700242349736977</v>
      </c>
      <c r="BJ122">
        <v>259.87559593222738</v>
      </c>
      <c r="BK122">
        <v>-474.82736383436702</v>
      </c>
      <c r="BV122" s="37"/>
      <c r="BW122" s="6">
        <f t="shared" si="82"/>
        <v>3.7350045992678695</v>
      </c>
      <c r="BX122" s="9">
        <f t="shared" ca="1" si="83"/>
        <v>-103.57521199529725</v>
      </c>
      <c r="BY122" s="9">
        <f t="shared" ca="1" si="84"/>
        <v>-70.520262050505664</v>
      </c>
      <c r="BZ122" s="9">
        <f t="shared" ca="1" si="85"/>
        <v>53.191464593112045</v>
      </c>
      <c r="CA122" s="6">
        <f t="shared" ca="1" si="86"/>
        <v>-154.93308790580301</v>
      </c>
      <c r="CB122" s="6">
        <f t="shared" ca="1" si="87"/>
        <v>-1.2400858018501288</v>
      </c>
      <c r="CC122" s="6">
        <f t="shared" ca="1" si="88"/>
        <v>-3.1011445116708276</v>
      </c>
      <c r="CD122" s="9">
        <f t="shared" si="89"/>
        <v>3.1914645931120447</v>
      </c>
      <c r="CE122" s="9">
        <f t="shared" si="90"/>
        <v>-154.93308790580301</v>
      </c>
      <c r="CF122" s="6">
        <f t="shared" si="91"/>
        <v>-1.5502002530172116</v>
      </c>
      <c r="CG122" s="6"/>
      <c r="CH122" s="6"/>
      <c r="CI122" s="6"/>
      <c r="CJ122" s="1"/>
      <c r="CK122" s="6"/>
    </row>
    <row r="123" spans="1:89" x14ac:dyDescent="0.25">
      <c r="A123" t="s">
        <v>128</v>
      </c>
      <c r="BC123">
        <v>4.2236967898262794</v>
      </c>
      <c r="BD123">
        <v>234.50875172940002</v>
      </c>
      <c r="BE123">
        <v>-427.68883266355402</v>
      </c>
      <c r="BF123" s="6">
        <f t="shared" si="97"/>
        <v>5.2139385926180566</v>
      </c>
      <c r="BG123" s="6">
        <f t="shared" si="98"/>
        <v>0.9902418027917772</v>
      </c>
      <c r="BH123" s="6">
        <f t="shared" si="80"/>
        <v>1.0692467145615299</v>
      </c>
      <c r="BI123" s="6">
        <f t="shared" si="81"/>
        <v>1.0692467145615299</v>
      </c>
      <c r="BJ123">
        <v>260.56527969933336</v>
      </c>
      <c r="BK123">
        <v>-475.20981407061555</v>
      </c>
      <c r="BV123" s="37"/>
      <c r="BW123" s="6">
        <f t="shared" si="82"/>
        <v>3.7699111843077562</v>
      </c>
      <c r="BX123" s="9">
        <f t="shared" ca="1" si="83"/>
        <v>-84.255141457044658</v>
      </c>
      <c r="BY123" s="9">
        <f t="shared" ca="1" si="84"/>
        <v>-99.072275043735686</v>
      </c>
      <c r="BZ123" s="9">
        <f t="shared" ca="1" si="85"/>
        <v>72.511535131364639</v>
      </c>
      <c r="CA123" s="6">
        <f t="shared" ca="1" si="86"/>
        <v>-183.48510089903303</v>
      </c>
      <c r="CB123" s="6">
        <f t="shared" ca="1" si="87"/>
        <v>-1.1944430925979512</v>
      </c>
      <c r="CC123" s="6">
        <f t="shared" ca="1" si="88"/>
        <v>-2.5427469658769319</v>
      </c>
      <c r="CD123" s="9">
        <f t="shared" si="89"/>
        <v>22.511535131364639</v>
      </c>
      <c r="CE123" s="9">
        <f t="shared" si="90"/>
        <v>-183.48510089903303</v>
      </c>
      <c r="CF123" s="6">
        <f t="shared" si="91"/>
        <v>-1.4487177891856444</v>
      </c>
      <c r="CG123" s="6"/>
      <c r="CH123" s="6"/>
      <c r="CI123" s="6"/>
      <c r="CJ123" s="1"/>
      <c r="CK123" s="6"/>
    </row>
    <row r="124" spans="1:89" x14ac:dyDescent="0.25">
      <c r="BC124">
        <v>4.2586033748661656</v>
      </c>
      <c r="BD124">
        <v>235.10683679546773</v>
      </c>
      <c r="BE124">
        <v>-427.99368918748081</v>
      </c>
      <c r="BF124" s="6">
        <f t="shared" si="97"/>
        <v>5.2147123797957455</v>
      </c>
      <c r="BG124" s="6">
        <f t="shared" si="98"/>
        <v>0.95610900492957995</v>
      </c>
      <c r="BH124" s="6">
        <f t="shared" si="80"/>
        <v>1.0684729273838409</v>
      </c>
      <c r="BI124" s="6">
        <f t="shared" si="81"/>
        <v>1.0684729273838409</v>
      </c>
      <c r="BJ124">
        <v>261.22981866163082</v>
      </c>
      <c r="BK124">
        <v>-475.54854354164536</v>
      </c>
      <c r="BV124" s="37"/>
      <c r="BW124" s="6">
        <f t="shared" si="82"/>
        <v>3.8048177693476428</v>
      </c>
      <c r="BX124" s="9">
        <f t="shared" ca="1" si="83"/>
        <v>-63.646847912638137</v>
      </c>
      <c r="BY124" s="9">
        <f t="shared" ca="1" si="84"/>
        <v>-128.87186733354071</v>
      </c>
      <c r="BZ124" s="9">
        <f t="shared" ca="1" si="85"/>
        <v>93.11982867577116</v>
      </c>
      <c r="CA124" s="6">
        <f t="shared" ca="1" si="86"/>
        <v>-213.28469318883805</v>
      </c>
      <c r="CB124" s="6">
        <f t="shared" ca="1" si="87"/>
        <v>-1.1591426014519848</v>
      </c>
      <c r="CC124" s="6">
        <f t="shared" ca="1" si="88"/>
        <v>-2.121722200014176</v>
      </c>
      <c r="CD124" s="9">
        <f t="shared" si="89"/>
        <v>43.11982867577116</v>
      </c>
      <c r="CE124" s="9">
        <f t="shared" si="90"/>
        <v>-213.28469318883805</v>
      </c>
      <c r="CF124" s="6">
        <f t="shared" si="91"/>
        <v>-1.3713148214534023</v>
      </c>
      <c r="CG124" s="6"/>
      <c r="CH124" s="6"/>
      <c r="CI124" s="6"/>
      <c r="CJ124" s="1"/>
      <c r="CK124" s="6"/>
    </row>
    <row r="125" spans="1:89" x14ac:dyDescent="0.25">
      <c r="A125" s="8" t="s">
        <v>77</v>
      </c>
      <c r="B125" s="3">
        <f ca="1">B116</f>
        <v>5334.2055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5334.2055</v>
      </c>
      <c r="G125" s="1" t="s">
        <v>130</v>
      </c>
      <c r="BC125">
        <v>4.2935099599060518</v>
      </c>
      <c r="BD125">
        <v>235.68488987982184</v>
      </c>
      <c r="BE125">
        <v>-428.26333975859484</v>
      </c>
      <c r="BF125" s="6">
        <f t="shared" si="97"/>
        <v>5.2154832318444191</v>
      </c>
      <c r="BG125" s="6">
        <f t="shared" si="98"/>
        <v>0.92197327193836731</v>
      </c>
      <c r="BH125" s="6">
        <f t="shared" si="80"/>
        <v>1.0677020753351674</v>
      </c>
      <c r="BI125" s="6">
        <f t="shared" si="81"/>
        <v>1.0677020753351674</v>
      </c>
      <c r="BJ125">
        <v>261.87209986646872</v>
      </c>
      <c r="BK125">
        <v>-475.84815528732759</v>
      </c>
      <c r="BV125" s="37"/>
      <c r="BW125" s="6">
        <f t="shared" si="82"/>
        <v>3.8397243543875295</v>
      </c>
      <c r="BX125" s="9">
        <f t="shared" ca="1" si="83"/>
        <v>-41.954726774064554</v>
      </c>
      <c r="BY125" s="9">
        <f t="shared" ca="1" si="84"/>
        <v>-159.59173949763587</v>
      </c>
      <c r="BZ125" s="9">
        <f t="shared" ca="1" si="85"/>
        <v>114.81194981434474</v>
      </c>
      <c r="CA125" s="6">
        <f t="shared" ca="1" si="86"/>
        <v>-244.00456535293321</v>
      </c>
      <c r="CB125" s="6">
        <f t="shared" ca="1" si="87"/>
        <v>-1.1309998058773685</v>
      </c>
      <c r="CC125" s="6">
        <f t="shared" ca="1" si="88"/>
        <v>-1.8017364005804826</v>
      </c>
      <c r="CD125" s="9">
        <f t="shared" si="89"/>
        <v>64.811949814344743</v>
      </c>
      <c r="CE125" s="9">
        <f t="shared" si="90"/>
        <v>-244.00456535293321</v>
      </c>
      <c r="CF125" s="6">
        <f t="shared" si="91"/>
        <v>-1.3111734459354167</v>
      </c>
      <c r="CG125" s="6"/>
      <c r="CH125" s="6"/>
      <c r="CI125" s="6"/>
      <c r="CJ125" s="1"/>
      <c r="CK125" s="6"/>
    </row>
    <row r="126" spans="1:89" x14ac:dyDescent="0.25">
      <c r="A126" s="8" t="s">
        <v>125</v>
      </c>
      <c r="B126" s="3">
        <f ca="1">B117</f>
        <v>-6021.2685000000001</v>
      </c>
      <c r="D126" s="1">
        <f ca="1">J117</f>
        <v>-511.92</v>
      </c>
      <c r="F126" s="3">
        <f ca="1">B117</f>
        <v>-6021.2685000000001</v>
      </c>
      <c r="BC126">
        <v>4.328416544945938</v>
      </c>
      <c r="BD126">
        <v>236.24524332868378</v>
      </c>
      <c r="BE126">
        <v>-428.50128121786986</v>
      </c>
      <c r="BF126" s="6">
        <f t="shared" si="97"/>
        <v>5.216252072360791</v>
      </c>
      <c r="BG126" s="6">
        <f t="shared" si="98"/>
        <v>0.88783552741485305</v>
      </c>
      <c r="BH126" s="6">
        <f t="shared" si="80"/>
        <v>1.0669332348187954</v>
      </c>
      <c r="BI126" s="6">
        <f t="shared" si="81"/>
        <v>1.0669332348187954</v>
      </c>
      <c r="BJ126">
        <v>262.49471480964866</v>
      </c>
      <c r="BK126">
        <v>-476.11253468652205</v>
      </c>
      <c r="BV126" s="37"/>
      <c r="BW126" s="6">
        <f t="shared" si="82"/>
        <v>3.8746309394274161</v>
      </c>
      <c r="BX126" s="9">
        <f t="shared" ca="1" si="83"/>
        <v>-19.437900187201137</v>
      </c>
      <c r="BY126" s="9">
        <f t="shared" ca="1" si="84"/>
        <v>-191.04468508147852</v>
      </c>
      <c r="BZ126" s="9">
        <f t="shared" ca="1" si="85"/>
        <v>137.32877640120816</v>
      </c>
      <c r="CA126" s="6">
        <f t="shared" ca="1" si="86"/>
        <v>-275.45751093677586</v>
      </c>
      <c r="CB126" s="6">
        <f t="shared" ca="1" si="87"/>
        <v>-1.1083110352404981</v>
      </c>
      <c r="CC126" s="6">
        <f t="shared" ca="1" si="88"/>
        <v>-1.5547719800389426</v>
      </c>
      <c r="CD126" s="9">
        <f t="shared" si="89"/>
        <v>87.32877640120816</v>
      </c>
      <c r="CE126" s="9">
        <f t="shared" si="90"/>
        <v>-275.45751093677586</v>
      </c>
      <c r="CF126" s="6">
        <f t="shared" si="91"/>
        <v>-1.2637882332443924</v>
      </c>
      <c r="CG126" s="6"/>
      <c r="CH126" s="6"/>
      <c r="CI126" s="6"/>
      <c r="CJ126" s="1"/>
      <c r="CK126" s="6"/>
    </row>
    <row r="127" spans="1:89" x14ac:dyDescent="0.25">
      <c r="A127" s="8" t="s">
        <v>75</v>
      </c>
      <c r="B127" s="3">
        <f ca="1">B115</f>
        <v>1705.7105000000001</v>
      </c>
      <c r="D127" s="1">
        <f ca="1">J115</f>
        <v>-170.64000000000001</v>
      </c>
      <c r="F127" s="3">
        <f ca="1">B115</f>
        <v>1705.7105000000001</v>
      </c>
      <c r="BC127">
        <v>4.3633231299858242</v>
      </c>
      <c r="BD127">
        <v>236.79000481398955</v>
      </c>
      <c r="BE127">
        <v>-428.71046866394096</v>
      </c>
      <c r="BF127" s="6">
        <f t="shared" si="97"/>
        <v>5.2170199271999422</v>
      </c>
      <c r="BG127" s="6">
        <f t="shared" si="98"/>
        <v>0.85369679721411806</v>
      </c>
      <c r="BH127" s="6">
        <f t="shared" si="80"/>
        <v>1.0661653799796442</v>
      </c>
      <c r="BI127" s="6">
        <f t="shared" si="81"/>
        <v>1.0661653799796442</v>
      </c>
      <c r="BJ127">
        <v>263.10000534887729</v>
      </c>
      <c r="BK127">
        <v>-476.34496518215661</v>
      </c>
      <c r="BV127" s="37"/>
      <c r="BW127" s="6">
        <f t="shared" si="82"/>
        <v>3.9095375244673027</v>
      </c>
      <c r="BX127" s="9">
        <f t="shared" ca="1" si="83"/>
        <v>1.6342816631017456</v>
      </c>
      <c r="BY127" s="9">
        <f t="shared" ca="1" si="84"/>
        <v>-220.19287849011215</v>
      </c>
      <c r="BZ127" s="9">
        <f t="shared" ca="1" si="85"/>
        <v>158.40095825151104</v>
      </c>
      <c r="CA127" s="6">
        <f t="shared" ca="1" si="86"/>
        <v>-304.60570434540949</v>
      </c>
      <c r="CB127" s="6">
        <f t="shared" ca="1" si="87"/>
        <v>-1.091261550586927</v>
      </c>
      <c r="CC127" s="6">
        <f t="shared" ca="1" si="88"/>
        <v>-1.3763746040104374</v>
      </c>
      <c r="CD127" s="9">
        <f t="shared" si="89"/>
        <v>108.40095825151104</v>
      </c>
      <c r="CE127" s="9">
        <f t="shared" si="90"/>
        <v>-304.60570434540949</v>
      </c>
      <c r="CF127" s="6">
        <f t="shared" si="91"/>
        <v>-1.2288990109879707</v>
      </c>
      <c r="CG127" s="6"/>
      <c r="CH127" s="6"/>
      <c r="CI127" s="6"/>
      <c r="CJ127" s="1"/>
      <c r="CK127" s="6"/>
    </row>
    <row r="128" spans="1:89" x14ac:dyDescent="0.25">
      <c r="BC128">
        <v>4.3982297150257104</v>
      </c>
      <c r="BD128">
        <v>237.3210921312326</v>
      </c>
      <c r="BE128">
        <v>-428.89339901644695</v>
      </c>
      <c r="BF128" s="6">
        <f t="shared" si="97"/>
        <v>5.2177879089489325</v>
      </c>
      <c r="BG128" s="6">
        <f t="shared" si="98"/>
        <v>0.81955819392322216</v>
      </c>
      <c r="BH128" s="6">
        <f t="shared" si="80"/>
        <v>1.0653973982306539</v>
      </c>
      <c r="BI128" s="6">
        <f t="shared" si="81"/>
        <v>1.0653973982306539</v>
      </c>
      <c r="BJ128">
        <v>263.69010236803621</v>
      </c>
      <c r="BK128">
        <v>-476.54822112938547</v>
      </c>
      <c r="BV128" s="37"/>
      <c r="BW128" s="6">
        <f t="shared" si="82"/>
        <v>3.9444441095071894</v>
      </c>
      <c r="BX128" s="9">
        <f t="shared" ca="1" si="83"/>
        <v>18.100448431198402</v>
      </c>
      <c r="BY128" s="9">
        <f t="shared" ca="1" si="84"/>
        <v>-242.91742593590629</v>
      </c>
      <c r="BZ128" s="9">
        <f t="shared" ca="1" si="85"/>
        <v>174.8671250196077</v>
      </c>
      <c r="CA128" s="6">
        <f t="shared" ca="1" si="86"/>
        <v>-327.33025179120364</v>
      </c>
      <c r="CB128" s="6">
        <f t="shared" ca="1" si="87"/>
        <v>-1.0801471419526598</v>
      </c>
      <c r="CC128" s="6">
        <f t="shared" ca="1" si="88"/>
        <v>-1.2621707594963394</v>
      </c>
      <c r="CD128" s="9">
        <f t="shared" si="89"/>
        <v>124.8671250196077</v>
      </c>
      <c r="CE128" s="9">
        <f t="shared" si="90"/>
        <v>-327.33025179120364</v>
      </c>
      <c r="CF128" s="6">
        <f t="shared" si="91"/>
        <v>-1.2063642179022938</v>
      </c>
      <c r="CG128" s="6"/>
      <c r="CH128" s="6"/>
      <c r="CI128" s="6"/>
      <c r="CJ128" s="1"/>
      <c r="CK128" s="6"/>
    </row>
    <row r="129" spans="1:89" x14ac:dyDescent="0.25">
      <c r="A129" s="14" t="s">
        <v>131</v>
      </c>
      <c r="BC129">
        <v>4.4331363000655966</v>
      </c>
      <c r="BD129">
        <v>237.8402627536754</v>
      </c>
      <c r="BE129">
        <v>-429.05217828710545</v>
      </c>
      <c r="BF129" s="6">
        <f t="shared" si="97"/>
        <v>5.2185572073202273</v>
      </c>
      <c r="BG129" s="6">
        <f t="shared" si="98"/>
        <v>0.78542090725463076</v>
      </c>
      <c r="BH129" s="6">
        <f t="shared" si="80"/>
        <v>1.0646280998593591</v>
      </c>
      <c r="BI129" s="6">
        <f t="shared" si="81"/>
        <v>1.0646280998593591</v>
      </c>
      <c r="BJ129">
        <v>264.26695861519488</v>
      </c>
      <c r="BK129">
        <v>-476.72464254122826</v>
      </c>
      <c r="BV129" s="37"/>
      <c r="BW129" s="6">
        <f t="shared" si="82"/>
        <v>3.979350694547076</v>
      </c>
      <c r="BX129" s="9">
        <f t="shared" ca="1" si="83"/>
        <v>31.617627501592409</v>
      </c>
      <c r="BY129" s="9">
        <f t="shared" ca="1" si="84"/>
        <v>-263.71521346900727</v>
      </c>
      <c r="BZ129" s="9">
        <f t="shared" ca="1" si="85"/>
        <v>188.38430409000171</v>
      </c>
      <c r="CA129" s="6">
        <f t="shared" ca="1" si="86"/>
        <v>-348.12803932430461</v>
      </c>
      <c r="CB129" s="6">
        <f t="shared" ca="1" si="87"/>
        <v>-1.0747846419280001</v>
      </c>
      <c r="CC129" s="6">
        <f t="shared" ca="1" si="88"/>
        <v>-1.1765388146864895</v>
      </c>
      <c r="CD129" s="9">
        <f t="shared" si="89"/>
        <v>138.38430409000171</v>
      </c>
      <c r="CE129" s="9">
        <f t="shared" si="90"/>
        <v>-348.12803932430461</v>
      </c>
      <c r="CF129" s="6">
        <f t="shared" si="91"/>
        <v>-1.192438523396649</v>
      </c>
      <c r="CG129" s="6"/>
      <c r="CH129" s="6"/>
      <c r="CI129" s="6"/>
      <c r="CJ129" s="1"/>
      <c r="CK129" s="6"/>
    </row>
    <row r="130" spans="1:89" x14ac:dyDescent="0.25">
      <c r="A130" s="8" t="s">
        <v>133</v>
      </c>
      <c r="B130" s="1">
        <f>U10</f>
        <v>0</v>
      </c>
      <c r="BC130">
        <v>4.4680428851054828</v>
      </c>
      <c r="BD130">
        <v>238.34913916136915</v>
      </c>
      <c r="BE130">
        <v>-429.18857583734609</v>
      </c>
      <c r="BF130" s="6">
        <f t="shared" ref="BF130:BF155" si="108">IF(BC130&lt;&gt;"",IF(AND(BD130=0,BE130=0),0,MOD(ATAN2(BD130,BE130),2*PI())),NA())</f>
        <v>5.2193290841882805</v>
      </c>
      <c r="BG130" s="6">
        <f t="shared" ref="BG130:BG155" si="109">ABS(BC130-BF130)</f>
        <v>0.7512861990827977</v>
      </c>
      <c r="BH130" s="6">
        <f t="shared" si="80"/>
        <v>1.063856222991306</v>
      </c>
      <c r="BI130" s="6">
        <f t="shared" si="81"/>
        <v>1.063856222991306</v>
      </c>
      <c r="BJ130">
        <v>264.83237684596571</v>
      </c>
      <c r="BK130">
        <v>-476.87619537482897</v>
      </c>
      <c r="BV130" s="37"/>
      <c r="BW130" s="6">
        <f t="shared" si="82"/>
        <v>4.0142572795869622</v>
      </c>
      <c r="BX130" s="9">
        <f t="shared" ca="1" si="83"/>
        <v>40.068118972003532</v>
      </c>
      <c r="BY130" s="9">
        <f t="shared" ca="1" si="84"/>
        <v>-278.63446635732373</v>
      </c>
      <c r="BZ130" s="9">
        <f t="shared" ca="1" si="85"/>
        <v>196.83479556041283</v>
      </c>
      <c r="CA130" s="6">
        <f t="shared" ca="1" si="86"/>
        <v>-363.04729221262107</v>
      </c>
      <c r="CB130" s="6">
        <f t="shared" ca="1" si="87"/>
        <v>-1.0739814247546513</v>
      </c>
      <c r="CC130" s="6">
        <f t="shared" ca="1" si="88"/>
        <v>-1.1247746102572376</v>
      </c>
      <c r="CD130" s="9">
        <f t="shared" si="89"/>
        <v>146.83479556041283</v>
      </c>
      <c r="CE130" s="9">
        <f t="shared" si="90"/>
        <v>-363.04729221262107</v>
      </c>
      <c r="CF130" s="6">
        <f t="shared" si="91"/>
        <v>-1.1864588857803751</v>
      </c>
      <c r="CG130" s="6"/>
      <c r="CH130" s="6"/>
      <c r="CI130" s="6"/>
      <c r="CJ130" s="1"/>
      <c r="CK130" s="6"/>
    </row>
    <row r="131" spans="1:89" x14ac:dyDescent="0.25">
      <c r="A131" s="8" t="s">
        <v>132</v>
      </c>
      <c r="B131">
        <f ca="1">(U10-B127)/(D127-F127)</f>
        <v>0.909057502849281</v>
      </c>
      <c r="BC131">
        <v>4.5029494701453689</v>
      </c>
      <c r="BD131">
        <v>238.84923076129726</v>
      </c>
      <c r="BE131">
        <v>-429.30406813269502</v>
      </c>
      <c r="BF131" s="6">
        <f t="shared" si="108"/>
        <v>5.2201048723671573</v>
      </c>
      <c r="BG131" s="6">
        <f t="shared" si="109"/>
        <v>0.71715540222178831</v>
      </c>
      <c r="BH131" s="6">
        <f t="shared" ref="BH131:BH155" si="110">ATAN2(COS($U$13-BF131),SIN($U$13-BF131))</f>
        <v>1.0630804348124292</v>
      </c>
      <c r="BI131" s="6">
        <f t="shared" ref="BI131:BI155" si="111">ABS(BH131)</f>
        <v>1.0630804348124292</v>
      </c>
      <c r="BJ131">
        <v>265.38803417921918</v>
      </c>
      <c r="BK131">
        <v>-477.00452014743888</v>
      </c>
      <c r="BV131" s="37"/>
      <c r="BW131" s="6">
        <f t="shared" si="82"/>
        <v>4.0491638646268484</v>
      </c>
      <c r="BX131" s="9">
        <f t="shared" ca="1" si="83"/>
        <v>48.491393955900151</v>
      </c>
      <c r="BY131" s="9">
        <f t="shared" ca="1" si="84"/>
        <v>-293.4483667370302</v>
      </c>
      <c r="BZ131" s="9">
        <f t="shared" ca="1" si="85"/>
        <v>205.25807054430945</v>
      </c>
      <c r="CA131" s="6">
        <f t="shared" ca="1" si="86"/>
        <v>-377.86119259232754</v>
      </c>
      <c r="CB131" s="6">
        <f t="shared" ca="1" si="87"/>
        <v>-1.0731809215495194</v>
      </c>
      <c r="CC131" s="6">
        <f t="shared" ca="1" si="88"/>
        <v>-1.0775946837349437</v>
      </c>
      <c r="CD131" s="9">
        <f t="shared" si="89"/>
        <v>155.25807054430945</v>
      </c>
      <c r="CE131" s="9">
        <f t="shared" si="90"/>
        <v>-377.86119259232754</v>
      </c>
      <c r="CF131" s="6">
        <f t="shared" si="91"/>
        <v>-1.1809403899230138</v>
      </c>
      <c r="CG131" s="6"/>
      <c r="CH131" s="6"/>
      <c r="CI131" s="6"/>
      <c r="CJ131" s="1"/>
      <c r="CK131" s="6"/>
    </row>
    <row r="132" spans="1:89" x14ac:dyDescent="0.25">
      <c r="A132" s="8" t="s">
        <v>77</v>
      </c>
      <c r="B132">
        <f ca="1">(B125+(B131*(D125-F125)))/12</f>
        <v>156.7666765884093</v>
      </c>
      <c r="BC132">
        <v>4.5378560551852551</v>
      </c>
      <c r="BD132">
        <v>239.34195306236873</v>
      </c>
      <c r="BE132">
        <v>-429.39987392960404</v>
      </c>
      <c r="BF132" s="6">
        <f t="shared" si="108"/>
        <v>5.2208859775019949</v>
      </c>
      <c r="BG132" s="6">
        <f t="shared" si="109"/>
        <v>0.68302992231673976</v>
      </c>
      <c r="BH132" s="6">
        <f t="shared" si="110"/>
        <v>1.0622993296775916</v>
      </c>
      <c r="BI132" s="6">
        <f t="shared" si="111"/>
        <v>1.0622993296775916</v>
      </c>
      <c r="BJ132">
        <v>265.93550340263192</v>
      </c>
      <c r="BK132">
        <v>-477.11097103289336</v>
      </c>
      <c r="BV132" s="37"/>
      <c r="BW132" s="6">
        <f t="shared" si="82"/>
        <v>4.0840704496667346</v>
      </c>
      <c r="BX132" s="9">
        <f t="shared" ca="1" si="83"/>
        <v>56.906678972345446</v>
      </c>
      <c r="BY132" s="9">
        <f t="shared" ca="1" si="84"/>
        <v>-308.1943321028885</v>
      </c>
      <c r="BZ132" s="9">
        <f t="shared" ca="1" si="85"/>
        <v>213.67335556075474</v>
      </c>
      <c r="CA132" s="6">
        <f t="shared" ca="1" si="86"/>
        <v>-392.60715795818584</v>
      </c>
      <c r="CB132" s="6">
        <f t="shared" ca="1" si="87"/>
        <v>-1.0723844913634872</v>
      </c>
      <c r="CC132" s="6">
        <f t="shared" ca="1" si="88"/>
        <v>-1.0343182919800542</v>
      </c>
      <c r="CD132" s="9">
        <f t="shared" si="89"/>
        <v>163.67335556075474</v>
      </c>
      <c r="CE132" s="9">
        <f t="shared" si="90"/>
        <v>-392.60715795818584</v>
      </c>
      <c r="CF132" s="6">
        <f t="shared" si="91"/>
        <v>-1.1758163205614927</v>
      </c>
      <c r="CG132" s="6"/>
      <c r="CH132" s="6"/>
      <c r="CI132" s="6"/>
      <c r="CJ132" s="1"/>
      <c r="CK132" s="6"/>
    </row>
    <row r="133" spans="1:89" x14ac:dyDescent="0.25">
      <c r="A133" s="8" t="s">
        <v>125</v>
      </c>
      <c r="B133">
        <f ca="1">(B126+(B131*(D126-F126)))/12</f>
        <v>-84.412825855297342</v>
      </c>
      <c r="BC133">
        <v>4.5727626402251413</v>
      </c>
      <c r="BD133">
        <v>239.8286446480204</v>
      </c>
      <c r="BE133">
        <v>-429.47698237927642</v>
      </c>
      <c r="BF133" s="6">
        <f t="shared" si="108"/>
        <v>5.221673882660304</v>
      </c>
      <c r="BG133" s="6">
        <f t="shared" si="109"/>
        <v>0.64891124243516263</v>
      </c>
      <c r="BH133" s="6">
        <f t="shared" si="110"/>
        <v>1.0615114245192825</v>
      </c>
      <c r="BI133" s="6">
        <f t="shared" si="111"/>
        <v>1.0615114245192825</v>
      </c>
      <c r="BJ133">
        <v>266.47627183113377</v>
      </c>
      <c r="BK133">
        <v>-477.19664708808489</v>
      </c>
      <c r="BV133" s="37"/>
      <c r="BW133" s="6">
        <f t="shared" si="82"/>
        <v>4.1189770347066208</v>
      </c>
      <c r="BX133" s="9">
        <f t="shared" ca="1" si="83"/>
        <v>65.333275142268064</v>
      </c>
      <c r="BY133" s="9">
        <f t="shared" ca="1" si="84"/>
        <v>-322.90917969291149</v>
      </c>
      <c r="BZ133" s="9">
        <f t="shared" ca="1" si="85"/>
        <v>222.09995173067736</v>
      </c>
      <c r="CA133" s="6">
        <f t="shared" ca="1" si="86"/>
        <v>-407.32200554820884</v>
      </c>
      <c r="CB133" s="6">
        <f t="shared" ca="1" si="87"/>
        <v>-1.0715928261609491</v>
      </c>
      <c r="CC133" s="6">
        <f t="shared" ca="1" si="88"/>
        <v>-0.99438938372945718</v>
      </c>
      <c r="CD133" s="9">
        <f t="shared" si="89"/>
        <v>172.09995173067736</v>
      </c>
      <c r="CE133" s="9">
        <f t="shared" si="90"/>
        <v>-407.32200554820884</v>
      </c>
      <c r="CF133" s="6">
        <f t="shared" si="91"/>
        <v>-1.1710317645338948</v>
      </c>
      <c r="CG133" s="6"/>
      <c r="CH133" s="6"/>
      <c r="CI133" s="6"/>
      <c r="CJ133" s="1"/>
      <c r="CK133" s="6"/>
    </row>
    <row r="134" spans="1:89" x14ac:dyDescent="0.25">
      <c r="BC134">
        <v>4.6076692252650275</v>
      </c>
      <c r="BD134">
        <v>240.31058240036919</v>
      </c>
      <c r="BE134">
        <v>-429.53617519575204</v>
      </c>
      <c r="BF134" s="6">
        <f t="shared" si="108"/>
        <v>5.2224701553703694</v>
      </c>
      <c r="BG134" s="6">
        <f t="shared" si="109"/>
        <v>0.61480093010534187</v>
      </c>
      <c r="BH134" s="6">
        <f t="shared" si="110"/>
        <v>1.060715151809217</v>
      </c>
      <c r="BI134" s="6">
        <f t="shared" si="111"/>
        <v>1.060715151809217</v>
      </c>
      <c r="BJ134">
        <v>267.01175822263241</v>
      </c>
      <c r="BK134">
        <v>-477.26241688416894</v>
      </c>
      <c r="BV134" s="37"/>
      <c r="BW134" s="6">
        <f t="shared" si="82"/>
        <v>4.153883619746507</v>
      </c>
      <c r="BX134" s="9">
        <f t="shared" ca="1" si="83"/>
        <v>73.790711046117508</v>
      </c>
      <c r="BY134" s="9">
        <f t="shared" ca="1" si="84"/>
        <v>-337.629472754392</v>
      </c>
      <c r="BZ134" s="9">
        <f t="shared" ca="1" si="85"/>
        <v>230.5573876345268</v>
      </c>
      <c r="CA134" s="6">
        <f t="shared" ca="1" si="86"/>
        <v>-422.04229860968934</v>
      </c>
      <c r="CB134" s="6">
        <f t="shared" ca="1" si="87"/>
        <v>-1.0708061278001628</v>
      </c>
      <c r="CC134" s="6">
        <f t="shared" ca="1" si="88"/>
        <v>-0.95734912221585156</v>
      </c>
      <c r="CD134" s="9">
        <f t="shared" si="89"/>
        <v>180.5573876345268</v>
      </c>
      <c r="CE134" s="9">
        <f t="shared" si="90"/>
        <v>-422.04229860968934</v>
      </c>
      <c r="CF134" s="6">
        <f t="shared" si="91"/>
        <v>-1.166541040021748</v>
      </c>
      <c r="CG134" s="6"/>
      <c r="CH134" s="6"/>
      <c r="CI134" s="6"/>
      <c r="CJ134" s="1"/>
      <c r="CK134" s="6"/>
    </row>
    <row r="135" spans="1:89" x14ac:dyDescent="0.25">
      <c r="A135" s="8"/>
      <c r="BC135">
        <v>4.6425758103049137</v>
      </c>
      <c r="BD135">
        <v>240.78899535755338</v>
      </c>
      <c r="BE135">
        <v>-429.57804375620708</v>
      </c>
      <c r="BF135" s="6">
        <f t="shared" si="108"/>
        <v>5.2232764569904377</v>
      </c>
      <c r="BG135" s="6">
        <f t="shared" si="109"/>
        <v>0.58070064668552401</v>
      </c>
      <c r="BH135" s="6">
        <f t="shared" si="110"/>
        <v>1.0599088501891487</v>
      </c>
      <c r="BI135" s="6">
        <f t="shared" si="111"/>
        <v>1.0599088501891487</v>
      </c>
      <c r="BJ135">
        <v>267.54332817505929</v>
      </c>
      <c r="BK135">
        <v>-477.30893750689677</v>
      </c>
      <c r="BV135" s="37"/>
      <c r="BW135" s="6">
        <f t="shared" si="82"/>
        <v>4.1887902047863932</v>
      </c>
      <c r="BX135" s="9">
        <f t="shared" ca="1" si="83"/>
        <v>77.12135975059536</v>
      </c>
      <c r="BY135" s="9">
        <f t="shared" ca="1" si="84"/>
        <v>-342.93180159563298</v>
      </c>
      <c r="BZ135" s="9">
        <f t="shared" ca="1" si="85"/>
        <v>233.88803633900466</v>
      </c>
      <c r="CA135" s="6">
        <f t="shared" ca="1" si="86"/>
        <v>-427.34462745093032</v>
      </c>
      <c r="CB135" s="6">
        <f t="shared" ca="1" si="87"/>
        <v>-1.0700242349736979</v>
      </c>
      <c r="CC135" s="6">
        <f t="shared" ca="1" si="88"/>
        <v>-0.94417630845694989</v>
      </c>
      <c r="CD135" s="9">
        <f t="shared" si="89"/>
        <v>183.88803633900466</v>
      </c>
      <c r="CE135" s="9">
        <f t="shared" si="90"/>
        <v>-427.34462745093032</v>
      </c>
      <c r="CF135" s="6">
        <f t="shared" si="91"/>
        <v>-1.1644418658193929</v>
      </c>
      <c r="CG135" s="6"/>
      <c r="CH135" s="6"/>
      <c r="CI135" s="6"/>
      <c r="CJ135" s="1"/>
      <c r="CK135" s="6"/>
    </row>
    <row r="136" spans="1:89" x14ac:dyDescent="0.25">
      <c r="A136" s="50" t="s">
        <v>154</v>
      </c>
      <c r="BC136">
        <v>4.6774823953447999</v>
      </c>
      <c r="BD136">
        <v>241.26507753493649</v>
      </c>
      <c r="BE136">
        <v>-429.6030017887565</v>
      </c>
      <c r="BF136" s="6">
        <f t="shared" si="108"/>
        <v>5.2240945544035071</v>
      </c>
      <c r="BG136" s="6">
        <f t="shared" si="109"/>
        <v>0.54661215905870719</v>
      </c>
      <c r="BH136" s="6">
        <f t="shared" si="110"/>
        <v>1.0590907527760793</v>
      </c>
      <c r="BI136" s="6">
        <f t="shared" si="111"/>
        <v>1.0590907527760793</v>
      </c>
      <c r="BJ136">
        <v>268.07230837215167</v>
      </c>
      <c r="BK136">
        <v>-477.33666865417388</v>
      </c>
      <c r="BV136" s="37"/>
      <c r="BW136" s="6">
        <f t="shared" si="82"/>
        <v>4.2236967898262794</v>
      </c>
      <c r="BX136" s="9">
        <f t="shared" ca="1" si="83"/>
        <v>77.742075140990721</v>
      </c>
      <c r="BY136" s="9">
        <f t="shared" ca="1" si="84"/>
        <v>-343.27600680825668</v>
      </c>
      <c r="BZ136" s="9">
        <f t="shared" ca="1" si="85"/>
        <v>234.50875172940002</v>
      </c>
      <c r="CA136" s="6">
        <f t="shared" ca="1" si="86"/>
        <v>-427.68883266355402</v>
      </c>
      <c r="CB136" s="6">
        <f t="shared" ca="1" si="87"/>
        <v>-1.0692467145615301</v>
      </c>
      <c r="CC136" s="6">
        <f t="shared" ca="1" si="88"/>
        <v>-0.94263150354933167</v>
      </c>
      <c r="CD136" s="9">
        <f t="shared" si="89"/>
        <v>184.50875172940002</v>
      </c>
      <c r="CE136" s="9">
        <f t="shared" si="90"/>
        <v>-427.68883266355402</v>
      </c>
      <c r="CF136" s="6">
        <f t="shared" si="91"/>
        <v>-1.1635098649164632</v>
      </c>
      <c r="CG136" s="6"/>
      <c r="CH136" s="6"/>
      <c r="CI136" s="6"/>
      <c r="CJ136" s="1"/>
      <c r="CK136" s="6"/>
    </row>
    <row r="137" spans="1:89" x14ac:dyDescent="0.25">
      <c r="A137" t="s">
        <v>155</v>
      </c>
      <c r="BC137">
        <v>4.7123889803846861</v>
      </c>
      <c r="BD137">
        <v>241.73999999994814</v>
      </c>
      <c r="BE137">
        <v>-429.6112941174888</v>
      </c>
      <c r="BF137" s="6">
        <f t="shared" si="108"/>
        <v>5.224926334137189</v>
      </c>
      <c r="BG137" s="6">
        <f t="shared" si="109"/>
        <v>0.51253735375250287</v>
      </c>
      <c r="BH137" s="6">
        <f t="shared" si="110"/>
        <v>1.0582589730423975</v>
      </c>
      <c r="BI137" s="6">
        <f t="shared" si="111"/>
        <v>1.0582589730423975</v>
      </c>
      <c r="BJ137">
        <v>268.59999999994238</v>
      </c>
      <c r="BK137">
        <v>-477.34588235276533</v>
      </c>
      <c r="BV137" s="37"/>
      <c r="BW137" s="6">
        <f t="shared" si="82"/>
        <v>4.2586033748661656</v>
      </c>
      <c r="BX137" s="9">
        <f t="shared" ca="1" si="83"/>
        <v>78.340160207058432</v>
      </c>
      <c r="BY137" s="9">
        <f t="shared" ca="1" si="84"/>
        <v>-343.58086333218347</v>
      </c>
      <c r="BZ137" s="9">
        <f t="shared" ca="1" si="85"/>
        <v>235.10683679546773</v>
      </c>
      <c r="CA137" s="6">
        <f t="shared" ca="1" si="86"/>
        <v>-427.99368918748081</v>
      </c>
      <c r="CB137" s="6">
        <f t="shared" ca="1" si="87"/>
        <v>-1.0684729273838407</v>
      </c>
      <c r="CC137" s="6">
        <f t="shared" ca="1" si="88"/>
        <v>-0.94118227786123221</v>
      </c>
      <c r="CD137" s="9">
        <f t="shared" si="89"/>
        <v>185.10683679546773</v>
      </c>
      <c r="CE137" s="9">
        <f t="shared" si="90"/>
        <v>-427.99368918748081</v>
      </c>
      <c r="CF137" s="6">
        <f t="shared" si="91"/>
        <v>-1.1625911551699639</v>
      </c>
      <c r="CG137" s="6"/>
      <c r="CH137" s="6"/>
      <c r="CI137" s="6"/>
      <c r="CJ137" s="1"/>
      <c r="CK137" s="6"/>
    </row>
    <row r="138" spans="1:89" ht="18" x14ac:dyDescent="0.35">
      <c r="A138" t="s">
        <v>156</v>
      </c>
      <c r="B138" t="s">
        <v>157</v>
      </c>
      <c r="BC138">
        <v>4.7472955654245723</v>
      </c>
      <c r="BD138">
        <v>242.21492246505593</v>
      </c>
      <c r="BE138">
        <v>-429.603001788585</v>
      </c>
      <c r="BF138" s="6">
        <f t="shared" si="108"/>
        <v>5.2257738191034591</v>
      </c>
      <c r="BG138" s="6">
        <f t="shared" si="109"/>
        <v>0.47847825367888674</v>
      </c>
      <c r="BH138" s="6">
        <f t="shared" si="110"/>
        <v>1.0574114880761274</v>
      </c>
      <c r="BI138" s="6">
        <f t="shared" si="111"/>
        <v>1.0574114880761274</v>
      </c>
      <c r="BJ138">
        <v>269.12769162783991</v>
      </c>
      <c r="BK138">
        <v>-477.33666865398334</v>
      </c>
      <c r="BV138" s="37"/>
      <c r="BW138" s="6">
        <f t="shared" si="82"/>
        <v>4.2935099599060518</v>
      </c>
      <c r="BX138" s="9">
        <f t="shared" ca="1" si="83"/>
        <v>78.918213291412542</v>
      </c>
      <c r="BY138" s="9">
        <f t="shared" ca="1" si="84"/>
        <v>-343.8505139032975</v>
      </c>
      <c r="BZ138" s="9">
        <f t="shared" ca="1" si="85"/>
        <v>235.68488987982184</v>
      </c>
      <c r="CA138" s="6">
        <f t="shared" ca="1" si="86"/>
        <v>-428.26333975859484</v>
      </c>
      <c r="CB138" s="6">
        <f t="shared" ca="1" si="87"/>
        <v>-1.0677020753351674</v>
      </c>
      <c r="CC138" s="6">
        <f t="shared" ca="1" si="88"/>
        <v>-0.93981775696527114</v>
      </c>
      <c r="CD138" s="9">
        <f t="shared" si="89"/>
        <v>185.68488987982184</v>
      </c>
      <c r="CE138" s="9">
        <f t="shared" si="90"/>
        <v>-428.26333975859484</v>
      </c>
      <c r="CF138" s="6">
        <f t="shared" si="91"/>
        <v>-1.1616838510316945</v>
      </c>
      <c r="CG138" s="6"/>
      <c r="CH138" s="6"/>
      <c r="CI138" s="6"/>
      <c r="CJ138" s="1"/>
      <c r="CK138" s="6"/>
    </row>
    <row r="139" spans="1:89" ht="18" x14ac:dyDescent="0.35">
      <c r="A139" t="s">
        <v>158</v>
      </c>
      <c r="B139" t="s">
        <v>159</v>
      </c>
      <c r="BC139">
        <v>4.7822021504644585</v>
      </c>
      <c r="BD139">
        <v>242.69100464241959</v>
      </c>
      <c r="BE139">
        <v>-429.57804375621561</v>
      </c>
      <c r="BF139" s="6">
        <f t="shared" si="108"/>
        <v>5.226639188257745</v>
      </c>
      <c r="BG139" s="6">
        <f t="shared" si="109"/>
        <v>0.44443703779328647</v>
      </c>
      <c r="BH139" s="6">
        <f t="shared" si="110"/>
        <v>1.0565461189218415</v>
      </c>
      <c r="BI139" s="6">
        <f t="shared" si="111"/>
        <v>1.0565461189218415</v>
      </c>
      <c r="BJ139">
        <v>269.65667182491063</v>
      </c>
      <c r="BK139">
        <v>-477.3089375069062</v>
      </c>
      <c r="BV139" s="37"/>
      <c r="BW139" s="6">
        <f t="shared" si="82"/>
        <v>4.328416544945938</v>
      </c>
      <c r="BX139" s="9">
        <f t="shared" ca="1" si="83"/>
        <v>79.478566740274488</v>
      </c>
      <c r="BY139" s="9">
        <f t="shared" ca="1" si="84"/>
        <v>-344.08845536257252</v>
      </c>
      <c r="BZ139" s="9">
        <f t="shared" ca="1" si="85"/>
        <v>236.24524332868378</v>
      </c>
      <c r="CA139" s="6">
        <f t="shared" ca="1" si="86"/>
        <v>-428.50128121786986</v>
      </c>
      <c r="CB139" s="6">
        <f t="shared" ca="1" si="87"/>
        <v>-1.066933234818795</v>
      </c>
      <c r="CC139" s="6">
        <f t="shared" ca="1" si="88"/>
        <v>-0.93852854842369604</v>
      </c>
      <c r="CD139" s="9">
        <f t="shared" si="89"/>
        <v>186.24524332868378</v>
      </c>
      <c r="CE139" s="9">
        <f t="shared" si="90"/>
        <v>-428.50128121786986</v>
      </c>
      <c r="CF139" s="6">
        <f t="shared" si="91"/>
        <v>-1.1607860896611646</v>
      </c>
      <c r="CG139" s="6"/>
      <c r="CH139" s="6"/>
      <c r="CI139" s="6"/>
      <c r="CJ139" s="1"/>
      <c r="CK139" s="6"/>
    </row>
    <row r="140" spans="1:89" ht="18" x14ac:dyDescent="0.35">
      <c r="A140" t="s">
        <v>160</v>
      </c>
      <c r="BC140">
        <v>4.8171087355043447</v>
      </c>
      <c r="BD140">
        <v>243.16941759961395</v>
      </c>
      <c r="BE140">
        <v>-429.53617519580826</v>
      </c>
      <c r="BF140" s="6">
        <f t="shared" si="108"/>
        <v>5.2275247995795677</v>
      </c>
      <c r="BG140" s="6">
        <f t="shared" si="109"/>
        <v>0.41041606407522302</v>
      </c>
      <c r="BH140" s="6">
        <f t="shared" si="110"/>
        <v>1.0556605076000187</v>
      </c>
      <c r="BI140" s="6">
        <f t="shared" si="111"/>
        <v>1.0556605076000187</v>
      </c>
      <c r="BJ140">
        <v>270.18824177734882</v>
      </c>
      <c r="BK140">
        <v>-477.26241688423136</v>
      </c>
      <c r="BV140" s="37"/>
      <c r="BW140" s="6">
        <f t="shared" si="82"/>
        <v>4.3633231299858242</v>
      </c>
      <c r="BX140" s="9">
        <f t="shared" ca="1" si="83"/>
        <v>80.023328225580258</v>
      </c>
      <c r="BY140" s="9">
        <f t="shared" ca="1" si="84"/>
        <v>-344.29764280864362</v>
      </c>
      <c r="BZ140" s="9">
        <f t="shared" ca="1" si="85"/>
        <v>236.79000481398955</v>
      </c>
      <c r="CA140" s="6">
        <f t="shared" ca="1" si="86"/>
        <v>-428.71046866394096</v>
      </c>
      <c r="CB140" s="6">
        <f t="shared" ca="1" si="87"/>
        <v>-1.0661653799796444</v>
      </c>
      <c r="CC140" s="6">
        <f t="shared" ca="1" si="88"/>
        <v>-0.93730649578009473</v>
      </c>
      <c r="CD140" s="9">
        <f t="shared" si="89"/>
        <v>186.79000481398955</v>
      </c>
      <c r="CE140" s="9">
        <f t="shared" si="90"/>
        <v>-428.71046866394096</v>
      </c>
      <c r="CF140" s="6">
        <f t="shared" si="91"/>
        <v>-1.1598960295576539</v>
      </c>
      <c r="CG140" s="6"/>
      <c r="CH140" s="6"/>
      <c r="CI140" s="6"/>
      <c r="CJ140" s="1"/>
      <c r="CK140" s="6"/>
    </row>
    <row r="141" spans="1:89" ht="18.75" x14ac:dyDescent="0.35">
      <c r="A141" t="s">
        <v>161</v>
      </c>
      <c r="B141" t="s">
        <v>162</v>
      </c>
      <c r="BC141">
        <v>4.8520153205442309</v>
      </c>
      <c r="BD141">
        <v>243.65135535197368</v>
      </c>
      <c r="BE141">
        <v>-429.47698237942365</v>
      </c>
      <c r="BF141" s="6">
        <f t="shared" si="108"/>
        <v>5.2284332169044259</v>
      </c>
      <c r="BG141" s="6">
        <f t="shared" si="109"/>
        <v>0.37641789636019496</v>
      </c>
      <c r="BH141" s="6">
        <f t="shared" si="110"/>
        <v>1.0547520902751606</v>
      </c>
      <c r="BI141" s="6">
        <f t="shared" si="111"/>
        <v>1.0547520902751606</v>
      </c>
      <c r="BJ141">
        <v>270.72372816885962</v>
      </c>
      <c r="BK141">
        <v>-477.19664708824848</v>
      </c>
      <c r="BV141" s="37"/>
      <c r="BW141" s="6">
        <f t="shared" si="82"/>
        <v>4.3982297150257104</v>
      </c>
      <c r="BX141" s="9">
        <f t="shared" ca="1" si="83"/>
        <v>80.554415542823307</v>
      </c>
      <c r="BY141" s="9">
        <f t="shared" ca="1" si="84"/>
        <v>-344.48057316114961</v>
      </c>
      <c r="BZ141" s="9">
        <f t="shared" ca="1" si="85"/>
        <v>237.3210921312326</v>
      </c>
      <c r="CA141" s="6">
        <f t="shared" ca="1" si="86"/>
        <v>-428.89339901644695</v>
      </c>
      <c r="CB141" s="6">
        <f t="shared" ca="1" si="87"/>
        <v>-1.0653973982306537</v>
      </c>
      <c r="CC141" s="6">
        <f t="shared" ca="1" si="88"/>
        <v>-0.93614447943003209</v>
      </c>
      <c r="CD141" s="9">
        <f t="shared" si="89"/>
        <v>187.3210921312326</v>
      </c>
      <c r="CE141" s="9">
        <f t="shared" si="90"/>
        <v>-428.89339901644695</v>
      </c>
      <c r="CF141" s="6">
        <f t="shared" si="91"/>
        <v>-1.1590118461736569</v>
      </c>
      <c r="CG141" s="6"/>
      <c r="CH141" s="6"/>
      <c r="CI141" s="6"/>
      <c r="CJ141" s="1"/>
      <c r="CK141" s="6"/>
    </row>
    <row r="142" spans="1:89" x14ac:dyDescent="0.25">
      <c r="BC142">
        <v>4.8869219055841171</v>
      </c>
      <c r="BD142">
        <v>244.13804693764507</v>
      </c>
      <c r="BE142">
        <v>-429.39987392962263</v>
      </c>
      <c r="BF142" s="6">
        <f t="shared" si="108"/>
        <v>5.2293672412779779</v>
      </c>
      <c r="BG142" s="6">
        <f t="shared" si="109"/>
        <v>0.34244533569386082</v>
      </c>
      <c r="BH142" s="6">
        <f t="shared" si="110"/>
        <v>1.0538180659016085</v>
      </c>
      <c r="BI142" s="6">
        <f t="shared" si="111"/>
        <v>1.0538180659016085</v>
      </c>
      <c r="BJ142">
        <v>271.26449659738341</v>
      </c>
      <c r="BK142">
        <v>-477.11097103291399</v>
      </c>
      <c r="BV142" s="37"/>
      <c r="BW142" s="6">
        <f t="shared" si="82"/>
        <v>4.4331363000655966</v>
      </c>
      <c r="BX142" s="9">
        <f t="shared" ca="1" si="83"/>
        <v>81.073586165266107</v>
      </c>
      <c r="BY142" s="9">
        <f t="shared" ca="1" si="84"/>
        <v>-344.63935243180811</v>
      </c>
      <c r="BZ142" s="9">
        <f t="shared" ca="1" si="85"/>
        <v>237.8402627536754</v>
      </c>
      <c r="CA142" s="6">
        <f t="shared" ca="1" si="86"/>
        <v>-429.05217828710545</v>
      </c>
      <c r="CB142" s="6">
        <f t="shared" ca="1" si="87"/>
        <v>-1.0646280998593589</v>
      </c>
      <c r="CC142" s="6">
        <f t="shared" ca="1" si="88"/>
        <v>-0.93503625434743221</v>
      </c>
      <c r="CD142" s="9">
        <f t="shared" si="89"/>
        <v>187.8402627536754</v>
      </c>
      <c r="CE142" s="9">
        <f t="shared" si="90"/>
        <v>-429.05217828710545</v>
      </c>
      <c r="CF142" s="6">
        <f t="shared" si="91"/>
        <v>-1.1581317252941021</v>
      </c>
      <c r="CG142" s="6"/>
      <c r="CH142" s="6"/>
      <c r="CI142" s="6"/>
      <c r="CJ142" s="1"/>
      <c r="CK142" s="6"/>
    </row>
    <row r="143" spans="1:89" x14ac:dyDescent="0.25">
      <c r="A143" t="s">
        <v>163</v>
      </c>
      <c r="B143" s="3">
        <f>B2*1000</f>
        <v>5000</v>
      </c>
      <c r="C143" t="s">
        <v>164</v>
      </c>
      <c r="BC143">
        <v>4.9218284906240033</v>
      </c>
      <c r="BD143">
        <v>244.63076923867598</v>
      </c>
      <c r="BE143">
        <v>-429.30406813255541</v>
      </c>
      <c r="BF143" s="6">
        <f t="shared" si="108"/>
        <v>5.2303299476773901</v>
      </c>
      <c r="BG143" s="6">
        <f t="shared" si="109"/>
        <v>0.30850145705338683</v>
      </c>
      <c r="BH143" s="6">
        <f t="shared" si="110"/>
        <v>1.0528553595021963</v>
      </c>
      <c r="BI143" s="6">
        <f t="shared" si="111"/>
        <v>1.0528553595021963</v>
      </c>
      <c r="BJ143">
        <v>271.81196582075108</v>
      </c>
      <c r="BK143">
        <v>-477.00452014728376</v>
      </c>
      <c r="BV143" s="37"/>
      <c r="BW143" s="6">
        <f t="shared" si="82"/>
        <v>4.4680428851054828</v>
      </c>
      <c r="BX143" s="9">
        <f t="shared" ca="1" si="83"/>
        <v>81.582462572959855</v>
      </c>
      <c r="BY143" s="9">
        <f t="shared" ca="1" si="84"/>
        <v>-344.77574998204875</v>
      </c>
      <c r="BZ143" s="9">
        <f t="shared" ca="1" si="85"/>
        <v>238.34913916136915</v>
      </c>
      <c r="CA143" s="6">
        <f t="shared" ca="1" si="86"/>
        <v>-429.18857583734609</v>
      </c>
      <c r="CB143" s="6">
        <f t="shared" ca="1" si="87"/>
        <v>-1.0638562229913056</v>
      </c>
      <c r="CC143" s="6">
        <f t="shared" ca="1" si="88"/>
        <v>-0.93397631701140238</v>
      </c>
      <c r="CD143" s="9">
        <f t="shared" si="89"/>
        <v>188.34913916136915</v>
      </c>
      <c r="CE143" s="9">
        <f t="shared" si="90"/>
        <v>-429.18857583734609</v>
      </c>
      <c r="CF143" s="6">
        <f t="shared" si="91"/>
        <v>-1.1572538546924458</v>
      </c>
      <c r="CG143" s="6"/>
      <c r="CH143" s="6"/>
      <c r="CI143" s="6"/>
      <c r="CJ143" s="1"/>
      <c r="CK143" s="6"/>
    </row>
    <row r="144" spans="1:89" x14ac:dyDescent="0.25">
      <c r="A144" t="s">
        <v>2</v>
      </c>
      <c r="B144" s="3">
        <f>B3*1000</f>
        <v>4030508.6527633211</v>
      </c>
      <c r="C144" t="s">
        <v>164</v>
      </c>
      <c r="BC144">
        <v>4.9567350756638895</v>
      </c>
      <c r="BD144">
        <v>245.13086083867435</v>
      </c>
      <c r="BE144">
        <v>-429.18857583725696</v>
      </c>
      <c r="BF144" s="6">
        <f t="shared" si="108"/>
        <v>5.2313247281585102</v>
      </c>
      <c r="BG144" s="6">
        <f t="shared" si="109"/>
        <v>0.27458965249462075</v>
      </c>
      <c r="BH144" s="6">
        <f t="shared" si="110"/>
        <v>1.0518605790210762</v>
      </c>
      <c r="BI144" s="6">
        <f t="shared" si="111"/>
        <v>1.0518605790210762</v>
      </c>
      <c r="BJ144">
        <v>272.36762315408259</v>
      </c>
      <c r="BK144">
        <v>-476.87619537472995</v>
      </c>
      <c r="BV144" s="37"/>
      <c r="BW144" s="6">
        <f t="shared" ref="BW144:BW207" si="112">IF(BC131="",NA(),BC131)</f>
        <v>4.5029494701453689</v>
      </c>
      <c r="BX144" s="9">
        <f t="shared" ref="BX144:BX207" ca="1" si="113">BD131-$BW$5</f>
        <v>82.082554172887967</v>
      </c>
      <c r="BY144" s="9">
        <f t="shared" ref="BY144:BY207" ca="1" si="114">BE131-$BX$5</f>
        <v>-344.89124227739768</v>
      </c>
      <c r="BZ144" s="9">
        <f t="shared" ref="BZ144:BZ207" ca="1" si="115">BX144-$CE$5</f>
        <v>238.84923076129726</v>
      </c>
      <c r="CA144" s="6">
        <f t="shared" ref="CA144:CA207" ca="1" si="116">BY144-$CF$5</f>
        <v>-429.30406813269502</v>
      </c>
      <c r="CB144" s="6">
        <f t="shared" ref="CB144:CB207" ca="1" si="117">ATAN2(BZ144,CA144)</f>
        <v>-1.0630804348124294</v>
      </c>
      <c r="CC144" s="6">
        <f t="shared" ref="CC144:CC207" ca="1" si="118">ATAN2(COS(CF144-CB144),SIN(CF144-CB144))*10</f>
        <v>-0.93295979564756315</v>
      </c>
      <c r="CD144" s="9">
        <f t="shared" ref="CD144:CD207" si="119">BD131-$BW$6</f>
        <v>188.84923076129726</v>
      </c>
      <c r="CE144" s="9">
        <f t="shared" ref="CE144:CE207" si="120">BE131-$BX$6</f>
        <v>-429.30406813269502</v>
      </c>
      <c r="CF144" s="6">
        <f t="shared" ref="CF144:CF207" si="121">ATAN2(CD144,CE144)</f>
        <v>-1.1563764143771857</v>
      </c>
      <c r="CG144" s="6"/>
      <c r="CH144" s="6"/>
      <c r="CI144" s="6"/>
      <c r="CJ144" s="1"/>
      <c r="CK144" s="6"/>
    </row>
    <row r="145" spans="1:89" ht="18" x14ac:dyDescent="0.35">
      <c r="A145" t="s">
        <v>156</v>
      </c>
      <c r="B145" s="1">
        <f>(2*0.85*B143)/B144</f>
        <v>2.1089149614335629E-3</v>
      </c>
      <c r="C145" t="s">
        <v>165</v>
      </c>
      <c r="BC145">
        <v>4.9916416607037757</v>
      </c>
      <c r="BD145">
        <v>245.63973724630571</v>
      </c>
      <c r="BE145">
        <v>-429.05217828707737</v>
      </c>
      <c r="BF145" s="6">
        <f t="shared" si="108"/>
        <v>5.2323553427546114</v>
      </c>
      <c r="BG145" s="6">
        <f t="shared" si="109"/>
        <v>0.24071368205083576</v>
      </c>
      <c r="BH145" s="6">
        <f t="shared" si="110"/>
        <v>1.050829964424975</v>
      </c>
      <c r="BI145" s="6">
        <f t="shared" si="111"/>
        <v>1.050829964424975</v>
      </c>
      <c r="BJ145">
        <v>272.93304138478413</v>
      </c>
      <c r="BK145">
        <v>-476.72464254119706</v>
      </c>
      <c r="BV145" s="37"/>
      <c r="BW145" s="6">
        <f t="shared" si="112"/>
        <v>4.5378560551852551</v>
      </c>
      <c r="BX145" s="9">
        <f t="shared" ca="1" si="113"/>
        <v>82.575276473959434</v>
      </c>
      <c r="BY145" s="9">
        <f t="shared" ca="1" si="114"/>
        <v>-344.9870480743067</v>
      </c>
      <c r="BZ145" s="9">
        <f t="shared" ca="1" si="115"/>
        <v>239.34195306236873</v>
      </c>
      <c r="CA145" s="6">
        <f t="shared" ca="1" si="116"/>
        <v>-429.39987392960404</v>
      </c>
      <c r="CB145" s="6">
        <f t="shared" ca="1" si="117"/>
        <v>-1.0622993296775918</v>
      </c>
      <c r="CC145" s="6">
        <f t="shared" ca="1" si="118"/>
        <v>-0.93198235921065908</v>
      </c>
      <c r="CD145" s="9">
        <f t="shared" si="119"/>
        <v>189.34195306236873</v>
      </c>
      <c r="CE145" s="9">
        <f t="shared" si="120"/>
        <v>-429.39987392960404</v>
      </c>
      <c r="CF145" s="6">
        <f t="shared" si="121"/>
        <v>-1.1554975655986577</v>
      </c>
      <c r="CG145" s="6"/>
      <c r="CH145" s="6"/>
      <c r="CI145" s="6"/>
      <c r="CJ145" s="1"/>
      <c r="CK145" s="6"/>
    </row>
    <row r="146" spans="1:89" ht="18" x14ac:dyDescent="0.35">
      <c r="A146" t="s">
        <v>166</v>
      </c>
      <c r="B146" s="1">
        <v>3.0000000000000001E-3</v>
      </c>
      <c r="C146" t="s">
        <v>165</v>
      </c>
      <c r="BC146">
        <v>5.0265482457436619</v>
      </c>
      <c r="BD146">
        <v>246.15890786879996</v>
      </c>
      <c r="BE146">
        <v>-428.89339901654591</v>
      </c>
      <c r="BF146" s="6">
        <f t="shared" si="108"/>
        <v>5.2334259797869693</v>
      </c>
      <c r="BG146" s="6">
        <f t="shared" si="109"/>
        <v>0.20687773404330745</v>
      </c>
      <c r="BH146" s="6">
        <f t="shared" si="110"/>
        <v>1.0497593273926171</v>
      </c>
      <c r="BI146" s="6">
        <f t="shared" si="111"/>
        <v>1.0497593273926171</v>
      </c>
      <c r="BJ146">
        <v>273.50989763199993</v>
      </c>
      <c r="BK146">
        <v>-476.54822112949546</v>
      </c>
      <c r="BV146" s="37"/>
      <c r="BW146" s="6">
        <f t="shared" si="112"/>
        <v>4.5727626402251413</v>
      </c>
      <c r="BX146" s="9">
        <f t="shared" ca="1" si="113"/>
        <v>83.061968059611104</v>
      </c>
      <c r="BY146" s="9">
        <f t="shared" ca="1" si="114"/>
        <v>-345.06415652397908</v>
      </c>
      <c r="BZ146" s="9">
        <f t="shared" ca="1" si="115"/>
        <v>239.8286446480204</v>
      </c>
      <c r="CA146" s="6">
        <f t="shared" ca="1" si="116"/>
        <v>-429.47698237927642</v>
      </c>
      <c r="CB146" s="6">
        <f t="shared" ca="1" si="117"/>
        <v>-1.0615114245192823</v>
      </c>
      <c r="CC146" s="6">
        <f t="shared" ca="1" si="118"/>
        <v>-0.93104014154908443</v>
      </c>
      <c r="CD146" s="9">
        <f t="shared" si="119"/>
        <v>189.8286446480204</v>
      </c>
      <c r="CE146" s="9">
        <f t="shared" si="120"/>
        <v>-429.47698237927642</v>
      </c>
      <c r="CF146" s="6">
        <f t="shared" si="121"/>
        <v>-1.1546154386741907</v>
      </c>
      <c r="CG146" s="6"/>
      <c r="CH146" s="6"/>
      <c r="CI146" s="6"/>
      <c r="CJ146" s="1"/>
      <c r="CK146" s="6"/>
    </row>
    <row r="147" spans="1:89" ht="18" x14ac:dyDescent="0.35">
      <c r="A147" t="s">
        <v>167</v>
      </c>
      <c r="B147" s="1">
        <f>B146/B145</f>
        <v>1.422532465681172</v>
      </c>
      <c r="C147" t="s">
        <v>168</v>
      </c>
      <c r="BC147">
        <v>5.0614548307835481</v>
      </c>
      <c r="BD147">
        <v>246.6899951860041</v>
      </c>
      <c r="BE147">
        <v>-428.7104686638616</v>
      </c>
      <c r="BF147" s="6">
        <f t="shared" si="108"/>
        <v>5.2345413276831456</v>
      </c>
      <c r="BG147" s="6">
        <f t="shared" si="109"/>
        <v>0.17308649689959754</v>
      </c>
      <c r="BH147" s="6">
        <f t="shared" si="110"/>
        <v>1.0486439794964408</v>
      </c>
      <c r="BI147" s="6">
        <f t="shared" si="111"/>
        <v>1.0486439794964408</v>
      </c>
      <c r="BJ147">
        <v>274.09999465111565</v>
      </c>
      <c r="BK147">
        <v>-476.34496518206845</v>
      </c>
      <c r="BV147" s="37"/>
      <c r="BW147" s="6">
        <f t="shared" si="112"/>
        <v>4.6076692252650275</v>
      </c>
      <c r="BX147" s="9">
        <f t="shared" ca="1" si="113"/>
        <v>83.543905811959888</v>
      </c>
      <c r="BY147" s="9">
        <f t="shared" ca="1" si="114"/>
        <v>-345.12334934045469</v>
      </c>
      <c r="BZ147" s="9">
        <f t="shared" ca="1" si="115"/>
        <v>240.31058240036919</v>
      </c>
      <c r="CA147" s="6">
        <f t="shared" ca="1" si="116"/>
        <v>-429.53617519575204</v>
      </c>
      <c r="CB147" s="6">
        <f t="shared" ca="1" si="117"/>
        <v>-1.060715151809217</v>
      </c>
      <c r="CC147" s="6">
        <f t="shared" ca="1" si="118"/>
        <v>-0.93012967794222645</v>
      </c>
      <c r="CD147" s="9">
        <f t="shared" si="119"/>
        <v>190.31058240036919</v>
      </c>
      <c r="CE147" s="9">
        <f t="shared" si="120"/>
        <v>-429.53617519575204</v>
      </c>
      <c r="CF147" s="6">
        <f t="shared" si="121"/>
        <v>-1.1537281196034397</v>
      </c>
      <c r="CG147" s="6"/>
      <c r="CH147" s="6"/>
      <c r="CI147" s="6"/>
      <c r="CJ147" s="1"/>
      <c r="CK147" s="6"/>
    </row>
    <row r="148" spans="1:89" ht="18" x14ac:dyDescent="0.35">
      <c r="A148" t="s">
        <v>169</v>
      </c>
      <c r="B148" s="6">
        <f>G38</f>
        <v>12.780698010535595</v>
      </c>
      <c r="C148" t="s">
        <v>4</v>
      </c>
      <c r="BC148">
        <v>5.0963614158234343</v>
      </c>
      <c r="BD148">
        <v>247.23475667140482</v>
      </c>
      <c r="BE148">
        <v>-428.50128121788407</v>
      </c>
      <c r="BF148" s="6">
        <f t="shared" si="108"/>
        <v>5.2357066609487042</v>
      </c>
      <c r="BG148" s="6">
        <f t="shared" si="109"/>
        <v>0.13934524512526991</v>
      </c>
      <c r="BH148" s="6">
        <f t="shared" si="110"/>
        <v>1.0474786462308823</v>
      </c>
      <c r="BI148" s="6">
        <f t="shared" si="111"/>
        <v>1.0474786462308823</v>
      </c>
      <c r="BJ148">
        <v>274.70528519044979</v>
      </c>
      <c r="BK148">
        <v>-476.11253468653786</v>
      </c>
      <c r="BV148" s="37"/>
      <c r="BW148" s="6">
        <f t="shared" si="112"/>
        <v>4.6425758103049137</v>
      </c>
      <c r="BX148" s="9">
        <f t="shared" ca="1" si="113"/>
        <v>84.022318769144078</v>
      </c>
      <c r="BY148" s="9">
        <f t="shared" ca="1" si="114"/>
        <v>-345.16521790090974</v>
      </c>
      <c r="BZ148" s="9">
        <f t="shared" ca="1" si="115"/>
        <v>240.78899535755338</v>
      </c>
      <c r="CA148" s="6">
        <f t="shared" ca="1" si="116"/>
        <v>-429.57804375620708</v>
      </c>
      <c r="CB148" s="6">
        <f t="shared" ca="1" si="117"/>
        <v>-1.0599088501891487</v>
      </c>
      <c r="CC148" s="6">
        <f t="shared" ca="1" si="118"/>
        <v>-0.92924785180455993</v>
      </c>
      <c r="CD148" s="9">
        <f t="shared" si="119"/>
        <v>190.78899535755338</v>
      </c>
      <c r="CE148" s="9">
        <f t="shared" si="120"/>
        <v>-429.57804375620708</v>
      </c>
      <c r="CF148" s="6">
        <f t="shared" si="121"/>
        <v>-1.1528336353696047</v>
      </c>
      <c r="CG148" s="6"/>
      <c r="CH148" s="6"/>
      <c r="CI148" s="6"/>
      <c r="CJ148" s="1"/>
      <c r="CK148" s="6"/>
    </row>
    <row r="149" spans="1:89" x14ac:dyDescent="0.25">
      <c r="B149" s="1"/>
      <c r="BC149">
        <v>5.1312680008633205</v>
      </c>
      <c r="BD149">
        <v>247.79511012016798</v>
      </c>
      <c r="BE149">
        <v>-428.26333975845506</v>
      </c>
      <c r="BF149" s="6">
        <f t="shared" si="108"/>
        <v>5.2369279436682161</v>
      </c>
      <c r="BG149" s="6">
        <f t="shared" si="109"/>
        <v>0.10565994280489566</v>
      </c>
      <c r="BH149" s="6">
        <f t="shared" si="110"/>
        <v>1.0462573635113703</v>
      </c>
      <c r="BI149" s="6">
        <f t="shared" si="111"/>
        <v>1.0462573635113703</v>
      </c>
      <c r="BJ149">
        <v>275.32790013351996</v>
      </c>
      <c r="BK149">
        <v>-475.84815528717229</v>
      </c>
      <c r="BV149" s="37"/>
      <c r="BW149" s="6">
        <f t="shared" si="112"/>
        <v>4.6774823953447999</v>
      </c>
      <c r="BX149" s="9">
        <f t="shared" ca="1" si="113"/>
        <v>84.498400946527198</v>
      </c>
      <c r="BY149" s="9">
        <f t="shared" ca="1" si="114"/>
        <v>-345.19017593345916</v>
      </c>
      <c r="BZ149" s="9">
        <f t="shared" ca="1" si="115"/>
        <v>241.26507753493649</v>
      </c>
      <c r="CA149" s="6">
        <f t="shared" ca="1" si="116"/>
        <v>-429.6030017887565</v>
      </c>
      <c r="CB149" s="6">
        <f t="shared" ca="1" si="117"/>
        <v>-1.0590907527760787</v>
      </c>
      <c r="CC149" s="6">
        <f t="shared" ca="1" si="118"/>
        <v>-0.92839184979784051</v>
      </c>
      <c r="CD149" s="9">
        <f t="shared" si="119"/>
        <v>191.26507753493649</v>
      </c>
      <c r="CE149" s="9">
        <f t="shared" si="120"/>
        <v>-429.6030017887565</v>
      </c>
      <c r="CF149" s="6">
        <f t="shared" si="121"/>
        <v>-1.1519299377558627</v>
      </c>
      <c r="CG149" s="6"/>
      <c r="CH149" s="6"/>
      <c r="CI149" s="6"/>
      <c r="CJ149" s="1"/>
      <c r="CK149" s="6"/>
    </row>
    <row r="150" spans="1:89" x14ac:dyDescent="0.25">
      <c r="A150" t="s">
        <v>170</v>
      </c>
      <c r="B150" s="49">
        <f>B28</f>
        <v>2.4760290913174838</v>
      </c>
      <c r="C150" t="s">
        <v>4</v>
      </c>
      <c r="D150" t="s">
        <v>171</v>
      </c>
      <c r="BC150">
        <v>5.1661745859032067</v>
      </c>
      <c r="BD150">
        <v>248.37316320448915</v>
      </c>
      <c r="BE150">
        <v>-427.99368918757335</v>
      </c>
      <c r="BF150" s="6">
        <f t="shared" si="108"/>
        <v>5.2382119548531181</v>
      </c>
      <c r="BG150" s="6">
        <f t="shared" si="109"/>
        <v>7.2037368949911418E-2</v>
      </c>
      <c r="BH150" s="6">
        <f t="shared" si="110"/>
        <v>1.0449733523264684</v>
      </c>
      <c r="BI150" s="6">
        <f t="shared" si="111"/>
        <v>1.0449733523264684</v>
      </c>
      <c r="BJ150">
        <v>275.97018133832125</v>
      </c>
      <c r="BK150">
        <v>-475.54854354174813</v>
      </c>
      <c r="BV150" s="37"/>
      <c r="BW150" s="6">
        <f t="shared" si="112"/>
        <v>4.7123889803846861</v>
      </c>
      <c r="BX150" s="9">
        <f t="shared" ca="1" si="113"/>
        <v>84.973323411538843</v>
      </c>
      <c r="BY150" s="9">
        <f t="shared" ca="1" si="114"/>
        <v>-345.19846826219145</v>
      </c>
      <c r="BZ150" s="9">
        <f t="shared" ca="1" si="115"/>
        <v>241.73999999994814</v>
      </c>
      <c r="CA150" s="6">
        <f t="shared" ca="1" si="116"/>
        <v>-429.6112941174888</v>
      </c>
      <c r="CB150" s="6">
        <f t="shared" ca="1" si="117"/>
        <v>-1.058258973042397</v>
      </c>
      <c r="CC150" s="6">
        <f t="shared" ca="1" si="118"/>
        <v>-0.92755912396345297</v>
      </c>
      <c r="CD150" s="9">
        <f t="shared" si="119"/>
        <v>191.73999999994814</v>
      </c>
      <c r="CE150" s="9">
        <f t="shared" si="120"/>
        <v>-429.6112941174888</v>
      </c>
      <c r="CF150" s="6">
        <f t="shared" si="121"/>
        <v>-1.1510148854387423</v>
      </c>
      <c r="CG150" s="6"/>
      <c r="CH150" s="6"/>
      <c r="CI150" s="6"/>
      <c r="CJ150" s="1"/>
      <c r="CK150" s="6"/>
    </row>
    <row r="151" spans="1:89" ht="18" x14ac:dyDescent="0.35">
      <c r="A151" t="s">
        <v>172</v>
      </c>
      <c r="B151" s="1">
        <f>(((B145/B146)*B150)-B150)*-1</f>
        <v>0.73545082610942014</v>
      </c>
      <c r="C151" t="s">
        <v>4</v>
      </c>
      <c r="D151" t="s">
        <v>173</v>
      </c>
      <c r="BC151">
        <v>5.2010811709430929</v>
      </c>
      <c r="BD151">
        <v>248.97124827057854</v>
      </c>
      <c r="BE151">
        <v>-427.68883266351315</v>
      </c>
      <c r="BF151" s="6">
        <f t="shared" si="108"/>
        <v>5.2395664412209619</v>
      </c>
      <c r="BG151" s="6">
        <f t="shared" si="109"/>
        <v>3.8485270277869077E-2</v>
      </c>
      <c r="BH151" s="6">
        <f t="shared" si="110"/>
        <v>1.0436188659586245</v>
      </c>
      <c r="BI151" s="6">
        <f t="shared" si="111"/>
        <v>1.0436188659586245</v>
      </c>
      <c r="BJ151">
        <v>276.63472030064281</v>
      </c>
      <c r="BK151">
        <v>-475.20981407057013</v>
      </c>
      <c r="BV151" s="37"/>
      <c r="BW151" s="6">
        <f t="shared" si="112"/>
        <v>4.7472955654245723</v>
      </c>
      <c r="BX151" s="9">
        <f t="shared" ca="1" si="113"/>
        <v>85.448245876646638</v>
      </c>
      <c r="BY151" s="9">
        <f t="shared" ca="1" si="114"/>
        <v>-345.19017593328766</v>
      </c>
      <c r="BZ151" s="9">
        <f t="shared" ca="1" si="115"/>
        <v>242.21492246505593</v>
      </c>
      <c r="CA151" s="6">
        <f t="shared" ca="1" si="116"/>
        <v>-429.603001788585</v>
      </c>
      <c r="CB151" s="6">
        <f t="shared" ca="1" si="117"/>
        <v>-1.0574114880761274</v>
      </c>
      <c r="CC151" s="6">
        <f t="shared" ca="1" si="118"/>
        <v>-0.9267473597603848</v>
      </c>
      <c r="CD151" s="9">
        <f t="shared" si="119"/>
        <v>192.21492246505593</v>
      </c>
      <c r="CE151" s="9">
        <f t="shared" si="120"/>
        <v>-429.603001788585</v>
      </c>
      <c r="CF151" s="6">
        <f t="shared" si="121"/>
        <v>-1.1500862240521659</v>
      </c>
      <c r="CG151" s="6"/>
      <c r="CH151" s="6"/>
      <c r="CI151" s="6"/>
      <c r="CJ151" s="1"/>
      <c r="CK151" s="6"/>
    </row>
    <row r="152" spans="1:89" x14ac:dyDescent="0.25">
      <c r="A152" t="s">
        <v>174</v>
      </c>
      <c r="B152" s="1">
        <f>B148-B151</f>
        <v>12.045247184426174</v>
      </c>
      <c r="C152" t="s">
        <v>4</v>
      </c>
      <c r="D152" t="s">
        <v>175</v>
      </c>
      <c r="BC152">
        <v>5.2359877559829791</v>
      </c>
      <c r="BD152">
        <v>249.59196366104447</v>
      </c>
      <c r="BE152">
        <v>-427.34462745118117</v>
      </c>
      <c r="BF152" s="6">
        <f t="shared" si="108"/>
        <v>5.241000304663209</v>
      </c>
      <c r="BG152" s="6">
        <f t="shared" si="109"/>
        <v>5.0125486802299335E-3</v>
      </c>
      <c r="BH152" s="6">
        <f t="shared" si="110"/>
        <v>1.0421850025163775</v>
      </c>
      <c r="BI152" s="6">
        <f t="shared" si="111"/>
        <v>1.0421850025163775</v>
      </c>
      <c r="BJ152">
        <v>277.32440406782717</v>
      </c>
      <c r="BK152">
        <v>-474.82736383464572</v>
      </c>
      <c r="BV152" s="37"/>
      <c r="BW152" s="6">
        <f t="shared" si="112"/>
        <v>4.7822021504644585</v>
      </c>
      <c r="BX152" s="9">
        <f t="shared" ca="1" si="113"/>
        <v>85.924328054010289</v>
      </c>
      <c r="BY152" s="9">
        <f t="shared" ca="1" si="114"/>
        <v>-345.16521790091826</v>
      </c>
      <c r="BZ152" s="9">
        <f t="shared" ca="1" si="115"/>
        <v>242.69100464241959</v>
      </c>
      <c r="CA152" s="6">
        <f t="shared" ca="1" si="116"/>
        <v>-429.57804375621561</v>
      </c>
      <c r="CB152" s="6">
        <f t="shared" ca="1" si="117"/>
        <v>-1.056546118921841</v>
      </c>
      <c r="CC152" s="6">
        <f t="shared" ca="1" si="118"/>
        <v>-0.92595444914419733</v>
      </c>
      <c r="CD152" s="9">
        <f t="shared" si="119"/>
        <v>192.69100464241959</v>
      </c>
      <c r="CE152" s="9">
        <f t="shared" si="120"/>
        <v>-429.57804375621561</v>
      </c>
      <c r="CF152" s="6">
        <f t="shared" si="121"/>
        <v>-1.1491415638362608</v>
      </c>
      <c r="CG152" s="6"/>
      <c r="CH152" s="6"/>
      <c r="CI152" s="6"/>
      <c r="CJ152" s="1"/>
      <c r="CK152" s="6"/>
    </row>
    <row r="153" spans="1:89" x14ac:dyDescent="0.25">
      <c r="A153" t="s">
        <v>176</v>
      </c>
      <c r="B153" s="1">
        <f>B148-B150</f>
        <v>10.304668919218111</v>
      </c>
      <c r="C153" t="s">
        <v>4</v>
      </c>
      <c r="D153" t="s">
        <v>177</v>
      </c>
      <c r="BC153">
        <v>5.2708943410228652</v>
      </c>
      <c r="BD153">
        <v>250.23822318600892</v>
      </c>
      <c r="BE153">
        <v>-426.95615451047797</v>
      </c>
      <c r="BF153" s="6">
        <f t="shared" si="108"/>
        <v>5.2425238339365814</v>
      </c>
      <c r="BG153" s="6">
        <f t="shared" si="109"/>
        <v>2.8370507086283858E-2</v>
      </c>
      <c r="BH153" s="6">
        <f t="shared" si="110"/>
        <v>1.0406614732430051</v>
      </c>
      <c r="BI153" s="6">
        <f t="shared" si="111"/>
        <v>1.0406614732430051</v>
      </c>
      <c r="BJ153">
        <v>278.04247020667657</v>
      </c>
      <c r="BK153">
        <v>-474.39572723386442</v>
      </c>
      <c r="BV153" s="37"/>
      <c r="BW153" s="6">
        <f t="shared" si="112"/>
        <v>4.8171087355043447</v>
      </c>
      <c r="BX153" s="9">
        <f t="shared" ca="1" si="113"/>
        <v>86.402741011204654</v>
      </c>
      <c r="BY153" s="9">
        <f t="shared" ca="1" si="114"/>
        <v>-345.12334934051091</v>
      </c>
      <c r="BZ153" s="9">
        <f t="shared" ca="1" si="115"/>
        <v>243.16941759961395</v>
      </c>
      <c r="CA153" s="6">
        <f t="shared" ca="1" si="116"/>
        <v>-429.53617519580826</v>
      </c>
      <c r="CB153" s="6">
        <f t="shared" ca="1" si="117"/>
        <v>-1.0556605076000185</v>
      </c>
      <c r="CC153" s="6">
        <f t="shared" ca="1" si="118"/>
        <v>-0.92517846798634507</v>
      </c>
      <c r="CD153" s="9">
        <f t="shared" si="119"/>
        <v>193.16941759961395</v>
      </c>
      <c r="CE153" s="9">
        <f t="shared" si="120"/>
        <v>-429.53617519580826</v>
      </c>
      <c r="CF153" s="6">
        <f t="shared" si="121"/>
        <v>-1.148178354398653</v>
      </c>
      <c r="CG153" s="6"/>
      <c r="CH153" s="6"/>
      <c r="CI153" s="6"/>
      <c r="CJ153" s="1"/>
      <c r="CK153" s="6"/>
    </row>
    <row r="154" spans="1:89" x14ac:dyDescent="0.25">
      <c r="BC154">
        <v>5.3058009260627514</v>
      </c>
      <c r="BD154">
        <v>250.91331582911954</v>
      </c>
      <c r="BE154">
        <v>-426.51755429064661</v>
      </c>
      <c r="BF154" s="6">
        <f t="shared" si="108"/>
        <v>5.2441489932016676</v>
      </c>
      <c r="BG154" s="6">
        <f t="shared" si="109"/>
        <v>6.1651932861083836E-2</v>
      </c>
      <c r="BH154" s="6">
        <f t="shared" si="110"/>
        <v>1.0390363139779188</v>
      </c>
      <c r="BI154" s="6">
        <f t="shared" si="111"/>
        <v>1.0390363139779188</v>
      </c>
      <c r="BJ154">
        <v>278.79257314346614</v>
      </c>
      <c r="BK154">
        <v>-473.90839365627403</v>
      </c>
      <c r="BV154" s="37"/>
      <c r="BW154" s="6">
        <f t="shared" si="112"/>
        <v>4.8520153205442309</v>
      </c>
      <c r="BX154" s="9">
        <f t="shared" ca="1" si="113"/>
        <v>86.884678763564381</v>
      </c>
      <c r="BY154" s="9">
        <f t="shared" ca="1" si="114"/>
        <v>-345.0641565241263</v>
      </c>
      <c r="BZ154" s="9">
        <f t="shared" ca="1" si="115"/>
        <v>243.65135535197368</v>
      </c>
      <c r="CA154" s="6">
        <f t="shared" ca="1" si="116"/>
        <v>-429.47698237942365</v>
      </c>
      <c r="CB154" s="6">
        <f t="shared" ca="1" si="117"/>
        <v>-1.0547520902751604</v>
      </c>
      <c r="CC154" s="6">
        <f t="shared" ca="1" si="118"/>
        <v>-0.92441765731296577</v>
      </c>
      <c r="CD154" s="9">
        <f t="shared" si="119"/>
        <v>193.65135535197368</v>
      </c>
      <c r="CE154" s="9">
        <f t="shared" si="120"/>
        <v>-429.47698237942365</v>
      </c>
      <c r="CF154" s="6">
        <f t="shared" si="121"/>
        <v>-1.147193856006457</v>
      </c>
      <c r="CG154" s="6"/>
      <c r="CH154" s="6"/>
      <c r="CI154" s="6"/>
      <c r="CJ154" s="1"/>
      <c r="CK154" s="6"/>
    </row>
    <row r="155" spans="1:89" x14ac:dyDescent="0.25">
      <c r="A155" t="s">
        <v>178</v>
      </c>
      <c r="BC155">
        <v>5.3407075111026376</v>
      </c>
      <c r="BD155">
        <v>251.62097838089042</v>
      </c>
      <c r="BE155">
        <v>-426.02181861169862</v>
      </c>
      <c r="BF155" s="6">
        <f t="shared" si="108"/>
        <v>5.2458897843069678</v>
      </c>
      <c r="BG155" s="6">
        <f t="shared" si="109"/>
        <v>9.4817726795669799E-2</v>
      </c>
      <c r="BH155" s="6">
        <f t="shared" si="110"/>
        <v>1.0372955228726186</v>
      </c>
      <c r="BI155" s="6">
        <f t="shared" si="111"/>
        <v>1.0372955228726186</v>
      </c>
      <c r="BJ155">
        <v>279.57886486765602</v>
      </c>
      <c r="BK155">
        <v>-473.35757623522068</v>
      </c>
      <c r="BV155" s="37"/>
      <c r="BW155" s="6">
        <f t="shared" si="112"/>
        <v>4.8869219055841171</v>
      </c>
      <c r="BX155" s="9">
        <f t="shared" ca="1" si="113"/>
        <v>87.371370349235775</v>
      </c>
      <c r="BY155" s="9">
        <f t="shared" ca="1" si="114"/>
        <v>-344.98704807432529</v>
      </c>
      <c r="BZ155" s="9">
        <f t="shared" ca="1" si="115"/>
        <v>244.13804693764507</v>
      </c>
      <c r="CA155" s="6">
        <f t="shared" ca="1" si="116"/>
        <v>-429.39987392962263</v>
      </c>
      <c r="CB155" s="6">
        <f t="shared" ca="1" si="117"/>
        <v>-1.0538180659016081</v>
      </c>
      <c r="CC155" s="6">
        <f t="shared" ca="1" si="118"/>
        <v>-0.92367040796696553</v>
      </c>
      <c r="CD155" s="9">
        <f t="shared" si="119"/>
        <v>194.13804693764507</v>
      </c>
      <c r="CE155" s="9">
        <f t="shared" si="120"/>
        <v>-429.39987392962263</v>
      </c>
      <c r="CF155" s="6">
        <f t="shared" si="121"/>
        <v>-1.1461851066983046</v>
      </c>
      <c r="CG155" s="6"/>
      <c r="CH155" s="6"/>
      <c r="CI155" s="6"/>
      <c r="CJ155" s="1"/>
      <c r="CK155" s="6"/>
    </row>
    <row r="156" spans="1:89" x14ac:dyDescent="0.25">
      <c r="B156" t="str">
        <f>B48</f>
        <v>xi (in)</v>
      </c>
      <c r="C156" t="str">
        <f t="shared" ref="C156:E156" si="122">C48</f>
        <v>yi (in)</v>
      </c>
      <c r="D156" t="str">
        <f t="shared" si="122"/>
        <v>xj (in)</v>
      </c>
      <c r="E156" t="str">
        <f t="shared" si="122"/>
        <v>yj (in)</v>
      </c>
      <c r="F156" s="1" t="s">
        <v>184</v>
      </c>
      <c r="G156" s="1" t="s">
        <v>185</v>
      </c>
      <c r="H156" s="1" t="s">
        <v>179</v>
      </c>
      <c r="I156" s="1" t="s">
        <v>180</v>
      </c>
      <c r="J156" s="1" t="s">
        <v>181</v>
      </c>
      <c r="K156" s="1" t="s">
        <v>182</v>
      </c>
      <c r="M156" s="1" t="s">
        <v>99</v>
      </c>
      <c r="N156" s="1" t="s">
        <v>100</v>
      </c>
      <c r="O156" s="1" t="s">
        <v>101</v>
      </c>
      <c r="P156" t="s">
        <v>186</v>
      </c>
      <c r="AB156" t="s">
        <v>187</v>
      </c>
      <c r="AS156"/>
      <c r="AT156"/>
      <c r="AU156"/>
      <c r="AV156"/>
      <c r="AW156"/>
      <c r="AX156"/>
      <c r="AY156"/>
      <c r="AZ156"/>
      <c r="BA156"/>
      <c r="BB156"/>
      <c r="BC156">
        <v>5.3756140961425238</v>
      </c>
      <c r="BD156">
        <v>252.36548452043152</v>
      </c>
      <c r="BE156">
        <v>-425.46052495220027</v>
      </c>
      <c r="BF156" s="6">
        <f t="shared" ref="BF156:BF157" si="123">IF(BC156&lt;&gt;"",IF(AND(BD156=0,BE156=0),0,MOD(ATAN2(BD156,BE156),2*PI())),NA())</f>
        <v>5.2477627056624421</v>
      </c>
      <c r="BG156" s="6">
        <f t="shared" ref="BG156:BG157" si="124">ABS(BC156-BF156)</f>
        <v>0.12785139048008176</v>
      </c>
      <c r="BH156" s="6">
        <f t="shared" ref="BH156:BH157" si="125">ATAN2(COS($U$13-BF156),SIN($U$13-BF156))</f>
        <v>1.0354226015171444</v>
      </c>
      <c r="BI156" s="6">
        <f t="shared" ref="BI156:BI157" si="126">ABS(BH156)</f>
        <v>1.0354226015171444</v>
      </c>
      <c r="BJ156">
        <v>280.40609391159057</v>
      </c>
      <c r="BK156">
        <v>-472.73391661355583</v>
      </c>
      <c r="BV156" s="37"/>
      <c r="BW156" s="6">
        <f t="shared" si="112"/>
        <v>4.9218284906240033</v>
      </c>
      <c r="BX156" s="9">
        <f t="shared" ca="1" si="113"/>
        <v>87.864092650266684</v>
      </c>
      <c r="BY156" s="9">
        <f t="shared" ca="1" si="114"/>
        <v>-344.89124227725807</v>
      </c>
      <c r="BZ156" s="9">
        <f t="shared" ca="1" si="115"/>
        <v>244.63076923867598</v>
      </c>
      <c r="CA156" s="6">
        <f t="shared" ca="1" si="116"/>
        <v>-429.30406813255541</v>
      </c>
      <c r="CB156" s="6">
        <f t="shared" ca="1" si="117"/>
        <v>-1.0528553595021963</v>
      </c>
      <c r="CC156" s="6">
        <f t="shared" ca="1" si="118"/>
        <v>-0.92293524842067542</v>
      </c>
      <c r="CD156" s="9">
        <f t="shared" si="119"/>
        <v>194.63076923867598</v>
      </c>
      <c r="CE156" s="9">
        <f t="shared" si="120"/>
        <v>-429.30406813255541</v>
      </c>
      <c r="CF156" s="6">
        <f t="shared" si="121"/>
        <v>-1.1451488843442639</v>
      </c>
      <c r="CG156" s="6"/>
      <c r="CH156" s="6"/>
      <c r="CI156" s="6"/>
      <c r="CJ156" s="1"/>
      <c r="CK156" s="6"/>
    </row>
    <row r="157" spans="1:89" x14ac:dyDescent="0.25">
      <c r="A157" s="1" t="s">
        <v>43</v>
      </c>
      <c r="B157" s="6">
        <f t="shared" ref="B157:E157" si="127">B49</f>
        <v>-6.5224038901418933</v>
      </c>
      <c r="C157" s="6">
        <f t="shared" si="127"/>
        <v>-11.724258931542833</v>
      </c>
      <c r="D157" s="6">
        <f t="shared" si="127"/>
        <v>5.4659648111491297</v>
      </c>
      <c r="E157" s="6">
        <f t="shared" si="127"/>
        <v>-12.252478471039213</v>
      </c>
      <c r="F157" s="6">
        <f>IF(E157-C157=0,0,MIN(MAX(($B$152-C157)/(E157-C157),0),1))</f>
        <v>0</v>
      </c>
      <c r="G157" s="6">
        <f>IF(E157-C157=0,0,MIN(MAX(($B$153-C157)/(E157-C157),0),1))</f>
        <v>0</v>
      </c>
      <c r="H157" s="6">
        <f>IF(AND(F157=0,G157=0),0,IF(C157&gt;E157,B157+(F157*(D157-B157)),B157+(G157*(D157-B157))))</f>
        <v>0</v>
      </c>
      <c r="I157" s="6">
        <f>IF(AND(F157=0,G157=0),0,IF(C157&gt;E157,C157+(F157*(E157-C157)),C157+(G157*(E157-C157))))</f>
        <v>0</v>
      </c>
      <c r="J157" s="6">
        <f>IF(AND(F157=0,G157=0),0,IF(C157&gt;E157,B157+(G157*(D157-B157)),B157+(F157*(D157-B157))))</f>
        <v>0</v>
      </c>
      <c r="K157" s="6">
        <f>IF(AND(F157=0,G157=0),0,IF(C157&gt;E157,C157+(G157*(E157-C157)),C157+(F157*(E157-C157))))</f>
        <v>0</v>
      </c>
      <c r="L157" s="6"/>
      <c r="M157" s="6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0</v>
      </c>
      <c r="N157" s="6">
        <f>((1/(1200*$B$150*$B$150))*17*$B$143*$B$147*(I157-K157))*Z157</f>
        <v>0</v>
      </c>
      <c r="O157" s="6">
        <f>((1/(1200*$B$150*$B$150))*17*$B$143*$B$147*(I157-K157))*AW157</f>
        <v>0</v>
      </c>
      <c r="P157" s="6">
        <f t="shared" ref="P157:P164" si="128">((2*I157*I157)*((5*$B$150*($B$147-1))+(3*$B$147*K157)-(5*$B$147*$B$148)))</f>
        <v>0</v>
      </c>
      <c r="Q157" s="6">
        <f>(I157)*((20*K157)*(($B$150*($B$147-1))-($B$147*$B$148))+((10*($B$150-$B$148))*(($B$150*($B$147-2))-($B$147*$B$148)))+(9*$B$147*K157*K157))</f>
        <v>0</v>
      </c>
      <c r="R157" s="6">
        <f t="shared" ref="R157:R164" si="129">(2*K157)*((15*K157)*(($B$150*($B$147-1))-($B$147*$B$148))+((10*($B$150-$B$148))*(($B$150*($B$147-2))-($B$147*$B$148)))+(6*$B$147*K157*K157))</f>
        <v>0</v>
      </c>
      <c r="S157" s="6">
        <f t="shared" ref="S157:S164" si="130">3*$B$147*I157*I157*I157</f>
        <v>0</v>
      </c>
      <c r="T157" s="70">
        <f>J157*(SUM(P157:S157))</f>
        <v>0</v>
      </c>
      <c r="U157" s="10">
        <f t="shared" ref="U157:U164" si="131">(I157*I157)*((30*$B$150*($B$147-1))+(9*$B$147*K157)-(30*$B$147*$B$148))</f>
        <v>0</v>
      </c>
      <c r="V157" s="10">
        <f t="shared" ref="V157:V164" si="132">I157*(((20*K157)*(($B$150*($B$147-1))-($B$147*$B$148)))+(20*($B$150-$B$148)*(($B$150*($B$147-2))-($B$147*$B$148)))+(6*$B$147*K157*K157))</f>
        <v>0</v>
      </c>
      <c r="W157" s="10">
        <f t="shared" ref="W157:W164" si="133">K157*(((10*K157)*(($B$150*($B$147-1))-($B$147*$B$148)))+(10*($B$150-$B$148)*(($B$150*($B$147-2))-($B$147*$B$148)))+(3*$B$147*K157*K157))</f>
        <v>0</v>
      </c>
      <c r="X157" s="10">
        <f t="shared" ref="X157:X164" si="134">12*$B$147*I157*I157*I157</f>
        <v>0</v>
      </c>
      <c r="Y157" s="70">
        <f t="shared" ref="Y157:Y164" si="135">H157*SUM(U157:X157)</f>
        <v>0</v>
      </c>
      <c r="Z157" s="70">
        <f t="shared" ref="Z157:Z164" si="136">T157+Y157</f>
        <v>0</v>
      </c>
      <c r="AA157" s="6"/>
      <c r="AB157" s="6">
        <f>(3*I157)*(((5*$B$150)*($B$147-1))+($B$147*K157)-(5*$B$147*$B$148))</f>
        <v>0</v>
      </c>
      <c r="AC157" s="6">
        <f>(10*($B$150-$B$148))*(($B$150*($B$147-2))-($B$147*$B$148))</f>
        <v>2020.8263913123253</v>
      </c>
      <c r="AD157" s="6">
        <f>(5*K157)*(($B$150*($B$147-1))-($B$147*$B$148))</f>
        <v>0</v>
      </c>
      <c r="AE157" s="6">
        <f>6*$B$147*I157*I157</f>
        <v>0</v>
      </c>
      <c r="AF157" s="6">
        <f>$B$147*K157*K157</f>
        <v>0</v>
      </c>
      <c r="AG157" s="6">
        <f>SUM(AB157:AF157)</f>
        <v>2020.8263913123253</v>
      </c>
      <c r="AH157" s="71">
        <f>AG157*H157*H157</f>
        <v>0</v>
      </c>
      <c r="AI157" s="6">
        <f>(2*I157)*(((5*$B$150)*($B$147-1))+(2*$B$147*K157)-(5*$B$147*$B$148))</f>
        <v>0</v>
      </c>
      <c r="AJ157" s="6">
        <f>(10*($B$150-$B$148))*(($B$150*($B$147-2))-($B$147*$B$148))</f>
        <v>2020.8263913123253</v>
      </c>
      <c r="AK157" s="6">
        <f>(10*K157)*(($B$150*($B$147-1))-($B$147*$B$148))</f>
        <v>0</v>
      </c>
      <c r="AL157" s="6">
        <f>3*$B$147*I157*I157</f>
        <v>0</v>
      </c>
      <c r="AM157" s="6">
        <f>3*$B$147*K157*K157</f>
        <v>0</v>
      </c>
      <c r="AN157" s="6">
        <f>SUM(AI157:AM157)</f>
        <v>2020.8263913123253</v>
      </c>
      <c r="AO157" s="71">
        <f>(H157*J157)*AN157</f>
        <v>0</v>
      </c>
      <c r="AP157" s="6">
        <f>(I157)*(((5*$B$150)*($B$147-1))+(3*$B$147*K157)-(5*$B$147*$B$148))</f>
        <v>0</v>
      </c>
      <c r="AQ157" s="6">
        <f>(10*($B$150-$B$148))*(($B$150*($B$147-2))-($B$147*$B$148))</f>
        <v>2020.8263913123253</v>
      </c>
      <c r="AR157" s="6">
        <f>(15*K157)*(($B$150*($B$147-1))-($B$147*$B$148))</f>
        <v>0</v>
      </c>
      <c r="AS157" s="6">
        <f>$B$147*I157*I157</f>
        <v>0</v>
      </c>
      <c r="AT157" s="6">
        <f>6*$B$147*K157*K157</f>
        <v>0</v>
      </c>
      <c r="AU157" s="6">
        <f>SUM(AP157:AT157)</f>
        <v>2020.8263913123253</v>
      </c>
      <c r="AV157" s="71">
        <f>(J157*J157)*AU157</f>
        <v>0</v>
      </c>
      <c r="AW157" s="71">
        <f>AH157+AO157+AV157</f>
        <v>0</v>
      </c>
      <c r="BA157"/>
      <c r="BC157">
        <v>5.41052068118241</v>
      </c>
      <c r="BD157">
        <v>253.15175498406725</v>
      </c>
      <c r="BE157">
        <v>-424.82349441873509</v>
      </c>
      <c r="BF157" s="6">
        <f t="shared" si="123"/>
        <v>5.2497873389586731</v>
      </c>
      <c r="BG157" s="6">
        <f t="shared" si="124"/>
        <v>0.16073334222373692</v>
      </c>
      <c r="BH157" s="6">
        <f t="shared" si="125"/>
        <v>1.0333979682209133</v>
      </c>
      <c r="BI157" s="6">
        <f t="shared" si="126"/>
        <v>1.0333979682209133</v>
      </c>
      <c r="BJ157">
        <v>281.27972776007471</v>
      </c>
      <c r="BK157">
        <v>-472.02610490970562</v>
      </c>
      <c r="BV157" s="37"/>
      <c r="BW157" s="6">
        <f t="shared" si="112"/>
        <v>4.9567350756638895</v>
      </c>
      <c r="BX157" s="9">
        <f t="shared" ca="1" si="113"/>
        <v>88.364184250265055</v>
      </c>
      <c r="BY157" s="9">
        <f t="shared" ca="1" si="114"/>
        <v>-344.77574998195962</v>
      </c>
      <c r="BZ157" s="9">
        <f t="shared" ca="1" si="115"/>
        <v>245.13086083867435</v>
      </c>
      <c r="CA157" s="6">
        <f t="shared" ca="1" si="116"/>
        <v>-429.18857583725696</v>
      </c>
      <c r="CB157" s="6">
        <f t="shared" ca="1" si="117"/>
        <v>-1.051860579021076</v>
      </c>
      <c r="CC157" s="6">
        <f t="shared" ca="1" si="118"/>
        <v>-0.92221083558167827</v>
      </c>
      <c r="CD157" s="9">
        <f t="shared" si="119"/>
        <v>195.13086083867435</v>
      </c>
      <c r="CE157" s="9">
        <f t="shared" si="120"/>
        <v>-429.18857583725696</v>
      </c>
      <c r="CF157" s="6">
        <f t="shared" si="121"/>
        <v>-1.1440816625792438</v>
      </c>
      <c r="CG157" s="6"/>
      <c r="CH157" s="6"/>
      <c r="CI157" s="6"/>
      <c r="CJ157" s="1"/>
      <c r="CK157" s="6"/>
    </row>
    <row r="158" spans="1:89" x14ac:dyDescent="0.25">
      <c r="A158" s="1" t="s">
        <v>44</v>
      </c>
      <c r="B158" s="6">
        <f t="shared" ref="B158:E158" si="137">B50</f>
        <v>5.4659648111491297</v>
      </c>
      <c r="C158" s="6">
        <f t="shared" si="137"/>
        <v>-12.252478471039213</v>
      </c>
      <c r="D158" s="6">
        <f t="shared" si="137"/>
        <v>6.170257530477639</v>
      </c>
      <c r="E158" s="6">
        <f t="shared" si="137"/>
        <v>3.7320131306821502</v>
      </c>
      <c r="F158" s="6">
        <f t="shared" ref="F158:F164" si="138">IF(E158-C158=0,0,MIN(MAX(($B$152-C158)/(E158-C158),0),1))</f>
        <v>1</v>
      </c>
      <c r="G158" s="6">
        <f t="shared" ref="G158:G164" si="139">IF(E158-C158=0,0,MIN(MAX(($B$153-C158)/(E158-C158),0),1))</f>
        <v>1</v>
      </c>
      <c r="H158" s="6">
        <f t="shared" ref="H158:H164" si="140">IF(AND(F158=0,G158=0),0,IF(C158&gt;E158,B158+(F158*(D158-B158)),B158+(G158*(D158-B158))))</f>
        <v>6.170257530477639</v>
      </c>
      <c r="I158" s="6">
        <f t="shared" ref="I158:I164" si="141">IF(AND(F158=0,G158=0),0,IF(C158&gt;E158,C158+(F158*(E158-C158)),C158+(G158*(E158-C158))))</f>
        <v>3.7320131306821498</v>
      </c>
      <c r="J158" s="6">
        <f t="shared" ref="J158:J164" si="142">IF(AND(F158=0,G158=0),0,IF(C158&gt;E158,B158+(G158*(D158-B158)),B158+(F158*(D158-B158))))</f>
        <v>6.170257530477639</v>
      </c>
      <c r="K158" s="6">
        <f t="shared" ref="K158:K164" si="143">IF(AND(F158=0,G158=0),0,IF(C158&gt;E158,C158+(G158*(E158-C158)),C158+(F158*(E158-C158))))</f>
        <v>3.7320131306821498</v>
      </c>
      <c r="L158" s="6"/>
      <c r="M158" s="6">
        <f t="shared" ref="M158:M164" si="144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0</v>
      </c>
      <c r="N158" s="6">
        <f t="shared" ref="N158:N164" si="145">((1/(1200*$B$150*$B$150))*17*$B$143*$B$147*(I158-K158))*Z158</f>
        <v>0</v>
      </c>
      <c r="O158" s="6">
        <f t="shared" ref="O158:O164" si="146">((1/(1200*$B$150*$B$150))*17*$B$143*$B$147*(I158-K158))*AW158</f>
        <v>0</v>
      </c>
      <c r="P158" s="6">
        <f t="shared" si="128"/>
        <v>-1942.862844000105</v>
      </c>
      <c r="Q158" s="6">
        <f t="shared" ref="Q158:Q164" si="147">(I158)*((20*K158)*(($B$150*($B$147-1))-($B$147*$B$148))+((10*($B$150-$B$148))*(($B$150*($B$147-2))-($B$147*$B$148)))+(9*$B$147*K158*K158))</f>
        <v>3434.1986925848896</v>
      </c>
      <c r="R158" s="6">
        <f t="shared" si="129"/>
        <v>8811.2602291698822</v>
      </c>
      <c r="S158" s="6">
        <f t="shared" si="130"/>
        <v>221.82624662152372</v>
      </c>
      <c r="T158" s="70">
        <f t="shared" ref="T158:T164" si="148">J158*(SUM(P158:S158))</f>
        <v>64938.396100909165</v>
      </c>
      <c r="U158" s="10">
        <f t="shared" si="131"/>
        <v>-6494.0672718648848</v>
      </c>
      <c r="V158" s="10">
        <f t="shared" si="132"/>
        <v>10754.123073169987</v>
      </c>
      <c r="W158" s="10">
        <f t="shared" si="133"/>
        <v>5377.0615365849935</v>
      </c>
      <c r="X158" s="10">
        <f t="shared" si="134"/>
        <v>887.30498648609489</v>
      </c>
      <c r="Y158" s="70">
        <f t="shared" si="135"/>
        <v>64938.396100909173</v>
      </c>
      <c r="Z158" s="70">
        <f t="shared" si="136"/>
        <v>129876.79220181835</v>
      </c>
      <c r="AA158" s="6"/>
      <c r="AB158" s="6">
        <f t="shared" ref="AB158:AB164" si="149">(3*I158)*(((5*$B$150)*($B$147-1))+($B$147*K158)-(5*$B$147*$B$148))</f>
        <v>-899.7682059680825</v>
      </c>
      <c r="AC158" s="6">
        <f t="shared" ref="AC158:AC164" si="150">(10*($B$150-$B$148))*(($B$150*($B$147-2))-($B$147*$B$148))</f>
        <v>2020.8263913123253</v>
      </c>
      <c r="AD158" s="6">
        <f t="shared" ref="AD158:AD164" si="151">(5*K158)*(($B$150*($B$147-1))-($B$147*$B$148))</f>
        <v>-319.73565655795761</v>
      </c>
      <c r="AE158" s="6">
        <f t="shared" ref="AE158:AE164" si="152">6*$B$147*I158*I158</f>
        <v>118.87752741158099</v>
      </c>
      <c r="AF158" s="6">
        <f t="shared" ref="AF158:AF164" si="153">$B$147*K158*K158</f>
        <v>19.812921235263499</v>
      </c>
      <c r="AG158" s="6">
        <f t="shared" ref="AG158:AG164" si="154">SUM(AB158:AF158)</f>
        <v>940.01297743312966</v>
      </c>
      <c r="AH158" s="71">
        <f t="shared" ref="AH158:AH164" si="155">AG158*H158*H158</f>
        <v>35788.247390717304</v>
      </c>
      <c r="AI158" s="6">
        <f t="shared" ref="AI158:AI164" si="156">(2*I158)*(((5*$B$150)*($B$147-1))+(2*$B$147*K158)-(5*$B$147*$B$148))</f>
        <v>-560.21962817486144</v>
      </c>
      <c r="AJ158" s="6">
        <f t="shared" ref="AJ158:AJ164" si="157">(10*($B$150-$B$148))*(($B$150*($B$147-2))-($B$147*$B$148))</f>
        <v>2020.8263913123253</v>
      </c>
      <c r="AK158" s="6">
        <f t="shared" ref="AK158:AK164" si="158">(10*K158)*(($B$150*($B$147-1))-($B$147*$B$148))</f>
        <v>-639.47131311591522</v>
      </c>
      <c r="AL158" s="6">
        <f t="shared" ref="AL158:AL164" si="159">3*$B$147*I158*I158</f>
        <v>59.438763705790493</v>
      </c>
      <c r="AM158" s="6">
        <f t="shared" ref="AM158:AM164" si="160">3*$B$147*K158*K158</f>
        <v>59.438763705790493</v>
      </c>
      <c r="AN158" s="6">
        <f t="shared" ref="AN158:AN164" si="161">SUM(AI158:AM158)</f>
        <v>940.01297743312978</v>
      </c>
      <c r="AO158" s="71">
        <f t="shared" ref="AO158:AO164" si="162">(H158*J158)*AN158</f>
        <v>35788.247390717312</v>
      </c>
      <c r="AP158" s="6">
        <f t="shared" ref="AP158:AP164" si="163">(I158)*(((5*$B$150)*($B$147-1))+(3*$B$147*K158)-(5*$B$147*$B$148))</f>
        <v>-260.29689285216716</v>
      </c>
      <c r="AQ158" s="6">
        <f t="shared" ref="AQ158:AQ164" si="164">(10*($B$150-$B$148))*(($B$150*($B$147-2))-($B$147*$B$148))</f>
        <v>2020.8263913123253</v>
      </c>
      <c r="AR158" s="6">
        <f t="shared" ref="AR158:AR164" si="165">(15*K158)*(($B$150*($B$147-1))-($B$147*$B$148))</f>
        <v>-959.206969673873</v>
      </c>
      <c r="AS158" s="6">
        <f t="shared" ref="AS158:AS164" si="166">$B$147*I158*I158</f>
        <v>19.812921235263499</v>
      </c>
      <c r="AT158" s="6">
        <f t="shared" ref="AT158:AT164" si="167">6*$B$147*K158*K158</f>
        <v>118.87752741158099</v>
      </c>
      <c r="AU158" s="6">
        <f t="shared" ref="AU158:AU164" si="168">SUM(AP158:AT158)</f>
        <v>940.01297743312978</v>
      </c>
      <c r="AV158" s="71">
        <f t="shared" ref="AV158:AV164" si="169">(J158*J158)*AU158</f>
        <v>35788.247390717312</v>
      </c>
      <c r="AW158" s="71">
        <f t="shared" ref="AW158:AW164" si="170">AH158+AO158+AV158</f>
        <v>107364.74217215193</v>
      </c>
      <c r="BC158">
        <v>5.4454272662222962</v>
      </c>
      <c r="BD158">
        <v>253.98549500242575</v>
      </c>
      <c r="BE158">
        <v>-424.09834750525448</v>
      </c>
      <c r="BF158" s="6">
        <f t="shared" ref="BF158:BF194" si="171">IF(BC158&lt;&gt;"",IF(AND(BD158=0,BE158=0),0,MOD(ATAN2(BD158,BE158),2*PI())),NA())</f>
        <v>5.2519871070213275</v>
      </c>
      <c r="BG158" s="6">
        <f t="shared" ref="BG158:BG194" si="172">ABS(BC158-BF158)</f>
        <v>0.19344015920096869</v>
      </c>
      <c r="BH158" s="6">
        <f t="shared" ref="BH158:BH194" si="173">ATAN2(COS($U$13-BF158),SIN($U$13-BF158))</f>
        <v>1.0311982001582589</v>
      </c>
      <c r="BI158" s="6">
        <f t="shared" ref="BI158:BI194" si="174">ABS(BH158)</f>
        <v>1.0311982001582589</v>
      </c>
      <c r="BJ158">
        <v>282.20610555825084</v>
      </c>
      <c r="BK158">
        <v>-471.22038611694938</v>
      </c>
      <c r="BV158" s="37"/>
      <c r="BW158" s="6">
        <f t="shared" si="112"/>
        <v>4.9916416607037757</v>
      </c>
      <c r="BX158" s="9">
        <f t="shared" ca="1" si="113"/>
        <v>88.873060657896417</v>
      </c>
      <c r="BY158" s="9">
        <f t="shared" ca="1" si="114"/>
        <v>-344.63935243178003</v>
      </c>
      <c r="BZ158" s="9">
        <f t="shared" ca="1" si="115"/>
        <v>245.63973724630571</v>
      </c>
      <c r="CA158" s="6">
        <f t="shared" ca="1" si="116"/>
        <v>-429.05217828707737</v>
      </c>
      <c r="CB158" s="6">
        <f t="shared" ca="1" si="117"/>
        <v>-1.0508299644249748</v>
      </c>
      <c r="CC158" s="6">
        <f t="shared" ca="1" si="118"/>
        <v>-0.92149594854854966</v>
      </c>
      <c r="CD158" s="9">
        <f t="shared" si="119"/>
        <v>195.63973724630571</v>
      </c>
      <c r="CE158" s="9">
        <f t="shared" si="120"/>
        <v>-429.05217828707737</v>
      </c>
      <c r="CF158" s="6">
        <f t="shared" si="121"/>
        <v>-1.1429795592798297</v>
      </c>
      <c r="CG158" s="6"/>
      <c r="CH158" s="6"/>
      <c r="CI158" s="6"/>
      <c r="CJ158" s="1"/>
      <c r="CK158" s="6"/>
    </row>
    <row r="159" spans="1:89" x14ac:dyDescent="0.25">
      <c r="A159" s="1" t="s">
        <v>45</v>
      </c>
      <c r="B159" s="6">
        <f t="shared" ref="B159:E159" si="175">B51</f>
        <v>6.170257530477639</v>
      </c>
      <c r="C159" s="6">
        <f t="shared" si="175"/>
        <v>3.7320131306821502</v>
      </c>
      <c r="D159" s="6">
        <f t="shared" si="175"/>
        <v>30.146994933059684</v>
      </c>
      <c r="E159" s="6">
        <f t="shared" si="175"/>
        <v>2.6755740516893871</v>
      </c>
      <c r="F159" s="6">
        <f t="shared" si="138"/>
        <v>0</v>
      </c>
      <c r="G159" s="6">
        <f t="shared" si="139"/>
        <v>0</v>
      </c>
      <c r="H159" s="6">
        <f t="shared" si="140"/>
        <v>0</v>
      </c>
      <c r="I159" s="6">
        <f t="shared" si="141"/>
        <v>0</v>
      </c>
      <c r="J159" s="6">
        <f t="shared" si="142"/>
        <v>0</v>
      </c>
      <c r="K159" s="6">
        <f t="shared" si="143"/>
        <v>0</v>
      </c>
      <c r="L159" s="6"/>
      <c r="M159" s="6">
        <f t="shared" si="144"/>
        <v>0</v>
      </c>
      <c r="N159" s="6">
        <f t="shared" si="145"/>
        <v>0</v>
      </c>
      <c r="O159" s="6">
        <f t="shared" si="146"/>
        <v>0</v>
      </c>
      <c r="P159" s="6">
        <f t="shared" si="128"/>
        <v>0</v>
      </c>
      <c r="Q159" s="6">
        <f t="shared" si="147"/>
        <v>0</v>
      </c>
      <c r="R159" s="6">
        <f t="shared" si="129"/>
        <v>0</v>
      </c>
      <c r="S159" s="6">
        <f t="shared" si="130"/>
        <v>0</v>
      </c>
      <c r="T159" s="70">
        <f t="shared" si="148"/>
        <v>0</v>
      </c>
      <c r="U159" s="10">
        <f t="shared" si="131"/>
        <v>0</v>
      </c>
      <c r="V159" s="10">
        <f t="shared" si="132"/>
        <v>0</v>
      </c>
      <c r="W159" s="10">
        <f t="shared" si="133"/>
        <v>0</v>
      </c>
      <c r="X159" s="10">
        <f t="shared" si="134"/>
        <v>0</v>
      </c>
      <c r="Y159" s="70">
        <f t="shared" si="135"/>
        <v>0</v>
      </c>
      <c r="Z159" s="70">
        <f t="shared" si="136"/>
        <v>0</v>
      </c>
      <c r="AA159" s="6"/>
      <c r="AB159" s="6">
        <f t="shared" si="149"/>
        <v>0</v>
      </c>
      <c r="AC159" s="6">
        <f t="shared" si="150"/>
        <v>2020.8263913123253</v>
      </c>
      <c r="AD159" s="6">
        <f t="shared" si="151"/>
        <v>0</v>
      </c>
      <c r="AE159" s="6">
        <f t="shared" si="152"/>
        <v>0</v>
      </c>
      <c r="AF159" s="6">
        <f t="shared" si="153"/>
        <v>0</v>
      </c>
      <c r="AG159" s="6">
        <f t="shared" si="154"/>
        <v>2020.8263913123253</v>
      </c>
      <c r="AH159" s="71">
        <f t="shared" si="155"/>
        <v>0</v>
      </c>
      <c r="AI159" s="6">
        <f t="shared" si="156"/>
        <v>0</v>
      </c>
      <c r="AJ159" s="6">
        <f t="shared" si="157"/>
        <v>2020.8263913123253</v>
      </c>
      <c r="AK159" s="6">
        <f t="shared" si="158"/>
        <v>0</v>
      </c>
      <c r="AL159" s="6">
        <f t="shared" si="159"/>
        <v>0</v>
      </c>
      <c r="AM159" s="6">
        <f t="shared" si="160"/>
        <v>0</v>
      </c>
      <c r="AN159" s="6">
        <f t="shared" si="161"/>
        <v>2020.8263913123253</v>
      </c>
      <c r="AO159" s="71">
        <f t="shared" si="162"/>
        <v>0</v>
      </c>
      <c r="AP159" s="6">
        <f t="shared" si="163"/>
        <v>0</v>
      </c>
      <c r="AQ159" s="6">
        <f t="shared" si="164"/>
        <v>2020.8263913123253</v>
      </c>
      <c r="AR159" s="6">
        <f t="shared" si="165"/>
        <v>0</v>
      </c>
      <c r="AS159" s="6">
        <f t="shared" si="166"/>
        <v>0</v>
      </c>
      <c r="AT159" s="6">
        <f t="shared" si="167"/>
        <v>0</v>
      </c>
      <c r="AU159" s="6">
        <f t="shared" si="168"/>
        <v>2020.8263913123253</v>
      </c>
      <c r="AV159" s="71">
        <f t="shared" si="169"/>
        <v>0</v>
      </c>
      <c r="AW159" s="71">
        <f t="shared" si="170"/>
        <v>0</v>
      </c>
      <c r="BC159">
        <v>5.4803338512621824</v>
      </c>
      <c r="BD159">
        <v>254.87336733732766</v>
      </c>
      <c r="BE159">
        <v>-423.26992141093939</v>
      </c>
      <c r="BF159" s="6">
        <f t="shared" si="171"/>
        <v>5.2543902635663624</v>
      </c>
      <c r="BG159" s="6">
        <f t="shared" si="172"/>
        <v>0.22594358769582001</v>
      </c>
      <c r="BH159" s="6">
        <f t="shared" si="173"/>
        <v>1.028795043613224</v>
      </c>
      <c r="BI159" s="6">
        <f t="shared" si="174"/>
        <v>1.028795043613224</v>
      </c>
      <c r="BJ159">
        <v>283.19263037480852</v>
      </c>
      <c r="BK159">
        <v>-470.29991267882156</v>
      </c>
      <c r="BV159" s="37"/>
      <c r="BW159" s="6">
        <f t="shared" si="112"/>
        <v>5.0265482457436619</v>
      </c>
      <c r="BX159" s="9">
        <f t="shared" ca="1" si="113"/>
        <v>89.392231280390661</v>
      </c>
      <c r="BY159" s="9">
        <f t="shared" ca="1" si="114"/>
        <v>-344.48057316124857</v>
      </c>
      <c r="BZ159" s="9">
        <f t="shared" ca="1" si="115"/>
        <v>246.15890786879996</v>
      </c>
      <c r="CA159" s="6">
        <f t="shared" ca="1" si="116"/>
        <v>-428.89339901654591</v>
      </c>
      <c r="CB159" s="6">
        <f t="shared" ca="1" si="117"/>
        <v>-1.0497593273926167</v>
      </c>
      <c r="CC159" s="6">
        <f t="shared" ca="1" si="118"/>
        <v>-0.92078948537866134</v>
      </c>
      <c r="CD159" s="9">
        <f t="shared" si="119"/>
        <v>196.15890786879996</v>
      </c>
      <c r="CE159" s="9">
        <f t="shared" si="120"/>
        <v>-428.89339901654591</v>
      </c>
      <c r="CF159" s="6">
        <f t="shared" si="121"/>
        <v>-1.1418382759304828</v>
      </c>
      <c r="CG159" s="6"/>
      <c r="CH159" s="6"/>
      <c r="CI159" s="6"/>
      <c r="CJ159" s="1"/>
      <c r="CK159" s="6"/>
    </row>
    <row r="160" spans="1:89" x14ac:dyDescent="0.25">
      <c r="A160" s="1" t="s">
        <v>46</v>
      </c>
      <c r="B160" s="6">
        <f t="shared" ref="B160:E160" si="176">B52</f>
        <v>30.146994933059684</v>
      </c>
      <c r="C160" s="6">
        <f t="shared" si="176"/>
        <v>2.6755740516893871</v>
      </c>
      <c r="D160" s="6">
        <f t="shared" si="176"/>
        <v>30.499141292723937</v>
      </c>
      <c r="E160" s="6">
        <f t="shared" si="176"/>
        <v>10.667819852550069</v>
      </c>
      <c r="F160" s="6">
        <f t="shared" si="138"/>
        <v>1</v>
      </c>
      <c r="G160" s="6">
        <f t="shared" si="139"/>
        <v>0.95456209150964166</v>
      </c>
      <c r="H160" s="6">
        <f t="shared" si="140"/>
        <v>30.483140498658301</v>
      </c>
      <c r="I160" s="6">
        <f t="shared" si="141"/>
        <v>10.304668919218111</v>
      </c>
      <c r="J160" s="6">
        <f t="shared" si="142"/>
        <v>30.499141292723937</v>
      </c>
      <c r="K160" s="6">
        <f t="shared" si="143"/>
        <v>10.667819852550069</v>
      </c>
      <c r="L160" s="6"/>
      <c r="M160" s="6">
        <f t="shared" si="144"/>
        <v>9136.3942849967243</v>
      </c>
      <c r="N160" s="6">
        <f t="shared" si="145"/>
        <v>96338.876977810593</v>
      </c>
      <c r="O160" s="6">
        <f t="shared" si="146"/>
        <v>139301.27205180525</v>
      </c>
      <c r="P160" s="6">
        <f t="shared" si="128"/>
        <v>-8526.2880876059899</v>
      </c>
      <c r="Q160" s="6">
        <f t="shared" si="147"/>
        <v>-1834.1796514827172</v>
      </c>
      <c r="R160" s="6">
        <f t="shared" si="129"/>
        <v>5340.1965669313386</v>
      </c>
      <c r="S160" s="6">
        <f t="shared" si="130"/>
        <v>4669.6633271290375</v>
      </c>
      <c r="T160" s="70">
        <f t="shared" si="148"/>
        <v>-10693.238203856503</v>
      </c>
      <c r="U160" s="10">
        <f t="shared" si="131"/>
        <v>-40081.550628500438</v>
      </c>
      <c r="V160" s="10">
        <f t="shared" si="132"/>
        <v>13985.173487377884</v>
      </c>
      <c r="W160" s="10">
        <f t="shared" si="133"/>
        <v>7239.0152725705866</v>
      </c>
      <c r="X160" s="10">
        <f t="shared" si="134"/>
        <v>18678.65330851615</v>
      </c>
      <c r="Y160" s="70">
        <f t="shared" si="135"/>
        <v>-5447.5981438847721</v>
      </c>
      <c r="Z160" s="70">
        <f t="shared" si="136"/>
        <v>-16140.836347741275</v>
      </c>
      <c r="AA160" s="6"/>
      <c r="AB160" s="6">
        <f t="shared" si="149"/>
        <v>-2179.3897392129584</v>
      </c>
      <c r="AC160" s="6">
        <f t="shared" si="150"/>
        <v>2020.8263913123253</v>
      </c>
      <c r="AD160" s="6">
        <f t="shared" si="151"/>
        <v>-913.95240722897961</v>
      </c>
      <c r="AE160" s="6">
        <f t="shared" si="152"/>
        <v>906.31991454284559</v>
      </c>
      <c r="AF160" s="6">
        <f t="shared" si="153"/>
        <v>161.88758079999022</v>
      </c>
      <c r="AG160" s="6">
        <f t="shared" si="154"/>
        <v>-4.3082597867768584</v>
      </c>
      <c r="AH160" s="71">
        <f t="shared" si="155"/>
        <v>-4003.3291494299465</v>
      </c>
      <c r="AI160" s="6">
        <f t="shared" si="156"/>
        <v>-1140.1731945087433</v>
      </c>
      <c r="AJ160" s="6">
        <f t="shared" si="157"/>
        <v>2020.8263913123253</v>
      </c>
      <c r="AK160" s="6">
        <f t="shared" si="158"/>
        <v>-1827.9048144579592</v>
      </c>
      <c r="AL160" s="6">
        <f t="shared" si="159"/>
        <v>453.1599572714228</v>
      </c>
      <c r="AM160" s="6">
        <f t="shared" si="160"/>
        <v>485.66274239997057</v>
      </c>
      <c r="AN160" s="6">
        <f t="shared" si="161"/>
        <v>-8.4289179829838758</v>
      </c>
      <c r="AO160" s="71">
        <f t="shared" si="162"/>
        <v>-7836.4460432184114</v>
      </c>
      <c r="AP160" s="6">
        <f t="shared" si="163"/>
        <v>-413.70994810442397</v>
      </c>
      <c r="AQ160" s="6">
        <f t="shared" si="164"/>
        <v>2020.8263913123253</v>
      </c>
      <c r="AR160" s="6">
        <f t="shared" si="165"/>
        <v>-2741.8572216869388</v>
      </c>
      <c r="AS160" s="6">
        <f t="shared" si="166"/>
        <v>151.05331909047428</v>
      </c>
      <c r="AT160" s="6">
        <f t="shared" si="167"/>
        <v>971.32548479994114</v>
      </c>
      <c r="AU160" s="6">
        <f t="shared" si="168"/>
        <v>-12.361974588622161</v>
      </c>
      <c r="AV160" s="71">
        <f t="shared" si="169"/>
        <v>-11499.079335812145</v>
      </c>
      <c r="AW160" s="71">
        <f t="shared" si="170"/>
        <v>-23338.854528460502</v>
      </c>
      <c r="BC160">
        <v>5.5152404363020686</v>
      </c>
      <c r="BD160">
        <v>255.82321226752265</v>
      </c>
      <c r="BE160">
        <v>-422.31949750826124</v>
      </c>
      <c r="BF160" s="6">
        <f t="shared" si="171"/>
        <v>5.2570312014275364</v>
      </c>
      <c r="BG160" s="6">
        <f t="shared" si="172"/>
        <v>0.25820923487453218</v>
      </c>
      <c r="BH160" s="6">
        <f t="shared" si="173"/>
        <v>1.02615410575205</v>
      </c>
      <c r="BI160" s="6">
        <f t="shared" si="174"/>
        <v>1.02615410575205</v>
      </c>
      <c r="BJ160">
        <v>284.24801363058072</v>
      </c>
      <c r="BK160">
        <v>-469.24388612029026</v>
      </c>
      <c r="BV160" s="37"/>
      <c r="BW160" s="6">
        <f t="shared" si="112"/>
        <v>5.0614548307835481</v>
      </c>
      <c r="BX160" s="9">
        <f t="shared" ca="1" si="113"/>
        <v>89.9233185975948</v>
      </c>
      <c r="BY160" s="9">
        <f t="shared" ca="1" si="114"/>
        <v>-344.29764280856426</v>
      </c>
      <c r="BZ160" s="9">
        <f t="shared" ca="1" si="115"/>
        <v>246.6899951860041</v>
      </c>
      <c r="CA160" s="6">
        <f t="shared" ca="1" si="116"/>
        <v>-428.7104686638616</v>
      </c>
      <c r="CB160" s="6">
        <f t="shared" ca="1" si="117"/>
        <v>-1.0486439794964408</v>
      </c>
      <c r="CC160" s="6">
        <f t="shared" ca="1" si="118"/>
        <v>-0.9200904630787976</v>
      </c>
      <c r="CD160" s="9">
        <f t="shared" si="119"/>
        <v>196.6899951860041</v>
      </c>
      <c r="CE160" s="9">
        <f t="shared" si="120"/>
        <v>-428.7104686638616</v>
      </c>
      <c r="CF160" s="6">
        <f t="shared" si="121"/>
        <v>-1.1406530258043206</v>
      </c>
      <c r="CG160" s="6"/>
      <c r="CH160" s="6"/>
      <c r="CI160" s="6"/>
      <c r="CJ160" s="1"/>
      <c r="CK160" s="6"/>
    </row>
    <row r="161" spans="1:89" x14ac:dyDescent="0.25">
      <c r="A161" s="1" t="s">
        <v>47</v>
      </c>
      <c r="B161" s="6">
        <f t="shared" ref="B161:E161" si="177">B53</f>
        <v>30.499141292723937</v>
      </c>
      <c r="C161" s="6">
        <f t="shared" si="177"/>
        <v>10.667819852550069</v>
      </c>
      <c r="D161" s="6">
        <f t="shared" si="177"/>
        <v>-17.454333512440154</v>
      </c>
      <c r="E161" s="6">
        <f t="shared" si="177"/>
        <v>12.780698010535595</v>
      </c>
      <c r="F161" s="6">
        <f t="shared" si="138"/>
        <v>0.65191990682007928</v>
      </c>
      <c r="G161" s="6">
        <f t="shared" si="139"/>
        <v>0</v>
      </c>
      <c r="H161" s="6">
        <f>IF(AND(F161=0,G161=0),0,IF(C161&gt;E161,B161+(F161*(D161-B161)),B161+(G161*(D161-B161))))</f>
        <v>30.499141292723937</v>
      </c>
      <c r="I161" s="6">
        <f t="shared" si="141"/>
        <v>10.667819852550069</v>
      </c>
      <c r="J161" s="6">
        <f t="shared" si="142"/>
        <v>-0.76268353395765587</v>
      </c>
      <c r="K161" s="6">
        <f t="shared" si="143"/>
        <v>12.045247184426174</v>
      </c>
      <c r="L161" s="6"/>
      <c r="M161" s="6">
        <f t="shared" si="144"/>
        <v>59319.146488369253</v>
      </c>
      <c r="N161" s="6">
        <f t="shared" si="145"/>
        <v>664172.16111438954</v>
      </c>
      <c r="O161" s="6">
        <f t="shared" si="146"/>
        <v>548650.98923192406</v>
      </c>
      <c r="P161" s="6">
        <f t="shared" si="128"/>
        <v>-7799.9037072985911</v>
      </c>
      <c r="Q161" s="6">
        <f t="shared" si="147"/>
        <v>-2661.5099559249225</v>
      </c>
      <c r="R161" s="6">
        <f t="shared" si="129"/>
        <v>3933.8605867405881</v>
      </c>
      <c r="S161" s="6">
        <f t="shared" si="130"/>
        <v>5180.9626450183159</v>
      </c>
      <c r="T161" s="70">
        <f t="shared" si="148"/>
        <v>1027.022349062993</v>
      </c>
      <c r="U161" s="10">
        <f t="shared" si="131"/>
        <v>-40949.494463317584</v>
      </c>
      <c r="V161" s="10">
        <f t="shared" si="132"/>
        <v>12291.032343949177</v>
      </c>
      <c r="W161" s="10">
        <f t="shared" si="133"/>
        <v>6939.0243171033144</v>
      </c>
      <c r="X161" s="10">
        <f t="shared" si="134"/>
        <v>20723.850580073264</v>
      </c>
      <c r="Y161" s="70">
        <f t="shared" si="135"/>
        <v>-30364.555358859132</v>
      </c>
      <c r="Z161" s="70">
        <f t="shared" si="136"/>
        <v>-29337.533009796138</v>
      </c>
      <c r="AA161" s="6"/>
      <c r="AB161" s="6">
        <f t="shared" si="149"/>
        <v>-2193.4857773495514</v>
      </c>
      <c r="AC161" s="6">
        <f t="shared" si="150"/>
        <v>2020.8263913123253</v>
      </c>
      <c r="AD161" s="6">
        <f t="shared" si="151"/>
        <v>-1031.9618077580133</v>
      </c>
      <c r="AE161" s="6">
        <f t="shared" si="152"/>
        <v>971.32548479994114</v>
      </c>
      <c r="AF161" s="6">
        <f t="shared" si="153"/>
        <v>206.39236155160259</v>
      </c>
      <c r="AG161" s="6">
        <f t="shared" si="154"/>
        <v>-26.903347443695651</v>
      </c>
      <c r="AH161" s="71">
        <f t="shared" si="155"/>
        <v>-25025.429751223601</v>
      </c>
      <c r="AI161" s="6">
        <f t="shared" si="156"/>
        <v>-1096.7428886747759</v>
      </c>
      <c r="AJ161" s="6">
        <f t="shared" si="157"/>
        <v>2020.8263913123253</v>
      </c>
      <c r="AK161" s="6">
        <f t="shared" si="158"/>
        <v>-2063.9236155160265</v>
      </c>
      <c r="AL161" s="6">
        <f t="shared" si="159"/>
        <v>485.66274239997057</v>
      </c>
      <c r="AM161" s="6">
        <f t="shared" si="160"/>
        <v>619.1770846548078</v>
      </c>
      <c r="AN161" s="6">
        <f t="shared" si="161"/>
        <v>-35.000285823698846</v>
      </c>
      <c r="AO161" s="71">
        <f t="shared" si="162"/>
        <v>814.1483988334835</v>
      </c>
      <c r="AP161" s="6">
        <f t="shared" si="163"/>
        <v>-365.58096289159204</v>
      </c>
      <c r="AQ161" s="6">
        <f t="shared" si="164"/>
        <v>2020.8263913123253</v>
      </c>
      <c r="AR161" s="6">
        <f t="shared" si="165"/>
        <v>-3095.8854232740396</v>
      </c>
      <c r="AS161" s="6">
        <f t="shared" si="166"/>
        <v>161.88758079999022</v>
      </c>
      <c r="AT161" s="6">
        <f t="shared" si="167"/>
        <v>1238.3541693096156</v>
      </c>
      <c r="AU161" s="6">
        <f t="shared" si="168"/>
        <v>-40.398244743700388</v>
      </c>
      <c r="AV161" s="71">
        <f t="shared" si="169"/>
        <v>-23.499100379674104</v>
      </c>
      <c r="AW161" s="71">
        <f t="shared" si="170"/>
        <v>-24234.780452769792</v>
      </c>
      <c r="BC161">
        <v>5.5501470213419548</v>
      </c>
      <c r="BD161">
        <v>256.84433020168234</v>
      </c>
      <c r="BE161">
        <v>-421.22376504261752</v>
      </c>
      <c r="BF161" s="6">
        <f t="shared" si="171"/>
        <v>5.2599522045448657</v>
      </c>
      <c r="BG161" s="6">
        <f t="shared" si="172"/>
        <v>0.29019481679708914</v>
      </c>
      <c r="BH161" s="6">
        <f t="shared" si="173"/>
        <v>1.0232331026347208</v>
      </c>
      <c r="BI161" s="6">
        <f t="shared" si="174"/>
        <v>1.0232331026347208</v>
      </c>
      <c r="BJ161">
        <v>285.38258911298038</v>
      </c>
      <c r="BK161">
        <v>-468.02640560290831</v>
      </c>
      <c r="BV161" s="37"/>
      <c r="BW161" s="6">
        <f t="shared" si="112"/>
        <v>5.0963614158234343</v>
      </c>
      <c r="BX161" s="9">
        <f t="shared" ca="1" si="113"/>
        <v>90.468080082995527</v>
      </c>
      <c r="BY161" s="9">
        <f t="shared" ca="1" si="114"/>
        <v>-344.08845536258673</v>
      </c>
      <c r="BZ161" s="9">
        <f t="shared" ca="1" si="115"/>
        <v>247.23475667140482</v>
      </c>
      <c r="CA161" s="6">
        <f t="shared" ca="1" si="116"/>
        <v>-428.50128121788407</v>
      </c>
      <c r="CB161" s="6">
        <f t="shared" ca="1" si="117"/>
        <v>-1.0474786462308823</v>
      </c>
      <c r="CC161" s="6">
        <f t="shared" ca="1" si="118"/>
        <v>-0.91939802115223568</v>
      </c>
      <c r="CD161" s="9">
        <f t="shared" si="119"/>
        <v>197.23475667140482</v>
      </c>
      <c r="CE161" s="9">
        <f t="shared" si="120"/>
        <v>-428.50128121788407</v>
      </c>
      <c r="CF161" s="6">
        <f t="shared" si="121"/>
        <v>-1.1394184483461058</v>
      </c>
      <c r="CG161" s="6"/>
      <c r="CH161" s="6"/>
      <c r="CI161" s="6"/>
      <c r="CJ161" s="1"/>
      <c r="CK161" s="6"/>
    </row>
    <row r="162" spans="1:89" x14ac:dyDescent="0.25">
      <c r="A162" s="1" t="s">
        <v>48</v>
      </c>
      <c r="B162" s="6">
        <f t="shared" ref="B162:E162" si="178">B54</f>
        <v>-17.454333512440154</v>
      </c>
      <c r="C162" s="6">
        <f t="shared" si="178"/>
        <v>12.780698010535595</v>
      </c>
      <c r="D162" s="6">
        <f t="shared" si="178"/>
        <v>-17.806479872104408</v>
      </c>
      <c r="E162" s="6">
        <f t="shared" si="178"/>
        <v>4.7884522096749134</v>
      </c>
      <c r="F162" s="6">
        <f t="shared" si="138"/>
        <v>9.2020546468956285E-2</v>
      </c>
      <c r="G162" s="6">
        <f t="shared" si="139"/>
        <v>0.30980392157744213</v>
      </c>
      <c r="H162" s="6">
        <f t="shared" si="140"/>
        <v>-17.486738212893513</v>
      </c>
      <c r="I162" s="6">
        <f t="shared" si="141"/>
        <v>12.045247184426174</v>
      </c>
      <c r="J162" s="6">
        <f t="shared" si="142"/>
        <v>-17.563429835633361</v>
      </c>
      <c r="K162" s="6">
        <f t="shared" si="143"/>
        <v>10.304668919218111</v>
      </c>
      <c r="L162" s="6"/>
      <c r="M162" s="6">
        <f t="shared" si="144"/>
        <v>86380.100735173357</v>
      </c>
      <c r="N162" s="6">
        <f t="shared" si="145"/>
        <v>984048.83060401457</v>
      </c>
      <c r="O162" s="6">
        <f t="shared" si="146"/>
        <v>-756496.08343714895</v>
      </c>
      <c r="P162" s="6">
        <f t="shared" si="128"/>
        <v>-12099.640399196149</v>
      </c>
      <c r="Q162" s="6">
        <f t="shared" si="147"/>
        <v>-1819.4745664727675</v>
      </c>
      <c r="R162" s="6">
        <f t="shared" si="129"/>
        <v>5742.3101257168564</v>
      </c>
      <c r="S162" s="6">
        <f t="shared" si="130"/>
        <v>7458.1410355995304</v>
      </c>
      <c r="T162" s="70">
        <f t="shared" si="148"/>
        <v>12622.201303154985</v>
      </c>
      <c r="U162" s="10">
        <f t="shared" si="131"/>
        <v>-55440.165776791866</v>
      </c>
      <c r="V162" s="10">
        <f t="shared" si="132"/>
        <v>17063.455134277829</v>
      </c>
      <c r="W162" s="10">
        <f t="shared" si="133"/>
        <v>7298.8645680932123</v>
      </c>
      <c r="X162" s="10">
        <f t="shared" si="134"/>
        <v>29832.564142398121</v>
      </c>
      <c r="Y162" s="70">
        <f t="shared" si="135"/>
        <v>21775.919146527256</v>
      </c>
      <c r="Z162" s="70">
        <f t="shared" si="136"/>
        <v>34398.120449682239</v>
      </c>
      <c r="AA162" s="6"/>
      <c r="AB162" s="6">
        <f t="shared" si="149"/>
        <v>-2566.1814859414794</v>
      </c>
      <c r="AC162" s="6">
        <f t="shared" si="150"/>
        <v>2020.8263913123253</v>
      </c>
      <c r="AD162" s="6">
        <f t="shared" si="151"/>
        <v>-882.83989555426717</v>
      </c>
      <c r="AE162" s="6">
        <f t="shared" si="152"/>
        <v>1238.3541693096156</v>
      </c>
      <c r="AF162" s="6">
        <f t="shared" si="153"/>
        <v>151.05331909047428</v>
      </c>
      <c r="AG162" s="6">
        <f t="shared" si="154"/>
        <v>-38.787501783331521</v>
      </c>
      <c r="AH162" s="71">
        <f t="shared" si="155"/>
        <v>-11860.675537210542</v>
      </c>
      <c r="AI162" s="6">
        <f t="shared" si="156"/>
        <v>-1357.6516990726129</v>
      </c>
      <c r="AJ162" s="6">
        <f t="shared" si="157"/>
        <v>2020.8263913123253</v>
      </c>
      <c r="AK162" s="6">
        <f t="shared" si="158"/>
        <v>-1765.6797911085343</v>
      </c>
      <c r="AL162" s="6">
        <f t="shared" si="159"/>
        <v>619.1770846548078</v>
      </c>
      <c r="AM162" s="6">
        <f t="shared" si="160"/>
        <v>453.1599572714228</v>
      </c>
      <c r="AN162" s="6">
        <f t="shared" si="161"/>
        <v>-30.168056942591363</v>
      </c>
      <c r="AO162" s="71">
        <f t="shared" si="162"/>
        <v>-9265.4278310424997</v>
      </c>
      <c r="AP162" s="6">
        <f t="shared" si="163"/>
        <v>-502.25787042545306</v>
      </c>
      <c r="AQ162" s="6">
        <f t="shared" si="164"/>
        <v>2020.8263913123253</v>
      </c>
      <c r="AR162" s="6">
        <f t="shared" si="165"/>
        <v>-2648.5196866628016</v>
      </c>
      <c r="AS162" s="6">
        <f t="shared" si="166"/>
        <v>206.39236155160259</v>
      </c>
      <c r="AT162" s="6">
        <f t="shared" si="167"/>
        <v>906.31991454284559</v>
      </c>
      <c r="AU162" s="6">
        <f t="shared" si="168"/>
        <v>-17.238889681481282</v>
      </c>
      <c r="AV162" s="71">
        <f t="shared" si="169"/>
        <v>-5317.7504208027749</v>
      </c>
      <c r="AW162" s="71">
        <f t="shared" si="170"/>
        <v>-26443.853789055815</v>
      </c>
      <c r="BC162">
        <v>5.585053606381841</v>
      </c>
      <c r="BD162">
        <v>257.94784885931932</v>
      </c>
      <c r="BE162">
        <v>-419.95341306462853</v>
      </c>
      <c r="BF162" s="6">
        <f t="shared" si="171"/>
        <v>5.2632058282579326</v>
      </c>
      <c r="BG162" s="6">
        <f t="shared" si="172"/>
        <v>0.32184777812390841</v>
      </c>
      <c r="BH162" s="6">
        <f t="shared" si="173"/>
        <v>1.0199794789216539</v>
      </c>
      <c r="BI162" s="6">
        <f t="shared" si="174"/>
        <v>1.0199794789216539</v>
      </c>
      <c r="BJ162">
        <v>286.60872095479925</v>
      </c>
      <c r="BK162">
        <v>-466.6149034051428</v>
      </c>
      <c r="BV162" s="37"/>
      <c r="BW162" s="6">
        <f t="shared" si="112"/>
        <v>5.1312680008633205</v>
      </c>
      <c r="BX162" s="9">
        <f t="shared" ca="1" si="113"/>
        <v>91.028433531758679</v>
      </c>
      <c r="BY162" s="9">
        <f t="shared" ca="1" si="114"/>
        <v>-343.85051390315772</v>
      </c>
      <c r="BZ162" s="9">
        <f t="shared" ca="1" si="115"/>
        <v>247.79511012016798</v>
      </c>
      <c r="CA162" s="6">
        <f t="shared" ca="1" si="116"/>
        <v>-428.26333975845506</v>
      </c>
      <c r="CB162" s="6">
        <f t="shared" ca="1" si="117"/>
        <v>-1.0462573635113699</v>
      </c>
      <c r="CC162" s="6">
        <f t="shared" ca="1" si="118"/>
        <v>-0.91871142924271332</v>
      </c>
      <c r="CD162" s="9">
        <f t="shared" si="119"/>
        <v>197.79511012016798</v>
      </c>
      <c r="CE162" s="9">
        <f t="shared" si="120"/>
        <v>-428.26333975845506</v>
      </c>
      <c r="CF162" s="6">
        <f t="shared" si="121"/>
        <v>-1.1381285064356412</v>
      </c>
      <c r="CG162" s="6"/>
      <c r="CH162" s="6"/>
      <c r="CI162" s="6"/>
      <c r="CJ162" s="1"/>
      <c r="CK162" s="6"/>
    </row>
    <row r="163" spans="1:89" x14ac:dyDescent="0.25">
      <c r="A163" s="1" t="s">
        <v>93</v>
      </c>
      <c r="B163" s="6">
        <f t="shared" ref="B163:E163" si="179">B55</f>
        <v>-17.806479872104408</v>
      </c>
      <c r="C163" s="6">
        <f t="shared" si="179"/>
        <v>4.7884522096749134</v>
      </c>
      <c r="D163" s="6">
        <f t="shared" si="179"/>
        <v>-5.8181111708133839</v>
      </c>
      <c r="E163" s="6">
        <f t="shared" si="179"/>
        <v>4.2602326701785316</v>
      </c>
      <c r="F163" s="6">
        <f t="shared" si="138"/>
        <v>0</v>
      </c>
      <c r="G163" s="6">
        <f t="shared" si="139"/>
        <v>0</v>
      </c>
      <c r="H163" s="6">
        <f t="shared" si="140"/>
        <v>0</v>
      </c>
      <c r="I163" s="6">
        <f t="shared" si="141"/>
        <v>0</v>
      </c>
      <c r="J163" s="6">
        <f t="shared" si="142"/>
        <v>0</v>
      </c>
      <c r="K163" s="6">
        <f t="shared" si="143"/>
        <v>0</v>
      </c>
      <c r="L163" s="6"/>
      <c r="M163" s="6">
        <f t="shared" si="144"/>
        <v>0</v>
      </c>
      <c r="N163" s="6">
        <f t="shared" si="145"/>
        <v>0</v>
      </c>
      <c r="O163" s="6">
        <f t="shared" si="146"/>
        <v>0</v>
      </c>
      <c r="P163" s="6">
        <f t="shared" si="128"/>
        <v>0</v>
      </c>
      <c r="Q163" s="6">
        <f t="shared" si="147"/>
        <v>0</v>
      </c>
      <c r="R163" s="6">
        <f t="shared" si="129"/>
        <v>0</v>
      </c>
      <c r="S163" s="6">
        <f t="shared" si="130"/>
        <v>0</v>
      </c>
      <c r="T163" s="70">
        <f t="shared" si="148"/>
        <v>0</v>
      </c>
      <c r="U163" s="10">
        <f t="shared" si="131"/>
        <v>0</v>
      </c>
      <c r="V163" s="10">
        <f t="shared" si="132"/>
        <v>0</v>
      </c>
      <c r="W163" s="10">
        <f t="shared" si="133"/>
        <v>0</v>
      </c>
      <c r="X163" s="10">
        <f t="shared" si="134"/>
        <v>0</v>
      </c>
      <c r="Y163" s="70">
        <f t="shared" si="135"/>
        <v>0</v>
      </c>
      <c r="Z163" s="70">
        <f t="shared" si="136"/>
        <v>0</v>
      </c>
      <c r="AA163" s="6"/>
      <c r="AB163" s="6">
        <f t="shared" si="149"/>
        <v>0</v>
      </c>
      <c r="AC163" s="6">
        <f t="shared" si="150"/>
        <v>2020.8263913123253</v>
      </c>
      <c r="AD163" s="6">
        <f t="shared" si="151"/>
        <v>0</v>
      </c>
      <c r="AE163" s="6">
        <f t="shared" si="152"/>
        <v>0</v>
      </c>
      <c r="AF163" s="6">
        <f t="shared" si="153"/>
        <v>0</v>
      </c>
      <c r="AG163" s="6">
        <f t="shared" si="154"/>
        <v>2020.8263913123253</v>
      </c>
      <c r="AH163" s="71">
        <f t="shared" si="155"/>
        <v>0</v>
      </c>
      <c r="AI163" s="6">
        <f t="shared" si="156"/>
        <v>0</v>
      </c>
      <c r="AJ163" s="6">
        <f t="shared" si="157"/>
        <v>2020.8263913123253</v>
      </c>
      <c r="AK163" s="6">
        <f t="shared" si="158"/>
        <v>0</v>
      </c>
      <c r="AL163" s="6">
        <f t="shared" si="159"/>
        <v>0</v>
      </c>
      <c r="AM163" s="6">
        <f t="shared" si="160"/>
        <v>0</v>
      </c>
      <c r="AN163" s="6">
        <f t="shared" si="161"/>
        <v>2020.8263913123253</v>
      </c>
      <c r="AO163" s="71">
        <f t="shared" si="162"/>
        <v>0</v>
      </c>
      <c r="AP163" s="6">
        <f t="shared" si="163"/>
        <v>0</v>
      </c>
      <c r="AQ163" s="6">
        <f t="shared" si="164"/>
        <v>2020.8263913123253</v>
      </c>
      <c r="AR163" s="6">
        <f t="shared" si="165"/>
        <v>0</v>
      </c>
      <c r="AS163" s="6">
        <f t="shared" si="166"/>
        <v>0</v>
      </c>
      <c r="AT163" s="6">
        <f t="shared" si="167"/>
        <v>0</v>
      </c>
      <c r="AU163" s="6">
        <f t="shared" si="168"/>
        <v>2020.8263913123253</v>
      </c>
      <c r="AV163" s="71">
        <f t="shared" si="169"/>
        <v>0</v>
      </c>
      <c r="AW163" s="71">
        <f t="shared" si="170"/>
        <v>0</v>
      </c>
      <c r="BC163">
        <v>5.6199601914217272</v>
      </c>
      <c r="BD163">
        <v>259.14720619783395</v>
      </c>
      <c r="BE163">
        <v>-418.47119016129062</v>
      </c>
      <c r="BF163" s="6">
        <f t="shared" si="171"/>
        <v>5.2668581849830183</v>
      </c>
      <c r="BG163" s="6">
        <f t="shared" si="172"/>
        <v>0.35310200643870893</v>
      </c>
      <c r="BH163" s="6">
        <f t="shared" si="173"/>
        <v>1.0163271221965682</v>
      </c>
      <c r="BI163" s="6">
        <f t="shared" si="174"/>
        <v>1.0163271221965682</v>
      </c>
      <c r="BJ163">
        <v>287.94134021981552</v>
      </c>
      <c r="BK163">
        <v>-464.96798906810068</v>
      </c>
      <c r="BV163" s="37"/>
      <c r="BW163" s="6">
        <f t="shared" si="112"/>
        <v>5.1661745859032067</v>
      </c>
      <c r="BX163" s="9">
        <f t="shared" ca="1" si="113"/>
        <v>91.606486616079849</v>
      </c>
      <c r="BY163" s="9">
        <f t="shared" ca="1" si="114"/>
        <v>-343.58086333227601</v>
      </c>
      <c r="BZ163" s="9">
        <f t="shared" ca="1" si="115"/>
        <v>248.37316320448915</v>
      </c>
      <c r="CA163" s="6">
        <f t="shared" ca="1" si="116"/>
        <v>-427.99368918757335</v>
      </c>
      <c r="CB163" s="6">
        <f t="shared" ca="1" si="117"/>
        <v>-1.0449733523264682</v>
      </c>
      <c r="CC163" s="6">
        <f t="shared" ca="1" si="118"/>
        <v>-0.91803009960359072</v>
      </c>
      <c r="CD163" s="9">
        <f t="shared" si="119"/>
        <v>198.37316320448915</v>
      </c>
      <c r="CE163" s="9">
        <f t="shared" si="120"/>
        <v>-427.99368918757335</v>
      </c>
      <c r="CF163" s="6">
        <f t="shared" si="121"/>
        <v>-1.1367763622868272</v>
      </c>
      <c r="CG163" s="6"/>
      <c r="CH163" s="6"/>
      <c r="CI163" s="6"/>
      <c r="CJ163" s="1"/>
      <c r="CK163" s="6"/>
    </row>
    <row r="164" spans="1:89" ht="15.75" thickBot="1" x14ac:dyDescent="0.3">
      <c r="A164" s="1" t="s">
        <v>94</v>
      </c>
      <c r="B164" s="6">
        <f t="shared" ref="B164:E164" si="180">B56</f>
        <v>-5.8181111708133839</v>
      </c>
      <c r="C164" s="6">
        <f t="shared" si="180"/>
        <v>4.2602326701785316</v>
      </c>
      <c r="D164" s="6">
        <f t="shared" si="180"/>
        <v>-6.5224038901418933</v>
      </c>
      <c r="E164" s="6">
        <f t="shared" si="180"/>
        <v>-11.724258931542833</v>
      </c>
      <c r="F164" s="6">
        <f t="shared" si="138"/>
        <v>0</v>
      </c>
      <c r="G164" s="6">
        <f t="shared" si="139"/>
        <v>0</v>
      </c>
      <c r="H164" s="6">
        <f t="shared" si="140"/>
        <v>0</v>
      </c>
      <c r="I164" s="6">
        <f t="shared" si="141"/>
        <v>0</v>
      </c>
      <c r="J164" s="6">
        <f t="shared" si="142"/>
        <v>0</v>
      </c>
      <c r="K164" s="6">
        <f t="shared" si="143"/>
        <v>0</v>
      </c>
      <c r="L164" s="6"/>
      <c r="M164" s="11">
        <f t="shared" si="144"/>
        <v>0</v>
      </c>
      <c r="N164" s="11">
        <f t="shared" si="145"/>
        <v>0</v>
      </c>
      <c r="O164" s="11">
        <f t="shared" si="146"/>
        <v>0</v>
      </c>
      <c r="P164" s="6">
        <f t="shared" si="128"/>
        <v>0</v>
      </c>
      <c r="Q164" s="6">
        <f t="shared" si="147"/>
        <v>0</v>
      </c>
      <c r="R164" s="6">
        <f t="shared" si="129"/>
        <v>0</v>
      </c>
      <c r="S164" s="6">
        <f t="shared" si="130"/>
        <v>0</v>
      </c>
      <c r="T164" s="70">
        <f t="shared" si="148"/>
        <v>0</v>
      </c>
      <c r="U164" s="10">
        <f t="shared" si="131"/>
        <v>0</v>
      </c>
      <c r="V164" s="10">
        <f t="shared" si="132"/>
        <v>0</v>
      </c>
      <c r="W164" s="10">
        <f t="shared" si="133"/>
        <v>0</v>
      </c>
      <c r="X164" s="10">
        <f t="shared" si="134"/>
        <v>0</v>
      </c>
      <c r="Y164" s="70">
        <f t="shared" si="135"/>
        <v>0</v>
      </c>
      <c r="Z164" s="70">
        <f t="shared" si="136"/>
        <v>0</v>
      </c>
      <c r="AA164" s="6"/>
      <c r="AB164" s="6">
        <f t="shared" si="149"/>
        <v>0</v>
      </c>
      <c r="AC164" s="6">
        <f t="shared" si="150"/>
        <v>2020.8263913123253</v>
      </c>
      <c r="AD164" s="6">
        <f t="shared" si="151"/>
        <v>0</v>
      </c>
      <c r="AE164" s="6">
        <f t="shared" si="152"/>
        <v>0</v>
      </c>
      <c r="AF164" s="6">
        <f t="shared" si="153"/>
        <v>0</v>
      </c>
      <c r="AG164" s="6">
        <f t="shared" si="154"/>
        <v>2020.8263913123253</v>
      </c>
      <c r="AH164" s="71">
        <f t="shared" si="155"/>
        <v>0</v>
      </c>
      <c r="AI164" s="6">
        <f t="shared" si="156"/>
        <v>0</v>
      </c>
      <c r="AJ164" s="6">
        <f t="shared" si="157"/>
        <v>2020.8263913123253</v>
      </c>
      <c r="AK164" s="6">
        <f t="shared" si="158"/>
        <v>0</v>
      </c>
      <c r="AL164" s="6">
        <f t="shared" si="159"/>
        <v>0</v>
      </c>
      <c r="AM164" s="6">
        <f t="shared" si="160"/>
        <v>0</v>
      </c>
      <c r="AN164" s="6">
        <f t="shared" si="161"/>
        <v>2020.8263913123253</v>
      </c>
      <c r="AO164" s="71">
        <f t="shared" si="162"/>
        <v>0</v>
      </c>
      <c r="AP164" s="6">
        <f t="shared" si="163"/>
        <v>0</v>
      </c>
      <c r="AQ164" s="6">
        <f t="shared" si="164"/>
        <v>2020.8263913123253</v>
      </c>
      <c r="AR164" s="6">
        <f t="shared" si="165"/>
        <v>0</v>
      </c>
      <c r="AS164" s="6">
        <f t="shared" si="166"/>
        <v>0</v>
      </c>
      <c r="AT164" s="6">
        <f t="shared" si="167"/>
        <v>0</v>
      </c>
      <c r="AU164" s="6">
        <f t="shared" si="168"/>
        <v>2020.8263913123253</v>
      </c>
      <c r="AV164" s="71">
        <f t="shared" si="169"/>
        <v>0</v>
      </c>
      <c r="AW164" s="71">
        <f t="shared" si="170"/>
        <v>0</v>
      </c>
      <c r="BC164">
        <v>5.6548667764616134</v>
      </c>
      <c r="BD164">
        <v>260.45879411842668</v>
      </c>
      <c r="BE164">
        <v>-416.72918921890727</v>
      </c>
      <c r="BF164" s="6">
        <f t="shared" si="171"/>
        <v>5.2709935602195674</v>
      </c>
      <c r="BG164" s="6">
        <f t="shared" si="172"/>
        <v>0.38387321624204596</v>
      </c>
      <c r="BH164" s="6">
        <f t="shared" si="173"/>
        <v>1.012191746960019</v>
      </c>
      <c r="BI164" s="6">
        <f t="shared" si="174"/>
        <v>1.012191746960019</v>
      </c>
      <c r="BJ164">
        <v>289.39866013158519</v>
      </c>
      <c r="BK164">
        <v>-463.03243246545253</v>
      </c>
      <c r="BV164" s="37"/>
      <c r="BW164" s="6">
        <f t="shared" si="112"/>
        <v>5.2010811709430929</v>
      </c>
      <c r="BX164" s="9">
        <f t="shared" ca="1" si="113"/>
        <v>92.204571682169245</v>
      </c>
      <c r="BY164" s="9">
        <f t="shared" ca="1" si="114"/>
        <v>-343.27600680821581</v>
      </c>
      <c r="BZ164" s="9">
        <f t="shared" ca="1" si="115"/>
        <v>248.97124827057854</v>
      </c>
      <c r="CA164" s="6">
        <f t="shared" ca="1" si="116"/>
        <v>-427.68883266351315</v>
      </c>
      <c r="CB164" s="6">
        <f t="shared" ca="1" si="117"/>
        <v>-1.0436188659586243</v>
      </c>
      <c r="CC164" s="6">
        <f t="shared" ca="1" si="118"/>
        <v>-0.91735360543929934</v>
      </c>
      <c r="CD164" s="9">
        <f t="shared" si="119"/>
        <v>198.97124827057854</v>
      </c>
      <c r="CE164" s="9">
        <f t="shared" si="120"/>
        <v>-427.68883266351315</v>
      </c>
      <c r="CF164" s="6">
        <f t="shared" si="121"/>
        <v>-1.1353542265025542</v>
      </c>
      <c r="CG164" s="6"/>
      <c r="CH164" s="6"/>
      <c r="CI164" s="6"/>
      <c r="CJ164" s="1"/>
      <c r="CK164" s="6"/>
    </row>
    <row r="165" spans="1:89" ht="15.75" thickTop="1" x14ac:dyDescent="0.25">
      <c r="M165" s="6">
        <f>SUM(M157:M164)</f>
        <v>154835.64150853932</v>
      </c>
      <c r="N165" s="6">
        <f t="shared" ref="N165:O165" si="181">SUM(N157:N164)</f>
        <v>1744559.8686962146</v>
      </c>
      <c r="O165" s="6">
        <f t="shared" si="181"/>
        <v>-68543.822153419605</v>
      </c>
      <c r="AA165" s="51"/>
      <c r="AC165" s="51"/>
      <c r="BC165">
        <v>5.6897733615014996</v>
      </c>
      <c r="BD165">
        <v>261.84846497274629</v>
      </c>
      <c r="BE165">
        <v>-414.7439574162666</v>
      </c>
      <c r="BF165" s="6">
        <f t="shared" si="171"/>
        <v>5.2755413330964576</v>
      </c>
      <c r="BG165" s="6">
        <f t="shared" si="172"/>
        <v>0.41423202840504203</v>
      </c>
      <c r="BH165" s="6">
        <f t="shared" si="173"/>
        <v>1.0076439740831289</v>
      </c>
      <c r="BI165" s="6">
        <f t="shared" si="174"/>
        <v>1.0076439740831289</v>
      </c>
      <c r="BJ165">
        <v>290.94273885860696</v>
      </c>
      <c r="BK165">
        <v>-460.82661935140732</v>
      </c>
      <c r="BV165" s="37"/>
      <c r="BW165" s="6">
        <f t="shared" si="112"/>
        <v>5.2359877559829791</v>
      </c>
      <c r="BX165" s="9">
        <f t="shared" ca="1" si="113"/>
        <v>92.825287072635177</v>
      </c>
      <c r="BY165" s="9">
        <f t="shared" ca="1" si="114"/>
        <v>-342.93180159588383</v>
      </c>
      <c r="BZ165" s="9">
        <f t="shared" ca="1" si="115"/>
        <v>249.59196366104447</v>
      </c>
      <c r="CA165" s="6">
        <f t="shared" ca="1" si="116"/>
        <v>-427.34462745118117</v>
      </c>
      <c r="CB165" s="6">
        <f t="shared" ca="1" si="117"/>
        <v>-1.0421850025163772</v>
      </c>
      <c r="CC165" s="6">
        <f t="shared" ca="1" si="118"/>
        <v>-0.91668170649237701</v>
      </c>
      <c r="CD165" s="9">
        <f t="shared" si="119"/>
        <v>199.59196366104447</v>
      </c>
      <c r="CE165" s="9">
        <f t="shared" si="120"/>
        <v>-427.34462745118117</v>
      </c>
      <c r="CF165" s="6">
        <f t="shared" si="121"/>
        <v>-1.133853173165615</v>
      </c>
      <c r="CG165" s="6"/>
      <c r="CH165" s="6"/>
      <c r="CI165" s="6"/>
      <c r="CJ165" s="1"/>
      <c r="CK165" s="6"/>
    </row>
    <row r="166" spans="1:89" x14ac:dyDescent="0.25">
      <c r="A166" t="s">
        <v>183</v>
      </c>
      <c r="M166" s="6"/>
      <c r="N166" s="1"/>
      <c r="O166" s="1"/>
      <c r="BC166">
        <v>5.7246799465413858</v>
      </c>
      <c r="BD166">
        <v>263.22738489907232</v>
      </c>
      <c r="BE166">
        <v>-412.61997598089783</v>
      </c>
      <c r="BF166" s="6">
        <f t="shared" si="171"/>
        <v>5.2802404259757054</v>
      </c>
      <c r="BG166" s="6">
        <f t="shared" si="172"/>
        <v>0.44443952056568037</v>
      </c>
      <c r="BH166" s="6">
        <f t="shared" si="173"/>
        <v>1.002944881203881</v>
      </c>
      <c r="BI166" s="6">
        <f t="shared" si="174"/>
        <v>1.002944881203881</v>
      </c>
      <c r="BJ166">
        <v>292.47487211008036</v>
      </c>
      <c r="BK166">
        <v>-458.46663997877533</v>
      </c>
      <c r="BV166" s="37"/>
      <c r="BW166" s="6">
        <f t="shared" si="112"/>
        <v>5.2708943410228652</v>
      </c>
      <c r="BX166" s="9">
        <f t="shared" ca="1" si="113"/>
        <v>93.471546597599627</v>
      </c>
      <c r="BY166" s="9">
        <f t="shared" ca="1" si="114"/>
        <v>-342.54332865518063</v>
      </c>
      <c r="BZ166" s="9">
        <f t="shared" ca="1" si="115"/>
        <v>250.23822318600892</v>
      </c>
      <c r="CA166" s="6">
        <f t="shared" ca="1" si="116"/>
        <v>-426.95615451047797</v>
      </c>
      <c r="CB166" s="6">
        <f t="shared" ca="1" si="117"/>
        <v>-1.0406614732430051</v>
      </c>
      <c r="CC166" s="6">
        <f t="shared" ca="1" si="118"/>
        <v>-0.91601438375931388</v>
      </c>
      <c r="CD166" s="9">
        <f t="shared" si="119"/>
        <v>200.23822318600892</v>
      </c>
      <c r="CE166" s="9">
        <f t="shared" si="120"/>
        <v>-426.95615451047797</v>
      </c>
      <c r="CF166" s="6">
        <f t="shared" si="121"/>
        <v>-1.1322629116189364</v>
      </c>
      <c r="CG166" s="6"/>
      <c r="CH166" s="6"/>
      <c r="CI166" s="6"/>
      <c r="CJ166" s="1"/>
      <c r="CK166" s="6"/>
    </row>
    <row r="167" spans="1:89" x14ac:dyDescent="0.25">
      <c r="B167" t="str">
        <f t="shared" ref="B167:E167" si="182">B156</f>
        <v>xi (in)</v>
      </c>
      <c r="C167" t="str">
        <f t="shared" si="182"/>
        <v>yi (in)</v>
      </c>
      <c r="D167" t="str">
        <f t="shared" si="182"/>
        <v>xj (in)</v>
      </c>
      <c r="E167" t="str">
        <f t="shared" si="182"/>
        <v>yj (in)</v>
      </c>
      <c r="F167" s="1" t="s">
        <v>184</v>
      </c>
      <c r="G167" s="1" t="s">
        <v>185</v>
      </c>
      <c r="H167" s="1" t="s">
        <v>179</v>
      </c>
      <c r="I167" s="1" t="s">
        <v>180</v>
      </c>
      <c r="J167" s="1" t="s">
        <v>181</v>
      </c>
      <c r="K167" s="1" t="s">
        <v>182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5.759586531581272</v>
      </c>
      <c r="BD167">
        <v>264.59973225150787</v>
      </c>
      <c r="BE167">
        <v>-410.33516777249639</v>
      </c>
      <c r="BF167" s="6">
        <f t="shared" si="171"/>
        <v>5.2851268550225825</v>
      </c>
      <c r="BG167" s="6">
        <f t="shared" si="172"/>
        <v>0.47445967655868948</v>
      </c>
      <c r="BH167" s="6">
        <f t="shared" si="173"/>
        <v>0.99805845215700395</v>
      </c>
      <c r="BI167" s="6">
        <f t="shared" si="174"/>
        <v>0.99805845215700395</v>
      </c>
      <c r="BJ167">
        <v>293.99970250167542</v>
      </c>
      <c r="BK167">
        <v>-455.92796419166262</v>
      </c>
      <c r="BV167" s="37"/>
      <c r="BW167" s="6">
        <f t="shared" si="112"/>
        <v>5.3058009260627514</v>
      </c>
      <c r="BX167" s="9">
        <f t="shared" ca="1" si="113"/>
        <v>94.146639240710243</v>
      </c>
      <c r="BY167" s="9">
        <f t="shared" ca="1" si="114"/>
        <v>-342.10472843534927</v>
      </c>
      <c r="BZ167" s="9">
        <f t="shared" ca="1" si="115"/>
        <v>250.91331582911954</v>
      </c>
      <c r="CA167" s="6">
        <f t="shared" ca="1" si="116"/>
        <v>-426.51755429064661</v>
      </c>
      <c r="CB167" s="6">
        <f t="shared" ca="1" si="117"/>
        <v>-1.0390363139779182</v>
      </c>
      <c r="CC167" s="6">
        <f t="shared" ca="1" si="118"/>
        <v>-0.91535188582312366</v>
      </c>
      <c r="CD167" s="9">
        <f t="shared" si="119"/>
        <v>200.91331582911954</v>
      </c>
      <c r="CE167" s="9">
        <f t="shared" si="120"/>
        <v>-426.51755429064661</v>
      </c>
      <c r="CF167" s="6">
        <f t="shared" si="121"/>
        <v>-1.1305715025602305</v>
      </c>
      <c r="CG167" s="6"/>
      <c r="CH167" s="6"/>
      <c r="CI167" s="6"/>
      <c r="CJ167" s="1"/>
      <c r="CK167" s="6"/>
    </row>
    <row r="168" spans="1:89" x14ac:dyDescent="0.25">
      <c r="A168" s="1" t="str">
        <f t="shared" ref="A168:E175" si="183">A157</f>
        <v>Segment 1</v>
      </c>
      <c r="B168" s="6">
        <f t="shared" si="183"/>
        <v>-6.5224038901418933</v>
      </c>
      <c r="C168" s="6">
        <f t="shared" si="183"/>
        <v>-11.724258931542833</v>
      </c>
      <c r="D168" s="6">
        <f t="shared" si="183"/>
        <v>5.4659648111491297</v>
      </c>
      <c r="E168" s="6">
        <f t="shared" si="183"/>
        <v>-12.252478471039213</v>
      </c>
      <c r="F168" s="6">
        <f>IF(E168-C168=0,0,MIN(MAX(($B$148-C168)/(E168-C168),0),1))</f>
        <v>0</v>
      </c>
      <c r="G168" s="6">
        <f>IF(E168-C168=0,0,MIN(MAX(($B$152-C168)/(E168-C168),0),1))</f>
        <v>0</v>
      </c>
      <c r="H168" s="6">
        <f>IF(AND(F168=0,G168=0),0,IF(C168&gt;E168,B168+(F168*(D168-B168)),B168+(G168*(D168-B168))))</f>
        <v>0</v>
      </c>
      <c r="I168" s="6">
        <f>IF(AND(F168=0,G168=0),0,IF(C168&gt;E168,C168+(F168*(E168-C168)),C168+(G168*(E168-C168))))</f>
        <v>0</v>
      </c>
      <c r="J168" s="9">
        <f>IF(AND(F168=0,G168=0),0,IF(C168&gt;E168,B168+(G168*(D168-B168)),B168+(F168*(D168-B168))))</f>
        <v>0</v>
      </c>
      <c r="K168" s="9">
        <f>IF(AND(F168=0,G168=0),0,IF(C168&gt;E168,C168+(G168*(E168-C168)),C168+(F168*(E168-C168))))</f>
        <v>0</v>
      </c>
      <c r="L168" s="6">
        <f>0.85*$B$143</f>
        <v>4250</v>
      </c>
      <c r="M168" s="6">
        <f>L168</f>
        <v>4250</v>
      </c>
      <c r="N168" s="10">
        <f t="shared" ref="N168" si="184">(1/6)*(K168-I168)*((L168*((2*H168)+J168))+(M168*(H168+(2*J168))))</f>
        <v>0</v>
      </c>
      <c r="O168" s="10">
        <f t="shared" ref="O168" si="185">((1/12)*(K168-I168)*(L168*H168*((3*I168)+K168)+L168*J168*(I168+K168)+M168*H168*(I168+K168)+M168*J168*(I168+(3*K168))))</f>
        <v>0</v>
      </c>
      <c r="P168" s="10">
        <f>((1/24)*(K168-I168)*(H168*H168*((3*L168)+M168)+2*H168*J168*(L168+M168)+J168*J168*(L168+(3*M168))))</f>
        <v>0</v>
      </c>
      <c r="BC168">
        <v>5.7944931166211582</v>
      </c>
      <c r="BD168">
        <v>265.9721021438445</v>
      </c>
      <c r="BE168">
        <v>-407.85823446404305</v>
      </c>
      <c r="BF168" s="6">
        <f t="shared" si="171"/>
        <v>5.2902523866598363</v>
      </c>
      <c r="BG168" s="6">
        <f t="shared" si="172"/>
        <v>0.50424072996132185</v>
      </c>
      <c r="BH168" s="6">
        <f t="shared" si="173"/>
        <v>0.99293292051975013</v>
      </c>
      <c r="BI168" s="6">
        <f t="shared" si="174"/>
        <v>0.99293292051975013</v>
      </c>
      <c r="BJ168">
        <v>295.52455793760498</v>
      </c>
      <c r="BK168">
        <v>-453.17581607115892</v>
      </c>
      <c r="BV168" s="37"/>
      <c r="BW168" s="6">
        <f t="shared" si="112"/>
        <v>5.3407075111026376</v>
      </c>
      <c r="BX168" s="9">
        <f t="shared" ca="1" si="113"/>
        <v>94.854301792481124</v>
      </c>
      <c r="BY168" s="9">
        <f t="shared" ca="1" si="114"/>
        <v>-341.60899275640128</v>
      </c>
      <c r="BZ168" s="9">
        <f t="shared" ca="1" si="115"/>
        <v>251.62097838089042</v>
      </c>
      <c r="CA168" s="6">
        <f t="shared" ca="1" si="116"/>
        <v>-426.02181861169862</v>
      </c>
      <c r="CB168" s="6">
        <f t="shared" ca="1" si="117"/>
        <v>-1.0372955228726182</v>
      </c>
      <c r="CC168" s="6">
        <f t="shared" ca="1" si="118"/>
        <v>-0.91469479016316635</v>
      </c>
      <c r="CD168" s="9">
        <f t="shared" si="119"/>
        <v>201.62097838089042</v>
      </c>
      <c r="CE168" s="9">
        <f t="shared" si="120"/>
        <v>-426.02181861169862</v>
      </c>
      <c r="CF168" s="6">
        <f t="shared" si="121"/>
        <v>-1.1287650018889348</v>
      </c>
      <c r="CG168" s="6"/>
      <c r="CH168" s="6"/>
      <c r="CI168" s="6"/>
      <c r="CJ168" s="1"/>
      <c r="CK168" s="6"/>
    </row>
    <row r="169" spans="1:89" x14ac:dyDescent="0.25">
      <c r="A169" s="1" t="str">
        <f t="shared" si="183"/>
        <v>Segment 2</v>
      </c>
      <c r="B169" s="6">
        <f t="shared" si="183"/>
        <v>5.4659648111491297</v>
      </c>
      <c r="C169" s="6">
        <f t="shared" si="183"/>
        <v>-12.252478471039213</v>
      </c>
      <c r="D169" s="6">
        <f t="shared" si="183"/>
        <v>6.170257530477639</v>
      </c>
      <c r="E169" s="6">
        <f t="shared" si="183"/>
        <v>3.7320131306821502</v>
      </c>
      <c r="F169" s="6">
        <f t="shared" ref="F169:F175" si="186">IF(E169-C169=0,0,MIN(MAX(($B$148-C169)/(E169-C169),0),1))</f>
        <v>1</v>
      </c>
      <c r="G169" s="6">
        <f t="shared" ref="G169:G175" si="187">IF(E169-C169=0,0,MIN(MAX(($B$152-C169)/(E169-C169),0),1))</f>
        <v>1</v>
      </c>
      <c r="H169" s="6">
        <f t="shared" ref="H169:H175" si="188">IF(AND(F169=0,G169=0),0,IF(C169&gt;E169,B169+(F169*(D169-B169)),B169+(G169*(D169-B169))))</f>
        <v>6.170257530477639</v>
      </c>
      <c r="I169" s="6">
        <f t="shared" ref="I169:I175" si="189">IF(AND(F169=0,G169=0),0,IF(C169&gt;E169,C169+(F169*(E169-C169)),C169+(G169*(E169-C169))))</f>
        <v>3.7320131306821498</v>
      </c>
      <c r="J169" s="9">
        <f t="shared" ref="J169:J175" si="190">IF(AND(F169=0,G169=0),0,IF(C169&gt;E169,B169+(G169*(D169-B169)),B169+(F169*(D169-B169))))</f>
        <v>6.170257530477639</v>
      </c>
      <c r="K169" s="9">
        <f t="shared" ref="K169:K175" si="191">IF(AND(F169=0,G169=0),0,IF(C169&gt;E169,C169+(G169*(E169-C169)),C169+(F169*(E169-C169))))</f>
        <v>3.7320131306821498</v>
      </c>
      <c r="L169" s="6">
        <f t="shared" ref="L169:L175" si="192">0.85*$B$143</f>
        <v>4250</v>
      </c>
      <c r="M169" s="6">
        <f t="shared" ref="M169:M175" si="193">L169</f>
        <v>4250</v>
      </c>
      <c r="N169" s="10">
        <f t="shared" ref="N169:N175" si="194">(1/6)*(K169-I169)*((L169*((2*H169)+J169))+(M169*(H169+(2*J169))))</f>
        <v>0</v>
      </c>
      <c r="O169" s="10">
        <f t="shared" ref="O169:O175" si="195">((1/12)*(K169-I169)*(L169*H169*((3*I169)+K169)+L169*J169*(I169+K169)+M169*H169*(I169+K169)+M169*J169*(I169+(3*K169))))</f>
        <v>0</v>
      </c>
      <c r="P169" s="10">
        <f t="shared" ref="P169:P175" si="196">((1/24)*(K169-I169)*(H169*H169*((3*L169)+M169)+2*H169*J169*(L169+M169)+J169*J169*(L169+(3*M169))))</f>
        <v>0</v>
      </c>
      <c r="BC169">
        <v>5.8293997016610444</v>
      </c>
      <c r="BD169">
        <v>267.35136461881291</v>
      </c>
      <c r="BE169">
        <v>-405.14979675697873</v>
      </c>
      <c r="BF169" s="6">
        <f t="shared" si="171"/>
        <v>5.2956803142319586</v>
      </c>
      <c r="BG169" s="6">
        <f t="shared" si="172"/>
        <v>0.53371938742908576</v>
      </c>
      <c r="BH169" s="6">
        <f t="shared" si="173"/>
        <v>0.98750499294762795</v>
      </c>
      <c r="BI169" s="6">
        <f t="shared" si="174"/>
        <v>0.98750499294762795</v>
      </c>
      <c r="BJ169">
        <v>297.05707179868102</v>
      </c>
      <c r="BK169">
        <v>-450.16644084108748</v>
      </c>
      <c r="BV169" s="37"/>
      <c r="BW169" s="6">
        <f t="shared" si="112"/>
        <v>5.3756140961425238</v>
      </c>
      <c r="BX169" s="9">
        <f t="shared" ca="1" si="113"/>
        <v>95.598807932022225</v>
      </c>
      <c r="BY169" s="9">
        <f t="shared" ca="1" si="114"/>
        <v>-341.04769909690293</v>
      </c>
      <c r="BZ169" s="9">
        <f t="shared" ca="1" si="115"/>
        <v>252.36548452043152</v>
      </c>
      <c r="CA169" s="6">
        <f t="shared" ca="1" si="116"/>
        <v>-425.46052495220027</v>
      </c>
      <c r="CB169" s="6">
        <f t="shared" ca="1" si="117"/>
        <v>-1.0354226015171442</v>
      </c>
      <c r="CC169" s="6">
        <f t="shared" ca="1" si="118"/>
        <v>-0.91404408391258629</v>
      </c>
      <c r="CD169" s="9">
        <f t="shared" si="119"/>
        <v>202.36548452043152</v>
      </c>
      <c r="CE169" s="9">
        <f t="shared" si="120"/>
        <v>-425.46052495220027</v>
      </c>
      <c r="CF169" s="6">
        <f t="shared" si="121"/>
        <v>-1.1268270099084028</v>
      </c>
      <c r="CG169" s="6"/>
      <c r="CH169" s="6"/>
      <c r="CI169" s="6"/>
      <c r="CJ169" s="1"/>
      <c r="CK169" s="6"/>
    </row>
    <row r="170" spans="1:89" x14ac:dyDescent="0.25">
      <c r="A170" s="1" t="str">
        <f t="shared" si="183"/>
        <v>Segment 3</v>
      </c>
      <c r="B170" s="6">
        <f t="shared" si="183"/>
        <v>6.170257530477639</v>
      </c>
      <c r="C170" s="6">
        <f t="shared" si="183"/>
        <v>3.7320131306821502</v>
      </c>
      <c r="D170" s="6">
        <f t="shared" si="183"/>
        <v>30.146994933059684</v>
      </c>
      <c r="E170" s="6">
        <f t="shared" si="183"/>
        <v>2.6755740516893871</v>
      </c>
      <c r="F170" s="6">
        <f t="shared" si="186"/>
        <v>0</v>
      </c>
      <c r="G170" s="6">
        <f t="shared" si="187"/>
        <v>0</v>
      </c>
      <c r="H170" s="6">
        <f t="shared" si="188"/>
        <v>0</v>
      </c>
      <c r="I170" s="6">
        <f t="shared" si="189"/>
        <v>0</v>
      </c>
      <c r="J170" s="9">
        <f t="shared" si="190"/>
        <v>0</v>
      </c>
      <c r="K170" s="9">
        <f t="shared" si="191"/>
        <v>0</v>
      </c>
      <c r="L170" s="6">
        <f t="shared" si="192"/>
        <v>4250</v>
      </c>
      <c r="M170" s="6">
        <f t="shared" si="193"/>
        <v>4250</v>
      </c>
      <c r="N170" s="10">
        <f t="shared" si="194"/>
        <v>0</v>
      </c>
      <c r="O170" s="10">
        <f t="shared" si="195"/>
        <v>0</v>
      </c>
      <c r="P170" s="10">
        <f t="shared" si="196"/>
        <v>0</v>
      </c>
      <c r="BC170">
        <v>5.8643062867009306</v>
      </c>
      <c r="BD170">
        <v>268.74488335121021</v>
      </c>
      <c r="BE170">
        <v>-402.15938938213861</v>
      </c>
      <c r="BF170" s="6">
        <f t="shared" si="171"/>
        <v>5.3014901537398451</v>
      </c>
      <c r="BG170" s="6">
        <f t="shared" si="172"/>
        <v>0.56281613296108546</v>
      </c>
      <c r="BH170" s="6">
        <f t="shared" si="173"/>
        <v>0.98169515343974134</v>
      </c>
      <c r="BI170" s="6">
        <f t="shared" si="174"/>
        <v>0.98169515343974134</v>
      </c>
      <c r="BJ170">
        <v>298.60542594578914</v>
      </c>
      <c r="BK170">
        <v>-446.84376598015399</v>
      </c>
      <c r="BV170" s="37"/>
      <c r="BW170" s="6">
        <f t="shared" si="112"/>
        <v>5.41052068118241</v>
      </c>
      <c r="BX170" s="9">
        <f t="shared" ca="1" si="113"/>
        <v>96.385078395657956</v>
      </c>
      <c r="BY170" s="9">
        <f t="shared" ca="1" si="114"/>
        <v>-340.41066856343775</v>
      </c>
      <c r="BZ170" s="9">
        <f t="shared" ca="1" si="115"/>
        <v>253.15175498406725</v>
      </c>
      <c r="CA170" s="6">
        <f t="shared" ca="1" si="116"/>
        <v>-424.82349441873509</v>
      </c>
      <c r="CB170" s="6">
        <f t="shared" ca="1" si="117"/>
        <v>-1.0333979682209129</v>
      </c>
      <c r="CC170" s="6">
        <f t="shared" ca="1" si="118"/>
        <v>-0.91340127008658023</v>
      </c>
      <c r="CD170" s="9">
        <f t="shared" si="119"/>
        <v>203.15175498406725</v>
      </c>
      <c r="CE170" s="9">
        <f t="shared" si="120"/>
        <v>-424.82349441873509</v>
      </c>
      <c r="CF170" s="6">
        <f t="shared" si="121"/>
        <v>-1.1247380952295709</v>
      </c>
      <c r="CG170" s="6"/>
      <c r="CH170" s="6"/>
      <c r="CI170" s="6"/>
      <c r="CJ170" s="1"/>
      <c r="CK170" s="6"/>
    </row>
    <row r="171" spans="1:89" x14ac:dyDescent="0.25">
      <c r="A171" s="1" t="str">
        <f t="shared" si="183"/>
        <v>Segment 4</v>
      </c>
      <c r="B171" s="6">
        <f t="shared" si="183"/>
        <v>30.146994933059684</v>
      </c>
      <c r="C171" s="6">
        <f t="shared" si="183"/>
        <v>2.6755740516893871</v>
      </c>
      <c r="D171" s="6">
        <f t="shared" si="183"/>
        <v>30.499141292723937</v>
      </c>
      <c r="E171" s="6">
        <f t="shared" si="183"/>
        <v>10.667819852550069</v>
      </c>
      <c r="F171" s="6">
        <f t="shared" si="186"/>
        <v>1</v>
      </c>
      <c r="G171" s="6">
        <f t="shared" si="187"/>
        <v>1</v>
      </c>
      <c r="H171" s="6">
        <f t="shared" si="188"/>
        <v>30.499141292723937</v>
      </c>
      <c r="I171" s="6">
        <f t="shared" si="189"/>
        <v>10.667819852550069</v>
      </c>
      <c r="J171" s="9">
        <f t="shared" si="190"/>
        <v>30.499141292723937</v>
      </c>
      <c r="K171" s="9">
        <f t="shared" si="191"/>
        <v>10.667819852550069</v>
      </c>
      <c r="L171" s="6">
        <f t="shared" si="192"/>
        <v>4250</v>
      </c>
      <c r="M171" s="6">
        <f t="shared" si="193"/>
        <v>4250</v>
      </c>
      <c r="N171" s="10">
        <f t="shared" si="194"/>
        <v>0</v>
      </c>
      <c r="O171" s="10">
        <f t="shared" si="195"/>
        <v>0</v>
      </c>
      <c r="P171" s="10">
        <f t="shared" si="196"/>
        <v>0</v>
      </c>
      <c r="BC171">
        <v>5.8992128717408168</v>
      </c>
      <c r="BD171">
        <v>270.1607913784847</v>
      </c>
      <c r="BE171">
        <v>-398.82098688225886</v>
      </c>
      <c r="BF171" s="6">
        <f t="shared" si="171"/>
        <v>5.3077846520463439</v>
      </c>
      <c r="BG171" s="6">
        <f t="shared" si="172"/>
        <v>0.5914282196944729</v>
      </c>
      <c r="BH171" s="6">
        <f t="shared" si="173"/>
        <v>0.97540065513324259</v>
      </c>
      <c r="BI171" s="6">
        <f t="shared" si="174"/>
        <v>0.97540065513324259</v>
      </c>
      <c r="BJ171">
        <v>300.17865708720524</v>
      </c>
      <c r="BK171">
        <v>-443.13442986917653</v>
      </c>
      <c r="BV171" s="37"/>
      <c r="BW171" s="6">
        <f t="shared" si="112"/>
        <v>5.4454272662222962</v>
      </c>
      <c r="BX171" s="9">
        <f t="shared" ca="1" si="113"/>
        <v>97.218818414016454</v>
      </c>
      <c r="BY171" s="9">
        <f t="shared" ca="1" si="114"/>
        <v>-339.68552164995714</v>
      </c>
      <c r="BZ171" s="9">
        <f t="shared" ca="1" si="115"/>
        <v>253.98549500242575</v>
      </c>
      <c r="CA171" s="6">
        <f t="shared" ca="1" si="116"/>
        <v>-424.09834750525448</v>
      </c>
      <c r="CB171" s="6">
        <f t="shared" ca="1" si="117"/>
        <v>-1.0311982001582589</v>
      </c>
      <c r="CC171" s="6">
        <f t="shared" ca="1" si="118"/>
        <v>-0.91276850737161086</v>
      </c>
      <c r="CD171" s="9">
        <f t="shared" si="119"/>
        <v>203.98549500242575</v>
      </c>
      <c r="CE171" s="9">
        <f t="shared" si="120"/>
        <v>-424.09834750525448</v>
      </c>
      <c r="CF171" s="6">
        <f t="shared" si="121"/>
        <v>-1.12247505089542</v>
      </c>
      <c r="CG171" s="6"/>
      <c r="CH171" s="6"/>
      <c r="CI171" s="6"/>
      <c r="CJ171" s="1"/>
      <c r="CK171" s="6"/>
    </row>
    <row r="172" spans="1:89" x14ac:dyDescent="0.25">
      <c r="A172" s="1" t="str">
        <f t="shared" si="183"/>
        <v>Segment 5</v>
      </c>
      <c r="B172" s="6">
        <f t="shared" si="183"/>
        <v>30.499141292723937</v>
      </c>
      <c r="C172" s="6">
        <f t="shared" si="183"/>
        <v>10.667819852550069</v>
      </c>
      <c r="D172" s="6">
        <f t="shared" si="183"/>
        <v>-17.454333512440154</v>
      </c>
      <c r="E172" s="6">
        <f t="shared" si="183"/>
        <v>12.780698010535595</v>
      </c>
      <c r="F172" s="6">
        <f t="shared" si="186"/>
        <v>1</v>
      </c>
      <c r="G172" s="6">
        <f t="shared" si="187"/>
        <v>0.65191990682007928</v>
      </c>
      <c r="H172" s="6">
        <f t="shared" si="188"/>
        <v>-0.76268353395765587</v>
      </c>
      <c r="I172" s="6">
        <f t="shared" si="189"/>
        <v>12.045247184426174</v>
      </c>
      <c r="J172" s="9">
        <f t="shared" si="190"/>
        <v>-17.454333512440154</v>
      </c>
      <c r="K172" s="9">
        <f t="shared" si="191"/>
        <v>12.780698010535595</v>
      </c>
      <c r="L172" s="6">
        <f t="shared" si="192"/>
        <v>4250</v>
      </c>
      <c r="M172" s="6">
        <f t="shared" si="193"/>
        <v>4250</v>
      </c>
      <c r="N172" s="10">
        <f t="shared" si="194"/>
        <v>-28470.155501548179</v>
      </c>
      <c r="O172" s="10">
        <f t="shared" si="195"/>
        <v>-356596.7871820702</v>
      </c>
      <c r="P172" s="10">
        <f t="shared" si="196"/>
        <v>165945.55587500182</v>
      </c>
      <c r="BC172">
        <v>5.934119456780703</v>
      </c>
      <c r="BD172">
        <v>271.60835862584497</v>
      </c>
      <c r="BE172">
        <v>-395.04612526209519</v>
      </c>
      <c r="BF172" s="6">
        <f t="shared" si="171"/>
        <v>5.314700644275888</v>
      </c>
      <c r="BG172" s="6">
        <f t="shared" si="172"/>
        <v>0.61941881250481501</v>
      </c>
      <c r="BH172" s="6">
        <f t="shared" si="173"/>
        <v>0.9684846629036985</v>
      </c>
      <c r="BI172" s="6">
        <f t="shared" si="174"/>
        <v>0.9684846629036985</v>
      </c>
      <c r="BJ172">
        <v>301.78706513982775</v>
      </c>
      <c r="BK172">
        <v>-438.94013918010575</v>
      </c>
      <c r="BV172" s="37"/>
      <c r="BW172" s="6">
        <f t="shared" si="112"/>
        <v>5.4803338512621824</v>
      </c>
      <c r="BX172" s="9">
        <f t="shared" ca="1" si="113"/>
        <v>98.106690748918368</v>
      </c>
      <c r="BY172" s="9">
        <f t="shared" ca="1" si="114"/>
        <v>-338.85709555564205</v>
      </c>
      <c r="BZ172" s="9">
        <f t="shared" ca="1" si="115"/>
        <v>254.87336733732766</v>
      </c>
      <c r="CA172" s="6">
        <f t="shared" ca="1" si="116"/>
        <v>-423.26992141093939</v>
      </c>
      <c r="CB172" s="6">
        <f t="shared" ca="1" si="117"/>
        <v>-1.0287950436132243</v>
      </c>
      <c r="CC172" s="6">
        <f t="shared" ca="1" si="118"/>
        <v>-0.91214879434191387</v>
      </c>
      <c r="CD172" s="9">
        <f t="shared" si="119"/>
        <v>204.87336733732766</v>
      </c>
      <c r="CE172" s="9">
        <f t="shared" si="120"/>
        <v>-423.26992141093939</v>
      </c>
      <c r="CF172" s="6">
        <f t="shared" si="121"/>
        <v>-1.1200099230474156</v>
      </c>
      <c r="CG172" s="6"/>
      <c r="CH172" s="6"/>
      <c r="CI172" s="6"/>
      <c r="CJ172" s="1"/>
      <c r="CK172" s="6"/>
    </row>
    <row r="173" spans="1:89" x14ac:dyDescent="0.25">
      <c r="A173" s="1" t="str">
        <f t="shared" si="183"/>
        <v>Segment 6</v>
      </c>
      <c r="B173" s="6">
        <f t="shared" si="183"/>
        <v>-17.454333512440154</v>
      </c>
      <c r="C173" s="6">
        <f t="shared" si="183"/>
        <v>12.780698010535595</v>
      </c>
      <c r="D173" s="6">
        <f t="shared" si="183"/>
        <v>-17.806479872104408</v>
      </c>
      <c r="E173" s="6">
        <f t="shared" si="183"/>
        <v>4.7884522096749134</v>
      </c>
      <c r="F173" s="6">
        <f t="shared" si="186"/>
        <v>0</v>
      </c>
      <c r="G173" s="6">
        <f t="shared" si="187"/>
        <v>9.2020546468956285E-2</v>
      </c>
      <c r="H173" s="6">
        <f t="shared" si="188"/>
        <v>-17.454333512440154</v>
      </c>
      <c r="I173" s="6">
        <f t="shared" si="189"/>
        <v>12.780698010535595</v>
      </c>
      <c r="J173" s="9">
        <f t="shared" si="190"/>
        <v>-17.486738212893513</v>
      </c>
      <c r="K173" s="9">
        <f t="shared" si="191"/>
        <v>12.045247184426174</v>
      </c>
      <c r="L173" s="6">
        <f t="shared" si="192"/>
        <v>4250</v>
      </c>
      <c r="M173" s="6">
        <f t="shared" si="193"/>
        <v>4250</v>
      </c>
      <c r="N173" s="10">
        <f t="shared" si="194"/>
        <v>54607.060139283501</v>
      </c>
      <c r="O173" s="10">
        <f t="shared" si="195"/>
        <v>677829.73354862223</v>
      </c>
      <c r="P173" s="10">
        <f t="shared" si="196"/>
        <v>-477007.43801538117</v>
      </c>
      <c r="BC173">
        <v>5.9690260418205892</v>
      </c>
      <c r="BD173">
        <v>273.0985079779939</v>
      </c>
      <c r="BE173">
        <v>-390.71292415971607</v>
      </c>
      <c r="BF173" s="6">
        <f t="shared" si="171"/>
        <v>5.3224265939513549</v>
      </c>
      <c r="BG173" s="6">
        <f t="shared" si="172"/>
        <v>0.64659944786923429</v>
      </c>
      <c r="BH173" s="6">
        <f t="shared" si="173"/>
        <v>0.9607587132282317</v>
      </c>
      <c r="BI173" s="6">
        <f t="shared" si="174"/>
        <v>0.9607587132282317</v>
      </c>
      <c r="BJ173">
        <v>303.44278664221542</v>
      </c>
      <c r="BK173">
        <v>-434.12547128857341</v>
      </c>
      <c r="BV173" s="37"/>
      <c r="BW173" s="6">
        <f t="shared" si="112"/>
        <v>5.5152404363020686</v>
      </c>
      <c r="BX173" s="9">
        <f t="shared" ca="1" si="113"/>
        <v>99.056535679113352</v>
      </c>
      <c r="BY173" s="9">
        <f t="shared" ca="1" si="114"/>
        <v>-337.90667165296389</v>
      </c>
      <c r="BZ173" s="9">
        <f t="shared" ca="1" si="115"/>
        <v>255.82321226752265</v>
      </c>
      <c r="CA173" s="6">
        <f t="shared" ca="1" si="116"/>
        <v>-422.31949750826124</v>
      </c>
      <c r="CB173" s="6">
        <f t="shared" ca="1" si="117"/>
        <v>-1.02615410575205</v>
      </c>
      <c r="CC173" s="6">
        <f t="shared" ca="1" si="118"/>
        <v>-0.91154621275336012</v>
      </c>
      <c r="CD173" s="9">
        <f t="shared" si="119"/>
        <v>205.82321226752265</v>
      </c>
      <c r="CE173" s="9">
        <f t="shared" si="120"/>
        <v>-422.31949750826124</v>
      </c>
      <c r="CF173" s="6">
        <f t="shared" si="121"/>
        <v>-1.117308727027386</v>
      </c>
      <c r="CG173" s="6"/>
      <c r="CH173" s="6"/>
      <c r="CI173" s="6"/>
      <c r="CJ173" s="1"/>
      <c r="CK173" s="6"/>
    </row>
    <row r="174" spans="1:89" x14ac:dyDescent="0.25">
      <c r="A174" s="1" t="str">
        <f t="shared" si="183"/>
        <v>Segment 7</v>
      </c>
      <c r="B174" s="6">
        <f t="shared" si="183"/>
        <v>-17.806479872104408</v>
      </c>
      <c r="C174" s="6">
        <f t="shared" si="183"/>
        <v>4.7884522096749134</v>
      </c>
      <c r="D174" s="6">
        <f t="shared" si="183"/>
        <v>-5.8181111708133839</v>
      </c>
      <c r="E174" s="6">
        <f t="shared" si="183"/>
        <v>4.2602326701785316</v>
      </c>
      <c r="F174" s="6">
        <f t="shared" si="186"/>
        <v>0</v>
      </c>
      <c r="G174" s="6">
        <f t="shared" si="187"/>
        <v>0</v>
      </c>
      <c r="H174" s="6">
        <f t="shared" si="188"/>
        <v>0</v>
      </c>
      <c r="I174" s="6">
        <f t="shared" si="189"/>
        <v>0</v>
      </c>
      <c r="J174" s="9">
        <f t="shared" si="190"/>
        <v>0</v>
      </c>
      <c r="K174" s="9">
        <f t="shared" si="191"/>
        <v>0</v>
      </c>
      <c r="L174" s="6">
        <f t="shared" si="192"/>
        <v>4250</v>
      </c>
      <c r="M174" s="6">
        <f t="shared" si="193"/>
        <v>4250</v>
      </c>
      <c r="N174" s="10">
        <f t="shared" si="194"/>
        <v>0</v>
      </c>
      <c r="O174" s="10">
        <f t="shared" si="195"/>
        <v>0</v>
      </c>
      <c r="P174" s="10">
        <f t="shared" si="196"/>
        <v>0</v>
      </c>
      <c r="BC174">
        <v>6.0039326268604754</v>
      </c>
      <c r="BD174">
        <v>274.64457800393541</v>
      </c>
      <c r="BE174">
        <v>-385.6477670336547</v>
      </c>
      <c r="BF174" s="6">
        <f t="shared" si="171"/>
        <v>5.3312323463849305</v>
      </c>
      <c r="BG174" s="6">
        <f t="shared" si="172"/>
        <v>0.67270028047554487</v>
      </c>
      <c r="BH174" s="6">
        <f t="shared" si="173"/>
        <v>0.95195296079465597</v>
      </c>
      <c r="BI174" s="6">
        <f t="shared" si="174"/>
        <v>0.95195296079465597</v>
      </c>
      <c r="BJ174">
        <v>305.16064222659492</v>
      </c>
      <c r="BK174">
        <v>-428.49751892628296</v>
      </c>
      <c r="BV174" s="37"/>
      <c r="BW174" s="6">
        <f t="shared" si="112"/>
        <v>5.5501470213419548</v>
      </c>
      <c r="BX174" s="9">
        <f t="shared" ca="1" si="113"/>
        <v>100.07765361327304</v>
      </c>
      <c r="BY174" s="9">
        <f t="shared" ca="1" si="114"/>
        <v>-336.81093918732017</v>
      </c>
      <c r="BZ174" s="9">
        <f t="shared" ca="1" si="115"/>
        <v>256.84433020168234</v>
      </c>
      <c r="CA174" s="6">
        <f t="shared" ca="1" si="116"/>
        <v>-421.22376504261752</v>
      </c>
      <c r="CB174" s="6">
        <f t="shared" ca="1" si="117"/>
        <v>-1.0232331026347208</v>
      </c>
      <c r="CC174" s="6">
        <f t="shared" ca="1" si="118"/>
        <v>-0.91096624946370941</v>
      </c>
      <c r="CD174" s="9">
        <f t="shared" si="119"/>
        <v>206.84433020168234</v>
      </c>
      <c r="CE174" s="9">
        <f t="shared" si="120"/>
        <v>-421.22376504261752</v>
      </c>
      <c r="CF174" s="6">
        <f t="shared" si="121"/>
        <v>-1.1143297275810917</v>
      </c>
      <c r="CG174" s="6"/>
      <c r="CH174" s="6"/>
      <c r="CI174" s="6"/>
      <c r="CJ174" s="1"/>
      <c r="CK174" s="6"/>
    </row>
    <row r="175" spans="1:89" ht="15.75" thickBot="1" x14ac:dyDescent="0.3">
      <c r="A175" s="1" t="str">
        <f t="shared" si="183"/>
        <v>Segment 8</v>
      </c>
      <c r="B175" s="6">
        <f t="shared" si="183"/>
        <v>-5.8181111708133839</v>
      </c>
      <c r="C175" s="6">
        <f t="shared" si="183"/>
        <v>4.2602326701785316</v>
      </c>
      <c r="D175" s="6">
        <f t="shared" si="183"/>
        <v>-6.5224038901418933</v>
      </c>
      <c r="E175" s="6">
        <f t="shared" si="183"/>
        <v>-11.724258931542833</v>
      </c>
      <c r="F175" s="6">
        <f t="shared" si="186"/>
        <v>0</v>
      </c>
      <c r="G175" s="6">
        <f t="shared" si="187"/>
        <v>0</v>
      </c>
      <c r="H175" s="6">
        <f t="shared" si="188"/>
        <v>0</v>
      </c>
      <c r="I175" s="6">
        <f t="shared" si="189"/>
        <v>0</v>
      </c>
      <c r="J175" s="9">
        <f t="shared" si="190"/>
        <v>0</v>
      </c>
      <c r="K175" s="9">
        <f t="shared" si="191"/>
        <v>0</v>
      </c>
      <c r="L175" s="6">
        <f t="shared" si="192"/>
        <v>4250</v>
      </c>
      <c r="M175" s="6">
        <f t="shared" si="193"/>
        <v>4250</v>
      </c>
      <c r="N175" s="11">
        <f t="shared" si="194"/>
        <v>0</v>
      </c>
      <c r="O175" s="11">
        <f t="shared" si="195"/>
        <v>0</v>
      </c>
      <c r="P175" s="11">
        <f t="shared" si="196"/>
        <v>0</v>
      </c>
      <c r="BC175">
        <v>6.0388392119003615</v>
      </c>
      <c r="BD175">
        <v>276.26351255371856</v>
      </c>
      <c r="BE175">
        <v>-379.59302640970566</v>
      </c>
      <c r="BF175" s="6">
        <f t="shared" si="171"/>
        <v>5.3415226534420404</v>
      </c>
      <c r="BG175" s="6">
        <f t="shared" si="172"/>
        <v>0.69731655845832119</v>
      </c>
      <c r="BH175" s="6">
        <f t="shared" si="173"/>
        <v>0.9416626537375461</v>
      </c>
      <c r="BI175" s="6">
        <f t="shared" si="174"/>
        <v>0.9416626537375461</v>
      </c>
      <c r="BJ175">
        <v>306.95945839302061</v>
      </c>
      <c r="BK175">
        <v>-421.7700293441174</v>
      </c>
      <c r="BV175" s="37"/>
      <c r="BW175" s="6">
        <f t="shared" si="112"/>
        <v>5.585053606381841</v>
      </c>
      <c r="BX175" s="9">
        <f t="shared" ca="1" si="113"/>
        <v>101.18117227091003</v>
      </c>
      <c r="BY175" s="9">
        <f t="shared" ca="1" si="114"/>
        <v>-335.54058720933119</v>
      </c>
      <c r="BZ175" s="9">
        <f t="shared" ca="1" si="115"/>
        <v>257.94784885931932</v>
      </c>
      <c r="CA175" s="6">
        <f t="shared" ca="1" si="116"/>
        <v>-419.95341306462853</v>
      </c>
      <c r="CB175" s="6">
        <f t="shared" ca="1" si="117"/>
        <v>-1.0199794789216539</v>
      </c>
      <c r="CC175" s="6">
        <f t="shared" ca="1" si="118"/>
        <v>-0.91041622286407653</v>
      </c>
      <c r="CD175" s="9">
        <f t="shared" si="119"/>
        <v>207.94784885931932</v>
      </c>
      <c r="CE175" s="9">
        <f t="shared" si="120"/>
        <v>-419.95341306462853</v>
      </c>
      <c r="CF175" s="6">
        <f t="shared" si="121"/>
        <v>-1.1110211012080615</v>
      </c>
      <c r="CG175" s="6"/>
      <c r="CH175" s="6"/>
      <c r="CI175" s="6"/>
      <c r="CJ175" s="1"/>
      <c r="CK175" s="6"/>
    </row>
    <row r="176" spans="1:89" ht="15.75" thickTop="1" x14ac:dyDescent="0.25">
      <c r="M176" s="9"/>
      <c r="N176" s="6">
        <f>SUM(N168:N175)</f>
        <v>26136.904637735322</v>
      </c>
      <c r="O176" s="6">
        <f t="shared" ref="O176:P176" si="197">SUM(O168:O175)</f>
        <v>321232.94636655203</v>
      </c>
      <c r="P176" s="6">
        <f t="shared" si="197"/>
        <v>-311061.88214037934</v>
      </c>
      <c r="BC176">
        <v>6.0737457969402477</v>
      </c>
      <c r="BD176">
        <v>277.97783243678504</v>
      </c>
      <c r="BE176">
        <v>-372.14623695737328</v>
      </c>
      <c r="BF176" s="6">
        <f t="shared" si="171"/>
        <v>5.3539407503471512</v>
      </c>
      <c r="BG176" s="6">
        <f t="shared" si="172"/>
        <v>0.71980504659309652</v>
      </c>
      <c r="BH176" s="6">
        <f t="shared" si="173"/>
        <v>0.92924455683243523</v>
      </c>
      <c r="BI176" s="6">
        <f t="shared" si="174"/>
        <v>0.92924455683243523</v>
      </c>
      <c r="BJ176">
        <v>308.86425826309448</v>
      </c>
      <c r="BK176">
        <v>-413.49581884152587</v>
      </c>
      <c r="BV176" s="37"/>
      <c r="BW176" s="6">
        <f t="shared" si="112"/>
        <v>5.6199601914217272</v>
      </c>
      <c r="BX176" s="9">
        <f t="shared" ca="1" si="113"/>
        <v>102.38052960942466</v>
      </c>
      <c r="BY176" s="9">
        <f t="shared" ca="1" si="114"/>
        <v>-334.05836430599328</v>
      </c>
      <c r="BZ176" s="9">
        <f t="shared" ca="1" si="115"/>
        <v>259.14720619783395</v>
      </c>
      <c r="CA176" s="6">
        <f t="shared" ca="1" si="116"/>
        <v>-418.47119016129062</v>
      </c>
      <c r="CB176" s="6">
        <f t="shared" ca="1" si="117"/>
        <v>-1.0163271221965677</v>
      </c>
      <c r="CC176" s="6">
        <f t="shared" ca="1" si="118"/>
        <v>-0.90990584722563161</v>
      </c>
      <c r="CD176" s="9">
        <f t="shared" si="119"/>
        <v>209.14720619783395</v>
      </c>
      <c r="CE176" s="9">
        <f t="shared" si="120"/>
        <v>-418.47119016129062</v>
      </c>
      <c r="CF176" s="6">
        <f t="shared" si="121"/>
        <v>-1.1073177069191309</v>
      </c>
      <c r="CG176" s="6"/>
      <c r="CH176" s="6"/>
      <c r="CI176" s="6"/>
      <c r="CJ176" s="1"/>
      <c r="CK176" s="6"/>
    </row>
    <row r="177" spans="1:89" x14ac:dyDescent="0.25">
      <c r="E177" t="s">
        <v>21</v>
      </c>
      <c r="F177" t="s">
        <v>22</v>
      </c>
      <c r="G177" t="s">
        <v>8</v>
      </c>
      <c r="H177" t="s">
        <v>9</v>
      </c>
      <c r="BC177">
        <v>6.1086523819801339</v>
      </c>
      <c r="BD177">
        <v>279.81915250958133</v>
      </c>
      <c r="BE177">
        <v>-362.63509543438005</v>
      </c>
      <c r="BF177" s="6">
        <f t="shared" si="171"/>
        <v>5.3695885132243601</v>
      </c>
      <c r="BG177" s="6">
        <f t="shared" si="172"/>
        <v>0.73906386875577379</v>
      </c>
      <c r="BH177" s="6">
        <f t="shared" si="173"/>
        <v>0.91359679395522619</v>
      </c>
      <c r="BI177" s="6">
        <f t="shared" si="174"/>
        <v>0.91359679395522619</v>
      </c>
      <c r="BJ177">
        <v>310.91016945509034</v>
      </c>
      <c r="BK177">
        <v>-402.92788381597779</v>
      </c>
      <c r="BV177" s="37"/>
      <c r="BW177" s="6">
        <f t="shared" si="112"/>
        <v>5.6548667764616134</v>
      </c>
      <c r="BX177" s="9">
        <f t="shared" ca="1" si="113"/>
        <v>103.69211753001738</v>
      </c>
      <c r="BY177" s="9">
        <f t="shared" ca="1" si="114"/>
        <v>-332.31636336360992</v>
      </c>
      <c r="BZ177" s="9">
        <f t="shared" ca="1" si="115"/>
        <v>260.45879411842668</v>
      </c>
      <c r="CA177" s="6">
        <f t="shared" ca="1" si="116"/>
        <v>-416.72918921890727</v>
      </c>
      <c r="CB177" s="6">
        <f t="shared" ca="1" si="117"/>
        <v>-1.012191746960019</v>
      </c>
      <c r="CC177" s="6">
        <f t="shared" ca="1" si="118"/>
        <v>-0.90944797594917581</v>
      </c>
      <c r="CD177" s="9">
        <f t="shared" si="119"/>
        <v>210.45879411842668</v>
      </c>
      <c r="CE177" s="9">
        <f t="shared" si="120"/>
        <v>-416.72918921890727</v>
      </c>
      <c r="CF177" s="6">
        <f t="shared" si="121"/>
        <v>-1.1031365445549366</v>
      </c>
      <c r="CG177" s="6"/>
      <c r="CH177" s="6"/>
      <c r="CI177" s="6"/>
      <c r="CJ177" s="1"/>
      <c r="CK177" s="6"/>
    </row>
    <row r="178" spans="1:89" x14ac:dyDescent="0.25">
      <c r="A178" t="s">
        <v>188</v>
      </c>
      <c r="B178">
        <f>(N176+M165)/1000</f>
        <v>180.97254614627465</v>
      </c>
      <c r="C178" t="s">
        <v>68</v>
      </c>
      <c r="E178">
        <f>B179/B178</f>
        <v>11.414951378277282</v>
      </c>
      <c r="F178">
        <f>-1*B180/B178</f>
        <v>-2.0975872439070131</v>
      </c>
      <c r="G178">
        <f>(F178*COS(-1*$B$27))+(E178*SIN(-1*$B$27))+$I$2</f>
        <v>3.4019791980425547</v>
      </c>
      <c r="H178">
        <f>(-1*F178*SIN(-1*$B$27))+(E178*COS(-1*$B$27))+$I$3</f>
        <v>23.31155493850568</v>
      </c>
      <c r="J178" t="str">
        <f>"Cc = "&amp;ROUND(B178,4)&amp;" "&amp;C178&amp;CHAR(10)&amp;" @ ( "&amp;ROUND(G178,4)&amp;" , "&amp;ROUND(H178,4)&amp;" )"</f>
        <v>Cc = 180.9725 kips
 @ ( 3.402 , 23.3116 )</v>
      </c>
      <c r="BC178">
        <v>6.1435589670200201</v>
      </c>
      <c r="BD178">
        <v>281.83507885563938</v>
      </c>
      <c r="BE178">
        <v>-349.82908029692823</v>
      </c>
      <c r="BF178" s="6">
        <f t="shared" si="171"/>
        <v>5.3905573807826803</v>
      </c>
      <c r="BG178" s="6">
        <f t="shared" si="172"/>
        <v>0.75300158623733981</v>
      </c>
      <c r="BH178" s="6">
        <f t="shared" si="173"/>
        <v>0.89262792639690625</v>
      </c>
      <c r="BI178" s="6">
        <f t="shared" si="174"/>
        <v>0.89262792639690625</v>
      </c>
      <c r="BJ178">
        <v>313.1500876173771</v>
      </c>
      <c r="BK178">
        <v>-388.698978107698</v>
      </c>
      <c r="BV178" s="37"/>
      <c r="BW178" s="6">
        <f t="shared" si="112"/>
        <v>5.6897733615014996</v>
      </c>
      <c r="BX178" s="9">
        <f t="shared" ca="1" si="113"/>
        <v>105.08178838433699</v>
      </c>
      <c r="BY178" s="9">
        <f t="shared" ca="1" si="114"/>
        <v>-330.33113156096925</v>
      </c>
      <c r="BZ178" s="9">
        <f t="shared" ca="1" si="115"/>
        <v>261.84846497274629</v>
      </c>
      <c r="CA178" s="6">
        <f t="shared" ca="1" si="116"/>
        <v>-414.7439574162666</v>
      </c>
      <c r="CB178" s="6">
        <f t="shared" ca="1" si="117"/>
        <v>-1.0076439740831282</v>
      </c>
      <c r="CC178" s="6">
        <f t="shared" ca="1" si="118"/>
        <v>-0.90907375832310011</v>
      </c>
      <c r="CD178" s="9">
        <f t="shared" si="119"/>
        <v>211.84846497274629</v>
      </c>
      <c r="CE178" s="9">
        <f t="shared" si="120"/>
        <v>-414.7439574162666</v>
      </c>
      <c r="CF178" s="6">
        <f t="shared" si="121"/>
        <v>-1.0985513499154382</v>
      </c>
      <c r="CG178" s="6"/>
      <c r="CH178" s="6"/>
      <c r="CI178" s="6"/>
      <c r="CJ178" s="1"/>
      <c r="CK178" s="6"/>
    </row>
    <row r="179" spans="1:89" x14ac:dyDescent="0.25">
      <c r="A179" t="s">
        <v>100</v>
      </c>
      <c r="B179">
        <f>(N165+O176)/1000</f>
        <v>2065.7928150627667</v>
      </c>
      <c r="C179" t="s">
        <v>69</v>
      </c>
      <c r="BC179">
        <v>6.1784655520599063</v>
      </c>
      <c r="BD179">
        <v>284.10462870532234</v>
      </c>
      <c r="BE179">
        <v>-331.1554673141606</v>
      </c>
      <c r="BF179" s="6">
        <f t="shared" si="171"/>
        <v>5.4214626111906288</v>
      </c>
      <c r="BG179" s="6">
        <f t="shared" si="172"/>
        <v>0.75700294086927755</v>
      </c>
      <c r="BH179" s="6">
        <f t="shared" si="173"/>
        <v>0.86172269598895768</v>
      </c>
      <c r="BI179" s="6">
        <f t="shared" si="174"/>
        <v>0.86172269598895768</v>
      </c>
      <c r="BJ179">
        <v>315.67180967258037</v>
      </c>
      <c r="BK179">
        <v>-367.9505192379562</v>
      </c>
      <c r="BV179" s="37"/>
      <c r="BW179" s="6">
        <f t="shared" si="112"/>
        <v>5.7246799465413858</v>
      </c>
      <c r="BX179" s="9">
        <f t="shared" ca="1" si="113"/>
        <v>106.46070831066302</v>
      </c>
      <c r="BY179" s="9">
        <f t="shared" ca="1" si="114"/>
        <v>-328.20715012560049</v>
      </c>
      <c r="BZ179" s="9">
        <f t="shared" ca="1" si="115"/>
        <v>263.22738489907232</v>
      </c>
      <c r="CA179" s="6">
        <f t="shared" ca="1" si="116"/>
        <v>-412.61997598089783</v>
      </c>
      <c r="CB179" s="6">
        <f t="shared" ca="1" si="117"/>
        <v>-1.002944881203881</v>
      </c>
      <c r="CC179" s="6">
        <f t="shared" ca="1" si="118"/>
        <v>-0.90882305014224907</v>
      </c>
      <c r="CD179" s="9">
        <f t="shared" si="119"/>
        <v>213.22738489907232</v>
      </c>
      <c r="CE179" s="9">
        <f t="shared" si="120"/>
        <v>-412.61997598089783</v>
      </c>
      <c r="CF179" s="6">
        <f t="shared" si="121"/>
        <v>-1.0938271862181059</v>
      </c>
      <c r="CG179" s="6"/>
      <c r="CH179" s="6"/>
      <c r="CI179" s="6"/>
      <c r="CJ179" s="1"/>
      <c r="CK179" s="6"/>
    </row>
    <row r="180" spans="1:89" x14ac:dyDescent="0.25">
      <c r="A180" t="s">
        <v>101</v>
      </c>
      <c r="B180">
        <f>-1*(O165+P176)/1000</f>
        <v>379.60570429379896</v>
      </c>
      <c r="C180" t="s">
        <v>69</v>
      </c>
      <c r="BC180">
        <v>6.2133721370997925</v>
      </c>
      <c r="BD180">
        <v>286.7803216150939</v>
      </c>
      <c r="BE180">
        <v>-299.94471083070596</v>
      </c>
      <c r="BF180" s="6">
        <f t="shared" si="171"/>
        <v>5.4753538401497623</v>
      </c>
      <c r="BG180" s="6">
        <f t="shared" si="172"/>
        <v>0.73801829695003018</v>
      </c>
      <c r="BH180" s="6">
        <f t="shared" si="173"/>
        <v>0.80783146702982411</v>
      </c>
      <c r="BI180" s="6">
        <f t="shared" si="174"/>
        <v>0.80783146702982411</v>
      </c>
      <c r="BJ180">
        <v>318.64480179454875</v>
      </c>
      <c r="BK180">
        <v>-333.27190092300663</v>
      </c>
      <c r="BV180" s="37"/>
      <c r="BW180" s="6">
        <f t="shared" si="112"/>
        <v>5.759586531581272</v>
      </c>
      <c r="BX180" s="9">
        <f t="shared" ca="1" si="113"/>
        <v>107.83305566309858</v>
      </c>
      <c r="BY180" s="9">
        <f t="shared" ca="1" si="114"/>
        <v>-325.92234191719905</v>
      </c>
      <c r="BZ180" s="9">
        <f t="shared" ca="1" si="115"/>
        <v>264.59973225150787</v>
      </c>
      <c r="CA180" s="6">
        <f t="shared" ca="1" si="116"/>
        <v>-410.33516777249639</v>
      </c>
      <c r="CB180" s="6">
        <f t="shared" ca="1" si="117"/>
        <v>-0.99805845215700384</v>
      </c>
      <c r="CC180" s="6">
        <f t="shared" ca="1" si="118"/>
        <v>-0.90870662934410595</v>
      </c>
      <c r="CD180" s="9">
        <f t="shared" si="119"/>
        <v>214.59973225150787</v>
      </c>
      <c r="CE180" s="9">
        <f t="shared" si="120"/>
        <v>-410.33516777249639</v>
      </c>
      <c r="CF180" s="6">
        <f t="shared" si="121"/>
        <v>-1.0889291150914144</v>
      </c>
      <c r="CG180" s="6"/>
      <c r="CH180" s="6"/>
      <c r="CI180" s="6"/>
      <c r="CJ180" s="1"/>
      <c r="CK180" s="6"/>
    </row>
    <row r="181" spans="1:89" x14ac:dyDescent="0.25">
      <c r="BC181">
        <v>6.2482787221396787</v>
      </c>
      <c r="BD181">
        <v>290.22073929659479</v>
      </c>
      <c r="BE181">
        <v>-230.56325245905956</v>
      </c>
      <c r="BF181" s="6">
        <f t="shared" si="171"/>
        <v>5.6118432066923347</v>
      </c>
      <c r="BG181" s="6">
        <f t="shared" si="172"/>
        <v>0.636435515447344</v>
      </c>
      <c r="BH181" s="6">
        <f t="shared" si="173"/>
        <v>0.67134210048725185</v>
      </c>
      <c r="BI181" s="6">
        <f t="shared" si="174"/>
        <v>0.67134210048725185</v>
      </c>
      <c r="BJ181">
        <v>322.46748810732754</v>
      </c>
      <c r="BK181">
        <v>-256.18139162117728</v>
      </c>
      <c r="BV181" s="37"/>
      <c r="BW181" s="6">
        <f t="shared" si="112"/>
        <v>5.7944931166211582</v>
      </c>
      <c r="BX181" s="9">
        <f t="shared" ca="1" si="113"/>
        <v>109.2054255554352</v>
      </c>
      <c r="BY181" s="9">
        <f t="shared" ca="1" si="114"/>
        <v>-323.44540860874571</v>
      </c>
      <c r="BZ181" s="9">
        <f t="shared" ca="1" si="115"/>
        <v>265.9721021438445</v>
      </c>
      <c r="CA181" s="6">
        <f t="shared" ca="1" si="116"/>
        <v>-407.85823446404305</v>
      </c>
      <c r="CB181" s="6">
        <f t="shared" ca="1" si="117"/>
        <v>-0.99293292051975002</v>
      </c>
      <c r="CC181" s="6">
        <f t="shared" ca="1" si="118"/>
        <v>-0.90873874175091518</v>
      </c>
      <c r="CD181" s="9">
        <f t="shared" si="119"/>
        <v>215.9721021438445</v>
      </c>
      <c r="CE181" s="9">
        <f t="shared" si="120"/>
        <v>-407.85823446404305</v>
      </c>
      <c r="CF181" s="6">
        <f t="shared" si="121"/>
        <v>-1.0838067946948415</v>
      </c>
      <c r="CG181" s="6"/>
      <c r="CH181" s="6"/>
      <c r="CI181" s="6"/>
      <c r="CJ181" s="1"/>
      <c r="CK181" s="6"/>
    </row>
    <row r="182" spans="1:89" x14ac:dyDescent="0.25">
      <c r="A182" t="s">
        <v>54</v>
      </c>
      <c r="BC182">
        <v>6.2831853071795649</v>
      </c>
      <c r="BD182">
        <v>292.01188235301464</v>
      </c>
      <c r="BE182">
        <v>-127.98000000010308</v>
      </c>
      <c r="BF182" s="6">
        <f t="shared" si="171"/>
        <v>5.8701288902489583</v>
      </c>
      <c r="BG182" s="6">
        <f t="shared" si="172"/>
        <v>0.41305641693060657</v>
      </c>
      <c r="BH182" s="6">
        <f t="shared" si="173"/>
        <v>0.41305641693062817</v>
      </c>
      <c r="BI182" s="6">
        <f t="shared" si="174"/>
        <v>0.41305641693062817</v>
      </c>
      <c r="BJ182">
        <v>324.45764705890514</v>
      </c>
      <c r="BK182">
        <v>-142.20000000011453</v>
      </c>
      <c r="BV182" s="37"/>
      <c r="BW182" s="6">
        <f t="shared" si="112"/>
        <v>5.8293997016610444</v>
      </c>
      <c r="BX182" s="9">
        <f t="shared" ca="1" si="113"/>
        <v>110.58468803040361</v>
      </c>
      <c r="BY182" s="9">
        <f t="shared" ca="1" si="114"/>
        <v>-320.73697090168139</v>
      </c>
      <c r="BZ182" s="9">
        <f t="shared" ca="1" si="115"/>
        <v>267.35136461881291</v>
      </c>
      <c r="CA182" s="6">
        <f t="shared" ca="1" si="116"/>
        <v>-405.14979675697873</v>
      </c>
      <c r="CB182" s="6">
        <f t="shared" ca="1" si="117"/>
        <v>-0.98750499294762761</v>
      </c>
      <c r="CC182" s="6">
        <f t="shared" ca="1" si="118"/>
        <v>-0.90893895494191801</v>
      </c>
      <c r="CD182" s="9">
        <f t="shared" si="119"/>
        <v>217.35136461881291</v>
      </c>
      <c r="CE182" s="9">
        <f t="shared" si="120"/>
        <v>-405.14979675697873</v>
      </c>
      <c r="CF182" s="6">
        <f t="shared" si="121"/>
        <v>-1.0783988884418194</v>
      </c>
      <c r="CG182" s="6"/>
      <c r="CH182" s="6"/>
      <c r="CI182" s="6"/>
      <c r="CJ182" s="1"/>
      <c r="CK182" s="6"/>
    </row>
    <row r="183" spans="1:89" x14ac:dyDescent="0.25">
      <c r="BC183">
        <v>6.3180918922194511</v>
      </c>
      <c r="BD183">
        <v>292.01188235295956</v>
      </c>
      <c r="BE183">
        <v>-127.98000000001063</v>
      </c>
      <c r="BF183" s="6">
        <f t="shared" si="171"/>
        <v>5.8701288902491546</v>
      </c>
      <c r="BG183" s="6">
        <f t="shared" si="172"/>
        <v>0.44796300197029648</v>
      </c>
      <c r="BH183" s="6">
        <f t="shared" si="173"/>
        <v>0.41305641693043188</v>
      </c>
      <c r="BI183" s="6">
        <f t="shared" si="174"/>
        <v>0.41305641693043188</v>
      </c>
      <c r="BJ183">
        <v>324.45764705884397</v>
      </c>
      <c r="BK183">
        <v>-142.20000000001181</v>
      </c>
      <c r="BV183" s="37"/>
      <c r="BW183" s="6">
        <f t="shared" si="112"/>
        <v>5.8643062867009306</v>
      </c>
      <c r="BX183" s="9">
        <f t="shared" ca="1" si="113"/>
        <v>111.97820676280091</v>
      </c>
      <c r="BY183" s="9">
        <f t="shared" ca="1" si="114"/>
        <v>-317.74656352684127</v>
      </c>
      <c r="BZ183" s="9">
        <f t="shared" ca="1" si="115"/>
        <v>268.74488335121021</v>
      </c>
      <c r="CA183" s="6">
        <f t="shared" ca="1" si="116"/>
        <v>-402.15938938213861</v>
      </c>
      <c r="CB183" s="6">
        <f t="shared" ca="1" si="117"/>
        <v>-0.98169515343974101</v>
      </c>
      <c r="CC183" s="6">
        <f t="shared" ca="1" si="118"/>
        <v>-0.90933383663494116</v>
      </c>
      <c r="CD183" s="9">
        <f t="shared" si="119"/>
        <v>218.74488335121021</v>
      </c>
      <c r="CE183" s="9">
        <f t="shared" si="120"/>
        <v>-402.15938938213861</v>
      </c>
      <c r="CF183" s="6">
        <f t="shared" si="121"/>
        <v>-1.0726285371032351</v>
      </c>
      <c r="CG183" s="6"/>
      <c r="CH183" s="6"/>
      <c r="CI183" s="6"/>
      <c r="CJ183" s="1"/>
      <c r="CK183" s="6"/>
    </row>
    <row r="184" spans="1:89" x14ac:dyDescent="0.25">
      <c r="A184">
        <f>A14</f>
        <v>0</v>
      </c>
      <c r="B184" t="str">
        <f t="shared" ref="B184:E184" si="198">B14</f>
        <v>Bar #</v>
      </c>
      <c r="C184" t="str">
        <f t="shared" si="198"/>
        <v>As (in^2)</v>
      </c>
      <c r="D184" t="str">
        <f t="shared" si="198"/>
        <v>x</v>
      </c>
      <c r="E184" t="str">
        <f t="shared" si="198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189</v>
      </c>
      <c r="M184" s="1" t="s">
        <v>225</v>
      </c>
      <c r="N184" s="1" t="s">
        <v>60</v>
      </c>
      <c r="O184" s="1" t="s">
        <v>61</v>
      </c>
      <c r="P184" s="1" t="s">
        <v>62</v>
      </c>
      <c r="BC184"/>
      <c r="BD184"/>
      <c r="BF184" s="6" t="e">
        <f t="shared" si="171"/>
        <v>#N/A</v>
      </c>
      <c r="BG184" s="6" t="e">
        <f t="shared" si="172"/>
        <v>#N/A</v>
      </c>
      <c r="BH184" s="6" t="e">
        <f t="shared" si="173"/>
        <v>#N/A</v>
      </c>
      <c r="BI184" s="6" t="e">
        <f t="shared" si="174"/>
        <v>#N/A</v>
      </c>
      <c r="BV184" s="37"/>
      <c r="BW184" s="6">
        <f t="shared" si="112"/>
        <v>5.8992128717408168</v>
      </c>
      <c r="BX184" s="9">
        <f t="shared" ca="1" si="113"/>
        <v>113.39411479007541</v>
      </c>
      <c r="BY184" s="9">
        <f t="shared" ca="1" si="114"/>
        <v>-314.40816102696152</v>
      </c>
      <c r="BZ184" s="9">
        <f t="shared" ca="1" si="115"/>
        <v>270.1607913784847</v>
      </c>
      <c r="CA184" s="6">
        <f t="shared" ca="1" si="116"/>
        <v>-398.82098688225886</v>
      </c>
      <c r="CB184" s="6">
        <f t="shared" ca="1" si="117"/>
        <v>-0.97540065513324214</v>
      </c>
      <c r="CC184" s="6">
        <f t="shared" ca="1" si="118"/>
        <v>-0.90995943568984217</v>
      </c>
      <c r="CD184" s="9">
        <f t="shared" si="119"/>
        <v>220.1607913784847</v>
      </c>
      <c r="CE184" s="9">
        <f t="shared" si="120"/>
        <v>-398.82098688225886</v>
      </c>
      <c r="CF184" s="6">
        <f t="shared" si="121"/>
        <v>-1.0663965987022264</v>
      </c>
      <c r="CG184" s="6"/>
      <c r="CH184" s="6"/>
      <c r="CI184" s="6"/>
      <c r="CJ184" s="1"/>
      <c r="CK184" s="6"/>
    </row>
    <row r="185" spans="1:89" x14ac:dyDescent="0.25">
      <c r="A185">
        <f t="shared" ref="A185:E194" si="199">A15</f>
        <v>1</v>
      </c>
      <c r="B185">
        <f t="shared" si="199"/>
        <v>8</v>
      </c>
      <c r="C185" s="6">
        <f t="shared" ca="1" si="199"/>
        <v>0.79</v>
      </c>
      <c r="D185" s="6">
        <f t="shared" si="199"/>
        <v>2</v>
      </c>
      <c r="E185" s="6">
        <f t="shared" si="199"/>
        <v>2</v>
      </c>
      <c r="F185" s="6">
        <f t="shared" ref="F185:F194" si="200">D185-$I$2</f>
        <v>-4</v>
      </c>
      <c r="G185" s="6">
        <f t="shared" ref="G185:G194" si="201">E185-$I$3</f>
        <v>-10</v>
      </c>
      <c r="H185" s="6">
        <f t="shared" ref="H185:H194" si="202">F185*COS($B$27)+G185*SIN($B$27)</f>
        <v>-4.4363058500106591</v>
      </c>
      <c r="I185" s="6">
        <f t="shared" ref="I185:I194" si="203">-1*F185*SIN($B$27)+G185*COS($B$27)</f>
        <v>-9.8142340712437264</v>
      </c>
      <c r="J185" s="6">
        <f>IF(B185=0,0,$G$38-I185)</f>
        <v>22.594932081779319</v>
      </c>
      <c r="K185" s="6">
        <f t="shared" ref="K185:K194" ca="1" si="204">IF($B$28=0,-1,IF(C185=0,0,(($B$28-J185)/$B$28)*$B$30)*IF($B$28&lt;0,-1,1))</f>
        <v>-2.4376413501373671E-2</v>
      </c>
      <c r="L185" s="6">
        <f ca="1">IF(K185&lt;0,0,IF(K185&lt;=$B$145,0.85*$B$143*((2*K185/$B$145)-POWER(K185/$B$145,2)),0.85*$B$143))/1000</f>
        <v>0</v>
      </c>
      <c r="M185" s="6">
        <f ca="1">IF(K185&gt;0,MIN((K185*B$13),B$12)-L185,MAX(K185*B$13,-1*B$12))</f>
        <v>-60</v>
      </c>
      <c r="N185" s="6">
        <f t="shared" ref="N185:N194" ca="1" si="205">M185*C185</f>
        <v>-47.400000000000006</v>
      </c>
      <c r="O185" s="6">
        <f t="shared" ref="O185:O194" ca="1" si="206">N185*I185</f>
        <v>465.19469497695269</v>
      </c>
      <c r="P185" s="6">
        <f t="shared" ref="P185:P194" ca="1" si="207">N185*H185*-1</f>
        <v>-210.28089729050527</v>
      </c>
      <c r="BC185"/>
      <c r="BD185"/>
      <c r="BF185" s="6" t="e">
        <f t="shared" si="171"/>
        <v>#N/A</v>
      </c>
      <c r="BG185" s="6" t="e">
        <f t="shared" si="172"/>
        <v>#N/A</v>
      </c>
      <c r="BH185" s="6" t="e">
        <f t="shared" si="173"/>
        <v>#N/A</v>
      </c>
      <c r="BI185" s="6" t="e">
        <f t="shared" si="174"/>
        <v>#N/A</v>
      </c>
      <c r="BV185" s="37"/>
      <c r="BW185" s="6">
        <f t="shared" si="112"/>
        <v>5.934119456780703</v>
      </c>
      <c r="BX185" s="9">
        <f t="shared" ca="1" si="113"/>
        <v>114.84168203743567</v>
      </c>
      <c r="BY185" s="9">
        <f t="shared" ca="1" si="114"/>
        <v>-310.63329940679785</v>
      </c>
      <c r="BZ185" s="9">
        <f t="shared" ca="1" si="115"/>
        <v>271.60835862584497</v>
      </c>
      <c r="CA185" s="6">
        <f t="shared" ca="1" si="116"/>
        <v>-395.04612526209519</v>
      </c>
      <c r="CB185" s="6">
        <f t="shared" ca="1" si="117"/>
        <v>-0.96848466290369795</v>
      </c>
      <c r="CC185" s="6">
        <f t="shared" ca="1" si="118"/>
        <v>-0.91086501440390655</v>
      </c>
      <c r="CD185" s="9">
        <f t="shared" si="119"/>
        <v>221.60835862584497</v>
      </c>
      <c r="CE185" s="9">
        <f t="shared" si="120"/>
        <v>-395.04612526209519</v>
      </c>
      <c r="CF185" s="6">
        <f t="shared" si="121"/>
        <v>-1.0595711643440886</v>
      </c>
      <c r="CG185" s="6"/>
      <c r="CH185" s="6"/>
      <c r="CI185" s="6"/>
      <c r="CJ185" s="1"/>
      <c r="CK185" s="6"/>
    </row>
    <row r="186" spans="1:89" x14ac:dyDescent="0.25">
      <c r="A186">
        <f t="shared" si="199"/>
        <v>2</v>
      </c>
      <c r="B186">
        <f t="shared" si="199"/>
        <v>8</v>
      </c>
      <c r="C186" s="6">
        <f t="shared" ca="1" si="199"/>
        <v>0.79</v>
      </c>
      <c r="D186" s="6">
        <f t="shared" si="199"/>
        <v>2</v>
      </c>
      <c r="E186" s="6">
        <f t="shared" si="199"/>
        <v>4</v>
      </c>
      <c r="F186" s="6">
        <f t="shared" si="200"/>
        <v>-4</v>
      </c>
      <c r="G186" s="6">
        <f t="shared" si="201"/>
        <v>-8</v>
      </c>
      <c r="H186" s="6">
        <f t="shared" si="202"/>
        <v>-4.3482692600945958</v>
      </c>
      <c r="I186" s="6">
        <f t="shared" si="203"/>
        <v>-7.8161726210285547</v>
      </c>
      <c r="J186" s="6">
        <f t="shared" ref="J186:J194" si="208">IF(B186=0,0,$G$38-I186)</f>
        <v>20.596870631564151</v>
      </c>
      <c r="K186" s="6">
        <f t="shared" ca="1" si="204"/>
        <v>-2.1955527425493188E-2</v>
      </c>
      <c r="L186" s="6">
        <f t="shared" ref="L186:L194" ca="1" si="209">IF(K186&lt;0,0,IF(K186&lt;=$B$145,0.85*$B$143*((2*K186/$B$145)-POWER(K186/$B$145,2)),0.85*$B$143))/1000</f>
        <v>0</v>
      </c>
      <c r="M186" s="6">
        <f t="shared" ref="M186:M194" ca="1" si="210">IF(K186&gt;0,MIN((K186*B$13),B$12)-L186,MAX(K186*B$13,-1*B$12))</f>
        <v>-60</v>
      </c>
      <c r="N186" s="6">
        <f t="shared" ca="1" si="205"/>
        <v>-47.400000000000006</v>
      </c>
      <c r="O186" s="6">
        <f t="shared" ca="1" si="206"/>
        <v>370.48658223675352</v>
      </c>
      <c r="P186" s="6">
        <f t="shared" ca="1" si="207"/>
        <v>-206.10796292848386</v>
      </c>
      <c r="BC186"/>
      <c r="BD186"/>
      <c r="BF186" s="6" t="e">
        <f t="shared" si="171"/>
        <v>#N/A</v>
      </c>
      <c r="BG186" s="6" t="e">
        <f t="shared" si="172"/>
        <v>#N/A</v>
      </c>
      <c r="BH186" s="6" t="e">
        <f t="shared" si="173"/>
        <v>#N/A</v>
      </c>
      <c r="BI186" s="6" t="e">
        <f t="shared" si="174"/>
        <v>#N/A</v>
      </c>
      <c r="BV186" s="37"/>
      <c r="BW186" s="6">
        <f t="shared" si="112"/>
        <v>5.9690260418205892</v>
      </c>
      <c r="BX186" s="9">
        <f t="shared" ca="1" si="113"/>
        <v>116.33183138958461</v>
      </c>
      <c r="BY186" s="9">
        <f t="shared" ca="1" si="114"/>
        <v>-306.30009830441873</v>
      </c>
      <c r="BZ186" s="9">
        <f t="shared" ca="1" si="115"/>
        <v>273.0985079779939</v>
      </c>
      <c r="CA186" s="6">
        <f t="shared" ca="1" si="116"/>
        <v>-390.71292415971607</v>
      </c>
      <c r="CB186" s="6">
        <f t="shared" ca="1" si="117"/>
        <v>-0.9607587132282317</v>
      </c>
      <c r="CC186" s="6">
        <f t="shared" ca="1" si="118"/>
        <v>-0.91211879129013851</v>
      </c>
      <c r="CD186" s="9">
        <f t="shared" si="119"/>
        <v>223.0985079779939</v>
      </c>
      <c r="CE186" s="9">
        <f t="shared" si="120"/>
        <v>-390.71292415971607</v>
      </c>
      <c r="CF186" s="6">
        <f t="shared" si="121"/>
        <v>-1.0519705923572455</v>
      </c>
      <c r="CG186" s="6"/>
      <c r="CH186" s="6"/>
      <c r="CI186" s="6"/>
      <c r="CJ186" s="1"/>
      <c r="CK186" s="6"/>
    </row>
    <row r="187" spans="1:89" x14ac:dyDescent="0.25">
      <c r="A187">
        <f t="shared" si="199"/>
        <v>3</v>
      </c>
      <c r="B187">
        <f t="shared" si="199"/>
        <v>8</v>
      </c>
      <c r="C187" s="6">
        <f t="shared" ca="1" si="199"/>
        <v>0.79</v>
      </c>
      <c r="D187" s="6">
        <f t="shared" si="199"/>
        <v>4</v>
      </c>
      <c r="E187" s="6">
        <f t="shared" si="199"/>
        <v>2</v>
      </c>
      <c r="F187" s="6">
        <f t="shared" si="200"/>
        <v>-2</v>
      </c>
      <c r="G187" s="6">
        <f t="shared" si="201"/>
        <v>-10</v>
      </c>
      <c r="H187" s="6">
        <f t="shared" si="202"/>
        <v>-2.4382443997954888</v>
      </c>
      <c r="I187" s="6">
        <f t="shared" si="203"/>
        <v>-9.9022706611597897</v>
      </c>
      <c r="J187" s="6">
        <f t="shared" si="208"/>
        <v>22.682968671695384</v>
      </c>
      <c r="K187" s="6">
        <f t="shared" ca="1" si="204"/>
        <v>-2.4483080168043434E-2</v>
      </c>
      <c r="L187" s="6">
        <f t="shared" ca="1" si="209"/>
        <v>0</v>
      </c>
      <c r="M187" s="6">
        <f t="shared" ca="1" si="210"/>
        <v>-60</v>
      </c>
      <c r="N187" s="6">
        <f t="shared" ca="1" si="205"/>
        <v>-47.400000000000006</v>
      </c>
      <c r="O187" s="6">
        <f t="shared" ca="1" si="206"/>
        <v>469.3676293389741</v>
      </c>
      <c r="P187" s="6">
        <f t="shared" ca="1" si="207"/>
        <v>-115.57278455030618</v>
      </c>
      <c r="BC187"/>
      <c r="BD187"/>
      <c r="BF187" s="6" t="e">
        <f t="shared" si="171"/>
        <v>#N/A</v>
      </c>
      <c r="BG187" s="6" t="e">
        <f t="shared" si="172"/>
        <v>#N/A</v>
      </c>
      <c r="BH187" s="6" t="e">
        <f t="shared" si="173"/>
        <v>#N/A</v>
      </c>
      <c r="BI187" s="6" t="e">
        <f t="shared" si="174"/>
        <v>#N/A</v>
      </c>
      <c r="BV187" s="37"/>
      <c r="BW187" s="6">
        <f t="shared" si="112"/>
        <v>6.0039326268604754</v>
      </c>
      <c r="BX187" s="9">
        <f t="shared" ca="1" si="113"/>
        <v>117.87790141552611</v>
      </c>
      <c r="BY187" s="9">
        <f t="shared" ca="1" si="114"/>
        <v>-301.23494117835736</v>
      </c>
      <c r="BZ187" s="9">
        <f t="shared" ca="1" si="115"/>
        <v>274.64457800393541</v>
      </c>
      <c r="CA187" s="6">
        <f t="shared" ca="1" si="116"/>
        <v>-385.6477670336547</v>
      </c>
      <c r="CB187" s="6">
        <f t="shared" ca="1" si="117"/>
        <v>-0.95195296079465597</v>
      </c>
      <c r="CC187" s="6">
        <f t="shared" ca="1" si="118"/>
        <v>-0.91381701108723468</v>
      </c>
      <c r="CD187" s="9">
        <f t="shared" si="119"/>
        <v>224.64457800393541</v>
      </c>
      <c r="CE187" s="9">
        <f t="shared" si="120"/>
        <v>-385.6477670336547</v>
      </c>
      <c r="CF187" s="6">
        <f t="shared" si="121"/>
        <v>-1.0433346619033794</v>
      </c>
      <c r="CG187" s="6"/>
      <c r="CH187" s="6"/>
      <c r="CI187" s="6"/>
      <c r="CJ187" s="1"/>
      <c r="CK187" s="6"/>
    </row>
    <row r="188" spans="1:89" x14ac:dyDescent="0.25">
      <c r="A188">
        <f t="shared" si="199"/>
        <v>4</v>
      </c>
      <c r="B188">
        <f t="shared" si="199"/>
        <v>8</v>
      </c>
      <c r="C188" s="6">
        <f t="shared" ca="1" si="199"/>
        <v>0.79</v>
      </c>
      <c r="D188" s="6">
        <f t="shared" si="199"/>
        <v>4</v>
      </c>
      <c r="E188" s="6">
        <f t="shared" si="199"/>
        <v>4</v>
      </c>
      <c r="F188" s="6">
        <f t="shared" si="200"/>
        <v>-2</v>
      </c>
      <c r="G188" s="6">
        <f t="shared" si="201"/>
        <v>-8</v>
      </c>
      <c r="H188" s="6">
        <f t="shared" si="202"/>
        <v>-2.350207809879425</v>
      </c>
      <c r="I188" s="6">
        <f t="shared" si="203"/>
        <v>-7.9042092109446189</v>
      </c>
      <c r="J188" s="6">
        <f t="shared" si="208"/>
        <v>20.684907221480213</v>
      </c>
      <c r="K188" s="6">
        <f t="shared" ca="1" si="204"/>
        <v>-2.2062194092162951E-2</v>
      </c>
      <c r="L188" s="6">
        <f t="shared" ca="1" si="209"/>
        <v>0</v>
      </c>
      <c r="M188" s="6">
        <f t="shared" ca="1" si="210"/>
        <v>-60</v>
      </c>
      <c r="N188" s="6">
        <f t="shared" ca="1" si="205"/>
        <v>-47.400000000000006</v>
      </c>
      <c r="O188" s="6">
        <f t="shared" ca="1" si="206"/>
        <v>374.65951659877499</v>
      </c>
      <c r="P188" s="6">
        <f t="shared" ca="1" si="207"/>
        <v>-111.39985018828476</v>
      </c>
      <c r="BC188"/>
      <c r="BD188"/>
      <c r="BF188" s="6" t="e">
        <f t="shared" si="171"/>
        <v>#N/A</v>
      </c>
      <c r="BG188" s="6" t="e">
        <f t="shared" si="172"/>
        <v>#N/A</v>
      </c>
      <c r="BH188" s="6" t="e">
        <f t="shared" si="173"/>
        <v>#N/A</v>
      </c>
      <c r="BI188" s="6" t="e">
        <f t="shared" si="174"/>
        <v>#N/A</v>
      </c>
      <c r="BV188" s="37"/>
      <c r="BW188" s="6">
        <f t="shared" si="112"/>
        <v>6.0388392119003615</v>
      </c>
      <c r="BX188" s="9">
        <f t="shared" ca="1" si="113"/>
        <v>119.49683596530926</v>
      </c>
      <c r="BY188" s="9">
        <f t="shared" ca="1" si="114"/>
        <v>-295.18020055440832</v>
      </c>
      <c r="BZ188" s="9">
        <f t="shared" ca="1" si="115"/>
        <v>276.26351255371856</v>
      </c>
      <c r="CA188" s="6">
        <f t="shared" ca="1" si="116"/>
        <v>-379.59302640970566</v>
      </c>
      <c r="CB188" s="6">
        <f t="shared" ca="1" si="117"/>
        <v>-0.94166265373754587</v>
      </c>
      <c r="CC188" s="6">
        <f t="shared" ca="1" si="118"/>
        <v>-0.91609866659949191</v>
      </c>
      <c r="CD188" s="9">
        <f t="shared" si="119"/>
        <v>226.26351255371856</v>
      </c>
      <c r="CE188" s="9">
        <f t="shared" si="120"/>
        <v>-379.59302640970566</v>
      </c>
      <c r="CF188" s="6">
        <f t="shared" si="121"/>
        <v>-1.0332725203974951</v>
      </c>
      <c r="CG188" s="6"/>
      <c r="CH188" s="6"/>
      <c r="CI188" s="6"/>
      <c r="CJ188" s="1"/>
      <c r="CK188" s="6"/>
    </row>
    <row r="189" spans="1:89" x14ac:dyDescent="0.25">
      <c r="A189">
        <f t="shared" si="199"/>
        <v>5</v>
      </c>
      <c r="B189">
        <f t="shared" si="199"/>
        <v>0</v>
      </c>
      <c r="C189" s="6">
        <f t="shared" ca="1" si="199"/>
        <v>0</v>
      </c>
      <c r="D189" s="6">
        <f t="shared" si="199"/>
        <v>2.5</v>
      </c>
      <c r="E189" s="6">
        <f t="shared" si="199"/>
        <v>12.5</v>
      </c>
      <c r="F189" s="6">
        <f t="shared" si="200"/>
        <v>-3.5</v>
      </c>
      <c r="G189" s="6">
        <f t="shared" si="201"/>
        <v>0.5</v>
      </c>
      <c r="H189" s="6">
        <f t="shared" si="202"/>
        <v>-3.4745983903975328</v>
      </c>
      <c r="I189" s="6">
        <f t="shared" si="203"/>
        <v>0.65357939490690398</v>
      </c>
      <c r="J189" s="6">
        <f t="shared" si="208"/>
        <v>0</v>
      </c>
      <c r="K189" s="6">
        <f t="shared" ca="1" si="204"/>
        <v>0</v>
      </c>
      <c r="L189" s="6">
        <f t="shared" ca="1" si="209"/>
        <v>0</v>
      </c>
      <c r="M189" s="6">
        <f t="shared" ca="1" si="210"/>
        <v>0</v>
      </c>
      <c r="N189" s="6">
        <f t="shared" ca="1" si="205"/>
        <v>0</v>
      </c>
      <c r="O189" s="6">
        <f t="shared" ca="1" si="206"/>
        <v>0</v>
      </c>
      <c r="P189" s="6">
        <f t="shared" ca="1" si="207"/>
        <v>0</v>
      </c>
      <c r="BC189"/>
      <c r="BD189"/>
      <c r="BF189" s="6" t="e">
        <f t="shared" si="171"/>
        <v>#N/A</v>
      </c>
      <c r="BG189" s="6" t="e">
        <f t="shared" si="172"/>
        <v>#N/A</v>
      </c>
      <c r="BH189" s="6" t="e">
        <f t="shared" si="173"/>
        <v>#N/A</v>
      </c>
      <c r="BI189" s="6" t="e">
        <f t="shared" si="174"/>
        <v>#N/A</v>
      </c>
      <c r="BV189" s="37"/>
      <c r="BW189" s="6">
        <f t="shared" si="112"/>
        <v>6.0737457969402477</v>
      </c>
      <c r="BX189" s="9">
        <f t="shared" ca="1" si="113"/>
        <v>121.21115584837574</v>
      </c>
      <c r="BY189" s="9">
        <f t="shared" ca="1" si="114"/>
        <v>-287.73341110207593</v>
      </c>
      <c r="BZ189" s="9">
        <f t="shared" ca="1" si="115"/>
        <v>277.97783243678504</v>
      </c>
      <c r="CA189" s="6">
        <f t="shared" ca="1" si="116"/>
        <v>-372.14623695737328</v>
      </c>
      <c r="CB189" s="6">
        <f t="shared" ca="1" si="117"/>
        <v>-0.92924455683243512</v>
      </c>
      <c r="CC189" s="6">
        <f t="shared" ca="1" si="118"/>
        <v>-0.91916993644444722</v>
      </c>
      <c r="CD189" s="9">
        <f t="shared" si="119"/>
        <v>227.97783243678504</v>
      </c>
      <c r="CE189" s="9">
        <f t="shared" si="120"/>
        <v>-372.14623695737328</v>
      </c>
      <c r="CF189" s="6">
        <f t="shared" si="121"/>
        <v>-1.0211615504768798</v>
      </c>
      <c r="CG189" s="6"/>
      <c r="CH189" s="6"/>
      <c r="CI189" s="6"/>
      <c r="CJ189" s="1"/>
      <c r="CK189" s="6"/>
    </row>
    <row r="190" spans="1:89" x14ac:dyDescent="0.25">
      <c r="A190">
        <f t="shared" si="199"/>
        <v>6</v>
      </c>
      <c r="B190">
        <f t="shared" si="199"/>
        <v>0</v>
      </c>
      <c r="C190" s="6">
        <f t="shared" ca="1" si="199"/>
        <v>0</v>
      </c>
      <c r="D190" s="6">
        <f t="shared" si="199"/>
        <v>2.5</v>
      </c>
      <c r="E190" s="6">
        <f t="shared" si="199"/>
        <v>17.5</v>
      </c>
      <c r="F190" s="6">
        <f t="shared" si="200"/>
        <v>-3.5</v>
      </c>
      <c r="G190" s="6">
        <f t="shared" si="201"/>
        <v>5.5</v>
      </c>
      <c r="H190" s="6">
        <f t="shared" si="202"/>
        <v>-3.2545069156073736</v>
      </c>
      <c r="I190" s="6">
        <f t="shared" si="203"/>
        <v>5.6487330204448307</v>
      </c>
      <c r="J190" s="6">
        <f t="shared" si="208"/>
        <v>0</v>
      </c>
      <c r="K190" s="6">
        <f t="shared" ca="1" si="204"/>
        <v>0</v>
      </c>
      <c r="L190" s="6">
        <f t="shared" ca="1" si="209"/>
        <v>0</v>
      </c>
      <c r="M190" s="6">
        <f t="shared" ca="1" si="210"/>
        <v>0</v>
      </c>
      <c r="N190" s="6">
        <f t="shared" ca="1" si="205"/>
        <v>0</v>
      </c>
      <c r="O190" s="6">
        <f t="shared" ca="1" si="206"/>
        <v>0</v>
      </c>
      <c r="P190" s="6">
        <f t="shared" ca="1" si="207"/>
        <v>0</v>
      </c>
      <c r="BC190"/>
      <c r="BD190"/>
      <c r="BF190" s="6" t="e">
        <f t="shared" si="171"/>
        <v>#N/A</v>
      </c>
      <c r="BG190" s="6" t="e">
        <f t="shared" si="172"/>
        <v>#N/A</v>
      </c>
      <c r="BH190" s="6" t="e">
        <f t="shared" si="173"/>
        <v>#N/A</v>
      </c>
      <c r="BI190" s="6" t="e">
        <f t="shared" si="174"/>
        <v>#N/A</v>
      </c>
      <c r="BV190" s="37"/>
      <c r="BW190" s="6">
        <f t="shared" si="112"/>
        <v>6.1086523819801339</v>
      </c>
      <c r="BX190" s="9">
        <f t="shared" ca="1" si="113"/>
        <v>123.05247592117203</v>
      </c>
      <c r="BY190" s="9">
        <f t="shared" ca="1" si="114"/>
        <v>-278.22226957908271</v>
      </c>
      <c r="BZ190" s="9">
        <f t="shared" ca="1" si="115"/>
        <v>279.81915250958133</v>
      </c>
      <c r="CA190" s="6">
        <f t="shared" ca="1" si="116"/>
        <v>-362.63509543438005</v>
      </c>
      <c r="CB190" s="6">
        <f t="shared" ca="1" si="117"/>
        <v>-0.91359679395522608</v>
      </c>
      <c r="CC190" s="6">
        <f t="shared" ca="1" si="118"/>
        <v>-0.92334463242311093</v>
      </c>
      <c r="CD190" s="9">
        <f t="shared" si="119"/>
        <v>229.81915250958133</v>
      </c>
      <c r="CE190" s="9">
        <f t="shared" si="120"/>
        <v>-362.63509543438005</v>
      </c>
      <c r="CF190" s="6">
        <f t="shared" si="121"/>
        <v>-1.0059312571975372</v>
      </c>
      <c r="CG190" s="6"/>
      <c r="CH190" s="6"/>
      <c r="CI190" s="6"/>
      <c r="CJ190" s="1"/>
      <c r="CK190" s="6"/>
    </row>
    <row r="191" spans="1:89" x14ac:dyDescent="0.25">
      <c r="A191">
        <f t="shared" si="199"/>
        <v>7</v>
      </c>
      <c r="B191">
        <f t="shared" si="199"/>
        <v>0</v>
      </c>
      <c r="C191" s="6">
        <f t="shared" ca="1" si="199"/>
        <v>0</v>
      </c>
      <c r="D191" s="6">
        <f t="shared" si="199"/>
        <v>8</v>
      </c>
      <c r="E191" s="6">
        <f t="shared" si="199"/>
        <v>17.5</v>
      </c>
      <c r="F191" s="6">
        <f t="shared" si="200"/>
        <v>2</v>
      </c>
      <c r="G191" s="6">
        <f t="shared" si="201"/>
        <v>5.5</v>
      </c>
      <c r="H191" s="6">
        <f t="shared" si="202"/>
        <v>2.2401620724843454</v>
      </c>
      <c r="I191" s="6">
        <f t="shared" si="203"/>
        <v>5.4066323981756561</v>
      </c>
      <c r="J191" s="6">
        <f t="shared" si="208"/>
        <v>0</v>
      </c>
      <c r="K191" s="6">
        <f t="shared" ca="1" si="204"/>
        <v>0</v>
      </c>
      <c r="L191" s="6">
        <f t="shared" ca="1" si="209"/>
        <v>0</v>
      </c>
      <c r="M191" s="6">
        <f t="shared" ca="1" si="210"/>
        <v>0</v>
      </c>
      <c r="N191" s="6">
        <f t="shared" ca="1" si="205"/>
        <v>0</v>
      </c>
      <c r="O191" s="6">
        <f t="shared" ca="1" si="206"/>
        <v>0</v>
      </c>
      <c r="P191" s="6">
        <f t="shared" ca="1" si="207"/>
        <v>0</v>
      </c>
      <c r="BC191"/>
      <c r="BD191"/>
      <c r="BF191" s="6" t="e">
        <f t="shared" si="171"/>
        <v>#N/A</v>
      </c>
      <c r="BG191" s="6" t="e">
        <f t="shared" si="172"/>
        <v>#N/A</v>
      </c>
      <c r="BH191" s="6" t="e">
        <f t="shared" si="173"/>
        <v>#N/A</v>
      </c>
      <c r="BI191" s="6" t="e">
        <f t="shared" si="174"/>
        <v>#N/A</v>
      </c>
      <c r="BV191" s="37"/>
      <c r="BW191" s="6">
        <f t="shared" si="112"/>
        <v>6.1435589670200201</v>
      </c>
      <c r="BX191" s="9">
        <f t="shared" ca="1" si="113"/>
        <v>125.06840226723008</v>
      </c>
      <c r="BY191" s="9">
        <f t="shared" ca="1" si="114"/>
        <v>-265.41625444163088</v>
      </c>
      <c r="BZ191" s="9">
        <f t="shared" ca="1" si="115"/>
        <v>281.83507885563938</v>
      </c>
      <c r="CA191" s="6">
        <f t="shared" ca="1" si="116"/>
        <v>-349.82908029692823</v>
      </c>
      <c r="CB191" s="6">
        <f t="shared" ca="1" si="117"/>
        <v>-0.89262792639690625</v>
      </c>
      <c r="CC191" s="6">
        <f t="shared" ca="1" si="118"/>
        <v>-0.92910331955301617</v>
      </c>
      <c r="CD191" s="9">
        <f t="shared" si="119"/>
        <v>231.83507885563938</v>
      </c>
      <c r="CE191" s="9">
        <f t="shared" si="120"/>
        <v>-349.82908029692823</v>
      </c>
      <c r="CF191" s="6">
        <f t="shared" si="121"/>
        <v>-0.98553825835220787</v>
      </c>
      <c r="CG191" s="6"/>
      <c r="CH191" s="6"/>
      <c r="CI191" s="6"/>
      <c r="CJ191" s="1"/>
      <c r="CK191" s="6"/>
    </row>
    <row r="192" spans="1:89" x14ac:dyDescent="0.25">
      <c r="A192">
        <f t="shared" si="199"/>
        <v>8</v>
      </c>
      <c r="B192">
        <f t="shared" si="199"/>
        <v>0</v>
      </c>
      <c r="C192" s="6">
        <f t="shared" ca="1" si="199"/>
        <v>0</v>
      </c>
      <c r="D192" s="6">
        <f t="shared" si="199"/>
        <v>13.5</v>
      </c>
      <c r="E192" s="6">
        <f t="shared" si="199"/>
        <v>7.5</v>
      </c>
      <c r="F192" s="6">
        <f t="shared" si="200"/>
        <v>7.5</v>
      </c>
      <c r="G192" s="6">
        <f t="shared" si="201"/>
        <v>-4.5</v>
      </c>
      <c r="H192" s="6">
        <f t="shared" si="202"/>
        <v>7.2946481109957464</v>
      </c>
      <c r="I192" s="6">
        <f t="shared" si="203"/>
        <v>-4.8257754751693724</v>
      </c>
      <c r="J192" s="6">
        <f t="shared" si="208"/>
        <v>0</v>
      </c>
      <c r="K192" s="6">
        <f t="shared" ca="1" si="204"/>
        <v>0</v>
      </c>
      <c r="L192" s="6">
        <f t="shared" ca="1" si="209"/>
        <v>0</v>
      </c>
      <c r="M192" s="6">
        <f t="shared" ca="1" si="210"/>
        <v>0</v>
      </c>
      <c r="N192" s="6">
        <f t="shared" ca="1" si="205"/>
        <v>0</v>
      </c>
      <c r="O192" s="6">
        <f t="shared" ca="1" si="206"/>
        <v>0</v>
      </c>
      <c r="P192" s="6">
        <f t="shared" ca="1" si="207"/>
        <v>0</v>
      </c>
      <c r="BC192"/>
      <c r="BD192"/>
      <c r="BF192" s="6" t="e">
        <f t="shared" si="171"/>
        <v>#N/A</v>
      </c>
      <c r="BG192" s="6" t="e">
        <f t="shared" si="172"/>
        <v>#N/A</v>
      </c>
      <c r="BH192" s="6" t="e">
        <f t="shared" si="173"/>
        <v>#N/A</v>
      </c>
      <c r="BI192" s="6" t="e">
        <f t="shared" si="174"/>
        <v>#N/A</v>
      </c>
      <c r="BV192" s="37"/>
      <c r="BW192" s="6">
        <f t="shared" si="112"/>
        <v>6.1784655520599063</v>
      </c>
      <c r="BX192" s="9">
        <f t="shared" ca="1" si="113"/>
        <v>127.33795211691304</v>
      </c>
      <c r="BY192" s="9">
        <f t="shared" ca="1" si="114"/>
        <v>-246.74264145886326</v>
      </c>
      <c r="BZ192" s="9">
        <f t="shared" ca="1" si="115"/>
        <v>284.10462870532234</v>
      </c>
      <c r="CA192" s="6">
        <f t="shared" ca="1" si="116"/>
        <v>-331.1554673141606</v>
      </c>
      <c r="CB192" s="6">
        <f t="shared" ca="1" si="117"/>
        <v>-0.86172269598895712</v>
      </c>
      <c r="CC192" s="6">
        <f t="shared" ca="1" si="118"/>
        <v>-0.93709985628525061</v>
      </c>
      <c r="CD192" s="9">
        <f t="shared" si="119"/>
        <v>234.10462870532234</v>
      </c>
      <c r="CE192" s="9">
        <f t="shared" si="120"/>
        <v>-331.1554673141606</v>
      </c>
      <c r="CF192" s="6">
        <f t="shared" si="121"/>
        <v>-0.95543268161748218</v>
      </c>
      <c r="CG192" s="6"/>
      <c r="CH192" s="6"/>
      <c r="CI192" s="6"/>
      <c r="CJ192" s="1"/>
      <c r="CK192" s="6"/>
    </row>
    <row r="193" spans="1:89" x14ac:dyDescent="0.25">
      <c r="A193">
        <f t="shared" si="199"/>
        <v>9</v>
      </c>
      <c r="B193">
        <f t="shared" si="199"/>
        <v>0</v>
      </c>
      <c r="C193" s="6">
        <f t="shared" ca="1" si="199"/>
        <v>0</v>
      </c>
      <c r="D193" s="6">
        <f t="shared" si="199"/>
        <v>13.5</v>
      </c>
      <c r="E193" s="6">
        <f t="shared" si="199"/>
        <v>12.5</v>
      </c>
      <c r="F193" s="6">
        <f t="shared" si="200"/>
        <v>7.5</v>
      </c>
      <c r="G193" s="6">
        <f t="shared" si="201"/>
        <v>0.5</v>
      </c>
      <c r="H193" s="6">
        <f t="shared" si="202"/>
        <v>7.5147395857859056</v>
      </c>
      <c r="I193" s="6">
        <f t="shared" si="203"/>
        <v>0.16937815036855408</v>
      </c>
      <c r="J193" s="6">
        <f t="shared" si="208"/>
        <v>0</v>
      </c>
      <c r="K193" s="6">
        <f t="shared" ca="1" si="204"/>
        <v>0</v>
      </c>
      <c r="L193" s="6">
        <f t="shared" ca="1" si="209"/>
        <v>0</v>
      </c>
      <c r="M193" s="6">
        <f t="shared" ca="1" si="210"/>
        <v>0</v>
      </c>
      <c r="N193" s="6">
        <f t="shared" ca="1" si="205"/>
        <v>0</v>
      </c>
      <c r="O193" s="6">
        <f t="shared" ca="1" si="206"/>
        <v>0</v>
      </c>
      <c r="P193" s="6">
        <f t="shared" ca="1" si="207"/>
        <v>0</v>
      </c>
      <c r="BC193"/>
      <c r="BD193"/>
      <c r="BF193" s="6" t="e">
        <f t="shared" si="171"/>
        <v>#N/A</v>
      </c>
      <c r="BG193" s="6" t="e">
        <f t="shared" si="172"/>
        <v>#N/A</v>
      </c>
      <c r="BH193" s="6" t="e">
        <f t="shared" si="173"/>
        <v>#N/A</v>
      </c>
      <c r="BI193" s="6" t="e">
        <f t="shared" si="174"/>
        <v>#N/A</v>
      </c>
      <c r="BV193" s="37"/>
      <c r="BW193" s="6">
        <f t="shared" si="112"/>
        <v>6.2133721370997925</v>
      </c>
      <c r="BX193" s="9">
        <f t="shared" ca="1" si="113"/>
        <v>130.0136450266846</v>
      </c>
      <c r="BY193" s="9">
        <f t="shared" ca="1" si="114"/>
        <v>-215.53188497540862</v>
      </c>
      <c r="BZ193" s="9">
        <f t="shared" ca="1" si="115"/>
        <v>286.7803216150939</v>
      </c>
      <c r="CA193" s="6">
        <f t="shared" ca="1" si="116"/>
        <v>-299.94471083070596</v>
      </c>
      <c r="CB193" s="6">
        <f t="shared" ca="1" si="117"/>
        <v>-0.807831467029824</v>
      </c>
      <c r="CC193" s="6">
        <f t="shared" ca="1" si="118"/>
        <v>-0.94712687140146468</v>
      </c>
      <c r="CD193" s="9">
        <f t="shared" si="119"/>
        <v>236.7803216150939</v>
      </c>
      <c r="CE193" s="9">
        <f t="shared" si="120"/>
        <v>-299.94471083070596</v>
      </c>
      <c r="CF193" s="6">
        <f t="shared" si="121"/>
        <v>-0.90254415416997047</v>
      </c>
      <c r="CG193" s="6"/>
      <c r="CH193" s="6"/>
      <c r="CI193" s="6"/>
      <c r="CJ193" s="1"/>
      <c r="CK193" s="6"/>
    </row>
    <row r="194" spans="1:89" ht="15.75" thickBot="1" x14ac:dyDescent="0.3">
      <c r="A194">
        <f t="shared" si="199"/>
        <v>10</v>
      </c>
      <c r="B194">
        <f t="shared" si="199"/>
        <v>0</v>
      </c>
      <c r="C194" s="6">
        <f t="shared" ca="1" si="199"/>
        <v>0</v>
      </c>
      <c r="D194" s="6">
        <f t="shared" si="199"/>
        <v>13.5</v>
      </c>
      <c r="E194" s="6">
        <f t="shared" si="199"/>
        <v>17.5</v>
      </c>
      <c r="F194" s="6">
        <f t="shared" si="200"/>
        <v>7.5</v>
      </c>
      <c r="G194" s="6">
        <f t="shared" si="201"/>
        <v>5.5</v>
      </c>
      <c r="H194" s="6">
        <f t="shared" si="202"/>
        <v>7.734831060576064</v>
      </c>
      <c r="I194" s="6">
        <f t="shared" si="203"/>
        <v>5.1645317759064806</v>
      </c>
      <c r="J194" s="6">
        <f t="shared" si="208"/>
        <v>0</v>
      </c>
      <c r="K194" s="11">
        <f t="shared" ca="1" si="204"/>
        <v>0</v>
      </c>
      <c r="L194" s="6">
        <f t="shared" ca="1" si="209"/>
        <v>0</v>
      </c>
      <c r="M194" s="6">
        <f t="shared" ca="1" si="210"/>
        <v>0</v>
      </c>
      <c r="N194" s="11">
        <f t="shared" ca="1" si="205"/>
        <v>0</v>
      </c>
      <c r="O194" s="11">
        <f t="shared" ca="1" si="206"/>
        <v>0</v>
      </c>
      <c r="P194" s="11">
        <f t="shared" ca="1" si="207"/>
        <v>0</v>
      </c>
      <c r="BC194"/>
      <c r="BD194"/>
      <c r="BF194" s="6" t="e">
        <f t="shared" si="171"/>
        <v>#N/A</v>
      </c>
      <c r="BG194" s="6" t="e">
        <f t="shared" si="172"/>
        <v>#N/A</v>
      </c>
      <c r="BH194" s="6" t="e">
        <f t="shared" si="173"/>
        <v>#N/A</v>
      </c>
      <c r="BI194" s="6" t="e">
        <f t="shared" si="174"/>
        <v>#N/A</v>
      </c>
      <c r="BV194" s="37"/>
      <c r="BW194" s="6">
        <f t="shared" si="112"/>
        <v>6.2482787221396787</v>
      </c>
      <c r="BX194" s="9">
        <f t="shared" ca="1" si="113"/>
        <v>133.45406270818549</v>
      </c>
      <c r="BY194" s="9">
        <f t="shared" ca="1" si="114"/>
        <v>-146.15042660376221</v>
      </c>
      <c r="BZ194" s="9">
        <f t="shared" ca="1" si="115"/>
        <v>290.22073929659479</v>
      </c>
      <c r="CA194" s="6">
        <f t="shared" ca="1" si="116"/>
        <v>-230.56325245905956</v>
      </c>
      <c r="CB194" s="6">
        <f t="shared" ca="1" si="117"/>
        <v>-0.67134210048725163</v>
      </c>
      <c r="CC194" s="6">
        <f t="shared" ca="1" si="118"/>
        <v>-0.93545313401826147</v>
      </c>
      <c r="CD194" s="9">
        <f t="shared" si="119"/>
        <v>240.22073929659479</v>
      </c>
      <c r="CE194" s="9">
        <f t="shared" si="120"/>
        <v>-230.56325245905956</v>
      </c>
      <c r="CF194" s="6">
        <f t="shared" si="121"/>
        <v>-0.76488741388907777</v>
      </c>
      <c r="CG194" s="6"/>
      <c r="CH194" s="6"/>
      <c r="CI194" s="6"/>
      <c r="CJ194" s="1"/>
      <c r="CK194" s="6"/>
    </row>
    <row r="195" spans="1:89" ht="15.75" thickTop="1" x14ac:dyDescent="0.25">
      <c r="K195" s="13">
        <f ca="1">MIN(K185:K194)</f>
        <v>-2.4483080168043434E-2</v>
      </c>
      <c r="N195" s="6">
        <f ca="1">SUM(N185:N194)</f>
        <v>-189.60000000000002</v>
      </c>
      <c r="O195" s="6">
        <f ca="1">SUM(O185:O194)</f>
        <v>1679.7084231514555</v>
      </c>
      <c r="P195" s="6">
        <f ca="1">SUM(P185:P194)</f>
        <v>-643.36149495758002</v>
      </c>
      <c r="BC195"/>
      <c r="BD195"/>
      <c r="BF195" s="6" t="e">
        <f t="shared" ref="BF195:BF258" si="211">IF(BC195&lt;&gt;"",IF(AND(BD195=0,BE195=0),0,MOD(ATAN2(BD195,BE195),2*PI())),NA())</f>
        <v>#N/A</v>
      </c>
      <c r="BG195" s="6" t="e">
        <f t="shared" ref="BG195:BG258" si="212">ABS(BC195-BF195)</f>
        <v>#N/A</v>
      </c>
      <c r="BH195" s="6" t="e">
        <f t="shared" ref="BH195:BH258" si="213">ATAN2(COS($U$13-BF195),SIN($U$13-BF195))</f>
        <v>#N/A</v>
      </c>
      <c r="BI195" s="6" t="e">
        <f t="shared" ref="BI195:BI258" si="214">ABS(BH195)</f>
        <v>#N/A</v>
      </c>
      <c r="BV195" s="37"/>
      <c r="BW195" s="6">
        <f t="shared" si="112"/>
        <v>6.2831853071795649</v>
      </c>
      <c r="BX195" s="9">
        <f t="shared" ca="1" si="113"/>
        <v>135.24520576460534</v>
      </c>
      <c r="BY195" s="9">
        <f t="shared" ca="1" si="114"/>
        <v>-43.567174144805733</v>
      </c>
      <c r="BZ195" s="9">
        <f t="shared" ca="1" si="115"/>
        <v>292.01188235301464</v>
      </c>
      <c r="CA195" s="6">
        <f t="shared" ca="1" si="116"/>
        <v>-127.98000000010308</v>
      </c>
      <c r="CB195" s="6">
        <f t="shared" ca="1" si="117"/>
        <v>-0.41305641693062772</v>
      </c>
      <c r="CC195" s="6">
        <f t="shared" ca="1" si="118"/>
        <v>-0.73378148952684907</v>
      </c>
      <c r="CD195" s="9">
        <f t="shared" si="119"/>
        <v>242.01188235301464</v>
      </c>
      <c r="CE195" s="9">
        <f t="shared" si="120"/>
        <v>-127.98000000010308</v>
      </c>
      <c r="CF195" s="6">
        <f t="shared" si="121"/>
        <v>-0.48643456588331263</v>
      </c>
      <c r="CG195" s="6"/>
      <c r="CH195" s="6"/>
      <c r="CI195" s="6"/>
      <c r="CJ195" s="1"/>
      <c r="CK195" s="6"/>
    </row>
    <row r="196" spans="1:89" x14ac:dyDescent="0.25">
      <c r="A196" t="s">
        <v>190</v>
      </c>
      <c r="B196" s="9">
        <f ca="1">N195</f>
        <v>-189.60000000000002</v>
      </c>
      <c r="C196" t="s">
        <v>68</v>
      </c>
      <c r="O196" s="6">
        <f ca="1">O195/N195</f>
        <v>-8.8592216410941731</v>
      </c>
      <c r="P196" s="6">
        <f ca="1">-1*P195/N195</f>
        <v>-3.3932568299450421</v>
      </c>
      <c r="S196">
        <f ca="1">(P196*COS(-1*$B$27))+(O196*SIN(-1*$B$27))+$I$2</f>
        <v>3.0000000000000004</v>
      </c>
      <c r="T196">
        <f ca="1">(-1*P196*SIN(-1*$B$27))+(O196*COS(-1*$B$27))+$I$3</f>
        <v>3</v>
      </c>
      <c r="BC196"/>
      <c r="BD196"/>
      <c r="BF196" s="6" t="e">
        <f t="shared" si="211"/>
        <v>#N/A</v>
      </c>
      <c r="BG196" s="6" t="e">
        <f t="shared" si="212"/>
        <v>#N/A</v>
      </c>
      <c r="BH196" s="6" t="e">
        <f t="shared" si="213"/>
        <v>#N/A</v>
      </c>
      <c r="BI196" s="6" t="e">
        <f t="shared" si="214"/>
        <v>#N/A</v>
      </c>
      <c r="BV196" s="37"/>
      <c r="BW196" s="6">
        <f t="shared" si="112"/>
        <v>6.3180918922194511</v>
      </c>
      <c r="BX196" s="9">
        <f t="shared" ca="1" si="113"/>
        <v>135.24520576455026</v>
      </c>
      <c r="BY196" s="9">
        <f t="shared" ca="1" si="114"/>
        <v>-43.567174144713292</v>
      </c>
      <c r="BZ196" s="9">
        <f t="shared" ca="1" si="115"/>
        <v>292.01188235295956</v>
      </c>
      <c r="CA196" s="6">
        <f t="shared" ca="1" si="116"/>
        <v>-127.98000000001063</v>
      </c>
      <c r="CB196" s="6">
        <f t="shared" ca="1" si="117"/>
        <v>-0.41305641693043149</v>
      </c>
      <c r="CC196" s="6">
        <f t="shared" ca="1" si="118"/>
        <v>-0.73378148952676747</v>
      </c>
      <c r="CD196" s="9">
        <f t="shared" si="119"/>
        <v>242.01188235295956</v>
      </c>
      <c r="CE196" s="9">
        <f t="shared" si="120"/>
        <v>-127.98000000001063</v>
      </c>
      <c r="CF196" s="6">
        <f t="shared" si="121"/>
        <v>-0.48643456588310824</v>
      </c>
      <c r="CG196" s="6"/>
      <c r="CH196" s="6"/>
      <c r="CI196" s="6"/>
      <c r="CJ196" s="1"/>
      <c r="CK196" s="6"/>
    </row>
    <row r="197" spans="1:89" x14ac:dyDescent="0.25">
      <c r="A197" t="s">
        <v>100</v>
      </c>
      <c r="B197" s="9">
        <f ca="1">O195</f>
        <v>1679.7084231514555</v>
      </c>
      <c r="C197" t="s">
        <v>69</v>
      </c>
      <c r="BC197"/>
      <c r="BD197"/>
      <c r="BF197" s="6" t="e">
        <f t="shared" si="211"/>
        <v>#N/A</v>
      </c>
      <c r="BG197" s="6" t="e">
        <f t="shared" si="212"/>
        <v>#N/A</v>
      </c>
      <c r="BH197" s="6" t="e">
        <f t="shared" si="213"/>
        <v>#N/A</v>
      </c>
      <c r="BI197" s="6" t="e">
        <f t="shared" si="214"/>
        <v>#N/A</v>
      </c>
      <c r="BV197" s="37"/>
      <c r="BW197" s="6" t="e">
        <f t="shared" si="112"/>
        <v>#N/A</v>
      </c>
      <c r="BX197" s="9">
        <f t="shared" ca="1" si="113"/>
        <v>-156.7666765884093</v>
      </c>
      <c r="BY197" s="9">
        <f t="shared" ca="1" si="114"/>
        <v>84.412825855297342</v>
      </c>
      <c r="BZ197" s="9">
        <f t="shared" ca="1" si="115"/>
        <v>0</v>
      </c>
      <c r="CA197" s="6">
        <f t="shared" ca="1" si="116"/>
        <v>0</v>
      </c>
      <c r="CB197" s="6" t="e">
        <f t="shared" ca="1" si="117"/>
        <v>#DIV/0!</v>
      </c>
      <c r="CC197" s="6" t="e">
        <f t="shared" ca="1" si="118"/>
        <v>#DIV/0!</v>
      </c>
      <c r="CD197" s="9">
        <f t="shared" si="119"/>
        <v>-50</v>
      </c>
      <c r="CE197" s="9">
        <f t="shared" si="120"/>
        <v>0</v>
      </c>
      <c r="CF197" s="6">
        <f t="shared" si="121"/>
        <v>3.1415926535897931</v>
      </c>
      <c r="CG197" s="6"/>
      <c r="CH197" s="6"/>
      <c r="CI197" s="6"/>
      <c r="CJ197" s="1"/>
      <c r="CK197" s="6"/>
    </row>
    <row r="198" spans="1:89" x14ac:dyDescent="0.25">
      <c r="A198" t="s">
        <v>101</v>
      </c>
      <c r="B198" s="9">
        <f ca="1">P195</f>
        <v>-643.36149495758002</v>
      </c>
      <c r="C198" t="s">
        <v>69</v>
      </c>
      <c r="S198" t="str">
        <f ca="1">"Ts = "&amp;ROUND(N195,4)&amp;" "&amp;V10&amp;CHAR(10)&amp;" @ ( "&amp;ROUND(S196,4)&amp;" , "&amp;ROUND(T196,4)&amp;" )"</f>
        <v>Ts = -189.6 kips
 @ ( 3 , 3 )</v>
      </c>
      <c r="BC198"/>
      <c r="BD198"/>
      <c r="BF198" s="6" t="e">
        <f t="shared" si="211"/>
        <v>#N/A</v>
      </c>
      <c r="BG198" s="6" t="e">
        <f t="shared" si="212"/>
        <v>#N/A</v>
      </c>
      <c r="BH198" s="6" t="e">
        <f t="shared" si="213"/>
        <v>#N/A</v>
      </c>
      <c r="BI198" s="6" t="e">
        <f t="shared" si="214"/>
        <v>#N/A</v>
      </c>
      <c r="BV198" s="37"/>
      <c r="BW198" s="6" t="e">
        <f t="shared" si="112"/>
        <v>#N/A</v>
      </c>
      <c r="BX198" s="9">
        <f t="shared" ca="1" si="113"/>
        <v>-156.7666765884093</v>
      </c>
      <c r="BY198" s="9">
        <f t="shared" ca="1" si="114"/>
        <v>84.412825855297342</v>
      </c>
      <c r="BZ198" s="9">
        <f t="shared" ca="1" si="115"/>
        <v>0</v>
      </c>
      <c r="CA198" s="6">
        <f t="shared" ca="1" si="116"/>
        <v>0</v>
      </c>
      <c r="CB198" s="6" t="e">
        <f t="shared" ca="1" si="117"/>
        <v>#DIV/0!</v>
      </c>
      <c r="CC198" s="6" t="e">
        <f t="shared" ca="1" si="118"/>
        <v>#DIV/0!</v>
      </c>
      <c r="CD198" s="9">
        <f t="shared" si="119"/>
        <v>-50</v>
      </c>
      <c r="CE198" s="9">
        <f t="shared" si="120"/>
        <v>0</v>
      </c>
      <c r="CF198" s="6">
        <f t="shared" si="121"/>
        <v>3.1415926535897931</v>
      </c>
      <c r="CG198" s="6"/>
      <c r="CH198" s="6"/>
      <c r="CI198" s="6"/>
      <c r="CJ198" s="1"/>
      <c r="CK198" s="6"/>
    </row>
    <row r="199" spans="1:89" x14ac:dyDescent="0.25">
      <c r="BC199"/>
      <c r="BD199"/>
      <c r="BF199" s="6" t="e">
        <f t="shared" si="211"/>
        <v>#N/A</v>
      </c>
      <c r="BG199" s="6" t="e">
        <f t="shared" si="212"/>
        <v>#N/A</v>
      </c>
      <c r="BH199" s="6" t="e">
        <f t="shared" si="213"/>
        <v>#N/A</v>
      </c>
      <c r="BI199" s="6" t="e">
        <f t="shared" si="214"/>
        <v>#N/A</v>
      </c>
      <c r="BV199" s="37"/>
      <c r="BW199" s="6" t="e">
        <f t="shared" si="112"/>
        <v>#N/A</v>
      </c>
      <c r="BX199" s="9">
        <f t="shared" ca="1" si="113"/>
        <v>-156.7666765884093</v>
      </c>
      <c r="BY199" s="9">
        <f t="shared" ca="1" si="114"/>
        <v>84.412825855297342</v>
      </c>
      <c r="BZ199" s="9">
        <f t="shared" ca="1" si="115"/>
        <v>0</v>
      </c>
      <c r="CA199" s="6">
        <f t="shared" ca="1" si="116"/>
        <v>0</v>
      </c>
      <c r="CB199" s="6" t="e">
        <f t="shared" ca="1" si="117"/>
        <v>#DIV/0!</v>
      </c>
      <c r="CC199" s="6" t="e">
        <f t="shared" ca="1" si="118"/>
        <v>#DIV/0!</v>
      </c>
      <c r="CD199" s="9">
        <f t="shared" si="119"/>
        <v>-50</v>
      </c>
      <c r="CE199" s="9">
        <f t="shared" si="120"/>
        <v>0</v>
      </c>
      <c r="CF199" s="6">
        <f t="shared" si="121"/>
        <v>3.1415926535897931</v>
      </c>
      <c r="CG199" s="6"/>
      <c r="CH199" s="6"/>
      <c r="CI199" s="6"/>
      <c r="CJ199" s="1"/>
      <c r="CK199" s="6"/>
    </row>
    <row r="200" spans="1:89" x14ac:dyDescent="0.25">
      <c r="A200" t="s">
        <v>99</v>
      </c>
      <c r="B200" s="9">
        <f ca="1">B178+B196</f>
        <v>-8.6274538537253704</v>
      </c>
      <c r="C200" t="s">
        <v>68</v>
      </c>
      <c r="BC200"/>
      <c r="BD200"/>
      <c r="BF200" s="6" t="e">
        <f t="shared" si="211"/>
        <v>#N/A</v>
      </c>
      <c r="BG200" s="6" t="e">
        <f t="shared" si="212"/>
        <v>#N/A</v>
      </c>
      <c r="BH200" s="6" t="e">
        <f t="shared" si="213"/>
        <v>#N/A</v>
      </c>
      <c r="BI200" s="6" t="e">
        <f t="shared" si="214"/>
        <v>#N/A</v>
      </c>
      <c r="BV200" s="37"/>
      <c r="BW200" s="6" t="e">
        <f t="shared" si="112"/>
        <v>#N/A</v>
      </c>
      <c r="BX200" s="9">
        <f t="shared" ca="1" si="113"/>
        <v>-156.7666765884093</v>
      </c>
      <c r="BY200" s="9">
        <f t="shared" ca="1" si="114"/>
        <v>84.412825855297342</v>
      </c>
      <c r="BZ200" s="9">
        <f t="shared" ca="1" si="115"/>
        <v>0</v>
      </c>
      <c r="CA200" s="6">
        <f t="shared" ca="1" si="116"/>
        <v>0</v>
      </c>
      <c r="CB200" s="6" t="e">
        <f t="shared" ca="1" si="117"/>
        <v>#DIV/0!</v>
      </c>
      <c r="CC200" s="6" t="e">
        <f t="shared" ca="1" si="118"/>
        <v>#DIV/0!</v>
      </c>
      <c r="CD200" s="9">
        <f t="shared" si="119"/>
        <v>-50</v>
      </c>
      <c r="CE200" s="9">
        <f t="shared" si="120"/>
        <v>0</v>
      </c>
      <c r="CF200" s="6">
        <f t="shared" si="121"/>
        <v>3.1415926535897931</v>
      </c>
      <c r="CG200" s="6"/>
      <c r="CH200" s="6"/>
      <c r="CI200" s="6"/>
      <c r="CJ200" s="1"/>
      <c r="CK200" s="6"/>
    </row>
    <row r="201" spans="1:89" x14ac:dyDescent="0.25">
      <c r="A201" t="s">
        <v>100</v>
      </c>
      <c r="B201" s="9">
        <f ca="1">B197+B179</f>
        <v>3745.5012382142222</v>
      </c>
      <c r="C201" t="s">
        <v>69</v>
      </c>
      <c r="BC201"/>
      <c r="BD201"/>
      <c r="BF201" s="6" t="e">
        <f t="shared" si="211"/>
        <v>#N/A</v>
      </c>
      <c r="BG201" s="6" t="e">
        <f t="shared" si="212"/>
        <v>#N/A</v>
      </c>
      <c r="BH201" s="6" t="e">
        <f t="shared" si="213"/>
        <v>#N/A</v>
      </c>
      <c r="BI201" s="6" t="e">
        <f t="shared" si="214"/>
        <v>#N/A</v>
      </c>
      <c r="BV201" s="37"/>
      <c r="BW201" s="6" t="e">
        <f t="shared" si="112"/>
        <v>#N/A</v>
      </c>
      <c r="BX201" s="9">
        <f t="shared" ca="1" si="113"/>
        <v>-156.7666765884093</v>
      </c>
      <c r="BY201" s="9">
        <f t="shared" ca="1" si="114"/>
        <v>84.412825855297342</v>
      </c>
      <c r="BZ201" s="9">
        <f t="shared" ca="1" si="115"/>
        <v>0</v>
      </c>
      <c r="CA201" s="6">
        <f t="shared" ca="1" si="116"/>
        <v>0</v>
      </c>
      <c r="CB201" s="6" t="e">
        <f t="shared" ca="1" si="117"/>
        <v>#DIV/0!</v>
      </c>
      <c r="CC201" s="6" t="e">
        <f t="shared" ca="1" si="118"/>
        <v>#DIV/0!</v>
      </c>
      <c r="CD201" s="9">
        <f t="shared" si="119"/>
        <v>-50</v>
      </c>
      <c r="CE201" s="9">
        <f t="shared" si="120"/>
        <v>0</v>
      </c>
      <c r="CF201" s="6">
        <f t="shared" si="121"/>
        <v>3.1415926535897931</v>
      </c>
      <c r="CG201" s="6"/>
      <c r="CH201" s="6"/>
      <c r="CI201" s="6"/>
      <c r="CJ201" s="1"/>
      <c r="CK201" s="6"/>
    </row>
    <row r="202" spans="1:89" x14ac:dyDescent="0.25">
      <c r="A202" t="s">
        <v>101</v>
      </c>
      <c r="B202" s="9">
        <f ca="1">B198+B180</f>
        <v>-263.75579066378106</v>
      </c>
      <c r="C202" t="s">
        <v>69</v>
      </c>
      <c r="BC202"/>
      <c r="BD202"/>
      <c r="BF202" s="6" t="e">
        <f t="shared" si="211"/>
        <v>#N/A</v>
      </c>
      <c r="BG202" s="6" t="e">
        <f t="shared" si="212"/>
        <v>#N/A</v>
      </c>
      <c r="BH202" s="6" t="e">
        <f t="shared" si="213"/>
        <v>#N/A</v>
      </c>
      <c r="BI202" s="6" t="e">
        <f t="shared" si="214"/>
        <v>#N/A</v>
      </c>
      <c r="BV202" s="37"/>
      <c r="BW202" s="6" t="e">
        <f t="shared" si="112"/>
        <v>#N/A</v>
      </c>
      <c r="BX202" s="9">
        <f t="shared" ca="1" si="113"/>
        <v>-156.7666765884093</v>
      </c>
      <c r="BY202" s="9">
        <f t="shared" ca="1" si="114"/>
        <v>84.412825855297342</v>
      </c>
      <c r="BZ202" s="9">
        <f t="shared" ca="1" si="115"/>
        <v>0</v>
      </c>
      <c r="CA202" s="6">
        <f t="shared" ca="1" si="116"/>
        <v>0</v>
      </c>
      <c r="CB202" s="6" t="e">
        <f t="shared" ca="1" si="117"/>
        <v>#DIV/0!</v>
      </c>
      <c r="CC202" s="6" t="e">
        <f t="shared" ca="1" si="118"/>
        <v>#DIV/0!</v>
      </c>
      <c r="CD202" s="9">
        <f t="shared" si="119"/>
        <v>-50</v>
      </c>
      <c r="CE202" s="9">
        <f t="shared" si="120"/>
        <v>0</v>
      </c>
      <c r="CF202" s="6">
        <f t="shared" si="121"/>
        <v>3.1415926535897931</v>
      </c>
      <c r="CG202" s="6"/>
      <c r="CH202" s="6"/>
      <c r="CI202" s="6"/>
      <c r="CJ202" s="1"/>
      <c r="CK202" s="6"/>
    </row>
    <row r="203" spans="1:89" x14ac:dyDescent="0.25">
      <c r="BC203"/>
      <c r="BD203"/>
      <c r="BF203" s="6" t="e">
        <f t="shared" si="211"/>
        <v>#N/A</v>
      </c>
      <c r="BG203" s="6" t="e">
        <f t="shared" si="212"/>
        <v>#N/A</v>
      </c>
      <c r="BH203" s="6" t="e">
        <f t="shared" si="213"/>
        <v>#N/A</v>
      </c>
      <c r="BI203" s="6" t="e">
        <f t="shared" si="214"/>
        <v>#N/A</v>
      </c>
      <c r="BV203" s="37"/>
      <c r="BW203" s="6" t="e">
        <f t="shared" si="112"/>
        <v>#N/A</v>
      </c>
      <c r="BX203" s="9">
        <f t="shared" ca="1" si="113"/>
        <v>-156.7666765884093</v>
      </c>
      <c r="BY203" s="9">
        <f t="shared" ca="1" si="114"/>
        <v>84.412825855297342</v>
      </c>
      <c r="BZ203" s="9">
        <f t="shared" ca="1" si="115"/>
        <v>0</v>
      </c>
      <c r="CA203" s="6">
        <f t="shared" ca="1" si="116"/>
        <v>0</v>
      </c>
      <c r="CB203" s="6" t="e">
        <f t="shared" ca="1" si="117"/>
        <v>#DIV/0!</v>
      </c>
      <c r="CC203" s="6" t="e">
        <f t="shared" ca="1" si="118"/>
        <v>#DIV/0!</v>
      </c>
      <c r="CD203" s="9">
        <f t="shared" si="119"/>
        <v>-50</v>
      </c>
      <c r="CE203" s="9">
        <f t="shared" si="120"/>
        <v>0</v>
      </c>
      <c r="CF203" s="6">
        <f t="shared" si="121"/>
        <v>3.1415926535897931</v>
      </c>
      <c r="CG203" s="6"/>
      <c r="CH203" s="6"/>
      <c r="CI203" s="6"/>
      <c r="CJ203" s="1"/>
      <c r="CK203" s="6"/>
    </row>
    <row r="204" spans="1:89" x14ac:dyDescent="0.25">
      <c r="A204" s="8" t="s">
        <v>64</v>
      </c>
      <c r="B204">
        <f ca="1">((B201*COS(-1*B27))+(B202*SIN(-1*B27)))</f>
        <v>3753.4808980948401</v>
      </c>
      <c r="C204" t="s">
        <v>69</v>
      </c>
      <c r="BC204"/>
      <c r="BD204"/>
      <c r="BF204" s="6" t="e">
        <f t="shared" si="211"/>
        <v>#N/A</v>
      </c>
      <c r="BG204" s="6" t="e">
        <f t="shared" si="212"/>
        <v>#N/A</v>
      </c>
      <c r="BH204" s="6" t="e">
        <f t="shared" si="213"/>
        <v>#N/A</v>
      </c>
      <c r="BI204" s="6" t="e">
        <f t="shared" si="214"/>
        <v>#N/A</v>
      </c>
      <c r="BV204" s="37"/>
      <c r="BW204" s="6" t="e">
        <f t="shared" si="112"/>
        <v>#N/A</v>
      </c>
      <c r="BX204" s="9">
        <f t="shared" ca="1" si="113"/>
        <v>-156.7666765884093</v>
      </c>
      <c r="BY204" s="9">
        <f t="shared" ca="1" si="114"/>
        <v>84.412825855297342</v>
      </c>
      <c r="BZ204" s="9">
        <f t="shared" ca="1" si="115"/>
        <v>0</v>
      </c>
      <c r="CA204" s="6">
        <f t="shared" ca="1" si="116"/>
        <v>0</v>
      </c>
      <c r="CB204" s="6" t="e">
        <f t="shared" ca="1" si="117"/>
        <v>#DIV/0!</v>
      </c>
      <c r="CC204" s="6" t="e">
        <f t="shared" ca="1" si="118"/>
        <v>#DIV/0!</v>
      </c>
      <c r="CD204" s="9">
        <f t="shared" si="119"/>
        <v>-50</v>
      </c>
      <c r="CE204" s="9">
        <f t="shared" si="120"/>
        <v>0</v>
      </c>
      <c r="CF204" s="6">
        <f t="shared" si="121"/>
        <v>3.1415926535897931</v>
      </c>
      <c r="CG204" s="6"/>
      <c r="CH204" s="6"/>
      <c r="CI204" s="6"/>
      <c r="CJ204" s="1"/>
      <c r="CK204" s="6"/>
    </row>
    <row r="205" spans="1:89" x14ac:dyDescent="0.25">
      <c r="A205" s="8" t="s">
        <v>65</v>
      </c>
      <c r="B205">
        <f ca="1">(-1*(B201)*SIN(-1*B27))+((B202)*COS(-1*B27))</f>
        <v>-98.629560528774704</v>
      </c>
      <c r="C205" t="s">
        <v>69</v>
      </c>
      <c r="BC205"/>
      <c r="BD205"/>
      <c r="BF205" s="6" t="e">
        <f t="shared" si="211"/>
        <v>#N/A</v>
      </c>
      <c r="BG205" s="6" t="e">
        <f t="shared" si="212"/>
        <v>#N/A</v>
      </c>
      <c r="BH205" s="6" t="e">
        <f t="shared" si="213"/>
        <v>#N/A</v>
      </c>
      <c r="BI205" s="6" t="e">
        <f t="shared" si="214"/>
        <v>#N/A</v>
      </c>
      <c r="BV205" s="37"/>
      <c r="BW205" s="6" t="e">
        <f t="shared" si="112"/>
        <v>#N/A</v>
      </c>
      <c r="BX205" s="9">
        <f t="shared" ca="1" si="113"/>
        <v>-156.7666765884093</v>
      </c>
      <c r="BY205" s="9">
        <f t="shared" ca="1" si="114"/>
        <v>84.412825855297342</v>
      </c>
      <c r="BZ205" s="9">
        <f t="shared" ca="1" si="115"/>
        <v>0</v>
      </c>
      <c r="CA205" s="6">
        <f t="shared" ca="1" si="116"/>
        <v>0</v>
      </c>
      <c r="CB205" s="6" t="e">
        <f t="shared" ca="1" si="117"/>
        <v>#DIV/0!</v>
      </c>
      <c r="CC205" s="6" t="e">
        <f t="shared" ca="1" si="118"/>
        <v>#DIV/0!</v>
      </c>
      <c r="CD205" s="9">
        <f t="shared" si="119"/>
        <v>-50</v>
      </c>
      <c r="CE205" s="9">
        <f t="shared" si="120"/>
        <v>0</v>
      </c>
      <c r="CF205" s="6">
        <f t="shared" si="121"/>
        <v>3.1415926535897931</v>
      </c>
      <c r="CG205" s="6"/>
      <c r="CH205" s="6"/>
      <c r="CI205" s="6"/>
      <c r="CJ205" s="1"/>
      <c r="CK205" s="6"/>
    </row>
    <row r="206" spans="1:89" x14ac:dyDescent="0.25">
      <c r="BC206"/>
      <c r="BD206"/>
      <c r="BF206" s="6" t="e">
        <f t="shared" si="211"/>
        <v>#N/A</v>
      </c>
      <c r="BG206" s="6" t="e">
        <f t="shared" si="212"/>
        <v>#N/A</v>
      </c>
      <c r="BH206" s="6" t="e">
        <f t="shared" si="213"/>
        <v>#N/A</v>
      </c>
      <c r="BI206" s="6" t="e">
        <f t="shared" si="214"/>
        <v>#N/A</v>
      </c>
      <c r="BV206" s="37"/>
      <c r="BW206" s="6" t="e">
        <f t="shared" si="112"/>
        <v>#N/A</v>
      </c>
      <c r="BX206" s="9">
        <f t="shared" ca="1" si="113"/>
        <v>-156.7666765884093</v>
      </c>
      <c r="BY206" s="9">
        <f t="shared" ca="1" si="114"/>
        <v>84.412825855297342</v>
      </c>
      <c r="BZ206" s="9">
        <f t="shared" ca="1" si="115"/>
        <v>0</v>
      </c>
      <c r="CA206" s="6">
        <f t="shared" ca="1" si="116"/>
        <v>0</v>
      </c>
      <c r="CB206" s="6" t="e">
        <f t="shared" ca="1" si="117"/>
        <v>#DIV/0!</v>
      </c>
      <c r="CC206" s="6" t="e">
        <f t="shared" ca="1" si="118"/>
        <v>#DIV/0!</v>
      </c>
      <c r="CD206" s="9">
        <f t="shared" si="119"/>
        <v>-50</v>
      </c>
      <c r="CE206" s="9">
        <f t="shared" si="120"/>
        <v>0</v>
      </c>
      <c r="CF206" s="6">
        <f t="shared" si="121"/>
        <v>3.1415926535897931</v>
      </c>
      <c r="CG206" s="6"/>
      <c r="CH206" s="6"/>
      <c r="CI206" s="6"/>
      <c r="CJ206" s="1"/>
      <c r="CK206" s="6"/>
    </row>
    <row r="207" spans="1:89" x14ac:dyDescent="0.25">
      <c r="BC207"/>
      <c r="BD207"/>
      <c r="BF207" s="6" t="e">
        <f t="shared" si="211"/>
        <v>#N/A</v>
      </c>
      <c r="BG207" s="6" t="e">
        <f t="shared" si="212"/>
        <v>#N/A</v>
      </c>
      <c r="BH207" s="6" t="e">
        <f t="shared" si="213"/>
        <v>#N/A</v>
      </c>
      <c r="BI207" s="6" t="e">
        <f t="shared" si="214"/>
        <v>#N/A</v>
      </c>
      <c r="BV207" s="37"/>
      <c r="BW207" s="6" t="e">
        <f t="shared" si="112"/>
        <v>#N/A</v>
      </c>
      <c r="BX207" s="9">
        <f t="shared" ca="1" si="113"/>
        <v>-156.7666765884093</v>
      </c>
      <c r="BY207" s="9">
        <f t="shared" ca="1" si="114"/>
        <v>84.412825855297342</v>
      </c>
      <c r="BZ207" s="9">
        <f t="shared" ca="1" si="115"/>
        <v>0</v>
      </c>
      <c r="CA207" s="6">
        <f t="shared" ca="1" si="116"/>
        <v>0</v>
      </c>
      <c r="CB207" s="6" t="e">
        <f t="shared" ca="1" si="117"/>
        <v>#DIV/0!</v>
      </c>
      <c r="CC207" s="6" t="e">
        <f t="shared" ca="1" si="118"/>
        <v>#DIV/0!</v>
      </c>
      <c r="CD207" s="9">
        <f t="shared" si="119"/>
        <v>-50</v>
      </c>
      <c r="CE207" s="9">
        <f t="shared" si="120"/>
        <v>0</v>
      </c>
      <c r="CF207" s="6">
        <f t="shared" si="121"/>
        <v>3.1415926535897931</v>
      </c>
      <c r="CG207" s="6"/>
      <c r="CH207" s="6"/>
      <c r="CI207" s="6"/>
      <c r="CJ207" s="1"/>
      <c r="CK207" s="6"/>
    </row>
    <row r="208" spans="1:89" x14ac:dyDescent="0.25">
      <c r="BC208"/>
      <c r="BD208"/>
      <c r="BF208" s="6" t="e">
        <f t="shared" si="211"/>
        <v>#N/A</v>
      </c>
      <c r="BG208" s="6" t="e">
        <f t="shared" si="212"/>
        <v>#N/A</v>
      </c>
      <c r="BH208" s="6" t="e">
        <f t="shared" si="213"/>
        <v>#N/A</v>
      </c>
      <c r="BI208" s="6" t="e">
        <f t="shared" si="214"/>
        <v>#N/A</v>
      </c>
      <c r="BV208" s="37"/>
      <c r="BW208" s="6" t="e">
        <f t="shared" ref="BW208:BW271" si="215">IF(BC195="",NA(),BC195)</f>
        <v>#N/A</v>
      </c>
      <c r="BX208" s="9">
        <f t="shared" ref="BX208:BX271" ca="1" si="216">BD195-$BW$5</f>
        <v>-156.7666765884093</v>
      </c>
      <c r="BY208" s="9">
        <f t="shared" ref="BY208:BY271" ca="1" si="217">BE195-$BX$5</f>
        <v>84.412825855297342</v>
      </c>
      <c r="BZ208" s="9">
        <f t="shared" ref="BZ208:BZ271" ca="1" si="218">BX208-$CE$5</f>
        <v>0</v>
      </c>
      <c r="CA208" s="6">
        <f t="shared" ref="CA208:CA271" ca="1" si="219">BY208-$CF$5</f>
        <v>0</v>
      </c>
      <c r="CB208" s="6" t="e">
        <f t="shared" ref="CB208:CB271" ca="1" si="220">ATAN2(BZ208,CA208)</f>
        <v>#DIV/0!</v>
      </c>
      <c r="CC208" s="6" t="e">
        <f t="shared" ref="CC208:CC271" ca="1" si="221">ATAN2(COS(CF208-CB208),SIN(CF208-CB208))*10</f>
        <v>#DIV/0!</v>
      </c>
      <c r="CD208" s="9">
        <f t="shared" ref="CD208:CD271" si="222">BD195-$BW$6</f>
        <v>-50</v>
      </c>
      <c r="CE208" s="9">
        <f t="shared" ref="CE208:CE271" si="223">BE195-$BX$6</f>
        <v>0</v>
      </c>
      <c r="CF208" s="6">
        <f t="shared" ref="CF208:CF271" si="224">ATAN2(CD208,CE208)</f>
        <v>3.1415926535897931</v>
      </c>
      <c r="CG208" s="6"/>
      <c r="CH208" s="6"/>
      <c r="CI208" s="6"/>
      <c r="CJ208" s="1"/>
      <c r="CK208" s="6"/>
    </row>
    <row r="209" spans="55:89" x14ac:dyDescent="0.25">
      <c r="BC209"/>
      <c r="BD209"/>
      <c r="BF209" s="6" t="e">
        <f t="shared" si="211"/>
        <v>#N/A</v>
      </c>
      <c r="BG209" s="6" t="e">
        <f t="shared" si="212"/>
        <v>#N/A</v>
      </c>
      <c r="BH209" s="6" t="e">
        <f t="shared" si="213"/>
        <v>#N/A</v>
      </c>
      <c r="BI209" s="6" t="e">
        <f t="shared" si="214"/>
        <v>#N/A</v>
      </c>
      <c r="BV209" s="37"/>
      <c r="BW209" s="6" t="e">
        <f t="shared" si="215"/>
        <v>#N/A</v>
      </c>
      <c r="BX209" s="9">
        <f t="shared" ca="1" si="216"/>
        <v>-156.7666765884093</v>
      </c>
      <c r="BY209" s="9">
        <f t="shared" ca="1" si="217"/>
        <v>84.412825855297342</v>
      </c>
      <c r="BZ209" s="9">
        <f t="shared" ca="1" si="218"/>
        <v>0</v>
      </c>
      <c r="CA209" s="6">
        <f t="shared" ca="1" si="219"/>
        <v>0</v>
      </c>
      <c r="CB209" s="6" t="e">
        <f t="shared" ca="1" si="220"/>
        <v>#DIV/0!</v>
      </c>
      <c r="CC209" s="6" t="e">
        <f t="shared" ca="1" si="221"/>
        <v>#DIV/0!</v>
      </c>
      <c r="CD209" s="9">
        <f t="shared" si="222"/>
        <v>-50</v>
      </c>
      <c r="CE209" s="9">
        <f t="shared" si="223"/>
        <v>0</v>
      </c>
      <c r="CF209" s="6">
        <f t="shared" si="224"/>
        <v>3.1415926535897931</v>
      </c>
      <c r="CG209" s="6"/>
      <c r="CH209" s="6"/>
      <c r="CI209" s="6"/>
      <c r="CJ209" s="1"/>
      <c r="CK209" s="6"/>
    </row>
    <row r="210" spans="55:89" x14ac:dyDescent="0.25">
      <c r="BC210"/>
      <c r="BD210"/>
      <c r="BF210" s="6" t="e">
        <f t="shared" si="211"/>
        <v>#N/A</v>
      </c>
      <c r="BG210" s="6" t="e">
        <f t="shared" si="212"/>
        <v>#N/A</v>
      </c>
      <c r="BH210" s="6" t="e">
        <f t="shared" si="213"/>
        <v>#N/A</v>
      </c>
      <c r="BI210" s="6" t="e">
        <f t="shared" si="214"/>
        <v>#N/A</v>
      </c>
      <c r="BV210" s="37"/>
      <c r="BW210" s="6" t="e">
        <f t="shared" si="215"/>
        <v>#N/A</v>
      </c>
      <c r="BX210" s="9">
        <f t="shared" ca="1" si="216"/>
        <v>-156.7666765884093</v>
      </c>
      <c r="BY210" s="9">
        <f t="shared" ca="1" si="217"/>
        <v>84.412825855297342</v>
      </c>
      <c r="BZ210" s="9">
        <f t="shared" ca="1" si="218"/>
        <v>0</v>
      </c>
      <c r="CA210" s="6">
        <f t="shared" ca="1" si="219"/>
        <v>0</v>
      </c>
      <c r="CB210" s="6" t="e">
        <f t="shared" ca="1" si="220"/>
        <v>#DIV/0!</v>
      </c>
      <c r="CC210" s="6" t="e">
        <f t="shared" ca="1" si="221"/>
        <v>#DIV/0!</v>
      </c>
      <c r="CD210" s="9">
        <f t="shared" si="222"/>
        <v>-50</v>
      </c>
      <c r="CE210" s="9">
        <f t="shared" si="223"/>
        <v>0</v>
      </c>
      <c r="CF210" s="6">
        <f t="shared" si="224"/>
        <v>3.1415926535897931</v>
      </c>
      <c r="CG210" s="6"/>
      <c r="CH210" s="6"/>
      <c r="CI210" s="6"/>
      <c r="CJ210" s="1"/>
      <c r="CK210" s="6"/>
    </row>
    <row r="211" spans="55:89" x14ac:dyDescent="0.25">
      <c r="BC211"/>
      <c r="BD211"/>
      <c r="BF211" s="6" t="e">
        <f t="shared" si="211"/>
        <v>#N/A</v>
      </c>
      <c r="BG211" s="6" t="e">
        <f t="shared" si="212"/>
        <v>#N/A</v>
      </c>
      <c r="BH211" s="6" t="e">
        <f t="shared" si="213"/>
        <v>#N/A</v>
      </c>
      <c r="BI211" s="6" t="e">
        <f t="shared" si="214"/>
        <v>#N/A</v>
      </c>
      <c r="BV211" s="37"/>
      <c r="BW211" s="6" t="e">
        <f t="shared" si="215"/>
        <v>#N/A</v>
      </c>
      <c r="BX211" s="9">
        <f t="shared" ca="1" si="216"/>
        <v>-156.7666765884093</v>
      </c>
      <c r="BY211" s="9">
        <f t="shared" ca="1" si="217"/>
        <v>84.412825855297342</v>
      </c>
      <c r="BZ211" s="9">
        <f t="shared" ca="1" si="218"/>
        <v>0</v>
      </c>
      <c r="CA211" s="6">
        <f t="shared" ca="1" si="219"/>
        <v>0</v>
      </c>
      <c r="CB211" s="6" t="e">
        <f t="shared" ca="1" si="220"/>
        <v>#DIV/0!</v>
      </c>
      <c r="CC211" s="6" t="e">
        <f t="shared" ca="1" si="221"/>
        <v>#DIV/0!</v>
      </c>
      <c r="CD211" s="9">
        <f t="shared" si="222"/>
        <v>-50</v>
      </c>
      <c r="CE211" s="9">
        <f t="shared" si="223"/>
        <v>0</v>
      </c>
      <c r="CF211" s="6">
        <f t="shared" si="224"/>
        <v>3.1415926535897931</v>
      </c>
      <c r="CG211" s="6"/>
      <c r="CH211" s="6"/>
      <c r="CI211" s="6"/>
      <c r="CJ211" s="1"/>
      <c r="CK211" s="6"/>
    </row>
    <row r="212" spans="55:89" x14ac:dyDescent="0.25">
      <c r="BC212"/>
      <c r="BD212"/>
      <c r="BF212" s="6" t="e">
        <f t="shared" si="211"/>
        <v>#N/A</v>
      </c>
      <c r="BG212" s="6" t="e">
        <f t="shared" si="212"/>
        <v>#N/A</v>
      </c>
      <c r="BH212" s="6" t="e">
        <f t="shared" si="213"/>
        <v>#N/A</v>
      </c>
      <c r="BI212" s="6" t="e">
        <f t="shared" si="214"/>
        <v>#N/A</v>
      </c>
      <c r="BV212" s="37"/>
      <c r="BW212" s="6" t="e">
        <f t="shared" si="215"/>
        <v>#N/A</v>
      </c>
      <c r="BX212" s="9">
        <f t="shared" ca="1" si="216"/>
        <v>-156.7666765884093</v>
      </c>
      <c r="BY212" s="9">
        <f t="shared" ca="1" si="217"/>
        <v>84.412825855297342</v>
      </c>
      <c r="BZ212" s="9">
        <f t="shared" ca="1" si="218"/>
        <v>0</v>
      </c>
      <c r="CA212" s="6">
        <f t="shared" ca="1" si="219"/>
        <v>0</v>
      </c>
      <c r="CB212" s="6" t="e">
        <f t="shared" ca="1" si="220"/>
        <v>#DIV/0!</v>
      </c>
      <c r="CC212" s="6" t="e">
        <f t="shared" ca="1" si="221"/>
        <v>#DIV/0!</v>
      </c>
      <c r="CD212" s="9">
        <f t="shared" si="222"/>
        <v>-50</v>
      </c>
      <c r="CE212" s="9">
        <f t="shared" si="223"/>
        <v>0</v>
      </c>
      <c r="CF212" s="6">
        <f t="shared" si="224"/>
        <v>3.1415926535897931</v>
      </c>
      <c r="CG212" s="6"/>
      <c r="CH212" s="6"/>
      <c r="CI212" s="6"/>
      <c r="CJ212" s="1"/>
      <c r="CK212" s="6"/>
    </row>
    <row r="213" spans="55:89" x14ac:dyDescent="0.25">
      <c r="BC213"/>
      <c r="BD213"/>
      <c r="BF213" s="6" t="e">
        <f t="shared" si="211"/>
        <v>#N/A</v>
      </c>
      <c r="BG213" s="6" t="e">
        <f t="shared" si="212"/>
        <v>#N/A</v>
      </c>
      <c r="BH213" s="6" t="e">
        <f t="shared" si="213"/>
        <v>#N/A</v>
      </c>
      <c r="BI213" s="6" t="e">
        <f t="shared" si="214"/>
        <v>#N/A</v>
      </c>
      <c r="BV213" s="37"/>
      <c r="BW213" s="6" t="e">
        <f t="shared" si="215"/>
        <v>#N/A</v>
      </c>
      <c r="BX213" s="9">
        <f t="shared" ca="1" si="216"/>
        <v>-156.7666765884093</v>
      </c>
      <c r="BY213" s="9">
        <f t="shared" ca="1" si="217"/>
        <v>84.412825855297342</v>
      </c>
      <c r="BZ213" s="9">
        <f t="shared" ca="1" si="218"/>
        <v>0</v>
      </c>
      <c r="CA213" s="6">
        <f t="shared" ca="1" si="219"/>
        <v>0</v>
      </c>
      <c r="CB213" s="6" t="e">
        <f t="shared" ca="1" si="220"/>
        <v>#DIV/0!</v>
      </c>
      <c r="CC213" s="6" t="e">
        <f t="shared" ca="1" si="221"/>
        <v>#DIV/0!</v>
      </c>
      <c r="CD213" s="9">
        <f t="shared" si="222"/>
        <v>-50</v>
      </c>
      <c r="CE213" s="9">
        <f t="shared" si="223"/>
        <v>0</v>
      </c>
      <c r="CF213" s="6">
        <f t="shared" si="224"/>
        <v>3.1415926535897931</v>
      </c>
      <c r="CG213" s="6"/>
      <c r="CH213" s="6"/>
      <c r="CI213" s="6"/>
      <c r="CJ213" s="1"/>
      <c r="CK213" s="6"/>
    </row>
    <row r="214" spans="55:89" x14ac:dyDescent="0.25">
      <c r="BC214"/>
      <c r="BD214"/>
      <c r="BF214" s="6" t="e">
        <f t="shared" si="211"/>
        <v>#N/A</v>
      </c>
      <c r="BG214" s="6" t="e">
        <f t="shared" si="212"/>
        <v>#N/A</v>
      </c>
      <c r="BH214" s="6" t="e">
        <f t="shared" si="213"/>
        <v>#N/A</v>
      </c>
      <c r="BI214" s="6" t="e">
        <f t="shared" si="214"/>
        <v>#N/A</v>
      </c>
      <c r="BV214" s="37"/>
      <c r="BW214" s="6" t="e">
        <f t="shared" si="215"/>
        <v>#N/A</v>
      </c>
      <c r="BX214" s="9">
        <f t="shared" ca="1" si="216"/>
        <v>-156.7666765884093</v>
      </c>
      <c r="BY214" s="9">
        <f t="shared" ca="1" si="217"/>
        <v>84.412825855297342</v>
      </c>
      <c r="BZ214" s="9">
        <f t="shared" ca="1" si="218"/>
        <v>0</v>
      </c>
      <c r="CA214" s="6">
        <f t="shared" ca="1" si="219"/>
        <v>0</v>
      </c>
      <c r="CB214" s="6" t="e">
        <f t="shared" ca="1" si="220"/>
        <v>#DIV/0!</v>
      </c>
      <c r="CC214" s="6" t="e">
        <f t="shared" ca="1" si="221"/>
        <v>#DIV/0!</v>
      </c>
      <c r="CD214" s="9">
        <f t="shared" si="222"/>
        <v>-50</v>
      </c>
      <c r="CE214" s="9">
        <f t="shared" si="223"/>
        <v>0</v>
      </c>
      <c r="CF214" s="6">
        <f t="shared" si="224"/>
        <v>3.1415926535897931</v>
      </c>
      <c r="CG214" s="6"/>
      <c r="CH214" s="6"/>
      <c r="CI214" s="6"/>
      <c r="CJ214" s="1"/>
      <c r="CK214" s="6"/>
    </row>
    <row r="215" spans="55:89" x14ac:dyDescent="0.25">
      <c r="BC215"/>
      <c r="BD215"/>
      <c r="BF215" s="6" t="e">
        <f t="shared" si="211"/>
        <v>#N/A</v>
      </c>
      <c r="BG215" s="6" t="e">
        <f t="shared" si="212"/>
        <v>#N/A</v>
      </c>
      <c r="BH215" s="6" t="e">
        <f t="shared" si="213"/>
        <v>#N/A</v>
      </c>
      <c r="BI215" s="6" t="e">
        <f t="shared" si="214"/>
        <v>#N/A</v>
      </c>
      <c r="BV215" s="37"/>
      <c r="BW215" s="6" t="e">
        <f t="shared" si="215"/>
        <v>#N/A</v>
      </c>
      <c r="BX215" s="9">
        <f t="shared" ca="1" si="216"/>
        <v>-156.7666765884093</v>
      </c>
      <c r="BY215" s="9">
        <f t="shared" ca="1" si="217"/>
        <v>84.412825855297342</v>
      </c>
      <c r="BZ215" s="9">
        <f t="shared" ca="1" si="218"/>
        <v>0</v>
      </c>
      <c r="CA215" s="6">
        <f t="shared" ca="1" si="219"/>
        <v>0</v>
      </c>
      <c r="CB215" s="6" t="e">
        <f t="shared" ca="1" si="220"/>
        <v>#DIV/0!</v>
      </c>
      <c r="CC215" s="6" t="e">
        <f t="shared" ca="1" si="221"/>
        <v>#DIV/0!</v>
      </c>
      <c r="CD215" s="9">
        <f t="shared" si="222"/>
        <v>-50</v>
      </c>
      <c r="CE215" s="9">
        <f t="shared" si="223"/>
        <v>0</v>
      </c>
      <c r="CF215" s="6">
        <f t="shared" si="224"/>
        <v>3.1415926535897931</v>
      </c>
      <c r="CG215" s="6"/>
      <c r="CH215" s="6"/>
      <c r="CI215" s="6"/>
      <c r="CJ215" s="1"/>
      <c r="CK215" s="6"/>
    </row>
    <row r="216" spans="55:89" x14ac:dyDescent="0.25">
      <c r="BC216"/>
      <c r="BD216"/>
      <c r="BF216" s="6" t="e">
        <f t="shared" si="211"/>
        <v>#N/A</v>
      </c>
      <c r="BG216" s="6" t="e">
        <f t="shared" si="212"/>
        <v>#N/A</v>
      </c>
      <c r="BH216" s="6" t="e">
        <f t="shared" si="213"/>
        <v>#N/A</v>
      </c>
      <c r="BI216" s="6" t="e">
        <f t="shared" si="214"/>
        <v>#N/A</v>
      </c>
      <c r="BV216" s="37"/>
      <c r="BW216" s="6" t="e">
        <f t="shared" si="215"/>
        <v>#N/A</v>
      </c>
      <c r="BX216" s="9">
        <f t="shared" ca="1" si="216"/>
        <v>-156.7666765884093</v>
      </c>
      <c r="BY216" s="9">
        <f t="shared" ca="1" si="217"/>
        <v>84.412825855297342</v>
      </c>
      <c r="BZ216" s="9">
        <f t="shared" ca="1" si="218"/>
        <v>0</v>
      </c>
      <c r="CA216" s="6">
        <f t="shared" ca="1" si="219"/>
        <v>0</v>
      </c>
      <c r="CB216" s="6" t="e">
        <f t="shared" ca="1" si="220"/>
        <v>#DIV/0!</v>
      </c>
      <c r="CC216" s="6" t="e">
        <f t="shared" ca="1" si="221"/>
        <v>#DIV/0!</v>
      </c>
      <c r="CD216" s="9">
        <f t="shared" si="222"/>
        <v>-50</v>
      </c>
      <c r="CE216" s="9">
        <f t="shared" si="223"/>
        <v>0</v>
      </c>
      <c r="CF216" s="6">
        <f t="shared" si="224"/>
        <v>3.1415926535897931</v>
      </c>
      <c r="CG216" s="6"/>
      <c r="CH216" s="6"/>
      <c r="CI216" s="6"/>
      <c r="CJ216" s="1"/>
      <c r="CK216" s="6"/>
    </row>
    <row r="217" spans="55:89" x14ac:dyDescent="0.25">
      <c r="BC217"/>
      <c r="BD217"/>
      <c r="BF217" s="6" t="e">
        <f t="shared" si="211"/>
        <v>#N/A</v>
      </c>
      <c r="BG217" s="6" t="e">
        <f t="shared" si="212"/>
        <v>#N/A</v>
      </c>
      <c r="BH217" s="6" t="e">
        <f t="shared" si="213"/>
        <v>#N/A</v>
      </c>
      <c r="BI217" s="6" t="e">
        <f t="shared" si="214"/>
        <v>#N/A</v>
      </c>
      <c r="BV217" s="37"/>
      <c r="BW217" s="6" t="e">
        <f t="shared" si="215"/>
        <v>#N/A</v>
      </c>
      <c r="BX217" s="9">
        <f t="shared" ca="1" si="216"/>
        <v>-156.7666765884093</v>
      </c>
      <c r="BY217" s="9">
        <f t="shared" ca="1" si="217"/>
        <v>84.412825855297342</v>
      </c>
      <c r="BZ217" s="9">
        <f t="shared" ca="1" si="218"/>
        <v>0</v>
      </c>
      <c r="CA217" s="6">
        <f t="shared" ca="1" si="219"/>
        <v>0</v>
      </c>
      <c r="CB217" s="6" t="e">
        <f t="shared" ca="1" si="220"/>
        <v>#DIV/0!</v>
      </c>
      <c r="CC217" s="6" t="e">
        <f t="shared" ca="1" si="221"/>
        <v>#DIV/0!</v>
      </c>
      <c r="CD217" s="9">
        <f t="shared" si="222"/>
        <v>-50</v>
      </c>
      <c r="CE217" s="9">
        <f t="shared" si="223"/>
        <v>0</v>
      </c>
      <c r="CF217" s="6">
        <f t="shared" si="224"/>
        <v>3.1415926535897931</v>
      </c>
      <c r="CG217" s="6"/>
      <c r="CH217" s="6"/>
      <c r="CI217" s="6"/>
      <c r="CJ217" s="1"/>
      <c r="CK217" s="6"/>
    </row>
    <row r="218" spans="55:89" x14ac:dyDescent="0.25">
      <c r="BC218"/>
      <c r="BD218"/>
      <c r="BF218" s="6" t="e">
        <f t="shared" si="211"/>
        <v>#N/A</v>
      </c>
      <c r="BG218" s="6" t="e">
        <f t="shared" si="212"/>
        <v>#N/A</v>
      </c>
      <c r="BH218" s="6" t="e">
        <f t="shared" si="213"/>
        <v>#N/A</v>
      </c>
      <c r="BI218" s="6" t="e">
        <f t="shared" si="214"/>
        <v>#N/A</v>
      </c>
      <c r="BV218" s="37"/>
      <c r="BW218" s="6" t="e">
        <f t="shared" si="215"/>
        <v>#N/A</v>
      </c>
      <c r="BX218" s="9">
        <f t="shared" ca="1" si="216"/>
        <v>-156.7666765884093</v>
      </c>
      <c r="BY218" s="9">
        <f t="shared" ca="1" si="217"/>
        <v>84.412825855297342</v>
      </c>
      <c r="BZ218" s="9">
        <f t="shared" ca="1" si="218"/>
        <v>0</v>
      </c>
      <c r="CA218" s="6">
        <f t="shared" ca="1" si="219"/>
        <v>0</v>
      </c>
      <c r="CB218" s="6" t="e">
        <f t="shared" ca="1" si="220"/>
        <v>#DIV/0!</v>
      </c>
      <c r="CC218" s="6" t="e">
        <f t="shared" ca="1" si="221"/>
        <v>#DIV/0!</v>
      </c>
      <c r="CD218" s="9">
        <f t="shared" si="222"/>
        <v>-50</v>
      </c>
      <c r="CE218" s="9">
        <f t="shared" si="223"/>
        <v>0</v>
      </c>
      <c r="CF218" s="6">
        <f t="shared" si="224"/>
        <v>3.1415926535897931</v>
      </c>
      <c r="CG218" s="6"/>
      <c r="CH218" s="6"/>
      <c r="CI218" s="6"/>
      <c r="CJ218" s="1"/>
      <c r="CK218" s="6"/>
    </row>
    <row r="219" spans="55:89" x14ac:dyDescent="0.25">
      <c r="BC219"/>
      <c r="BD219"/>
      <c r="BF219" s="6" t="e">
        <f t="shared" si="211"/>
        <v>#N/A</v>
      </c>
      <c r="BG219" s="6" t="e">
        <f t="shared" si="212"/>
        <v>#N/A</v>
      </c>
      <c r="BH219" s="6" t="e">
        <f t="shared" si="213"/>
        <v>#N/A</v>
      </c>
      <c r="BI219" s="6" t="e">
        <f t="shared" si="214"/>
        <v>#N/A</v>
      </c>
      <c r="BV219" s="37"/>
      <c r="BW219" s="6" t="e">
        <f t="shared" si="215"/>
        <v>#N/A</v>
      </c>
      <c r="BX219" s="9">
        <f t="shared" ca="1" si="216"/>
        <v>-156.7666765884093</v>
      </c>
      <c r="BY219" s="9">
        <f t="shared" ca="1" si="217"/>
        <v>84.412825855297342</v>
      </c>
      <c r="BZ219" s="9">
        <f t="shared" ca="1" si="218"/>
        <v>0</v>
      </c>
      <c r="CA219" s="6">
        <f t="shared" ca="1" si="219"/>
        <v>0</v>
      </c>
      <c r="CB219" s="6" t="e">
        <f t="shared" ca="1" si="220"/>
        <v>#DIV/0!</v>
      </c>
      <c r="CC219" s="6" t="e">
        <f t="shared" ca="1" si="221"/>
        <v>#DIV/0!</v>
      </c>
      <c r="CD219" s="9">
        <f t="shared" si="222"/>
        <v>-50</v>
      </c>
      <c r="CE219" s="9">
        <f t="shared" si="223"/>
        <v>0</v>
      </c>
      <c r="CF219" s="6">
        <f t="shared" si="224"/>
        <v>3.1415926535897931</v>
      </c>
      <c r="CG219" s="6"/>
      <c r="CH219" s="6"/>
      <c r="CI219" s="6"/>
      <c r="CJ219" s="1"/>
      <c r="CK219" s="6"/>
    </row>
    <row r="220" spans="55:89" x14ac:dyDescent="0.25">
      <c r="BC220"/>
      <c r="BD220"/>
      <c r="BF220" s="6" t="e">
        <f t="shared" si="211"/>
        <v>#N/A</v>
      </c>
      <c r="BG220" s="6" t="e">
        <f t="shared" si="212"/>
        <v>#N/A</v>
      </c>
      <c r="BH220" s="6" t="e">
        <f t="shared" si="213"/>
        <v>#N/A</v>
      </c>
      <c r="BI220" s="6" t="e">
        <f t="shared" si="214"/>
        <v>#N/A</v>
      </c>
      <c r="BV220" s="37"/>
      <c r="BW220" s="6" t="e">
        <f t="shared" si="215"/>
        <v>#N/A</v>
      </c>
      <c r="BX220" s="9">
        <f t="shared" ca="1" si="216"/>
        <v>-156.7666765884093</v>
      </c>
      <c r="BY220" s="9">
        <f t="shared" ca="1" si="217"/>
        <v>84.412825855297342</v>
      </c>
      <c r="BZ220" s="9">
        <f t="shared" ca="1" si="218"/>
        <v>0</v>
      </c>
      <c r="CA220" s="6">
        <f t="shared" ca="1" si="219"/>
        <v>0</v>
      </c>
      <c r="CB220" s="6" t="e">
        <f t="shared" ca="1" si="220"/>
        <v>#DIV/0!</v>
      </c>
      <c r="CC220" s="6" t="e">
        <f t="shared" ca="1" si="221"/>
        <v>#DIV/0!</v>
      </c>
      <c r="CD220" s="9">
        <f t="shared" si="222"/>
        <v>-50</v>
      </c>
      <c r="CE220" s="9">
        <f t="shared" si="223"/>
        <v>0</v>
      </c>
      <c r="CF220" s="6">
        <f t="shared" si="224"/>
        <v>3.1415926535897931</v>
      </c>
      <c r="CG220" s="6"/>
      <c r="CH220" s="6"/>
      <c r="CI220" s="6"/>
      <c r="CJ220" s="1"/>
      <c r="CK220" s="6"/>
    </row>
    <row r="221" spans="55:89" x14ac:dyDescent="0.25">
      <c r="BC221"/>
      <c r="BD221"/>
      <c r="BF221" s="6" t="e">
        <f t="shared" si="211"/>
        <v>#N/A</v>
      </c>
      <c r="BG221" s="6" t="e">
        <f t="shared" si="212"/>
        <v>#N/A</v>
      </c>
      <c r="BH221" s="6" t="e">
        <f t="shared" si="213"/>
        <v>#N/A</v>
      </c>
      <c r="BI221" s="6" t="e">
        <f t="shared" si="214"/>
        <v>#N/A</v>
      </c>
      <c r="BV221" s="37"/>
      <c r="BW221" s="6" t="e">
        <f t="shared" si="215"/>
        <v>#N/A</v>
      </c>
      <c r="BX221" s="9">
        <f t="shared" ca="1" si="216"/>
        <v>-156.7666765884093</v>
      </c>
      <c r="BY221" s="9">
        <f t="shared" ca="1" si="217"/>
        <v>84.412825855297342</v>
      </c>
      <c r="BZ221" s="9">
        <f t="shared" ca="1" si="218"/>
        <v>0</v>
      </c>
      <c r="CA221" s="6">
        <f t="shared" ca="1" si="219"/>
        <v>0</v>
      </c>
      <c r="CB221" s="6" t="e">
        <f t="shared" ca="1" si="220"/>
        <v>#DIV/0!</v>
      </c>
      <c r="CC221" s="6" t="e">
        <f t="shared" ca="1" si="221"/>
        <v>#DIV/0!</v>
      </c>
      <c r="CD221" s="9">
        <f t="shared" si="222"/>
        <v>-50</v>
      </c>
      <c r="CE221" s="9">
        <f t="shared" si="223"/>
        <v>0</v>
      </c>
      <c r="CF221" s="6">
        <f t="shared" si="224"/>
        <v>3.1415926535897931</v>
      </c>
      <c r="CG221" s="6"/>
      <c r="CH221" s="6"/>
      <c r="CI221" s="6"/>
      <c r="CJ221" s="1"/>
      <c r="CK221" s="6"/>
    </row>
    <row r="222" spans="55:89" x14ac:dyDescent="0.25">
      <c r="BC222"/>
      <c r="BD222"/>
      <c r="BF222" s="6" t="e">
        <f t="shared" si="211"/>
        <v>#N/A</v>
      </c>
      <c r="BG222" s="6" t="e">
        <f t="shared" si="212"/>
        <v>#N/A</v>
      </c>
      <c r="BH222" s="6" t="e">
        <f t="shared" si="213"/>
        <v>#N/A</v>
      </c>
      <c r="BI222" s="6" t="e">
        <f t="shared" si="214"/>
        <v>#N/A</v>
      </c>
      <c r="BV222" s="37"/>
      <c r="BW222" s="6" t="e">
        <f t="shared" si="215"/>
        <v>#N/A</v>
      </c>
      <c r="BX222" s="9">
        <f t="shared" ca="1" si="216"/>
        <v>-156.7666765884093</v>
      </c>
      <c r="BY222" s="9">
        <f t="shared" ca="1" si="217"/>
        <v>84.412825855297342</v>
      </c>
      <c r="BZ222" s="9">
        <f t="shared" ca="1" si="218"/>
        <v>0</v>
      </c>
      <c r="CA222" s="6">
        <f t="shared" ca="1" si="219"/>
        <v>0</v>
      </c>
      <c r="CB222" s="6" t="e">
        <f t="shared" ca="1" si="220"/>
        <v>#DIV/0!</v>
      </c>
      <c r="CC222" s="6" t="e">
        <f t="shared" ca="1" si="221"/>
        <v>#DIV/0!</v>
      </c>
      <c r="CD222" s="9">
        <f t="shared" si="222"/>
        <v>-50</v>
      </c>
      <c r="CE222" s="9">
        <f t="shared" si="223"/>
        <v>0</v>
      </c>
      <c r="CF222" s="6">
        <f t="shared" si="224"/>
        <v>3.1415926535897931</v>
      </c>
      <c r="CG222" s="6"/>
      <c r="CH222" s="6"/>
      <c r="CI222" s="6"/>
      <c r="CJ222" s="1"/>
      <c r="CK222" s="6"/>
    </row>
    <row r="223" spans="55:89" x14ac:dyDescent="0.25">
      <c r="BC223"/>
      <c r="BD223"/>
      <c r="BF223" s="6" t="e">
        <f t="shared" si="211"/>
        <v>#N/A</v>
      </c>
      <c r="BG223" s="6" t="e">
        <f t="shared" si="212"/>
        <v>#N/A</v>
      </c>
      <c r="BH223" s="6" t="e">
        <f t="shared" si="213"/>
        <v>#N/A</v>
      </c>
      <c r="BI223" s="6" t="e">
        <f t="shared" si="214"/>
        <v>#N/A</v>
      </c>
      <c r="BV223" s="37"/>
      <c r="BW223" s="6" t="e">
        <f t="shared" si="215"/>
        <v>#N/A</v>
      </c>
      <c r="BX223" s="9">
        <f t="shared" ca="1" si="216"/>
        <v>-156.7666765884093</v>
      </c>
      <c r="BY223" s="9">
        <f t="shared" ca="1" si="217"/>
        <v>84.412825855297342</v>
      </c>
      <c r="BZ223" s="9">
        <f t="shared" ca="1" si="218"/>
        <v>0</v>
      </c>
      <c r="CA223" s="6">
        <f t="shared" ca="1" si="219"/>
        <v>0</v>
      </c>
      <c r="CB223" s="6" t="e">
        <f t="shared" ca="1" si="220"/>
        <v>#DIV/0!</v>
      </c>
      <c r="CC223" s="6" t="e">
        <f t="shared" ca="1" si="221"/>
        <v>#DIV/0!</v>
      </c>
      <c r="CD223" s="9">
        <f t="shared" si="222"/>
        <v>-50</v>
      </c>
      <c r="CE223" s="9">
        <f t="shared" si="223"/>
        <v>0</v>
      </c>
      <c r="CF223" s="6">
        <f t="shared" si="224"/>
        <v>3.1415926535897931</v>
      </c>
      <c r="CG223" s="6"/>
      <c r="CH223" s="6"/>
      <c r="CI223" s="6"/>
      <c r="CJ223" s="1"/>
      <c r="CK223" s="6"/>
    </row>
    <row r="224" spans="55:89" x14ac:dyDescent="0.25">
      <c r="BC224"/>
      <c r="BD224"/>
      <c r="BF224" s="6" t="e">
        <f t="shared" si="211"/>
        <v>#N/A</v>
      </c>
      <c r="BG224" s="6" t="e">
        <f t="shared" si="212"/>
        <v>#N/A</v>
      </c>
      <c r="BH224" s="6" t="e">
        <f t="shared" si="213"/>
        <v>#N/A</v>
      </c>
      <c r="BI224" s="6" t="e">
        <f t="shared" si="214"/>
        <v>#N/A</v>
      </c>
      <c r="BV224" s="37"/>
      <c r="BW224" s="6" t="e">
        <f t="shared" si="215"/>
        <v>#N/A</v>
      </c>
      <c r="BX224" s="9">
        <f t="shared" ca="1" si="216"/>
        <v>-156.7666765884093</v>
      </c>
      <c r="BY224" s="9">
        <f t="shared" ca="1" si="217"/>
        <v>84.412825855297342</v>
      </c>
      <c r="BZ224" s="9">
        <f t="shared" ca="1" si="218"/>
        <v>0</v>
      </c>
      <c r="CA224" s="6">
        <f t="shared" ca="1" si="219"/>
        <v>0</v>
      </c>
      <c r="CB224" s="6" t="e">
        <f t="shared" ca="1" si="220"/>
        <v>#DIV/0!</v>
      </c>
      <c r="CC224" s="6" t="e">
        <f t="shared" ca="1" si="221"/>
        <v>#DIV/0!</v>
      </c>
      <c r="CD224" s="9">
        <f t="shared" si="222"/>
        <v>-50</v>
      </c>
      <c r="CE224" s="9">
        <f t="shared" si="223"/>
        <v>0</v>
      </c>
      <c r="CF224" s="6">
        <f t="shared" si="224"/>
        <v>3.1415926535897931</v>
      </c>
      <c r="CG224" s="6"/>
      <c r="CH224" s="6"/>
      <c r="CI224" s="6"/>
      <c r="CJ224" s="1"/>
      <c r="CK224" s="6"/>
    </row>
    <row r="225" spans="55:89" x14ac:dyDescent="0.25">
      <c r="BC225"/>
      <c r="BD225"/>
      <c r="BF225" s="6" t="e">
        <f t="shared" si="211"/>
        <v>#N/A</v>
      </c>
      <c r="BG225" s="6" t="e">
        <f t="shared" si="212"/>
        <v>#N/A</v>
      </c>
      <c r="BH225" s="6" t="e">
        <f t="shared" si="213"/>
        <v>#N/A</v>
      </c>
      <c r="BI225" s="6" t="e">
        <f t="shared" si="214"/>
        <v>#N/A</v>
      </c>
      <c r="BV225" s="37"/>
      <c r="BW225" s="6" t="e">
        <f t="shared" si="215"/>
        <v>#N/A</v>
      </c>
      <c r="BX225" s="9">
        <f t="shared" ca="1" si="216"/>
        <v>-156.7666765884093</v>
      </c>
      <c r="BY225" s="9">
        <f t="shared" ca="1" si="217"/>
        <v>84.412825855297342</v>
      </c>
      <c r="BZ225" s="9">
        <f t="shared" ca="1" si="218"/>
        <v>0</v>
      </c>
      <c r="CA225" s="6">
        <f t="shared" ca="1" si="219"/>
        <v>0</v>
      </c>
      <c r="CB225" s="6" t="e">
        <f t="shared" ca="1" si="220"/>
        <v>#DIV/0!</v>
      </c>
      <c r="CC225" s="6" t="e">
        <f t="shared" ca="1" si="221"/>
        <v>#DIV/0!</v>
      </c>
      <c r="CD225" s="9">
        <f t="shared" si="222"/>
        <v>-50</v>
      </c>
      <c r="CE225" s="9">
        <f t="shared" si="223"/>
        <v>0</v>
      </c>
      <c r="CF225" s="6">
        <f t="shared" si="224"/>
        <v>3.1415926535897931</v>
      </c>
      <c r="CG225" s="6"/>
      <c r="CH225" s="6"/>
      <c r="CI225" s="6"/>
      <c r="CJ225" s="1"/>
      <c r="CK225" s="6"/>
    </row>
    <row r="226" spans="55:89" x14ac:dyDescent="0.25">
      <c r="BC226"/>
      <c r="BD226"/>
      <c r="BF226" s="6" t="e">
        <f t="shared" si="211"/>
        <v>#N/A</v>
      </c>
      <c r="BG226" s="6" t="e">
        <f t="shared" si="212"/>
        <v>#N/A</v>
      </c>
      <c r="BH226" s="6" t="e">
        <f t="shared" si="213"/>
        <v>#N/A</v>
      </c>
      <c r="BI226" s="6" t="e">
        <f t="shared" si="214"/>
        <v>#N/A</v>
      </c>
      <c r="BV226" s="37"/>
      <c r="BW226" s="6" t="e">
        <f t="shared" si="215"/>
        <v>#N/A</v>
      </c>
      <c r="BX226" s="9">
        <f t="shared" ca="1" si="216"/>
        <v>-156.7666765884093</v>
      </c>
      <c r="BY226" s="9">
        <f t="shared" ca="1" si="217"/>
        <v>84.412825855297342</v>
      </c>
      <c r="BZ226" s="9">
        <f t="shared" ca="1" si="218"/>
        <v>0</v>
      </c>
      <c r="CA226" s="6">
        <f t="shared" ca="1" si="219"/>
        <v>0</v>
      </c>
      <c r="CB226" s="6" t="e">
        <f t="shared" ca="1" si="220"/>
        <v>#DIV/0!</v>
      </c>
      <c r="CC226" s="6" t="e">
        <f t="shared" ca="1" si="221"/>
        <v>#DIV/0!</v>
      </c>
      <c r="CD226" s="9">
        <f t="shared" si="222"/>
        <v>-50</v>
      </c>
      <c r="CE226" s="9">
        <f t="shared" si="223"/>
        <v>0</v>
      </c>
      <c r="CF226" s="6">
        <f t="shared" si="224"/>
        <v>3.1415926535897931</v>
      </c>
      <c r="CG226" s="6"/>
      <c r="CH226" s="6"/>
      <c r="CI226" s="6"/>
      <c r="CJ226" s="1"/>
      <c r="CK226" s="6"/>
    </row>
    <row r="227" spans="55:89" x14ac:dyDescent="0.25">
      <c r="BC227"/>
      <c r="BD227"/>
      <c r="BF227" s="6" t="e">
        <f t="shared" si="211"/>
        <v>#N/A</v>
      </c>
      <c r="BG227" s="6" t="e">
        <f t="shared" si="212"/>
        <v>#N/A</v>
      </c>
      <c r="BH227" s="6" t="e">
        <f t="shared" si="213"/>
        <v>#N/A</v>
      </c>
      <c r="BI227" s="6" t="e">
        <f t="shared" si="214"/>
        <v>#N/A</v>
      </c>
      <c r="BV227" s="37"/>
      <c r="BW227" s="6" t="e">
        <f t="shared" si="215"/>
        <v>#N/A</v>
      </c>
      <c r="BX227" s="9">
        <f t="shared" ca="1" si="216"/>
        <v>-156.7666765884093</v>
      </c>
      <c r="BY227" s="9">
        <f t="shared" ca="1" si="217"/>
        <v>84.412825855297342</v>
      </c>
      <c r="BZ227" s="9">
        <f t="shared" ca="1" si="218"/>
        <v>0</v>
      </c>
      <c r="CA227" s="6">
        <f t="shared" ca="1" si="219"/>
        <v>0</v>
      </c>
      <c r="CB227" s="6" t="e">
        <f t="shared" ca="1" si="220"/>
        <v>#DIV/0!</v>
      </c>
      <c r="CC227" s="6" t="e">
        <f t="shared" ca="1" si="221"/>
        <v>#DIV/0!</v>
      </c>
      <c r="CD227" s="9">
        <f t="shared" si="222"/>
        <v>-50</v>
      </c>
      <c r="CE227" s="9">
        <f t="shared" si="223"/>
        <v>0</v>
      </c>
      <c r="CF227" s="6">
        <f t="shared" si="224"/>
        <v>3.1415926535897931</v>
      </c>
      <c r="CG227" s="6"/>
      <c r="CH227" s="6"/>
      <c r="CI227" s="6"/>
      <c r="CJ227" s="1"/>
      <c r="CK227" s="6"/>
    </row>
    <row r="228" spans="55:89" x14ac:dyDescent="0.25">
      <c r="BC228"/>
      <c r="BD228"/>
      <c r="BF228" s="6" t="e">
        <f t="shared" si="211"/>
        <v>#N/A</v>
      </c>
      <c r="BG228" s="6" t="e">
        <f t="shared" si="212"/>
        <v>#N/A</v>
      </c>
      <c r="BH228" s="6" t="e">
        <f t="shared" si="213"/>
        <v>#N/A</v>
      </c>
      <c r="BI228" s="6" t="e">
        <f t="shared" si="214"/>
        <v>#N/A</v>
      </c>
      <c r="BV228" s="37"/>
      <c r="BW228" s="6" t="e">
        <f t="shared" si="215"/>
        <v>#N/A</v>
      </c>
      <c r="BX228" s="9">
        <f t="shared" ca="1" si="216"/>
        <v>-156.7666765884093</v>
      </c>
      <c r="BY228" s="9">
        <f t="shared" ca="1" si="217"/>
        <v>84.412825855297342</v>
      </c>
      <c r="BZ228" s="9">
        <f t="shared" ca="1" si="218"/>
        <v>0</v>
      </c>
      <c r="CA228" s="6">
        <f t="shared" ca="1" si="219"/>
        <v>0</v>
      </c>
      <c r="CB228" s="6" t="e">
        <f t="shared" ca="1" si="220"/>
        <v>#DIV/0!</v>
      </c>
      <c r="CC228" s="6" t="e">
        <f t="shared" ca="1" si="221"/>
        <v>#DIV/0!</v>
      </c>
      <c r="CD228" s="9">
        <f t="shared" si="222"/>
        <v>-50</v>
      </c>
      <c r="CE228" s="9">
        <f t="shared" si="223"/>
        <v>0</v>
      </c>
      <c r="CF228" s="6">
        <f t="shared" si="224"/>
        <v>3.1415926535897931</v>
      </c>
      <c r="CG228" s="6"/>
      <c r="CH228" s="6"/>
      <c r="CI228" s="6"/>
      <c r="CJ228" s="1"/>
      <c r="CK228" s="6"/>
    </row>
    <row r="229" spans="55:89" x14ac:dyDescent="0.25">
      <c r="BC229"/>
      <c r="BD229"/>
      <c r="BF229" s="6" t="e">
        <f t="shared" si="211"/>
        <v>#N/A</v>
      </c>
      <c r="BG229" s="6" t="e">
        <f t="shared" si="212"/>
        <v>#N/A</v>
      </c>
      <c r="BH229" s="6" t="e">
        <f t="shared" si="213"/>
        <v>#N/A</v>
      </c>
      <c r="BI229" s="6" t="e">
        <f t="shared" si="214"/>
        <v>#N/A</v>
      </c>
      <c r="BV229" s="37"/>
      <c r="BW229" s="6" t="e">
        <f t="shared" si="215"/>
        <v>#N/A</v>
      </c>
      <c r="BX229" s="9">
        <f t="shared" ca="1" si="216"/>
        <v>-156.7666765884093</v>
      </c>
      <c r="BY229" s="9">
        <f t="shared" ca="1" si="217"/>
        <v>84.412825855297342</v>
      </c>
      <c r="BZ229" s="9">
        <f t="shared" ca="1" si="218"/>
        <v>0</v>
      </c>
      <c r="CA229" s="6">
        <f t="shared" ca="1" si="219"/>
        <v>0</v>
      </c>
      <c r="CB229" s="6" t="e">
        <f t="shared" ca="1" si="220"/>
        <v>#DIV/0!</v>
      </c>
      <c r="CC229" s="6" t="e">
        <f t="shared" ca="1" si="221"/>
        <v>#DIV/0!</v>
      </c>
      <c r="CD229" s="9">
        <f t="shared" si="222"/>
        <v>-50</v>
      </c>
      <c r="CE229" s="9">
        <f t="shared" si="223"/>
        <v>0</v>
      </c>
      <c r="CF229" s="6">
        <f t="shared" si="224"/>
        <v>3.1415926535897931</v>
      </c>
      <c r="CG229" s="6"/>
      <c r="CH229" s="6"/>
      <c r="CI229" s="6"/>
      <c r="CJ229" s="1"/>
      <c r="CK229" s="6"/>
    </row>
    <row r="230" spans="55:89" x14ac:dyDescent="0.25">
      <c r="BC230"/>
      <c r="BD230"/>
      <c r="BF230" s="6" t="e">
        <f t="shared" si="211"/>
        <v>#N/A</v>
      </c>
      <c r="BG230" s="6" t="e">
        <f t="shared" si="212"/>
        <v>#N/A</v>
      </c>
      <c r="BH230" s="6" t="e">
        <f t="shared" si="213"/>
        <v>#N/A</v>
      </c>
      <c r="BI230" s="6" t="e">
        <f t="shared" si="214"/>
        <v>#N/A</v>
      </c>
      <c r="BV230" s="37"/>
      <c r="BW230" s="6" t="e">
        <f t="shared" si="215"/>
        <v>#N/A</v>
      </c>
      <c r="BX230" s="9">
        <f t="shared" ca="1" si="216"/>
        <v>-156.7666765884093</v>
      </c>
      <c r="BY230" s="9">
        <f t="shared" ca="1" si="217"/>
        <v>84.412825855297342</v>
      </c>
      <c r="BZ230" s="9">
        <f t="shared" ca="1" si="218"/>
        <v>0</v>
      </c>
      <c r="CA230" s="6">
        <f t="shared" ca="1" si="219"/>
        <v>0</v>
      </c>
      <c r="CB230" s="6" t="e">
        <f t="shared" ca="1" si="220"/>
        <v>#DIV/0!</v>
      </c>
      <c r="CC230" s="6" t="e">
        <f t="shared" ca="1" si="221"/>
        <v>#DIV/0!</v>
      </c>
      <c r="CD230" s="9">
        <f t="shared" si="222"/>
        <v>-50</v>
      </c>
      <c r="CE230" s="9">
        <f t="shared" si="223"/>
        <v>0</v>
      </c>
      <c r="CF230" s="6">
        <f t="shared" si="224"/>
        <v>3.1415926535897931</v>
      </c>
      <c r="CG230" s="6"/>
      <c r="CH230" s="6"/>
      <c r="CI230" s="6"/>
      <c r="CJ230" s="1"/>
      <c r="CK230" s="6"/>
    </row>
    <row r="231" spans="55:89" x14ac:dyDescent="0.25">
      <c r="BC231"/>
      <c r="BD231"/>
      <c r="BF231" s="6" t="e">
        <f t="shared" si="211"/>
        <v>#N/A</v>
      </c>
      <c r="BG231" s="6" t="e">
        <f t="shared" si="212"/>
        <v>#N/A</v>
      </c>
      <c r="BH231" s="6" t="e">
        <f t="shared" si="213"/>
        <v>#N/A</v>
      </c>
      <c r="BI231" s="6" t="e">
        <f t="shared" si="214"/>
        <v>#N/A</v>
      </c>
      <c r="BV231" s="37"/>
      <c r="BW231" s="6" t="e">
        <f t="shared" si="215"/>
        <v>#N/A</v>
      </c>
      <c r="BX231" s="9">
        <f t="shared" ca="1" si="216"/>
        <v>-156.7666765884093</v>
      </c>
      <c r="BY231" s="9">
        <f t="shared" ca="1" si="217"/>
        <v>84.412825855297342</v>
      </c>
      <c r="BZ231" s="9">
        <f t="shared" ca="1" si="218"/>
        <v>0</v>
      </c>
      <c r="CA231" s="6">
        <f t="shared" ca="1" si="219"/>
        <v>0</v>
      </c>
      <c r="CB231" s="6" t="e">
        <f t="shared" ca="1" si="220"/>
        <v>#DIV/0!</v>
      </c>
      <c r="CC231" s="6" t="e">
        <f t="shared" ca="1" si="221"/>
        <v>#DIV/0!</v>
      </c>
      <c r="CD231" s="9">
        <f t="shared" si="222"/>
        <v>-50</v>
      </c>
      <c r="CE231" s="9">
        <f t="shared" si="223"/>
        <v>0</v>
      </c>
      <c r="CF231" s="6">
        <f t="shared" si="224"/>
        <v>3.1415926535897931</v>
      </c>
      <c r="CG231" s="6"/>
      <c r="CH231" s="6"/>
      <c r="CI231" s="6"/>
      <c r="CJ231" s="1"/>
      <c r="CK231" s="6"/>
    </row>
    <row r="232" spans="55:89" x14ac:dyDescent="0.25">
      <c r="BC232"/>
      <c r="BD232"/>
      <c r="BF232" s="6" t="e">
        <f t="shared" si="211"/>
        <v>#N/A</v>
      </c>
      <c r="BG232" s="6" t="e">
        <f t="shared" si="212"/>
        <v>#N/A</v>
      </c>
      <c r="BH232" s="6" t="e">
        <f t="shared" si="213"/>
        <v>#N/A</v>
      </c>
      <c r="BI232" s="6" t="e">
        <f t="shared" si="214"/>
        <v>#N/A</v>
      </c>
      <c r="BV232" s="37"/>
      <c r="BW232" s="6" t="e">
        <f t="shared" si="215"/>
        <v>#N/A</v>
      </c>
      <c r="BX232" s="9">
        <f t="shared" ca="1" si="216"/>
        <v>-156.7666765884093</v>
      </c>
      <c r="BY232" s="9">
        <f t="shared" ca="1" si="217"/>
        <v>84.412825855297342</v>
      </c>
      <c r="BZ232" s="9">
        <f t="shared" ca="1" si="218"/>
        <v>0</v>
      </c>
      <c r="CA232" s="6">
        <f t="shared" ca="1" si="219"/>
        <v>0</v>
      </c>
      <c r="CB232" s="6" t="e">
        <f t="shared" ca="1" si="220"/>
        <v>#DIV/0!</v>
      </c>
      <c r="CC232" s="6" t="e">
        <f t="shared" ca="1" si="221"/>
        <v>#DIV/0!</v>
      </c>
      <c r="CD232" s="9">
        <f t="shared" si="222"/>
        <v>-50</v>
      </c>
      <c r="CE232" s="9">
        <f t="shared" si="223"/>
        <v>0</v>
      </c>
      <c r="CF232" s="6">
        <f t="shared" si="224"/>
        <v>3.1415926535897931</v>
      </c>
      <c r="CG232" s="6"/>
      <c r="CH232" s="6"/>
      <c r="CI232" s="6"/>
      <c r="CJ232" s="1"/>
      <c r="CK232" s="6"/>
    </row>
    <row r="233" spans="55:89" x14ac:dyDescent="0.25">
      <c r="BC233"/>
      <c r="BD233"/>
      <c r="BF233" s="6" t="e">
        <f t="shared" si="211"/>
        <v>#N/A</v>
      </c>
      <c r="BG233" s="6" t="e">
        <f t="shared" si="212"/>
        <v>#N/A</v>
      </c>
      <c r="BH233" s="6" t="e">
        <f t="shared" si="213"/>
        <v>#N/A</v>
      </c>
      <c r="BI233" s="6" t="e">
        <f t="shared" si="214"/>
        <v>#N/A</v>
      </c>
      <c r="BV233" s="37"/>
      <c r="BW233" s="6" t="e">
        <f t="shared" si="215"/>
        <v>#N/A</v>
      </c>
      <c r="BX233" s="9">
        <f t="shared" ca="1" si="216"/>
        <v>-156.7666765884093</v>
      </c>
      <c r="BY233" s="9">
        <f t="shared" ca="1" si="217"/>
        <v>84.412825855297342</v>
      </c>
      <c r="BZ233" s="9">
        <f t="shared" ca="1" si="218"/>
        <v>0</v>
      </c>
      <c r="CA233" s="6">
        <f t="shared" ca="1" si="219"/>
        <v>0</v>
      </c>
      <c r="CB233" s="6" t="e">
        <f t="shared" ca="1" si="220"/>
        <v>#DIV/0!</v>
      </c>
      <c r="CC233" s="6" t="e">
        <f t="shared" ca="1" si="221"/>
        <v>#DIV/0!</v>
      </c>
      <c r="CD233" s="9">
        <f t="shared" si="222"/>
        <v>-50</v>
      </c>
      <c r="CE233" s="9">
        <f t="shared" si="223"/>
        <v>0</v>
      </c>
      <c r="CF233" s="6">
        <f t="shared" si="224"/>
        <v>3.1415926535897931</v>
      </c>
      <c r="CG233" s="6"/>
      <c r="CH233" s="6"/>
      <c r="CI233" s="6"/>
      <c r="CJ233" s="1"/>
      <c r="CK233" s="6"/>
    </row>
    <row r="234" spans="55:89" x14ac:dyDescent="0.25">
      <c r="BC234"/>
      <c r="BD234"/>
      <c r="BF234" s="6" t="e">
        <f t="shared" si="211"/>
        <v>#N/A</v>
      </c>
      <c r="BG234" s="6" t="e">
        <f t="shared" si="212"/>
        <v>#N/A</v>
      </c>
      <c r="BH234" s="6" t="e">
        <f t="shared" si="213"/>
        <v>#N/A</v>
      </c>
      <c r="BI234" s="6" t="e">
        <f t="shared" si="214"/>
        <v>#N/A</v>
      </c>
      <c r="BV234" s="37"/>
      <c r="BW234" s="6" t="e">
        <f t="shared" si="215"/>
        <v>#N/A</v>
      </c>
      <c r="BX234" s="9">
        <f t="shared" ca="1" si="216"/>
        <v>-156.7666765884093</v>
      </c>
      <c r="BY234" s="9">
        <f t="shared" ca="1" si="217"/>
        <v>84.412825855297342</v>
      </c>
      <c r="BZ234" s="9">
        <f t="shared" ca="1" si="218"/>
        <v>0</v>
      </c>
      <c r="CA234" s="6">
        <f t="shared" ca="1" si="219"/>
        <v>0</v>
      </c>
      <c r="CB234" s="6" t="e">
        <f t="shared" ca="1" si="220"/>
        <v>#DIV/0!</v>
      </c>
      <c r="CC234" s="6" t="e">
        <f t="shared" ca="1" si="221"/>
        <v>#DIV/0!</v>
      </c>
      <c r="CD234" s="9">
        <f t="shared" si="222"/>
        <v>-50</v>
      </c>
      <c r="CE234" s="9">
        <f t="shared" si="223"/>
        <v>0</v>
      </c>
      <c r="CF234" s="6">
        <f t="shared" si="224"/>
        <v>3.1415926535897931</v>
      </c>
      <c r="CG234" s="6"/>
      <c r="CH234" s="6"/>
      <c r="CI234" s="6"/>
      <c r="CJ234" s="1"/>
      <c r="CK234" s="6"/>
    </row>
    <row r="235" spans="55:89" x14ac:dyDescent="0.25">
      <c r="BC235"/>
      <c r="BD235"/>
      <c r="BF235" s="6" t="e">
        <f t="shared" si="211"/>
        <v>#N/A</v>
      </c>
      <c r="BG235" s="6" t="e">
        <f t="shared" si="212"/>
        <v>#N/A</v>
      </c>
      <c r="BH235" s="6" t="e">
        <f t="shared" si="213"/>
        <v>#N/A</v>
      </c>
      <c r="BI235" s="6" t="e">
        <f t="shared" si="214"/>
        <v>#N/A</v>
      </c>
      <c r="BV235" s="37"/>
      <c r="BW235" s="6" t="e">
        <f t="shared" si="215"/>
        <v>#N/A</v>
      </c>
      <c r="BX235" s="9">
        <f t="shared" ca="1" si="216"/>
        <v>-156.7666765884093</v>
      </c>
      <c r="BY235" s="9">
        <f t="shared" ca="1" si="217"/>
        <v>84.412825855297342</v>
      </c>
      <c r="BZ235" s="9">
        <f t="shared" ca="1" si="218"/>
        <v>0</v>
      </c>
      <c r="CA235" s="6">
        <f t="shared" ca="1" si="219"/>
        <v>0</v>
      </c>
      <c r="CB235" s="6" t="e">
        <f t="shared" ca="1" si="220"/>
        <v>#DIV/0!</v>
      </c>
      <c r="CC235" s="6" t="e">
        <f t="shared" ca="1" si="221"/>
        <v>#DIV/0!</v>
      </c>
      <c r="CD235" s="9">
        <f t="shared" si="222"/>
        <v>-50</v>
      </c>
      <c r="CE235" s="9">
        <f t="shared" si="223"/>
        <v>0</v>
      </c>
      <c r="CF235" s="6">
        <f t="shared" si="224"/>
        <v>3.1415926535897931</v>
      </c>
      <c r="CG235" s="6"/>
      <c r="CH235" s="6"/>
      <c r="CI235" s="6"/>
      <c r="CJ235" s="1"/>
      <c r="CK235" s="6"/>
    </row>
    <row r="236" spans="55:89" x14ac:dyDescent="0.25">
      <c r="BC236"/>
      <c r="BD236"/>
      <c r="BF236" s="6" t="e">
        <f t="shared" si="211"/>
        <v>#N/A</v>
      </c>
      <c r="BG236" s="6" t="e">
        <f t="shared" si="212"/>
        <v>#N/A</v>
      </c>
      <c r="BH236" s="6" t="e">
        <f t="shared" si="213"/>
        <v>#N/A</v>
      </c>
      <c r="BI236" s="6" t="e">
        <f t="shared" si="214"/>
        <v>#N/A</v>
      </c>
      <c r="BV236" s="37"/>
      <c r="BW236" s="6" t="e">
        <f t="shared" si="215"/>
        <v>#N/A</v>
      </c>
      <c r="BX236" s="9">
        <f t="shared" ca="1" si="216"/>
        <v>-156.7666765884093</v>
      </c>
      <c r="BY236" s="9">
        <f t="shared" ca="1" si="217"/>
        <v>84.412825855297342</v>
      </c>
      <c r="BZ236" s="9">
        <f t="shared" ca="1" si="218"/>
        <v>0</v>
      </c>
      <c r="CA236" s="6">
        <f t="shared" ca="1" si="219"/>
        <v>0</v>
      </c>
      <c r="CB236" s="6" t="e">
        <f t="shared" ca="1" si="220"/>
        <v>#DIV/0!</v>
      </c>
      <c r="CC236" s="6" t="e">
        <f t="shared" ca="1" si="221"/>
        <v>#DIV/0!</v>
      </c>
      <c r="CD236" s="9">
        <f t="shared" si="222"/>
        <v>-50</v>
      </c>
      <c r="CE236" s="9">
        <f t="shared" si="223"/>
        <v>0</v>
      </c>
      <c r="CF236" s="6">
        <f t="shared" si="224"/>
        <v>3.1415926535897931</v>
      </c>
      <c r="CG236" s="6"/>
      <c r="CH236" s="6"/>
      <c r="CI236" s="6"/>
      <c r="CJ236" s="1"/>
      <c r="CK236" s="6"/>
    </row>
    <row r="237" spans="55:89" x14ac:dyDescent="0.25">
      <c r="BC237"/>
      <c r="BD237"/>
      <c r="BF237" s="6" t="e">
        <f t="shared" si="211"/>
        <v>#N/A</v>
      </c>
      <c r="BG237" s="6" t="e">
        <f t="shared" si="212"/>
        <v>#N/A</v>
      </c>
      <c r="BH237" s="6" t="e">
        <f t="shared" si="213"/>
        <v>#N/A</v>
      </c>
      <c r="BI237" s="6" t="e">
        <f t="shared" si="214"/>
        <v>#N/A</v>
      </c>
      <c r="BV237" s="37"/>
      <c r="BW237" s="6" t="e">
        <f t="shared" si="215"/>
        <v>#N/A</v>
      </c>
      <c r="BX237" s="9">
        <f t="shared" ca="1" si="216"/>
        <v>-156.7666765884093</v>
      </c>
      <c r="BY237" s="9">
        <f t="shared" ca="1" si="217"/>
        <v>84.412825855297342</v>
      </c>
      <c r="BZ237" s="9">
        <f t="shared" ca="1" si="218"/>
        <v>0</v>
      </c>
      <c r="CA237" s="6">
        <f t="shared" ca="1" si="219"/>
        <v>0</v>
      </c>
      <c r="CB237" s="6" t="e">
        <f t="shared" ca="1" si="220"/>
        <v>#DIV/0!</v>
      </c>
      <c r="CC237" s="6" t="e">
        <f t="shared" ca="1" si="221"/>
        <v>#DIV/0!</v>
      </c>
      <c r="CD237" s="9">
        <f t="shared" si="222"/>
        <v>-50</v>
      </c>
      <c r="CE237" s="9">
        <f t="shared" si="223"/>
        <v>0</v>
      </c>
      <c r="CF237" s="6">
        <f t="shared" si="224"/>
        <v>3.1415926535897931</v>
      </c>
      <c r="CG237" s="6"/>
      <c r="CH237" s="6"/>
      <c r="CI237" s="6"/>
      <c r="CJ237" s="1"/>
      <c r="CK237" s="6"/>
    </row>
    <row r="238" spans="55:89" x14ac:dyDescent="0.25">
      <c r="BC238"/>
      <c r="BD238"/>
      <c r="BF238" s="6" t="e">
        <f t="shared" si="211"/>
        <v>#N/A</v>
      </c>
      <c r="BG238" s="6" t="e">
        <f t="shared" si="212"/>
        <v>#N/A</v>
      </c>
      <c r="BH238" s="6" t="e">
        <f t="shared" si="213"/>
        <v>#N/A</v>
      </c>
      <c r="BI238" s="6" t="e">
        <f t="shared" si="214"/>
        <v>#N/A</v>
      </c>
      <c r="BV238" s="37"/>
      <c r="BW238" s="6" t="e">
        <f t="shared" si="215"/>
        <v>#N/A</v>
      </c>
      <c r="BX238" s="9">
        <f t="shared" ca="1" si="216"/>
        <v>-156.7666765884093</v>
      </c>
      <c r="BY238" s="9">
        <f t="shared" ca="1" si="217"/>
        <v>84.412825855297342</v>
      </c>
      <c r="BZ238" s="9">
        <f t="shared" ca="1" si="218"/>
        <v>0</v>
      </c>
      <c r="CA238" s="6">
        <f t="shared" ca="1" si="219"/>
        <v>0</v>
      </c>
      <c r="CB238" s="6" t="e">
        <f t="shared" ca="1" si="220"/>
        <v>#DIV/0!</v>
      </c>
      <c r="CC238" s="6" t="e">
        <f t="shared" ca="1" si="221"/>
        <v>#DIV/0!</v>
      </c>
      <c r="CD238" s="9">
        <f t="shared" si="222"/>
        <v>-50</v>
      </c>
      <c r="CE238" s="9">
        <f t="shared" si="223"/>
        <v>0</v>
      </c>
      <c r="CF238" s="6">
        <f t="shared" si="224"/>
        <v>3.1415926535897931</v>
      </c>
      <c r="CG238" s="6"/>
      <c r="CH238" s="6"/>
      <c r="CI238" s="6"/>
      <c r="CJ238" s="1"/>
      <c r="CK238" s="6"/>
    </row>
    <row r="239" spans="55:89" x14ac:dyDescent="0.25">
      <c r="BC239"/>
      <c r="BD239"/>
      <c r="BF239" s="6" t="e">
        <f t="shared" si="211"/>
        <v>#N/A</v>
      </c>
      <c r="BG239" s="6" t="e">
        <f t="shared" si="212"/>
        <v>#N/A</v>
      </c>
      <c r="BH239" s="6" t="e">
        <f t="shared" si="213"/>
        <v>#N/A</v>
      </c>
      <c r="BI239" s="6" t="e">
        <f t="shared" si="214"/>
        <v>#N/A</v>
      </c>
      <c r="BV239" s="37"/>
      <c r="BW239" s="6" t="e">
        <f t="shared" si="215"/>
        <v>#N/A</v>
      </c>
      <c r="BX239" s="9">
        <f t="shared" ca="1" si="216"/>
        <v>-156.7666765884093</v>
      </c>
      <c r="BY239" s="9">
        <f t="shared" ca="1" si="217"/>
        <v>84.412825855297342</v>
      </c>
      <c r="BZ239" s="9">
        <f t="shared" ca="1" si="218"/>
        <v>0</v>
      </c>
      <c r="CA239" s="6">
        <f t="shared" ca="1" si="219"/>
        <v>0</v>
      </c>
      <c r="CB239" s="6" t="e">
        <f t="shared" ca="1" si="220"/>
        <v>#DIV/0!</v>
      </c>
      <c r="CC239" s="6" t="e">
        <f t="shared" ca="1" si="221"/>
        <v>#DIV/0!</v>
      </c>
      <c r="CD239" s="9">
        <f t="shared" si="222"/>
        <v>-50</v>
      </c>
      <c r="CE239" s="9">
        <f t="shared" si="223"/>
        <v>0</v>
      </c>
      <c r="CF239" s="6">
        <f t="shared" si="224"/>
        <v>3.1415926535897931</v>
      </c>
      <c r="CG239" s="6"/>
      <c r="CH239" s="6"/>
      <c r="CI239" s="6"/>
      <c r="CJ239" s="1"/>
      <c r="CK239" s="6"/>
    </row>
    <row r="240" spans="55:89" x14ac:dyDescent="0.25">
      <c r="BC240"/>
      <c r="BD240"/>
      <c r="BF240" s="6" t="e">
        <f t="shared" si="211"/>
        <v>#N/A</v>
      </c>
      <c r="BG240" s="6" t="e">
        <f t="shared" si="212"/>
        <v>#N/A</v>
      </c>
      <c r="BH240" s="6" t="e">
        <f t="shared" si="213"/>
        <v>#N/A</v>
      </c>
      <c r="BI240" s="6" t="e">
        <f t="shared" si="214"/>
        <v>#N/A</v>
      </c>
      <c r="BV240" s="37"/>
      <c r="BW240" s="6" t="e">
        <f t="shared" si="215"/>
        <v>#N/A</v>
      </c>
      <c r="BX240" s="9">
        <f t="shared" ca="1" si="216"/>
        <v>-156.7666765884093</v>
      </c>
      <c r="BY240" s="9">
        <f t="shared" ca="1" si="217"/>
        <v>84.412825855297342</v>
      </c>
      <c r="BZ240" s="9">
        <f t="shared" ca="1" si="218"/>
        <v>0</v>
      </c>
      <c r="CA240" s="6">
        <f t="shared" ca="1" si="219"/>
        <v>0</v>
      </c>
      <c r="CB240" s="6" t="e">
        <f t="shared" ca="1" si="220"/>
        <v>#DIV/0!</v>
      </c>
      <c r="CC240" s="6" t="e">
        <f t="shared" ca="1" si="221"/>
        <v>#DIV/0!</v>
      </c>
      <c r="CD240" s="9">
        <f t="shared" si="222"/>
        <v>-50</v>
      </c>
      <c r="CE240" s="9">
        <f t="shared" si="223"/>
        <v>0</v>
      </c>
      <c r="CF240" s="6">
        <f t="shared" si="224"/>
        <v>3.1415926535897931</v>
      </c>
      <c r="CG240" s="6"/>
      <c r="CH240" s="6"/>
      <c r="CI240" s="6"/>
      <c r="CJ240" s="1"/>
      <c r="CK240" s="6"/>
    </row>
    <row r="241" spans="55:89" x14ac:dyDescent="0.25">
      <c r="BC241"/>
      <c r="BD241"/>
      <c r="BF241" s="6" t="e">
        <f t="shared" si="211"/>
        <v>#N/A</v>
      </c>
      <c r="BG241" s="6" t="e">
        <f t="shared" si="212"/>
        <v>#N/A</v>
      </c>
      <c r="BH241" s="6" t="e">
        <f t="shared" si="213"/>
        <v>#N/A</v>
      </c>
      <c r="BI241" s="6" t="e">
        <f t="shared" si="214"/>
        <v>#N/A</v>
      </c>
      <c r="BV241" s="37"/>
      <c r="BW241" s="6" t="e">
        <f t="shared" si="215"/>
        <v>#N/A</v>
      </c>
      <c r="BX241" s="9">
        <f t="shared" ca="1" si="216"/>
        <v>-156.7666765884093</v>
      </c>
      <c r="BY241" s="9">
        <f t="shared" ca="1" si="217"/>
        <v>84.412825855297342</v>
      </c>
      <c r="BZ241" s="9">
        <f t="shared" ca="1" si="218"/>
        <v>0</v>
      </c>
      <c r="CA241" s="6">
        <f t="shared" ca="1" si="219"/>
        <v>0</v>
      </c>
      <c r="CB241" s="6" t="e">
        <f t="shared" ca="1" si="220"/>
        <v>#DIV/0!</v>
      </c>
      <c r="CC241" s="6" t="e">
        <f t="shared" ca="1" si="221"/>
        <v>#DIV/0!</v>
      </c>
      <c r="CD241" s="9">
        <f t="shared" si="222"/>
        <v>-50</v>
      </c>
      <c r="CE241" s="9">
        <f t="shared" si="223"/>
        <v>0</v>
      </c>
      <c r="CF241" s="6">
        <f t="shared" si="224"/>
        <v>3.1415926535897931</v>
      </c>
      <c r="CG241" s="6"/>
      <c r="CH241" s="6"/>
      <c r="CI241" s="6"/>
      <c r="CJ241" s="1"/>
      <c r="CK241" s="6"/>
    </row>
    <row r="242" spans="55:89" x14ac:dyDescent="0.25">
      <c r="BC242"/>
      <c r="BD242"/>
      <c r="BF242" s="6" t="e">
        <f t="shared" si="211"/>
        <v>#N/A</v>
      </c>
      <c r="BG242" s="6" t="e">
        <f t="shared" si="212"/>
        <v>#N/A</v>
      </c>
      <c r="BH242" s="6" t="e">
        <f t="shared" si="213"/>
        <v>#N/A</v>
      </c>
      <c r="BI242" s="6" t="e">
        <f t="shared" si="214"/>
        <v>#N/A</v>
      </c>
      <c r="BV242" s="37"/>
      <c r="BW242" s="6" t="e">
        <f t="shared" si="215"/>
        <v>#N/A</v>
      </c>
      <c r="BX242" s="9">
        <f t="shared" ca="1" si="216"/>
        <v>-156.7666765884093</v>
      </c>
      <c r="BY242" s="9">
        <f t="shared" ca="1" si="217"/>
        <v>84.412825855297342</v>
      </c>
      <c r="BZ242" s="9">
        <f t="shared" ca="1" si="218"/>
        <v>0</v>
      </c>
      <c r="CA242" s="6">
        <f t="shared" ca="1" si="219"/>
        <v>0</v>
      </c>
      <c r="CB242" s="6" t="e">
        <f t="shared" ca="1" si="220"/>
        <v>#DIV/0!</v>
      </c>
      <c r="CC242" s="6" t="e">
        <f t="shared" ca="1" si="221"/>
        <v>#DIV/0!</v>
      </c>
      <c r="CD242" s="9">
        <f t="shared" si="222"/>
        <v>-50</v>
      </c>
      <c r="CE242" s="9">
        <f t="shared" si="223"/>
        <v>0</v>
      </c>
      <c r="CF242" s="6">
        <f t="shared" si="224"/>
        <v>3.1415926535897931</v>
      </c>
      <c r="CG242" s="6"/>
      <c r="CH242" s="6"/>
      <c r="CI242" s="6"/>
      <c r="CJ242" s="1"/>
      <c r="CK242" s="6"/>
    </row>
    <row r="243" spans="55:89" x14ac:dyDescent="0.25">
      <c r="BC243"/>
      <c r="BD243"/>
      <c r="BF243" s="6" t="e">
        <f t="shared" si="211"/>
        <v>#N/A</v>
      </c>
      <c r="BG243" s="6" t="e">
        <f t="shared" si="212"/>
        <v>#N/A</v>
      </c>
      <c r="BH243" s="6" t="e">
        <f t="shared" si="213"/>
        <v>#N/A</v>
      </c>
      <c r="BI243" s="6" t="e">
        <f t="shared" si="214"/>
        <v>#N/A</v>
      </c>
      <c r="BV243" s="37"/>
      <c r="BW243" s="6" t="e">
        <f t="shared" si="215"/>
        <v>#N/A</v>
      </c>
      <c r="BX243" s="9">
        <f t="shared" ca="1" si="216"/>
        <v>-156.7666765884093</v>
      </c>
      <c r="BY243" s="9">
        <f t="shared" ca="1" si="217"/>
        <v>84.412825855297342</v>
      </c>
      <c r="BZ243" s="9">
        <f t="shared" ca="1" si="218"/>
        <v>0</v>
      </c>
      <c r="CA243" s="6">
        <f t="shared" ca="1" si="219"/>
        <v>0</v>
      </c>
      <c r="CB243" s="6" t="e">
        <f t="shared" ca="1" si="220"/>
        <v>#DIV/0!</v>
      </c>
      <c r="CC243" s="6" t="e">
        <f t="shared" ca="1" si="221"/>
        <v>#DIV/0!</v>
      </c>
      <c r="CD243" s="9">
        <f t="shared" si="222"/>
        <v>-50</v>
      </c>
      <c r="CE243" s="9">
        <f t="shared" si="223"/>
        <v>0</v>
      </c>
      <c r="CF243" s="6">
        <f t="shared" si="224"/>
        <v>3.1415926535897931</v>
      </c>
      <c r="CG243" s="6"/>
      <c r="CH243" s="6"/>
      <c r="CI243" s="6"/>
      <c r="CJ243" s="1"/>
      <c r="CK243" s="6"/>
    </row>
    <row r="244" spans="55:89" x14ac:dyDescent="0.25">
      <c r="BC244"/>
      <c r="BD244"/>
      <c r="BF244" s="6" t="e">
        <f t="shared" si="211"/>
        <v>#N/A</v>
      </c>
      <c r="BG244" s="6" t="e">
        <f t="shared" si="212"/>
        <v>#N/A</v>
      </c>
      <c r="BH244" s="6" t="e">
        <f t="shared" si="213"/>
        <v>#N/A</v>
      </c>
      <c r="BI244" s="6" t="e">
        <f t="shared" si="214"/>
        <v>#N/A</v>
      </c>
      <c r="BV244" s="37"/>
      <c r="BW244" s="6" t="e">
        <f t="shared" si="215"/>
        <v>#N/A</v>
      </c>
      <c r="BX244" s="9">
        <f t="shared" ca="1" si="216"/>
        <v>-156.7666765884093</v>
      </c>
      <c r="BY244" s="9">
        <f t="shared" ca="1" si="217"/>
        <v>84.412825855297342</v>
      </c>
      <c r="BZ244" s="9">
        <f t="shared" ca="1" si="218"/>
        <v>0</v>
      </c>
      <c r="CA244" s="6">
        <f t="shared" ca="1" si="219"/>
        <v>0</v>
      </c>
      <c r="CB244" s="6" t="e">
        <f t="shared" ca="1" si="220"/>
        <v>#DIV/0!</v>
      </c>
      <c r="CC244" s="6" t="e">
        <f t="shared" ca="1" si="221"/>
        <v>#DIV/0!</v>
      </c>
      <c r="CD244" s="9">
        <f t="shared" si="222"/>
        <v>-50</v>
      </c>
      <c r="CE244" s="9">
        <f t="shared" si="223"/>
        <v>0</v>
      </c>
      <c r="CF244" s="6">
        <f t="shared" si="224"/>
        <v>3.1415926535897931</v>
      </c>
      <c r="CG244" s="6"/>
      <c r="CH244" s="6"/>
      <c r="CI244" s="6"/>
      <c r="CJ244" s="1"/>
      <c r="CK244" s="6"/>
    </row>
    <row r="245" spans="55:89" x14ac:dyDescent="0.25">
      <c r="BC245"/>
      <c r="BD245"/>
      <c r="BF245" s="6" t="e">
        <f t="shared" si="211"/>
        <v>#N/A</v>
      </c>
      <c r="BG245" s="6" t="e">
        <f t="shared" si="212"/>
        <v>#N/A</v>
      </c>
      <c r="BH245" s="6" t="e">
        <f t="shared" si="213"/>
        <v>#N/A</v>
      </c>
      <c r="BI245" s="6" t="e">
        <f t="shared" si="214"/>
        <v>#N/A</v>
      </c>
      <c r="BV245" s="37"/>
      <c r="BW245" s="6" t="e">
        <f t="shared" si="215"/>
        <v>#N/A</v>
      </c>
      <c r="BX245" s="9">
        <f t="shared" ca="1" si="216"/>
        <v>-156.7666765884093</v>
      </c>
      <c r="BY245" s="9">
        <f t="shared" ca="1" si="217"/>
        <v>84.412825855297342</v>
      </c>
      <c r="BZ245" s="9">
        <f t="shared" ca="1" si="218"/>
        <v>0</v>
      </c>
      <c r="CA245" s="6">
        <f t="shared" ca="1" si="219"/>
        <v>0</v>
      </c>
      <c r="CB245" s="6" t="e">
        <f t="shared" ca="1" si="220"/>
        <v>#DIV/0!</v>
      </c>
      <c r="CC245" s="6" t="e">
        <f t="shared" ca="1" si="221"/>
        <v>#DIV/0!</v>
      </c>
      <c r="CD245" s="9">
        <f t="shared" si="222"/>
        <v>-50</v>
      </c>
      <c r="CE245" s="9">
        <f t="shared" si="223"/>
        <v>0</v>
      </c>
      <c r="CF245" s="6">
        <f t="shared" si="224"/>
        <v>3.1415926535897931</v>
      </c>
      <c r="CG245" s="6"/>
      <c r="CH245" s="6"/>
      <c r="CI245" s="6"/>
      <c r="CJ245" s="1"/>
      <c r="CK245" s="6"/>
    </row>
    <row r="246" spans="55:89" x14ac:dyDescent="0.25">
      <c r="BC246"/>
      <c r="BD246"/>
      <c r="BF246" s="6" t="e">
        <f t="shared" si="211"/>
        <v>#N/A</v>
      </c>
      <c r="BG246" s="6" t="e">
        <f t="shared" si="212"/>
        <v>#N/A</v>
      </c>
      <c r="BH246" s="6" t="e">
        <f t="shared" si="213"/>
        <v>#N/A</v>
      </c>
      <c r="BI246" s="6" t="e">
        <f t="shared" si="214"/>
        <v>#N/A</v>
      </c>
      <c r="BV246" s="37"/>
      <c r="BW246" s="6" t="e">
        <f t="shared" si="215"/>
        <v>#N/A</v>
      </c>
      <c r="BX246" s="9">
        <f t="shared" ca="1" si="216"/>
        <v>-156.7666765884093</v>
      </c>
      <c r="BY246" s="9">
        <f t="shared" ca="1" si="217"/>
        <v>84.412825855297342</v>
      </c>
      <c r="BZ246" s="9">
        <f t="shared" ca="1" si="218"/>
        <v>0</v>
      </c>
      <c r="CA246" s="6">
        <f t="shared" ca="1" si="219"/>
        <v>0</v>
      </c>
      <c r="CB246" s="6" t="e">
        <f t="shared" ca="1" si="220"/>
        <v>#DIV/0!</v>
      </c>
      <c r="CC246" s="6" t="e">
        <f t="shared" ca="1" si="221"/>
        <v>#DIV/0!</v>
      </c>
      <c r="CD246" s="9">
        <f t="shared" si="222"/>
        <v>-50</v>
      </c>
      <c r="CE246" s="9">
        <f t="shared" si="223"/>
        <v>0</v>
      </c>
      <c r="CF246" s="6">
        <f t="shared" si="224"/>
        <v>3.1415926535897931</v>
      </c>
      <c r="CG246" s="6"/>
      <c r="CH246" s="6"/>
      <c r="CI246" s="6"/>
      <c r="CJ246" s="1"/>
      <c r="CK246" s="6"/>
    </row>
    <row r="247" spans="55:89" x14ac:dyDescent="0.25">
      <c r="BC247"/>
      <c r="BD247"/>
      <c r="BF247" s="6" t="e">
        <f t="shared" si="211"/>
        <v>#N/A</v>
      </c>
      <c r="BG247" s="6" t="e">
        <f t="shared" si="212"/>
        <v>#N/A</v>
      </c>
      <c r="BH247" s="6" t="e">
        <f t="shared" si="213"/>
        <v>#N/A</v>
      </c>
      <c r="BI247" s="6" t="e">
        <f t="shared" si="214"/>
        <v>#N/A</v>
      </c>
      <c r="BV247" s="37"/>
      <c r="BW247" s="6" t="e">
        <f t="shared" si="215"/>
        <v>#N/A</v>
      </c>
      <c r="BX247" s="9">
        <f t="shared" ca="1" si="216"/>
        <v>-156.7666765884093</v>
      </c>
      <c r="BY247" s="9">
        <f t="shared" ca="1" si="217"/>
        <v>84.412825855297342</v>
      </c>
      <c r="BZ247" s="9">
        <f t="shared" ca="1" si="218"/>
        <v>0</v>
      </c>
      <c r="CA247" s="6">
        <f t="shared" ca="1" si="219"/>
        <v>0</v>
      </c>
      <c r="CB247" s="6" t="e">
        <f t="shared" ca="1" si="220"/>
        <v>#DIV/0!</v>
      </c>
      <c r="CC247" s="6" t="e">
        <f t="shared" ca="1" si="221"/>
        <v>#DIV/0!</v>
      </c>
      <c r="CD247" s="9">
        <f t="shared" si="222"/>
        <v>-50</v>
      </c>
      <c r="CE247" s="9">
        <f t="shared" si="223"/>
        <v>0</v>
      </c>
      <c r="CF247" s="6">
        <f t="shared" si="224"/>
        <v>3.1415926535897931</v>
      </c>
      <c r="CG247" s="6"/>
      <c r="CH247" s="6"/>
      <c r="CI247" s="6"/>
      <c r="CJ247" s="1"/>
      <c r="CK247" s="6"/>
    </row>
    <row r="248" spans="55:89" x14ac:dyDescent="0.25">
      <c r="BC248"/>
      <c r="BD248"/>
      <c r="BF248" s="6" t="e">
        <f t="shared" si="211"/>
        <v>#N/A</v>
      </c>
      <c r="BG248" s="6" t="e">
        <f t="shared" si="212"/>
        <v>#N/A</v>
      </c>
      <c r="BH248" s="6" t="e">
        <f t="shared" si="213"/>
        <v>#N/A</v>
      </c>
      <c r="BI248" s="6" t="e">
        <f t="shared" si="214"/>
        <v>#N/A</v>
      </c>
      <c r="BV248" s="37"/>
      <c r="BW248" s="6" t="e">
        <f t="shared" si="215"/>
        <v>#N/A</v>
      </c>
      <c r="BX248" s="9">
        <f t="shared" ca="1" si="216"/>
        <v>-156.7666765884093</v>
      </c>
      <c r="BY248" s="9">
        <f t="shared" ca="1" si="217"/>
        <v>84.412825855297342</v>
      </c>
      <c r="BZ248" s="9">
        <f t="shared" ca="1" si="218"/>
        <v>0</v>
      </c>
      <c r="CA248" s="6">
        <f t="shared" ca="1" si="219"/>
        <v>0</v>
      </c>
      <c r="CB248" s="6" t="e">
        <f t="shared" ca="1" si="220"/>
        <v>#DIV/0!</v>
      </c>
      <c r="CC248" s="6" t="e">
        <f t="shared" ca="1" si="221"/>
        <v>#DIV/0!</v>
      </c>
      <c r="CD248" s="9">
        <f t="shared" si="222"/>
        <v>-50</v>
      </c>
      <c r="CE248" s="9">
        <f t="shared" si="223"/>
        <v>0</v>
      </c>
      <c r="CF248" s="6">
        <f t="shared" si="224"/>
        <v>3.1415926535897931</v>
      </c>
      <c r="CG248" s="6"/>
      <c r="CH248" s="6"/>
      <c r="CI248" s="6"/>
      <c r="CJ248" s="1"/>
      <c r="CK248" s="6"/>
    </row>
    <row r="249" spans="55:89" x14ac:dyDescent="0.25">
      <c r="BC249"/>
      <c r="BD249"/>
      <c r="BF249" s="6" t="e">
        <f t="shared" si="211"/>
        <v>#N/A</v>
      </c>
      <c r="BG249" s="6" t="e">
        <f t="shared" si="212"/>
        <v>#N/A</v>
      </c>
      <c r="BH249" s="6" t="e">
        <f t="shared" si="213"/>
        <v>#N/A</v>
      </c>
      <c r="BI249" s="6" t="e">
        <f t="shared" si="214"/>
        <v>#N/A</v>
      </c>
      <c r="BV249" s="37"/>
      <c r="BW249" s="6" t="e">
        <f t="shared" si="215"/>
        <v>#N/A</v>
      </c>
      <c r="BX249" s="9">
        <f t="shared" ca="1" si="216"/>
        <v>-156.7666765884093</v>
      </c>
      <c r="BY249" s="9">
        <f t="shared" ca="1" si="217"/>
        <v>84.412825855297342</v>
      </c>
      <c r="BZ249" s="9">
        <f t="shared" ca="1" si="218"/>
        <v>0</v>
      </c>
      <c r="CA249" s="6">
        <f t="shared" ca="1" si="219"/>
        <v>0</v>
      </c>
      <c r="CB249" s="6" t="e">
        <f t="shared" ca="1" si="220"/>
        <v>#DIV/0!</v>
      </c>
      <c r="CC249" s="6" t="e">
        <f t="shared" ca="1" si="221"/>
        <v>#DIV/0!</v>
      </c>
      <c r="CD249" s="9">
        <f t="shared" si="222"/>
        <v>-50</v>
      </c>
      <c r="CE249" s="9">
        <f t="shared" si="223"/>
        <v>0</v>
      </c>
      <c r="CF249" s="6">
        <f t="shared" si="224"/>
        <v>3.1415926535897931</v>
      </c>
      <c r="CG249" s="6"/>
      <c r="CH249" s="6"/>
      <c r="CI249" s="6"/>
      <c r="CJ249" s="1"/>
      <c r="CK249" s="6"/>
    </row>
    <row r="250" spans="55:89" x14ac:dyDescent="0.25">
      <c r="BC250"/>
      <c r="BD250"/>
      <c r="BF250" s="6" t="e">
        <f t="shared" si="211"/>
        <v>#N/A</v>
      </c>
      <c r="BG250" s="6" t="e">
        <f t="shared" si="212"/>
        <v>#N/A</v>
      </c>
      <c r="BH250" s="6" t="e">
        <f t="shared" si="213"/>
        <v>#N/A</v>
      </c>
      <c r="BI250" s="6" t="e">
        <f t="shared" si="214"/>
        <v>#N/A</v>
      </c>
      <c r="BV250" s="37"/>
      <c r="BW250" s="6" t="e">
        <f t="shared" si="215"/>
        <v>#N/A</v>
      </c>
      <c r="BX250" s="9">
        <f t="shared" ca="1" si="216"/>
        <v>-156.7666765884093</v>
      </c>
      <c r="BY250" s="9">
        <f t="shared" ca="1" si="217"/>
        <v>84.412825855297342</v>
      </c>
      <c r="BZ250" s="9">
        <f t="shared" ca="1" si="218"/>
        <v>0</v>
      </c>
      <c r="CA250" s="6">
        <f t="shared" ca="1" si="219"/>
        <v>0</v>
      </c>
      <c r="CB250" s="6" t="e">
        <f t="shared" ca="1" si="220"/>
        <v>#DIV/0!</v>
      </c>
      <c r="CC250" s="6" t="e">
        <f t="shared" ca="1" si="221"/>
        <v>#DIV/0!</v>
      </c>
      <c r="CD250" s="9">
        <f t="shared" si="222"/>
        <v>-50</v>
      </c>
      <c r="CE250" s="9">
        <f t="shared" si="223"/>
        <v>0</v>
      </c>
      <c r="CF250" s="6">
        <f t="shared" si="224"/>
        <v>3.1415926535897931</v>
      </c>
      <c r="CG250" s="6"/>
      <c r="CH250" s="6"/>
      <c r="CI250" s="6"/>
      <c r="CJ250" s="1"/>
      <c r="CK250" s="6"/>
    </row>
    <row r="251" spans="55:89" x14ac:dyDescent="0.25">
      <c r="BC251"/>
      <c r="BD251"/>
      <c r="BF251" s="6" t="e">
        <f t="shared" si="211"/>
        <v>#N/A</v>
      </c>
      <c r="BG251" s="6" t="e">
        <f t="shared" si="212"/>
        <v>#N/A</v>
      </c>
      <c r="BH251" s="6" t="e">
        <f t="shared" si="213"/>
        <v>#N/A</v>
      </c>
      <c r="BI251" s="6" t="e">
        <f t="shared" si="214"/>
        <v>#N/A</v>
      </c>
      <c r="BV251" s="37"/>
      <c r="BW251" s="6" t="e">
        <f t="shared" si="215"/>
        <v>#N/A</v>
      </c>
      <c r="BX251" s="9">
        <f t="shared" ca="1" si="216"/>
        <v>-156.7666765884093</v>
      </c>
      <c r="BY251" s="9">
        <f t="shared" ca="1" si="217"/>
        <v>84.412825855297342</v>
      </c>
      <c r="BZ251" s="9">
        <f t="shared" ca="1" si="218"/>
        <v>0</v>
      </c>
      <c r="CA251" s="6">
        <f t="shared" ca="1" si="219"/>
        <v>0</v>
      </c>
      <c r="CB251" s="6" t="e">
        <f t="shared" ca="1" si="220"/>
        <v>#DIV/0!</v>
      </c>
      <c r="CC251" s="6" t="e">
        <f t="shared" ca="1" si="221"/>
        <v>#DIV/0!</v>
      </c>
      <c r="CD251" s="9">
        <f t="shared" si="222"/>
        <v>-50</v>
      </c>
      <c r="CE251" s="9">
        <f t="shared" si="223"/>
        <v>0</v>
      </c>
      <c r="CF251" s="6">
        <f t="shared" si="224"/>
        <v>3.1415926535897931</v>
      </c>
      <c r="CG251" s="6"/>
      <c r="CH251" s="6"/>
      <c r="CI251" s="6"/>
      <c r="CJ251" s="1"/>
      <c r="CK251" s="6"/>
    </row>
    <row r="252" spans="55:89" x14ac:dyDescent="0.25">
      <c r="BC252"/>
      <c r="BD252"/>
      <c r="BF252" s="6" t="e">
        <f t="shared" si="211"/>
        <v>#N/A</v>
      </c>
      <c r="BG252" s="6" t="e">
        <f t="shared" si="212"/>
        <v>#N/A</v>
      </c>
      <c r="BH252" s="6" t="e">
        <f t="shared" si="213"/>
        <v>#N/A</v>
      </c>
      <c r="BI252" s="6" t="e">
        <f t="shared" si="214"/>
        <v>#N/A</v>
      </c>
      <c r="BV252" s="37"/>
      <c r="BW252" s="6" t="e">
        <f t="shared" si="215"/>
        <v>#N/A</v>
      </c>
      <c r="BX252" s="9">
        <f t="shared" ca="1" si="216"/>
        <v>-156.7666765884093</v>
      </c>
      <c r="BY252" s="9">
        <f t="shared" ca="1" si="217"/>
        <v>84.412825855297342</v>
      </c>
      <c r="BZ252" s="9">
        <f t="shared" ca="1" si="218"/>
        <v>0</v>
      </c>
      <c r="CA252" s="6">
        <f t="shared" ca="1" si="219"/>
        <v>0</v>
      </c>
      <c r="CB252" s="6" t="e">
        <f t="shared" ca="1" si="220"/>
        <v>#DIV/0!</v>
      </c>
      <c r="CC252" s="6" t="e">
        <f t="shared" ca="1" si="221"/>
        <v>#DIV/0!</v>
      </c>
      <c r="CD252" s="9">
        <f t="shared" si="222"/>
        <v>-50</v>
      </c>
      <c r="CE252" s="9">
        <f t="shared" si="223"/>
        <v>0</v>
      </c>
      <c r="CF252" s="6">
        <f t="shared" si="224"/>
        <v>3.1415926535897931</v>
      </c>
      <c r="CG252" s="6"/>
      <c r="CH252" s="6"/>
      <c r="CI252" s="6"/>
      <c r="CJ252" s="1"/>
      <c r="CK252" s="6"/>
    </row>
    <row r="253" spans="55:89" x14ac:dyDescent="0.25">
      <c r="BC253"/>
      <c r="BD253"/>
      <c r="BF253" s="6" t="e">
        <f t="shared" si="211"/>
        <v>#N/A</v>
      </c>
      <c r="BG253" s="6" t="e">
        <f t="shared" si="212"/>
        <v>#N/A</v>
      </c>
      <c r="BH253" s="6" t="e">
        <f t="shared" si="213"/>
        <v>#N/A</v>
      </c>
      <c r="BI253" s="6" t="e">
        <f t="shared" si="214"/>
        <v>#N/A</v>
      </c>
      <c r="BV253" s="37"/>
      <c r="BW253" s="6" t="e">
        <f t="shared" si="215"/>
        <v>#N/A</v>
      </c>
      <c r="BX253" s="9">
        <f t="shared" ca="1" si="216"/>
        <v>-156.7666765884093</v>
      </c>
      <c r="BY253" s="9">
        <f t="shared" ca="1" si="217"/>
        <v>84.412825855297342</v>
      </c>
      <c r="BZ253" s="9">
        <f t="shared" ca="1" si="218"/>
        <v>0</v>
      </c>
      <c r="CA253" s="6">
        <f t="shared" ca="1" si="219"/>
        <v>0</v>
      </c>
      <c r="CB253" s="6" t="e">
        <f t="shared" ca="1" si="220"/>
        <v>#DIV/0!</v>
      </c>
      <c r="CC253" s="6" t="e">
        <f t="shared" ca="1" si="221"/>
        <v>#DIV/0!</v>
      </c>
      <c r="CD253" s="9">
        <f t="shared" si="222"/>
        <v>-50</v>
      </c>
      <c r="CE253" s="9">
        <f t="shared" si="223"/>
        <v>0</v>
      </c>
      <c r="CF253" s="6">
        <f t="shared" si="224"/>
        <v>3.1415926535897931</v>
      </c>
      <c r="CG253" s="6"/>
      <c r="CH253" s="6"/>
      <c r="CI253" s="6"/>
      <c r="CJ253" s="1"/>
      <c r="CK253" s="6"/>
    </row>
    <row r="254" spans="55:89" x14ac:dyDescent="0.25">
      <c r="BC254"/>
      <c r="BD254"/>
      <c r="BF254" s="6" t="e">
        <f t="shared" si="211"/>
        <v>#N/A</v>
      </c>
      <c r="BG254" s="6" t="e">
        <f t="shared" si="212"/>
        <v>#N/A</v>
      </c>
      <c r="BH254" s="6" t="e">
        <f t="shared" si="213"/>
        <v>#N/A</v>
      </c>
      <c r="BI254" s="6" t="e">
        <f t="shared" si="214"/>
        <v>#N/A</v>
      </c>
      <c r="BV254" s="37"/>
      <c r="BW254" s="6" t="e">
        <f t="shared" si="215"/>
        <v>#N/A</v>
      </c>
      <c r="BX254" s="9">
        <f t="shared" ca="1" si="216"/>
        <v>-156.7666765884093</v>
      </c>
      <c r="BY254" s="9">
        <f t="shared" ca="1" si="217"/>
        <v>84.412825855297342</v>
      </c>
      <c r="BZ254" s="9">
        <f t="shared" ca="1" si="218"/>
        <v>0</v>
      </c>
      <c r="CA254" s="6">
        <f t="shared" ca="1" si="219"/>
        <v>0</v>
      </c>
      <c r="CB254" s="6" t="e">
        <f t="shared" ca="1" si="220"/>
        <v>#DIV/0!</v>
      </c>
      <c r="CC254" s="6" t="e">
        <f t="shared" ca="1" si="221"/>
        <v>#DIV/0!</v>
      </c>
      <c r="CD254" s="9">
        <f t="shared" si="222"/>
        <v>-50</v>
      </c>
      <c r="CE254" s="9">
        <f t="shared" si="223"/>
        <v>0</v>
      </c>
      <c r="CF254" s="6">
        <f t="shared" si="224"/>
        <v>3.1415926535897931</v>
      </c>
      <c r="CG254" s="6"/>
      <c r="CH254" s="6"/>
      <c r="CI254" s="6"/>
      <c r="CJ254" s="1"/>
      <c r="CK254" s="6"/>
    </row>
    <row r="255" spans="55:89" x14ac:dyDescent="0.25">
      <c r="BC255"/>
      <c r="BD255"/>
      <c r="BF255" s="6" t="e">
        <f t="shared" si="211"/>
        <v>#N/A</v>
      </c>
      <c r="BG255" s="6" t="e">
        <f t="shared" si="212"/>
        <v>#N/A</v>
      </c>
      <c r="BH255" s="6" t="e">
        <f t="shared" si="213"/>
        <v>#N/A</v>
      </c>
      <c r="BI255" s="6" t="e">
        <f t="shared" si="214"/>
        <v>#N/A</v>
      </c>
      <c r="BV255" s="37"/>
      <c r="BW255" s="6" t="e">
        <f t="shared" si="215"/>
        <v>#N/A</v>
      </c>
      <c r="BX255" s="9">
        <f t="shared" ca="1" si="216"/>
        <v>-156.7666765884093</v>
      </c>
      <c r="BY255" s="9">
        <f t="shared" ca="1" si="217"/>
        <v>84.412825855297342</v>
      </c>
      <c r="BZ255" s="9">
        <f t="shared" ca="1" si="218"/>
        <v>0</v>
      </c>
      <c r="CA255" s="6">
        <f t="shared" ca="1" si="219"/>
        <v>0</v>
      </c>
      <c r="CB255" s="6" t="e">
        <f t="shared" ca="1" si="220"/>
        <v>#DIV/0!</v>
      </c>
      <c r="CC255" s="6" t="e">
        <f t="shared" ca="1" si="221"/>
        <v>#DIV/0!</v>
      </c>
      <c r="CD255" s="9">
        <f t="shared" si="222"/>
        <v>-50</v>
      </c>
      <c r="CE255" s="9">
        <f t="shared" si="223"/>
        <v>0</v>
      </c>
      <c r="CF255" s="6">
        <f t="shared" si="224"/>
        <v>3.1415926535897931</v>
      </c>
      <c r="CG255" s="6"/>
      <c r="CH255" s="6"/>
      <c r="CI255" s="6"/>
      <c r="CJ255" s="1"/>
      <c r="CK255" s="6"/>
    </row>
    <row r="256" spans="55:89" x14ac:dyDescent="0.25">
      <c r="BC256"/>
      <c r="BD256"/>
      <c r="BF256" s="6" t="e">
        <f t="shared" si="211"/>
        <v>#N/A</v>
      </c>
      <c r="BG256" s="6" t="e">
        <f t="shared" si="212"/>
        <v>#N/A</v>
      </c>
      <c r="BH256" s="6" t="e">
        <f t="shared" si="213"/>
        <v>#N/A</v>
      </c>
      <c r="BI256" s="6" t="e">
        <f t="shared" si="214"/>
        <v>#N/A</v>
      </c>
      <c r="BV256" s="37"/>
      <c r="BW256" s="6" t="e">
        <f t="shared" si="215"/>
        <v>#N/A</v>
      </c>
      <c r="BX256" s="9">
        <f t="shared" ca="1" si="216"/>
        <v>-156.7666765884093</v>
      </c>
      <c r="BY256" s="9">
        <f t="shared" ca="1" si="217"/>
        <v>84.412825855297342</v>
      </c>
      <c r="BZ256" s="9">
        <f t="shared" ca="1" si="218"/>
        <v>0</v>
      </c>
      <c r="CA256" s="6">
        <f t="shared" ca="1" si="219"/>
        <v>0</v>
      </c>
      <c r="CB256" s="6" t="e">
        <f t="shared" ca="1" si="220"/>
        <v>#DIV/0!</v>
      </c>
      <c r="CC256" s="6" t="e">
        <f t="shared" ca="1" si="221"/>
        <v>#DIV/0!</v>
      </c>
      <c r="CD256" s="9">
        <f t="shared" si="222"/>
        <v>-50</v>
      </c>
      <c r="CE256" s="9">
        <f t="shared" si="223"/>
        <v>0</v>
      </c>
      <c r="CF256" s="6">
        <f t="shared" si="224"/>
        <v>3.1415926535897931</v>
      </c>
      <c r="CG256" s="6"/>
      <c r="CH256" s="6"/>
      <c r="CI256" s="6"/>
      <c r="CJ256" s="1"/>
      <c r="CK256" s="6"/>
    </row>
    <row r="257" spans="55:89" x14ac:dyDescent="0.25">
      <c r="BC257"/>
      <c r="BD257"/>
      <c r="BF257" s="6" t="e">
        <f t="shared" si="211"/>
        <v>#N/A</v>
      </c>
      <c r="BG257" s="6" t="e">
        <f t="shared" si="212"/>
        <v>#N/A</v>
      </c>
      <c r="BH257" s="6" t="e">
        <f t="shared" si="213"/>
        <v>#N/A</v>
      </c>
      <c r="BI257" s="6" t="e">
        <f t="shared" si="214"/>
        <v>#N/A</v>
      </c>
      <c r="BV257" s="37"/>
      <c r="BW257" s="6" t="e">
        <f t="shared" si="215"/>
        <v>#N/A</v>
      </c>
      <c r="BX257" s="9">
        <f t="shared" ca="1" si="216"/>
        <v>-156.7666765884093</v>
      </c>
      <c r="BY257" s="9">
        <f t="shared" ca="1" si="217"/>
        <v>84.412825855297342</v>
      </c>
      <c r="BZ257" s="9">
        <f t="shared" ca="1" si="218"/>
        <v>0</v>
      </c>
      <c r="CA257" s="6">
        <f t="shared" ca="1" si="219"/>
        <v>0</v>
      </c>
      <c r="CB257" s="6" t="e">
        <f t="shared" ca="1" si="220"/>
        <v>#DIV/0!</v>
      </c>
      <c r="CC257" s="6" t="e">
        <f t="shared" ca="1" si="221"/>
        <v>#DIV/0!</v>
      </c>
      <c r="CD257" s="9">
        <f t="shared" si="222"/>
        <v>-50</v>
      </c>
      <c r="CE257" s="9">
        <f t="shared" si="223"/>
        <v>0</v>
      </c>
      <c r="CF257" s="6">
        <f t="shared" si="224"/>
        <v>3.1415926535897931</v>
      </c>
      <c r="CG257" s="6"/>
      <c r="CH257" s="6"/>
      <c r="CI257" s="6"/>
      <c r="CJ257" s="1"/>
      <c r="CK257" s="6"/>
    </row>
    <row r="258" spans="55:89" x14ac:dyDescent="0.25">
      <c r="BC258"/>
      <c r="BD258"/>
      <c r="BF258" s="6" t="e">
        <f t="shared" si="211"/>
        <v>#N/A</v>
      </c>
      <c r="BG258" s="6" t="e">
        <f t="shared" si="212"/>
        <v>#N/A</v>
      </c>
      <c r="BH258" s="6" t="e">
        <f t="shared" si="213"/>
        <v>#N/A</v>
      </c>
      <c r="BI258" s="6" t="e">
        <f t="shared" si="214"/>
        <v>#N/A</v>
      </c>
      <c r="BV258" s="37"/>
      <c r="BW258" s="6" t="e">
        <f t="shared" si="215"/>
        <v>#N/A</v>
      </c>
      <c r="BX258" s="9">
        <f t="shared" ca="1" si="216"/>
        <v>-156.7666765884093</v>
      </c>
      <c r="BY258" s="9">
        <f t="shared" ca="1" si="217"/>
        <v>84.412825855297342</v>
      </c>
      <c r="BZ258" s="9">
        <f t="shared" ca="1" si="218"/>
        <v>0</v>
      </c>
      <c r="CA258" s="6">
        <f t="shared" ca="1" si="219"/>
        <v>0</v>
      </c>
      <c r="CB258" s="6" t="e">
        <f t="shared" ca="1" si="220"/>
        <v>#DIV/0!</v>
      </c>
      <c r="CC258" s="6" t="e">
        <f t="shared" ca="1" si="221"/>
        <v>#DIV/0!</v>
      </c>
      <c r="CD258" s="9">
        <f t="shared" si="222"/>
        <v>-50</v>
      </c>
      <c r="CE258" s="9">
        <f t="shared" si="223"/>
        <v>0</v>
      </c>
      <c r="CF258" s="6">
        <f t="shared" si="224"/>
        <v>3.1415926535897931</v>
      </c>
      <c r="CG258" s="6"/>
      <c r="CH258" s="6"/>
      <c r="CI258" s="6"/>
      <c r="CJ258" s="1"/>
      <c r="CK258" s="6"/>
    </row>
    <row r="259" spans="55:89" x14ac:dyDescent="0.25">
      <c r="BC259"/>
      <c r="BD259"/>
      <c r="BF259" s="6" t="e">
        <f t="shared" ref="BF259:BF322" si="225">IF(BC259&lt;&gt;"",IF(AND(BD259=0,BE259=0),0,MOD(ATAN2(BD259,BE259),2*PI())),NA())</f>
        <v>#N/A</v>
      </c>
      <c r="BG259" s="6" t="e">
        <f t="shared" ref="BG259:BG322" si="226">ABS(BC259-BF259)</f>
        <v>#N/A</v>
      </c>
      <c r="BH259" s="6" t="e">
        <f t="shared" ref="BH259:BH322" si="227">ATAN2(COS($U$13-BF259),SIN($U$13-BF259))</f>
        <v>#N/A</v>
      </c>
      <c r="BI259" s="6" t="e">
        <f t="shared" ref="BI259:BI322" si="228">ABS(BH259)</f>
        <v>#N/A</v>
      </c>
      <c r="BV259" s="37"/>
      <c r="BW259" s="6" t="e">
        <f t="shared" si="215"/>
        <v>#N/A</v>
      </c>
      <c r="BX259" s="9">
        <f t="shared" ca="1" si="216"/>
        <v>-156.7666765884093</v>
      </c>
      <c r="BY259" s="9">
        <f t="shared" ca="1" si="217"/>
        <v>84.412825855297342</v>
      </c>
      <c r="BZ259" s="9">
        <f t="shared" ca="1" si="218"/>
        <v>0</v>
      </c>
      <c r="CA259" s="6">
        <f t="shared" ca="1" si="219"/>
        <v>0</v>
      </c>
      <c r="CB259" s="6" t="e">
        <f t="shared" ca="1" si="220"/>
        <v>#DIV/0!</v>
      </c>
      <c r="CC259" s="6" t="e">
        <f t="shared" ca="1" si="221"/>
        <v>#DIV/0!</v>
      </c>
      <c r="CD259" s="9">
        <f t="shared" si="222"/>
        <v>-50</v>
      </c>
      <c r="CE259" s="9">
        <f t="shared" si="223"/>
        <v>0</v>
      </c>
      <c r="CF259" s="6">
        <f t="shared" si="224"/>
        <v>3.1415926535897931</v>
      </c>
      <c r="CG259" s="6"/>
      <c r="CH259" s="6"/>
      <c r="CI259" s="6"/>
      <c r="CJ259" s="1"/>
      <c r="CK259" s="6"/>
    </row>
    <row r="260" spans="55:89" x14ac:dyDescent="0.25">
      <c r="BC260"/>
      <c r="BD260"/>
      <c r="BF260" s="6" t="e">
        <f t="shared" si="225"/>
        <v>#N/A</v>
      </c>
      <c r="BG260" s="6" t="e">
        <f t="shared" si="226"/>
        <v>#N/A</v>
      </c>
      <c r="BH260" s="6" t="e">
        <f t="shared" si="227"/>
        <v>#N/A</v>
      </c>
      <c r="BI260" s="6" t="e">
        <f t="shared" si="228"/>
        <v>#N/A</v>
      </c>
      <c r="BV260" s="37"/>
      <c r="BW260" s="6" t="e">
        <f t="shared" si="215"/>
        <v>#N/A</v>
      </c>
      <c r="BX260" s="9">
        <f t="shared" ca="1" si="216"/>
        <v>-156.7666765884093</v>
      </c>
      <c r="BY260" s="9">
        <f t="shared" ca="1" si="217"/>
        <v>84.412825855297342</v>
      </c>
      <c r="BZ260" s="9">
        <f t="shared" ca="1" si="218"/>
        <v>0</v>
      </c>
      <c r="CA260" s="6">
        <f t="shared" ca="1" si="219"/>
        <v>0</v>
      </c>
      <c r="CB260" s="6" t="e">
        <f t="shared" ca="1" si="220"/>
        <v>#DIV/0!</v>
      </c>
      <c r="CC260" s="6" t="e">
        <f t="shared" ca="1" si="221"/>
        <v>#DIV/0!</v>
      </c>
      <c r="CD260" s="9">
        <f t="shared" si="222"/>
        <v>-50</v>
      </c>
      <c r="CE260" s="9">
        <f t="shared" si="223"/>
        <v>0</v>
      </c>
      <c r="CF260" s="6">
        <f t="shared" si="224"/>
        <v>3.1415926535897931</v>
      </c>
      <c r="CG260" s="6"/>
      <c r="CH260" s="6"/>
      <c r="CI260" s="6"/>
      <c r="CJ260" s="1"/>
      <c r="CK260" s="6"/>
    </row>
    <row r="261" spans="55:89" x14ac:dyDescent="0.25">
      <c r="BC261"/>
      <c r="BD261"/>
      <c r="BF261" s="6" t="e">
        <f t="shared" si="225"/>
        <v>#N/A</v>
      </c>
      <c r="BG261" s="6" t="e">
        <f t="shared" si="226"/>
        <v>#N/A</v>
      </c>
      <c r="BH261" s="6" t="e">
        <f t="shared" si="227"/>
        <v>#N/A</v>
      </c>
      <c r="BI261" s="6" t="e">
        <f t="shared" si="228"/>
        <v>#N/A</v>
      </c>
      <c r="BV261" s="37"/>
      <c r="BW261" s="6" t="e">
        <f t="shared" si="215"/>
        <v>#N/A</v>
      </c>
      <c r="BX261" s="9">
        <f t="shared" ca="1" si="216"/>
        <v>-156.7666765884093</v>
      </c>
      <c r="BY261" s="9">
        <f t="shared" ca="1" si="217"/>
        <v>84.412825855297342</v>
      </c>
      <c r="BZ261" s="9">
        <f t="shared" ca="1" si="218"/>
        <v>0</v>
      </c>
      <c r="CA261" s="6">
        <f t="shared" ca="1" si="219"/>
        <v>0</v>
      </c>
      <c r="CB261" s="6" t="e">
        <f t="shared" ca="1" si="220"/>
        <v>#DIV/0!</v>
      </c>
      <c r="CC261" s="6" t="e">
        <f t="shared" ca="1" si="221"/>
        <v>#DIV/0!</v>
      </c>
      <c r="CD261" s="9">
        <f t="shared" si="222"/>
        <v>-50</v>
      </c>
      <c r="CE261" s="9">
        <f t="shared" si="223"/>
        <v>0</v>
      </c>
      <c r="CF261" s="6">
        <f t="shared" si="224"/>
        <v>3.1415926535897931</v>
      </c>
      <c r="CG261" s="6"/>
      <c r="CH261" s="6"/>
      <c r="CI261" s="6"/>
      <c r="CJ261" s="1"/>
      <c r="CK261" s="6"/>
    </row>
    <row r="262" spans="55:89" x14ac:dyDescent="0.25">
      <c r="BC262"/>
      <c r="BD262"/>
      <c r="BF262" s="6" t="e">
        <f t="shared" si="225"/>
        <v>#N/A</v>
      </c>
      <c r="BG262" s="6" t="e">
        <f t="shared" si="226"/>
        <v>#N/A</v>
      </c>
      <c r="BH262" s="6" t="e">
        <f t="shared" si="227"/>
        <v>#N/A</v>
      </c>
      <c r="BI262" s="6" t="e">
        <f t="shared" si="228"/>
        <v>#N/A</v>
      </c>
      <c r="BV262" s="37"/>
      <c r="BW262" s="6" t="e">
        <f t="shared" si="215"/>
        <v>#N/A</v>
      </c>
      <c r="BX262" s="9">
        <f t="shared" ca="1" si="216"/>
        <v>-156.7666765884093</v>
      </c>
      <c r="BY262" s="9">
        <f t="shared" ca="1" si="217"/>
        <v>84.412825855297342</v>
      </c>
      <c r="BZ262" s="9">
        <f t="shared" ca="1" si="218"/>
        <v>0</v>
      </c>
      <c r="CA262" s="6">
        <f t="shared" ca="1" si="219"/>
        <v>0</v>
      </c>
      <c r="CB262" s="6" t="e">
        <f t="shared" ca="1" si="220"/>
        <v>#DIV/0!</v>
      </c>
      <c r="CC262" s="6" t="e">
        <f t="shared" ca="1" si="221"/>
        <v>#DIV/0!</v>
      </c>
      <c r="CD262" s="9">
        <f t="shared" si="222"/>
        <v>-50</v>
      </c>
      <c r="CE262" s="9">
        <f t="shared" si="223"/>
        <v>0</v>
      </c>
      <c r="CF262" s="6">
        <f t="shared" si="224"/>
        <v>3.1415926535897931</v>
      </c>
      <c r="CG262" s="6"/>
      <c r="CH262" s="6"/>
      <c r="CI262" s="6"/>
      <c r="CJ262" s="1"/>
      <c r="CK262" s="6"/>
    </row>
    <row r="263" spans="55:89" x14ac:dyDescent="0.25">
      <c r="BC263"/>
      <c r="BD263"/>
      <c r="BF263" s="6" t="e">
        <f t="shared" si="225"/>
        <v>#N/A</v>
      </c>
      <c r="BG263" s="6" t="e">
        <f t="shared" si="226"/>
        <v>#N/A</v>
      </c>
      <c r="BH263" s="6" t="e">
        <f t="shared" si="227"/>
        <v>#N/A</v>
      </c>
      <c r="BI263" s="6" t="e">
        <f t="shared" si="228"/>
        <v>#N/A</v>
      </c>
      <c r="BV263" s="37"/>
      <c r="BW263" s="6" t="e">
        <f t="shared" si="215"/>
        <v>#N/A</v>
      </c>
      <c r="BX263" s="9">
        <f t="shared" ca="1" si="216"/>
        <v>-156.7666765884093</v>
      </c>
      <c r="BY263" s="9">
        <f t="shared" ca="1" si="217"/>
        <v>84.412825855297342</v>
      </c>
      <c r="BZ263" s="9">
        <f t="shared" ca="1" si="218"/>
        <v>0</v>
      </c>
      <c r="CA263" s="6">
        <f t="shared" ca="1" si="219"/>
        <v>0</v>
      </c>
      <c r="CB263" s="6" t="e">
        <f t="shared" ca="1" si="220"/>
        <v>#DIV/0!</v>
      </c>
      <c r="CC263" s="6" t="e">
        <f t="shared" ca="1" si="221"/>
        <v>#DIV/0!</v>
      </c>
      <c r="CD263" s="9">
        <f t="shared" si="222"/>
        <v>-50</v>
      </c>
      <c r="CE263" s="9">
        <f t="shared" si="223"/>
        <v>0</v>
      </c>
      <c r="CF263" s="6">
        <f t="shared" si="224"/>
        <v>3.1415926535897931</v>
      </c>
      <c r="CG263" s="6"/>
      <c r="CH263" s="6"/>
      <c r="CI263" s="6"/>
      <c r="CJ263" s="1"/>
      <c r="CK263" s="6"/>
    </row>
    <row r="264" spans="55:89" x14ac:dyDescent="0.25">
      <c r="BC264"/>
      <c r="BD264"/>
      <c r="BF264" s="6" t="e">
        <f t="shared" si="225"/>
        <v>#N/A</v>
      </c>
      <c r="BG264" s="6" t="e">
        <f t="shared" si="226"/>
        <v>#N/A</v>
      </c>
      <c r="BH264" s="6" t="e">
        <f t="shared" si="227"/>
        <v>#N/A</v>
      </c>
      <c r="BI264" s="6" t="e">
        <f t="shared" si="228"/>
        <v>#N/A</v>
      </c>
      <c r="BV264" s="37"/>
      <c r="BW264" s="6" t="e">
        <f t="shared" si="215"/>
        <v>#N/A</v>
      </c>
      <c r="BX264" s="9">
        <f t="shared" ca="1" si="216"/>
        <v>-156.7666765884093</v>
      </c>
      <c r="BY264" s="9">
        <f t="shared" ca="1" si="217"/>
        <v>84.412825855297342</v>
      </c>
      <c r="BZ264" s="9">
        <f t="shared" ca="1" si="218"/>
        <v>0</v>
      </c>
      <c r="CA264" s="6">
        <f t="shared" ca="1" si="219"/>
        <v>0</v>
      </c>
      <c r="CB264" s="6" t="e">
        <f t="shared" ca="1" si="220"/>
        <v>#DIV/0!</v>
      </c>
      <c r="CC264" s="6" t="e">
        <f t="shared" ca="1" si="221"/>
        <v>#DIV/0!</v>
      </c>
      <c r="CD264" s="9">
        <f t="shared" si="222"/>
        <v>-50</v>
      </c>
      <c r="CE264" s="9">
        <f t="shared" si="223"/>
        <v>0</v>
      </c>
      <c r="CF264" s="6">
        <f t="shared" si="224"/>
        <v>3.1415926535897931</v>
      </c>
      <c r="CG264" s="6"/>
      <c r="CH264" s="6"/>
      <c r="CI264" s="6"/>
      <c r="CJ264" s="1"/>
      <c r="CK264" s="6"/>
    </row>
    <row r="265" spans="55:89" x14ac:dyDescent="0.25">
      <c r="BC265"/>
      <c r="BD265"/>
      <c r="BF265" s="6" t="e">
        <f t="shared" si="225"/>
        <v>#N/A</v>
      </c>
      <c r="BG265" s="6" t="e">
        <f t="shared" si="226"/>
        <v>#N/A</v>
      </c>
      <c r="BH265" s="6" t="e">
        <f t="shared" si="227"/>
        <v>#N/A</v>
      </c>
      <c r="BI265" s="6" t="e">
        <f t="shared" si="228"/>
        <v>#N/A</v>
      </c>
      <c r="BV265" s="37"/>
      <c r="BW265" s="6" t="e">
        <f t="shared" si="215"/>
        <v>#N/A</v>
      </c>
      <c r="BX265" s="9">
        <f t="shared" ca="1" si="216"/>
        <v>-156.7666765884093</v>
      </c>
      <c r="BY265" s="9">
        <f t="shared" ca="1" si="217"/>
        <v>84.412825855297342</v>
      </c>
      <c r="BZ265" s="9">
        <f t="shared" ca="1" si="218"/>
        <v>0</v>
      </c>
      <c r="CA265" s="6">
        <f t="shared" ca="1" si="219"/>
        <v>0</v>
      </c>
      <c r="CB265" s="6" t="e">
        <f t="shared" ca="1" si="220"/>
        <v>#DIV/0!</v>
      </c>
      <c r="CC265" s="6" t="e">
        <f t="shared" ca="1" si="221"/>
        <v>#DIV/0!</v>
      </c>
      <c r="CD265" s="9">
        <f t="shared" si="222"/>
        <v>-50</v>
      </c>
      <c r="CE265" s="9">
        <f t="shared" si="223"/>
        <v>0</v>
      </c>
      <c r="CF265" s="6">
        <f t="shared" si="224"/>
        <v>3.1415926535897931</v>
      </c>
      <c r="CG265" s="6"/>
      <c r="CH265" s="6"/>
      <c r="CI265" s="6"/>
      <c r="CJ265" s="1"/>
      <c r="CK265" s="6"/>
    </row>
    <row r="266" spans="55:89" x14ac:dyDescent="0.25">
      <c r="BC266"/>
      <c r="BD266"/>
      <c r="BF266" s="6" t="e">
        <f t="shared" si="225"/>
        <v>#N/A</v>
      </c>
      <c r="BG266" s="6" t="e">
        <f t="shared" si="226"/>
        <v>#N/A</v>
      </c>
      <c r="BH266" s="6" t="e">
        <f t="shared" si="227"/>
        <v>#N/A</v>
      </c>
      <c r="BI266" s="6" t="e">
        <f t="shared" si="228"/>
        <v>#N/A</v>
      </c>
      <c r="BV266" s="37"/>
      <c r="BW266" s="6" t="e">
        <f t="shared" si="215"/>
        <v>#N/A</v>
      </c>
      <c r="BX266" s="9">
        <f t="shared" ca="1" si="216"/>
        <v>-156.7666765884093</v>
      </c>
      <c r="BY266" s="9">
        <f t="shared" ca="1" si="217"/>
        <v>84.412825855297342</v>
      </c>
      <c r="BZ266" s="9">
        <f t="shared" ca="1" si="218"/>
        <v>0</v>
      </c>
      <c r="CA266" s="6">
        <f t="shared" ca="1" si="219"/>
        <v>0</v>
      </c>
      <c r="CB266" s="6" t="e">
        <f t="shared" ca="1" si="220"/>
        <v>#DIV/0!</v>
      </c>
      <c r="CC266" s="6" t="e">
        <f t="shared" ca="1" si="221"/>
        <v>#DIV/0!</v>
      </c>
      <c r="CD266" s="9">
        <f t="shared" si="222"/>
        <v>-50</v>
      </c>
      <c r="CE266" s="9">
        <f t="shared" si="223"/>
        <v>0</v>
      </c>
      <c r="CF266" s="6">
        <f t="shared" si="224"/>
        <v>3.1415926535897931</v>
      </c>
      <c r="CG266" s="6"/>
      <c r="CH266" s="6"/>
      <c r="CI266" s="6"/>
      <c r="CJ266" s="1"/>
      <c r="CK266" s="6"/>
    </row>
    <row r="267" spans="55:89" x14ac:dyDescent="0.25">
      <c r="BC267"/>
      <c r="BD267"/>
      <c r="BF267" s="6" t="e">
        <f t="shared" si="225"/>
        <v>#N/A</v>
      </c>
      <c r="BG267" s="6" t="e">
        <f t="shared" si="226"/>
        <v>#N/A</v>
      </c>
      <c r="BH267" s="6" t="e">
        <f t="shared" si="227"/>
        <v>#N/A</v>
      </c>
      <c r="BI267" s="6" t="e">
        <f t="shared" si="228"/>
        <v>#N/A</v>
      </c>
      <c r="BV267" s="37"/>
      <c r="BW267" s="6" t="e">
        <f t="shared" si="215"/>
        <v>#N/A</v>
      </c>
      <c r="BX267" s="9">
        <f t="shared" ca="1" si="216"/>
        <v>-156.7666765884093</v>
      </c>
      <c r="BY267" s="9">
        <f t="shared" ca="1" si="217"/>
        <v>84.412825855297342</v>
      </c>
      <c r="BZ267" s="9">
        <f t="shared" ca="1" si="218"/>
        <v>0</v>
      </c>
      <c r="CA267" s="6">
        <f t="shared" ca="1" si="219"/>
        <v>0</v>
      </c>
      <c r="CB267" s="6" t="e">
        <f t="shared" ca="1" si="220"/>
        <v>#DIV/0!</v>
      </c>
      <c r="CC267" s="6" t="e">
        <f t="shared" ca="1" si="221"/>
        <v>#DIV/0!</v>
      </c>
      <c r="CD267" s="9">
        <f t="shared" si="222"/>
        <v>-50</v>
      </c>
      <c r="CE267" s="9">
        <f t="shared" si="223"/>
        <v>0</v>
      </c>
      <c r="CF267" s="6">
        <f t="shared" si="224"/>
        <v>3.1415926535897931</v>
      </c>
      <c r="CG267" s="6"/>
      <c r="CH267" s="6"/>
      <c r="CI267" s="6"/>
      <c r="CJ267" s="1"/>
      <c r="CK267" s="6"/>
    </row>
    <row r="268" spans="55:89" x14ac:dyDescent="0.25">
      <c r="BC268"/>
      <c r="BD268"/>
      <c r="BF268" s="6" t="e">
        <f t="shared" si="225"/>
        <v>#N/A</v>
      </c>
      <c r="BG268" s="6" t="e">
        <f t="shared" si="226"/>
        <v>#N/A</v>
      </c>
      <c r="BH268" s="6" t="e">
        <f t="shared" si="227"/>
        <v>#N/A</v>
      </c>
      <c r="BI268" s="6" t="e">
        <f t="shared" si="228"/>
        <v>#N/A</v>
      </c>
      <c r="BV268" s="37"/>
      <c r="BW268" s="6" t="e">
        <f t="shared" si="215"/>
        <v>#N/A</v>
      </c>
      <c r="BX268" s="9">
        <f t="shared" ca="1" si="216"/>
        <v>-156.7666765884093</v>
      </c>
      <c r="BY268" s="9">
        <f t="shared" ca="1" si="217"/>
        <v>84.412825855297342</v>
      </c>
      <c r="BZ268" s="9">
        <f t="shared" ca="1" si="218"/>
        <v>0</v>
      </c>
      <c r="CA268" s="6">
        <f t="shared" ca="1" si="219"/>
        <v>0</v>
      </c>
      <c r="CB268" s="6" t="e">
        <f t="shared" ca="1" si="220"/>
        <v>#DIV/0!</v>
      </c>
      <c r="CC268" s="6" t="e">
        <f t="shared" ca="1" si="221"/>
        <v>#DIV/0!</v>
      </c>
      <c r="CD268" s="9">
        <f t="shared" si="222"/>
        <v>-50</v>
      </c>
      <c r="CE268" s="9">
        <f t="shared" si="223"/>
        <v>0</v>
      </c>
      <c r="CF268" s="6">
        <f t="shared" si="224"/>
        <v>3.1415926535897931</v>
      </c>
      <c r="CG268" s="6"/>
      <c r="CH268" s="6"/>
      <c r="CI268" s="6"/>
      <c r="CJ268" s="1"/>
      <c r="CK268" s="6"/>
    </row>
    <row r="269" spans="55:89" x14ac:dyDescent="0.25">
      <c r="BC269"/>
      <c r="BD269"/>
      <c r="BF269" s="6" t="e">
        <f t="shared" si="225"/>
        <v>#N/A</v>
      </c>
      <c r="BG269" s="6" t="e">
        <f t="shared" si="226"/>
        <v>#N/A</v>
      </c>
      <c r="BH269" s="6" t="e">
        <f t="shared" si="227"/>
        <v>#N/A</v>
      </c>
      <c r="BI269" s="6" t="e">
        <f t="shared" si="228"/>
        <v>#N/A</v>
      </c>
      <c r="BV269" s="37"/>
      <c r="BW269" s="6" t="e">
        <f t="shared" si="215"/>
        <v>#N/A</v>
      </c>
      <c r="BX269" s="9">
        <f t="shared" ca="1" si="216"/>
        <v>-156.7666765884093</v>
      </c>
      <c r="BY269" s="9">
        <f t="shared" ca="1" si="217"/>
        <v>84.412825855297342</v>
      </c>
      <c r="BZ269" s="9">
        <f t="shared" ca="1" si="218"/>
        <v>0</v>
      </c>
      <c r="CA269" s="6">
        <f t="shared" ca="1" si="219"/>
        <v>0</v>
      </c>
      <c r="CB269" s="6" t="e">
        <f t="shared" ca="1" si="220"/>
        <v>#DIV/0!</v>
      </c>
      <c r="CC269" s="6" t="e">
        <f t="shared" ca="1" si="221"/>
        <v>#DIV/0!</v>
      </c>
      <c r="CD269" s="9">
        <f t="shared" si="222"/>
        <v>-50</v>
      </c>
      <c r="CE269" s="9">
        <f t="shared" si="223"/>
        <v>0</v>
      </c>
      <c r="CF269" s="6">
        <f t="shared" si="224"/>
        <v>3.1415926535897931</v>
      </c>
      <c r="CG269" s="6"/>
      <c r="CH269" s="6"/>
      <c r="CI269" s="6"/>
      <c r="CJ269" s="1"/>
      <c r="CK269" s="6"/>
    </row>
    <row r="270" spans="55:89" x14ac:dyDescent="0.25">
      <c r="BC270"/>
      <c r="BD270"/>
      <c r="BF270" s="6" t="e">
        <f t="shared" si="225"/>
        <v>#N/A</v>
      </c>
      <c r="BG270" s="6" t="e">
        <f t="shared" si="226"/>
        <v>#N/A</v>
      </c>
      <c r="BH270" s="6" t="e">
        <f t="shared" si="227"/>
        <v>#N/A</v>
      </c>
      <c r="BI270" s="6" t="e">
        <f t="shared" si="228"/>
        <v>#N/A</v>
      </c>
      <c r="BV270" s="37"/>
      <c r="BW270" s="6" t="e">
        <f t="shared" si="215"/>
        <v>#N/A</v>
      </c>
      <c r="BX270" s="9">
        <f t="shared" ca="1" si="216"/>
        <v>-156.7666765884093</v>
      </c>
      <c r="BY270" s="9">
        <f t="shared" ca="1" si="217"/>
        <v>84.412825855297342</v>
      </c>
      <c r="BZ270" s="9">
        <f t="shared" ca="1" si="218"/>
        <v>0</v>
      </c>
      <c r="CA270" s="6">
        <f t="shared" ca="1" si="219"/>
        <v>0</v>
      </c>
      <c r="CB270" s="6" t="e">
        <f t="shared" ca="1" si="220"/>
        <v>#DIV/0!</v>
      </c>
      <c r="CC270" s="6" t="e">
        <f t="shared" ca="1" si="221"/>
        <v>#DIV/0!</v>
      </c>
      <c r="CD270" s="9">
        <f t="shared" si="222"/>
        <v>-50</v>
      </c>
      <c r="CE270" s="9">
        <f t="shared" si="223"/>
        <v>0</v>
      </c>
      <c r="CF270" s="6">
        <f t="shared" si="224"/>
        <v>3.1415926535897931</v>
      </c>
      <c r="CG270" s="6"/>
      <c r="CH270" s="6"/>
      <c r="CI270" s="6"/>
      <c r="CJ270" s="1"/>
      <c r="CK270" s="6"/>
    </row>
    <row r="271" spans="55:89" x14ac:dyDescent="0.25">
      <c r="BC271"/>
      <c r="BD271"/>
      <c r="BF271" s="6" t="e">
        <f t="shared" si="225"/>
        <v>#N/A</v>
      </c>
      <c r="BG271" s="6" t="e">
        <f t="shared" si="226"/>
        <v>#N/A</v>
      </c>
      <c r="BH271" s="6" t="e">
        <f t="shared" si="227"/>
        <v>#N/A</v>
      </c>
      <c r="BI271" s="6" t="e">
        <f t="shared" si="228"/>
        <v>#N/A</v>
      </c>
      <c r="BV271" s="37"/>
      <c r="BW271" s="6" t="e">
        <f t="shared" si="215"/>
        <v>#N/A</v>
      </c>
      <c r="BX271" s="9">
        <f t="shared" ca="1" si="216"/>
        <v>-156.7666765884093</v>
      </c>
      <c r="BY271" s="9">
        <f t="shared" ca="1" si="217"/>
        <v>84.412825855297342</v>
      </c>
      <c r="BZ271" s="9">
        <f t="shared" ca="1" si="218"/>
        <v>0</v>
      </c>
      <c r="CA271" s="6">
        <f t="shared" ca="1" si="219"/>
        <v>0</v>
      </c>
      <c r="CB271" s="6" t="e">
        <f t="shared" ca="1" si="220"/>
        <v>#DIV/0!</v>
      </c>
      <c r="CC271" s="6" t="e">
        <f t="shared" ca="1" si="221"/>
        <v>#DIV/0!</v>
      </c>
      <c r="CD271" s="9">
        <f t="shared" si="222"/>
        <v>-50</v>
      </c>
      <c r="CE271" s="9">
        <f t="shared" si="223"/>
        <v>0</v>
      </c>
      <c r="CF271" s="6">
        <f t="shared" si="224"/>
        <v>3.1415926535897931</v>
      </c>
      <c r="CG271" s="6"/>
      <c r="CH271" s="6"/>
      <c r="CI271" s="6"/>
      <c r="CJ271" s="1"/>
      <c r="CK271" s="6"/>
    </row>
    <row r="272" spans="55:89" x14ac:dyDescent="0.25">
      <c r="BC272"/>
      <c r="BD272"/>
      <c r="BF272" s="6" t="e">
        <f t="shared" si="225"/>
        <v>#N/A</v>
      </c>
      <c r="BG272" s="6" t="e">
        <f t="shared" si="226"/>
        <v>#N/A</v>
      </c>
      <c r="BH272" s="6" t="e">
        <f t="shared" si="227"/>
        <v>#N/A</v>
      </c>
      <c r="BI272" s="6" t="e">
        <f t="shared" si="228"/>
        <v>#N/A</v>
      </c>
      <c r="BV272" s="37"/>
      <c r="BW272" s="6" t="e">
        <f t="shared" ref="BW272:BW335" si="229">IF(BC259="",NA(),BC259)</f>
        <v>#N/A</v>
      </c>
      <c r="BX272" s="9">
        <f t="shared" ref="BX272:BX335" ca="1" si="230">BD259-$BW$5</f>
        <v>-156.7666765884093</v>
      </c>
      <c r="BY272" s="9">
        <f t="shared" ref="BY272:BY335" ca="1" si="231">BE259-$BX$5</f>
        <v>84.412825855297342</v>
      </c>
      <c r="BZ272" s="9">
        <f t="shared" ref="BZ272:BZ335" ca="1" si="232">BX272-$CE$5</f>
        <v>0</v>
      </c>
      <c r="CA272" s="6">
        <f t="shared" ref="CA272:CA335" ca="1" si="233">BY272-$CF$5</f>
        <v>0</v>
      </c>
      <c r="CB272" s="6" t="e">
        <f t="shared" ref="CB272:CB335" ca="1" si="234">ATAN2(BZ272,CA272)</f>
        <v>#DIV/0!</v>
      </c>
      <c r="CC272" s="6" t="e">
        <f t="shared" ref="CC272:CC335" ca="1" si="235">ATAN2(COS(CF272-CB272),SIN(CF272-CB272))*10</f>
        <v>#DIV/0!</v>
      </c>
      <c r="CD272" s="9">
        <f t="shared" ref="CD272:CD335" si="236">BD259-$BW$6</f>
        <v>-50</v>
      </c>
      <c r="CE272" s="9">
        <f t="shared" ref="CE272:CE335" si="237">BE259-$BX$6</f>
        <v>0</v>
      </c>
      <c r="CF272" s="6">
        <f t="shared" ref="CF272:CF335" si="238">ATAN2(CD272,CE272)</f>
        <v>3.1415926535897931</v>
      </c>
      <c r="CG272" s="6"/>
      <c r="CH272" s="6"/>
      <c r="CI272" s="6"/>
      <c r="CJ272" s="1"/>
      <c r="CK272" s="6"/>
    </row>
    <row r="273" spans="55:89" x14ac:dyDescent="0.25">
      <c r="BC273"/>
      <c r="BD273"/>
      <c r="BF273" s="6" t="e">
        <f t="shared" si="225"/>
        <v>#N/A</v>
      </c>
      <c r="BG273" s="6" t="e">
        <f t="shared" si="226"/>
        <v>#N/A</v>
      </c>
      <c r="BH273" s="6" t="e">
        <f t="shared" si="227"/>
        <v>#N/A</v>
      </c>
      <c r="BI273" s="6" t="e">
        <f t="shared" si="228"/>
        <v>#N/A</v>
      </c>
      <c r="BV273" s="37"/>
      <c r="BW273" s="6" t="e">
        <f t="shared" si="229"/>
        <v>#N/A</v>
      </c>
      <c r="BX273" s="9">
        <f t="shared" ca="1" si="230"/>
        <v>-156.7666765884093</v>
      </c>
      <c r="BY273" s="9">
        <f t="shared" ca="1" si="231"/>
        <v>84.412825855297342</v>
      </c>
      <c r="BZ273" s="9">
        <f t="shared" ca="1" si="232"/>
        <v>0</v>
      </c>
      <c r="CA273" s="6">
        <f t="shared" ca="1" si="233"/>
        <v>0</v>
      </c>
      <c r="CB273" s="6" t="e">
        <f t="shared" ca="1" si="234"/>
        <v>#DIV/0!</v>
      </c>
      <c r="CC273" s="6" t="e">
        <f t="shared" ca="1" si="235"/>
        <v>#DIV/0!</v>
      </c>
      <c r="CD273" s="9">
        <f t="shared" si="236"/>
        <v>-50</v>
      </c>
      <c r="CE273" s="9">
        <f t="shared" si="237"/>
        <v>0</v>
      </c>
      <c r="CF273" s="6">
        <f t="shared" si="238"/>
        <v>3.1415926535897931</v>
      </c>
      <c r="CG273" s="6"/>
      <c r="CH273" s="6"/>
      <c r="CI273" s="6"/>
      <c r="CJ273" s="1"/>
      <c r="CK273" s="6"/>
    </row>
    <row r="274" spans="55:89" x14ac:dyDescent="0.25">
      <c r="BC274"/>
      <c r="BD274"/>
      <c r="BF274" s="6" t="e">
        <f t="shared" si="225"/>
        <v>#N/A</v>
      </c>
      <c r="BG274" s="6" t="e">
        <f t="shared" si="226"/>
        <v>#N/A</v>
      </c>
      <c r="BH274" s="6" t="e">
        <f t="shared" si="227"/>
        <v>#N/A</v>
      </c>
      <c r="BI274" s="6" t="e">
        <f t="shared" si="228"/>
        <v>#N/A</v>
      </c>
      <c r="BV274" s="37"/>
      <c r="BW274" s="6" t="e">
        <f t="shared" si="229"/>
        <v>#N/A</v>
      </c>
      <c r="BX274" s="9">
        <f t="shared" ca="1" si="230"/>
        <v>-156.7666765884093</v>
      </c>
      <c r="BY274" s="9">
        <f t="shared" ca="1" si="231"/>
        <v>84.412825855297342</v>
      </c>
      <c r="BZ274" s="9">
        <f t="shared" ca="1" si="232"/>
        <v>0</v>
      </c>
      <c r="CA274" s="6">
        <f t="shared" ca="1" si="233"/>
        <v>0</v>
      </c>
      <c r="CB274" s="6" t="e">
        <f t="shared" ca="1" si="234"/>
        <v>#DIV/0!</v>
      </c>
      <c r="CC274" s="6" t="e">
        <f t="shared" ca="1" si="235"/>
        <v>#DIV/0!</v>
      </c>
      <c r="CD274" s="9">
        <f t="shared" si="236"/>
        <v>-50</v>
      </c>
      <c r="CE274" s="9">
        <f t="shared" si="237"/>
        <v>0</v>
      </c>
      <c r="CF274" s="6">
        <f t="shared" si="238"/>
        <v>3.1415926535897931</v>
      </c>
      <c r="CG274" s="6"/>
      <c r="CH274" s="6"/>
      <c r="CI274" s="6"/>
      <c r="CJ274" s="1"/>
      <c r="CK274" s="6"/>
    </row>
    <row r="275" spans="55:89" x14ac:dyDescent="0.25">
      <c r="BC275"/>
      <c r="BD275"/>
      <c r="BF275" s="6" t="e">
        <f t="shared" si="225"/>
        <v>#N/A</v>
      </c>
      <c r="BG275" s="6" t="e">
        <f t="shared" si="226"/>
        <v>#N/A</v>
      </c>
      <c r="BH275" s="6" t="e">
        <f t="shared" si="227"/>
        <v>#N/A</v>
      </c>
      <c r="BI275" s="6" t="e">
        <f t="shared" si="228"/>
        <v>#N/A</v>
      </c>
      <c r="BV275" s="37"/>
      <c r="BW275" s="6" t="e">
        <f t="shared" si="229"/>
        <v>#N/A</v>
      </c>
      <c r="BX275" s="9">
        <f t="shared" ca="1" si="230"/>
        <v>-156.7666765884093</v>
      </c>
      <c r="BY275" s="9">
        <f t="shared" ca="1" si="231"/>
        <v>84.412825855297342</v>
      </c>
      <c r="BZ275" s="9">
        <f t="shared" ca="1" si="232"/>
        <v>0</v>
      </c>
      <c r="CA275" s="6">
        <f t="shared" ca="1" si="233"/>
        <v>0</v>
      </c>
      <c r="CB275" s="6" t="e">
        <f t="shared" ca="1" si="234"/>
        <v>#DIV/0!</v>
      </c>
      <c r="CC275" s="6" t="e">
        <f t="shared" ca="1" si="235"/>
        <v>#DIV/0!</v>
      </c>
      <c r="CD275" s="9">
        <f t="shared" si="236"/>
        <v>-50</v>
      </c>
      <c r="CE275" s="9">
        <f t="shared" si="237"/>
        <v>0</v>
      </c>
      <c r="CF275" s="6">
        <f t="shared" si="238"/>
        <v>3.1415926535897931</v>
      </c>
      <c r="CG275" s="6"/>
      <c r="CH275" s="6"/>
      <c r="CI275" s="6"/>
      <c r="CJ275" s="1"/>
      <c r="CK275" s="6"/>
    </row>
    <row r="276" spans="55:89" x14ac:dyDescent="0.25">
      <c r="BC276"/>
      <c r="BD276"/>
      <c r="BF276" s="6" t="e">
        <f t="shared" si="225"/>
        <v>#N/A</v>
      </c>
      <c r="BG276" s="6" t="e">
        <f t="shared" si="226"/>
        <v>#N/A</v>
      </c>
      <c r="BH276" s="6" t="e">
        <f t="shared" si="227"/>
        <v>#N/A</v>
      </c>
      <c r="BI276" s="6" t="e">
        <f t="shared" si="228"/>
        <v>#N/A</v>
      </c>
      <c r="BV276" s="37"/>
      <c r="BW276" s="6" t="e">
        <f t="shared" si="229"/>
        <v>#N/A</v>
      </c>
      <c r="BX276" s="9">
        <f t="shared" ca="1" si="230"/>
        <v>-156.7666765884093</v>
      </c>
      <c r="BY276" s="9">
        <f t="shared" ca="1" si="231"/>
        <v>84.412825855297342</v>
      </c>
      <c r="BZ276" s="9">
        <f t="shared" ca="1" si="232"/>
        <v>0</v>
      </c>
      <c r="CA276" s="6">
        <f t="shared" ca="1" si="233"/>
        <v>0</v>
      </c>
      <c r="CB276" s="6" t="e">
        <f t="shared" ca="1" si="234"/>
        <v>#DIV/0!</v>
      </c>
      <c r="CC276" s="6" t="e">
        <f t="shared" ca="1" si="235"/>
        <v>#DIV/0!</v>
      </c>
      <c r="CD276" s="9">
        <f t="shared" si="236"/>
        <v>-50</v>
      </c>
      <c r="CE276" s="9">
        <f t="shared" si="237"/>
        <v>0</v>
      </c>
      <c r="CF276" s="6">
        <f t="shared" si="238"/>
        <v>3.1415926535897931</v>
      </c>
      <c r="CG276" s="6"/>
      <c r="CH276" s="6"/>
      <c r="CI276" s="6"/>
      <c r="CJ276" s="1"/>
      <c r="CK276" s="6"/>
    </row>
    <row r="277" spans="55:89" x14ac:dyDescent="0.25">
      <c r="BC277"/>
      <c r="BD277"/>
      <c r="BF277" s="6" t="e">
        <f t="shared" si="225"/>
        <v>#N/A</v>
      </c>
      <c r="BG277" s="6" t="e">
        <f t="shared" si="226"/>
        <v>#N/A</v>
      </c>
      <c r="BH277" s="6" t="e">
        <f t="shared" si="227"/>
        <v>#N/A</v>
      </c>
      <c r="BI277" s="6" t="e">
        <f t="shared" si="228"/>
        <v>#N/A</v>
      </c>
      <c r="BV277" s="37"/>
      <c r="BW277" s="6" t="e">
        <f t="shared" si="229"/>
        <v>#N/A</v>
      </c>
      <c r="BX277" s="9">
        <f t="shared" ca="1" si="230"/>
        <v>-156.7666765884093</v>
      </c>
      <c r="BY277" s="9">
        <f t="shared" ca="1" si="231"/>
        <v>84.412825855297342</v>
      </c>
      <c r="BZ277" s="9">
        <f t="shared" ca="1" si="232"/>
        <v>0</v>
      </c>
      <c r="CA277" s="6">
        <f t="shared" ca="1" si="233"/>
        <v>0</v>
      </c>
      <c r="CB277" s="6" t="e">
        <f t="shared" ca="1" si="234"/>
        <v>#DIV/0!</v>
      </c>
      <c r="CC277" s="6" t="e">
        <f t="shared" ca="1" si="235"/>
        <v>#DIV/0!</v>
      </c>
      <c r="CD277" s="9">
        <f t="shared" si="236"/>
        <v>-50</v>
      </c>
      <c r="CE277" s="9">
        <f t="shared" si="237"/>
        <v>0</v>
      </c>
      <c r="CF277" s="6">
        <f t="shared" si="238"/>
        <v>3.1415926535897931</v>
      </c>
      <c r="CG277" s="6"/>
      <c r="CH277" s="6"/>
      <c r="CI277" s="6"/>
      <c r="CJ277" s="1"/>
      <c r="CK277" s="6"/>
    </row>
    <row r="278" spans="55:89" x14ac:dyDescent="0.25">
      <c r="BC278"/>
      <c r="BD278"/>
      <c r="BF278" s="6" t="e">
        <f t="shared" si="225"/>
        <v>#N/A</v>
      </c>
      <c r="BG278" s="6" t="e">
        <f t="shared" si="226"/>
        <v>#N/A</v>
      </c>
      <c r="BH278" s="6" t="e">
        <f t="shared" si="227"/>
        <v>#N/A</v>
      </c>
      <c r="BI278" s="6" t="e">
        <f t="shared" si="228"/>
        <v>#N/A</v>
      </c>
      <c r="BV278" s="37"/>
      <c r="BW278" s="6" t="e">
        <f t="shared" si="229"/>
        <v>#N/A</v>
      </c>
      <c r="BX278" s="9">
        <f t="shared" ca="1" si="230"/>
        <v>-156.7666765884093</v>
      </c>
      <c r="BY278" s="9">
        <f t="shared" ca="1" si="231"/>
        <v>84.412825855297342</v>
      </c>
      <c r="BZ278" s="9">
        <f t="shared" ca="1" si="232"/>
        <v>0</v>
      </c>
      <c r="CA278" s="6">
        <f t="shared" ca="1" si="233"/>
        <v>0</v>
      </c>
      <c r="CB278" s="6" t="e">
        <f t="shared" ca="1" si="234"/>
        <v>#DIV/0!</v>
      </c>
      <c r="CC278" s="6" t="e">
        <f t="shared" ca="1" si="235"/>
        <v>#DIV/0!</v>
      </c>
      <c r="CD278" s="9">
        <f t="shared" si="236"/>
        <v>-50</v>
      </c>
      <c r="CE278" s="9">
        <f t="shared" si="237"/>
        <v>0</v>
      </c>
      <c r="CF278" s="6">
        <f t="shared" si="238"/>
        <v>3.1415926535897931</v>
      </c>
      <c r="CG278" s="6"/>
      <c r="CH278" s="6"/>
      <c r="CI278" s="6"/>
      <c r="CJ278" s="1"/>
      <c r="CK278" s="6"/>
    </row>
    <row r="279" spans="55:89" x14ac:dyDescent="0.25">
      <c r="BC279"/>
      <c r="BD279"/>
      <c r="BF279" s="6" t="e">
        <f t="shared" si="225"/>
        <v>#N/A</v>
      </c>
      <c r="BG279" s="6" t="e">
        <f t="shared" si="226"/>
        <v>#N/A</v>
      </c>
      <c r="BH279" s="6" t="e">
        <f t="shared" si="227"/>
        <v>#N/A</v>
      </c>
      <c r="BI279" s="6" t="e">
        <f t="shared" si="228"/>
        <v>#N/A</v>
      </c>
      <c r="BV279" s="37"/>
      <c r="BW279" s="6" t="e">
        <f t="shared" si="229"/>
        <v>#N/A</v>
      </c>
      <c r="BX279" s="9">
        <f t="shared" ca="1" si="230"/>
        <v>-156.7666765884093</v>
      </c>
      <c r="BY279" s="9">
        <f t="shared" ca="1" si="231"/>
        <v>84.412825855297342</v>
      </c>
      <c r="BZ279" s="9">
        <f t="shared" ca="1" si="232"/>
        <v>0</v>
      </c>
      <c r="CA279" s="6">
        <f t="shared" ca="1" si="233"/>
        <v>0</v>
      </c>
      <c r="CB279" s="6" t="e">
        <f t="shared" ca="1" si="234"/>
        <v>#DIV/0!</v>
      </c>
      <c r="CC279" s="6" t="e">
        <f t="shared" ca="1" si="235"/>
        <v>#DIV/0!</v>
      </c>
      <c r="CD279" s="9">
        <f t="shared" si="236"/>
        <v>-50</v>
      </c>
      <c r="CE279" s="9">
        <f t="shared" si="237"/>
        <v>0</v>
      </c>
      <c r="CF279" s="6">
        <f t="shared" si="238"/>
        <v>3.1415926535897931</v>
      </c>
      <c r="CG279" s="6"/>
      <c r="CH279" s="6"/>
      <c r="CI279" s="6"/>
      <c r="CJ279" s="1"/>
      <c r="CK279" s="6"/>
    </row>
    <row r="280" spans="55:89" x14ac:dyDescent="0.25">
      <c r="BC280"/>
      <c r="BD280"/>
      <c r="BF280" s="6" t="e">
        <f t="shared" si="225"/>
        <v>#N/A</v>
      </c>
      <c r="BG280" s="6" t="e">
        <f t="shared" si="226"/>
        <v>#N/A</v>
      </c>
      <c r="BH280" s="6" t="e">
        <f t="shared" si="227"/>
        <v>#N/A</v>
      </c>
      <c r="BI280" s="6" t="e">
        <f t="shared" si="228"/>
        <v>#N/A</v>
      </c>
      <c r="BV280" s="37"/>
      <c r="BW280" s="6" t="e">
        <f t="shared" si="229"/>
        <v>#N/A</v>
      </c>
      <c r="BX280" s="9">
        <f t="shared" ca="1" si="230"/>
        <v>-156.7666765884093</v>
      </c>
      <c r="BY280" s="9">
        <f t="shared" ca="1" si="231"/>
        <v>84.412825855297342</v>
      </c>
      <c r="BZ280" s="9">
        <f t="shared" ca="1" si="232"/>
        <v>0</v>
      </c>
      <c r="CA280" s="6">
        <f t="shared" ca="1" si="233"/>
        <v>0</v>
      </c>
      <c r="CB280" s="6" t="e">
        <f t="shared" ca="1" si="234"/>
        <v>#DIV/0!</v>
      </c>
      <c r="CC280" s="6" t="e">
        <f t="shared" ca="1" si="235"/>
        <v>#DIV/0!</v>
      </c>
      <c r="CD280" s="9">
        <f t="shared" si="236"/>
        <v>-50</v>
      </c>
      <c r="CE280" s="9">
        <f t="shared" si="237"/>
        <v>0</v>
      </c>
      <c r="CF280" s="6">
        <f t="shared" si="238"/>
        <v>3.1415926535897931</v>
      </c>
      <c r="CG280" s="6"/>
      <c r="CH280" s="6"/>
      <c r="CI280" s="6"/>
      <c r="CJ280" s="1"/>
      <c r="CK280" s="6"/>
    </row>
    <row r="281" spans="55:89" x14ac:dyDescent="0.25">
      <c r="BC281"/>
      <c r="BD281"/>
      <c r="BF281" s="6" t="e">
        <f t="shared" si="225"/>
        <v>#N/A</v>
      </c>
      <c r="BG281" s="6" t="e">
        <f t="shared" si="226"/>
        <v>#N/A</v>
      </c>
      <c r="BH281" s="6" t="e">
        <f t="shared" si="227"/>
        <v>#N/A</v>
      </c>
      <c r="BI281" s="6" t="e">
        <f t="shared" si="228"/>
        <v>#N/A</v>
      </c>
      <c r="BV281" s="37"/>
      <c r="BW281" s="6" t="e">
        <f t="shared" si="229"/>
        <v>#N/A</v>
      </c>
      <c r="BX281" s="9">
        <f t="shared" ca="1" si="230"/>
        <v>-156.7666765884093</v>
      </c>
      <c r="BY281" s="9">
        <f t="shared" ca="1" si="231"/>
        <v>84.412825855297342</v>
      </c>
      <c r="BZ281" s="9">
        <f t="shared" ca="1" si="232"/>
        <v>0</v>
      </c>
      <c r="CA281" s="6">
        <f t="shared" ca="1" si="233"/>
        <v>0</v>
      </c>
      <c r="CB281" s="6" t="e">
        <f t="shared" ca="1" si="234"/>
        <v>#DIV/0!</v>
      </c>
      <c r="CC281" s="6" t="e">
        <f t="shared" ca="1" si="235"/>
        <v>#DIV/0!</v>
      </c>
      <c r="CD281" s="9">
        <f t="shared" si="236"/>
        <v>-50</v>
      </c>
      <c r="CE281" s="9">
        <f t="shared" si="237"/>
        <v>0</v>
      </c>
      <c r="CF281" s="6">
        <f t="shared" si="238"/>
        <v>3.1415926535897931</v>
      </c>
      <c r="CG281" s="6"/>
      <c r="CH281" s="6"/>
      <c r="CI281" s="6"/>
      <c r="CJ281" s="1"/>
      <c r="CK281" s="6"/>
    </row>
    <row r="282" spans="55:89" x14ac:dyDescent="0.25">
      <c r="BC282"/>
      <c r="BD282"/>
      <c r="BF282" s="6" t="e">
        <f t="shared" si="225"/>
        <v>#N/A</v>
      </c>
      <c r="BG282" s="6" t="e">
        <f t="shared" si="226"/>
        <v>#N/A</v>
      </c>
      <c r="BH282" s="6" t="e">
        <f t="shared" si="227"/>
        <v>#N/A</v>
      </c>
      <c r="BI282" s="6" t="e">
        <f t="shared" si="228"/>
        <v>#N/A</v>
      </c>
      <c r="BV282" s="37"/>
      <c r="BW282" s="6" t="e">
        <f t="shared" si="229"/>
        <v>#N/A</v>
      </c>
      <c r="BX282" s="9">
        <f t="shared" ca="1" si="230"/>
        <v>-156.7666765884093</v>
      </c>
      <c r="BY282" s="9">
        <f t="shared" ca="1" si="231"/>
        <v>84.412825855297342</v>
      </c>
      <c r="BZ282" s="9">
        <f t="shared" ca="1" si="232"/>
        <v>0</v>
      </c>
      <c r="CA282" s="6">
        <f t="shared" ca="1" si="233"/>
        <v>0</v>
      </c>
      <c r="CB282" s="6" t="e">
        <f t="shared" ca="1" si="234"/>
        <v>#DIV/0!</v>
      </c>
      <c r="CC282" s="6" t="e">
        <f t="shared" ca="1" si="235"/>
        <v>#DIV/0!</v>
      </c>
      <c r="CD282" s="9">
        <f t="shared" si="236"/>
        <v>-50</v>
      </c>
      <c r="CE282" s="9">
        <f t="shared" si="237"/>
        <v>0</v>
      </c>
      <c r="CF282" s="6">
        <f t="shared" si="238"/>
        <v>3.1415926535897931</v>
      </c>
      <c r="CG282" s="6"/>
      <c r="CH282" s="6"/>
      <c r="CI282" s="6"/>
      <c r="CJ282" s="1"/>
      <c r="CK282" s="6"/>
    </row>
    <row r="283" spans="55:89" x14ac:dyDescent="0.25">
      <c r="BC283"/>
      <c r="BD283"/>
      <c r="BF283" s="6" t="e">
        <f t="shared" si="225"/>
        <v>#N/A</v>
      </c>
      <c r="BG283" s="6" t="e">
        <f t="shared" si="226"/>
        <v>#N/A</v>
      </c>
      <c r="BH283" s="6" t="e">
        <f t="shared" si="227"/>
        <v>#N/A</v>
      </c>
      <c r="BI283" s="6" t="e">
        <f t="shared" si="228"/>
        <v>#N/A</v>
      </c>
      <c r="BV283" s="37"/>
      <c r="BW283" s="6" t="e">
        <f t="shared" si="229"/>
        <v>#N/A</v>
      </c>
      <c r="BX283" s="9">
        <f t="shared" ca="1" si="230"/>
        <v>-156.7666765884093</v>
      </c>
      <c r="BY283" s="9">
        <f t="shared" ca="1" si="231"/>
        <v>84.412825855297342</v>
      </c>
      <c r="BZ283" s="9">
        <f t="shared" ca="1" si="232"/>
        <v>0</v>
      </c>
      <c r="CA283" s="6">
        <f t="shared" ca="1" si="233"/>
        <v>0</v>
      </c>
      <c r="CB283" s="6" t="e">
        <f t="shared" ca="1" si="234"/>
        <v>#DIV/0!</v>
      </c>
      <c r="CC283" s="6" t="e">
        <f t="shared" ca="1" si="235"/>
        <v>#DIV/0!</v>
      </c>
      <c r="CD283" s="9">
        <f t="shared" si="236"/>
        <v>-50</v>
      </c>
      <c r="CE283" s="9">
        <f t="shared" si="237"/>
        <v>0</v>
      </c>
      <c r="CF283" s="6">
        <f t="shared" si="238"/>
        <v>3.1415926535897931</v>
      </c>
      <c r="CG283" s="6"/>
      <c r="CH283" s="6"/>
      <c r="CI283" s="6"/>
      <c r="CJ283" s="1"/>
      <c r="CK283" s="6"/>
    </row>
    <row r="284" spans="55:89" x14ac:dyDescent="0.25">
      <c r="BC284"/>
      <c r="BD284"/>
      <c r="BF284" s="6" t="e">
        <f t="shared" si="225"/>
        <v>#N/A</v>
      </c>
      <c r="BG284" s="6" t="e">
        <f t="shared" si="226"/>
        <v>#N/A</v>
      </c>
      <c r="BH284" s="6" t="e">
        <f t="shared" si="227"/>
        <v>#N/A</v>
      </c>
      <c r="BI284" s="6" t="e">
        <f t="shared" si="228"/>
        <v>#N/A</v>
      </c>
      <c r="BV284" s="37"/>
      <c r="BW284" s="6" t="e">
        <f t="shared" si="229"/>
        <v>#N/A</v>
      </c>
      <c r="BX284" s="9">
        <f t="shared" ca="1" si="230"/>
        <v>-156.7666765884093</v>
      </c>
      <c r="BY284" s="9">
        <f t="shared" ca="1" si="231"/>
        <v>84.412825855297342</v>
      </c>
      <c r="BZ284" s="9">
        <f t="shared" ca="1" si="232"/>
        <v>0</v>
      </c>
      <c r="CA284" s="6">
        <f t="shared" ca="1" si="233"/>
        <v>0</v>
      </c>
      <c r="CB284" s="6" t="e">
        <f t="shared" ca="1" si="234"/>
        <v>#DIV/0!</v>
      </c>
      <c r="CC284" s="6" t="e">
        <f t="shared" ca="1" si="235"/>
        <v>#DIV/0!</v>
      </c>
      <c r="CD284" s="9">
        <f t="shared" si="236"/>
        <v>-50</v>
      </c>
      <c r="CE284" s="9">
        <f t="shared" si="237"/>
        <v>0</v>
      </c>
      <c r="CF284" s="6">
        <f t="shared" si="238"/>
        <v>3.1415926535897931</v>
      </c>
      <c r="CG284" s="6"/>
      <c r="CH284" s="6"/>
      <c r="CI284" s="6"/>
      <c r="CJ284" s="1"/>
      <c r="CK284" s="6"/>
    </row>
    <row r="285" spans="55:89" x14ac:dyDescent="0.25">
      <c r="BC285"/>
      <c r="BD285"/>
      <c r="BF285" s="6" t="e">
        <f t="shared" si="225"/>
        <v>#N/A</v>
      </c>
      <c r="BG285" s="6" t="e">
        <f t="shared" si="226"/>
        <v>#N/A</v>
      </c>
      <c r="BH285" s="6" t="e">
        <f t="shared" si="227"/>
        <v>#N/A</v>
      </c>
      <c r="BI285" s="6" t="e">
        <f t="shared" si="228"/>
        <v>#N/A</v>
      </c>
      <c r="BV285" s="37"/>
      <c r="BW285" s="6" t="e">
        <f t="shared" si="229"/>
        <v>#N/A</v>
      </c>
      <c r="BX285" s="9">
        <f t="shared" ca="1" si="230"/>
        <v>-156.7666765884093</v>
      </c>
      <c r="BY285" s="9">
        <f t="shared" ca="1" si="231"/>
        <v>84.412825855297342</v>
      </c>
      <c r="BZ285" s="9">
        <f t="shared" ca="1" si="232"/>
        <v>0</v>
      </c>
      <c r="CA285" s="6">
        <f t="shared" ca="1" si="233"/>
        <v>0</v>
      </c>
      <c r="CB285" s="6" t="e">
        <f t="shared" ca="1" si="234"/>
        <v>#DIV/0!</v>
      </c>
      <c r="CC285" s="6" t="e">
        <f t="shared" ca="1" si="235"/>
        <v>#DIV/0!</v>
      </c>
      <c r="CD285" s="9">
        <f t="shared" si="236"/>
        <v>-50</v>
      </c>
      <c r="CE285" s="9">
        <f t="shared" si="237"/>
        <v>0</v>
      </c>
      <c r="CF285" s="6">
        <f t="shared" si="238"/>
        <v>3.1415926535897931</v>
      </c>
      <c r="CG285" s="6"/>
      <c r="CH285" s="6"/>
      <c r="CI285" s="6"/>
      <c r="CJ285" s="1"/>
      <c r="CK285" s="6"/>
    </row>
    <row r="286" spans="55:89" x14ac:dyDescent="0.25">
      <c r="BC286"/>
      <c r="BD286"/>
      <c r="BF286" s="6" t="e">
        <f t="shared" si="225"/>
        <v>#N/A</v>
      </c>
      <c r="BG286" s="6" t="e">
        <f t="shared" si="226"/>
        <v>#N/A</v>
      </c>
      <c r="BH286" s="6" t="e">
        <f t="shared" si="227"/>
        <v>#N/A</v>
      </c>
      <c r="BI286" s="6" t="e">
        <f t="shared" si="228"/>
        <v>#N/A</v>
      </c>
      <c r="BV286" s="37"/>
      <c r="BW286" s="6" t="e">
        <f t="shared" si="229"/>
        <v>#N/A</v>
      </c>
      <c r="BX286" s="9">
        <f t="shared" ca="1" si="230"/>
        <v>-156.7666765884093</v>
      </c>
      <c r="BY286" s="9">
        <f t="shared" ca="1" si="231"/>
        <v>84.412825855297342</v>
      </c>
      <c r="BZ286" s="9">
        <f t="shared" ca="1" si="232"/>
        <v>0</v>
      </c>
      <c r="CA286" s="6">
        <f t="shared" ca="1" si="233"/>
        <v>0</v>
      </c>
      <c r="CB286" s="6" t="e">
        <f t="shared" ca="1" si="234"/>
        <v>#DIV/0!</v>
      </c>
      <c r="CC286" s="6" t="e">
        <f t="shared" ca="1" si="235"/>
        <v>#DIV/0!</v>
      </c>
      <c r="CD286" s="9">
        <f t="shared" si="236"/>
        <v>-50</v>
      </c>
      <c r="CE286" s="9">
        <f t="shared" si="237"/>
        <v>0</v>
      </c>
      <c r="CF286" s="6">
        <f t="shared" si="238"/>
        <v>3.1415926535897931</v>
      </c>
      <c r="CG286" s="6"/>
      <c r="CH286" s="6"/>
      <c r="CI286" s="6"/>
      <c r="CJ286" s="1"/>
      <c r="CK286" s="6"/>
    </row>
    <row r="287" spans="55:89" x14ac:dyDescent="0.25">
      <c r="BC287"/>
      <c r="BD287"/>
      <c r="BF287" s="6" t="e">
        <f t="shared" si="225"/>
        <v>#N/A</v>
      </c>
      <c r="BG287" s="6" t="e">
        <f t="shared" si="226"/>
        <v>#N/A</v>
      </c>
      <c r="BH287" s="6" t="e">
        <f t="shared" si="227"/>
        <v>#N/A</v>
      </c>
      <c r="BI287" s="6" t="e">
        <f t="shared" si="228"/>
        <v>#N/A</v>
      </c>
      <c r="BV287" s="37"/>
      <c r="BW287" s="6" t="e">
        <f t="shared" si="229"/>
        <v>#N/A</v>
      </c>
      <c r="BX287" s="9">
        <f t="shared" ca="1" si="230"/>
        <v>-156.7666765884093</v>
      </c>
      <c r="BY287" s="9">
        <f t="shared" ca="1" si="231"/>
        <v>84.412825855297342</v>
      </c>
      <c r="BZ287" s="9">
        <f t="shared" ca="1" si="232"/>
        <v>0</v>
      </c>
      <c r="CA287" s="6">
        <f t="shared" ca="1" si="233"/>
        <v>0</v>
      </c>
      <c r="CB287" s="6" t="e">
        <f t="shared" ca="1" si="234"/>
        <v>#DIV/0!</v>
      </c>
      <c r="CC287" s="6" t="e">
        <f t="shared" ca="1" si="235"/>
        <v>#DIV/0!</v>
      </c>
      <c r="CD287" s="9">
        <f t="shared" si="236"/>
        <v>-50</v>
      </c>
      <c r="CE287" s="9">
        <f t="shared" si="237"/>
        <v>0</v>
      </c>
      <c r="CF287" s="6">
        <f t="shared" si="238"/>
        <v>3.1415926535897931</v>
      </c>
      <c r="CG287" s="6"/>
      <c r="CH287" s="6"/>
      <c r="CI287" s="6"/>
      <c r="CJ287" s="1"/>
      <c r="CK287" s="6"/>
    </row>
    <row r="288" spans="55:89" x14ac:dyDescent="0.25">
      <c r="BC288"/>
      <c r="BD288"/>
      <c r="BF288" s="6" t="e">
        <f t="shared" si="225"/>
        <v>#N/A</v>
      </c>
      <c r="BG288" s="6" t="e">
        <f t="shared" si="226"/>
        <v>#N/A</v>
      </c>
      <c r="BH288" s="6" t="e">
        <f t="shared" si="227"/>
        <v>#N/A</v>
      </c>
      <c r="BI288" s="6" t="e">
        <f t="shared" si="228"/>
        <v>#N/A</v>
      </c>
      <c r="BV288" s="37"/>
      <c r="BW288" s="6" t="e">
        <f t="shared" si="229"/>
        <v>#N/A</v>
      </c>
      <c r="BX288" s="9">
        <f t="shared" ca="1" si="230"/>
        <v>-156.7666765884093</v>
      </c>
      <c r="BY288" s="9">
        <f t="shared" ca="1" si="231"/>
        <v>84.412825855297342</v>
      </c>
      <c r="BZ288" s="9">
        <f t="shared" ca="1" si="232"/>
        <v>0</v>
      </c>
      <c r="CA288" s="6">
        <f t="shared" ca="1" si="233"/>
        <v>0</v>
      </c>
      <c r="CB288" s="6" t="e">
        <f t="shared" ca="1" si="234"/>
        <v>#DIV/0!</v>
      </c>
      <c r="CC288" s="6" t="e">
        <f t="shared" ca="1" si="235"/>
        <v>#DIV/0!</v>
      </c>
      <c r="CD288" s="9">
        <f t="shared" si="236"/>
        <v>-50</v>
      </c>
      <c r="CE288" s="9">
        <f t="shared" si="237"/>
        <v>0</v>
      </c>
      <c r="CF288" s="6">
        <f t="shared" si="238"/>
        <v>3.1415926535897931</v>
      </c>
      <c r="CG288" s="6"/>
      <c r="CH288" s="6"/>
      <c r="CI288" s="6"/>
      <c r="CJ288" s="1"/>
      <c r="CK288" s="6"/>
    </row>
    <row r="289" spans="55:89" x14ac:dyDescent="0.25">
      <c r="BC289"/>
      <c r="BD289"/>
      <c r="BF289" s="6" t="e">
        <f t="shared" si="225"/>
        <v>#N/A</v>
      </c>
      <c r="BG289" s="6" t="e">
        <f t="shared" si="226"/>
        <v>#N/A</v>
      </c>
      <c r="BH289" s="6" t="e">
        <f t="shared" si="227"/>
        <v>#N/A</v>
      </c>
      <c r="BI289" s="6" t="e">
        <f t="shared" si="228"/>
        <v>#N/A</v>
      </c>
      <c r="BV289" s="37"/>
      <c r="BW289" s="6" t="e">
        <f t="shared" si="229"/>
        <v>#N/A</v>
      </c>
      <c r="BX289" s="9">
        <f t="shared" ca="1" si="230"/>
        <v>-156.7666765884093</v>
      </c>
      <c r="BY289" s="9">
        <f t="shared" ca="1" si="231"/>
        <v>84.412825855297342</v>
      </c>
      <c r="BZ289" s="9">
        <f t="shared" ca="1" si="232"/>
        <v>0</v>
      </c>
      <c r="CA289" s="6">
        <f t="shared" ca="1" si="233"/>
        <v>0</v>
      </c>
      <c r="CB289" s="6" t="e">
        <f t="shared" ca="1" si="234"/>
        <v>#DIV/0!</v>
      </c>
      <c r="CC289" s="6" t="e">
        <f t="shared" ca="1" si="235"/>
        <v>#DIV/0!</v>
      </c>
      <c r="CD289" s="9">
        <f t="shared" si="236"/>
        <v>-50</v>
      </c>
      <c r="CE289" s="9">
        <f t="shared" si="237"/>
        <v>0</v>
      </c>
      <c r="CF289" s="6">
        <f t="shared" si="238"/>
        <v>3.1415926535897931</v>
      </c>
      <c r="CG289" s="6"/>
      <c r="CH289" s="6"/>
      <c r="CI289" s="6"/>
      <c r="CJ289" s="1"/>
      <c r="CK289" s="6"/>
    </row>
    <row r="290" spans="55:89" x14ac:dyDescent="0.25">
      <c r="BC290"/>
      <c r="BD290"/>
      <c r="BF290" s="6" t="e">
        <f t="shared" si="225"/>
        <v>#N/A</v>
      </c>
      <c r="BG290" s="6" t="e">
        <f t="shared" si="226"/>
        <v>#N/A</v>
      </c>
      <c r="BH290" s="6" t="e">
        <f t="shared" si="227"/>
        <v>#N/A</v>
      </c>
      <c r="BI290" s="6" t="e">
        <f t="shared" si="228"/>
        <v>#N/A</v>
      </c>
      <c r="BV290" s="37"/>
      <c r="BW290" s="6" t="e">
        <f t="shared" si="229"/>
        <v>#N/A</v>
      </c>
      <c r="BX290" s="9">
        <f t="shared" ca="1" si="230"/>
        <v>-156.7666765884093</v>
      </c>
      <c r="BY290" s="9">
        <f t="shared" ca="1" si="231"/>
        <v>84.412825855297342</v>
      </c>
      <c r="BZ290" s="9">
        <f t="shared" ca="1" si="232"/>
        <v>0</v>
      </c>
      <c r="CA290" s="6">
        <f t="shared" ca="1" si="233"/>
        <v>0</v>
      </c>
      <c r="CB290" s="6" t="e">
        <f t="shared" ca="1" si="234"/>
        <v>#DIV/0!</v>
      </c>
      <c r="CC290" s="6" t="e">
        <f t="shared" ca="1" si="235"/>
        <v>#DIV/0!</v>
      </c>
      <c r="CD290" s="9">
        <f t="shared" si="236"/>
        <v>-50</v>
      </c>
      <c r="CE290" s="9">
        <f t="shared" si="237"/>
        <v>0</v>
      </c>
      <c r="CF290" s="6">
        <f t="shared" si="238"/>
        <v>3.1415926535897931</v>
      </c>
      <c r="CG290" s="6"/>
      <c r="CH290" s="6"/>
      <c r="CI290" s="6"/>
      <c r="CJ290" s="1"/>
      <c r="CK290" s="6"/>
    </row>
    <row r="291" spans="55:89" x14ac:dyDescent="0.25">
      <c r="BC291"/>
      <c r="BD291"/>
      <c r="BF291" s="6" t="e">
        <f t="shared" si="225"/>
        <v>#N/A</v>
      </c>
      <c r="BG291" s="6" t="e">
        <f t="shared" si="226"/>
        <v>#N/A</v>
      </c>
      <c r="BH291" s="6" t="e">
        <f t="shared" si="227"/>
        <v>#N/A</v>
      </c>
      <c r="BI291" s="6" t="e">
        <f t="shared" si="228"/>
        <v>#N/A</v>
      </c>
      <c r="BV291" s="37"/>
      <c r="BW291" s="6" t="e">
        <f t="shared" si="229"/>
        <v>#N/A</v>
      </c>
      <c r="BX291" s="9">
        <f t="shared" ca="1" si="230"/>
        <v>-156.7666765884093</v>
      </c>
      <c r="BY291" s="9">
        <f t="shared" ca="1" si="231"/>
        <v>84.412825855297342</v>
      </c>
      <c r="BZ291" s="9">
        <f t="shared" ca="1" si="232"/>
        <v>0</v>
      </c>
      <c r="CA291" s="6">
        <f t="shared" ca="1" si="233"/>
        <v>0</v>
      </c>
      <c r="CB291" s="6" t="e">
        <f t="shared" ca="1" si="234"/>
        <v>#DIV/0!</v>
      </c>
      <c r="CC291" s="6" t="e">
        <f t="shared" ca="1" si="235"/>
        <v>#DIV/0!</v>
      </c>
      <c r="CD291" s="9">
        <f t="shared" si="236"/>
        <v>-50</v>
      </c>
      <c r="CE291" s="9">
        <f t="shared" si="237"/>
        <v>0</v>
      </c>
      <c r="CF291" s="6">
        <f t="shared" si="238"/>
        <v>3.1415926535897931</v>
      </c>
      <c r="CG291" s="6"/>
      <c r="CH291" s="6"/>
      <c r="CI291" s="6"/>
      <c r="CJ291" s="1"/>
      <c r="CK291" s="6"/>
    </row>
    <row r="292" spans="55:89" x14ac:dyDescent="0.25">
      <c r="BC292"/>
      <c r="BD292"/>
      <c r="BF292" s="6" t="e">
        <f t="shared" si="225"/>
        <v>#N/A</v>
      </c>
      <c r="BG292" s="6" t="e">
        <f t="shared" si="226"/>
        <v>#N/A</v>
      </c>
      <c r="BH292" s="6" t="e">
        <f t="shared" si="227"/>
        <v>#N/A</v>
      </c>
      <c r="BI292" s="6" t="e">
        <f t="shared" si="228"/>
        <v>#N/A</v>
      </c>
      <c r="BV292" s="37"/>
      <c r="BW292" s="6" t="e">
        <f t="shared" si="229"/>
        <v>#N/A</v>
      </c>
      <c r="BX292" s="9">
        <f t="shared" ca="1" si="230"/>
        <v>-156.7666765884093</v>
      </c>
      <c r="BY292" s="9">
        <f t="shared" ca="1" si="231"/>
        <v>84.412825855297342</v>
      </c>
      <c r="BZ292" s="9">
        <f t="shared" ca="1" si="232"/>
        <v>0</v>
      </c>
      <c r="CA292" s="6">
        <f t="shared" ca="1" si="233"/>
        <v>0</v>
      </c>
      <c r="CB292" s="6" t="e">
        <f t="shared" ca="1" si="234"/>
        <v>#DIV/0!</v>
      </c>
      <c r="CC292" s="6" t="e">
        <f t="shared" ca="1" si="235"/>
        <v>#DIV/0!</v>
      </c>
      <c r="CD292" s="9">
        <f t="shared" si="236"/>
        <v>-50</v>
      </c>
      <c r="CE292" s="9">
        <f t="shared" si="237"/>
        <v>0</v>
      </c>
      <c r="CF292" s="6">
        <f t="shared" si="238"/>
        <v>3.1415926535897931</v>
      </c>
      <c r="CG292" s="6"/>
      <c r="CH292" s="6"/>
      <c r="CI292" s="6"/>
      <c r="CJ292" s="1"/>
      <c r="CK292" s="6"/>
    </row>
    <row r="293" spans="55:89" x14ac:dyDescent="0.25">
      <c r="BC293"/>
      <c r="BD293"/>
      <c r="BF293" s="6" t="e">
        <f t="shared" si="225"/>
        <v>#N/A</v>
      </c>
      <c r="BG293" s="6" t="e">
        <f t="shared" si="226"/>
        <v>#N/A</v>
      </c>
      <c r="BH293" s="6" t="e">
        <f t="shared" si="227"/>
        <v>#N/A</v>
      </c>
      <c r="BI293" s="6" t="e">
        <f t="shared" si="228"/>
        <v>#N/A</v>
      </c>
      <c r="BV293" s="37"/>
      <c r="BW293" s="6" t="e">
        <f t="shared" si="229"/>
        <v>#N/A</v>
      </c>
      <c r="BX293" s="9">
        <f t="shared" ca="1" si="230"/>
        <v>-156.7666765884093</v>
      </c>
      <c r="BY293" s="9">
        <f t="shared" ca="1" si="231"/>
        <v>84.412825855297342</v>
      </c>
      <c r="BZ293" s="9">
        <f t="shared" ca="1" si="232"/>
        <v>0</v>
      </c>
      <c r="CA293" s="6">
        <f t="shared" ca="1" si="233"/>
        <v>0</v>
      </c>
      <c r="CB293" s="6" t="e">
        <f t="shared" ca="1" si="234"/>
        <v>#DIV/0!</v>
      </c>
      <c r="CC293" s="6" t="e">
        <f t="shared" ca="1" si="235"/>
        <v>#DIV/0!</v>
      </c>
      <c r="CD293" s="9">
        <f t="shared" si="236"/>
        <v>-50</v>
      </c>
      <c r="CE293" s="9">
        <f t="shared" si="237"/>
        <v>0</v>
      </c>
      <c r="CF293" s="6">
        <f t="shared" si="238"/>
        <v>3.1415926535897931</v>
      </c>
      <c r="CG293" s="6"/>
      <c r="CH293" s="6"/>
      <c r="CI293" s="6"/>
      <c r="CJ293" s="1"/>
      <c r="CK293" s="6"/>
    </row>
    <row r="294" spans="55:89" x14ac:dyDescent="0.25">
      <c r="BC294"/>
      <c r="BD294"/>
      <c r="BF294" s="6" t="e">
        <f t="shared" si="225"/>
        <v>#N/A</v>
      </c>
      <c r="BG294" s="6" t="e">
        <f t="shared" si="226"/>
        <v>#N/A</v>
      </c>
      <c r="BH294" s="6" t="e">
        <f t="shared" si="227"/>
        <v>#N/A</v>
      </c>
      <c r="BI294" s="6" t="e">
        <f t="shared" si="228"/>
        <v>#N/A</v>
      </c>
      <c r="BV294" s="37"/>
      <c r="BW294" s="6" t="e">
        <f t="shared" si="229"/>
        <v>#N/A</v>
      </c>
      <c r="BX294" s="9">
        <f t="shared" ca="1" si="230"/>
        <v>-156.7666765884093</v>
      </c>
      <c r="BY294" s="9">
        <f t="shared" ca="1" si="231"/>
        <v>84.412825855297342</v>
      </c>
      <c r="BZ294" s="9">
        <f t="shared" ca="1" si="232"/>
        <v>0</v>
      </c>
      <c r="CA294" s="6">
        <f t="shared" ca="1" si="233"/>
        <v>0</v>
      </c>
      <c r="CB294" s="6" t="e">
        <f t="shared" ca="1" si="234"/>
        <v>#DIV/0!</v>
      </c>
      <c r="CC294" s="6" t="e">
        <f t="shared" ca="1" si="235"/>
        <v>#DIV/0!</v>
      </c>
      <c r="CD294" s="9">
        <f t="shared" si="236"/>
        <v>-50</v>
      </c>
      <c r="CE294" s="9">
        <f t="shared" si="237"/>
        <v>0</v>
      </c>
      <c r="CF294" s="6">
        <f t="shared" si="238"/>
        <v>3.1415926535897931</v>
      </c>
      <c r="CG294" s="6"/>
      <c r="CH294" s="6"/>
      <c r="CI294" s="6"/>
      <c r="CJ294" s="1"/>
      <c r="CK294" s="6"/>
    </row>
    <row r="295" spans="55:89" x14ac:dyDescent="0.25">
      <c r="BC295"/>
      <c r="BD295"/>
      <c r="BF295" s="6" t="e">
        <f t="shared" si="225"/>
        <v>#N/A</v>
      </c>
      <c r="BG295" s="6" t="e">
        <f t="shared" si="226"/>
        <v>#N/A</v>
      </c>
      <c r="BH295" s="6" t="e">
        <f t="shared" si="227"/>
        <v>#N/A</v>
      </c>
      <c r="BI295" s="6" t="e">
        <f t="shared" si="228"/>
        <v>#N/A</v>
      </c>
      <c r="BV295" s="37"/>
      <c r="BW295" s="6" t="e">
        <f t="shared" si="229"/>
        <v>#N/A</v>
      </c>
      <c r="BX295" s="9">
        <f t="shared" ca="1" si="230"/>
        <v>-156.7666765884093</v>
      </c>
      <c r="BY295" s="9">
        <f t="shared" ca="1" si="231"/>
        <v>84.412825855297342</v>
      </c>
      <c r="BZ295" s="9">
        <f t="shared" ca="1" si="232"/>
        <v>0</v>
      </c>
      <c r="CA295" s="6">
        <f t="shared" ca="1" si="233"/>
        <v>0</v>
      </c>
      <c r="CB295" s="6" t="e">
        <f t="shared" ca="1" si="234"/>
        <v>#DIV/0!</v>
      </c>
      <c r="CC295" s="6" t="e">
        <f t="shared" ca="1" si="235"/>
        <v>#DIV/0!</v>
      </c>
      <c r="CD295" s="9">
        <f t="shared" si="236"/>
        <v>-50</v>
      </c>
      <c r="CE295" s="9">
        <f t="shared" si="237"/>
        <v>0</v>
      </c>
      <c r="CF295" s="6">
        <f t="shared" si="238"/>
        <v>3.1415926535897931</v>
      </c>
      <c r="CG295" s="6"/>
      <c r="CH295" s="6"/>
      <c r="CI295" s="6"/>
      <c r="CJ295" s="1"/>
      <c r="CK295" s="6"/>
    </row>
    <row r="296" spans="55:89" x14ac:dyDescent="0.25">
      <c r="BC296"/>
      <c r="BD296"/>
      <c r="BF296" s="6" t="e">
        <f t="shared" si="225"/>
        <v>#N/A</v>
      </c>
      <c r="BG296" s="6" t="e">
        <f t="shared" si="226"/>
        <v>#N/A</v>
      </c>
      <c r="BH296" s="6" t="e">
        <f t="shared" si="227"/>
        <v>#N/A</v>
      </c>
      <c r="BI296" s="6" t="e">
        <f t="shared" si="228"/>
        <v>#N/A</v>
      </c>
      <c r="BV296" s="37"/>
      <c r="BW296" s="6" t="e">
        <f t="shared" si="229"/>
        <v>#N/A</v>
      </c>
      <c r="BX296" s="9">
        <f t="shared" ca="1" si="230"/>
        <v>-156.7666765884093</v>
      </c>
      <c r="BY296" s="9">
        <f t="shared" ca="1" si="231"/>
        <v>84.412825855297342</v>
      </c>
      <c r="BZ296" s="9">
        <f t="shared" ca="1" si="232"/>
        <v>0</v>
      </c>
      <c r="CA296" s="6">
        <f t="shared" ca="1" si="233"/>
        <v>0</v>
      </c>
      <c r="CB296" s="6" t="e">
        <f t="shared" ca="1" si="234"/>
        <v>#DIV/0!</v>
      </c>
      <c r="CC296" s="6" t="e">
        <f t="shared" ca="1" si="235"/>
        <v>#DIV/0!</v>
      </c>
      <c r="CD296" s="9">
        <f t="shared" si="236"/>
        <v>-50</v>
      </c>
      <c r="CE296" s="9">
        <f t="shared" si="237"/>
        <v>0</v>
      </c>
      <c r="CF296" s="6">
        <f t="shared" si="238"/>
        <v>3.1415926535897931</v>
      </c>
      <c r="CG296" s="6"/>
      <c r="CH296" s="6"/>
      <c r="CI296" s="6"/>
      <c r="CJ296" s="1"/>
      <c r="CK296" s="6"/>
    </row>
    <row r="297" spans="55:89" x14ac:dyDescent="0.25">
      <c r="BC297"/>
      <c r="BD297"/>
      <c r="BF297" s="6" t="e">
        <f t="shared" si="225"/>
        <v>#N/A</v>
      </c>
      <c r="BG297" s="6" t="e">
        <f t="shared" si="226"/>
        <v>#N/A</v>
      </c>
      <c r="BH297" s="6" t="e">
        <f t="shared" si="227"/>
        <v>#N/A</v>
      </c>
      <c r="BI297" s="6" t="e">
        <f t="shared" si="228"/>
        <v>#N/A</v>
      </c>
      <c r="BV297" s="37"/>
      <c r="BW297" s="6" t="e">
        <f t="shared" si="229"/>
        <v>#N/A</v>
      </c>
      <c r="BX297" s="9">
        <f t="shared" ca="1" si="230"/>
        <v>-156.7666765884093</v>
      </c>
      <c r="BY297" s="9">
        <f t="shared" ca="1" si="231"/>
        <v>84.412825855297342</v>
      </c>
      <c r="BZ297" s="9">
        <f t="shared" ca="1" si="232"/>
        <v>0</v>
      </c>
      <c r="CA297" s="6">
        <f t="shared" ca="1" si="233"/>
        <v>0</v>
      </c>
      <c r="CB297" s="6" t="e">
        <f t="shared" ca="1" si="234"/>
        <v>#DIV/0!</v>
      </c>
      <c r="CC297" s="6" t="e">
        <f t="shared" ca="1" si="235"/>
        <v>#DIV/0!</v>
      </c>
      <c r="CD297" s="9">
        <f t="shared" si="236"/>
        <v>-50</v>
      </c>
      <c r="CE297" s="9">
        <f t="shared" si="237"/>
        <v>0</v>
      </c>
      <c r="CF297" s="6">
        <f t="shared" si="238"/>
        <v>3.1415926535897931</v>
      </c>
      <c r="CG297" s="6"/>
      <c r="CH297" s="6"/>
      <c r="CI297" s="6"/>
      <c r="CJ297" s="1"/>
      <c r="CK297" s="6"/>
    </row>
    <row r="298" spans="55:89" x14ac:dyDescent="0.25">
      <c r="BC298"/>
      <c r="BD298"/>
      <c r="BF298" s="6" t="e">
        <f t="shared" si="225"/>
        <v>#N/A</v>
      </c>
      <c r="BG298" s="6" t="e">
        <f t="shared" si="226"/>
        <v>#N/A</v>
      </c>
      <c r="BH298" s="6" t="e">
        <f t="shared" si="227"/>
        <v>#N/A</v>
      </c>
      <c r="BI298" s="6" t="e">
        <f t="shared" si="228"/>
        <v>#N/A</v>
      </c>
      <c r="BV298" s="37"/>
      <c r="BW298" s="6" t="e">
        <f t="shared" si="229"/>
        <v>#N/A</v>
      </c>
      <c r="BX298" s="9">
        <f t="shared" ca="1" si="230"/>
        <v>-156.7666765884093</v>
      </c>
      <c r="BY298" s="9">
        <f t="shared" ca="1" si="231"/>
        <v>84.412825855297342</v>
      </c>
      <c r="BZ298" s="9">
        <f t="shared" ca="1" si="232"/>
        <v>0</v>
      </c>
      <c r="CA298" s="6">
        <f t="shared" ca="1" si="233"/>
        <v>0</v>
      </c>
      <c r="CB298" s="6" t="e">
        <f t="shared" ca="1" si="234"/>
        <v>#DIV/0!</v>
      </c>
      <c r="CC298" s="6" t="e">
        <f t="shared" ca="1" si="235"/>
        <v>#DIV/0!</v>
      </c>
      <c r="CD298" s="9">
        <f t="shared" si="236"/>
        <v>-50</v>
      </c>
      <c r="CE298" s="9">
        <f t="shared" si="237"/>
        <v>0</v>
      </c>
      <c r="CF298" s="6">
        <f t="shared" si="238"/>
        <v>3.1415926535897931</v>
      </c>
      <c r="CG298" s="6"/>
      <c r="CH298" s="6"/>
      <c r="CI298" s="6"/>
      <c r="CJ298" s="1"/>
      <c r="CK298" s="6"/>
    </row>
    <row r="299" spans="55:89" x14ac:dyDescent="0.25">
      <c r="BC299"/>
      <c r="BD299"/>
      <c r="BF299" s="6" t="e">
        <f t="shared" si="225"/>
        <v>#N/A</v>
      </c>
      <c r="BG299" s="6" t="e">
        <f t="shared" si="226"/>
        <v>#N/A</v>
      </c>
      <c r="BH299" s="6" t="e">
        <f t="shared" si="227"/>
        <v>#N/A</v>
      </c>
      <c r="BI299" s="6" t="e">
        <f t="shared" si="228"/>
        <v>#N/A</v>
      </c>
      <c r="BV299" s="37"/>
      <c r="BW299" s="6" t="e">
        <f t="shared" si="229"/>
        <v>#N/A</v>
      </c>
      <c r="BX299" s="9">
        <f t="shared" ca="1" si="230"/>
        <v>-156.7666765884093</v>
      </c>
      <c r="BY299" s="9">
        <f t="shared" ca="1" si="231"/>
        <v>84.412825855297342</v>
      </c>
      <c r="BZ299" s="9">
        <f t="shared" ca="1" si="232"/>
        <v>0</v>
      </c>
      <c r="CA299" s="6">
        <f t="shared" ca="1" si="233"/>
        <v>0</v>
      </c>
      <c r="CB299" s="6" t="e">
        <f t="shared" ca="1" si="234"/>
        <v>#DIV/0!</v>
      </c>
      <c r="CC299" s="6" t="e">
        <f t="shared" ca="1" si="235"/>
        <v>#DIV/0!</v>
      </c>
      <c r="CD299" s="9">
        <f t="shared" si="236"/>
        <v>-50</v>
      </c>
      <c r="CE299" s="9">
        <f t="shared" si="237"/>
        <v>0</v>
      </c>
      <c r="CF299" s="6">
        <f t="shared" si="238"/>
        <v>3.1415926535897931</v>
      </c>
      <c r="CG299" s="6"/>
      <c r="CH299" s="6"/>
      <c r="CI299" s="6"/>
      <c r="CJ299" s="1"/>
      <c r="CK299" s="6"/>
    </row>
    <row r="300" spans="55:89" x14ac:dyDescent="0.25">
      <c r="BC300"/>
      <c r="BD300"/>
      <c r="BF300" s="6" t="e">
        <f t="shared" si="225"/>
        <v>#N/A</v>
      </c>
      <c r="BG300" s="6" t="e">
        <f t="shared" si="226"/>
        <v>#N/A</v>
      </c>
      <c r="BH300" s="6" t="e">
        <f t="shared" si="227"/>
        <v>#N/A</v>
      </c>
      <c r="BI300" s="6" t="e">
        <f t="shared" si="228"/>
        <v>#N/A</v>
      </c>
      <c r="BV300" s="37"/>
      <c r="BW300" s="6" t="e">
        <f t="shared" si="229"/>
        <v>#N/A</v>
      </c>
      <c r="BX300" s="9">
        <f t="shared" ca="1" si="230"/>
        <v>-156.7666765884093</v>
      </c>
      <c r="BY300" s="9">
        <f t="shared" ca="1" si="231"/>
        <v>84.412825855297342</v>
      </c>
      <c r="BZ300" s="9">
        <f t="shared" ca="1" si="232"/>
        <v>0</v>
      </c>
      <c r="CA300" s="6">
        <f t="shared" ca="1" si="233"/>
        <v>0</v>
      </c>
      <c r="CB300" s="6" t="e">
        <f t="shared" ca="1" si="234"/>
        <v>#DIV/0!</v>
      </c>
      <c r="CC300" s="6" t="e">
        <f t="shared" ca="1" si="235"/>
        <v>#DIV/0!</v>
      </c>
      <c r="CD300" s="9">
        <f t="shared" si="236"/>
        <v>-50</v>
      </c>
      <c r="CE300" s="9">
        <f t="shared" si="237"/>
        <v>0</v>
      </c>
      <c r="CF300" s="6">
        <f t="shared" si="238"/>
        <v>3.1415926535897931</v>
      </c>
      <c r="CG300" s="6"/>
      <c r="CH300" s="6"/>
      <c r="CI300" s="6"/>
      <c r="CJ300" s="1"/>
      <c r="CK300" s="6"/>
    </row>
    <row r="301" spans="55:89" x14ac:dyDescent="0.25">
      <c r="BC301"/>
      <c r="BD301"/>
      <c r="BF301" s="6" t="e">
        <f t="shared" si="225"/>
        <v>#N/A</v>
      </c>
      <c r="BG301" s="6" t="e">
        <f t="shared" si="226"/>
        <v>#N/A</v>
      </c>
      <c r="BH301" s="6" t="e">
        <f t="shared" si="227"/>
        <v>#N/A</v>
      </c>
      <c r="BI301" s="6" t="e">
        <f t="shared" si="228"/>
        <v>#N/A</v>
      </c>
      <c r="BV301" s="37"/>
      <c r="BW301" s="6" t="e">
        <f t="shared" si="229"/>
        <v>#N/A</v>
      </c>
      <c r="BX301" s="9">
        <f t="shared" ca="1" si="230"/>
        <v>-156.7666765884093</v>
      </c>
      <c r="BY301" s="9">
        <f t="shared" ca="1" si="231"/>
        <v>84.412825855297342</v>
      </c>
      <c r="BZ301" s="9">
        <f t="shared" ca="1" si="232"/>
        <v>0</v>
      </c>
      <c r="CA301" s="6">
        <f t="shared" ca="1" si="233"/>
        <v>0</v>
      </c>
      <c r="CB301" s="6" t="e">
        <f t="shared" ca="1" si="234"/>
        <v>#DIV/0!</v>
      </c>
      <c r="CC301" s="6" t="e">
        <f t="shared" ca="1" si="235"/>
        <v>#DIV/0!</v>
      </c>
      <c r="CD301" s="9">
        <f t="shared" si="236"/>
        <v>-50</v>
      </c>
      <c r="CE301" s="9">
        <f t="shared" si="237"/>
        <v>0</v>
      </c>
      <c r="CF301" s="6">
        <f t="shared" si="238"/>
        <v>3.1415926535897931</v>
      </c>
      <c r="CG301" s="6"/>
      <c r="CH301" s="6"/>
      <c r="CI301" s="6"/>
      <c r="CJ301" s="1"/>
      <c r="CK301" s="6"/>
    </row>
    <row r="302" spans="55:89" x14ac:dyDescent="0.25">
      <c r="BC302"/>
      <c r="BD302"/>
      <c r="BF302" s="6" t="e">
        <f t="shared" si="225"/>
        <v>#N/A</v>
      </c>
      <c r="BG302" s="6" t="e">
        <f t="shared" si="226"/>
        <v>#N/A</v>
      </c>
      <c r="BH302" s="6" t="e">
        <f t="shared" si="227"/>
        <v>#N/A</v>
      </c>
      <c r="BI302" s="6" t="e">
        <f t="shared" si="228"/>
        <v>#N/A</v>
      </c>
      <c r="BV302" s="37"/>
      <c r="BW302" s="6" t="e">
        <f t="shared" si="229"/>
        <v>#N/A</v>
      </c>
      <c r="BX302" s="9">
        <f t="shared" ca="1" si="230"/>
        <v>-156.7666765884093</v>
      </c>
      <c r="BY302" s="9">
        <f t="shared" ca="1" si="231"/>
        <v>84.412825855297342</v>
      </c>
      <c r="BZ302" s="9">
        <f t="shared" ca="1" si="232"/>
        <v>0</v>
      </c>
      <c r="CA302" s="6">
        <f t="shared" ca="1" si="233"/>
        <v>0</v>
      </c>
      <c r="CB302" s="6" t="e">
        <f t="shared" ca="1" si="234"/>
        <v>#DIV/0!</v>
      </c>
      <c r="CC302" s="6" t="e">
        <f t="shared" ca="1" si="235"/>
        <v>#DIV/0!</v>
      </c>
      <c r="CD302" s="9">
        <f t="shared" si="236"/>
        <v>-50</v>
      </c>
      <c r="CE302" s="9">
        <f t="shared" si="237"/>
        <v>0</v>
      </c>
      <c r="CF302" s="6">
        <f t="shared" si="238"/>
        <v>3.1415926535897931</v>
      </c>
      <c r="CG302" s="6"/>
      <c r="CH302" s="6"/>
      <c r="CI302" s="6"/>
      <c r="CJ302" s="1"/>
      <c r="CK302" s="6"/>
    </row>
    <row r="303" spans="55:89" x14ac:dyDescent="0.25">
      <c r="BC303"/>
      <c r="BD303"/>
      <c r="BF303" s="6" t="e">
        <f t="shared" si="225"/>
        <v>#N/A</v>
      </c>
      <c r="BG303" s="6" t="e">
        <f t="shared" si="226"/>
        <v>#N/A</v>
      </c>
      <c r="BH303" s="6" t="e">
        <f t="shared" si="227"/>
        <v>#N/A</v>
      </c>
      <c r="BI303" s="6" t="e">
        <f t="shared" si="228"/>
        <v>#N/A</v>
      </c>
      <c r="BV303" s="37"/>
      <c r="BW303" s="6" t="e">
        <f t="shared" si="229"/>
        <v>#N/A</v>
      </c>
      <c r="BX303" s="9">
        <f t="shared" ca="1" si="230"/>
        <v>-156.7666765884093</v>
      </c>
      <c r="BY303" s="9">
        <f t="shared" ca="1" si="231"/>
        <v>84.412825855297342</v>
      </c>
      <c r="BZ303" s="9">
        <f t="shared" ca="1" si="232"/>
        <v>0</v>
      </c>
      <c r="CA303" s="6">
        <f t="shared" ca="1" si="233"/>
        <v>0</v>
      </c>
      <c r="CB303" s="6" t="e">
        <f t="shared" ca="1" si="234"/>
        <v>#DIV/0!</v>
      </c>
      <c r="CC303" s="6" t="e">
        <f t="shared" ca="1" si="235"/>
        <v>#DIV/0!</v>
      </c>
      <c r="CD303" s="9">
        <f t="shared" si="236"/>
        <v>-50</v>
      </c>
      <c r="CE303" s="9">
        <f t="shared" si="237"/>
        <v>0</v>
      </c>
      <c r="CF303" s="6">
        <f t="shared" si="238"/>
        <v>3.1415926535897931</v>
      </c>
      <c r="CG303" s="6"/>
      <c r="CH303" s="6"/>
      <c r="CI303" s="6"/>
      <c r="CJ303" s="1"/>
      <c r="CK303" s="6"/>
    </row>
    <row r="304" spans="55:89" x14ac:dyDescent="0.25">
      <c r="BC304"/>
      <c r="BD304"/>
      <c r="BF304" s="6" t="e">
        <f t="shared" si="225"/>
        <v>#N/A</v>
      </c>
      <c r="BG304" s="6" t="e">
        <f t="shared" si="226"/>
        <v>#N/A</v>
      </c>
      <c r="BH304" s="6" t="e">
        <f t="shared" si="227"/>
        <v>#N/A</v>
      </c>
      <c r="BI304" s="6" t="e">
        <f t="shared" si="228"/>
        <v>#N/A</v>
      </c>
      <c r="BV304" s="37"/>
      <c r="BW304" s="6" t="e">
        <f t="shared" si="229"/>
        <v>#N/A</v>
      </c>
      <c r="BX304" s="9">
        <f t="shared" ca="1" si="230"/>
        <v>-156.7666765884093</v>
      </c>
      <c r="BY304" s="9">
        <f t="shared" ca="1" si="231"/>
        <v>84.412825855297342</v>
      </c>
      <c r="BZ304" s="9">
        <f t="shared" ca="1" si="232"/>
        <v>0</v>
      </c>
      <c r="CA304" s="6">
        <f t="shared" ca="1" si="233"/>
        <v>0</v>
      </c>
      <c r="CB304" s="6" t="e">
        <f t="shared" ca="1" si="234"/>
        <v>#DIV/0!</v>
      </c>
      <c r="CC304" s="6" t="e">
        <f t="shared" ca="1" si="235"/>
        <v>#DIV/0!</v>
      </c>
      <c r="CD304" s="9">
        <f t="shared" si="236"/>
        <v>-50</v>
      </c>
      <c r="CE304" s="9">
        <f t="shared" si="237"/>
        <v>0</v>
      </c>
      <c r="CF304" s="6">
        <f t="shared" si="238"/>
        <v>3.1415926535897931</v>
      </c>
      <c r="CG304" s="6"/>
      <c r="CH304" s="6"/>
      <c r="CI304" s="6"/>
      <c r="CJ304" s="1"/>
      <c r="CK304" s="6"/>
    </row>
    <row r="305" spans="55:89" x14ac:dyDescent="0.25">
      <c r="BC305"/>
      <c r="BD305"/>
      <c r="BF305" s="6" t="e">
        <f t="shared" si="225"/>
        <v>#N/A</v>
      </c>
      <c r="BG305" s="6" t="e">
        <f t="shared" si="226"/>
        <v>#N/A</v>
      </c>
      <c r="BH305" s="6" t="e">
        <f t="shared" si="227"/>
        <v>#N/A</v>
      </c>
      <c r="BI305" s="6" t="e">
        <f t="shared" si="228"/>
        <v>#N/A</v>
      </c>
      <c r="BV305" s="37"/>
      <c r="BW305" s="6" t="e">
        <f t="shared" si="229"/>
        <v>#N/A</v>
      </c>
      <c r="BX305" s="9">
        <f t="shared" ca="1" si="230"/>
        <v>-156.7666765884093</v>
      </c>
      <c r="BY305" s="9">
        <f t="shared" ca="1" si="231"/>
        <v>84.412825855297342</v>
      </c>
      <c r="BZ305" s="9">
        <f t="shared" ca="1" si="232"/>
        <v>0</v>
      </c>
      <c r="CA305" s="6">
        <f t="shared" ca="1" si="233"/>
        <v>0</v>
      </c>
      <c r="CB305" s="6" t="e">
        <f t="shared" ca="1" si="234"/>
        <v>#DIV/0!</v>
      </c>
      <c r="CC305" s="6" t="e">
        <f t="shared" ca="1" si="235"/>
        <v>#DIV/0!</v>
      </c>
      <c r="CD305" s="9">
        <f t="shared" si="236"/>
        <v>-50</v>
      </c>
      <c r="CE305" s="9">
        <f t="shared" si="237"/>
        <v>0</v>
      </c>
      <c r="CF305" s="6">
        <f t="shared" si="238"/>
        <v>3.1415926535897931</v>
      </c>
      <c r="CG305" s="6"/>
      <c r="CH305" s="6"/>
      <c r="CI305" s="6"/>
      <c r="CJ305" s="1"/>
      <c r="CK305" s="6"/>
    </row>
    <row r="306" spans="55:89" x14ac:dyDescent="0.25">
      <c r="BC306"/>
      <c r="BD306"/>
      <c r="BF306" s="6" t="e">
        <f t="shared" si="225"/>
        <v>#N/A</v>
      </c>
      <c r="BG306" s="6" t="e">
        <f t="shared" si="226"/>
        <v>#N/A</v>
      </c>
      <c r="BH306" s="6" t="e">
        <f t="shared" si="227"/>
        <v>#N/A</v>
      </c>
      <c r="BI306" s="6" t="e">
        <f t="shared" si="228"/>
        <v>#N/A</v>
      </c>
      <c r="BV306" s="37"/>
      <c r="BW306" s="6" t="e">
        <f t="shared" si="229"/>
        <v>#N/A</v>
      </c>
      <c r="BX306" s="9">
        <f t="shared" ca="1" si="230"/>
        <v>-156.7666765884093</v>
      </c>
      <c r="BY306" s="9">
        <f t="shared" ca="1" si="231"/>
        <v>84.412825855297342</v>
      </c>
      <c r="BZ306" s="9">
        <f t="shared" ca="1" si="232"/>
        <v>0</v>
      </c>
      <c r="CA306" s="6">
        <f t="shared" ca="1" si="233"/>
        <v>0</v>
      </c>
      <c r="CB306" s="6" t="e">
        <f t="shared" ca="1" si="234"/>
        <v>#DIV/0!</v>
      </c>
      <c r="CC306" s="6" t="e">
        <f t="shared" ca="1" si="235"/>
        <v>#DIV/0!</v>
      </c>
      <c r="CD306" s="9">
        <f t="shared" si="236"/>
        <v>-50</v>
      </c>
      <c r="CE306" s="9">
        <f t="shared" si="237"/>
        <v>0</v>
      </c>
      <c r="CF306" s="6">
        <f t="shared" si="238"/>
        <v>3.1415926535897931</v>
      </c>
      <c r="CG306" s="6"/>
      <c r="CH306" s="6"/>
      <c r="CI306" s="6"/>
      <c r="CJ306" s="1"/>
      <c r="CK306" s="6"/>
    </row>
    <row r="307" spans="55:89" x14ac:dyDescent="0.25">
      <c r="BC307"/>
      <c r="BD307"/>
      <c r="BF307" s="6" t="e">
        <f t="shared" si="225"/>
        <v>#N/A</v>
      </c>
      <c r="BG307" s="6" t="e">
        <f t="shared" si="226"/>
        <v>#N/A</v>
      </c>
      <c r="BH307" s="6" t="e">
        <f t="shared" si="227"/>
        <v>#N/A</v>
      </c>
      <c r="BI307" s="6" t="e">
        <f t="shared" si="228"/>
        <v>#N/A</v>
      </c>
      <c r="BV307" s="37"/>
      <c r="BW307" s="6" t="e">
        <f t="shared" si="229"/>
        <v>#N/A</v>
      </c>
      <c r="BX307" s="9">
        <f t="shared" ca="1" si="230"/>
        <v>-156.7666765884093</v>
      </c>
      <c r="BY307" s="9">
        <f t="shared" ca="1" si="231"/>
        <v>84.412825855297342</v>
      </c>
      <c r="BZ307" s="9">
        <f t="shared" ca="1" si="232"/>
        <v>0</v>
      </c>
      <c r="CA307" s="6">
        <f t="shared" ca="1" si="233"/>
        <v>0</v>
      </c>
      <c r="CB307" s="6" t="e">
        <f t="shared" ca="1" si="234"/>
        <v>#DIV/0!</v>
      </c>
      <c r="CC307" s="6" t="e">
        <f t="shared" ca="1" si="235"/>
        <v>#DIV/0!</v>
      </c>
      <c r="CD307" s="9">
        <f t="shared" si="236"/>
        <v>-50</v>
      </c>
      <c r="CE307" s="9">
        <f t="shared" si="237"/>
        <v>0</v>
      </c>
      <c r="CF307" s="6">
        <f t="shared" si="238"/>
        <v>3.1415926535897931</v>
      </c>
      <c r="CG307" s="6"/>
      <c r="CH307" s="6"/>
      <c r="CI307" s="6"/>
      <c r="CJ307" s="1"/>
      <c r="CK307" s="6"/>
    </row>
    <row r="308" spans="55:89" x14ac:dyDescent="0.25">
      <c r="BC308"/>
      <c r="BD308"/>
      <c r="BF308" s="6" t="e">
        <f t="shared" si="225"/>
        <v>#N/A</v>
      </c>
      <c r="BG308" s="6" t="e">
        <f t="shared" si="226"/>
        <v>#N/A</v>
      </c>
      <c r="BH308" s="6" t="e">
        <f t="shared" si="227"/>
        <v>#N/A</v>
      </c>
      <c r="BI308" s="6" t="e">
        <f t="shared" si="228"/>
        <v>#N/A</v>
      </c>
      <c r="BV308" s="37"/>
      <c r="BW308" s="6" t="e">
        <f t="shared" si="229"/>
        <v>#N/A</v>
      </c>
      <c r="BX308" s="9">
        <f t="shared" ca="1" si="230"/>
        <v>-156.7666765884093</v>
      </c>
      <c r="BY308" s="9">
        <f t="shared" ca="1" si="231"/>
        <v>84.412825855297342</v>
      </c>
      <c r="BZ308" s="9">
        <f t="shared" ca="1" si="232"/>
        <v>0</v>
      </c>
      <c r="CA308" s="6">
        <f t="shared" ca="1" si="233"/>
        <v>0</v>
      </c>
      <c r="CB308" s="6" t="e">
        <f t="shared" ca="1" si="234"/>
        <v>#DIV/0!</v>
      </c>
      <c r="CC308" s="6" t="e">
        <f t="shared" ca="1" si="235"/>
        <v>#DIV/0!</v>
      </c>
      <c r="CD308" s="9">
        <f t="shared" si="236"/>
        <v>-50</v>
      </c>
      <c r="CE308" s="9">
        <f t="shared" si="237"/>
        <v>0</v>
      </c>
      <c r="CF308" s="6">
        <f t="shared" si="238"/>
        <v>3.1415926535897931</v>
      </c>
      <c r="CG308" s="6"/>
      <c r="CH308" s="6"/>
      <c r="CI308" s="6"/>
      <c r="CJ308" s="1"/>
      <c r="CK308" s="6"/>
    </row>
    <row r="309" spans="55:89" x14ac:dyDescent="0.25">
      <c r="BC309"/>
      <c r="BD309"/>
      <c r="BF309" s="6" t="e">
        <f t="shared" si="225"/>
        <v>#N/A</v>
      </c>
      <c r="BG309" s="6" t="e">
        <f t="shared" si="226"/>
        <v>#N/A</v>
      </c>
      <c r="BH309" s="6" t="e">
        <f t="shared" si="227"/>
        <v>#N/A</v>
      </c>
      <c r="BI309" s="6" t="e">
        <f t="shared" si="228"/>
        <v>#N/A</v>
      </c>
      <c r="BV309" s="37"/>
      <c r="BW309" s="6" t="e">
        <f t="shared" si="229"/>
        <v>#N/A</v>
      </c>
      <c r="BX309" s="9">
        <f t="shared" ca="1" si="230"/>
        <v>-156.7666765884093</v>
      </c>
      <c r="BY309" s="9">
        <f t="shared" ca="1" si="231"/>
        <v>84.412825855297342</v>
      </c>
      <c r="BZ309" s="9">
        <f t="shared" ca="1" si="232"/>
        <v>0</v>
      </c>
      <c r="CA309" s="6">
        <f t="shared" ca="1" si="233"/>
        <v>0</v>
      </c>
      <c r="CB309" s="6" t="e">
        <f t="shared" ca="1" si="234"/>
        <v>#DIV/0!</v>
      </c>
      <c r="CC309" s="6" t="e">
        <f t="shared" ca="1" si="235"/>
        <v>#DIV/0!</v>
      </c>
      <c r="CD309" s="9">
        <f t="shared" si="236"/>
        <v>-50</v>
      </c>
      <c r="CE309" s="9">
        <f t="shared" si="237"/>
        <v>0</v>
      </c>
      <c r="CF309" s="6">
        <f t="shared" si="238"/>
        <v>3.1415926535897931</v>
      </c>
      <c r="CG309" s="6"/>
      <c r="CH309" s="6"/>
      <c r="CI309" s="6"/>
      <c r="CJ309" s="1"/>
      <c r="CK309" s="6"/>
    </row>
    <row r="310" spans="55:89" x14ac:dyDescent="0.25">
      <c r="BC310"/>
      <c r="BD310"/>
      <c r="BF310" s="6" t="e">
        <f t="shared" si="225"/>
        <v>#N/A</v>
      </c>
      <c r="BG310" s="6" t="e">
        <f t="shared" si="226"/>
        <v>#N/A</v>
      </c>
      <c r="BH310" s="6" t="e">
        <f t="shared" si="227"/>
        <v>#N/A</v>
      </c>
      <c r="BI310" s="6" t="e">
        <f t="shared" si="228"/>
        <v>#N/A</v>
      </c>
      <c r="BV310" s="37"/>
      <c r="BW310" s="6" t="e">
        <f t="shared" si="229"/>
        <v>#N/A</v>
      </c>
      <c r="BX310" s="9">
        <f t="shared" ca="1" si="230"/>
        <v>-156.7666765884093</v>
      </c>
      <c r="BY310" s="9">
        <f t="shared" ca="1" si="231"/>
        <v>84.412825855297342</v>
      </c>
      <c r="BZ310" s="9">
        <f t="shared" ca="1" si="232"/>
        <v>0</v>
      </c>
      <c r="CA310" s="6">
        <f t="shared" ca="1" si="233"/>
        <v>0</v>
      </c>
      <c r="CB310" s="6" t="e">
        <f t="shared" ca="1" si="234"/>
        <v>#DIV/0!</v>
      </c>
      <c r="CC310" s="6" t="e">
        <f t="shared" ca="1" si="235"/>
        <v>#DIV/0!</v>
      </c>
      <c r="CD310" s="9">
        <f t="shared" si="236"/>
        <v>-50</v>
      </c>
      <c r="CE310" s="9">
        <f t="shared" si="237"/>
        <v>0</v>
      </c>
      <c r="CF310" s="6">
        <f t="shared" si="238"/>
        <v>3.1415926535897931</v>
      </c>
      <c r="CG310" s="6"/>
      <c r="CH310" s="6"/>
      <c r="CI310" s="6"/>
      <c r="CJ310" s="1"/>
      <c r="CK310" s="6"/>
    </row>
    <row r="311" spans="55:89" x14ac:dyDescent="0.25">
      <c r="BC311"/>
      <c r="BD311"/>
      <c r="BF311" s="6" t="e">
        <f t="shared" si="225"/>
        <v>#N/A</v>
      </c>
      <c r="BG311" s="6" t="e">
        <f t="shared" si="226"/>
        <v>#N/A</v>
      </c>
      <c r="BH311" s="6" t="e">
        <f t="shared" si="227"/>
        <v>#N/A</v>
      </c>
      <c r="BI311" s="6" t="e">
        <f t="shared" si="228"/>
        <v>#N/A</v>
      </c>
      <c r="BV311" s="37"/>
      <c r="BW311" s="6" t="e">
        <f t="shared" si="229"/>
        <v>#N/A</v>
      </c>
      <c r="BX311" s="9">
        <f t="shared" ca="1" si="230"/>
        <v>-156.7666765884093</v>
      </c>
      <c r="BY311" s="9">
        <f t="shared" ca="1" si="231"/>
        <v>84.412825855297342</v>
      </c>
      <c r="BZ311" s="9">
        <f t="shared" ca="1" si="232"/>
        <v>0</v>
      </c>
      <c r="CA311" s="6">
        <f t="shared" ca="1" si="233"/>
        <v>0</v>
      </c>
      <c r="CB311" s="6" t="e">
        <f t="shared" ca="1" si="234"/>
        <v>#DIV/0!</v>
      </c>
      <c r="CC311" s="6" t="e">
        <f t="shared" ca="1" si="235"/>
        <v>#DIV/0!</v>
      </c>
      <c r="CD311" s="9">
        <f t="shared" si="236"/>
        <v>-50</v>
      </c>
      <c r="CE311" s="9">
        <f t="shared" si="237"/>
        <v>0</v>
      </c>
      <c r="CF311" s="6">
        <f t="shared" si="238"/>
        <v>3.1415926535897931</v>
      </c>
      <c r="CG311" s="6"/>
      <c r="CH311" s="6"/>
      <c r="CI311" s="6"/>
      <c r="CJ311" s="1"/>
      <c r="CK311" s="6"/>
    </row>
    <row r="312" spans="55:89" x14ac:dyDescent="0.25">
      <c r="BC312"/>
      <c r="BD312"/>
      <c r="BF312" s="6" t="e">
        <f t="shared" si="225"/>
        <v>#N/A</v>
      </c>
      <c r="BG312" s="6" t="e">
        <f t="shared" si="226"/>
        <v>#N/A</v>
      </c>
      <c r="BH312" s="6" t="e">
        <f t="shared" si="227"/>
        <v>#N/A</v>
      </c>
      <c r="BI312" s="6" t="e">
        <f t="shared" si="228"/>
        <v>#N/A</v>
      </c>
      <c r="BV312" s="37"/>
      <c r="BW312" s="6" t="e">
        <f t="shared" si="229"/>
        <v>#N/A</v>
      </c>
      <c r="BX312" s="9">
        <f t="shared" ca="1" si="230"/>
        <v>-156.7666765884093</v>
      </c>
      <c r="BY312" s="9">
        <f t="shared" ca="1" si="231"/>
        <v>84.412825855297342</v>
      </c>
      <c r="BZ312" s="9">
        <f t="shared" ca="1" si="232"/>
        <v>0</v>
      </c>
      <c r="CA312" s="6">
        <f t="shared" ca="1" si="233"/>
        <v>0</v>
      </c>
      <c r="CB312" s="6" t="e">
        <f t="shared" ca="1" si="234"/>
        <v>#DIV/0!</v>
      </c>
      <c r="CC312" s="6" t="e">
        <f t="shared" ca="1" si="235"/>
        <v>#DIV/0!</v>
      </c>
      <c r="CD312" s="9">
        <f t="shared" si="236"/>
        <v>-50</v>
      </c>
      <c r="CE312" s="9">
        <f t="shared" si="237"/>
        <v>0</v>
      </c>
      <c r="CF312" s="6">
        <f t="shared" si="238"/>
        <v>3.1415926535897931</v>
      </c>
      <c r="CG312" s="6"/>
      <c r="CH312" s="6"/>
      <c r="CI312" s="6"/>
      <c r="CJ312" s="1"/>
      <c r="CK312" s="6"/>
    </row>
    <row r="313" spans="55:89" x14ac:dyDescent="0.25">
      <c r="BC313"/>
      <c r="BD313"/>
      <c r="BF313" s="6" t="e">
        <f t="shared" si="225"/>
        <v>#N/A</v>
      </c>
      <c r="BG313" s="6" t="e">
        <f t="shared" si="226"/>
        <v>#N/A</v>
      </c>
      <c r="BH313" s="6" t="e">
        <f t="shared" si="227"/>
        <v>#N/A</v>
      </c>
      <c r="BI313" s="6" t="e">
        <f t="shared" si="228"/>
        <v>#N/A</v>
      </c>
      <c r="BV313" s="37"/>
      <c r="BW313" s="6" t="e">
        <f t="shared" si="229"/>
        <v>#N/A</v>
      </c>
      <c r="BX313" s="9">
        <f t="shared" ca="1" si="230"/>
        <v>-156.7666765884093</v>
      </c>
      <c r="BY313" s="9">
        <f t="shared" ca="1" si="231"/>
        <v>84.412825855297342</v>
      </c>
      <c r="BZ313" s="9">
        <f t="shared" ca="1" si="232"/>
        <v>0</v>
      </c>
      <c r="CA313" s="6">
        <f t="shared" ca="1" si="233"/>
        <v>0</v>
      </c>
      <c r="CB313" s="6" t="e">
        <f t="shared" ca="1" si="234"/>
        <v>#DIV/0!</v>
      </c>
      <c r="CC313" s="6" t="e">
        <f t="shared" ca="1" si="235"/>
        <v>#DIV/0!</v>
      </c>
      <c r="CD313" s="9">
        <f t="shared" si="236"/>
        <v>-50</v>
      </c>
      <c r="CE313" s="9">
        <f t="shared" si="237"/>
        <v>0</v>
      </c>
      <c r="CF313" s="6">
        <f t="shared" si="238"/>
        <v>3.1415926535897931</v>
      </c>
      <c r="CG313" s="6"/>
      <c r="CH313" s="6"/>
      <c r="CI313" s="6"/>
      <c r="CJ313" s="1"/>
      <c r="CK313" s="6"/>
    </row>
    <row r="314" spans="55:89" x14ac:dyDescent="0.25">
      <c r="BC314"/>
      <c r="BD314"/>
      <c r="BF314" s="6" t="e">
        <f t="shared" si="225"/>
        <v>#N/A</v>
      </c>
      <c r="BG314" s="6" t="e">
        <f t="shared" si="226"/>
        <v>#N/A</v>
      </c>
      <c r="BH314" s="6" t="e">
        <f t="shared" si="227"/>
        <v>#N/A</v>
      </c>
      <c r="BI314" s="6" t="e">
        <f t="shared" si="228"/>
        <v>#N/A</v>
      </c>
      <c r="BV314" s="37"/>
      <c r="BW314" s="6" t="e">
        <f t="shared" si="229"/>
        <v>#N/A</v>
      </c>
      <c r="BX314" s="9">
        <f t="shared" ca="1" si="230"/>
        <v>-156.7666765884093</v>
      </c>
      <c r="BY314" s="9">
        <f t="shared" ca="1" si="231"/>
        <v>84.412825855297342</v>
      </c>
      <c r="BZ314" s="9">
        <f t="shared" ca="1" si="232"/>
        <v>0</v>
      </c>
      <c r="CA314" s="6">
        <f t="shared" ca="1" si="233"/>
        <v>0</v>
      </c>
      <c r="CB314" s="6" t="e">
        <f t="shared" ca="1" si="234"/>
        <v>#DIV/0!</v>
      </c>
      <c r="CC314" s="6" t="e">
        <f t="shared" ca="1" si="235"/>
        <v>#DIV/0!</v>
      </c>
      <c r="CD314" s="9">
        <f t="shared" si="236"/>
        <v>-50</v>
      </c>
      <c r="CE314" s="9">
        <f t="shared" si="237"/>
        <v>0</v>
      </c>
      <c r="CF314" s="6">
        <f t="shared" si="238"/>
        <v>3.1415926535897931</v>
      </c>
      <c r="CG314" s="6"/>
      <c r="CH314" s="6"/>
      <c r="CI314" s="6"/>
      <c r="CJ314" s="1"/>
      <c r="CK314" s="6"/>
    </row>
    <row r="315" spans="55:89" x14ac:dyDescent="0.25">
      <c r="BC315"/>
      <c r="BD315"/>
      <c r="BF315" s="6" t="e">
        <f t="shared" si="225"/>
        <v>#N/A</v>
      </c>
      <c r="BG315" s="6" t="e">
        <f t="shared" si="226"/>
        <v>#N/A</v>
      </c>
      <c r="BH315" s="6" t="e">
        <f t="shared" si="227"/>
        <v>#N/A</v>
      </c>
      <c r="BI315" s="6" t="e">
        <f t="shared" si="228"/>
        <v>#N/A</v>
      </c>
      <c r="BV315" s="37"/>
      <c r="BW315" s="6" t="e">
        <f t="shared" si="229"/>
        <v>#N/A</v>
      </c>
      <c r="BX315" s="9">
        <f t="shared" ca="1" si="230"/>
        <v>-156.7666765884093</v>
      </c>
      <c r="BY315" s="9">
        <f t="shared" ca="1" si="231"/>
        <v>84.412825855297342</v>
      </c>
      <c r="BZ315" s="9">
        <f t="shared" ca="1" si="232"/>
        <v>0</v>
      </c>
      <c r="CA315" s="6">
        <f t="shared" ca="1" si="233"/>
        <v>0</v>
      </c>
      <c r="CB315" s="6" t="e">
        <f t="shared" ca="1" si="234"/>
        <v>#DIV/0!</v>
      </c>
      <c r="CC315" s="6" t="e">
        <f t="shared" ca="1" si="235"/>
        <v>#DIV/0!</v>
      </c>
      <c r="CD315" s="9">
        <f t="shared" si="236"/>
        <v>-50</v>
      </c>
      <c r="CE315" s="9">
        <f t="shared" si="237"/>
        <v>0</v>
      </c>
      <c r="CF315" s="6">
        <f t="shared" si="238"/>
        <v>3.1415926535897931</v>
      </c>
      <c r="CG315" s="6"/>
      <c r="CH315" s="6"/>
      <c r="CI315" s="6"/>
      <c r="CJ315" s="1"/>
      <c r="CK315" s="6"/>
    </row>
    <row r="316" spans="55:89" x14ac:dyDescent="0.25">
      <c r="BC316"/>
      <c r="BD316"/>
      <c r="BF316" s="6" t="e">
        <f t="shared" si="225"/>
        <v>#N/A</v>
      </c>
      <c r="BG316" s="6" t="e">
        <f t="shared" si="226"/>
        <v>#N/A</v>
      </c>
      <c r="BH316" s="6" t="e">
        <f t="shared" si="227"/>
        <v>#N/A</v>
      </c>
      <c r="BI316" s="6" t="e">
        <f t="shared" si="228"/>
        <v>#N/A</v>
      </c>
      <c r="BV316" s="37"/>
      <c r="BW316" s="6" t="e">
        <f t="shared" si="229"/>
        <v>#N/A</v>
      </c>
      <c r="BX316" s="9">
        <f t="shared" ca="1" si="230"/>
        <v>-156.7666765884093</v>
      </c>
      <c r="BY316" s="9">
        <f t="shared" ca="1" si="231"/>
        <v>84.412825855297342</v>
      </c>
      <c r="BZ316" s="9">
        <f t="shared" ca="1" si="232"/>
        <v>0</v>
      </c>
      <c r="CA316" s="6">
        <f t="shared" ca="1" si="233"/>
        <v>0</v>
      </c>
      <c r="CB316" s="6" t="e">
        <f t="shared" ca="1" si="234"/>
        <v>#DIV/0!</v>
      </c>
      <c r="CC316" s="6" t="e">
        <f t="shared" ca="1" si="235"/>
        <v>#DIV/0!</v>
      </c>
      <c r="CD316" s="9">
        <f t="shared" si="236"/>
        <v>-50</v>
      </c>
      <c r="CE316" s="9">
        <f t="shared" si="237"/>
        <v>0</v>
      </c>
      <c r="CF316" s="6">
        <f t="shared" si="238"/>
        <v>3.1415926535897931</v>
      </c>
      <c r="CG316" s="6"/>
      <c r="CH316" s="6"/>
      <c r="CI316" s="6"/>
      <c r="CJ316" s="1"/>
      <c r="CK316" s="6"/>
    </row>
    <row r="317" spans="55:89" x14ac:dyDescent="0.25">
      <c r="BC317"/>
      <c r="BD317"/>
      <c r="BF317" s="6" t="e">
        <f t="shared" si="225"/>
        <v>#N/A</v>
      </c>
      <c r="BG317" s="6" t="e">
        <f t="shared" si="226"/>
        <v>#N/A</v>
      </c>
      <c r="BH317" s="6" t="e">
        <f t="shared" si="227"/>
        <v>#N/A</v>
      </c>
      <c r="BI317" s="6" t="e">
        <f t="shared" si="228"/>
        <v>#N/A</v>
      </c>
      <c r="BV317" s="37"/>
      <c r="BW317" s="6" t="e">
        <f t="shared" si="229"/>
        <v>#N/A</v>
      </c>
      <c r="BX317" s="9">
        <f t="shared" ca="1" si="230"/>
        <v>-156.7666765884093</v>
      </c>
      <c r="BY317" s="9">
        <f t="shared" ca="1" si="231"/>
        <v>84.412825855297342</v>
      </c>
      <c r="BZ317" s="9">
        <f t="shared" ca="1" si="232"/>
        <v>0</v>
      </c>
      <c r="CA317" s="6">
        <f t="shared" ca="1" si="233"/>
        <v>0</v>
      </c>
      <c r="CB317" s="6" t="e">
        <f t="shared" ca="1" si="234"/>
        <v>#DIV/0!</v>
      </c>
      <c r="CC317" s="6" t="e">
        <f t="shared" ca="1" si="235"/>
        <v>#DIV/0!</v>
      </c>
      <c r="CD317" s="9">
        <f t="shared" si="236"/>
        <v>-50</v>
      </c>
      <c r="CE317" s="9">
        <f t="shared" si="237"/>
        <v>0</v>
      </c>
      <c r="CF317" s="6">
        <f t="shared" si="238"/>
        <v>3.1415926535897931</v>
      </c>
      <c r="CG317" s="6"/>
      <c r="CH317" s="6"/>
      <c r="CI317" s="6"/>
      <c r="CJ317" s="1"/>
      <c r="CK317" s="6"/>
    </row>
    <row r="318" spans="55:89" x14ac:dyDescent="0.25">
      <c r="BC318"/>
      <c r="BD318"/>
      <c r="BF318" s="6" t="e">
        <f t="shared" si="225"/>
        <v>#N/A</v>
      </c>
      <c r="BG318" s="6" t="e">
        <f t="shared" si="226"/>
        <v>#N/A</v>
      </c>
      <c r="BH318" s="6" t="e">
        <f t="shared" si="227"/>
        <v>#N/A</v>
      </c>
      <c r="BI318" s="6" t="e">
        <f t="shared" si="228"/>
        <v>#N/A</v>
      </c>
      <c r="BV318" s="37"/>
      <c r="BW318" s="6" t="e">
        <f t="shared" si="229"/>
        <v>#N/A</v>
      </c>
      <c r="BX318" s="9">
        <f t="shared" ca="1" si="230"/>
        <v>-156.7666765884093</v>
      </c>
      <c r="BY318" s="9">
        <f t="shared" ca="1" si="231"/>
        <v>84.412825855297342</v>
      </c>
      <c r="BZ318" s="9">
        <f t="shared" ca="1" si="232"/>
        <v>0</v>
      </c>
      <c r="CA318" s="6">
        <f t="shared" ca="1" si="233"/>
        <v>0</v>
      </c>
      <c r="CB318" s="6" t="e">
        <f t="shared" ca="1" si="234"/>
        <v>#DIV/0!</v>
      </c>
      <c r="CC318" s="6" t="e">
        <f t="shared" ca="1" si="235"/>
        <v>#DIV/0!</v>
      </c>
      <c r="CD318" s="9">
        <f t="shared" si="236"/>
        <v>-50</v>
      </c>
      <c r="CE318" s="9">
        <f t="shared" si="237"/>
        <v>0</v>
      </c>
      <c r="CF318" s="6">
        <f t="shared" si="238"/>
        <v>3.1415926535897931</v>
      </c>
      <c r="CG318" s="6"/>
      <c r="CH318" s="6"/>
      <c r="CI318" s="6"/>
      <c r="CJ318" s="1"/>
      <c r="CK318" s="6"/>
    </row>
    <row r="319" spans="55:89" x14ac:dyDescent="0.25">
      <c r="BC319"/>
      <c r="BD319"/>
      <c r="BF319" s="6" t="e">
        <f t="shared" si="225"/>
        <v>#N/A</v>
      </c>
      <c r="BG319" s="6" t="e">
        <f t="shared" si="226"/>
        <v>#N/A</v>
      </c>
      <c r="BH319" s="6" t="e">
        <f t="shared" si="227"/>
        <v>#N/A</v>
      </c>
      <c r="BI319" s="6" t="e">
        <f t="shared" si="228"/>
        <v>#N/A</v>
      </c>
      <c r="BV319" s="37"/>
      <c r="BW319" s="6" t="e">
        <f t="shared" si="229"/>
        <v>#N/A</v>
      </c>
      <c r="BX319" s="9">
        <f t="shared" ca="1" si="230"/>
        <v>-156.7666765884093</v>
      </c>
      <c r="BY319" s="9">
        <f t="shared" ca="1" si="231"/>
        <v>84.412825855297342</v>
      </c>
      <c r="BZ319" s="9">
        <f t="shared" ca="1" si="232"/>
        <v>0</v>
      </c>
      <c r="CA319" s="6">
        <f t="shared" ca="1" si="233"/>
        <v>0</v>
      </c>
      <c r="CB319" s="6" t="e">
        <f t="shared" ca="1" si="234"/>
        <v>#DIV/0!</v>
      </c>
      <c r="CC319" s="6" t="e">
        <f t="shared" ca="1" si="235"/>
        <v>#DIV/0!</v>
      </c>
      <c r="CD319" s="9">
        <f t="shared" si="236"/>
        <v>-50</v>
      </c>
      <c r="CE319" s="9">
        <f t="shared" si="237"/>
        <v>0</v>
      </c>
      <c r="CF319" s="6">
        <f t="shared" si="238"/>
        <v>3.1415926535897931</v>
      </c>
      <c r="CG319" s="6"/>
      <c r="CH319" s="6"/>
      <c r="CI319" s="6"/>
      <c r="CJ319" s="1"/>
      <c r="CK319" s="6"/>
    </row>
    <row r="320" spans="55:89" x14ac:dyDescent="0.25">
      <c r="BC320"/>
      <c r="BD320"/>
      <c r="BF320" s="6" t="e">
        <f t="shared" si="225"/>
        <v>#N/A</v>
      </c>
      <c r="BG320" s="6" t="e">
        <f t="shared" si="226"/>
        <v>#N/A</v>
      </c>
      <c r="BH320" s="6" t="e">
        <f t="shared" si="227"/>
        <v>#N/A</v>
      </c>
      <c r="BI320" s="6" t="e">
        <f t="shared" si="228"/>
        <v>#N/A</v>
      </c>
      <c r="BV320" s="37"/>
      <c r="BW320" s="6" t="e">
        <f t="shared" si="229"/>
        <v>#N/A</v>
      </c>
      <c r="BX320" s="9">
        <f t="shared" ca="1" si="230"/>
        <v>-156.7666765884093</v>
      </c>
      <c r="BY320" s="9">
        <f t="shared" ca="1" si="231"/>
        <v>84.412825855297342</v>
      </c>
      <c r="BZ320" s="9">
        <f t="shared" ca="1" si="232"/>
        <v>0</v>
      </c>
      <c r="CA320" s="6">
        <f t="shared" ca="1" si="233"/>
        <v>0</v>
      </c>
      <c r="CB320" s="6" t="e">
        <f t="shared" ca="1" si="234"/>
        <v>#DIV/0!</v>
      </c>
      <c r="CC320" s="6" t="e">
        <f t="shared" ca="1" si="235"/>
        <v>#DIV/0!</v>
      </c>
      <c r="CD320" s="9">
        <f t="shared" si="236"/>
        <v>-50</v>
      </c>
      <c r="CE320" s="9">
        <f t="shared" si="237"/>
        <v>0</v>
      </c>
      <c r="CF320" s="6">
        <f t="shared" si="238"/>
        <v>3.1415926535897931</v>
      </c>
      <c r="CG320" s="6"/>
      <c r="CH320" s="6"/>
      <c r="CI320" s="6"/>
      <c r="CJ320" s="1"/>
      <c r="CK320" s="6"/>
    </row>
    <row r="321" spans="55:89" x14ac:dyDescent="0.25">
      <c r="BC321"/>
      <c r="BD321"/>
      <c r="BF321" s="6" t="e">
        <f t="shared" si="225"/>
        <v>#N/A</v>
      </c>
      <c r="BG321" s="6" t="e">
        <f t="shared" si="226"/>
        <v>#N/A</v>
      </c>
      <c r="BH321" s="6" t="e">
        <f t="shared" si="227"/>
        <v>#N/A</v>
      </c>
      <c r="BI321" s="6" t="e">
        <f t="shared" si="228"/>
        <v>#N/A</v>
      </c>
      <c r="BV321" s="37"/>
      <c r="BW321" s="6" t="e">
        <f t="shared" si="229"/>
        <v>#N/A</v>
      </c>
      <c r="BX321" s="9">
        <f t="shared" ca="1" si="230"/>
        <v>-156.7666765884093</v>
      </c>
      <c r="BY321" s="9">
        <f t="shared" ca="1" si="231"/>
        <v>84.412825855297342</v>
      </c>
      <c r="BZ321" s="9">
        <f t="shared" ca="1" si="232"/>
        <v>0</v>
      </c>
      <c r="CA321" s="6">
        <f t="shared" ca="1" si="233"/>
        <v>0</v>
      </c>
      <c r="CB321" s="6" t="e">
        <f t="shared" ca="1" si="234"/>
        <v>#DIV/0!</v>
      </c>
      <c r="CC321" s="6" t="e">
        <f t="shared" ca="1" si="235"/>
        <v>#DIV/0!</v>
      </c>
      <c r="CD321" s="9">
        <f t="shared" si="236"/>
        <v>-50</v>
      </c>
      <c r="CE321" s="9">
        <f t="shared" si="237"/>
        <v>0</v>
      </c>
      <c r="CF321" s="6">
        <f t="shared" si="238"/>
        <v>3.1415926535897931</v>
      </c>
      <c r="CG321" s="6"/>
      <c r="CH321" s="6"/>
      <c r="CI321" s="6"/>
      <c r="CJ321" s="1"/>
      <c r="CK321" s="6"/>
    </row>
    <row r="322" spans="55:89" x14ac:dyDescent="0.25">
      <c r="BC322"/>
      <c r="BD322"/>
      <c r="BF322" s="6" t="e">
        <f t="shared" si="225"/>
        <v>#N/A</v>
      </c>
      <c r="BG322" s="6" t="e">
        <f t="shared" si="226"/>
        <v>#N/A</v>
      </c>
      <c r="BH322" s="6" t="e">
        <f t="shared" si="227"/>
        <v>#N/A</v>
      </c>
      <c r="BI322" s="6" t="e">
        <f t="shared" si="228"/>
        <v>#N/A</v>
      </c>
      <c r="BV322" s="37"/>
      <c r="BW322" s="6" t="e">
        <f t="shared" si="229"/>
        <v>#N/A</v>
      </c>
      <c r="BX322" s="9">
        <f t="shared" ca="1" si="230"/>
        <v>-156.7666765884093</v>
      </c>
      <c r="BY322" s="9">
        <f t="shared" ca="1" si="231"/>
        <v>84.412825855297342</v>
      </c>
      <c r="BZ322" s="9">
        <f t="shared" ca="1" si="232"/>
        <v>0</v>
      </c>
      <c r="CA322" s="6">
        <f t="shared" ca="1" si="233"/>
        <v>0</v>
      </c>
      <c r="CB322" s="6" t="e">
        <f t="shared" ca="1" si="234"/>
        <v>#DIV/0!</v>
      </c>
      <c r="CC322" s="6" t="e">
        <f t="shared" ca="1" si="235"/>
        <v>#DIV/0!</v>
      </c>
      <c r="CD322" s="9">
        <f t="shared" si="236"/>
        <v>-50</v>
      </c>
      <c r="CE322" s="9">
        <f t="shared" si="237"/>
        <v>0</v>
      </c>
      <c r="CF322" s="6">
        <f t="shared" si="238"/>
        <v>3.1415926535897931</v>
      </c>
      <c r="CG322" s="6"/>
      <c r="CH322" s="6"/>
      <c r="CI322" s="6"/>
      <c r="CJ322" s="1"/>
      <c r="CK322" s="6"/>
    </row>
    <row r="323" spans="55:89" x14ac:dyDescent="0.25">
      <c r="BC323"/>
      <c r="BD323"/>
      <c r="BF323" s="6" t="e">
        <f t="shared" ref="BF323:BF362" si="239">IF(BC323&lt;&gt;"",IF(AND(BD323=0,BE323=0),0,MOD(ATAN2(BD323,BE323),2*PI())),NA())</f>
        <v>#N/A</v>
      </c>
      <c r="BG323" s="6" t="e">
        <f t="shared" ref="BG323:BG362" si="240">ABS(BC323-BF323)</f>
        <v>#N/A</v>
      </c>
      <c r="BH323" s="6" t="e">
        <f t="shared" ref="BH323:BH362" si="241">ATAN2(COS($U$13-BF323),SIN($U$13-BF323))</f>
        <v>#N/A</v>
      </c>
      <c r="BI323" s="6" t="e">
        <f t="shared" ref="BI323:BI362" si="242">ABS(BH323)</f>
        <v>#N/A</v>
      </c>
      <c r="BV323" s="37"/>
      <c r="BW323" s="6" t="e">
        <f t="shared" si="229"/>
        <v>#N/A</v>
      </c>
      <c r="BX323" s="9">
        <f t="shared" ca="1" si="230"/>
        <v>-156.7666765884093</v>
      </c>
      <c r="BY323" s="9">
        <f t="shared" ca="1" si="231"/>
        <v>84.412825855297342</v>
      </c>
      <c r="BZ323" s="9">
        <f t="shared" ca="1" si="232"/>
        <v>0</v>
      </c>
      <c r="CA323" s="6">
        <f t="shared" ca="1" si="233"/>
        <v>0</v>
      </c>
      <c r="CB323" s="6" t="e">
        <f t="shared" ca="1" si="234"/>
        <v>#DIV/0!</v>
      </c>
      <c r="CC323" s="6" t="e">
        <f t="shared" ca="1" si="235"/>
        <v>#DIV/0!</v>
      </c>
      <c r="CD323" s="9">
        <f t="shared" si="236"/>
        <v>-50</v>
      </c>
      <c r="CE323" s="9">
        <f t="shared" si="237"/>
        <v>0</v>
      </c>
      <c r="CF323" s="6">
        <f t="shared" si="238"/>
        <v>3.1415926535897931</v>
      </c>
      <c r="CG323" s="6"/>
      <c r="CH323" s="6"/>
      <c r="CI323" s="6"/>
      <c r="CJ323" s="1"/>
      <c r="CK323" s="6"/>
    </row>
    <row r="324" spans="55:89" x14ac:dyDescent="0.25">
      <c r="BC324"/>
      <c r="BD324"/>
      <c r="BF324" s="6" t="e">
        <f t="shared" si="239"/>
        <v>#N/A</v>
      </c>
      <c r="BG324" s="6" t="e">
        <f t="shared" si="240"/>
        <v>#N/A</v>
      </c>
      <c r="BH324" s="6" t="e">
        <f t="shared" si="241"/>
        <v>#N/A</v>
      </c>
      <c r="BI324" s="6" t="e">
        <f t="shared" si="242"/>
        <v>#N/A</v>
      </c>
      <c r="BV324" s="37"/>
      <c r="BW324" s="6" t="e">
        <f t="shared" si="229"/>
        <v>#N/A</v>
      </c>
      <c r="BX324" s="9">
        <f t="shared" ca="1" si="230"/>
        <v>-156.7666765884093</v>
      </c>
      <c r="BY324" s="9">
        <f t="shared" ca="1" si="231"/>
        <v>84.412825855297342</v>
      </c>
      <c r="BZ324" s="9">
        <f t="shared" ca="1" si="232"/>
        <v>0</v>
      </c>
      <c r="CA324" s="6">
        <f t="shared" ca="1" si="233"/>
        <v>0</v>
      </c>
      <c r="CB324" s="6" t="e">
        <f t="shared" ca="1" si="234"/>
        <v>#DIV/0!</v>
      </c>
      <c r="CC324" s="6" t="e">
        <f t="shared" ca="1" si="235"/>
        <v>#DIV/0!</v>
      </c>
      <c r="CD324" s="9">
        <f t="shared" si="236"/>
        <v>-50</v>
      </c>
      <c r="CE324" s="9">
        <f t="shared" si="237"/>
        <v>0</v>
      </c>
      <c r="CF324" s="6">
        <f t="shared" si="238"/>
        <v>3.1415926535897931</v>
      </c>
      <c r="CG324" s="6"/>
      <c r="CH324" s="6"/>
      <c r="CI324" s="6"/>
      <c r="CJ324" s="1"/>
      <c r="CK324" s="6"/>
    </row>
    <row r="325" spans="55:89" x14ac:dyDescent="0.25">
      <c r="BC325"/>
      <c r="BD325"/>
      <c r="BF325" s="6" t="e">
        <f t="shared" si="239"/>
        <v>#N/A</v>
      </c>
      <c r="BG325" s="6" t="e">
        <f t="shared" si="240"/>
        <v>#N/A</v>
      </c>
      <c r="BH325" s="6" t="e">
        <f t="shared" si="241"/>
        <v>#N/A</v>
      </c>
      <c r="BI325" s="6" t="e">
        <f t="shared" si="242"/>
        <v>#N/A</v>
      </c>
      <c r="BV325" s="37"/>
      <c r="BW325" s="6" t="e">
        <f t="shared" si="229"/>
        <v>#N/A</v>
      </c>
      <c r="BX325" s="9">
        <f t="shared" ca="1" si="230"/>
        <v>-156.7666765884093</v>
      </c>
      <c r="BY325" s="9">
        <f t="shared" ca="1" si="231"/>
        <v>84.412825855297342</v>
      </c>
      <c r="BZ325" s="9">
        <f t="shared" ca="1" si="232"/>
        <v>0</v>
      </c>
      <c r="CA325" s="6">
        <f t="shared" ca="1" si="233"/>
        <v>0</v>
      </c>
      <c r="CB325" s="6" t="e">
        <f t="shared" ca="1" si="234"/>
        <v>#DIV/0!</v>
      </c>
      <c r="CC325" s="6" t="e">
        <f t="shared" ca="1" si="235"/>
        <v>#DIV/0!</v>
      </c>
      <c r="CD325" s="9">
        <f t="shared" si="236"/>
        <v>-50</v>
      </c>
      <c r="CE325" s="9">
        <f t="shared" si="237"/>
        <v>0</v>
      </c>
      <c r="CF325" s="6">
        <f t="shared" si="238"/>
        <v>3.1415926535897931</v>
      </c>
      <c r="CG325" s="6"/>
      <c r="CH325" s="6"/>
      <c r="CI325" s="6"/>
      <c r="CJ325" s="1"/>
      <c r="CK325" s="6"/>
    </row>
    <row r="326" spans="55:89" x14ac:dyDescent="0.25">
      <c r="BC326"/>
      <c r="BD326"/>
      <c r="BF326" s="6" t="e">
        <f t="shared" si="239"/>
        <v>#N/A</v>
      </c>
      <c r="BG326" s="6" t="e">
        <f t="shared" si="240"/>
        <v>#N/A</v>
      </c>
      <c r="BH326" s="6" t="e">
        <f t="shared" si="241"/>
        <v>#N/A</v>
      </c>
      <c r="BI326" s="6" t="e">
        <f t="shared" si="242"/>
        <v>#N/A</v>
      </c>
      <c r="BV326" s="37"/>
      <c r="BW326" s="6" t="e">
        <f t="shared" si="229"/>
        <v>#N/A</v>
      </c>
      <c r="BX326" s="9">
        <f t="shared" ca="1" si="230"/>
        <v>-156.7666765884093</v>
      </c>
      <c r="BY326" s="9">
        <f t="shared" ca="1" si="231"/>
        <v>84.412825855297342</v>
      </c>
      <c r="BZ326" s="9">
        <f t="shared" ca="1" si="232"/>
        <v>0</v>
      </c>
      <c r="CA326" s="6">
        <f t="shared" ca="1" si="233"/>
        <v>0</v>
      </c>
      <c r="CB326" s="6" t="e">
        <f t="shared" ca="1" si="234"/>
        <v>#DIV/0!</v>
      </c>
      <c r="CC326" s="6" t="e">
        <f t="shared" ca="1" si="235"/>
        <v>#DIV/0!</v>
      </c>
      <c r="CD326" s="9">
        <f t="shared" si="236"/>
        <v>-50</v>
      </c>
      <c r="CE326" s="9">
        <f t="shared" si="237"/>
        <v>0</v>
      </c>
      <c r="CF326" s="6">
        <f t="shared" si="238"/>
        <v>3.1415926535897931</v>
      </c>
      <c r="CG326" s="6"/>
      <c r="CH326" s="6"/>
      <c r="CI326" s="6"/>
      <c r="CJ326" s="1"/>
      <c r="CK326" s="6"/>
    </row>
    <row r="327" spans="55:89" x14ac:dyDescent="0.25">
      <c r="BC327"/>
      <c r="BD327"/>
      <c r="BF327" s="6" t="e">
        <f t="shared" si="239"/>
        <v>#N/A</v>
      </c>
      <c r="BG327" s="6" t="e">
        <f t="shared" si="240"/>
        <v>#N/A</v>
      </c>
      <c r="BH327" s="6" t="e">
        <f t="shared" si="241"/>
        <v>#N/A</v>
      </c>
      <c r="BI327" s="6" t="e">
        <f t="shared" si="242"/>
        <v>#N/A</v>
      </c>
      <c r="BV327" s="37"/>
      <c r="BW327" s="6" t="e">
        <f t="shared" si="229"/>
        <v>#N/A</v>
      </c>
      <c r="BX327" s="9">
        <f t="shared" ca="1" si="230"/>
        <v>-156.7666765884093</v>
      </c>
      <c r="BY327" s="9">
        <f t="shared" ca="1" si="231"/>
        <v>84.412825855297342</v>
      </c>
      <c r="BZ327" s="9">
        <f t="shared" ca="1" si="232"/>
        <v>0</v>
      </c>
      <c r="CA327" s="6">
        <f t="shared" ca="1" si="233"/>
        <v>0</v>
      </c>
      <c r="CB327" s="6" t="e">
        <f t="shared" ca="1" si="234"/>
        <v>#DIV/0!</v>
      </c>
      <c r="CC327" s="6" t="e">
        <f t="shared" ca="1" si="235"/>
        <v>#DIV/0!</v>
      </c>
      <c r="CD327" s="9">
        <f t="shared" si="236"/>
        <v>-50</v>
      </c>
      <c r="CE327" s="9">
        <f t="shared" si="237"/>
        <v>0</v>
      </c>
      <c r="CF327" s="6">
        <f t="shared" si="238"/>
        <v>3.1415926535897931</v>
      </c>
      <c r="CG327" s="6"/>
      <c r="CH327" s="6"/>
      <c r="CI327" s="6"/>
      <c r="CJ327" s="1"/>
      <c r="CK327" s="6"/>
    </row>
    <row r="328" spans="55:89" x14ac:dyDescent="0.25">
      <c r="BC328"/>
      <c r="BD328"/>
      <c r="BF328" s="6" t="e">
        <f t="shared" si="239"/>
        <v>#N/A</v>
      </c>
      <c r="BG328" s="6" t="e">
        <f t="shared" si="240"/>
        <v>#N/A</v>
      </c>
      <c r="BH328" s="6" t="e">
        <f t="shared" si="241"/>
        <v>#N/A</v>
      </c>
      <c r="BI328" s="6" t="e">
        <f t="shared" si="242"/>
        <v>#N/A</v>
      </c>
      <c r="BV328" s="37"/>
      <c r="BW328" s="6" t="e">
        <f t="shared" si="229"/>
        <v>#N/A</v>
      </c>
      <c r="BX328" s="9">
        <f t="shared" ca="1" si="230"/>
        <v>-156.7666765884093</v>
      </c>
      <c r="BY328" s="9">
        <f t="shared" ca="1" si="231"/>
        <v>84.412825855297342</v>
      </c>
      <c r="BZ328" s="9">
        <f t="shared" ca="1" si="232"/>
        <v>0</v>
      </c>
      <c r="CA328" s="6">
        <f t="shared" ca="1" si="233"/>
        <v>0</v>
      </c>
      <c r="CB328" s="6" t="e">
        <f t="shared" ca="1" si="234"/>
        <v>#DIV/0!</v>
      </c>
      <c r="CC328" s="6" t="e">
        <f t="shared" ca="1" si="235"/>
        <v>#DIV/0!</v>
      </c>
      <c r="CD328" s="9">
        <f t="shared" si="236"/>
        <v>-50</v>
      </c>
      <c r="CE328" s="9">
        <f t="shared" si="237"/>
        <v>0</v>
      </c>
      <c r="CF328" s="6">
        <f t="shared" si="238"/>
        <v>3.1415926535897931</v>
      </c>
      <c r="CG328" s="6"/>
      <c r="CH328" s="6"/>
      <c r="CI328" s="6"/>
      <c r="CJ328" s="1"/>
      <c r="CK328" s="6"/>
    </row>
    <row r="329" spans="55:89" x14ac:dyDescent="0.25">
      <c r="BC329"/>
      <c r="BD329"/>
      <c r="BF329" s="6" t="e">
        <f t="shared" si="239"/>
        <v>#N/A</v>
      </c>
      <c r="BG329" s="6" t="e">
        <f t="shared" si="240"/>
        <v>#N/A</v>
      </c>
      <c r="BH329" s="6" t="e">
        <f t="shared" si="241"/>
        <v>#N/A</v>
      </c>
      <c r="BI329" s="6" t="e">
        <f t="shared" si="242"/>
        <v>#N/A</v>
      </c>
      <c r="BV329" s="37"/>
      <c r="BW329" s="6" t="e">
        <f t="shared" si="229"/>
        <v>#N/A</v>
      </c>
      <c r="BX329" s="9">
        <f t="shared" ca="1" si="230"/>
        <v>-156.7666765884093</v>
      </c>
      <c r="BY329" s="9">
        <f t="shared" ca="1" si="231"/>
        <v>84.412825855297342</v>
      </c>
      <c r="BZ329" s="9">
        <f t="shared" ca="1" si="232"/>
        <v>0</v>
      </c>
      <c r="CA329" s="6">
        <f t="shared" ca="1" si="233"/>
        <v>0</v>
      </c>
      <c r="CB329" s="6" t="e">
        <f t="shared" ca="1" si="234"/>
        <v>#DIV/0!</v>
      </c>
      <c r="CC329" s="6" t="e">
        <f t="shared" ca="1" si="235"/>
        <v>#DIV/0!</v>
      </c>
      <c r="CD329" s="9">
        <f t="shared" si="236"/>
        <v>-50</v>
      </c>
      <c r="CE329" s="9">
        <f t="shared" si="237"/>
        <v>0</v>
      </c>
      <c r="CF329" s="6">
        <f t="shared" si="238"/>
        <v>3.1415926535897931</v>
      </c>
      <c r="CG329" s="6"/>
      <c r="CH329" s="6"/>
      <c r="CI329" s="6"/>
      <c r="CJ329" s="1"/>
      <c r="CK329" s="6"/>
    </row>
    <row r="330" spans="55:89" x14ac:dyDescent="0.25">
      <c r="BC330"/>
      <c r="BD330"/>
      <c r="BF330" s="6" t="e">
        <f t="shared" si="239"/>
        <v>#N/A</v>
      </c>
      <c r="BG330" s="6" t="e">
        <f t="shared" si="240"/>
        <v>#N/A</v>
      </c>
      <c r="BH330" s="6" t="e">
        <f t="shared" si="241"/>
        <v>#N/A</v>
      </c>
      <c r="BI330" s="6" t="e">
        <f t="shared" si="242"/>
        <v>#N/A</v>
      </c>
      <c r="BV330" s="37"/>
      <c r="BW330" s="6" t="e">
        <f t="shared" si="229"/>
        <v>#N/A</v>
      </c>
      <c r="BX330" s="9">
        <f t="shared" ca="1" si="230"/>
        <v>-156.7666765884093</v>
      </c>
      <c r="BY330" s="9">
        <f t="shared" ca="1" si="231"/>
        <v>84.412825855297342</v>
      </c>
      <c r="BZ330" s="9">
        <f t="shared" ca="1" si="232"/>
        <v>0</v>
      </c>
      <c r="CA330" s="6">
        <f t="shared" ca="1" si="233"/>
        <v>0</v>
      </c>
      <c r="CB330" s="6" t="e">
        <f t="shared" ca="1" si="234"/>
        <v>#DIV/0!</v>
      </c>
      <c r="CC330" s="6" t="e">
        <f t="shared" ca="1" si="235"/>
        <v>#DIV/0!</v>
      </c>
      <c r="CD330" s="9">
        <f t="shared" si="236"/>
        <v>-50</v>
      </c>
      <c r="CE330" s="9">
        <f t="shared" si="237"/>
        <v>0</v>
      </c>
      <c r="CF330" s="6">
        <f t="shared" si="238"/>
        <v>3.1415926535897931</v>
      </c>
      <c r="CG330" s="6"/>
      <c r="CH330" s="6"/>
      <c r="CI330" s="6"/>
      <c r="CJ330" s="1"/>
      <c r="CK330" s="6"/>
    </row>
    <row r="331" spans="55:89" x14ac:dyDescent="0.25">
      <c r="BC331"/>
      <c r="BD331"/>
      <c r="BF331" s="6" t="e">
        <f t="shared" si="239"/>
        <v>#N/A</v>
      </c>
      <c r="BG331" s="6" t="e">
        <f t="shared" si="240"/>
        <v>#N/A</v>
      </c>
      <c r="BH331" s="6" t="e">
        <f t="shared" si="241"/>
        <v>#N/A</v>
      </c>
      <c r="BI331" s="6" t="e">
        <f t="shared" si="242"/>
        <v>#N/A</v>
      </c>
      <c r="BV331" s="37"/>
      <c r="BW331" s="6" t="e">
        <f t="shared" si="229"/>
        <v>#N/A</v>
      </c>
      <c r="BX331" s="9">
        <f t="shared" ca="1" si="230"/>
        <v>-156.7666765884093</v>
      </c>
      <c r="BY331" s="9">
        <f t="shared" ca="1" si="231"/>
        <v>84.412825855297342</v>
      </c>
      <c r="BZ331" s="9">
        <f t="shared" ca="1" si="232"/>
        <v>0</v>
      </c>
      <c r="CA331" s="6">
        <f t="shared" ca="1" si="233"/>
        <v>0</v>
      </c>
      <c r="CB331" s="6" t="e">
        <f t="shared" ca="1" si="234"/>
        <v>#DIV/0!</v>
      </c>
      <c r="CC331" s="6" t="e">
        <f t="shared" ca="1" si="235"/>
        <v>#DIV/0!</v>
      </c>
      <c r="CD331" s="9">
        <f t="shared" si="236"/>
        <v>-50</v>
      </c>
      <c r="CE331" s="9">
        <f t="shared" si="237"/>
        <v>0</v>
      </c>
      <c r="CF331" s="6">
        <f t="shared" si="238"/>
        <v>3.1415926535897931</v>
      </c>
      <c r="CG331" s="6"/>
      <c r="CH331" s="6"/>
      <c r="CI331" s="6"/>
      <c r="CJ331" s="1"/>
      <c r="CK331" s="6"/>
    </row>
    <row r="332" spans="55:89" x14ac:dyDescent="0.25">
      <c r="BC332"/>
      <c r="BD332"/>
      <c r="BF332" s="6" t="e">
        <f t="shared" si="239"/>
        <v>#N/A</v>
      </c>
      <c r="BG332" s="6" t="e">
        <f t="shared" si="240"/>
        <v>#N/A</v>
      </c>
      <c r="BH332" s="6" t="e">
        <f t="shared" si="241"/>
        <v>#N/A</v>
      </c>
      <c r="BI332" s="6" t="e">
        <f t="shared" si="242"/>
        <v>#N/A</v>
      </c>
      <c r="BV332" s="37"/>
      <c r="BW332" s="6" t="e">
        <f t="shared" si="229"/>
        <v>#N/A</v>
      </c>
      <c r="BX332" s="9">
        <f t="shared" ca="1" si="230"/>
        <v>-156.7666765884093</v>
      </c>
      <c r="BY332" s="9">
        <f t="shared" ca="1" si="231"/>
        <v>84.412825855297342</v>
      </c>
      <c r="BZ332" s="9">
        <f t="shared" ca="1" si="232"/>
        <v>0</v>
      </c>
      <c r="CA332" s="6">
        <f t="shared" ca="1" si="233"/>
        <v>0</v>
      </c>
      <c r="CB332" s="6" t="e">
        <f t="shared" ca="1" si="234"/>
        <v>#DIV/0!</v>
      </c>
      <c r="CC332" s="6" t="e">
        <f t="shared" ca="1" si="235"/>
        <v>#DIV/0!</v>
      </c>
      <c r="CD332" s="9">
        <f t="shared" si="236"/>
        <v>-50</v>
      </c>
      <c r="CE332" s="9">
        <f t="shared" si="237"/>
        <v>0</v>
      </c>
      <c r="CF332" s="6">
        <f t="shared" si="238"/>
        <v>3.1415926535897931</v>
      </c>
      <c r="CG332" s="6"/>
      <c r="CH332" s="6"/>
      <c r="CI332" s="6"/>
      <c r="CJ332" s="1"/>
      <c r="CK332" s="6"/>
    </row>
    <row r="333" spans="55:89" x14ac:dyDescent="0.25">
      <c r="BC333"/>
      <c r="BD333"/>
      <c r="BF333" s="6" t="e">
        <f t="shared" si="239"/>
        <v>#N/A</v>
      </c>
      <c r="BG333" s="6" t="e">
        <f t="shared" si="240"/>
        <v>#N/A</v>
      </c>
      <c r="BH333" s="6" t="e">
        <f t="shared" si="241"/>
        <v>#N/A</v>
      </c>
      <c r="BI333" s="6" t="e">
        <f t="shared" si="242"/>
        <v>#N/A</v>
      </c>
      <c r="BV333" s="37"/>
      <c r="BW333" s="6" t="e">
        <f t="shared" si="229"/>
        <v>#N/A</v>
      </c>
      <c r="BX333" s="9">
        <f t="shared" ca="1" si="230"/>
        <v>-156.7666765884093</v>
      </c>
      <c r="BY333" s="9">
        <f t="shared" ca="1" si="231"/>
        <v>84.412825855297342</v>
      </c>
      <c r="BZ333" s="9">
        <f t="shared" ca="1" si="232"/>
        <v>0</v>
      </c>
      <c r="CA333" s="6">
        <f t="shared" ca="1" si="233"/>
        <v>0</v>
      </c>
      <c r="CB333" s="6" t="e">
        <f t="shared" ca="1" si="234"/>
        <v>#DIV/0!</v>
      </c>
      <c r="CC333" s="6" t="e">
        <f t="shared" ca="1" si="235"/>
        <v>#DIV/0!</v>
      </c>
      <c r="CD333" s="9">
        <f t="shared" si="236"/>
        <v>-50</v>
      </c>
      <c r="CE333" s="9">
        <f t="shared" si="237"/>
        <v>0</v>
      </c>
      <c r="CF333" s="6">
        <f t="shared" si="238"/>
        <v>3.1415926535897931</v>
      </c>
      <c r="CG333" s="6"/>
      <c r="CH333" s="6"/>
      <c r="CI333" s="6"/>
      <c r="CJ333" s="1"/>
      <c r="CK333" s="6"/>
    </row>
    <row r="334" spans="55:89" x14ac:dyDescent="0.25">
      <c r="BC334"/>
      <c r="BD334"/>
      <c r="BF334" s="6" t="e">
        <f t="shared" si="239"/>
        <v>#N/A</v>
      </c>
      <c r="BG334" s="6" t="e">
        <f t="shared" si="240"/>
        <v>#N/A</v>
      </c>
      <c r="BH334" s="6" t="e">
        <f t="shared" si="241"/>
        <v>#N/A</v>
      </c>
      <c r="BI334" s="6" t="e">
        <f t="shared" si="242"/>
        <v>#N/A</v>
      </c>
      <c r="BV334" s="37"/>
      <c r="BW334" s="6" t="e">
        <f t="shared" si="229"/>
        <v>#N/A</v>
      </c>
      <c r="BX334" s="9">
        <f t="shared" ca="1" si="230"/>
        <v>-156.7666765884093</v>
      </c>
      <c r="BY334" s="9">
        <f t="shared" ca="1" si="231"/>
        <v>84.412825855297342</v>
      </c>
      <c r="BZ334" s="9">
        <f t="shared" ca="1" si="232"/>
        <v>0</v>
      </c>
      <c r="CA334" s="6">
        <f t="shared" ca="1" si="233"/>
        <v>0</v>
      </c>
      <c r="CB334" s="6" t="e">
        <f t="shared" ca="1" si="234"/>
        <v>#DIV/0!</v>
      </c>
      <c r="CC334" s="6" t="e">
        <f t="shared" ca="1" si="235"/>
        <v>#DIV/0!</v>
      </c>
      <c r="CD334" s="9">
        <f t="shared" si="236"/>
        <v>-50</v>
      </c>
      <c r="CE334" s="9">
        <f t="shared" si="237"/>
        <v>0</v>
      </c>
      <c r="CF334" s="6">
        <f t="shared" si="238"/>
        <v>3.1415926535897931</v>
      </c>
      <c r="CG334" s="6"/>
      <c r="CH334" s="6"/>
      <c r="CI334" s="6"/>
      <c r="CJ334" s="1"/>
      <c r="CK334" s="6"/>
    </row>
    <row r="335" spans="55:89" x14ac:dyDescent="0.25">
      <c r="BC335"/>
      <c r="BD335"/>
      <c r="BF335" s="6" t="e">
        <f t="shared" si="239"/>
        <v>#N/A</v>
      </c>
      <c r="BG335" s="6" t="e">
        <f t="shared" si="240"/>
        <v>#N/A</v>
      </c>
      <c r="BH335" s="6" t="e">
        <f t="shared" si="241"/>
        <v>#N/A</v>
      </c>
      <c r="BI335" s="6" t="e">
        <f t="shared" si="242"/>
        <v>#N/A</v>
      </c>
      <c r="BV335" s="37"/>
      <c r="BW335" s="6" t="e">
        <f t="shared" si="229"/>
        <v>#N/A</v>
      </c>
      <c r="BX335" s="9">
        <f t="shared" ca="1" si="230"/>
        <v>-156.7666765884093</v>
      </c>
      <c r="BY335" s="9">
        <f t="shared" ca="1" si="231"/>
        <v>84.412825855297342</v>
      </c>
      <c r="BZ335" s="9">
        <f t="shared" ca="1" si="232"/>
        <v>0</v>
      </c>
      <c r="CA335" s="6">
        <f t="shared" ca="1" si="233"/>
        <v>0</v>
      </c>
      <c r="CB335" s="6" t="e">
        <f t="shared" ca="1" si="234"/>
        <v>#DIV/0!</v>
      </c>
      <c r="CC335" s="6" t="e">
        <f t="shared" ca="1" si="235"/>
        <v>#DIV/0!</v>
      </c>
      <c r="CD335" s="9">
        <f t="shared" si="236"/>
        <v>-50</v>
      </c>
      <c r="CE335" s="9">
        <f t="shared" si="237"/>
        <v>0</v>
      </c>
      <c r="CF335" s="6">
        <f t="shared" si="238"/>
        <v>3.1415926535897931</v>
      </c>
      <c r="CG335" s="6"/>
      <c r="CH335" s="6"/>
      <c r="CI335" s="6"/>
      <c r="CJ335" s="1"/>
      <c r="CK335" s="6"/>
    </row>
    <row r="336" spans="55:89" x14ac:dyDescent="0.25">
      <c r="BC336"/>
      <c r="BD336"/>
      <c r="BF336" s="6" t="e">
        <f t="shared" si="239"/>
        <v>#N/A</v>
      </c>
      <c r="BG336" s="6" t="e">
        <f t="shared" si="240"/>
        <v>#N/A</v>
      </c>
      <c r="BH336" s="6" t="e">
        <f t="shared" si="241"/>
        <v>#N/A</v>
      </c>
      <c r="BI336" s="6" t="e">
        <f t="shared" si="242"/>
        <v>#N/A</v>
      </c>
      <c r="BV336" s="37"/>
      <c r="BW336" s="6" t="e">
        <f t="shared" ref="BW336:BW375" si="243">IF(BC323="",NA(),BC323)</f>
        <v>#N/A</v>
      </c>
      <c r="BX336" s="9">
        <f t="shared" ref="BX336:BX375" ca="1" si="244">BD323-$BW$5</f>
        <v>-156.7666765884093</v>
      </c>
      <c r="BY336" s="9">
        <f t="shared" ref="BY336:BY375" ca="1" si="245">BE323-$BX$5</f>
        <v>84.412825855297342</v>
      </c>
      <c r="BZ336" s="9">
        <f t="shared" ref="BZ336:BZ375" ca="1" si="246">BX336-$CE$5</f>
        <v>0</v>
      </c>
      <c r="CA336" s="6">
        <f t="shared" ref="CA336:CA375" ca="1" si="247">BY336-$CF$5</f>
        <v>0</v>
      </c>
      <c r="CB336" s="6" t="e">
        <f t="shared" ref="CB336:CB375" ca="1" si="248">ATAN2(BZ336,CA336)</f>
        <v>#DIV/0!</v>
      </c>
      <c r="CC336" s="6" t="e">
        <f t="shared" ref="CC336:CC375" ca="1" si="249">ATAN2(COS(CF336-CB336),SIN(CF336-CB336))*10</f>
        <v>#DIV/0!</v>
      </c>
      <c r="CD336" s="9">
        <f t="shared" ref="CD336:CD375" si="250">BD323-$BW$6</f>
        <v>-50</v>
      </c>
      <c r="CE336" s="9">
        <f t="shared" ref="CE336:CE375" si="251">BE323-$BX$6</f>
        <v>0</v>
      </c>
      <c r="CF336" s="6">
        <f t="shared" ref="CF336:CF375" si="252">ATAN2(CD336,CE336)</f>
        <v>3.1415926535897931</v>
      </c>
      <c r="CG336" s="6"/>
      <c r="CH336" s="6"/>
      <c r="CI336" s="6"/>
      <c r="CJ336" s="1"/>
      <c r="CK336" s="6"/>
    </row>
    <row r="337" spans="55:89" x14ac:dyDescent="0.25">
      <c r="BC337"/>
      <c r="BD337"/>
      <c r="BF337" s="6" t="e">
        <f t="shared" si="239"/>
        <v>#N/A</v>
      </c>
      <c r="BG337" s="6" t="e">
        <f t="shared" si="240"/>
        <v>#N/A</v>
      </c>
      <c r="BH337" s="6" t="e">
        <f t="shared" si="241"/>
        <v>#N/A</v>
      </c>
      <c r="BI337" s="6" t="e">
        <f t="shared" si="242"/>
        <v>#N/A</v>
      </c>
      <c r="BV337" s="37"/>
      <c r="BW337" s="6" t="e">
        <f t="shared" si="243"/>
        <v>#N/A</v>
      </c>
      <c r="BX337" s="9">
        <f t="shared" ca="1" si="244"/>
        <v>-156.7666765884093</v>
      </c>
      <c r="BY337" s="9">
        <f t="shared" ca="1" si="245"/>
        <v>84.412825855297342</v>
      </c>
      <c r="BZ337" s="9">
        <f t="shared" ca="1" si="246"/>
        <v>0</v>
      </c>
      <c r="CA337" s="6">
        <f t="shared" ca="1" si="247"/>
        <v>0</v>
      </c>
      <c r="CB337" s="6" t="e">
        <f t="shared" ca="1" si="248"/>
        <v>#DIV/0!</v>
      </c>
      <c r="CC337" s="6" t="e">
        <f t="shared" ca="1" si="249"/>
        <v>#DIV/0!</v>
      </c>
      <c r="CD337" s="9">
        <f t="shared" si="250"/>
        <v>-50</v>
      </c>
      <c r="CE337" s="9">
        <f t="shared" si="251"/>
        <v>0</v>
      </c>
      <c r="CF337" s="6">
        <f t="shared" si="252"/>
        <v>3.1415926535897931</v>
      </c>
      <c r="CG337" s="6"/>
      <c r="CH337" s="6"/>
      <c r="CI337" s="6"/>
      <c r="CJ337" s="1"/>
      <c r="CK337" s="6"/>
    </row>
    <row r="338" spans="55:89" x14ac:dyDescent="0.25">
      <c r="BC338"/>
      <c r="BD338"/>
      <c r="BF338" s="6" t="e">
        <f t="shared" si="239"/>
        <v>#N/A</v>
      </c>
      <c r="BG338" s="6" t="e">
        <f t="shared" si="240"/>
        <v>#N/A</v>
      </c>
      <c r="BH338" s="6" t="e">
        <f t="shared" si="241"/>
        <v>#N/A</v>
      </c>
      <c r="BI338" s="6" t="e">
        <f t="shared" si="242"/>
        <v>#N/A</v>
      </c>
      <c r="BV338" s="37"/>
      <c r="BW338" s="6" t="e">
        <f t="shared" si="243"/>
        <v>#N/A</v>
      </c>
      <c r="BX338" s="9">
        <f t="shared" ca="1" si="244"/>
        <v>-156.7666765884093</v>
      </c>
      <c r="BY338" s="9">
        <f t="shared" ca="1" si="245"/>
        <v>84.412825855297342</v>
      </c>
      <c r="BZ338" s="9">
        <f t="shared" ca="1" si="246"/>
        <v>0</v>
      </c>
      <c r="CA338" s="6">
        <f t="shared" ca="1" si="247"/>
        <v>0</v>
      </c>
      <c r="CB338" s="6" t="e">
        <f t="shared" ca="1" si="248"/>
        <v>#DIV/0!</v>
      </c>
      <c r="CC338" s="6" t="e">
        <f t="shared" ca="1" si="249"/>
        <v>#DIV/0!</v>
      </c>
      <c r="CD338" s="9">
        <f t="shared" si="250"/>
        <v>-50</v>
      </c>
      <c r="CE338" s="9">
        <f t="shared" si="251"/>
        <v>0</v>
      </c>
      <c r="CF338" s="6">
        <f t="shared" si="252"/>
        <v>3.1415926535897931</v>
      </c>
      <c r="CG338" s="6"/>
      <c r="CH338" s="6"/>
      <c r="CI338" s="6"/>
      <c r="CJ338" s="1"/>
      <c r="CK338" s="6"/>
    </row>
    <row r="339" spans="55:89" x14ac:dyDescent="0.25">
      <c r="BC339"/>
      <c r="BD339"/>
      <c r="BF339" s="6" t="e">
        <f t="shared" si="239"/>
        <v>#N/A</v>
      </c>
      <c r="BG339" s="6" t="e">
        <f t="shared" si="240"/>
        <v>#N/A</v>
      </c>
      <c r="BH339" s="6" t="e">
        <f t="shared" si="241"/>
        <v>#N/A</v>
      </c>
      <c r="BI339" s="6" t="e">
        <f t="shared" si="242"/>
        <v>#N/A</v>
      </c>
      <c r="BV339" s="37"/>
      <c r="BW339" s="6" t="e">
        <f t="shared" si="243"/>
        <v>#N/A</v>
      </c>
      <c r="BX339" s="9">
        <f t="shared" ca="1" si="244"/>
        <v>-156.7666765884093</v>
      </c>
      <c r="BY339" s="9">
        <f t="shared" ca="1" si="245"/>
        <v>84.412825855297342</v>
      </c>
      <c r="BZ339" s="9">
        <f t="shared" ca="1" si="246"/>
        <v>0</v>
      </c>
      <c r="CA339" s="6">
        <f t="shared" ca="1" si="247"/>
        <v>0</v>
      </c>
      <c r="CB339" s="6" t="e">
        <f t="shared" ca="1" si="248"/>
        <v>#DIV/0!</v>
      </c>
      <c r="CC339" s="6" t="e">
        <f t="shared" ca="1" si="249"/>
        <v>#DIV/0!</v>
      </c>
      <c r="CD339" s="9">
        <f t="shared" si="250"/>
        <v>-50</v>
      </c>
      <c r="CE339" s="9">
        <f t="shared" si="251"/>
        <v>0</v>
      </c>
      <c r="CF339" s="6">
        <f t="shared" si="252"/>
        <v>3.1415926535897931</v>
      </c>
      <c r="CG339" s="6"/>
      <c r="CH339" s="6"/>
      <c r="CI339" s="6"/>
      <c r="CJ339" s="1"/>
      <c r="CK339" s="6"/>
    </row>
    <row r="340" spans="55:89" x14ac:dyDescent="0.25">
      <c r="BC340"/>
      <c r="BD340"/>
      <c r="BF340" s="6" t="e">
        <f t="shared" si="239"/>
        <v>#N/A</v>
      </c>
      <c r="BG340" s="6" t="e">
        <f t="shared" si="240"/>
        <v>#N/A</v>
      </c>
      <c r="BH340" s="6" t="e">
        <f t="shared" si="241"/>
        <v>#N/A</v>
      </c>
      <c r="BI340" s="6" t="e">
        <f t="shared" si="242"/>
        <v>#N/A</v>
      </c>
      <c r="BV340" s="37"/>
      <c r="BW340" s="6" t="e">
        <f t="shared" si="243"/>
        <v>#N/A</v>
      </c>
      <c r="BX340" s="9">
        <f t="shared" ca="1" si="244"/>
        <v>-156.7666765884093</v>
      </c>
      <c r="BY340" s="9">
        <f t="shared" ca="1" si="245"/>
        <v>84.412825855297342</v>
      </c>
      <c r="BZ340" s="9">
        <f t="shared" ca="1" si="246"/>
        <v>0</v>
      </c>
      <c r="CA340" s="6">
        <f t="shared" ca="1" si="247"/>
        <v>0</v>
      </c>
      <c r="CB340" s="6" t="e">
        <f t="shared" ca="1" si="248"/>
        <v>#DIV/0!</v>
      </c>
      <c r="CC340" s="6" t="e">
        <f t="shared" ca="1" si="249"/>
        <v>#DIV/0!</v>
      </c>
      <c r="CD340" s="9">
        <f t="shared" si="250"/>
        <v>-50</v>
      </c>
      <c r="CE340" s="9">
        <f t="shared" si="251"/>
        <v>0</v>
      </c>
      <c r="CF340" s="6">
        <f t="shared" si="252"/>
        <v>3.1415926535897931</v>
      </c>
      <c r="CG340" s="6"/>
      <c r="CH340" s="6"/>
      <c r="CI340" s="6"/>
      <c r="CJ340" s="1"/>
      <c r="CK340" s="6"/>
    </row>
    <row r="341" spans="55:89" x14ac:dyDescent="0.25">
      <c r="BC341"/>
      <c r="BD341"/>
      <c r="BF341" s="6" t="e">
        <f t="shared" si="239"/>
        <v>#N/A</v>
      </c>
      <c r="BG341" s="6" t="e">
        <f t="shared" si="240"/>
        <v>#N/A</v>
      </c>
      <c r="BH341" s="6" t="e">
        <f t="shared" si="241"/>
        <v>#N/A</v>
      </c>
      <c r="BI341" s="6" t="e">
        <f t="shared" si="242"/>
        <v>#N/A</v>
      </c>
      <c r="BV341" s="37"/>
      <c r="BW341" s="6" t="e">
        <f t="shared" si="243"/>
        <v>#N/A</v>
      </c>
      <c r="BX341" s="9">
        <f t="shared" ca="1" si="244"/>
        <v>-156.7666765884093</v>
      </c>
      <c r="BY341" s="9">
        <f t="shared" ca="1" si="245"/>
        <v>84.412825855297342</v>
      </c>
      <c r="BZ341" s="9">
        <f t="shared" ca="1" si="246"/>
        <v>0</v>
      </c>
      <c r="CA341" s="6">
        <f t="shared" ca="1" si="247"/>
        <v>0</v>
      </c>
      <c r="CB341" s="6" t="e">
        <f t="shared" ca="1" si="248"/>
        <v>#DIV/0!</v>
      </c>
      <c r="CC341" s="6" t="e">
        <f t="shared" ca="1" si="249"/>
        <v>#DIV/0!</v>
      </c>
      <c r="CD341" s="9">
        <f t="shared" si="250"/>
        <v>-50</v>
      </c>
      <c r="CE341" s="9">
        <f t="shared" si="251"/>
        <v>0</v>
      </c>
      <c r="CF341" s="6">
        <f t="shared" si="252"/>
        <v>3.1415926535897931</v>
      </c>
      <c r="CG341" s="6"/>
      <c r="CH341" s="6"/>
      <c r="CI341" s="6"/>
      <c r="CJ341" s="1"/>
      <c r="CK341" s="6"/>
    </row>
    <row r="342" spans="55:89" x14ac:dyDescent="0.25">
      <c r="BC342"/>
      <c r="BD342"/>
      <c r="BF342" s="6" t="e">
        <f t="shared" si="239"/>
        <v>#N/A</v>
      </c>
      <c r="BG342" s="6" t="e">
        <f t="shared" si="240"/>
        <v>#N/A</v>
      </c>
      <c r="BH342" s="6" t="e">
        <f t="shared" si="241"/>
        <v>#N/A</v>
      </c>
      <c r="BI342" s="6" t="e">
        <f t="shared" si="242"/>
        <v>#N/A</v>
      </c>
      <c r="BV342" s="37"/>
      <c r="BW342" s="6" t="e">
        <f t="shared" si="243"/>
        <v>#N/A</v>
      </c>
      <c r="BX342" s="9">
        <f t="shared" ca="1" si="244"/>
        <v>-156.7666765884093</v>
      </c>
      <c r="BY342" s="9">
        <f t="shared" ca="1" si="245"/>
        <v>84.412825855297342</v>
      </c>
      <c r="BZ342" s="9">
        <f t="shared" ca="1" si="246"/>
        <v>0</v>
      </c>
      <c r="CA342" s="6">
        <f t="shared" ca="1" si="247"/>
        <v>0</v>
      </c>
      <c r="CB342" s="6" t="e">
        <f t="shared" ca="1" si="248"/>
        <v>#DIV/0!</v>
      </c>
      <c r="CC342" s="6" t="e">
        <f t="shared" ca="1" si="249"/>
        <v>#DIV/0!</v>
      </c>
      <c r="CD342" s="9">
        <f t="shared" si="250"/>
        <v>-50</v>
      </c>
      <c r="CE342" s="9">
        <f t="shared" si="251"/>
        <v>0</v>
      </c>
      <c r="CF342" s="6">
        <f t="shared" si="252"/>
        <v>3.1415926535897931</v>
      </c>
      <c r="CG342" s="6"/>
      <c r="CH342" s="6"/>
      <c r="CI342" s="6"/>
      <c r="CJ342" s="1"/>
      <c r="CK342" s="6"/>
    </row>
    <row r="343" spans="55:89" x14ac:dyDescent="0.25">
      <c r="BC343"/>
      <c r="BD343"/>
      <c r="BF343" s="6" t="e">
        <f t="shared" si="239"/>
        <v>#N/A</v>
      </c>
      <c r="BG343" s="6" t="e">
        <f t="shared" si="240"/>
        <v>#N/A</v>
      </c>
      <c r="BH343" s="6" t="e">
        <f t="shared" si="241"/>
        <v>#N/A</v>
      </c>
      <c r="BI343" s="6" t="e">
        <f t="shared" si="242"/>
        <v>#N/A</v>
      </c>
      <c r="BV343" s="37"/>
      <c r="BW343" s="6" t="e">
        <f t="shared" si="243"/>
        <v>#N/A</v>
      </c>
      <c r="BX343" s="9">
        <f t="shared" ca="1" si="244"/>
        <v>-156.7666765884093</v>
      </c>
      <c r="BY343" s="9">
        <f t="shared" ca="1" si="245"/>
        <v>84.412825855297342</v>
      </c>
      <c r="BZ343" s="9">
        <f t="shared" ca="1" si="246"/>
        <v>0</v>
      </c>
      <c r="CA343" s="6">
        <f t="shared" ca="1" si="247"/>
        <v>0</v>
      </c>
      <c r="CB343" s="6" t="e">
        <f t="shared" ca="1" si="248"/>
        <v>#DIV/0!</v>
      </c>
      <c r="CC343" s="6" t="e">
        <f t="shared" ca="1" si="249"/>
        <v>#DIV/0!</v>
      </c>
      <c r="CD343" s="9">
        <f t="shared" si="250"/>
        <v>-50</v>
      </c>
      <c r="CE343" s="9">
        <f t="shared" si="251"/>
        <v>0</v>
      </c>
      <c r="CF343" s="6">
        <f t="shared" si="252"/>
        <v>3.1415926535897931</v>
      </c>
      <c r="CG343" s="6"/>
      <c r="CH343" s="6"/>
      <c r="CI343" s="6"/>
      <c r="CJ343" s="1"/>
      <c r="CK343" s="6"/>
    </row>
    <row r="344" spans="55:89" x14ac:dyDescent="0.25">
      <c r="BC344"/>
      <c r="BD344"/>
      <c r="BF344" s="6" t="e">
        <f t="shared" si="239"/>
        <v>#N/A</v>
      </c>
      <c r="BG344" s="6" t="e">
        <f t="shared" si="240"/>
        <v>#N/A</v>
      </c>
      <c r="BH344" s="6" t="e">
        <f t="shared" si="241"/>
        <v>#N/A</v>
      </c>
      <c r="BI344" s="6" t="e">
        <f t="shared" si="242"/>
        <v>#N/A</v>
      </c>
      <c r="BV344" s="37"/>
      <c r="BW344" s="6" t="e">
        <f t="shared" si="243"/>
        <v>#N/A</v>
      </c>
      <c r="BX344" s="9">
        <f t="shared" ca="1" si="244"/>
        <v>-156.7666765884093</v>
      </c>
      <c r="BY344" s="9">
        <f t="shared" ca="1" si="245"/>
        <v>84.412825855297342</v>
      </c>
      <c r="BZ344" s="9">
        <f t="shared" ca="1" si="246"/>
        <v>0</v>
      </c>
      <c r="CA344" s="6">
        <f t="shared" ca="1" si="247"/>
        <v>0</v>
      </c>
      <c r="CB344" s="6" t="e">
        <f t="shared" ca="1" si="248"/>
        <v>#DIV/0!</v>
      </c>
      <c r="CC344" s="6" t="e">
        <f t="shared" ca="1" si="249"/>
        <v>#DIV/0!</v>
      </c>
      <c r="CD344" s="9">
        <f t="shared" si="250"/>
        <v>-50</v>
      </c>
      <c r="CE344" s="9">
        <f t="shared" si="251"/>
        <v>0</v>
      </c>
      <c r="CF344" s="6">
        <f t="shared" si="252"/>
        <v>3.1415926535897931</v>
      </c>
      <c r="CG344" s="6"/>
      <c r="CH344" s="6"/>
      <c r="CI344" s="6"/>
      <c r="CJ344" s="1"/>
      <c r="CK344" s="6"/>
    </row>
    <row r="345" spans="55:89" x14ac:dyDescent="0.25">
      <c r="BC345"/>
      <c r="BD345"/>
      <c r="BF345" s="6" t="e">
        <f t="shared" si="239"/>
        <v>#N/A</v>
      </c>
      <c r="BG345" s="6" t="e">
        <f t="shared" si="240"/>
        <v>#N/A</v>
      </c>
      <c r="BH345" s="6" t="e">
        <f t="shared" si="241"/>
        <v>#N/A</v>
      </c>
      <c r="BI345" s="6" t="e">
        <f t="shared" si="242"/>
        <v>#N/A</v>
      </c>
      <c r="BV345" s="37"/>
      <c r="BW345" s="6" t="e">
        <f t="shared" si="243"/>
        <v>#N/A</v>
      </c>
      <c r="BX345" s="9">
        <f t="shared" ca="1" si="244"/>
        <v>-156.7666765884093</v>
      </c>
      <c r="BY345" s="9">
        <f t="shared" ca="1" si="245"/>
        <v>84.412825855297342</v>
      </c>
      <c r="BZ345" s="9">
        <f t="shared" ca="1" si="246"/>
        <v>0</v>
      </c>
      <c r="CA345" s="6">
        <f t="shared" ca="1" si="247"/>
        <v>0</v>
      </c>
      <c r="CB345" s="6" t="e">
        <f t="shared" ca="1" si="248"/>
        <v>#DIV/0!</v>
      </c>
      <c r="CC345" s="6" t="e">
        <f t="shared" ca="1" si="249"/>
        <v>#DIV/0!</v>
      </c>
      <c r="CD345" s="9">
        <f t="shared" si="250"/>
        <v>-50</v>
      </c>
      <c r="CE345" s="9">
        <f t="shared" si="251"/>
        <v>0</v>
      </c>
      <c r="CF345" s="6">
        <f t="shared" si="252"/>
        <v>3.1415926535897931</v>
      </c>
      <c r="CG345" s="6"/>
      <c r="CH345" s="6"/>
      <c r="CI345" s="6"/>
      <c r="CJ345" s="1"/>
      <c r="CK345" s="6"/>
    </row>
    <row r="346" spans="55:89" x14ac:dyDescent="0.25">
      <c r="BC346"/>
      <c r="BD346"/>
      <c r="BF346" s="6" t="e">
        <f t="shared" si="239"/>
        <v>#N/A</v>
      </c>
      <c r="BG346" s="6" t="e">
        <f t="shared" si="240"/>
        <v>#N/A</v>
      </c>
      <c r="BH346" s="6" t="e">
        <f t="shared" si="241"/>
        <v>#N/A</v>
      </c>
      <c r="BI346" s="6" t="e">
        <f t="shared" si="242"/>
        <v>#N/A</v>
      </c>
      <c r="BV346" s="37"/>
      <c r="BW346" s="6" t="e">
        <f t="shared" si="243"/>
        <v>#N/A</v>
      </c>
      <c r="BX346" s="9">
        <f t="shared" ca="1" si="244"/>
        <v>-156.7666765884093</v>
      </c>
      <c r="BY346" s="9">
        <f t="shared" ca="1" si="245"/>
        <v>84.412825855297342</v>
      </c>
      <c r="BZ346" s="9">
        <f t="shared" ca="1" si="246"/>
        <v>0</v>
      </c>
      <c r="CA346" s="6">
        <f t="shared" ca="1" si="247"/>
        <v>0</v>
      </c>
      <c r="CB346" s="6" t="e">
        <f t="shared" ca="1" si="248"/>
        <v>#DIV/0!</v>
      </c>
      <c r="CC346" s="6" t="e">
        <f t="shared" ca="1" si="249"/>
        <v>#DIV/0!</v>
      </c>
      <c r="CD346" s="9">
        <f t="shared" si="250"/>
        <v>-50</v>
      </c>
      <c r="CE346" s="9">
        <f t="shared" si="251"/>
        <v>0</v>
      </c>
      <c r="CF346" s="6">
        <f t="shared" si="252"/>
        <v>3.1415926535897931</v>
      </c>
      <c r="CG346" s="6"/>
      <c r="CH346" s="6"/>
      <c r="CI346" s="6"/>
      <c r="CJ346" s="1"/>
      <c r="CK346" s="6"/>
    </row>
    <row r="347" spans="55:89" x14ac:dyDescent="0.25">
      <c r="BC347"/>
      <c r="BD347"/>
      <c r="BF347" s="6" t="e">
        <f t="shared" si="239"/>
        <v>#N/A</v>
      </c>
      <c r="BG347" s="6" t="e">
        <f t="shared" si="240"/>
        <v>#N/A</v>
      </c>
      <c r="BH347" s="6" t="e">
        <f t="shared" si="241"/>
        <v>#N/A</v>
      </c>
      <c r="BI347" s="6" t="e">
        <f t="shared" si="242"/>
        <v>#N/A</v>
      </c>
      <c r="BV347" s="37"/>
      <c r="BW347" s="6" t="e">
        <f t="shared" si="243"/>
        <v>#N/A</v>
      </c>
      <c r="BX347" s="9">
        <f t="shared" ca="1" si="244"/>
        <v>-156.7666765884093</v>
      </c>
      <c r="BY347" s="9">
        <f t="shared" ca="1" si="245"/>
        <v>84.412825855297342</v>
      </c>
      <c r="BZ347" s="9">
        <f t="shared" ca="1" si="246"/>
        <v>0</v>
      </c>
      <c r="CA347" s="6">
        <f t="shared" ca="1" si="247"/>
        <v>0</v>
      </c>
      <c r="CB347" s="6" t="e">
        <f t="shared" ca="1" si="248"/>
        <v>#DIV/0!</v>
      </c>
      <c r="CC347" s="6" t="e">
        <f t="shared" ca="1" si="249"/>
        <v>#DIV/0!</v>
      </c>
      <c r="CD347" s="9">
        <f t="shared" si="250"/>
        <v>-50</v>
      </c>
      <c r="CE347" s="9">
        <f t="shared" si="251"/>
        <v>0</v>
      </c>
      <c r="CF347" s="6">
        <f t="shared" si="252"/>
        <v>3.1415926535897931</v>
      </c>
      <c r="CG347" s="6"/>
      <c r="CH347" s="6"/>
      <c r="CI347" s="6"/>
      <c r="CJ347" s="1"/>
      <c r="CK347" s="6"/>
    </row>
    <row r="348" spans="55:89" x14ac:dyDescent="0.25">
      <c r="BC348"/>
      <c r="BD348"/>
      <c r="BF348" s="6" t="e">
        <f t="shared" si="239"/>
        <v>#N/A</v>
      </c>
      <c r="BG348" s="6" t="e">
        <f t="shared" si="240"/>
        <v>#N/A</v>
      </c>
      <c r="BH348" s="6" t="e">
        <f t="shared" si="241"/>
        <v>#N/A</v>
      </c>
      <c r="BI348" s="6" t="e">
        <f t="shared" si="242"/>
        <v>#N/A</v>
      </c>
      <c r="BV348" s="37"/>
      <c r="BW348" s="6" t="e">
        <f t="shared" si="243"/>
        <v>#N/A</v>
      </c>
      <c r="BX348" s="9">
        <f t="shared" ca="1" si="244"/>
        <v>-156.7666765884093</v>
      </c>
      <c r="BY348" s="9">
        <f t="shared" ca="1" si="245"/>
        <v>84.412825855297342</v>
      </c>
      <c r="BZ348" s="9">
        <f t="shared" ca="1" si="246"/>
        <v>0</v>
      </c>
      <c r="CA348" s="6">
        <f t="shared" ca="1" si="247"/>
        <v>0</v>
      </c>
      <c r="CB348" s="6" t="e">
        <f t="shared" ca="1" si="248"/>
        <v>#DIV/0!</v>
      </c>
      <c r="CC348" s="6" t="e">
        <f t="shared" ca="1" si="249"/>
        <v>#DIV/0!</v>
      </c>
      <c r="CD348" s="9">
        <f t="shared" si="250"/>
        <v>-50</v>
      </c>
      <c r="CE348" s="9">
        <f t="shared" si="251"/>
        <v>0</v>
      </c>
      <c r="CF348" s="6">
        <f t="shared" si="252"/>
        <v>3.1415926535897931</v>
      </c>
      <c r="CG348" s="6"/>
      <c r="CH348" s="6"/>
      <c r="CI348" s="6"/>
      <c r="CJ348" s="1"/>
      <c r="CK348" s="6"/>
    </row>
    <row r="349" spans="55:89" x14ac:dyDescent="0.25">
      <c r="BC349"/>
      <c r="BD349"/>
      <c r="BF349" s="6" t="e">
        <f t="shared" si="239"/>
        <v>#N/A</v>
      </c>
      <c r="BG349" s="6" t="e">
        <f t="shared" si="240"/>
        <v>#N/A</v>
      </c>
      <c r="BH349" s="6" t="e">
        <f t="shared" si="241"/>
        <v>#N/A</v>
      </c>
      <c r="BI349" s="6" t="e">
        <f t="shared" si="242"/>
        <v>#N/A</v>
      </c>
      <c r="BV349" s="37"/>
      <c r="BW349" s="6" t="e">
        <f t="shared" si="243"/>
        <v>#N/A</v>
      </c>
      <c r="BX349" s="9">
        <f t="shared" ca="1" si="244"/>
        <v>-156.7666765884093</v>
      </c>
      <c r="BY349" s="9">
        <f t="shared" ca="1" si="245"/>
        <v>84.412825855297342</v>
      </c>
      <c r="BZ349" s="9">
        <f t="shared" ca="1" si="246"/>
        <v>0</v>
      </c>
      <c r="CA349" s="6">
        <f t="shared" ca="1" si="247"/>
        <v>0</v>
      </c>
      <c r="CB349" s="6" t="e">
        <f t="shared" ca="1" si="248"/>
        <v>#DIV/0!</v>
      </c>
      <c r="CC349" s="6" t="e">
        <f t="shared" ca="1" si="249"/>
        <v>#DIV/0!</v>
      </c>
      <c r="CD349" s="9">
        <f t="shared" si="250"/>
        <v>-50</v>
      </c>
      <c r="CE349" s="9">
        <f t="shared" si="251"/>
        <v>0</v>
      </c>
      <c r="CF349" s="6">
        <f t="shared" si="252"/>
        <v>3.1415926535897931</v>
      </c>
      <c r="CG349" s="6"/>
      <c r="CH349" s="6"/>
      <c r="CI349" s="6"/>
      <c r="CJ349" s="1"/>
      <c r="CK349" s="6"/>
    </row>
    <row r="350" spans="55:89" x14ac:dyDescent="0.25">
      <c r="BC350"/>
      <c r="BD350"/>
      <c r="BF350" s="6" t="e">
        <f t="shared" si="239"/>
        <v>#N/A</v>
      </c>
      <c r="BG350" s="6" t="e">
        <f t="shared" si="240"/>
        <v>#N/A</v>
      </c>
      <c r="BH350" s="6" t="e">
        <f t="shared" si="241"/>
        <v>#N/A</v>
      </c>
      <c r="BI350" s="6" t="e">
        <f t="shared" si="242"/>
        <v>#N/A</v>
      </c>
      <c r="BV350" s="37"/>
      <c r="BW350" s="6" t="e">
        <f t="shared" si="243"/>
        <v>#N/A</v>
      </c>
      <c r="BX350" s="9">
        <f t="shared" ca="1" si="244"/>
        <v>-156.7666765884093</v>
      </c>
      <c r="BY350" s="9">
        <f t="shared" ca="1" si="245"/>
        <v>84.412825855297342</v>
      </c>
      <c r="BZ350" s="9">
        <f t="shared" ca="1" si="246"/>
        <v>0</v>
      </c>
      <c r="CA350" s="6">
        <f t="shared" ca="1" si="247"/>
        <v>0</v>
      </c>
      <c r="CB350" s="6" t="e">
        <f t="shared" ca="1" si="248"/>
        <v>#DIV/0!</v>
      </c>
      <c r="CC350" s="6" t="e">
        <f t="shared" ca="1" si="249"/>
        <v>#DIV/0!</v>
      </c>
      <c r="CD350" s="9">
        <f t="shared" si="250"/>
        <v>-50</v>
      </c>
      <c r="CE350" s="9">
        <f t="shared" si="251"/>
        <v>0</v>
      </c>
      <c r="CF350" s="6">
        <f t="shared" si="252"/>
        <v>3.1415926535897931</v>
      </c>
      <c r="CG350" s="6"/>
      <c r="CH350" s="6"/>
      <c r="CI350" s="6"/>
      <c r="CJ350" s="1"/>
      <c r="CK350" s="6"/>
    </row>
    <row r="351" spans="55:89" x14ac:dyDescent="0.25">
      <c r="BC351"/>
      <c r="BD351"/>
      <c r="BF351" s="6" t="e">
        <f t="shared" si="239"/>
        <v>#N/A</v>
      </c>
      <c r="BG351" s="6" t="e">
        <f t="shared" si="240"/>
        <v>#N/A</v>
      </c>
      <c r="BH351" s="6" t="e">
        <f t="shared" si="241"/>
        <v>#N/A</v>
      </c>
      <c r="BI351" s="6" t="e">
        <f t="shared" si="242"/>
        <v>#N/A</v>
      </c>
      <c r="BV351" s="37"/>
      <c r="BW351" s="6" t="e">
        <f t="shared" si="243"/>
        <v>#N/A</v>
      </c>
      <c r="BX351" s="9">
        <f t="shared" ca="1" si="244"/>
        <v>-156.7666765884093</v>
      </c>
      <c r="BY351" s="9">
        <f t="shared" ca="1" si="245"/>
        <v>84.412825855297342</v>
      </c>
      <c r="BZ351" s="9">
        <f t="shared" ca="1" si="246"/>
        <v>0</v>
      </c>
      <c r="CA351" s="6">
        <f t="shared" ca="1" si="247"/>
        <v>0</v>
      </c>
      <c r="CB351" s="6" t="e">
        <f t="shared" ca="1" si="248"/>
        <v>#DIV/0!</v>
      </c>
      <c r="CC351" s="6" t="e">
        <f t="shared" ca="1" si="249"/>
        <v>#DIV/0!</v>
      </c>
      <c r="CD351" s="9">
        <f t="shared" si="250"/>
        <v>-50</v>
      </c>
      <c r="CE351" s="9">
        <f t="shared" si="251"/>
        <v>0</v>
      </c>
      <c r="CF351" s="6">
        <f t="shared" si="252"/>
        <v>3.1415926535897931</v>
      </c>
      <c r="CG351" s="6"/>
      <c r="CH351" s="6"/>
      <c r="CI351" s="6"/>
      <c r="CJ351" s="1"/>
      <c r="CK351" s="6"/>
    </row>
    <row r="352" spans="55:89" x14ac:dyDescent="0.25">
      <c r="BC352"/>
      <c r="BD352"/>
      <c r="BF352" s="6" t="e">
        <f t="shared" si="239"/>
        <v>#N/A</v>
      </c>
      <c r="BG352" s="6" t="e">
        <f t="shared" si="240"/>
        <v>#N/A</v>
      </c>
      <c r="BH352" s="6" t="e">
        <f t="shared" si="241"/>
        <v>#N/A</v>
      </c>
      <c r="BI352" s="6" t="e">
        <f t="shared" si="242"/>
        <v>#N/A</v>
      </c>
      <c r="BV352" s="37"/>
      <c r="BW352" s="6" t="e">
        <f t="shared" si="243"/>
        <v>#N/A</v>
      </c>
      <c r="BX352" s="9">
        <f t="shared" ca="1" si="244"/>
        <v>-156.7666765884093</v>
      </c>
      <c r="BY352" s="9">
        <f t="shared" ca="1" si="245"/>
        <v>84.412825855297342</v>
      </c>
      <c r="BZ352" s="9">
        <f t="shared" ca="1" si="246"/>
        <v>0</v>
      </c>
      <c r="CA352" s="6">
        <f t="shared" ca="1" si="247"/>
        <v>0</v>
      </c>
      <c r="CB352" s="6" t="e">
        <f t="shared" ca="1" si="248"/>
        <v>#DIV/0!</v>
      </c>
      <c r="CC352" s="6" t="e">
        <f t="shared" ca="1" si="249"/>
        <v>#DIV/0!</v>
      </c>
      <c r="CD352" s="9">
        <f t="shared" si="250"/>
        <v>-50</v>
      </c>
      <c r="CE352" s="9">
        <f t="shared" si="251"/>
        <v>0</v>
      </c>
      <c r="CF352" s="6">
        <f t="shared" si="252"/>
        <v>3.1415926535897931</v>
      </c>
      <c r="CG352" s="6"/>
      <c r="CH352" s="6"/>
      <c r="CI352" s="6"/>
      <c r="CJ352" s="1"/>
      <c r="CK352" s="6"/>
    </row>
    <row r="353" spans="55:89" x14ac:dyDescent="0.25">
      <c r="BC353"/>
      <c r="BD353"/>
      <c r="BF353" s="6" t="e">
        <f t="shared" si="239"/>
        <v>#N/A</v>
      </c>
      <c r="BG353" s="6" t="e">
        <f t="shared" si="240"/>
        <v>#N/A</v>
      </c>
      <c r="BH353" s="6" t="e">
        <f t="shared" si="241"/>
        <v>#N/A</v>
      </c>
      <c r="BI353" s="6" t="e">
        <f t="shared" si="242"/>
        <v>#N/A</v>
      </c>
      <c r="BV353" s="37"/>
      <c r="BW353" s="6" t="e">
        <f t="shared" si="243"/>
        <v>#N/A</v>
      </c>
      <c r="BX353" s="9">
        <f t="shared" ca="1" si="244"/>
        <v>-156.7666765884093</v>
      </c>
      <c r="BY353" s="9">
        <f t="shared" ca="1" si="245"/>
        <v>84.412825855297342</v>
      </c>
      <c r="BZ353" s="9">
        <f t="shared" ca="1" si="246"/>
        <v>0</v>
      </c>
      <c r="CA353" s="6">
        <f t="shared" ca="1" si="247"/>
        <v>0</v>
      </c>
      <c r="CB353" s="6" t="e">
        <f t="shared" ca="1" si="248"/>
        <v>#DIV/0!</v>
      </c>
      <c r="CC353" s="6" t="e">
        <f t="shared" ca="1" si="249"/>
        <v>#DIV/0!</v>
      </c>
      <c r="CD353" s="9">
        <f t="shared" si="250"/>
        <v>-50</v>
      </c>
      <c r="CE353" s="9">
        <f t="shared" si="251"/>
        <v>0</v>
      </c>
      <c r="CF353" s="6">
        <f t="shared" si="252"/>
        <v>3.1415926535897931</v>
      </c>
      <c r="CG353" s="6"/>
      <c r="CH353" s="6"/>
      <c r="CI353" s="6"/>
      <c r="CJ353" s="1"/>
      <c r="CK353" s="6"/>
    </row>
    <row r="354" spans="55:89" x14ac:dyDescent="0.25">
      <c r="BC354"/>
      <c r="BD354"/>
      <c r="BF354" s="6" t="e">
        <f t="shared" si="239"/>
        <v>#N/A</v>
      </c>
      <c r="BG354" s="6" t="e">
        <f t="shared" si="240"/>
        <v>#N/A</v>
      </c>
      <c r="BH354" s="6" t="e">
        <f t="shared" si="241"/>
        <v>#N/A</v>
      </c>
      <c r="BI354" s="6" t="e">
        <f t="shared" si="242"/>
        <v>#N/A</v>
      </c>
      <c r="BV354" s="37"/>
      <c r="BW354" s="6" t="e">
        <f t="shared" si="243"/>
        <v>#N/A</v>
      </c>
      <c r="BX354" s="9">
        <f t="shared" ca="1" si="244"/>
        <v>-156.7666765884093</v>
      </c>
      <c r="BY354" s="9">
        <f t="shared" ca="1" si="245"/>
        <v>84.412825855297342</v>
      </c>
      <c r="BZ354" s="9">
        <f t="shared" ca="1" si="246"/>
        <v>0</v>
      </c>
      <c r="CA354" s="6">
        <f t="shared" ca="1" si="247"/>
        <v>0</v>
      </c>
      <c r="CB354" s="6" t="e">
        <f t="shared" ca="1" si="248"/>
        <v>#DIV/0!</v>
      </c>
      <c r="CC354" s="6" t="e">
        <f t="shared" ca="1" si="249"/>
        <v>#DIV/0!</v>
      </c>
      <c r="CD354" s="9">
        <f t="shared" si="250"/>
        <v>-50</v>
      </c>
      <c r="CE354" s="9">
        <f t="shared" si="251"/>
        <v>0</v>
      </c>
      <c r="CF354" s="6">
        <f t="shared" si="252"/>
        <v>3.1415926535897931</v>
      </c>
      <c r="CG354" s="6"/>
      <c r="CH354" s="6"/>
      <c r="CI354" s="6"/>
      <c r="CJ354" s="1"/>
      <c r="CK354" s="6"/>
    </row>
    <row r="355" spans="55:89" x14ac:dyDescent="0.25">
      <c r="BC355"/>
      <c r="BD355"/>
      <c r="BF355" s="6" t="e">
        <f t="shared" si="239"/>
        <v>#N/A</v>
      </c>
      <c r="BG355" s="6" t="e">
        <f t="shared" si="240"/>
        <v>#N/A</v>
      </c>
      <c r="BH355" s="6" t="e">
        <f t="shared" si="241"/>
        <v>#N/A</v>
      </c>
      <c r="BI355" s="6" t="e">
        <f t="shared" si="242"/>
        <v>#N/A</v>
      </c>
      <c r="BV355" s="37"/>
      <c r="BW355" s="6" t="e">
        <f t="shared" si="243"/>
        <v>#N/A</v>
      </c>
      <c r="BX355" s="9">
        <f t="shared" ca="1" si="244"/>
        <v>-156.7666765884093</v>
      </c>
      <c r="BY355" s="9">
        <f t="shared" ca="1" si="245"/>
        <v>84.412825855297342</v>
      </c>
      <c r="BZ355" s="9">
        <f t="shared" ca="1" si="246"/>
        <v>0</v>
      </c>
      <c r="CA355" s="6">
        <f t="shared" ca="1" si="247"/>
        <v>0</v>
      </c>
      <c r="CB355" s="6" t="e">
        <f t="shared" ca="1" si="248"/>
        <v>#DIV/0!</v>
      </c>
      <c r="CC355" s="6" t="e">
        <f t="shared" ca="1" si="249"/>
        <v>#DIV/0!</v>
      </c>
      <c r="CD355" s="9">
        <f t="shared" si="250"/>
        <v>-50</v>
      </c>
      <c r="CE355" s="9">
        <f t="shared" si="251"/>
        <v>0</v>
      </c>
      <c r="CF355" s="6">
        <f t="shared" si="252"/>
        <v>3.1415926535897931</v>
      </c>
      <c r="CG355" s="6"/>
      <c r="CH355" s="6"/>
      <c r="CI355" s="6"/>
      <c r="CJ355" s="1"/>
      <c r="CK355" s="6"/>
    </row>
    <row r="356" spans="55:89" x14ac:dyDescent="0.25">
      <c r="BC356"/>
      <c r="BD356"/>
      <c r="BF356" s="6" t="e">
        <f t="shared" si="239"/>
        <v>#N/A</v>
      </c>
      <c r="BG356" s="6" t="e">
        <f t="shared" si="240"/>
        <v>#N/A</v>
      </c>
      <c r="BH356" s="6" t="e">
        <f t="shared" si="241"/>
        <v>#N/A</v>
      </c>
      <c r="BI356" s="6" t="e">
        <f t="shared" si="242"/>
        <v>#N/A</v>
      </c>
      <c r="BV356" s="37"/>
      <c r="BW356" s="6" t="e">
        <f t="shared" si="243"/>
        <v>#N/A</v>
      </c>
      <c r="BX356" s="9">
        <f t="shared" ca="1" si="244"/>
        <v>-156.7666765884093</v>
      </c>
      <c r="BY356" s="9">
        <f t="shared" ca="1" si="245"/>
        <v>84.412825855297342</v>
      </c>
      <c r="BZ356" s="9">
        <f t="shared" ca="1" si="246"/>
        <v>0</v>
      </c>
      <c r="CA356" s="6">
        <f t="shared" ca="1" si="247"/>
        <v>0</v>
      </c>
      <c r="CB356" s="6" t="e">
        <f t="shared" ca="1" si="248"/>
        <v>#DIV/0!</v>
      </c>
      <c r="CC356" s="6" t="e">
        <f t="shared" ca="1" si="249"/>
        <v>#DIV/0!</v>
      </c>
      <c r="CD356" s="9">
        <f t="shared" si="250"/>
        <v>-50</v>
      </c>
      <c r="CE356" s="9">
        <f t="shared" si="251"/>
        <v>0</v>
      </c>
      <c r="CF356" s="6">
        <f t="shared" si="252"/>
        <v>3.1415926535897931</v>
      </c>
      <c r="CG356" s="6"/>
      <c r="CH356" s="6"/>
      <c r="CI356" s="6"/>
      <c r="CJ356" s="1"/>
      <c r="CK356" s="6"/>
    </row>
    <row r="357" spans="55:89" x14ac:dyDescent="0.25">
      <c r="BC357"/>
      <c r="BD357"/>
      <c r="BF357" s="6" t="e">
        <f t="shared" si="239"/>
        <v>#N/A</v>
      </c>
      <c r="BG357" s="6" t="e">
        <f t="shared" si="240"/>
        <v>#N/A</v>
      </c>
      <c r="BH357" s="6" t="e">
        <f t="shared" si="241"/>
        <v>#N/A</v>
      </c>
      <c r="BI357" s="6" t="e">
        <f t="shared" si="242"/>
        <v>#N/A</v>
      </c>
      <c r="BV357" s="37"/>
      <c r="BW357" s="6" t="e">
        <f t="shared" si="243"/>
        <v>#N/A</v>
      </c>
      <c r="BX357" s="9">
        <f t="shared" ca="1" si="244"/>
        <v>-156.7666765884093</v>
      </c>
      <c r="BY357" s="9">
        <f t="shared" ca="1" si="245"/>
        <v>84.412825855297342</v>
      </c>
      <c r="BZ357" s="9">
        <f t="shared" ca="1" si="246"/>
        <v>0</v>
      </c>
      <c r="CA357" s="6">
        <f t="shared" ca="1" si="247"/>
        <v>0</v>
      </c>
      <c r="CB357" s="6" t="e">
        <f t="shared" ca="1" si="248"/>
        <v>#DIV/0!</v>
      </c>
      <c r="CC357" s="6" t="e">
        <f t="shared" ca="1" si="249"/>
        <v>#DIV/0!</v>
      </c>
      <c r="CD357" s="9">
        <f t="shared" si="250"/>
        <v>-50</v>
      </c>
      <c r="CE357" s="9">
        <f t="shared" si="251"/>
        <v>0</v>
      </c>
      <c r="CF357" s="6">
        <f t="shared" si="252"/>
        <v>3.1415926535897931</v>
      </c>
      <c r="CG357" s="6"/>
      <c r="CH357" s="6"/>
      <c r="CI357" s="6"/>
      <c r="CJ357" s="1"/>
      <c r="CK357" s="6"/>
    </row>
    <row r="358" spans="55:89" x14ac:dyDescent="0.25">
      <c r="BC358"/>
      <c r="BD358"/>
      <c r="BF358" s="6" t="e">
        <f t="shared" si="239"/>
        <v>#N/A</v>
      </c>
      <c r="BG358" s="6" t="e">
        <f t="shared" si="240"/>
        <v>#N/A</v>
      </c>
      <c r="BH358" s="6" t="e">
        <f t="shared" si="241"/>
        <v>#N/A</v>
      </c>
      <c r="BI358" s="6" t="e">
        <f t="shared" si="242"/>
        <v>#N/A</v>
      </c>
      <c r="BV358" s="37"/>
      <c r="BW358" s="6" t="e">
        <f t="shared" si="243"/>
        <v>#N/A</v>
      </c>
      <c r="BX358" s="9">
        <f t="shared" ca="1" si="244"/>
        <v>-156.7666765884093</v>
      </c>
      <c r="BY358" s="9">
        <f t="shared" ca="1" si="245"/>
        <v>84.412825855297342</v>
      </c>
      <c r="BZ358" s="9">
        <f t="shared" ca="1" si="246"/>
        <v>0</v>
      </c>
      <c r="CA358" s="6">
        <f t="shared" ca="1" si="247"/>
        <v>0</v>
      </c>
      <c r="CB358" s="6" t="e">
        <f t="shared" ca="1" si="248"/>
        <v>#DIV/0!</v>
      </c>
      <c r="CC358" s="6" t="e">
        <f t="shared" ca="1" si="249"/>
        <v>#DIV/0!</v>
      </c>
      <c r="CD358" s="9">
        <f t="shared" si="250"/>
        <v>-50</v>
      </c>
      <c r="CE358" s="9">
        <f t="shared" si="251"/>
        <v>0</v>
      </c>
      <c r="CF358" s="6">
        <f t="shared" si="252"/>
        <v>3.1415926535897931</v>
      </c>
      <c r="CG358" s="6"/>
      <c r="CH358" s="6"/>
      <c r="CI358" s="6"/>
      <c r="CJ358" s="1"/>
      <c r="CK358" s="6"/>
    </row>
    <row r="359" spans="55:89" x14ac:dyDescent="0.25">
      <c r="BC359"/>
      <c r="BD359"/>
      <c r="BF359" s="6" t="e">
        <f t="shared" si="239"/>
        <v>#N/A</v>
      </c>
      <c r="BG359" s="6" t="e">
        <f t="shared" si="240"/>
        <v>#N/A</v>
      </c>
      <c r="BH359" s="6" t="e">
        <f t="shared" si="241"/>
        <v>#N/A</v>
      </c>
      <c r="BI359" s="6" t="e">
        <f t="shared" si="242"/>
        <v>#N/A</v>
      </c>
      <c r="BV359" s="37"/>
      <c r="BW359" s="6" t="e">
        <f t="shared" si="243"/>
        <v>#N/A</v>
      </c>
      <c r="BX359" s="9">
        <f t="shared" ca="1" si="244"/>
        <v>-156.7666765884093</v>
      </c>
      <c r="BY359" s="9">
        <f t="shared" ca="1" si="245"/>
        <v>84.412825855297342</v>
      </c>
      <c r="BZ359" s="9">
        <f t="shared" ca="1" si="246"/>
        <v>0</v>
      </c>
      <c r="CA359" s="6">
        <f t="shared" ca="1" si="247"/>
        <v>0</v>
      </c>
      <c r="CB359" s="6" t="e">
        <f t="shared" ca="1" si="248"/>
        <v>#DIV/0!</v>
      </c>
      <c r="CC359" s="6" t="e">
        <f t="shared" ca="1" si="249"/>
        <v>#DIV/0!</v>
      </c>
      <c r="CD359" s="9">
        <f t="shared" si="250"/>
        <v>-50</v>
      </c>
      <c r="CE359" s="9">
        <f t="shared" si="251"/>
        <v>0</v>
      </c>
      <c r="CF359" s="6">
        <f t="shared" si="252"/>
        <v>3.1415926535897931</v>
      </c>
      <c r="CG359" s="6"/>
      <c r="CH359" s="6"/>
      <c r="CI359" s="6"/>
      <c r="CJ359" s="1"/>
      <c r="CK359" s="6"/>
    </row>
    <row r="360" spans="55:89" x14ac:dyDescent="0.25">
      <c r="BC360"/>
      <c r="BD360"/>
      <c r="BF360" s="6" t="e">
        <f t="shared" si="239"/>
        <v>#N/A</v>
      </c>
      <c r="BG360" s="6" t="e">
        <f t="shared" si="240"/>
        <v>#N/A</v>
      </c>
      <c r="BH360" s="6" t="e">
        <f t="shared" si="241"/>
        <v>#N/A</v>
      </c>
      <c r="BI360" s="6" t="e">
        <f t="shared" si="242"/>
        <v>#N/A</v>
      </c>
      <c r="BV360" s="37"/>
      <c r="BW360" s="6" t="e">
        <f t="shared" si="243"/>
        <v>#N/A</v>
      </c>
      <c r="BX360" s="9">
        <f t="shared" ca="1" si="244"/>
        <v>-156.7666765884093</v>
      </c>
      <c r="BY360" s="9">
        <f t="shared" ca="1" si="245"/>
        <v>84.412825855297342</v>
      </c>
      <c r="BZ360" s="9">
        <f t="shared" ca="1" si="246"/>
        <v>0</v>
      </c>
      <c r="CA360" s="6">
        <f t="shared" ca="1" si="247"/>
        <v>0</v>
      </c>
      <c r="CB360" s="6" t="e">
        <f t="shared" ca="1" si="248"/>
        <v>#DIV/0!</v>
      </c>
      <c r="CC360" s="6" t="e">
        <f t="shared" ca="1" si="249"/>
        <v>#DIV/0!</v>
      </c>
      <c r="CD360" s="9">
        <f t="shared" si="250"/>
        <v>-50</v>
      </c>
      <c r="CE360" s="9">
        <f t="shared" si="251"/>
        <v>0</v>
      </c>
      <c r="CF360" s="6">
        <f t="shared" si="252"/>
        <v>3.1415926535897931</v>
      </c>
      <c r="CG360" s="6"/>
      <c r="CH360" s="6"/>
      <c r="CI360" s="6"/>
      <c r="CJ360" s="1"/>
      <c r="CK360" s="6"/>
    </row>
    <row r="361" spans="55:89" x14ac:dyDescent="0.25">
      <c r="BC361"/>
      <c r="BD361"/>
      <c r="BF361" s="6" t="e">
        <f t="shared" si="239"/>
        <v>#N/A</v>
      </c>
      <c r="BG361" s="6" t="e">
        <f t="shared" si="240"/>
        <v>#N/A</v>
      </c>
      <c r="BH361" s="6" t="e">
        <f t="shared" si="241"/>
        <v>#N/A</v>
      </c>
      <c r="BI361" s="6" t="e">
        <f t="shared" si="242"/>
        <v>#N/A</v>
      </c>
      <c r="BV361" s="37"/>
      <c r="BW361" s="6" t="e">
        <f t="shared" si="243"/>
        <v>#N/A</v>
      </c>
      <c r="BX361" s="9">
        <f t="shared" ca="1" si="244"/>
        <v>-156.7666765884093</v>
      </c>
      <c r="BY361" s="9">
        <f t="shared" ca="1" si="245"/>
        <v>84.412825855297342</v>
      </c>
      <c r="BZ361" s="9">
        <f t="shared" ca="1" si="246"/>
        <v>0</v>
      </c>
      <c r="CA361" s="6">
        <f t="shared" ca="1" si="247"/>
        <v>0</v>
      </c>
      <c r="CB361" s="6" t="e">
        <f t="shared" ca="1" si="248"/>
        <v>#DIV/0!</v>
      </c>
      <c r="CC361" s="6" t="e">
        <f t="shared" ca="1" si="249"/>
        <v>#DIV/0!</v>
      </c>
      <c r="CD361" s="9">
        <f t="shared" si="250"/>
        <v>-50</v>
      </c>
      <c r="CE361" s="9">
        <f t="shared" si="251"/>
        <v>0</v>
      </c>
      <c r="CF361" s="6">
        <f t="shared" si="252"/>
        <v>3.1415926535897931</v>
      </c>
      <c r="CG361" s="6"/>
      <c r="CH361" s="6"/>
      <c r="CI361" s="6"/>
      <c r="CJ361" s="1"/>
      <c r="CK361" s="6"/>
    </row>
    <row r="362" spans="55:89" x14ac:dyDescent="0.25">
      <c r="BC362"/>
      <c r="BD362"/>
      <c r="BF362" s="6" t="e">
        <f t="shared" si="239"/>
        <v>#N/A</v>
      </c>
      <c r="BG362" s="6" t="e">
        <f t="shared" si="240"/>
        <v>#N/A</v>
      </c>
      <c r="BH362" s="6" t="e">
        <f t="shared" si="241"/>
        <v>#N/A</v>
      </c>
      <c r="BI362" s="6" t="e">
        <f t="shared" si="242"/>
        <v>#N/A</v>
      </c>
      <c r="BV362" s="37"/>
      <c r="BW362" s="6" t="e">
        <f t="shared" si="243"/>
        <v>#N/A</v>
      </c>
      <c r="BX362" s="9">
        <f t="shared" ca="1" si="244"/>
        <v>-156.7666765884093</v>
      </c>
      <c r="BY362" s="9">
        <f t="shared" ca="1" si="245"/>
        <v>84.412825855297342</v>
      </c>
      <c r="BZ362" s="9">
        <f t="shared" ca="1" si="246"/>
        <v>0</v>
      </c>
      <c r="CA362" s="6">
        <f t="shared" ca="1" si="247"/>
        <v>0</v>
      </c>
      <c r="CB362" s="6" t="e">
        <f t="shared" ca="1" si="248"/>
        <v>#DIV/0!</v>
      </c>
      <c r="CC362" s="6" t="e">
        <f t="shared" ca="1" si="249"/>
        <v>#DIV/0!</v>
      </c>
      <c r="CD362" s="9">
        <f t="shared" si="250"/>
        <v>-50</v>
      </c>
      <c r="CE362" s="9">
        <f t="shared" si="251"/>
        <v>0</v>
      </c>
      <c r="CF362" s="6">
        <f t="shared" si="252"/>
        <v>3.1415926535897931</v>
      </c>
      <c r="CG362" s="6"/>
      <c r="CH362" s="6"/>
      <c r="CI362" s="6"/>
      <c r="CJ362" s="1"/>
      <c r="CK362" s="6"/>
    </row>
    <row r="363" spans="55:89" x14ac:dyDescent="0.25">
      <c r="BC363" s="6">
        <v>6.3006385996994831</v>
      </c>
      <c r="BD363" s="6">
        <v>284.0394926747486</v>
      </c>
      <c r="BE363" s="6">
        <v>-2.3310392745078038E-13</v>
      </c>
      <c r="BF363" s="6">
        <f t="shared" ref="BF363" si="253">IF(BC363&lt;&gt;"",IF(AND(BD363=0,BE363=0),0,MOD(ATAN2(BD363,BE363),2*PI())),NA())</f>
        <v>6.2831853071795853</v>
      </c>
      <c r="BG363" s="6">
        <f t="shared" ref="BG363" si="254">ABS(BC363-BF363)</f>
        <v>1.7453292519897801E-2</v>
      </c>
      <c r="BH363" s="6">
        <f t="shared" ref="BH363" si="255">ATAN2(COS($U$13-BF363),SIN($U$13-BF363))</f>
        <v>1.1332081106818492E-15</v>
      </c>
      <c r="BI363" s="6">
        <f t="shared" ref="BI363" si="256">ABS(BH363)</f>
        <v>1.1332081106818492E-15</v>
      </c>
      <c r="BJ363">
        <v>315.59943630527624</v>
      </c>
      <c r="BK363">
        <v>-2.5900436383420042E-13</v>
      </c>
      <c r="BW363" s="6" t="e">
        <f t="shared" si="243"/>
        <v>#N/A</v>
      </c>
      <c r="BX363" s="9">
        <f t="shared" ca="1" si="244"/>
        <v>-156.7666765884093</v>
      </c>
      <c r="BY363" s="9">
        <f t="shared" ca="1" si="245"/>
        <v>84.412825855297342</v>
      </c>
      <c r="BZ363" s="9">
        <f t="shared" ca="1" si="246"/>
        <v>0</v>
      </c>
      <c r="CA363" s="6">
        <f t="shared" ca="1" si="247"/>
        <v>0</v>
      </c>
      <c r="CB363" s="6" t="e">
        <f t="shared" ca="1" si="248"/>
        <v>#DIV/0!</v>
      </c>
      <c r="CC363" s="6" t="e">
        <f t="shared" ca="1" si="249"/>
        <v>#DIV/0!</v>
      </c>
      <c r="CD363" s="9">
        <f t="shared" si="250"/>
        <v>-50</v>
      </c>
      <c r="CE363" s="9">
        <f t="shared" si="251"/>
        <v>0</v>
      </c>
      <c r="CF363" s="6">
        <f t="shared" si="252"/>
        <v>3.1415926535897931</v>
      </c>
      <c r="CG363" s="6"/>
      <c r="CH363" s="6"/>
      <c r="CI363" s="6"/>
      <c r="CJ363" s="1"/>
      <c r="CK363" s="6"/>
    </row>
    <row r="364" spans="55:89" x14ac:dyDescent="0.25">
      <c r="BC364" s="6">
        <f>COUNTIF(BC2:BC363,"&lt;&gt;")</f>
        <v>183</v>
      </c>
      <c r="BD364" s="48">
        <f>SUM(BD1:BD363)</f>
        <v>31840.310679794064</v>
      </c>
      <c r="BE364" s="48">
        <f>SUM(BE1:BE363)</f>
        <v>-21126.390684461123</v>
      </c>
      <c r="BF364" s="6"/>
      <c r="BG364" s="6"/>
      <c r="BH364" s="6"/>
      <c r="BI364" s="6"/>
      <c r="BW364" s="6" t="e">
        <f t="shared" si="243"/>
        <v>#N/A</v>
      </c>
      <c r="BX364" s="9">
        <f t="shared" ca="1" si="244"/>
        <v>-156.7666765884093</v>
      </c>
      <c r="BY364" s="9">
        <f t="shared" ca="1" si="245"/>
        <v>84.412825855297342</v>
      </c>
      <c r="BZ364" s="9">
        <f t="shared" ca="1" si="246"/>
        <v>0</v>
      </c>
      <c r="CA364" s="6">
        <f t="shared" ca="1" si="247"/>
        <v>0</v>
      </c>
      <c r="CB364" s="6" t="e">
        <f t="shared" ca="1" si="248"/>
        <v>#DIV/0!</v>
      </c>
      <c r="CC364" s="6" t="e">
        <f t="shared" ca="1" si="249"/>
        <v>#DIV/0!</v>
      </c>
      <c r="CD364" s="9">
        <f t="shared" si="250"/>
        <v>-50</v>
      </c>
      <c r="CE364" s="9">
        <f t="shared" si="251"/>
        <v>0</v>
      </c>
      <c r="CF364" s="6">
        <f t="shared" si="252"/>
        <v>3.1415926535897931</v>
      </c>
      <c r="CG364" s="6"/>
      <c r="CH364" s="6"/>
      <c r="CI364" s="6"/>
      <c r="CJ364" s="1"/>
      <c r="CK364" s="6"/>
    </row>
    <row r="365" spans="55:89" x14ac:dyDescent="0.25">
      <c r="BD365" s="6">
        <f>BD364/BC364</f>
        <v>173.99076874204405</v>
      </c>
      <c r="BE365" s="6">
        <f>BE364/BC364</f>
        <v>-115.44475783858537</v>
      </c>
      <c r="BW365" s="6" t="e">
        <f t="shared" si="243"/>
        <v>#N/A</v>
      </c>
      <c r="BX365" s="9">
        <f t="shared" ca="1" si="244"/>
        <v>-156.7666765884093</v>
      </c>
      <c r="BY365" s="9">
        <f t="shared" ca="1" si="245"/>
        <v>84.412825855297342</v>
      </c>
      <c r="BZ365" s="9">
        <f t="shared" ca="1" si="246"/>
        <v>0</v>
      </c>
      <c r="CA365" s="6">
        <f t="shared" ca="1" si="247"/>
        <v>0</v>
      </c>
      <c r="CB365" s="6" t="e">
        <f t="shared" ca="1" si="248"/>
        <v>#DIV/0!</v>
      </c>
      <c r="CC365" s="6" t="e">
        <f t="shared" ca="1" si="249"/>
        <v>#DIV/0!</v>
      </c>
      <c r="CD365" s="9">
        <f t="shared" si="250"/>
        <v>-50</v>
      </c>
      <c r="CE365" s="9">
        <f t="shared" si="251"/>
        <v>0</v>
      </c>
      <c r="CF365" s="6">
        <f t="shared" si="252"/>
        <v>3.1415926535897931</v>
      </c>
      <c r="CG365" s="6"/>
      <c r="CH365" s="6"/>
      <c r="CI365" s="6"/>
      <c r="CJ365" s="1"/>
      <c r="CK365" s="6"/>
    </row>
    <row r="366" spans="55:89" x14ac:dyDescent="0.25">
      <c r="BW366" s="6" t="e">
        <f t="shared" si="243"/>
        <v>#N/A</v>
      </c>
      <c r="BX366" s="9">
        <f t="shared" ca="1" si="244"/>
        <v>-156.7666765884093</v>
      </c>
      <c r="BY366" s="9">
        <f t="shared" ca="1" si="245"/>
        <v>84.412825855297342</v>
      </c>
      <c r="BZ366" s="9">
        <f t="shared" ca="1" si="246"/>
        <v>0</v>
      </c>
      <c r="CA366" s="6">
        <f t="shared" ca="1" si="247"/>
        <v>0</v>
      </c>
      <c r="CB366" s="6" t="e">
        <f t="shared" ca="1" si="248"/>
        <v>#DIV/0!</v>
      </c>
      <c r="CC366" s="6" t="e">
        <f t="shared" ca="1" si="249"/>
        <v>#DIV/0!</v>
      </c>
      <c r="CD366" s="9">
        <f t="shared" si="250"/>
        <v>-50</v>
      </c>
      <c r="CE366" s="9">
        <f t="shared" si="251"/>
        <v>0</v>
      </c>
      <c r="CF366" s="6">
        <f t="shared" si="252"/>
        <v>3.1415926535897931</v>
      </c>
      <c r="CG366" s="6"/>
      <c r="CH366" s="6"/>
      <c r="CI366" s="6"/>
      <c r="CJ366" s="1"/>
      <c r="CK366" s="6"/>
    </row>
    <row r="367" spans="55:89" x14ac:dyDescent="0.25">
      <c r="BW367" s="6" t="e">
        <f t="shared" si="243"/>
        <v>#N/A</v>
      </c>
      <c r="BX367" s="9">
        <f t="shared" ca="1" si="244"/>
        <v>-156.7666765884093</v>
      </c>
      <c r="BY367" s="9">
        <f t="shared" ca="1" si="245"/>
        <v>84.412825855297342</v>
      </c>
      <c r="BZ367" s="9">
        <f t="shared" ca="1" si="246"/>
        <v>0</v>
      </c>
      <c r="CA367" s="6">
        <f t="shared" ca="1" si="247"/>
        <v>0</v>
      </c>
      <c r="CB367" s="6" t="e">
        <f t="shared" ca="1" si="248"/>
        <v>#DIV/0!</v>
      </c>
      <c r="CC367" s="6" t="e">
        <f t="shared" ca="1" si="249"/>
        <v>#DIV/0!</v>
      </c>
      <c r="CD367" s="9">
        <f t="shared" si="250"/>
        <v>-50</v>
      </c>
      <c r="CE367" s="9">
        <f t="shared" si="251"/>
        <v>0</v>
      </c>
      <c r="CF367" s="6">
        <f t="shared" si="252"/>
        <v>3.1415926535897931</v>
      </c>
      <c r="CG367" s="6"/>
      <c r="CH367" s="6"/>
      <c r="CI367" s="6"/>
      <c r="CJ367" s="1"/>
      <c r="CK367" s="6"/>
    </row>
    <row r="368" spans="55:89" x14ac:dyDescent="0.25">
      <c r="BW368" s="6" t="e">
        <f t="shared" si="243"/>
        <v>#N/A</v>
      </c>
      <c r="BX368" s="9">
        <f t="shared" ca="1" si="244"/>
        <v>-156.7666765884093</v>
      </c>
      <c r="BY368" s="9">
        <f t="shared" ca="1" si="245"/>
        <v>84.412825855297342</v>
      </c>
      <c r="BZ368" s="9">
        <f t="shared" ca="1" si="246"/>
        <v>0</v>
      </c>
      <c r="CA368" s="6">
        <f t="shared" ca="1" si="247"/>
        <v>0</v>
      </c>
      <c r="CB368" s="6" t="e">
        <f t="shared" ca="1" si="248"/>
        <v>#DIV/0!</v>
      </c>
      <c r="CC368" s="6" t="e">
        <f t="shared" ca="1" si="249"/>
        <v>#DIV/0!</v>
      </c>
      <c r="CD368" s="9">
        <f t="shared" si="250"/>
        <v>-50</v>
      </c>
      <c r="CE368" s="9">
        <f t="shared" si="251"/>
        <v>0</v>
      </c>
      <c r="CF368" s="6">
        <f t="shared" si="252"/>
        <v>3.1415926535897931</v>
      </c>
      <c r="CG368" s="6"/>
      <c r="CH368" s="6"/>
      <c r="CI368" s="6"/>
      <c r="CJ368" s="1"/>
      <c r="CK368" s="6"/>
    </row>
    <row r="369" spans="75:89" x14ac:dyDescent="0.25">
      <c r="BW369" s="6" t="e">
        <f t="shared" si="243"/>
        <v>#N/A</v>
      </c>
      <c r="BX369" s="9">
        <f t="shared" ca="1" si="244"/>
        <v>-156.7666765884093</v>
      </c>
      <c r="BY369" s="9">
        <f t="shared" ca="1" si="245"/>
        <v>84.412825855297342</v>
      </c>
      <c r="BZ369" s="9">
        <f t="shared" ca="1" si="246"/>
        <v>0</v>
      </c>
      <c r="CA369" s="6">
        <f t="shared" ca="1" si="247"/>
        <v>0</v>
      </c>
      <c r="CB369" s="6" t="e">
        <f t="shared" ca="1" si="248"/>
        <v>#DIV/0!</v>
      </c>
      <c r="CC369" s="6" t="e">
        <f t="shared" ca="1" si="249"/>
        <v>#DIV/0!</v>
      </c>
      <c r="CD369" s="9">
        <f t="shared" si="250"/>
        <v>-50</v>
      </c>
      <c r="CE369" s="9">
        <f t="shared" si="251"/>
        <v>0</v>
      </c>
      <c r="CF369" s="6">
        <f t="shared" si="252"/>
        <v>3.1415926535897931</v>
      </c>
      <c r="CG369" s="6"/>
      <c r="CH369" s="6"/>
      <c r="CI369" s="6"/>
      <c r="CJ369" s="1"/>
      <c r="CK369" s="6"/>
    </row>
    <row r="370" spans="75:89" x14ac:dyDescent="0.25">
      <c r="BW370" s="6" t="e">
        <f t="shared" si="243"/>
        <v>#N/A</v>
      </c>
      <c r="BX370" s="9">
        <f t="shared" ca="1" si="244"/>
        <v>-156.7666765884093</v>
      </c>
      <c r="BY370" s="9">
        <f t="shared" ca="1" si="245"/>
        <v>84.412825855297342</v>
      </c>
      <c r="BZ370" s="9">
        <f t="shared" ca="1" si="246"/>
        <v>0</v>
      </c>
      <c r="CA370" s="6">
        <f t="shared" ca="1" si="247"/>
        <v>0</v>
      </c>
      <c r="CB370" s="6" t="e">
        <f t="shared" ca="1" si="248"/>
        <v>#DIV/0!</v>
      </c>
      <c r="CC370" s="6" t="e">
        <f t="shared" ca="1" si="249"/>
        <v>#DIV/0!</v>
      </c>
      <c r="CD370" s="9">
        <f t="shared" si="250"/>
        <v>-50</v>
      </c>
      <c r="CE370" s="9">
        <f t="shared" si="251"/>
        <v>0</v>
      </c>
      <c r="CF370" s="6">
        <f t="shared" si="252"/>
        <v>3.1415926535897931</v>
      </c>
      <c r="CG370" s="6"/>
      <c r="CH370" s="6"/>
      <c r="CI370" s="6"/>
      <c r="CJ370" s="1"/>
      <c r="CK370" s="6"/>
    </row>
    <row r="371" spans="75:89" x14ac:dyDescent="0.25">
      <c r="BW371" s="6" t="e">
        <f t="shared" si="243"/>
        <v>#N/A</v>
      </c>
      <c r="BX371" s="9">
        <f t="shared" ca="1" si="244"/>
        <v>-156.7666765884093</v>
      </c>
      <c r="BY371" s="9">
        <f t="shared" ca="1" si="245"/>
        <v>84.412825855297342</v>
      </c>
      <c r="BZ371" s="9">
        <f t="shared" ca="1" si="246"/>
        <v>0</v>
      </c>
      <c r="CA371" s="6">
        <f t="shared" ca="1" si="247"/>
        <v>0</v>
      </c>
      <c r="CB371" s="6" t="e">
        <f t="shared" ca="1" si="248"/>
        <v>#DIV/0!</v>
      </c>
      <c r="CC371" s="6" t="e">
        <f t="shared" ca="1" si="249"/>
        <v>#DIV/0!</v>
      </c>
      <c r="CD371" s="9">
        <f t="shared" si="250"/>
        <v>-50</v>
      </c>
      <c r="CE371" s="9">
        <f t="shared" si="251"/>
        <v>0</v>
      </c>
      <c r="CF371" s="6">
        <f t="shared" si="252"/>
        <v>3.1415926535897931</v>
      </c>
      <c r="CG371" s="6"/>
      <c r="CH371" s="6"/>
      <c r="CI371" s="6"/>
      <c r="CJ371" s="1"/>
      <c r="CK371" s="6"/>
    </row>
    <row r="372" spans="75:89" x14ac:dyDescent="0.25">
      <c r="BW372" s="6" t="e">
        <f t="shared" si="243"/>
        <v>#N/A</v>
      </c>
      <c r="BX372" s="9">
        <f t="shared" ca="1" si="244"/>
        <v>-156.7666765884093</v>
      </c>
      <c r="BY372" s="9">
        <f t="shared" ca="1" si="245"/>
        <v>84.412825855297342</v>
      </c>
      <c r="BZ372" s="9">
        <f t="shared" ca="1" si="246"/>
        <v>0</v>
      </c>
      <c r="CA372" s="6">
        <f t="shared" ca="1" si="247"/>
        <v>0</v>
      </c>
      <c r="CB372" s="6" t="e">
        <f t="shared" ca="1" si="248"/>
        <v>#DIV/0!</v>
      </c>
      <c r="CC372" s="6" t="e">
        <f t="shared" ca="1" si="249"/>
        <v>#DIV/0!</v>
      </c>
      <c r="CD372" s="9">
        <f t="shared" si="250"/>
        <v>-50</v>
      </c>
      <c r="CE372" s="9">
        <f t="shared" si="251"/>
        <v>0</v>
      </c>
      <c r="CF372" s="6">
        <f t="shared" si="252"/>
        <v>3.1415926535897931</v>
      </c>
      <c r="CG372" s="6"/>
      <c r="CH372" s="6"/>
      <c r="CI372" s="6"/>
      <c r="CJ372" s="1"/>
      <c r="CK372" s="6"/>
    </row>
    <row r="373" spans="75:89" x14ac:dyDescent="0.25">
      <c r="BW373" s="6" t="e">
        <f t="shared" si="243"/>
        <v>#N/A</v>
      </c>
      <c r="BX373" s="9">
        <f t="shared" ca="1" si="244"/>
        <v>-156.7666765884093</v>
      </c>
      <c r="BY373" s="9">
        <f t="shared" ca="1" si="245"/>
        <v>84.412825855297342</v>
      </c>
      <c r="BZ373" s="9">
        <f t="shared" ca="1" si="246"/>
        <v>0</v>
      </c>
      <c r="CA373" s="6">
        <f t="shared" ca="1" si="247"/>
        <v>0</v>
      </c>
      <c r="CB373" s="6" t="e">
        <f t="shared" ca="1" si="248"/>
        <v>#DIV/0!</v>
      </c>
      <c r="CC373" s="6" t="e">
        <f t="shared" ca="1" si="249"/>
        <v>#DIV/0!</v>
      </c>
      <c r="CD373" s="9">
        <f t="shared" si="250"/>
        <v>-50</v>
      </c>
      <c r="CE373" s="9">
        <f t="shared" si="251"/>
        <v>0</v>
      </c>
      <c r="CF373" s="6">
        <f t="shared" si="252"/>
        <v>3.1415926535897931</v>
      </c>
      <c r="CG373" s="6"/>
      <c r="CH373" s="6"/>
      <c r="CI373" s="6"/>
      <c r="CJ373" s="1"/>
      <c r="CK373" s="6"/>
    </row>
    <row r="374" spans="75:89" x14ac:dyDescent="0.25">
      <c r="BW374" s="6" t="e">
        <f t="shared" si="243"/>
        <v>#N/A</v>
      </c>
      <c r="BX374" s="9">
        <f t="shared" ca="1" si="244"/>
        <v>-156.7666765884093</v>
      </c>
      <c r="BY374" s="9">
        <f t="shared" ca="1" si="245"/>
        <v>84.412825855297342</v>
      </c>
      <c r="BZ374" s="9">
        <f t="shared" ca="1" si="246"/>
        <v>0</v>
      </c>
      <c r="CA374" s="6">
        <f t="shared" ca="1" si="247"/>
        <v>0</v>
      </c>
      <c r="CB374" s="6" t="e">
        <f t="shared" ca="1" si="248"/>
        <v>#DIV/0!</v>
      </c>
      <c r="CC374" s="6" t="e">
        <f t="shared" ca="1" si="249"/>
        <v>#DIV/0!</v>
      </c>
      <c r="CD374" s="9">
        <f t="shared" si="250"/>
        <v>-50</v>
      </c>
      <c r="CE374" s="9">
        <f t="shared" si="251"/>
        <v>0</v>
      </c>
      <c r="CF374" s="6">
        <f t="shared" si="252"/>
        <v>3.1415926535897931</v>
      </c>
      <c r="CG374" s="6"/>
      <c r="CH374" s="6"/>
      <c r="CI374" s="6"/>
      <c r="CJ374" s="1"/>
      <c r="CK374" s="6"/>
    </row>
    <row r="375" spans="75:89" x14ac:dyDescent="0.25">
      <c r="BW375" s="6" t="e">
        <f t="shared" si="243"/>
        <v>#N/A</v>
      </c>
      <c r="BX375" s="9">
        <f t="shared" ca="1" si="244"/>
        <v>-156.7666765884093</v>
      </c>
      <c r="BY375" s="9">
        <f t="shared" ca="1" si="245"/>
        <v>84.412825855297342</v>
      </c>
      <c r="BZ375" s="9">
        <f t="shared" ca="1" si="246"/>
        <v>0</v>
      </c>
      <c r="CA375" s="6">
        <f t="shared" ca="1" si="247"/>
        <v>0</v>
      </c>
      <c r="CB375" s="6" t="e">
        <f t="shared" ca="1" si="248"/>
        <v>#DIV/0!</v>
      </c>
      <c r="CC375" s="6" t="e">
        <f t="shared" ca="1" si="249"/>
        <v>#DIV/0!</v>
      </c>
      <c r="CD375" s="9">
        <f t="shared" si="250"/>
        <v>-50</v>
      </c>
      <c r="CE375" s="9">
        <f t="shared" si="251"/>
        <v>0</v>
      </c>
      <c r="CF375" s="6">
        <f t="shared" si="252"/>
        <v>3.1415926535897931</v>
      </c>
      <c r="CG375" s="6"/>
      <c r="CH375" s="6"/>
      <c r="CI375" s="6"/>
      <c r="CJ375" s="1"/>
      <c r="CK375" s="6"/>
    </row>
    <row r="376" spans="75:89" x14ac:dyDescent="0.25">
      <c r="BW376" s="6">
        <f t="shared" ref="BW376" si="257">IF(BC363="",NA(),BC363)</f>
        <v>6.3006385996994831</v>
      </c>
      <c r="BX376" s="9">
        <f t="shared" ref="BX376" ca="1" si="258">BD363-$BW$5</f>
        <v>127.2728160863393</v>
      </c>
      <c r="BY376" s="9">
        <f t="shared" ref="BY376" ca="1" si="259">BE363-$BX$5</f>
        <v>84.412825855297115</v>
      </c>
      <c r="BZ376" s="9">
        <f t="shared" ref="BZ376" ca="1" si="260">BX376-$CE$5</f>
        <v>284.0394926747486</v>
      </c>
      <c r="CA376" s="6">
        <f t="shared" ref="CA376" ca="1" si="261">BY376-$CF$5</f>
        <v>-2.2737367544323206E-13</v>
      </c>
      <c r="CB376" s="6">
        <f t="shared" ref="CB376" ca="1" si="262">ATAN2(BZ376,CA376)</f>
        <v>-8.005002167202005E-16</v>
      </c>
      <c r="CC376" s="6">
        <f t="shared" ref="CC376" ca="1" si="263">ATAN2(COS(CF376-CB376),SIN(CF376-CB376))*10</f>
        <v>-1.9550231595804122E-15</v>
      </c>
      <c r="CD376" s="9">
        <f t="shared" ref="CD376" si="264">BD363-$BW$6</f>
        <v>234.0394926747486</v>
      </c>
      <c r="CE376" s="9">
        <f t="shared" ref="CE376" si="265">BE363-$BX$6</f>
        <v>-2.3310392745078038E-13</v>
      </c>
      <c r="CF376" s="6">
        <f t="shared" ref="CF376" si="266">ATAN2(CD376,CE376)</f>
        <v>-9.9600253267824169E-16</v>
      </c>
    </row>
    <row r="377" spans="75:89" x14ac:dyDescent="0.25">
      <c r="BW377" s="6"/>
      <c r="BX377" s="9"/>
      <c r="BY377" s="9"/>
      <c r="BZ377" s="9"/>
      <c r="CA377" s="6"/>
      <c r="CB377" s="6"/>
      <c r="CC377" s="6"/>
      <c r="CD377" s="9"/>
      <c r="CE377" s="9"/>
      <c r="CF377" s="6"/>
    </row>
    <row r="378" spans="75:89" x14ac:dyDescent="0.25">
      <c r="BW378" s="6"/>
    </row>
  </sheetData>
  <phoneticPr fontId="3" type="noConversion"/>
  <dataValidations count="6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  <dataValidation type="list" allowBlank="1" showInputMessage="1" showErrorMessage="1" sqref="BW3" xr:uid="{74C220A8-5D00-42C7-8FC0-C95ABF5D33EA}">
      <formula1>"parametric, mx_my_pts"</formula1>
    </dataValidation>
    <dataValidation type="list" allowBlank="1" showInputMessage="1" showErrorMessage="1" sqref="E1" xr:uid="{5D9E9ABF-B34B-4E1F-B3BB-37E76194BAFE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295275</xdr:colOff>
                    <xdr:row>23</xdr:row>
                    <xdr:rowOff>95250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isection_method_for_na_alt_reference">
                <anchor moveWithCells="1" sizeWithCells="1">
                  <from>
                    <xdr:col>21</xdr:col>
                    <xdr:colOff>352425</xdr:colOff>
                    <xdr:row>23</xdr:row>
                    <xdr:rowOff>19050</xdr:rowOff>
                  </from>
                  <to>
                    <xdr:col>22</xdr:col>
                    <xdr:colOff>857250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TLR_Section_Capacity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2020-11-22T11:27:32Z</dcterms:modified>
</cp:coreProperties>
</file>