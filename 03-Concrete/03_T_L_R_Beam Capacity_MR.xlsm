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3286893" documentId="114_{4C9766C2-934B-FE43-8898-95272A9847CE}" xr6:coauthVersionLast="45" xr6:coauthVersionMax="45" xr10:uidLastSave="{3764D9F4-AF47-4357-97AB-BB061FED3ADF}"/>
  <bookViews>
    <workbookView xWindow="28680" yWindow="-120" windowWidth="2904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W4" i="1" l="1"/>
  <c r="DW6" i="1" s="1"/>
  <c r="DV4" i="1"/>
  <c r="DV6" i="1" s="1"/>
  <c r="DU4" i="1"/>
  <c r="DO4" i="1"/>
  <c r="DO5" i="1"/>
  <c r="DP3" i="1"/>
  <c r="DQ3" i="1"/>
  <c r="DR3" i="1"/>
  <c r="DY6" i="1" l="1"/>
  <c r="DY4" i="1"/>
  <c r="AT5" i="1"/>
  <c r="AS5" i="1"/>
  <c r="BW16" i="1" l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I2" i="1"/>
  <c r="F189" i="1" l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K194" i="1" s="1"/>
  <c r="M194" i="1" s="1"/>
  <c r="C112" i="1"/>
  <c r="J112" i="1" s="1"/>
  <c r="L112" i="1" s="1"/>
  <c r="C193" i="1"/>
  <c r="K193" i="1" s="1"/>
  <c r="M193" i="1" s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N194" i="1"/>
  <c r="P194" i="1" s="1"/>
  <c r="N193" i="1"/>
  <c r="O193" i="1" s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O194" i="1" l="1"/>
  <c r="P193" i="1"/>
  <c r="F108" i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L193" i="1" l="1"/>
  <c r="L194" i="1"/>
  <c r="B151" i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DP5" i="1" s="1"/>
  <c r="B115" i="1"/>
  <c r="G104" i="1"/>
  <c r="G114" i="1" s="1"/>
  <c r="B116" i="1" s="1"/>
  <c r="H104" i="1"/>
  <c r="H114" i="1" s="1"/>
  <c r="B117" i="1" s="1"/>
  <c r="D126" i="1"/>
  <c r="K117" i="1"/>
  <c r="AB16" i="1" s="1"/>
  <c r="DR5" i="1" s="1"/>
  <c r="D125" i="1"/>
  <c r="K116" i="1"/>
  <c r="AA16" i="1" s="1"/>
  <c r="DQ5" i="1" s="1"/>
  <c r="J119" i="1"/>
  <c r="J120" i="1"/>
  <c r="DQ8" i="1" l="1"/>
  <c r="DR8" i="1"/>
  <c r="DP8" i="1"/>
  <c r="B127" i="1"/>
  <c r="Z15" i="1"/>
  <c r="DP4" i="1" s="1"/>
  <c r="F127" i="1"/>
  <c r="F126" i="1"/>
  <c r="C117" i="1"/>
  <c r="AB15" i="1" s="1"/>
  <c r="DR4" i="1" s="1"/>
  <c r="B125" i="1"/>
  <c r="C116" i="1"/>
  <c r="AA15" i="1" s="1"/>
  <c r="DQ4" i="1" s="1"/>
  <c r="F125" i="1"/>
  <c r="B120" i="1"/>
  <c r="B119" i="1"/>
  <c r="B126" i="1"/>
  <c r="DR10" i="1" l="1"/>
  <c r="DP11" i="1"/>
  <c r="DU10" i="1"/>
  <c r="DR11" i="1"/>
  <c r="DW10" i="1"/>
  <c r="DQ11" i="1"/>
  <c r="DV10" i="1"/>
  <c r="DP10" i="1"/>
  <c r="DQ10" i="1"/>
  <c r="DP14" i="1" s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DQ18" i="1" l="1"/>
  <c r="DQ17" i="1"/>
  <c r="DP17" i="1"/>
  <c r="DR16" i="1"/>
  <c r="DQ16" i="1"/>
  <c r="DR18" i="1"/>
  <c r="DP16" i="1"/>
  <c r="DP18" i="1"/>
  <c r="DR17" i="1"/>
  <c r="BW9" i="1"/>
  <c r="DV12" i="1"/>
  <c r="DY10" i="1"/>
  <c r="BX15" i="1"/>
  <c r="BX16" i="1"/>
  <c r="BX24" i="1"/>
  <c r="BX32" i="1"/>
  <c r="BX40" i="1"/>
  <c r="BX48" i="1"/>
  <c r="BX56" i="1"/>
  <c r="BX64" i="1"/>
  <c r="BX72" i="1"/>
  <c r="BX80" i="1"/>
  <c r="BX88" i="1"/>
  <c r="BX96" i="1"/>
  <c r="BX104" i="1"/>
  <c r="BX112" i="1"/>
  <c r="BX120" i="1"/>
  <c r="BX128" i="1"/>
  <c r="BX136" i="1"/>
  <c r="BX144" i="1"/>
  <c r="BX152" i="1"/>
  <c r="BX160" i="1"/>
  <c r="BX168" i="1"/>
  <c r="BX176" i="1"/>
  <c r="BX184" i="1"/>
  <c r="BX192" i="1"/>
  <c r="BX200" i="1"/>
  <c r="BX208" i="1"/>
  <c r="BX216" i="1"/>
  <c r="BX224" i="1"/>
  <c r="BX232" i="1"/>
  <c r="BX240" i="1"/>
  <c r="BX248" i="1"/>
  <c r="BX256" i="1"/>
  <c r="BX264" i="1"/>
  <c r="BX272" i="1"/>
  <c r="BX280" i="1"/>
  <c r="BX288" i="1"/>
  <c r="BX296" i="1"/>
  <c r="BX304" i="1"/>
  <c r="BX312" i="1"/>
  <c r="BX320" i="1"/>
  <c r="BX328" i="1"/>
  <c r="BX336" i="1"/>
  <c r="BX344" i="1"/>
  <c r="BX352" i="1"/>
  <c r="BX360" i="1"/>
  <c r="BX368" i="1"/>
  <c r="BX300" i="1"/>
  <c r="BX340" i="1"/>
  <c r="BX341" i="1"/>
  <c r="BX39" i="1"/>
  <c r="BX135" i="1"/>
  <c r="BX215" i="1"/>
  <c r="BX311" i="1"/>
  <c r="BX17" i="1"/>
  <c r="BX25" i="1"/>
  <c r="BX33" i="1"/>
  <c r="BX41" i="1"/>
  <c r="BX49" i="1"/>
  <c r="BX57" i="1"/>
  <c r="BX65" i="1"/>
  <c r="BX73" i="1"/>
  <c r="BX81" i="1"/>
  <c r="BX89" i="1"/>
  <c r="BX97" i="1"/>
  <c r="BX105" i="1"/>
  <c r="BX113" i="1"/>
  <c r="BX121" i="1"/>
  <c r="BX129" i="1"/>
  <c r="BX137" i="1"/>
  <c r="BX145" i="1"/>
  <c r="BX153" i="1"/>
  <c r="BX161" i="1"/>
  <c r="BX169" i="1"/>
  <c r="BX177" i="1"/>
  <c r="BX185" i="1"/>
  <c r="BX193" i="1"/>
  <c r="BX201" i="1"/>
  <c r="BX209" i="1"/>
  <c r="BX217" i="1"/>
  <c r="BX225" i="1"/>
  <c r="BX233" i="1"/>
  <c r="BX241" i="1"/>
  <c r="BX249" i="1"/>
  <c r="BX257" i="1"/>
  <c r="BX265" i="1"/>
  <c r="BX273" i="1"/>
  <c r="BX281" i="1"/>
  <c r="BX289" i="1"/>
  <c r="BX297" i="1"/>
  <c r="BX305" i="1"/>
  <c r="BX313" i="1"/>
  <c r="BX321" i="1"/>
  <c r="BX329" i="1"/>
  <c r="BX337" i="1"/>
  <c r="BX345" i="1"/>
  <c r="BX353" i="1"/>
  <c r="BX361" i="1"/>
  <c r="BX369" i="1"/>
  <c r="BX316" i="1"/>
  <c r="BX356" i="1"/>
  <c r="BX349" i="1"/>
  <c r="BX55" i="1"/>
  <c r="BX95" i="1"/>
  <c r="BX167" i="1"/>
  <c r="BX239" i="1"/>
  <c r="BX287" i="1"/>
  <c r="BX343" i="1"/>
  <c r="BX18" i="1"/>
  <c r="BX26" i="1"/>
  <c r="BX34" i="1"/>
  <c r="BX42" i="1"/>
  <c r="BX50" i="1"/>
  <c r="BX58" i="1"/>
  <c r="BX66" i="1"/>
  <c r="BX74" i="1"/>
  <c r="BX82" i="1"/>
  <c r="BX90" i="1"/>
  <c r="BX98" i="1"/>
  <c r="BX106" i="1"/>
  <c r="BX114" i="1"/>
  <c r="BX122" i="1"/>
  <c r="BX130" i="1"/>
  <c r="BX138" i="1"/>
  <c r="BX146" i="1"/>
  <c r="BX154" i="1"/>
  <c r="BX162" i="1"/>
  <c r="BX170" i="1"/>
  <c r="BX178" i="1"/>
  <c r="BX186" i="1"/>
  <c r="BX194" i="1"/>
  <c r="BX202" i="1"/>
  <c r="BX210" i="1"/>
  <c r="BX218" i="1"/>
  <c r="BX226" i="1"/>
  <c r="BX234" i="1"/>
  <c r="BX242" i="1"/>
  <c r="BX250" i="1"/>
  <c r="BX258" i="1"/>
  <c r="BX266" i="1"/>
  <c r="BX274" i="1"/>
  <c r="BX282" i="1"/>
  <c r="BX290" i="1"/>
  <c r="BX298" i="1"/>
  <c r="BX306" i="1"/>
  <c r="BX314" i="1"/>
  <c r="BX322" i="1"/>
  <c r="BX330" i="1"/>
  <c r="BX338" i="1"/>
  <c r="BX346" i="1"/>
  <c r="BX354" i="1"/>
  <c r="BX362" i="1"/>
  <c r="BX370" i="1"/>
  <c r="BX308" i="1"/>
  <c r="BX348" i="1"/>
  <c r="BX357" i="1"/>
  <c r="BX23" i="1"/>
  <c r="BX79" i="1"/>
  <c r="BX87" i="1"/>
  <c r="BX111" i="1"/>
  <c r="BX151" i="1"/>
  <c r="BX191" i="1"/>
  <c r="BX231" i="1"/>
  <c r="BX255" i="1"/>
  <c r="BX279" i="1"/>
  <c r="BX319" i="1"/>
  <c r="BX367" i="1"/>
  <c r="BX19" i="1"/>
  <c r="BX27" i="1"/>
  <c r="BX35" i="1"/>
  <c r="BX43" i="1"/>
  <c r="BX51" i="1"/>
  <c r="BX59" i="1"/>
  <c r="BX67" i="1"/>
  <c r="BX75" i="1"/>
  <c r="BX83" i="1"/>
  <c r="BX91" i="1"/>
  <c r="BX99" i="1"/>
  <c r="BX107" i="1"/>
  <c r="BX115" i="1"/>
  <c r="BX123" i="1"/>
  <c r="BX131" i="1"/>
  <c r="BX139" i="1"/>
  <c r="BX147" i="1"/>
  <c r="BX155" i="1"/>
  <c r="BX163" i="1"/>
  <c r="BX171" i="1"/>
  <c r="BX179" i="1"/>
  <c r="BX187" i="1"/>
  <c r="BX195" i="1"/>
  <c r="BX203" i="1"/>
  <c r="BX211" i="1"/>
  <c r="BX219" i="1"/>
  <c r="BX227" i="1"/>
  <c r="BX235" i="1"/>
  <c r="BX243" i="1"/>
  <c r="BX251" i="1"/>
  <c r="BX259" i="1"/>
  <c r="BX267" i="1"/>
  <c r="BX275" i="1"/>
  <c r="BX283" i="1"/>
  <c r="BX291" i="1"/>
  <c r="BX299" i="1"/>
  <c r="BX307" i="1"/>
  <c r="BX315" i="1"/>
  <c r="BX323" i="1"/>
  <c r="BX331" i="1"/>
  <c r="BX339" i="1"/>
  <c r="BX347" i="1"/>
  <c r="BX355" i="1"/>
  <c r="BX363" i="1"/>
  <c r="BX371" i="1"/>
  <c r="BX284" i="1"/>
  <c r="BX332" i="1"/>
  <c r="BX364" i="1"/>
  <c r="BX365" i="1"/>
  <c r="BX374" i="1"/>
  <c r="BX47" i="1"/>
  <c r="BX127" i="1"/>
  <c r="BX207" i="1"/>
  <c r="BX303" i="1"/>
  <c r="BX375" i="1"/>
  <c r="BX20" i="1"/>
  <c r="BX28" i="1"/>
  <c r="BX36" i="1"/>
  <c r="BX44" i="1"/>
  <c r="BX52" i="1"/>
  <c r="BX60" i="1"/>
  <c r="BX68" i="1"/>
  <c r="BX76" i="1"/>
  <c r="BX84" i="1"/>
  <c r="BX92" i="1"/>
  <c r="BX100" i="1"/>
  <c r="BX108" i="1"/>
  <c r="BX116" i="1"/>
  <c r="BX124" i="1"/>
  <c r="BX132" i="1"/>
  <c r="BX140" i="1"/>
  <c r="BX148" i="1"/>
  <c r="BX156" i="1"/>
  <c r="BX164" i="1"/>
  <c r="BX172" i="1"/>
  <c r="BX180" i="1"/>
  <c r="BX188" i="1"/>
  <c r="BX196" i="1"/>
  <c r="BX204" i="1"/>
  <c r="BX212" i="1"/>
  <c r="BX220" i="1"/>
  <c r="BX228" i="1"/>
  <c r="BX236" i="1"/>
  <c r="BX244" i="1"/>
  <c r="BX252" i="1"/>
  <c r="BX260" i="1"/>
  <c r="BX268" i="1"/>
  <c r="BX276" i="1"/>
  <c r="BX292" i="1"/>
  <c r="BX324" i="1"/>
  <c r="BX372" i="1"/>
  <c r="BX373" i="1"/>
  <c r="BX358" i="1"/>
  <c r="BX71" i="1"/>
  <c r="BX143" i="1"/>
  <c r="BX199" i="1"/>
  <c r="BX271" i="1"/>
  <c r="BX327" i="1"/>
  <c r="BX359" i="1"/>
  <c r="BX21" i="1"/>
  <c r="BX29" i="1"/>
  <c r="BX37" i="1"/>
  <c r="BX45" i="1"/>
  <c r="BX53" i="1"/>
  <c r="BX61" i="1"/>
  <c r="BX69" i="1"/>
  <c r="BX77" i="1"/>
  <c r="BX85" i="1"/>
  <c r="BX93" i="1"/>
  <c r="BX101" i="1"/>
  <c r="BX109" i="1"/>
  <c r="BX117" i="1"/>
  <c r="BX125" i="1"/>
  <c r="BX133" i="1"/>
  <c r="BX141" i="1"/>
  <c r="BX149" i="1"/>
  <c r="BX157" i="1"/>
  <c r="BX165" i="1"/>
  <c r="BX173" i="1"/>
  <c r="BX181" i="1"/>
  <c r="BX189" i="1"/>
  <c r="BX197" i="1"/>
  <c r="BX205" i="1"/>
  <c r="BX213" i="1"/>
  <c r="BX221" i="1"/>
  <c r="BX229" i="1"/>
  <c r="BX237" i="1"/>
  <c r="BX245" i="1"/>
  <c r="BX253" i="1"/>
  <c r="BX261" i="1"/>
  <c r="BX269" i="1"/>
  <c r="BX277" i="1"/>
  <c r="BX285" i="1"/>
  <c r="BX293" i="1"/>
  <c r="BX301" i="1"/>
  <c r="BX309" i="1"/>
  <c r="BX317" i="1"/>
  <c r="BX325" i="1"/>
  <c r="BX333" i="1"/>
  <c r="BX31" i="1"/>
  <c r="BX103" i="1"/>
  <c r="BX175" i="1"/>
  <c r="BX247" i="1"/>
  <c r="BX295" i="1"/>
  <c r="BX351" i="1"/>
  <c r="BX22" i="1"/>
  <c r="BX30" i="1"/>
  <c r="BX38" i="1"/>
  <c r="BX46" i="1"/>
  <c r="BX54" i="1"/>
  <c r="BX62" i="1"/>
  <c r="BX70" i="1"/>
  <c r="BX78" i="1"/>
  <c r="BX86" i="1"/>
  <c r="BX94" i="1"/>
  <c r="BX102" i="1"/>
  <c r="BX110" i="1"/>
  <c r="BX118" i="1"/>
  <c r="BX126" i="1"/>
  <c r="BX134" i="1"/>
  <c r="BX142" i="1"/>
  <c r="BX150" i="1"/>
  <c r="BX158" i="1"/>
  <c r="BX166" i="1"/>
  <c r="BX174" i="1"/>
  <c r="BX182" i="1"/>
  <c r="BX190" i="1"/>
  <c r="BX198" i="1"/>
  <c r="BX206" i="1"/>
  <c r="BX214" i="1"/>
  <c r="BX222" i="1"/>
  <c r="BX230" i="1"/>
  <c r="BX238" i="1"/>
  <c r="BX246" i="1"/>
  <c r="BX254" i="1"/>
  <c r="BX262" i="1"/>
  <c r="BX270" i="1"/>
  <c r="BX278" i="1"/>
  <c r="BX286" i="1"/>
  <c r="BX294" i="1"/>
  <c r="BX302" i="1"/>
  <c r="BX310" i="1"/>
  <c r="BX318" i="1"/>
  <c r="BX326" i="1"/>
  <c r="BX334" i="1"/>
  <c r="BX342" i="1"/>
  <c r="BX350" i="1"/>
  <c r="BX366" i="1"/>
  <c r="BX63" i="1"/>
  <c r="BX119" i="1"/>
  <c r="BX159" i="1"/>
  <c r="BX183" i="1"/>
  <c r="BX223" i="1"/>
  <c r="BX263" i="1"/>
  <c r="BX335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CD326" i="1" l="1"/>
  <c r="CD183" i="1"/>
  <c r="CD198" i="1"/>
  <c r="CD181" i="1"/>
  <c r="CD148" i="1"/>
  <c r="CD267" i="1"/>
  <c r="CD70" i="1"/>
  <c r="CD53" i="1"/>
  <c r="CD20" i="1"/>
  <c r="CD75" i="1"/>
  <c r="CD295" i="1"/>
  <c r="CD199" i="1"/>
  <c r="CD331" i="1"/>
  <c r="CD87" i="1"/>
  <c r="CD262" i="1"/>
  <c r="CD245" i="1"/>
  <c r="CD212" i="1"/>
  <c r="CD203" i="1"/>
  <c r="CD134" i="1"/>
  <c r="CD117" i="1"/>
  <c r="CD84" i="1"/>
  <c r="CD139" i="1"/>
  <c r="CD309" i="1"/>
  <c r="CD276" i="1"/>
  <c r="CD364" i="1"/>
  <c r="CD367" i="1"/>
  <c r="CD354" i="1"/>
  <c r="CD226" i="1"/>
  <c r="CD98" i="1"/>
  <c r="CD290" i="1"/>
  <c r="CD162" i="1"/>
  <c r="CD34" i="1"/>
  <c r="CD273" i="1"/>
  <c r="CD55" i="1"/>
  <c r="CD337" i="1"/>
  <c r="CD209" i="1"/>
  <c r="CD81" i="1"/>
  <c r="CD145" i="1"/>
  <c r="CD48" i="1"/>
  <c r="CD17" i="1"/>
  <c r="CD112" i="1"/>
  <c r="CD240" i="1"/>
  <c r="CD304" i="1"/>
  <c r="CD176" i="1"/>
  <c r="CD368" i="1"/>
  <c r="DP20" i="1" a="1"/>
  <c r="DP20" i="1" s="1"/>
  <c r="DP21" i="1" a="1"/>
  <c r="DP21" i="1" s="1"/>
  <c r="DU20" i="1" a="1"/>
  <c r="DU20" i="1" s="1"/>
  <c r="CD62" i="1"/>
  <c r="CD143" i="1"/>
  <c r="CD332" i="1"/>
  <c r="CD319" i="1"/>
  <c r="CD26" i="1"/>
  <c r="CD137" i="1"/>
  <c r="CD232" i="1"/>
  <c r="CD342" i="1"/>
  <c r="CD214" i="1"/>
  <c r="CD223" i="1"/>
  <c r="CD334" i="1"/>
  <c r="CD270" i="1"/>
  <c r="CD206" i="1"/>
  <c r="CD142" i="1"/>
  <c r="CD78" i="1"/>
  <c r="CD351" i="1"/>
  <c r="CD317" i="1"/>
  <c r="CD253" i="1"/>
  <c r="CD189" i="1"/>
  <c r="CD125" i="1"/>
  <c r="CD61" i="1"/>
  <c r="CD271" i="1"/>
  <c r="CD292" i="1"/>
  <c r="CD220" i="1"/>
  <c r="CD156" i="1"/>
  <c r="CD92" i="1"/>
  <c r="CD28" i="1"/>
  <c r="CD365" i="1"/>
  <c r="CD339" i="1"/>
  <c r="CD275" i="1"/>
  <c r="CD211" i="1"/>
  <c r="CD147" i="1"/>
  <c r="CD83" i="1"/>
  <c r="CD19" i="1"/>
  <c r="CD111" i="1"/>
  <c r="CD362" i="1"/>
  <c r="CD298" i="1"/>
  <c r="CD234" i="1"/>
  <c r="CD170" i="1"/>
  <c r="CD106" i="1"/>
  <c r="CD42" i="1"/>
  <c r="CD95" i="1"/>
  <c r="CD345" i="1"/>
  <c r="CD281" i="1"/>
  <c r="CD217" i="1"/>
  <c r="CD153" i="1"/>
  <c r="CD89" i="1"/>
  <c r="CD25" i="1"/>
  <c r="CD300" i="1"/>
  <c r="CD312" i="1"/>
  <c r="CD248" i="1"/>
  <c r="CD184" i="1"/>
  <c r="CD120" i="1"/>
  <c r="CD56" i="1"/>
  <c r="CD190" i="1"/>
  <c r="CD237" i="1"/>
  <c r="CD204" i="1"/>
  <c r="CD259" i="1"/>
  <c r="CD79" i="1"/>
  <c r="CD90" i="1"/>
  <c r="CD201" i="1"/>
  <c r="CD311" i="1"/>
  <c r="CD360" i="1"/>
  <c r="CD119" i="1"/>
  <c r="CD310" i="1"/>
  <c r="CD246" i="1"/>
  <c r="CD182" i="1"/>
  <c r="CD118" i="1"/>
  <c r="CD54" i="1"/>
  <c r="CD175" i="1"/>
  <c r="CD293" i="1"/>
  <c r="CD229" i="1"/>
  <c r="CD165" i="1"/>
  <c r="CD101" i="1"/>
  <c r="CD37" i="1"/>
  <c r="CD71" i="1"/>
  <c r="CD260" i="1"/>
  <c r="CD196" i="1"/>
  <c r="CD132" i="1"/>
  <c r="CD68" i="1"/>
  <c r="CD303" i="1"/>
  <c r="CD284" i="1"/>
  <c r="CD315" i="1"/>
  <c r="CD251" i="1"/>
  <c r="CD187" i="1"/>
  <c r="CD123" i="1"/>
  <c r="CD59" i="1"/>
  <c r="CD279" i="1"/>
  <c r="CD23" i="1"/>
  <c r="CD338" i="1"/>
  <c r="CD274" i="1"/>
  <c r="CD210" i="1"/>
  <c r="CD146" i="1"/>
  <c r="CD82" i="1"/>
  <c r="CD18" i="1"/>
  <c r="CD356" i="1"/>
  <c r="CD321" i="1"/>
  <c r="CD257" i="1"/>
  <c r="CD193" i="1"/>
  <c r="CD129" i="1"/>
  <c r="CD65" i="1"/>
  <c r="CD215" i="1"/>
  <c r="CD352" i="1"/>
  <c r="CD288" i="1"/>
  <c r="CD224" i="1"/>
  <c r="CD126" i="1"/>
  <c r="CD109" i="1"/>
  <c r="CD76" i="1"/>
  <c r="CD195" i="1"/>
  <c r="CD282" i="1"/>
  <c r="CD265" i="1"/>
  <c r="CD104" i="1"/>
  <c r="CD63" i="1"/>
  <c r="CD302" i="1"/>
  <c r="CD238" i="1"/>
  <c r="CD174" i="1"/>
  <c r="CD110" i="1"/>
  <c r="CD46" i="1"/>
  <c r="CD103" i="1"/>
  <c r="CD285" i="1"/>
  <c r="CD221" i="1"/>
  <c r="CD157" i="1"/>
  <c r="CD93" i="1"/>
  <c r="CD29" i="1"/>
  <c r="CD358" i="1"/>
  <c r="CD252" i="1"/>
  <c r="CD188" i="1"/>
  <c r="CD124" i="1"/>
  <c r="CD60" i="1"/>
  <c r="CD207" i="1"/>
  <c r="CD371" i="1"/>
  <c r="CD307" i="1"/>
  <c r="CD243" i="1"/>
  <c r="CD179" i="1"/>
  <c r="CD115" i="1"/>
  <c r="CD51" i="1"/>
  <c r="CD255" i="1"/>
  <c r="CD357" i="1"/>
  <c r="CD330" i="1"/>
  <c r="CD266" i="1"/>
  <c r="CD202" i="1"/>
  <c r="CD138" i="1"/>
  <c r="CD74" i="1"/>
  <c r="CD343" i="1"/>
  <c r="CD316" i="1"/>
  <c r="CD313" i="1"/>
  <c r="CD249" i="1"/>
  <c r="CD185" i="1"/>
  <c r="CD121" i="1"/>
  <c r="CD57" i="1"/>
  <c r="CD135" i="1"/>
  <c r="CD344" i="1"/>
  <c r="CD280" i="1"/>
  <c r="CD159" i="1"/>
  <c r="CD301" i="1"/>
  <c r="CD268" i="1"/>
  <c r="CD323" i="1"/>
  <c r="CD346" i="1"/>
  <c r="CD329" i="1"/>
  <c r="CD168" i="1"/>
  <c r="CD366" i="1"/>
  <c r="CD294" i="1"/>
  <c r="CD230" i="1"/>
  <c r="CD166" i="1"/>
  <c r="CD102" i="1"/>
  <c r="CD38" i="1"/>
  <c r="CD31" i="1"/>
  <c r="CD277" i="1"/>
  <c r="CD213" i="1"/>
  <c r="CD149" i="1"/>
  <c r="CD85" i="1"/>
  <c r="CD21" i="1"/>
  <c r="CD373" i="1"/>
  <c r="CD244" i="1"/>
  <c r="CD180" i="1"/>
  <c r="CD116" i="1"/>
  <c r="CD52" i="1"/>
  <c r="CD127" i="1"/>
  <c r="CD363" i="1"/>
  <c r="CD299" i="1"/>
  <c r="CD235" i="1"/>
  <c r="CD171" i="1"/>
  <c r="CD107" i="1"/>
  <c r="CD43" i="1"/>
  <c r="CD231" i="1"/>
  <c r="CD348" i="1"/>
  <c r="CD322" i="1"/>
  <c r="CD258" i="1"/>
  <c r="CD194" i="1"/>
  <c r="CD130" i="1"/>
  <c r="CD66" i="1"/>
  <c r="CD287" i="1"/>
  <c r="CD369" i="1"/>
  <c r="CD305" i="1"/>
  <c r="CD241" i="1"/>
  <c r="CD177" i="1"/>
  <c r="CD113" i="1"/>
  <c r="CD49" i="1"/>
  <c r="CD39" i="1"/>
  <c r="CD254" i="1"/>
  <c r="CD173" i="1"/>
  <c r="CD140" i="1"/>
  <c r="CD131" i="1"/>
  <c r="CD154" i="1"/>
  <c r="CD335" i="1"/>
  <c r="CD350" i="1"/>
  <c r="CD286" i="1"/>
  <c r="CD222" i="1"/>
  <c r="CD158" i="1"/>
  <c r="CD94" i="1"/>
  <c r="CD30" i="1"/>
  <c r="CD333" i="1"/>
  <c r="CD269" i="1"/>
  <c r="CD205" i="1"/>
  <c r="CD141" i="1"/>
  <c r="CD77" i="1"/>
  <c r="CD359" i="1"/>
  <c r="CD372" i="1"/>
  <c r="CD236" i="1"/>
  <c r="CD172" i="1"/>
  <c r="CD108" i="1"/>
  <c r="CD44" i="1"/>
  <c r="CD47" i="1"/>
  <c r="CD355" i="1"/>
  <c r="CD291" i="1"/>
  <c r="CD227" i="1"/>
  <c r="CD163" i="1"/>
  <c r="CD99" i="1"/>
  <c r="CD35" i="1"/>
  <c r="CD191" i="1"/>
  <c r="CD308" i="1"/>
  <c r="CD314" i="1"/>
  <c r="CD250" i="1"/>
  <c r="CD186" i="1"/>
  <c r="CD122" i="1"/>
  <c r="CD58" i="1"/>
  <c r="CD239" i="1"/>
  <c r="CD361" i="1"/>
  <c r="CD297" i="1"/>
  <c r="CD233" i="1"/>
  <c r="CD169" i="1"/>
  <c r="CD105" i="1"/>
  <c r="CD41" i="1"/>
  <c r="CD341" i="1"/>
  <c r="CD328" i="1"/>
  <c r="CD264" i="1"/>
  <c r="CD200" i="1"/>
  <c r="CD136" i="1"/>
  <c r="CD72" i="1"/>
  <c r="CD15" i="1"/>
  <c r="CD318" i="1"/>
  <c r="CD247" i="1"/>
  <c r="CD45" i="1"/>
  <c r="CD375" i="1"/>
  <c r="CD67" i="1"/>
  <c r="CD218" i="1"/>
  <c r="CD349" i="1"/>
  <c r="CD73" i="1"/>
  <c r="CD296" i="1"/>
  <c r="CD263" i="1"/>
  <c r="CD278" i="1"/>
  <c r="CD150" i="1"/>
  <c r="CD86" i="1"/>
  <c r="CD22" i="1"/>
  <c r="CD325" i="1"/>
  <c r="CD261" i="1"/>
  <c r="CD197" i="1"/>
  <c r="CD133" i="1"/>
  <c r="CD69" i="1"/>
  <c r="CD327" i="1"/>
  <c r="CD324" i="1"/>
  <c r="CD228" i="1"/>
  <c r="CD164" i="1"/>
  <c r="CD100" i="1"/>
  <c r="CD36" i="1"/>
  <c r="CD374" i="1"/>
  <c r="CD347" i="1"/>
  <c r="CD283" i="1"/>
  <c r="CD219" i="1"/>
  <c r="CD155" i="1"/>
  <c r="CD91" i="1"/>
  <c r="CD27" i="1"/>
  <c r="CD151" i="1"/>
  <c r="CD370" i="1"/>
  <c r="CD306" i="1"/>
  <c r="CD242" i="1"/>
  <c r="CD178" i="1"/>
  <c r="CD114" i="1"/>
  <c r="CD50" i="1"/>
  <c r="CD167" i="1"/>
  <c r="CD353" i="1"/>
  <c r="CD289" i="1"/>
  <c r="CD225" i="1"/>
  <c r="CD161" i="1"/>
  <c r="CD97" i="1"/>
  <c r="CD33" i="1"/>
  <c r="CD340" i="1"/>
  <c r="CD320" i="1"/>
  <c r="CD256" i="1"/>
  <c r="CD192" i="1"/>
  <c r="CD336" i="1"/>
  <c r="CD128" i="1"/>
  <c r="CD216" i="1"/>
  <c r="CD272" i="1"/>
  <c r="CD64" i="1"/>
  <c r="CD160" i="1"/>
  <c r="CD152" i="1"/>
  <c r="CD208" i="1"/>
  <c r="CD40" i="1"/>
  <c r="CD96" i="1"/>
  <c r="CD32" i="1"/>
  <c r="CD88" i="1"/>
  <c r="CD24" i="1"/>
  <c r="CD144" i="1"/>
  <c r="CD80" i="1"/>
  <c r="DK14" i="1"/>
  <c r="DL17" i="1" s="1"/>
  <c r="CD16" i="1"/>
  <c r="BX9" i="1"/>
  <c r="BW10" i="1" s="1"/>
  <c r="DW12" i="1"/>
  <c r="DY12" i="1" s="1"/>
  <c r="BY15" i="1"/>
  <c r="BY16" i="1"/>
  <c r="BY24" i="1"/>
  <c r="BY32" i="1"/>
  <c r="BY40" i="1"/>
  <c r="BY48" i="1"/>
  <c r="BY56" i="1"/>
  <c r="BY64" i="1"/>
  <c r="BY72" i="1"/>
  <c r="BY80" i="1"/>
  <c r="BY88" i="1"/>
  <c r="BY96" i="1"/>
  <c r="BY104" i="1"/>
  <c r="BY112" i="1"/>
  <c r="BY120" i="1"/>
  <c r="BY128" i="1"/>
  <c r="BY136" i="1"/>
  <c r="BY144" i="1"/>
  <c r="BY152" i="1"/>
  <c r="BY160" i="1"/>
  <c r="BY168" i="1"/>
  <c r="BY176" i="1"/>
  <c r="BY184" i="1"/>
  <c r="BY192" i="1"/>
  <c r="BY200" i="1"/>
  <c r="BY208" i="1"/>
  <c r="BY216" i="1"/>
  <c r="BY224" i="1"/>
  <c r="BY232" i="1"/>
  <c r="BY240" i="1"/>
  <c r="BY248" i="1"/>
  <c r="BY256" i="1"/>
  <c r="BY264" i="1"/>
  <c r="BY272" i="1"/>
  <c r="BY280" i="1"/>
  <c r="BY288" i="1"/>
  <c r="BY296" i="1"/>
  <c r="BY304" i="1"/>
  <c r="BY312" i="1"/>
  <c r="BY320" i="1"/>
  <c r="BY328" i="1"/>
  <c r="BY336" i="1"/>
  <c r="BY344" i="1"/>
  <c r="BY352" i="1"/>
  <c r="BY360" i="1"/>
  <c r="BY368" i="1"/>
  <c r="BY355" i="1"/>
  <c r="BY363" i="1"/>
  <c r="BY364" i="1"/>
  <c r="BY21" i="1"/>
  <c r="BY245" i="1"/>
  <c r="BY349" i="1"/>
  <c r="BY46" i="1"/>
  <c r="BY86" i="1"/>
  <c r="BY150" i="1"/>
  <c r="BY206" i="1"/>
  <c r="BY262" i="1"/>
  <c r="BY318" i="1"/>
  <c r="BY366" i="1"/>
  <c r="BY17" i="1"/>
  <c r="BY25" i="1"/>
  <c r="BY33" i="1"/>
  <c r="BY41" i="1"/>
  <c r="BY49" i="1"/>
  <c r="BY57" i="1"/>
  <c r="BY65" i="1"/>
  <c r="BY73" i="1"/>
  <c r="BY81" i="1"/>
  <c r="BY89" i="1"/>
  <c r="BY97" i="1"/>
  <c r="BY105" i="1"/>
  <c r="BY113" i="1"/>
  <c r="BY121" i="1"/>
  <c r="BY129" i="1"/>
  <c r="BY137" i="1"/>
  <c r="BY145" i="1"/>
  <c r="BY153" i="1"/>
  <c r="BY161" i="1"/>
  <c r="BY169" i="1"/>
  <c r="BY177" i="1"/>
  <c r="BY185" i="1"/>
  <c r="BY193" i="1"/>
  <c r="BY201" i="1"/>
  <c r="BY209" i="1"/>
  <c r="BY217" i="1"/>
  <c r="BY225" i="1"/>
  <c r="BY233" i="1"/>
  <c r="BY241" i="1"/>
  <c r="BY249" i="1"/>
  <c r="BY257" i="1"/>
  <c r="BY265" i="1"/>
  <c r="BY273" i="1"/>
  <c r="BY281" i="1"/>
  <c r="BY289" i="1"/>
  <c r="BY297" i="1"/>
  <c r="BY305" i="1"/>
  <c r="BY313" i="1"/>
  <c r="BY321" i="1"/>
  <c r="BY329" i="1"/>
  <c r="BY337" i="1"/>
  <c r="BY345" i="1"/>
  <c r="BY353" i="1"/>
  <c r="BY361" i="1"/>
  <c r="BY369" i="1"/>
  <c r="BY347" i="1"/>
  <c r="BY371" i="1"/>
  <c r="BY356" i="1"/>
  <c r="BY29" i="1"/>
  <c r="BY237" i="1"/>
  <c r="BY325" i="1"/>
  <c r="BY38" i="1"/>
  <c r="BY94" i="1"/>
  <c r="BY142" i="1"/>
  <c r="BY198" i="1"/>
  <c r="BY270" i="1"/>
  <c r="BY310" i="1"/>
  <c r="BY358" i="1"/>
  <c r="BY18" i="1"/>
  <c r="BY26" i="1"/>
  <c r="BY34" i="1"/>
  <c r="BY42" i="1"/>
  <c r="BY50" i="1"/>
  <c r="BY58" i="1"/>
  <c r="BY66" i="1"/>
  <c r="BY74" i="1"/>
  <c r="BY82" i="1"/>
  <c r="BY90" i="1"/>
  <c r="BY98" i="1"/>
  <c r="BY106" i="1"/>
  <c r="BY114" i="1"/>
  <c r="BY122" i="1"/>
  <c r="BY130" i="1"/>
  <c r="BY138" i="1"/>
  <c r="BY146" i="1"/>
  <c r="BY154" i="1"/>
  <c r="BY162" i="1"/>
  <c r="BY170" i="1"/>
  <c r="BY178" i="1"/>
  <c r="BY186" i="1"/>
  <c r="BY194" i="1"/>
  <c r="BY202" i="1"/>
  <c r="BY210" i="1"/>
  <c r="BY218" i="1"/>
  <c r="BY226" i="1"/>
  <c r="BY234" i="1"/>
  <c r="BY242" i="1"/>
  <c r="BY250" i="1"/>
  <c r="BY258" i="1"/>
  <c r="BY266" i="1"/>
  <c r="BY274" i="1"/>
  <c r="BY282" i="1"/>
  <c r="BY290" i="1"/>
  <c r="BY298" i="1"/>
  <c r="BY306" i="1"/>
  <c r="BY314" i="1"/>
  <c r="BY322" i="1"/>
  <c r="BY330" i="1"/>
  <c r="BY338" i="1"/>
  <c r="BY346" i="1"/>
  <c r="BY354" i="1"/>
  <c r="BY362" i="1"/>
  <c r="BY370" i="1"/>
  <c r="BY339" i="1"/>
  <c r="BY372" i="1"/>
  <c r="BY45" i="1"/>
  <c r="BY213" i="1"/>
  <c r="BY309" i="1"/>
  <c r="BY54" i="1"/>
  <c r="BY110" i="1"/>
  <c r="BY158" i="1"/>
  <c r="BY190" i="1"/>
  <c r="BY230" i="1"/>
  <c r="BY278" i="1"/>
  <c r="BY342" i="1"/>
  <c r="BY19" i="1"/>
  <c r="BY27" i="1"/>
  <c r="BY35" i="1"/>
  <c r="BY43" i="1"/>
  <c r="BY51" i="1"/>
  <c r="BY59" i="1"/>
  <c r="BY67" i="1"/>
  <c r="BY75" i="1"/>
  <c r="BY83" i="1"/>
  <c r="BY91" i="1"/>
  <c r="BY99" i="1"/>
  <c r="BY107" i="1"/>
  <c r="BY115" i="1"/>
  <c r="BY123" i="1"/>
  <c r="BY131" i="1"/>
  <c r="BY139" i="1"/>
  <c r="BY147" i="1"/>
  <c r="BY155" i="1"/>
  <c r="BY163" i="1"/>
  <c r="BY171" i="1"/>
  <c r="BY179" i="1"/>
  <c r="BY187" i="1"/>
  <c r="BY195" i="1"/>
  <c r="BY203" i="1"/>
  <c r="BY211" i="1"/>
  <c r="CE211" i="1" s="1"/>
  <c r="BY219" i="1"/>
  <c r="BY227" i="1"/>
  <c r="BY235" i="1"/>
  <c r="BY243" i="1"/>
  <c r="BY251" i="1"/>
  <c r="BY259" i="1"/>
  <c r="BY267" i="1"/>
  <c r="BY275" i="1"/>
  <c r="BY283" i="1"/>
  <c r="BY291" i="1"/>
  <c r="BY299" i="1"/>
  <c r="BY307" i="1"/>
  <c r="BY315" i="1"/>
  <c r="BY323" i="1"/>
  <c r="BY331" i="1"/>
  <c r="BY37" i="1"/>
  <c r="CE37" i="1" s="1"/>
  <c r="BY221" i="1"/>
  <c r="BY317" i="1"/>
  <c r="BY62" i="1"/>
  <c r="BY126" i="1"/>
  <c r="BY182" i="1"/>
  <c r="BY238" i="1"/>
  <c r="BY302" i="1"/>
  <c r="BY374" i="1"/>
  <c r="CE374" i="1" s="1"/>
  <c r="BY20" i="1"/>
  <c r="BY28" i="1"/>
  <c r="BY36" i="1"/>
  <c r="BY44" i="1"/>
  <c r="BY52" i="1"/>
  <c r="BY60" i="1"/>
  <c r="BY68" i="1"/>
  <c r="BY76" i="1"/>
  <c r="CE76" i="1" s="1"/>
  <c r="BY84" i="1"/>
  <c r="BY92" i="1"/>
  <c r="BY100" i="1"/>
  <c r="BY108" i="1"/>
  <c r="BY116" i="1"/>
  <c r="BY124" i="1"/>
  <c r="BY132" i="1"/>
  <c r="BY140" i="1"/>
  <c r="CE140" i="1" s="1"/>
  <c r="BY148" i="1"/>
  <c r="BY156" i="1"/>
  <c r="BY164" i="1"/>
  <c r="BY172" i="1"/>
  <c r="BY180" i="1"/>
  <c r="BY188" i="1"/>
  <c r="BY196" i="1"/>
  <c r="BY204" i="1"/>
  <c r="CE204" i="1" s="1"/>
  <c r="BY212" i="1"/>
  <c r="BY220" i="1"/>
  <c r="BY228" i="1"/>
  <c r="BY236" i="1"/>
  <c r="BY244" i="1"/>
  <c r="BY252" i="1"/>
  <c r="BY260" i="1"/>
  <c r="BY268" i="1"/>
  <c r="CE268" i="1" s="1"/>
  <c r="BY276" i="1"/>
  <c r="BY284" i="1"/>
  <c r="BY292" i="1"/>
  <c r="BY300" i="1"/>
  <c r="BY308" i="1"/>
  <c r="BY316" i="1"/>
  <c r="BY324" i="1"/>
  <c r="BY332" i="1"/>
  <c r="CE332" i="1" s="1"/>
  <c r="BY340" i="1"/>
  <c r="BY348" i="1"/>
  <c r="BY53" i="1"/>
  <c r="BY77" i="1"/>
  <c r="BY93" i="1"/>
  <c r="BY109" i="1"/>
  <c r="BY125" i="1"/>
  <c r="BY141" i="1"/>
  <c r="CE141" i="1" s="1"/>
  <c r="BY157" i="1"/>
  <c r="BY173" i="1"/>
  <c r="BY189" i="1"/>
  <c r="BY205" i="1"/>
  <c r="BY253" i="1"/>
  <c r="BY269" i="1"/>
  <c r="BY285" i="1"/>
  <c r="BY301" i="1"/>
  <c r="CE301" i="1" s="1"/>
  <c r="BY341" i="1"/>
  <c r="BY365" i="1"/>
  <c r="BY22" i="1"/>
  <c r="BY78" i="1"/>
  <c r="BY118" i="1"/>
  <c r="BY166" i="1"/>
  <c r="BY214" i="1"/>
  <c r="BY246" i="1"/>
  <c r="CE246" i="1" s="1"/>
  <c r="BY286" i="1"/>
  <c r="BY334" i="1"/>
  <c r="BY23" i="1"/>
  <c r="BY31" i="1"/>
  <c r="BY39" i="1"/>
  <c r="BY47" i="1"/>
  <c r="BY55" i="1"/>
  <c r="BY63" i="1"/>
  <c r="CE63" i="1" s="1"/>
  <c r="BY71" i="1"/>
  <c r="BY79" i="1"/>
  <c r="BY87" i="1"/>
  <c r="BY95" i="1"/>
  <c r="BY103" i="1"/>
  <c r="BY111" i="1"/>
  <c r="BY119" i="1"/>
  <c r="BY127" i="1"/>
  <c r="CE127" i="1" s="1"/>
  <c r="BY135" i="1"/>
  <c r="BY143" i="1"/>
  <c r="BY151" i="1"/>
  <c r="BY159" i="1"/>
  <c r="BY167" i="1"/>
  <c r="BY175" i="1"/>
  <c r="BY183" i="1"/>
  <c r="BY191" i="1"/>
  <c r="CE191" i="1" s="1"/>
  <c r="BY199" i="1"/>
  <c r="BY207" i="1"/>
  <c r="BY215" i="1"/>
  <c r="BY223" i="1"/>
  <c r="BY231" i="1"/>
  <c r="BY239" i="1"/>
  <c r="BY247" i="1"/>
  <c r="BY255" i="1"/>
  <c r="CE255" i="1" s="1"/>
  <c r="BY263" i="1"/>
  <c r="BY271" i="1"/>
  <c r="BY279" i="1"/>
  <c r="BY287" i="1"/>
  <c r="BY295" i="1"/>
  <c r="BY303" i="1"/>
  <c r="BY311" i="1"/>
  <c r="BY319" i="1"/>
  <c r="CE319" i="1" s="1"/>
  <c r="BY327" i="1"/>
  <c r="BY335" i="1"/>
  <c r="BY343" i="1"/>
  <c r="BY351" i="1"/>
  <c r="BY359" i="1"/>
  <c r="BY367" i="1"/>
  <c r="BY375" i="1"/>
  <c r="BY61" i="1"/>
  <c r="CE61" i="1" s="1"/>
  <c r="BY69" i="1"/>
  <c r="BY85" i="1"/>
  <c r="BY101" i="1"/>
  <c r="BY117" i="1"/>
  <c r="BY133" i="1"/>
  <c r="BY149" i="1"/>
  <c r="BY165" i="1"/>
  <c r="BY181" i="1"/>
  <c r="CE181" i="1" s="1"/>
  <c r="BY197" i="1"/>
  <c r="BY229" i="1"/>
  <c r="BY261" i="1"/>
  <c r="BY277" i="1"/>
  <c r="BY293" i="1"/>
  <c r="BY333" i="1"/>
  <c r="BY357" i="1"/>
  <c r="BY373" i="1"/>
  <c r="CE373" i="1" s="1"/>
  <c r="BY30" i="1"/>
  <c r="BY70" i="1"/>
  <c r="BY102" i="1"/>
  <c r="BY134" i="1"/>
  <c r="BY174" i="1"/>
  <c r="BY222" i="1"/>
  <c r="BY254" i="1"/>
  <c r="BY294" i="1"/>
  <c r="CE294" i="1" s="1"/>
  <c r="BY326" i="1"/>
  <c r="BY350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CE275" i="1" l="1"/>
  <c r="CF275" i="1" s="1"/>
  <c r="CG275" i="1" s="1"/>
  <c r="CE19" i="1"/>
  <c r="CE309" i="1"/>
  <c r="CE147" i="1"/>
  <c r="CE346" i="1"/>
  <c r="CF346" i="1" s="1"/>
  <c r="CG346" i="1" s="1"/>
  <c r="CE83" i="1"/>
  <c r="CE282" i="1"/>
  <c r="CF282" i="1" s="1"/>
  <c r="CG282" i="1" s="1"/>
  <c r="CE218" i="1"/>
  <c r="CF218" i="1" s="1"/>
  <c r="CG218" i="1" s="1"/>
  <c r="CE26" i="1"/>
  <c r="CE90" i="1"/>
  <c r="CE154" i="1"/>
  <c r="CF154" i="1" s="1"/>
  <c r="CG154" i="1" s="1"/>
  <c r="CE38" i="1"/>
  <c r="CE233" i="1"/>
  <c r="CF233" i="1" s="1"/>
  <c r="CG233" i="1" s="1"/>
  <c r="CE297" i="1"/>
  <c r="CE361" i="1"/>
  <c r="CE169" i="1"/>
  <c r="CE150" i="1"/>
  <c r="CF150" i="1" s="1"/>
  <c r="CG150" i="1" s="1"/>
  <c r="CE312" i="1"/>
  <c r="CF312" i="1" s="1"/>
  <c r="CG312" i="1" s="1"/>
  <c r="CE105" i="1"/>
  <c r="CF105" i="1" s="1"/>
  <c r="CG105" i="1" s="1"/>
  <c r="CE355" i="1"/>
  <c r="CF355" i="1" s="1"/>
  <c r="CG355" i="1" s="1"/>
  <c r="CE41" i="1"/>
  <c r="DX20" i="1"/>
  <c r="DW20" i="1"/>
  <c r="DV20" i="1"/>
  <c r="CE326" i="1"/>
  <c r="CF326" i="1" s="1"/>
  <c r="CH326" i="1" s="1"/>
  <c r="CE30" i="1"/>
  <c r="CE197" i="1"/>
  <c r="CF197" i="1" s="1"/>
  <c r="CG197" i="1" s="1"/>
  <c r="CE69" i="1"/>
  <c r="CE327" i="1"/>
  <c r="CE263" i="1"/>
  <c r="CF263" i="1" s="1"/>
  <c r="CG263" i="1" s="1"/>
  <c r="CE199" i="1"/>
  <c r="CF199" i="1" s="1"/>
  <c r="CH199" i="1" s="1"/>
  <c r="CE135" i="1"/>
  <c r="CF135" i="1" s="1"/>
  <c r="CG135" i="1" s="1"/>
  <c r="CE71" i="1"/>
  <c r="CE286" i="1"/>
  <c r="CF286" i="1" s="1"/>
  <c r="CG286" i="1" s="1"/>
  <c r="CE341" i="1"/>
  <c r="CF341" i="1" s="1"/>
  <c r="CG341" i="1" s="1"/>
  <c r="CE157" i="1"/>
  <c r="CF157" i="1" s="1"/>
  <c r="CG157" i="1" s="1"/>
  <c r="CE340" i="1"/>
  <c r="CE276" i="1"/>
  <c r="CF276" i="1" s="1"/>
  <c r="CG276" i="1" s="1"/>
  <c r="CE212" i="1"/>
  <c r="CE148" i="1"/>
  <c r="CE84" i="1"/>
  <c r="CF84" i="1" s="1"/>
  <c r="CG84" i="1" s="1"/>
  <c r="CE20" i="1"/>
  <c r="DQ21" i="1"/>
  <c r="DS21" i="1"/>
  <c r="DR21" i="1"/>
  <c r="CE221" i="1"/>
  <c r="CE283" i="1"/>
  <c r="CF283" i="1" s="1"/>
  <c r="CG283" i="1" s="1"/>
  <c r="CE219" i="1"/>
  <c r="CF219" i="1" s="1"/>
  <c r="CG219" i="1" s="1"/>
  <c r="CE155" i="1"/>
  <c r="CE91" i="1"/>
  <c r="CF91" i="1" s="1"/>
  <c r="CG91" i="1" s="1"/>
  <c r="CE27" i="1"/>
  <c r="CF27" i="1" s="1"/>
  <c r="CG27" i="1" s="1"/>
  <c r="CE54" i="1"/>
  <c r="CF54" i="1" s="1"/>
  <c r="CG54" i="1" s="1"/>
  <c r="CE354" i="1"/>
  <c r="CE290" i="1"/>
  <c r="CE226" i="1"/>
  <c r="CF226" i="1" s="1"/>
  <c r="CG226" i="1" s="1"/>
  <c r="CE162" i="1"/>
  <c r="CE98" i="1"/>
  <c r="CF98" i="1" s="1"/>
  <c r="CG98" i="1" s="1"/>
  <c r="CE34" i="1"/>
  <c r="CF34" i="1" s="1"/>
  <c r="CG34" i="1" s="1"/>
  <c r="CE94" i="1"/>
  <c r="CE369" i="1"/>
  <c r="CF369" i="1" s="1"/>
  <c r="CG369" i="1" s="1"/>
  <c r="CE305" i="1"/>
  <c r="CE241" i="1"/>
  <c r="CF241" i="1" s="1"/>
  <c r="CG241" i="1" s="1"/>
  <c r="CE177" i="1"/>
  <c r="CF177" i="1" s="1"/>
  <c r="CG177" i="1" s="1"/>
  <c r="CE113" i="1"/>
  <c r="CF113" i="1" s="1"/>
  <c r="CE49" i="1"/>
  <c r="CF49" i="1" s="1"/>
  <c r="CG49" i="1" s="1"/>
  <c r="DQ20" i="1"/>
  <c r="DP24" i="1" s="1"/>
  <c r="DS20" i="1"/>
  <c r="DR20" i="1"/>
  <c r="CE222" i="1"/>
  <c r="CF222" i="1" s="1"/>
  <c r="CG222" i="1" s="1"/>
  <c r="CE293" i="1"/>
  <c r="CF293" i="1" s="1"/>
  <c r="CG293" i="1" s="1"/>
  <c r="CE350" i="1"/>
  <c r="CE70" i="1"/>
  <c r="CE229" i="1"/>
  <c r="CF229" i="1" s="1"/>
  <c r="CG229" i="1" s="1"/>
  <c r="CE85" i="1"/>
  <c r="CF85" i="1" s="1"/>
  <c r="CG85" i="1" s="1"/>
  <c r="CE335" i="1"/>
  <c r="CF335" i="1" s="1"/>
  <c r="CH335" i="1" s="1"/>
  <c r="CE271" i="1"/>
  <c r="CE207" i="1"/>
  <c r="CF207" i="1" s="1"/>
  <c r="CG207" i="1" s="1"/>
  <c r="CE143" i="1"/>
  <c r="CF143" i="1" s="1"/>
  <c r="CG143" i="1" s="1"/>
  <c r="CE79" i="1"/>
  <c r="CE334" i="1"/>
  <c r="CF334" i="1" s="1"/>
  <c r="CG334" i="1" s="1"/>
  <c r="CE365" i="1"/>
  <c r="CF365" i="1" s="1"/>
  <c r="CG365" i="1" s="1"/>
  <c r="CE173" i="1"/>
  <c r="CF173" i="1" s="1"/>
  <c r="CE348" i="1"/>
  <c r="CF348" i="1" s="1"/>
  <c r="CG348" i="1" s="1"/>
  <c r="CE284" i="1"/>
  <c r="CE220" i="1"/>
  <c r="CF220" i="1" s="1"/>
  <c r="CG220" i="1" s="1"/>
  <c r="CE156" i="1"/>
  <c r="CF156" i="1" s="1"/>
  <c r="CG156" i="1" s="1"/>
  <c r="CE92" i="1"/>
  <c r="CE28" i="1"/>
  <c r="CF28" i="1" s="1"/>
  <c r="CG28" i="1" s="1"/>
  <c r="CE317" i="1"/>
  <c r="CE291" i="1"/>
  <c r="CF291" i="1" s="1"/>
  <c r="CG291" i="1" s="1"/>
  <c r="CE227" i="1"/>
  <c r="CF227" i="1" s="1"/>
  <c r="CG227" i="1" s="1"/>
  <c r="CE163" i="1"/>
  <c r="CF163" i="1" s="1"/>
  <c r="CG163" i="1" s="1"/>
  <c r="CE99" i="1"/>
  <c r="CF99" i="1" s="1"/>
  <c r="CG99" i="1" s="1"/>
  <c r="CE35" i="1"/>
  <c r="CE110" i="1"/>
  <c r="CF110" i="1" s="1"/>
  <c r="CG110" i="1" s="1"/>
  <c r="CE362" i="1"/>
  <c r="CF362" i="1" s="1"/>
  <c r="CG362" i="1" s="1"/>
  <c r="CE254" i="1"/>
  <c r="CE357" i="1"/>
  <c r="CF357" i="1" s="1"/>
  <c r="CG357" i="1" s="1"/>
  <c r="CE165" i="1"/>
  <c r="CF165" i="1" s="1"/>
  <c r="CG165" i="1" s="1"/>
  <c r="CE375" i="1"/>
  <c r="CE311" i="1"/>
  <c r="CE247" i="1"/>
  <c r="CE183" i="1"/>
  <c r="CE119" i="1"/>
  <c r="CF119" i="1" s="1"/>
  <c r="CG119" i="1" s="1"/>
  <c r="CE55" i="1"/>
  <c r="CE214" i="1"/>
  <c r="CE285" i="1"/>
  <c r="CF285" i="1" s="1"/>
  <c r="CG285" i="1" s="1"/>
  <c r="CE125" i="1"/>
  <c r="CF125" i="1" s="1"/>
  <c r="CG125" i="1" s="1"/>
  <c r="CE324" i="1"/>
  <c r="CF324" i="1" s="1"/>
  <c r="CG324" i="1" s="1"/>
  <c r="CE260" i="1"/>
  <c r="CE196" i="1"/>
  <c r="CE132" i="1"/>
  <c r="CF132" i="1" s="1"/>
  <c r="CG132" i="1" s="1"/>
  <c r="CE68" i="1"/>
  <c r="CE302" i="1"/>
  <c r="CF302" i="1" s="1"/>
  <c r="CG302" i="1" s="1"/>
  <c r="CE331" i="1"/>
  <c r="CE267" i="1"/>
  <c r="CF267" i="1" s="1"/>
  <c r="CG267" i="1" s="1"/>
  <c r="CE203" i="1"/>
  <c r="CE139" i="1"/>
  <c r="CF139" i="1" s="1"/>
  <c r="CG139" i="1" s="1"/>
  <c r="CE75" i="1"/>
  <c r="CE342" i="1"/>
  <c r="CF342" i="1" s="1"/>
  <c r="CG342" i="1" s="1"/>
  <c r="CE213" i="1"/>
  <c r="CF213" i="1" s="1"/>
  <c r="CG213" i="1" s="1"/>
  <c r="CE338" i="1"/>
  <c r="CF338" i="1" s="1"/>
  <c r="CG338" i="1" s="1"/>
  <c r="CE274" i="1"/>
  <c r="CF274" i="1" s="1"/>
  <c r="CG274" i="1" s="1"/>
  <c r="CE210" i="1"/>
  <c r="CF210" i="1" s="1"/>
  <c r="CG210" i="1" s="1"/>
  <c r="CE146" i="1"/>
  <c r="CF146" i="1" s="1"/>
  <c r="CG146" i="1" s="1"/>
  <c r="CE82" i="1"/>
  <c r="CF82" i="1" s="1"/>
  <c r="CH82" i="1" s="1"/>
  <c r="CE18" i="1"/>
  <c r="CE325" i="1"/>
  <c r="CE353" i="1"/>
  <c r="CF353" i="1" s="1"/>
  <c r="CG353" i="1" s="1"/>
  <c r="CE289" i="1"/>
  <c r="CE225" i="1"/>
  <c r="CE161" i="1"/>
  <c r="CE97" i="1"/>
  <c r="CF97" i="1" s="1"/>
  <c r="CG97" i="1" s="1"/>
  <c r="CE333" i="1"/>
  <c r="CE149" i="1"/>
  <c r="CF149" i="1" s="1"/>
  <c r="CG149" i="1" s="1"/>
  <c r="CE367" i="1"/>
  <c r="CF367" i="1" s="1"/>
  <c r="CG367" i="1" s="1"/>
  <c r="CE303" i="1"/>
  <c r="CF303" i="1" s="1"/>
  <c r="CG303" i="1" s="1"/>
  <c r="CE239" i="1"/>
  <c r="CE175" i="1"/>
  <c r="CE111" i="1"/>
  <c r="CF111" i="1" s="1"/>
  <c r="CG111" i="1" s="1"/>
  <c r="CE47" i="1"/>
  <c r="CF47" i="1" s="1"/>
  <c r="CG47" i="1" s="1"/>
  <c r="CE166" i="1"/>
  <c r="CF166" i="1" s="1"/>
  <c r="CG166" i="1" s="1"/>
  <c r="CE269" i="1"/>
  <c r="CE109" i="1"/>
  <c r="CF109" i="1" s="1"/>
  <c r="CG109" i="1" s="1"/>
  <c r="CE316" i="1"/>
  <c r="CF316" i="1" s="1"/>
  <c r="CG316" i="1" s="1"/>
  <c r="CE252" i="1"/>
  <c r="CE188" i="1"/>
  <c r="CF188" i="1" s="1"/>
  <c r="CE124" i="1"/>
  <c r="CF124" i="1" s="1"/>
  <c r="CG124" i="1" s="1"/>
  <c r="CE60" i="1"/>
  <c r="CF60" i="1" s="1"/>
  <c r="CG60" i="1" s="1"/>
  <c r="CE238" i="1"/>
  <c r="CF238" i="1" s="1"/>
  <c r="CH238" i="1" s="1"/>
  <c r="CE323" i="1"/>
  <c r="CF323" i="1" s="1"/>
  <c r="CG323" i="1" s="1"/>
  <c r="CE259" i="1"/>
  <c r="CF259" i="1" s="1"/>
  <c r="CG259" i="1" s="1"/>
  <c r="CE195" i="1"/>
  <c r="CF195" i="1" s="1"/>
  <c r="CG195" i="1" s="1"/>
  <c r="CE131" i="1"/>
  <c r="CE67" i="1"/>
  <c r="CE278" i="1"/>
  <c r="CE45" i="1"/>
  <c r="CF45" i="1" s="1"/>
  <c r="CH45" i="1" s="1"/>
  <c r="CE330" i="1"/>
  <c r="CF330" i="1" s="1"/>
  <c r="CG330" i="1" s="1"/>
  <c r="CE174" i="1"/>
  <c r="CF174" i="1" s="1"/>
  <c r="CG174" i="1" s="1"/>
  <c r="CE295" i="1"/>
  <c r="CF295" i="1" s="1"/>
  <c r="CG295" i="1" s="1"/>
  <c r="CE231" i="1"/>
  <c r="CE167" i="1"/>
  <c r="CE103" i="1"/>
  <c r="CF103" i="1" s="1"/>
  <c r="CG103" i="1" s="1"/>
  <c r="CE39" i="1"/>
  <c r="CF39" i="1" s="1"/>
  <c r="CG39" i="1" s="1"/>
  <c r="CE118" i="1"/>
  <c r="CE253" i="1"/>
  <c r="CF253" i="1" s="1"/>
  <c r="CG253" i="1" s="1"/>
  <c r="CE93" i="1"/>
  <c r="CF93" i="1" s="1"/>
  <c r="CG93" i="1" s="1"/>
  <c r="CE308" i="1"/>
  <c r="CE244" i="1"/>
  <c r="CE180" i="1"/>
  <c r="CE116" i="1"/>
  <c r="CF116" i="1" s="1"/>
  <c r="CG116" i="1" s="1"/>
  <c r="CE52" i="1"/>
  <c r="CF52" i="1" s="1"/>
  <c r="CG52" i="1" s="1"/>
  <c r="CE182" i="1"/>
  <c r="CE315" i="1"/>
  <c r="CE251" i="1"/>
  <c r="CF251" i="1" s="1"/>
  <c r="CG251" i="1" s="1"/>
  <c r="CE187" i="1"/>
  <c r="CF187" i="1" s="1"/>
  <c r="CG187" i="1" s="1"/>
  <c r="CE123" i="1"/>
  <c r="CE59" i="1"/>
  <c r="CE230" i="1"/>
  <c r="CF230" i="1" s="1"/>
  <c r="CG230" i="1" s="1"/>
  <c r="CE372" i="1"/>
  <c r="CF372" i="1" s="1"/>
  <c r="CG372" i="1" s="1"/>
  <c r="CE322" i="1"/>
  <c r="CF322" i="1" s="1"/>
  <c r="CG322" i="1" s="1"/>
  <c r="CE258" i="1"/>
  <c r="CE194" i="1"/>
  <c r="CF194" i="1" s="1"/>
  <c r="CG194" i="1" s="1"/>
  <c r="CE130" i="1"/>
  <c r="CF130" i="1" s="1"/>
  <c r="CG130" i="1" s="1"/>
  <c r="CE66" i="1"/>
  <c r="CF66" i="1" s="1"/>
  <c r="CH66" i="1" s="1"/>
  <c r="CE310" i="1"/>
  <c r="CE29" i="1"/>
  <c r="CF29" i="1" s="1"/>
  <c r="CG29" i="1" s="1"/>
  <c r="CE337" i="1"/>
  <c r="CF337" i="1" s="1"/>
  <c r="CG337" i="1" s="1"/>
  <c r="CE273" i="1"/>
  <c r="CF273" i="1" s="1"/>
  <c r="CG273" i="1" s="1"/>
  <c r="CE209" i="1"/>
  <c r="CF209" i="1" s="1"/>
  <c r="CG209" i="1" s="1"/>
  <c r="CE145" i="1"/>
  <c r="CF145" i="1" s="1"/>
  <c r="CG145" i="1" s="1"/>
  <c r="CE81" i="1"/>
  <c r="CE17" i="1"/>
  <c r="CE349" i="1"/>
  <c r="CF349" i="1" s="1"/>
  <c r="CG349" i="1" s="1"/>
  <c r="CE352" i="1"/>
  <c r="CF352" i="1" s="1"/>
  <c r="CG352" i="1" s="1"/>
  <c r="CE359" i="1"/>
  <c r="CF359" i="1" s="1"/>
  <c r="CG359" i="1" s="1"/>
  <c r="CE134" i="1"/>
  <c r="CE277" i="1"/>
  <c r="CF277" i="1" s="1"/>
  <c r="CG277" i="1" s="1"/>
  <c r="CE117" i="1"/>
  <c r="CE351" i="1"/>
  <c r="CF351" i="1" s="1"/>
  <c r="CG351" i="1" s="1"/>
  <c r="CE287" i="1"/>
  <c r="CE223" i="1"/>
  <c r="CE159" i="1"/>
  <c r="CF159" i="1" s="1"/>
  <c r="CG159" i="1" s="1"/>
  <c r="CE95" i="1"/>
  <c r="CE31" i="1"/>
  <c r="CF31" i="1" s="1"/>
  <c r="CG31" i="1" s="1"/>
  <c r="CE78" i="1"/>
  <c r="CE205" i="1"/>
  <c r="CF205" i="1" s="1"/>
  <c r="CG205" i="1" s="1"/>
  <c r="CE77" i="1"/>
  <c r="CE300" i="1"/>
  <c r="CF300" i="1" s="1"/>
  <c r="CG300" i="1" s="1"/>
  <c r="CE236" i="1"/>
  <c r="CF236" i="1" s="1"/>
  <c r="CG236" i="1" s="1"/>
  <c r="CE172" i="1"/>
  <c r="CF172" i="1" s="1"/>
  <c r="CG172" i="1" s="1"/>
  <c r="CE108" i="1"/>
  <c r="CF108" i="1" s="1"/>
  <c r="CG108" i="1" s="1"/>
  <c r="CE44" i="1"/>
  <c r="CE126" i="1"/>
  <c r="CF126" i="1" s="1"/>
  <c r="CG126" i="1" s="1"/>
  <c r="CE307" i="1"/>
  <c r="CF307" i="1" s="1"/>
  <c r="CG307" i="1" s="1"/>
  <c r="CE243" i="1"/>
  <c r="CF243" i="1" s="1"/>
  <c r="CG243" i="1" s="1"/>
  <c r="CE179" i="1"/>
  <c r="CF179" i="1" s="1"/>
  <c r="CG179" i="1" s="1"/>
  <c r="CE115" i="1"/>
  <c r="CE51" i="1"/>
  <c r="CE190" i="1"/>
  <c r="CE339" i="1"/>
  <c r="CF339" i="1" s="1"/>
  <c r="CG339" i="1" s="1"/>
  <c r="CE314" i="1"/>
  <c r="CF314" i="1" s="1"/>
  <c r="CG314" i="1" s="1"/>
  <c r="CE250" i="1"/>
  <c r="CF250" i="1" s="1"/>
  <c r="CG250" i="1" s="1"/>
  <c r="CE186" i="1"/>
  <c r="CF186" i="1" s="1"/>
  <c r="CG186" i="1" s="1"/>
  <c r="CE122" i="1"/>
  <c r="CF122" i="1" s="1"/>
  <c r="CG122" i="1" s="1"/>
  <c r="CE58" i="1"/>
  <c r="CF58" i="1" s="1"/>
  <c r="CG58" i="1" s="1"/>
  <c r="CE270" i="1"/>
  <c r="CF270" i="1" s="1"/>
  <c r="CE356" i="1"/>
  <c r="CF356" i="1" s="1"/>
  <c r="CG356" i="1" s="1"/>
  <c r="CE329" i="1"/>
  <c r="CE265" i="1"/>
  <c r="CF265" i="1" s="1"/>
  <c r="CG265" i="1" s="1"/>
  <c r="CE201" i="1"/>
  <c r="CF201" i="1" s="1"/>
  <c r="CG201" i="1" s="1"/>
  <c r="CE137" i="1"/>
  <c r="CF137" i="1" s="1"/>
  <c r="CG137" i="1" s="1"/>
  <c r="CE73" i="1"/>
  <c r="CF73" i="1" s="1"/>
  <c r="CG73" i="1" s="1"/>
  <c r="CE366" i="1"/>
  <c r="CF366" i="1" s="1"/>
  <c r="CG366" i="1" s="1"/>
  <c r="CE245" i="1"/>
  <c r="CF245" i="1" s="1"/>
  <c r="CG245" i="1" s="1"/>
  <c r="CE133" i="1"/>
  <c r="CE102" i="1"/>
  <c r="CF102" i="1" s="1"/>
  <c r="CG102" i="1" s="1"/>
  <c r="CE261" i="1"/>
  <c r="CE101" i="1"/>
  <c r="CF101" i="1" s="1"/>
  <c r="CG101" i="1" s="1"/>
  <c r="CE343" i="1"/>
  <c r="CE279" i="1"/>
  <c r="CE215" i="1"/>
  <c r="CE151" i="1"/>
  <c r="CF151" i="1" s="1"/>
  <c r="CG151" i="1" s="1"/>
  <c r="CE87" i="1"/>
  <c r="CF87" i="1" s="1"/>
  <c r="CG87" i="1" s="1"/>
  <c r="CE23" i="1"/>
  <c r="CF23" i="1" s="1"/>
  <c r="CG23" i="1" s="1"/>
  <c r="CE22" i="1"/>
  <c r="CF22" i="1" s="1"/>
  <c r="CG22" i="1" s="1"/>
  <c r="CE189" i="1"/>
  <c r="CE53" i="1"/>
  <c r="CE292" i="1"/>
  <c r="CE228" i="1"/>
  <c r="CE164" i="1"/>
  <c r="CE100" i="1"/>
  <c r="CF100" i="1" s="1"/>
  <c r="CG100" i="1" s="1"/>
  <c r="CE36" i="1"/>
  <c r="CE62" i="1"/>
  <c r="CF62" i="1" s="1"/>
  <c r="CG62" i="1" s="1"/>
  <c r="CE299" i="1"/>
  <c r="CF299" i="1" s="1"/>
  <c r="CG299" i="1" s="1"/>
  <c r="CE235" i="1"/>
  <c r="CF235" i="1" s="1"/>
  <c r="CG235" i="1" s="1"/>
  <c r="CE171" i="1"/>
  <c r="CE107" i="1"/>
  <c r="CF107" i="1" s="1"/>
  <c r="CG107" i="1" s="1"/>
  <c r="CE43" i="1"/>
  <c r="CF43" i="1" s="1"/>
  <c r="CG43" i="1" s="1"/>
  <c r="CE158" i="1"/>
  <c r="CF158" i="1" s="1"/>
  <c r="CG158" i="1" s="1"/>
  <c r="CE370" i="1"/>
  <c r="CE306" i="1"/>
  <c r="CF306" i="1" s="1"/>
  <c r="CG306" i="1" s="1"/>
  <c r="CE242" i="1"/>
  <c r="CE178" i="1"/>
  <c r="CE114" i="1"/>
  <c r="CF114" i="1" s="1"/>
  <c r="CG114" i="1" s="1"/>
  <c r="CE50" i="1"/>
  <c r="CF50" i="1" s="1"/>
  <c r="CE198" i="1"/>
  <c r="CF198" i="1" s="1"/>
  <c r="CG198" i="1" s="1"/>
  <c r="CE371" i="1"/>
  <c r="CE321" i="1"/>
  <c r="CF321" i="1" s="1"/>
  <c r="CG321" i="1" s="1"/>
  <c r="CE257" i="1"/>
  <c r="CF257" i="1" s="1"/>
  <c r="CG257" i="1" s="1"/>
  <c r="CE193" i="1"/>
  <c r="CF193" i="1" s="1"/>
  <c r="CG193" i="1" s="1"/>
  <c r="CE129" i="1"/>
  <c r="CF129" i="1" s="1"/>
  <c r="CG129" i="1" s="1"/>
  <c r="CE65" i="1"/>
  <c r="CE288" i="1"/>
  <c r="CF288" i="1" s="1"/>
  <c r="CG288" i="1" s="1"/>
  <c r="CE224" i="1"/>
  <c r="CE160" i="1"/>
  <c r="CF160" i="1" s="1"/>
  <c r="CG160" i="1" s="1"/>
  <c r="CE96" i="1"/>
  <c r="CE344" i="1"/>
  <c r="CE318" i="1"/>
  <c r="CF318" i="1" s="1"/>
  <c r="CG318" i="1" s="1"/>
  <c r="CE21" i="1"/>
  <c r="CE336" i="1"/>
  <c r="CF336" i="1" s="1"/>
  <c r="CG336" i="1" s="1"/>
  <c r="CE206" i="1"/>
  <c r="CF206" i="1" s="1"/>
  <c r="CG206" i="1" s="1"/>
  <c r="CE363" i="1"/>
  <c r="CF363" i="1" s="1"/>
  <c r="CG363" i="1" s="1"/>
  <c r="CE320" i="1"/>
  <c r="DK17" i="1"/>
  <c r="DK18" i="1"/>
  <c r="DM16" i="1"/>
  <c r="DM17" i="1"/>
  <c r="DL16" i="1"/>
  <c r="DK16" i="1"/>
  <c r="CE32" i="1"/>
  <c r="DL18" i="1"/>
  <c r="DM18" i="1"/>
  <c r="CE272" i="1"/>
  <c r="CE208" i="1"/>
  <c r="CE144" i="1"/>
  <c r="CE80" i="1"/>
  <c r="CF80" i="1" s="1"/>
  <c r="CG80" i="1" s="1"/>
  <c r="CE16" i="1"/>
  <c r="CE280" i="1"/>
  <c r="CF280" i="1" s="1"/>
  <c r="CH280" i="1" s="1"/>
  <c r="CE216" i="1"/>
  <c r="CF216" i="1" s="1"/>
  <c r="CG216" i="1" s="1"/>
  <c r="CE152" i="1"/>
  <c r="CE88" i="1"/>
  <c r="CE24" i="1"/>
  <c r="CE298" i="1"/>
  <c r="CF298" i="1" s="1"/>
  <c r="CG298" i="1" s="1"/>
  <c r="CE234" i="1"/>
  <c r="CF234" i="1" s="1"/>
  <c r="CG234" i="1" s="1"/>
  <c r="CE170" i="1"/>
  <c r="CF170" i="1" s="1"/>
  <c r="CG170" i="1" s="1"/>
  <c r="CE106" i="1"/>
  <c r="CF106" i="1" s="1"/>
  <c r="CG106" i="1" s="1"/>
  <c r="CE42" i="1"/>
  <c r="CE142" i="1"/>
  <c r="CE347" i="1"/>
  <c r="CF347" i="1" s="1"/>
  <c r="CG347" i="1" s="1"/>
  <c r="CE313" i="1"/>
  <c r="CE249" i="1"/>
  <c r="CE185" i="1"/>
  <c r="CF185" i="1" s="1"/>
  <c r="CG185" i="1" s="1"/>
  <c r="CE121" i="1"/>
  <c r="CF121" i="1" s="1"/>
  <c r="CG121" i="1" s="1"/>
  <c r="CE57" i="1"/>
  <c r="CF57" i="1" s="1"/>
  <c r="CG57" i="1" s="1"/>
  <c r="CE262" i="1"/>
  <c r="CF262" i="1" s="1"/>
  <c r="CG262" i="1" s="1"/>
  <c r="CE364" i="1"/>
  <c r="CE328" i="1"/>
  <c r="CF328" i="1" s="1"/>
  <c r="CG328" i="1" s="1"/>
  <c r="CE264" i="1"/>
  <c r="CF264" i="1" s="1"/>
  <c r="CG264" i="1" s="1"/>
  <c r="CE200" i="1"/>
  <c r="CF200" i="1" s="1"/>
  <c r="CG200" i="1" s="1"/>
  <c r="CE136" i="1"/>
  <c r="CF136" i="1" s="1"/>
  <c r="CG136" i="1" s="1"/>
  <c r="CE72" i="1"/>
  <c r="CF72" i="1" s="1"/>
  <c r="CH72" i="1" s="1"/>
  <c r="CE256" i="1"/>
  <c r="CE192" i="1"/>
  <c r="CF192" i="1" s="1"/>
  <c r="CG192" i="1" s="1"/>
  <c r="CE128" i="1"/>
  <c r="CE64" i="1"/>
  <c r="CF64" i="1" s="1"/>
  <c r="CG64" i="1" s="1"/>
  <c r="CE248" i="1"/>
  <c r="CE184" i="1"/>
  <c r="CF184" i="1" s="1"/>
  <c r="CG184" i="1" s="1"/>
  <c r="CE120" i="1"/>
  <c r="CF120" i="1" s="1"/>
  <c r="CG120" i="1" s="1"/>
  <c r="CE56" i="1"/>
  <c r="CE33" i="1"/>
  <c r="CF33" i="1" s="1"/>
  <c r="CG33" i="1" s="1"/>
  <c r="CE86" i="1"/>
  <c r="CE368" i="1"/>
  <c r="CF368" i="1" s="1"/>
  <c r="CG368" i="1" s="1"/>
  <c r="CE304" i="1"/>
  <c r="CF304" i="1" s="1"/>
  <c r="CH304" i="1" s="1"/>
  <c r="CE240" i="1"/>
  <c r="CE176" i="1"/>
  <c r="CF176" i="1" s="1"/>
  <c r="CG176" i="1" s="1"/>
  <c r="CE112" i="1"/>
  <c r="CF112" i="1" s="1"/>
  <c r="CH112" i="1" s="1"/>
  <c r="CE48" i="1"/>
  <c r="CE266" i="1"/>
  <c r="CE202" i="1"/>
  <c r="CE138" i="1"/>
  <c r="CE74" i="1"/>
  <c r="CF74" i="1" s="1"/>
  <c r="CG74" i="1" s="1"/>
  <c r="CE358" i="1"/>
  <c r="CE237" i="1"/>
  <c r="CE345" i="1"/>
  <c r="CF345" i="1" s="1"/>
  <c r="CG345" i="1" s="1"/>
  <c r="CE281" i="1"/>
  <c r="CF281" i="1" s="1"/>
  <c r="CG281" i="1" s="1"/>
  <c r="CE217" i="1"/>
  <c r="CE153" i="1"/>
  <c r="CE89" i="1"/>
  <c r="CF89" i="1" s="1"/>
  <c r="CH89" i="1" s="1"/>
  <c r="CE25" i="1"/>
  <c r="CE46" i="1"/>
  <c r="CE360" i="1"/>
  <c r="CE296" i="1"/>
  <c r="CE232" i="1"/>
  <c r="CF232" i="1" s="1"/>
  <c r="CG232" i="1" s="1"/>
  <c r="CE168" i="1"/>
  <c r="CF168" i="1" s="1"/>
  <c r="CG168" i="1" s="1"/>
  <c r="CE104" i="1"/>
  <c r="CF104" i="1" s="1"/>
  <c r="CG104" i="1" s="1"/>
  <c r="CE40" i="1"/>
  <c r="CF40" i="1" s="1"/>
  <c r="CG40" i="1" s="1"/>
  <c r="CE15" i="1"/>
  <c r="CF255" i="1"/>
  <c r="CG255" i="1" s="1"/>
  <c r="CF374" i="1"/>
  <c r="CG374" i="1" s="1"/>
  <c r="CF204" i="1"/>
  <c r="CG204" i="1" s="1"/>
  <c r="CF211" i="1"/>
  <c r="CG211" i="1" s="1"/>
  <c r="CF141" i="1"/>
  <c r="CG141" i="1" s="1"/>
  <c r="BZ15" i="1"/>
  <c r="CA15" i="1" s="1"/>
  <c r="CF332" i="1"/>
  <c r="CH332" i="1" s="1"/>
  <c r="CF309" i="1"/>
  <c r="CG309" i="1" s="1"/>
  <c r="BW11" i="1"/>
  <c r="CF301" i="1"/>
  <c r="CG301" i="1" s="1"/>
  <c r="BZ38" i="1"/>
  <c r="CA38" i="1" s="1"/>
  <c r="BZ227" i="1"/>
  <c r="CB227" i="1" s="1"/>
  <c r="BZ214" i="1"/>
  <c r="CA214" i="1" s="1"/>
  <c r="BZ215" i="1"/>
  <c r="CB215" i="1" s="1"/>
  <c r="BZ190" i="1"/>
  <c r="CB190" i="1" s="1"/>
  <c r="BZ355" i="1"/>
  <c r="CA355" i="1" s="1"/>
  <c r="BZ46" i="1"/>
  <c r="CA46" i="1" s="1"/>
  <c r="BZ35" i="1"/>
  <c r="CB35" i="1" s="1"/>
  <c r="BZ291" i="1"/>
  <c r="CB291" i="1" s="1"/>
  <c r="BZ354" i="1"/>
  <c r="CB354" i="1" s="1"/>
  <c r="BZ210" i="1"/>
  <c r="CA210" i="1" s="1"/>
  <c r="BZ342" i="1"/>
  <c r="CB342" i="1" s="1"/>
  <c r="BZ220" i="1"/>
  <c r="CA220" i="1" s="1"/>
  <c r="BZ49" i="1"/>
  <c r="CA49" i="1" s="1"/>
  <c r="BZ244" i="1"/>
  <c r="CB244" i="1" s="1"/>
  <c r="BZ146" i="1"/>
  <c r="CA146" i="1" s="1"/>
  <c r="BZ261" i="1"/>
  <c r="CB261" i="1" s="1"/>
  <c r="BZ311" i="1"/>
  <c r="CA311" i="1" s="1"/>
  <c r="BZ223" i="1"/>
  <c r="CB223" i="1" s="1"/>
  <c r="BZ286" i="1"/>
  <c r="CA286" i="1" s="1"/>
  <c r="BZ165" i="1"/>
  <c r="CA165" i="1" s="1"/>
  <c r="BZ277" i="1"/>
  <c r="CB277" i="1" s="1"/>
  <c r="BZ353" i="1"/>
  <c r="CB353" i="1" s="1"/>
  <c r="BZ211" i="1"/>
  <c r="CB211" i="1" s="1"/>
  <c r="BZ345" i="1"/>
  <c r="CB345" i="1" s="1"/>
  <c r="BZ369" i="1"/>
  <c r="CA369" i="1" s="1"/>
  <c r="BZ31" i="1"/>
  <c r="CA31" i="1" s="1"/>
  <c r="BZ346" i="1"/>
  <c r="CA346" i="1" s="1"/>
  <c r="BZ68" i="1"/>
  <c r="CA68" i="1" s="1"/>
  <c r="BZ181" i="1"/>
  <c r="CA181" i="1" s="1"/>
  <c r="BZ58" i="1"/>
  <c r="CA58" i="1" s="1"/>
  <c r="BZ132" i="1"/>
  <c r="CA132" i="1" s="1"/>
  <c r="BZ236" i="1"/>
  <c r="CB236" i="1" s="1"/>
  <c r="BZ373" i="1"/>
  <c r="CA373" i="1" s="1"/>
  <c r="BZ243" i="1"/>
  <c r="CB243" i="1" s="1"/>
  <c r="BZ219" i="1"/>
  <c r="CA219" i="1" s="1"/>
  <c r="BZ103" i="1"/>
  <c r="CB103" i="1" s="1"/>
  <c r="BZ229" i="1"/>
  <c r="CB229" i="1" s="1"/>
  <c r="BZ159" i="1"/>
  <c r="CA159" i="1" s="1"/>
  <c r="BZ50" i="1"/>
  <c r="CB50" i="1" s="1"/>
  <c r="BZ326" i="1"/>
  <c r="CA326" i="1" s="1"/>
  <c r="BZ239" i="1"/>
  <c r="CB239" i="1" s="1"/>
  <c r="BZ158" i="1"/>
  <c r="CA158" i="1" s="1"/>
  <c r="BZ241" i="1"/>
  <c r="CB241" i="1" s="1"/>
  <c r="BZ118" i="1"/>
  <c r="CA118" i="1" s="1"/>
  <c r="BZ124" i="1"/>
  <c r="CA124" i="1" s="1"/>
  <c r="BZ285" i="1"/>
  <c r="CA285" i="1" s="1"/>
  <c r="BZ313" i="1"/>
  <c r="CA313" i="1" s="1"/>
  <c r="BZ126" i="1"/>
  <c r="CA126" i="1" s="1"/>
  <c r="BZ180" i="1"/>
  <c r="CA180" i="1" s="1"/>
  <c r="BZ27" i="1"/>
  <c r="CA27" i="1" s="1"/>
  <c r="BZ115" i="1"/>
  <c r="CA115" i="1" s="1"/>
  <c r="BZ122" i="1"/>
  <c r="CB122" i="1" s="1"/>
  <c r="BZ329" i="1"/>
  <c r="CB329" i="1" s="1"/>
  <c r="BZ302" i="1"/>
  <c r="CB302" i="1" s="1"/>
  <c r="BZ66" i="1"/>
  <c r="CB66" i="1" s="1"/>
  <c r="BZ143" i="1"/>
  <c r="CB143" i="1" s="1"/>
  <c r="BZ316" i="1"/>
  <c r="CA316" i="1" s="1"/>
  <c r="BZ299" i="1"/>
  <c r="CB299" i="1" s="1"/>
  <c r="BZ195" i="1"/>
  <c r="CA195" i="1" s="1"/>
  <c r="BZ125" i="1"/>
  <c r="CA125" i="1" s="1"/>
  <c r="BZ356" i="1"/>
  <c r="CB356" i="1" s="1"/>
  <c r="BZ101" i="1"/>
  <c r="CB101" i="1" s="1"/>
  <c r="BZ111" i="1"/>
  <c r="CB111" i="1" s="1"/>
  <c r="BZ303" i="1"/>
  <c r="CB303" i="1" s="1"/>
  <c r="BZ53" i="1"/>
  <c r="CA53" i="1" s="1"/>
  <c r="BZ62" i="1"/>
  <c r="CB62" i="1" s="1"/>
  <c r="BZ338" i="1"/>
  <c r="CA338" i="1" s="1"/>
  <c r="BZ337" i="1"/>
  <c r="CA337" i="1" s="1"/>
  <c r="BZ322" i="1"/>
  <c r="CB322" i="1" s="1"/>
  <c r="BZ270" i="1"/>
  <c r="CB270" i="1" s="1"/>
  <c r="BZ140" i="1"/>
  <c r="CB140" i="1" s="1"/>
  <c r="BZ148" i="1"/>
  <c r="CA148" i="1" s="1"/>
  <c r="BZ306" i="1"/>
  <c r="CA306" i="1" s="1"/>
  <c r="BZ156" i="1"/>
  <c r="CA156" i="1" s="1"/>
  <c r="BZ254" i="1"/>
  <c r="CA254" i="1" s="1"/>
  <c r="BZ39" i="1"/>
  <c r="CA39" i="1" s="1"/>
  <c r="BZ54" i="1"/>
  <c r="CA54" i="1" s="1"/>
  <c r="BZ169" i="1"/>
  <c r="CB169" i="1" s="1"/>
  <c r="BZ367" i="1"/>
  <c r="CB367" i="1" s="1"/>
  <c r="BZ361" i="1"/>
  <c r="CB361" i="1" s="1"/>
  <c r="BZ279" i="1"/>
  <c r="CA279" i="1" s="1"/>
  <c r="BZ332" i="1"/>
  <c r="CA332" i="1" s="1"/>
  <c r="BZ331" i="1"/>
  <c r="CB331" i="1" s="1"/>
  <c r="BZ226" i="1"/>
  <c r="CA226" i="1" s="1"/>
  <c r="BZ273" i="1"/>
  <c r="CB273" i="1" s="1"/>
  <c r="BZ83" i="1"/>
  <c r="CA83" i="1" s="1"/>
  <c r="BZ182" i="1"/>
  <c r="CA182" i="1" s="1"/>
  <c r="BZ197" i="1"/>
  <c r="CA197" i="1" s="1"/>
  <c r="BZ246" i="1"/>
  <c r="CB246" i="1" s="1"/>
  <c r="BZ102" i="1"/>
  <c r="CB102" i="1" s="1"/>
  <c r="BZ212" i="1"/>
  <c r="CB212" i="1" s="1"/>
  <c r="BZ366" i="1"/>
  <c r="CB366" i="1" s="1"/>
  <c r="BZ157" i="1"/>
  <c r="CB157" i="1" s="1"/>
  <c r="BZ282" i="1"/>
  <c r="CB282" i="1" s="1"/>
  <c r="BZ22" i="1"/>
  <c r="CB22" i="1" s="1"/>
  <c r="BZ266" i="1"/>
  <c r="CB266" i="1" s="1"/>
  <c r="BZ52" i="1"/>
  <c r="CA52" i="1" s="1"/>
  <c r="BZ305" i="1"/>
  <c r="CB305" i="1" s="1"/>
  <c r="BZ307" i="1"/>
  <c r="CA307" i="1" s="1"/>
  <c r="BZ20" i="1"/>
  <c r="CB20" i="1" s="1"/>
  <c r="BZ250" i="1"/>
  <c r="CB250" i="1" s="1"/>
  <c r="BZ26" i="1"/>
  <c r="CB26" i="1" s="1"/>
  <c r="BZ209" i="1"/>
  <c r="CA209" i="1" s="1"/>
  <c r="BZ173" i="1"/>
  <c r="CB173" i="1" s="1"/>
  <c r="BZ147" i="1"/>
  <c r="CB147" i="1" s="1"/>
  <c r="BZ222" i="1"/>
  <c r="CB222" i="1" s="1"/>
  <c r="BZ47" i="1"/>
  <c r="CA47" i="1" s="1"/>
  <c r="BZ63" i="1"/>
  <c r="CB63" i="1" s="1"/>
  <c r="BZ374" i="1"/>
  <c r="CA374" i="1" s="1"/>
  <c r="BZ235" i="1"/>
  <c r="CA235" i="1" s="1"/>
  <c r="BZ370" i="1"/>
  <c r="CA370" i="1" s="1"/>
  <c r="BZ99" i="1"/>
  <c r="CB99" i="1" s="1"/>
  <c r="BZ127" i="1"/>
  <c r="CA127" i="1" s="1"/>
  <c r="BZ300" i="1"/>
  <c r="CB300" i="1" s="1"/>
  <c r="BZ131" i="1"/>
  <c r="CA131" i="1" s="1"/>
  <c r="BZ364" i="1"/>
  <c r="CA364" i="1" s="1"/>
  <c r="BZ174" i="1"/>
  <c r="CA174" i="1" s="1"/>
  <c r="BZ70" i="1"/>
  <c r="CB70" i="1" s="1"/>
  <c r="BZ191" i="1"/>
  <c r="CB191" i="1" s="1"/>
  <c r="BZ51" i="1"/>
  <c r="CB51" i="1" s="1"/>
  <c r="BZ84" i="1"/>
  <c r="CB84" i="1" s="1"/>
  <c r="BZ333" i="1"/>
  <c r="CB333" i="1" s="1"/>
  <c r="BZ151" i="1"/>
  <c r="CB151" i="1" s="1"/>
  <c r="BZ135" i="1"/>
  <c r="CB135" i="1" s="1"/>
  <c r="BZ268" i="1"/>
  <c r="CB268" i="1" s="1"/>
  <c r="BZ245" i="1"/>
  <c r="CB245" i="1" s="1"/>
  <c r="BZ130" i="1"/>
  <c r="CA130" i="1" s="1"/>
  <c r="BZ324" i="1"/>
  <c r="CA324" i="1" s="1"/>
  <c r="BZ295" i="1"/>
  <c r="CB295" i="1" s="1"/>
  <c r="BZ155" i="1"/>
  <c r="CB155" i="1" s="1"/>
  <c r="BZ359" i="1"/>
  <c r="CB359" i="1" s="1"/>
  <c r="BZ205" i="1"/>
  <c r="CB205" i="1" s="1"/>
  <c r="BZ133" i="1"/>
  <c r="CB133" i="1" s="1"/>
  <c r="BZ60" i="1"/>
  <c r="CA60" i="1" s="1"/>
  <c r="BZ85" i="1"/>
  <c r="CA85" i="1" s="1"/>
  <c r="BZ263" i="1"/>
  <c r="CB263" i="1" s="1"/>
  <c r="BZ260" i="1"/>
  <c r="CB260" i="1" s="1"/>
  <c r="BZ339" i="1"/>
  <c r="CA339" i="1" s="1"/>
  <c r="BZ75" i="1"/>
  <c r="CA75" i="1" s="1"/>
  <c r="BZ71" i="1"/>
  <c r="CB71" i="1" s="1"/>
  <c r="BZ344" i="1"/>
  <c r="CA344" i="1" s="1"/>
  <c r="BZ349" i="1"/>
  <c r="CB349" i="1" s="1"/>
  <c r="BZ188" i="1"/>
  <c r="CB188" i="1" s="1"/>
  <c r="BZ45" i="1"/>
  <c r="CA45" i="1" s="1"/>
  <c r="BZ271" i="1"/>
  <c r="CB271" i="1" s="1"/>
  <c r="BZ274" i="1"/>
  <c r="CA274" i="1" s="1"/>
  <c r="BZ154" i="1"/>
  <c r="CB154" i="1" s="1"/>
  <c r="BZ55" i="1"/>
  <c r="CA55" i="1" s="1"/>
  <c r="BZ269" i="1"/>
  <c r="CB269" i="1" s="1"/>
  <c r="BZ69" i="1"/>
  <c r="CB69" i="1" s="1"/>
  <c r="BZ116" i="1"/>
  <c r="CB116" i="1" s="1"/>
  <c r="BZ59" i="1"/>
  <c r="CB59" i="1" s="1"/>
  <c r="BZ281" i="1"/>
  <c r="CA281" i="1" s="1"/>
  <c r="BZ365" i="1"/>
  <c r="CA365" i="1" s="1"/>
  <c r="BZ206" i="1"/>
  <c r="CA206" i="1" s="1"/>
  <c r="BZ183" i="1"/>
  <c r="CA183" i="1" s="1"/>
  <c r="BZ372" i="1"/>
  <c r="CB372" i="1" s="1"/>
  <c r="BZ65" i="1"/>
  <c r="CA65" i="1" s="1"/>
  <c r="BZ323" i="1"/>
  <c r="CA323" i="1" s="1"/>
  <c r="BZ328" i="1"/>
  <c r="CA328" i="1" s="1"/>
  <c r="BZ228" i="1"/>
  <c r="CB228" i="1" s="1"/>
  <c r="BZ317" i="1"/>
  <c r="CA317" i="1" s="1"/>
  <c r="BZ213" i="1"/>
  <c r="CB213" i="1" s="1"/>
  <c r="BZ255" i="1"/>
  <c r="CB255" i="1" s="1"/>
  <c r="BZ179" i="1"/>
  <c r="CB179" i="1" s="1"/>
  <c r="BZ100" i="1"/>
  <c r="CB100" i="1" s="1"/>
  <c r="BZ186" i="1"/>
  <c r="CA186" i="1" s="1"/>
  <c r="BZ175" i="1"/>
  <c r="CA175" i="1" s="1"/>
  <c r="BZ259" i="1"/>
  <c r="CA259" i="1" s="1"/>
  <c r="BZ202" i="1"/>
  <c r="CA202" i="1" s="1"/>
  <c r="BZ77" i="1"/>
  <c r="CB77" i="1" s="1"/>
  <c r="BZ275" i="1"/>
  <c r="CA275" i="1" s="1"/>
  <c r="BZ86" i="1"/>
  <c r="CA86" i="1" s="1"/>
  <c r="BZ363" i="1"/>
  <c r="CB363" i="1" s="1"/>
  <c r="BZ166" i="1"/>
  <c r="CA166" i="1" s="1"/>
  <c r="BZ137" i="1"/>
  <c r="CA137" i="1" s="1"/>
  <c r="BZ341" i="1"/>
  <c r="CA341" i="1" s="1"/>
  <c r="BZ90" i="1"/>
  <c r="CA90" i="1" s="1"/>
  <c r="BZ301" i="1"/>
  <c r="CB301" i="1" s="1"/>
  <c r="BZ253" i="1"/>
  <c r="CB253" i="1" s="1"/>
  <c r="BZ292" i="1"/>
  <c r="CA292" i="1" s="1"/>
  <c r="BZ91" i="1"/>
  <c r="CA91" i="1" s="1"/>
  <c r="BZ74" i="1"/>
  <c r="CB74" i="1" s="1"/>
  <c r="BZ294" i="1"/>
  <c r="CB294" i="1" s="1"/>
  <c r="BZ28" i="1"/>
  <c r="CA28" i="1" s="1"/>
  <c r="BZ93" i="1"/>
  <c r="CA93" i="1" s="1"/>
  <c r="BZ284" i="1"/>
  <c r="CB284" i="1" s="1"/>
  <c r="BZ23" i="1"/>
  <c r="CB23" i="1" s="1"/>
  <c r="BZ371" i="1"/>
  <c r="CA371" i="1" s="1"/>
  <c r="BZ92" i="1"/>
  <c r="CA92" i="1" s="1"/>
  <c r="BZ167" i="1"/>
  <c r="CB167" i="1" s="1"/>
  <c r="BZ163" i="1"/>
  <c r="CB163" i="1" s="1"/>
  <c r="BZ230" i="1"/>
  <c r="CA230" i="1" s="1"/>
  <c r="BZ327" i="1"/>
  <c r="CB327" i="1" s="1"/>
  <c r="BZ221" i="1"/>
  <c r="CB221" i="1" s="1"/>
  <c r="BZ265" i="1"/>
  <c r="CB265" i="1" s="1"/>
  <c r="BZ29" i="1"/>
  <c r="CB29" i="1" s="1"/>
  <c r="BZ172" i="1"/>
  <c r="CA172" i="1" s="1"/>
  <c r="BZ256" i="1"/>
  <c r="CB256" i="1" s="1"/>
  <c r="BZ194" i="1"/>
  <c r="CB194" i="1" s="1"/>
  <c r="BZ310" i="1"/>
  <c r="CA310" i="1" s="1"/>
  <c r="BZ315" i="1"/>
  <c r="CA315" i="1" s="1"/>
  <c r="BZ67" i="1"/>
  <c r="CA67" i="1" s="1"/>
  <c r="BZ336" i="1"/>
  <c r="CB336" i="1" s="1"/>
  <c r="BZ87" i="1"/>
  <c r="CA87" i="1" s="1"/>
  <c r="BZ171" i="1"/>
  <c r="CA171" i="1" s="1"/>
  <c r="BZ37" i="1"/>
  <c r="CB37" i="1" s="1"/>
  <c r="BZ287" i="1"/>
  <c r="CA287" i="1" s="1"/>
  <c r="BZ178" i="1"/>
  <c r="CA178" i="1" s="1"/>
  <c r="BZ343" i="1"/>
  <c r="CA343" i="1" s="1"/>
  <c r="BZ61" i="1"/>
  <c r="CB61" i="1" s="1"/>
  <c r="BZ375" i="1"/>
  <c r="CB375" i="1" s="1"/>
  <c r="BZ79" i="1"/>
  <c r="CB79" i="1" s="1"/>
  <c r="BZ290" i="1"/>
  <c r="CB290" i="1" s="1"/>
  <c r="BZ335" i="1"/>
  <c r="CB335" i="1" s="1"/>
  <c r="BZ204" i="1"/>
  <c r="CB204" i="1" s="1"/>
  <c r="BZ238" i="1"/>
  <c r="CB238" i="1" s="1"/>
  <c r="BZ189" i="1"/>
  <c r="CA189" i="1" s="1"/>
  <c r="BZ139" i="1"/>
  <c r="CB139" i="1" s="1"/>
  <c r="BZ193" i="1"/>
  <c r="CB193" i="1" s="1"/>
  <c r="BZ350" i="1"/>
  <c r="CA350" i="1" s="1"/>
  <c r="BZ21" i="1"/>
  <c r="CB21" i="1" s="1"/>
  <c r="BZ78" i="1"/>
  <c r="CA78" i="1" s="1"/>
  <c r="BZ150" i="1"/>
  <c r="CA150" i="1" s="1"/>
  <c r="BZ30" i="1"/>
  <c r="CA30" i="1" s="1"/>
  <c r="BZ242" i="1"/>
  <c r="CB242" i="1" s="1"/>
  <c r="BZ95" i="1"/>
  <c r="CA95" i="1" s="1"/>
  <c r="BZ258" i="1"/>
  <c r="CA258" i="1" s="1"/>
  <c r="BZ113" i="1"/>
  <c r="CA113" i="1" s="1"/>
  <c r="BZ142" i="1"/>
  <c r="CA142" i="1" s="1"/>
  <c r="BZ201" i="1"/>
  <c r="CB201" i="1" s="1"/>
  <c r="BZ149" i="1"/>
  <c r="CA149" i="1" s="1"/>
  <c r="BZ340" i="1"/>
  <c r="CA340" i="1" s="1"/>
  <c r="BZ36" i="1"/>
  <c r="CB36" i="1" s="1"/>
  <c r="BZ129" i="1"/>
  <c r="CB129" i="1" s="1"/>
  <c r="BZ109" i="1"/>
  <c r="CB109" i="1" s="1"/>
  <c r="BZ196" i="1"/>
  <c r="CA196" i="1" s="1"/>
  <c r="BZ123" i="1"/>
  <c r="CB123" i="1" s="1"/>
  <c r="BZ18" i="1"/>
  <c r="CA18" i="1" s="1"/>
  <c r="BZ330" i="1"/>
  <c r="CA330" i="1" s="1"/>
  <c r="BZ357" i="1"/>
  <c r="CA357" i="1" s="1"/>
  <c r="BZ321" i="1"/>
  <c r="CA321" i="1" s="1"/>
  <c r="BZ334" i="1"/>
  <c r="CB334" i="1" s="1"/>
  <c r="BZ110" i="1"/>
  <c r="CA110" i="1" s="1"/>
  <c r="BZ348" i="1"/>
  <c r="CA348" i="1" s="1"/>
  <c r="BZ43" i="1"/>
  <c r="CA43" i="1" s="1"/>
  <c r="BZ318" i="1"/>
  <c r="CB318" i="1" s="1"/>
  <c r="BZ325" i="1"/>
  <c r="CB325" i="1" s="1"/>
  <c r="BZ283" i="1"/>
  <c r="CB283" i="1" s="1"/>
  <c r="BZ358" i="1"/>
  <c r="CB358" i="1" s="1"/>
  <c r="BZ138" i="1"/>
  <c r="CA138" i="1" s="1"/>
  <c r="BZ203" i="1"/>
  <c r="CB203" i="1" s="1"/>
  <c r="BZ207" i="1"/>
  <c r="CB207" i="1" s="1"/>
  <c r="BZ94" i="1"/>
  <c r="CA94" i="1" s="1"/>
  <c r="BZ314" i="1"/>
  <c r="CB314" i="1" s="1"/>
  <c r="BZ108" i="1"/>
  <c r="CB108" i="1" s="1"/>
  <c r="BZ262" i="1"/>
  <c r="CB262" i="1" s="1"/>
  <c r="BZ164" i="1"/>
  <c r="CB164" i="1" s="1"/>
  <c r="BZ187" i="1"/>
  <c r="CB187" i="1" s="1"/>
  <c r="BZ247" i="1"/>
  <c r="CA247" i="1" s="1"/>
  <c r="BZ141" i="1"/>
  <c r="CA141" i="1" s="1"/>
  <c r="BZ347" i="1"/>
  <c r="CA347" i="1" s="1"/>
  <c r="BZ199" i="1"/>
  <c r="CA199" i="1" s="1"/>
  <c r="BZ76" i="1"/>
  <c r="CA76" i="1" s="1"/>
  <c r="BZ276" i="1"/>
  <c r="CA276" i="1" s="1"/>
  <c r="BZ134" i="1"/>
  <c r="CB134" i="1" s="1"/>
  <c r="BZ278" i="1"/>
  <c r="CB278" i="1" s="1"/>
  <c r="BZ308" i="1"/>
  <c r="CB308" i="1" s="1"/>
  <c r="BZ41" i="1"/>
  <c r="CB41" i="1" s="1"/>
  <c r="BZ231" i="1"/>
  <c r="CA231" i="1" s="1"/>
  <c r="BZ82" i="1"/>
  <c r="CA82" i="1" s="1"/>
  <c r="BZ351" i="1"/>
  <c r="CA351" i="1" s="1"/>
  <c r="BZ237" i="1"/>
  <c r="CA237" i="1" s="1"/>
  <c r="BZ252" i="1"/>
  <c r="CB252" i="1" s="1"/>
  <c r="BZ44" i="1"/>
  <c r="CA44" i="1" s="1"/>
  <c r="BZ251" i="1"/>
  <c r="CA251" i="1" s="1"/>
  <c r="BZ218" i="1"/>
  <c r="CA218" i="1" s="1"/>
  <c r="BZ208" i="1"/>
  <c r="CB208" i="1" s="1"/>
  <c r="BZ114" i="1"/>
  <c r="CA114" i="1" s="1"/>
  <c r="BZ119" i="1"/>
  <c r="CA119" i="1" s="1"/>
  <c r="BZ319" i="1"/>
  <c r="CB319" i="1" s="1"/>
  <c r="BZ198" i="1"/>
  <c r="CB198" i="1" s="1"/>
  <c r="BZ267" i="1"/>
  <c r="CB267" i="1" s="1"/>
  <c r="BZ19" i="1"/>
  <c r="CA19" i="1" s="1"/>
  <c r="BZ309" i="1"/>
  <c r="CA309" i="1" s="1"/>
  <c r="BZ107" i="1"/>
  <c r="CB107" i="1" s="1"/>
  <c r="BZ117" i="1"/>
  <c r="CA117" i="1" s="1"/>
  <c r="BZ293" i="1"/>
  <c r="CB293" i="1" s="1"/>
  <c r="BZ106" i="1"/>
  <c r="CA106" i="1" s="1"/>
  <c r="BZ312" i="1"/>
  <c r="CA312" i="1" s="1"/>
  <c r="BZ217" i="1"/>
  <c r="CB217" i="1" s="1"/>
  <c r="BZ216" i="1"/>
  <c r="CB216" i="1" s="1"/>
  <c r="BZ136" i="1"/>
  <c r="CA136" i="1" s="1"/>
  <c r="BZ272" i="1"/>
  <c r="CB272" i="1" s="1"/>
  <c r="BZ192" i="1"/>
  <c r="CA192" i="1" s="1"/>
  <c r="BZ289" i="1"/>
  <c r="CB289" i="1" s="1"/>
  <c r="BZ176" i="1"/>
  <c r="CB176" i="1" s="1"/>
  <c r="BZ249" i="1"/>
  <c r="CA249" i="1" s="1"/>
  <c r="BZ25" i="1"/>
  <c r="CB25" i="1" s="1"/>
  <c r="BZ96" i="1"/>
  <c r="CA96" i="1" s="1"/>
  <c r="BZ144" i="1"/>
  <c r="CA144" i="1" s="1"/>
  <c r="BZ177" i="1"/>
  <c r="CA177" i="1" s="1"/>
  <c r="BZ73" i="1"/>
  <c r="CB73" i="1" s="1"/>
  <c r="BZ297" i="1"/>
  <c r="CA297" i="1" s="1"/>
  <c r="BZ233" i="1"/>
  <c r="CB233" i="1" s="1"/>
  <c r="BZ298" i="1"/>
  <c r="CB298" i="1" s="1"/>
  <c r="BZ105" i="1"/>
  <c r="CB105" i="1" s="1"/>
  <c r="BZ57" i="1"/>
  <c r="CB57" i="1" s="1"/>
  <c r="BZ360" i="1"/>
  <c r="CA360" i="1" s="1"/>
  <c r="BZ33" i="1"/>
  <c r="CA33" i="1" s="1"/>
  <c r="BZ161" i="1"/>
  <c r="CB161" i="1" s="1"/>
  <c r="BZ225" i="1"/>
  <c r="CA225" i="1" s="1"/>
  <c r="BZ234" i="1"/>
  <c r="CB234" i="1" s="1"/>
  <c r="BZ64" i="1"/>
  <c r="CB64" i="1" s="1"/>
  <c r="BZ257" i="1"/>
  <c r="CA257" i="1" s="1"/>
  <c r="BZ362" i="1"/>
  <c r="CA362" i="1" s="1"/>
  <c r="BZ48" i="1"/>
  <c r="CB48" i="1" s="1"/>
  <c r="BZ145" i="1"/>
  <c r="CA145" i="1" s="1"/>
  <c r="BZ121" i="1"/>
  <c r="CB121" i="1" s="1"/>
  <c r="BZ152" i="1"/>
  <c r="CB152" i="1" s="1"/>
  <c r="BZ32" i="1"/>
  <c r="CA32" i="1" s="1"/>
  <c r="BZ42" i="1"/>
  <c r="CA42" i="1" s="1"/>
  <c r="BZ320" i="1"/>
  <c r="CB320" i="1" s="1"/>
  <c r="BZ89" i="1"/>
  <c r="CB89" i="1" s="1"/>
  <c r="BZ264" i="1"/>
  <c r="CA264" i="1" s="1"/>
  <c r="BZ153" i="1"/>
  <c r="CA153" i="1" s="1"/>
  <c r="BZ162" i="1"/>
  <c r="CB162" i="1" s="1"/>
  <c r="BZ280" i="1"/>
  <c r="CA280" i="1" s="1"/>
  <c r="BZ97" i="1"/>
  <c r="CB97" i="1" s="1"/>
  <c r="BZ368" i="1"/>
  <c r="CA368" i="1" s="1"/>
  <c r="BZ34" i="1"/>
  <c r="CB34" i="1" s="1"/>
  <c r="BZ98" i="1"/>
  <c r="CB98" i="1" s="1"/>
  <c r="BZ200" i="1"/>
  <c r="CA200" i="1" s="1"/>
  <c r="BZ17" i="1"/>
  <c r="CB17" i="1" s="1"/>
  <c r="BZ81" i="1"/>
  <c r="CB81" i="1" s="1"/>
  <c r="BZ56" i="1"/>
  <c r="CB56" i="1" s="1"/>
  <c r="BZ112" i="1"/>
  <c r="CB112" i="1" s="1"/>
  <c r="BZ16" i="1"/>
  <c r="CA16" i="1" s="1"/>
  <c r="BZ128" i="1"/>
  <c r="CB128" i="1" s="1"/>
  <c r="BZ185" i="1"/>
  <c r="CA185" i="1" s="1"/>
  <c r="BZ248" i="1"/>
  <c r="CA248" i="1" s="1"/>
  <c r="BZ296" i="1"/>
  <c r="CA296" i="1" s="1"/>
  <c r="BZ88" i="1"/>
  <c r="CB88" i="1" s="1"/>
  <c r="BZ184" i="1"/>
  <c r="CA184" i="1" s="1"/>
  <c r="BZ80" i="1"/>
  <c r="CA80" i="1" s="1"/>
  <c r="BZ232" i="1"/>
  <c r="CA232" i="1" s="1"/>
  <c r="BZ120" i="1"/>
  <c r="CB120" i="1" s="1"/>
  <c r="BZ352" i="1"/>
  <c r="CB352" i="1" s="1"/>
  <c r="BZ168" i="1"/>
  <c r="CB168" i="1" s="1"/>
  <c r="BZ288" i="1"/>
  <c r="CB288" i="1" s="1"/>
  <c r="BZ40" i="1"/>
  <c r="CA40" i="1" s="1"/>
  <c r="BZ304" i="1"/>
  <c r="CA304" i="1" s="1"/>
  <c r="BZ72" i="1"/>
  <c r="CB72" i="1" s="1"/>
  <c r="BZ104" i="1"/>
  <c r="CB104" i="1" s="1"/>
  <c r="BZ224" i="1"/>
  <c r="CB224" i="1" s="1"/>
  <c r="BZ240" i="1"/>
  <c r="CB240" i="1" s="1"/>
  <c r="BZ24" i="1"/>
  <c r="CA24" i="1" s="1"/>
  <c r="BZ160" i="1"/>
  <c r="CA160" i="1" s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BX11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CH197" i="1" l="1"/>
  <c r="CI197" i="1" s="1"/>
  <c r="CJ197" i="1" s="1"/>
  <c r="CB15" i="1"/>
  <c r="CC15" i="1" s="1"/>
  <c r="CH85" i="1"/>
  <c r="CI85" i="1" s="1"/>
  <c r="CJ85" i="1" s="1"/>
  <c r="CH104" i="1"/>
  <c r="CI104" i="1" s="1"/>
  <c r="CJ104" i="1" s="1"/>
  <c r="CH97" i="1"/>
  <c r="CI97" i="1" s="1"/>
  <c r="CJ97" i="1" s="1"/>
  <c r="CH102" i="1"/>
  <c r="CI102" i="1" s="1"/>
  <c r="CJ102" i="1" s="1"/>
  <c r="CH351" i="1"/>
  <c r="CI351" i="1" s="1"/>
  <c r="CJ351" i="1" s="1"/>
  <c r="CH363" i="1"/>
  <c r="CI363" i="1" s="1"/>
  <c r="CJ363" i="1" s="1"/>
  <c r="CH275" i="1"/>
  <c r="CI275" i="1" s="1"/>
  <c r="CJ275" i="1" s="1"/>
  <c r="CH218" i="1"/>
  <c r="CI218" i="1" s="1"/>
  <c r="CJ218" i="1" s="1"/>
  <c r="CB214" i="1"/>
  <c r="CC214" i="1" s="1"/>
  <c r="CH227" i="1"/>
  <c r="CI227" i="1" s="1"/>
  <c r="CJ227" i="1" s="1"/>
  <c r="CH195" i="1"/>
  <c r="CI195" i="1" s="1"/>
  <c r="CJ195" i="1" s="1"/>
  <c r="CG50" i="1"/>
  <c r="CH50" i="1"/>
  <c r="CH341" i="1"/>
  <c r="CI341" i="1" s="1"/>
  <c r="CJ341" i="1" s="1"/>
  <c r="CG326" i="1"/>
  <c r="CI326" i="1" s="1"/>
  <c r="CJ326" i="1" s="1"/>
  <c r="CH186" i="1"/>
  <c r="CI186" i="1" s="1"/>
  <c r="CJ186" i="1" s="1"/>
  <c r="CG280" i="1"/>
  <c r="CI280" i="1" s="1"/>
  <c r="CJ280" i="1" s="1"/>
  <c r="CH243" i="1"/>
  <c r="CI243" i="1" s="1"/>
  <c r="CJ243" i="1" s="1"/>
  <c r="CH23" i="1"/>
  <c r="CI23" i="1" s="1"/>
  <c r="CJ23" i="1" s="1"/>
  <c r="CF44" i="1"/>
  <c r="CG44" i="1" s="1"/>
  <c r="CH367" i="1"/>
  <c r="CI367" i="1" s="1"/>
  <c r="CJ367" i="1" s="1"/>
  <c r="CH323" i="1"/>
  <c r="CI323" i="1" s="1"/>
  <c r="CJ323" i="1" s="1"/>
  <c r="CG270" i="1"/>
  <c r="CH270" i="1"/>
  <c r="CH113" i="1"/>
  <c r="CG113" i="1"/>
  <c r="CG66" i="1"/>
  <c r="CI66" i="1" s="1"/>
  <c r="CJ66" i="1" s="1"/>
  <c r="CG335" i="1"/>
  <c r="CI335" i="1" s="1"/>
  <c r="CJ335" i="1" s="1"/>
  <c r="CG304" i="1"/>
  <c r="CI304" i="1" s="1"/>
  <c r="CJ304" i="1" s="1"/>
  <c r="CF319" i="1"/>
  <c r="CG319" i="1" s="1"/>
  <c r="CH318" i="1"/>
  <c r="CI318" i="1" s="1"/>
  <c r="CJ318" i="1" s="1"/>
  <c r="CG82" i="1"/>
  <c r="CI82" i="1" s="1"/>
  <c r="CJ82" i="1" s="1"/>
  <c r="CH43" i="1"/>
  <c r="CI43" i="1" s="1"/>
  <c r="CJ43" i="1" s="1"/>
  <c r="CH145" i="1"/>
  <c r="CI145" i="1" s="1"/>
  <c r="CJ145" i="1" s="1"/>
  <c r="CG199" i="1"/>
  <c r="CI199" i="1" s="1"/>
  <c r="CJ199" i="1" s="1"/>
  <c r="CF329" i="1"/>
  <c r="CG329" i="1" s="1"/>
  <c r="CF315" i="1"/>
  <c r="CG315" i="1" s="1"/>
  <c r="CF55" i="1"/>
  <c r="CG55" i="1" s="1"/>
  <c r="CF53" i="1"/>
  <c r="CG53" i="1" s="1"/>
  <c r="CF90" i="1"/>
  <c r="CG90" i="1" s="1"/>
  <c r="CH288" i="1"/>
  <c r="CI288" i="1" s="1"/>
  <c r="CJ288" i="1" s="1"/>
  <c r="CF71" i="1"/>
  <c r="CG71" i="1" s="1"/>
  <c r="CF140" i="1"/>
  <c r="CG140" i="1" s="1"/>
  <c r="CF17" i="1"/>
  <c r="CG17" i="1" s="1"/>
  <c r="CF42" i="1"/>
  <c r="CG42" i="1" s="1"/>
  <c r="CF246" i="1"/>
  <c r="CG246" i="1" s="1"/>
  <c r="CF268" i="1"/>
  <c r="CG268" i="1" s="1"/>
  <c r="CF175" i="1"/>
  <c r="CG175" i="1" s="1"/>
  <c r="CF35" i="1"/>
  <c r="CG35" i="1" s="1"/>
  <c r="CH201" i="1"/>
  <c r="CI201" i="1" s="1"/>
  <c r="CJ201" i="1" s="1"/>
  <c r="CF24" i="1"/>
  <c r="CG24" i="1" s="1"/>
  <c r="CH357" i="1"/>
  <c r="CI357" i="1" s="1"/>
  <c r="CJ357" i="1" s="1"/>
  <c r="CF59" i="1"/>
  <c r="CG59" i="1" s="1"/>
  <c r="CF152" i="1"/>
  <c r="CG152" i="1" s="1"/>
  <c r="CF46" i="1"/>
  <c r="CG46" i="1" s="1"/>
  <c r="CF20" i="1"/>
  <c r="CG20" i="1" s="1"/>
  <c r="CF269" i="1"/>
  <c r="CG269" i="1" s="1"/>
  <c r="CF373" i="1"/>
  <c r="CG373" i="1" s="1"/>
  <c r="CH207" i="1"/>
  <c r="CI207" i="1" s="1"/>
  <c r="CJ207" i="1" s="1"/>
  <c r="CF148" i="1"/>
  <c r="CG148" i="1" s="1"/>
  <c r="CH283" i="1"/>
  <c r="CI283" i="1" s="1"/>
  <c r="CJ283" i="1" s="1"/>
  <c r="CF361" i="1"/>
  <c r="CG361" i="1" s="1"/>
  <c r="CH312" i="1"/>
  <c r="CI312" i="1" s="1"/>
  <c r="CJ312" i="1" s="1"/>
  <c r="CF181" i="1"/>
  <c r="CG181" i="1" s="1"/>
  <c r="CF249" i="1"/>
  <c r="CG249" i="1" s="1"/>
  <c r="CF311" i="1"/>
  <c r="CG311" i="1" s="1"/>
  <c r="CF78" i="1"/>
  <c r="CG78" i="1" s="1"/>
  <c r="CF70" i="1"/>
  <c r="CG70" i="1" s="1"/>
  <c r="CF147" i="1"/>
  <c r="CG147" i="1" s="1"/>
  <c r="CF271" i="1"/>
  <c r="CG271" i="1" s="1"/>
  <c r="CH222" i="1"/>
  <c r="CI222" i="1" s="1"/>
  <c r="CJ222" i="1" s="1"/>
  <c r="CF371" i="1"/>
  <c r="CG371" i="1" s="1"/>
  <c r="CH160" i="1"/>
  <c r="CI160" i="1" s="1"/>
  <c r="CJ160" i="1" s="1"/>
  <c r="CF358" i="1"/>
  <c r="CG358" i="1" s="1"/>
  <c r="CH300" i="1"/>
  <c r="CI300" i="1" s="1"/>
  <c r="CJ300" i="1" s="1"/>
  <c r="CH365" i="1"/>
  <c r="CI365" i="1" s="1"/>
  <c r="CJ365" i="1" s="1"/>
  <c r="CH337" i="1"/>
  <c r="CI337" i="1" s="1"/>
  <c r="CJ337" i="1" s="1"/>
  <c r="CF96" i="1"/>
  <c r="CG96" i="1" s="1"/>
  <c r="CH236" i="1"/>
  <c r="CI236" i="1" s="1"/>
  <c r="CJ236" i="1" s="1"/>
  <c r="CF242" i="1"/>
  <c r="CG242" i="1" s="1"/>
  <c r="CF292" i="1"/>
  <c r="CG292" i="1" s="1"/>
  <c r="CF56" i="1"/>
  <c r="CG56" i="1" s="1"/>
  <c r="CH267" i="1"/>
  <c r="CI267" i="1" s="1"/>
  <c r="CJ267" i="1" s="1"/>
  <c r="CF61" i="1"/>
  <c r="CG61" i="1" s="1"/>
  <c r="CH110" i="1"/>
  <c r="CI110" i="1" s="1"/>
  <c r="CJ110" i="1" s="1"/>
  <c r="CF244" i="1"/>
  <c r="CG244" i="1" s="1"/>
  <c r="CH58" i="1"/>
  <c r="CI58" i="1" s="1"/>
  <c r="CJ58" i="1" s="1"/>
  <c r="CF320" i="1"/>
  <c r="CG320" i="1" s="1"/>
  <c r="CF95" i="1"/>
  <c r="CG95" i="1" s="1"/>
  <c r="CF81" i="1"/>
  <c r="CG81" i="1" s="1"/>
  <c r="CF231" i="1"/>
  <c r="CG231" i="1" s="1"/>
  <c r="CF196" i="1"/>
  <c r="CG196" i="1" s="1"/>
  <c r="CF202" i="1"/>
  <c r="CG202" i="1" s="1"/>
  <c r="CF208" i="1"/>
  <c r="CG208" i="1" s="1"/>
  <c r="CF214" i="1"/>
  <c r="CG214" i="1" s="1"/>
  <c r="CG72" i="1"/>
  <c r="CI72" i="1" s="1"/>
  <c r="CJ72" i="1" s="1"/>
  <c r="CF123" i="1"/>
  <c r="CG123" i="1" s="1"/>
  <c r="CF284" i="1"/>
  <c r="CG284" i="1" s="1"/>
  <c r="CF360" i="1"/>
  <c r="CG360" i="1" s="1"/>
  <c r="CG188" i="1"/>
  <c r="CH188" i="1"/>
  <c r="CG238" i="1"/>
  <c r="CI238" i="1" s="1"/>
  <c r="CJ238" i="1" s="1"/>
  <c r="CH220" i="1"/>
  <c r="CI220" i="1" s="1"/>
  <c r="CJ220" i="1" s="1"/>
  <c r="CF296" i="1"/>
  <c r="CG296" i="1" s="1"/>
  <c r="CF317" i="1"/>
  <c r="CG317" i="1" s="1"/>
  <c r="CF117" i="1"/>
  <c r="CG117" i="1" s="1"/>
  <c r="CH91" i="1"/>
  <c r="CI91" i="1" s="1"/>
  <c r="CJ91" i="1" s="1"/>
  <c r="CG173" i="1"/>
  <c r="CH173" i="1"/>
  <c r="CF294" i="1"/>
  <c r="CG294" i="1" s="1"/>
  <c r="CF354" i="1"/>
  <c r="CG354" i="1" s="1"/>
  <c r="CF94" i="1"/>
  <c r="CG94" i="1" s="1"/>
  <c r="CH107" i="1"/>
  <c r="CI107" i="1" s="1"/>
  <c r="CJ107" i="1" s="1"/>
  <c r="CH106" i="1"/>
  <c r="CI106" i="1" s="1"/>
  <c r="CJ106" i="1" s="1"/>
  <c r="CF310" i="1"/>
  <c r="CG310" i="1" s="1"/>
  <c r="CF190" i="1"/>
  <c r="CG190" i="1" s="1"/>
  <c r="CH99" i="1"/>
  <c r="CI99" i="1" s="1"/>
  <c r="CJ99" i="1" s="1"/>
  <c r="CF237" i="1"/>
  <c r="CG237" i="1" s="1"/>
  <c r="CF239" i="1"/>
  <c r="CG239" i="1" s="1"/>
  <c r="CH321" i="1"/>
  <c r="CI321" i="1" s="1"/>
  <c r="CJ321" i="1" s="1"/>
  <c r="CF134" i="1"/>
  <c r="CG134" i="1" s="1"/>
  <c r="CF51" i="1"/>
  <c r="CG51" i="1" s="1"/>
  <c r="CH129" i="1"/>
  <c r="CI129" i="1" s="1"/>
  <c r="CJ129" i="1" s="1"/>
  <c r="CF127" i="1"/>
  <c r="CG127" i="1" s="1"/>
  <c r="CF37" i="1"/>
  <c r="CG37" i="1" s="1"/>
  <c r="CF212" i="1"/>
  <c r="CG212" i="1" s="1"/>
  <c r="CF370" i="1"/>
  <c r="CG370" i="1" s="1"/>
  <c r="CH139" i="1"/>
  <c r="CI139" i="1" s="1"/>
  <c r="CJ139" i="1" s="1"/>
  <c r="CF279" i="1"/>
  <c r="CG279" i="1" s="1"/>
  <c r="CF340" i="1"/>
  <c r="CG340" i="1" s="1"/>
  <c r="CH116" i="1"/>
  <c r="CI116" i="1" s="1"/>
  <c r="CJ116" i="1" s="1"/>
  <c r="CH369" i="1"/>
  <c r="CI369" i="1" s="1"/>
  <c r="CJ369" i="1" s="1"/>
  <c r="CH192" i="1"/>
  <c r="CI192" i="1" s="1"/>
  <c r="CJ192" i="1" s="1"/>
  <c r="CG45" i="1"/>
  <c r="CI45" i="1" s="1"/>
  <c r="CJ45" i="1" s="1"/>
  <c r="CF215" i="1"/>
  <c r="CG215" i="1" s="1"/>
  <c r="CH259" i="1"/>
  <c r="CI259" i="1" s="1"/>
  <c r="CJ259" i="1" s="1"/>
  <c r="CH52" i="1"/>
  <c r="CI52" i="1" s="1"/>
  <c r="CJ52" i="1" s="1"/>
  <c r="CF128" i="1"/>
  <c r="CG128" i="1" s="1"/>
  <c r="CF133" i="1"/>
  <c r="CG133" i="1" s="1"/>
  <c r="CF63" i="1"/>
  <c r="CG63" i="1" s="1"/>
  <c r="CF65" i="1"/>
  <c r="CG65" i="1" s="1"/>
  <c r="CF261" i="1"/>
  <c r="CG261" i="1" s="1"/>
  <c r="CF189" i="1"/>
  <c r="CG189" i="1" s="1"/>
  <c r="CH157" i="1"/>
  <c r="CI157" i="1" s="1"/>
  <c r="CJ157" i="1" s="1"/>
  <c r="CF217" i="1"/>
  <c r="CG217" i="1" s="1"/>
  <c r="CH60" i="1"/>
  <c r="CI60" i="1" s="1"/>
  <c r="CJ60" i="1" s="1"/>
  <c r="CF313" i="1"/>
  <c r="CG313" i="1" s="1"/>
  <c r="CF375" i="1"/>
  <c r="CG375" i="1" s="1"/>
  <c r="CF142" i="1"/>
  <c r="CG142" i="1" s="1"/>
  <c r="CH251" i="1"/>
  <c r="CI251" i="1" s="1"/>
  <c r="CJ251" i="1" s="1"/>
  <c r="CH265" i="1"/>
  <c r="CI265" i="1" s="1"/>
  <c r="CJ265" i="1" s="1"/>
  <c r="CF88" i="1"/>
  <c r="CG88" i="1" s="1"/>
  <c r="CF30" i="1"/>
  <c r="CG30" i="1" s="1"/>
  <c r="CF228" i="1"/>
  <c r="CG228" i="1" s="1"/>
  <c r="CH234" i="1"/>
  <c r="CI234" i="1" s="1"/>
  <c r="CJ234" i="1" s="1"/>
  <c r="CF48" i="1"/>
  <c r="CG48" i="1" s="1"/>
  <c r="CH353" i="1"/>
  <c r="CI353" i="1" s="1"/>
  <c r="CJ353" i="1" s="1"/>
  <c r="CF164" i="1"/>
  <c r="CG164" i="1" s="1"/>
  <c r="CF16" i="1"/>
  <c r="CH16" i="1" s="1"/>
  <c r="CH149" i="1"/>
  <c r="CI149" i="1" s="1"/>
  <c r="CJ149" i="1" s="1"/>
  <c r="CH295" i="1"/>
  <c r="CI295" i="1" s="1"/>
  <c r="CJ295" i="1" s="1"/>
  <c r="CF260" i="1"/>
  <c r="CG260" i="1" s="1"/>
  <c r="CF266" i="1"/>
  <c r="CG266" i="1" s="1"/>
  <c r="CF272" i="1"/>
  <c r="CG272" i="1" s="1"/>
  <c r="CF278" i="1"/>
  <c r="CG278" i="1" s="1"/>
  <c r="CF224" i="1"/>
  <c r="CG224" i="1" s="1"/>
  <c r="CF221" i="1"/>
  <c r="CG221" i="1" s="1"/>
  <c r="CH372" i="1"/>
  <c r="CI372" i="1" s="1"/>
  <c r="CJ372" i="1" s="1"/>
  <c r="CF83" i="1"/>
  <c r="CG83" i="1" s="1"/>
  <c r="CF240" i="1"/>
  <c r="CG240" i="1" s="1"/>
  <c r="CF223" i="1"/>
  <c r="CG223" i="1" s="1"/>
  <c r="CH299" i="1"/>
  <c r="CI299" i="1" s="1"/>
  <c r="CJ299" i="1" s="1"/>
  <c r="CH185" i="1"/>
  <c r="CI185" i="1" s="1"/>
  <c r="CJ185" i="1" s="1"/>
  <c r="CF247" i="1"/>
  <c r="CG247" i="1" s="1"/>
  <c r="CF203" i="1"/>
  <c r="CG203" i="1" s="1"/>
  <c r="CF18" i="1"/>
  <c r="CG18" i="1" s="1"/>
  <c r="CH226" i="1"/>
  <c r="CI226" i="1" s="1"/>
  <c r="CJ226" i="1" s="1"/>
  <c r="CH210" i="1"/>
  <c r="CI210" i="1" s="1"/>
  <c r="CJ210" i="1" s="1"/>
  <c r="CH29" i="1"/>
  <c r="CI29" i="1" s="1"/>
  <c r="CJ29" i="1" s="1"/>
  <c r="CF350" i="1"/>
  <c r="CG350" i="1" s="1"/>
  <c r="CF76" i="1"/>
  <c r="CG76" i="1" s="1"/>
  <c r="CF67" i="1"/>
  <c r="CG67" i="1" s="1"/>
  <c r="CH301" i="1"/>
  <c r="CI301" i="1" s="1"/>
  <c r="CJ301" i="1" s="1"/>
  <c r="CF256" i="1"/>
  <c r="CG256" i="1" s="1"/>
  <c r="CF38" i="1"/>
  <c r="CG38" i="1" s="1"/>
  <c r="CH198" i="1"/>
  <c r="CI198" i="1" s="1"/>
  <c r="CJ198" i="1" s="1"/>
  <c r="CF115" i="1"/>
  <c r="CG115" i="1" s="1"/>
  <c r="CH193" i="1"/>
  <c r="CI193" i="1" s="1"/>
  <c r="CJ193" i="1" s="1"/>
  <c r="CF191" i="1"/>
  <c r="CG191" i="1" s="1"/>
  <c r="CF25" i="1"/>
  <c r="CG25" i="1" s="1"/>
  <c r="CH348" i="1"/>
  <c r="CI348" i="1" s="1"/>
  <c r="CJ348" i="1" s="1"/>
  <c r="CH93" i="1"/>
  <c r="CI93" i="1" s="1"/>
  <c r="CJ93" i="1" s="1"/>
  <c r="CH143" i="1"/>
  <c r="CI143" i="1" s="1"/>
  <c r="CJ143" i="1" s="1"/>
  <c r="CF131" i="1"/>
  <c r="CG131" i="1" s="1"/>
  <c r="CH219" i="1"/>
  <c r="CI219" i="1" s="1"/>
  <c r="CJ219" i="1" s="1"/>
  <c r="CF297" i="1"/>
  <c r="CG297" i="1" s="1"/>
  <c r="CF180" i="1"/>
  <c r="CG180" i="1" s="1"/>
  <c r="CF343" i="1"/>
  <c r="CG343" i="1" s="1"/>
  <c r="CF167" i="1"/>
  <c r="CG167" i="1" s="1"/>
  <c r="CH132" i="1"/>
  <c r="CI132" i="1" s="1"/>
  <c r="CJ132" i="1" s="1"/>
  <c r="CF138" i="1"/>
  <c r="CG138" i="1" s="1"/>
  <c r="CF144" i="1"/>
  <c r="CG144" i="1" s="1"/>
  <c r="CH150" i="1"/>
  <c r="CI150" i="1" s="1"/>
  <c r="CJ150" i="1" s="1"/>
  <c r="CF248" i="1"/>
  <c r="CG248" i="1" s="1"/>
  <c r="CG332" i="1"/>
  <c r="CI332" i="1" s="1"/>
  <c r="CJ332" i="1" s="1"/>
  <c r="CF289" i="1"/>
  <c r="CG289" i="1" s="1"/>
  <c r="CF19" i="1"/>
  <c r="CG19" i="1" s="1"/>
  <c r="CH103" i="1"/>
  <c r="CI103" i="1" s="1"/>
  <c r="CJ103" i="1" s="1"/>
  <c r="CF68" i="1"/>
  <c r="CG68" i="1" s="1"/>
  <c r="CH74" i="1"/>
  <c r="CI74" i="1" s="1"/>
  <c r="CJ74" i="1" s="1"/>
  <c r="CH80" i="1"/>
  <c r="CI80" i="1" s="1"/>
  <c r="CJ80" i="1" s="1"/>
  <c r="CF26" i="1"/>
  <c r="CG26" i="1" s="1"/>
  <c r="CF305" i="1"/>
  <c r="CG305" i="1" s="1"/>
  <c r="CF75" i="1"/>
  <c r="CG75" i="1" s="1"/>
  <c r="CH205" i="1"/>
  <c r="CI205" i="1" s="1"/>
  <c r="CJ205" i="1" s="1"/>
  <c r="CH73" i="1"/>
  <c r="CI73" i="1" s="1"/>
  <c r="CJ73" i="1" s="1"/>
  <c r="CH345" i="1"/>
  <c r="CI345" i="1" s="1"/>
  <c r="CJ345" i="1" s="1"/>
  <c r="CF36" i="1"/>
  <c r="CG36" i="1" s="1"/>
  <c r="CH346" i="1"/>
  <c r="CI346" i="1" s="1"/>
  <c r="CJ346" i="1" s="1"/>
  <c r="CH307" i="1"/>
  <c r="CI307" i="1" s="1"/>
  <c r="CJ307" i="1" s="1"/>
  <c r="CH322" i="1"/>
  <c r="CI322" i="1" s="1"/>
  <c r="CJ322" i="1" s="1"/>
  <c r="CH276" i="1"/>
  <c r="CI276" i="1" s="1"/>
  <c r="CJ276" i="1" s="1"/>
  <c r="CH40" i="1"/>
  <c r="CI40" i="1" s="1"/>
  <c r="CJ40" i="1" s="1"/>
  <c r="CH174" i="1"/>
  <c r="CI174" i="1" s="1"/>
  <c r="CJ174" i="1" s="1"/>
  <c r="CH122" i="1"/>
  <c r="CI122" i="1" s="1"/>
  <c r="CJ122" i="1" s="1"/>
  <c r="CH314" i="1"/>
  <c r="CI314" i="1" s="1"/>
  <c r="CJ314" i="1" s="1"/>
  <c r="CH176" i="1"/>
  <c r="CI176" i="1" s="1"/>
  <c r="CJ176" i="1" s="1"/>
  <c r="CH273" i="1"/>
  <c r="CI273" i="1" s="1"/>
  <c r="CJ273" i="1" s="1"/>
  <c r="CH230" i="1"/>
  <c r="CI230" i="1" s="1"/>
  <c r="CJ230" i="1" s="1"/>
  <c r="CH172" i="1"/>
  <c r="CI172" i="1" s="1"/>
  <c r="CJ172" i="1" s="1"/>
  <c r="CH146" i="1"/>
  <c r="CI146" i="1" s="1"/>
  <c r="CJ146" i="1" s="1"/>
  <c r="CH286" i="1"/>
  <c r="CI286" i="1" s="1"/>
  <c r="CJ286" i="1" s="1"/>
  <c r="CH28" i="1"/>
  <c r="CI28" i="1" s="1"/>
  <c r="CJ28" i="1" s="1"/>
  <c r="CH170" i="1"/>
  <c r="CI170" i="1" s="1"/>
  <c r="CJ170" i="1" s="1"/>
  <c r="CH374" i="1"/>
  <c r="CI374" i="1" s="1"/>
  <c r="CJ374" i="1" s="1"/>
  <c r="CH163" i="1"/>
  <c r="CI163" i="1" s="1"/>
  <c r="CJ163" i="1" s="1"/>
  <c r="CH49" i="1"/>
  <c r="CI49" i="1" s="1"/>
  <c r="CJ49" i="1" s="1"/>
  <c r="CH303" i="1"/>
  <c r="CI303" i="1" s="1"/>
  <c r="CJ303" i="1" s="1"/>
  <c r="CH125" i="1"/>
  <c r="CI125" i="1" s="1"/>
  <c r="CJ125" i="1" s="1"/>
  <c r="CH264" i="1"/>
  <c r="CI264" i="1" s="1"/>
  <c r="CJ264" i="1" s="1"/>
  <c r="CH47" i="1"/>
  <c r="CI47" i="1" s="1"/>
  <c r="CJ47" i="1" s="1"/>
  <c r="CH156" i="1"/>
  <c r="CI156" i="1" s="1"/>
  <c r="CJ156" i="1" s="1"/>
  <c r="CH232" i="1"/>
  <c r="CI232" i="1" s="1"/>
  <c r="CJ232" i="1" s="1"/>
  <c r="CH366" i="1"/>
  <c r="CI366" i="1" s="1"/>
  <c r="CJ366" i="1" s="1"/>
  <c r="CH101" i="1"/>
  <c r="CI101" i="1" s="1"/>
  <c r="CJ101" i="1" s="1"/>
  <c r="CH27" i="1"/>
  <c r="CI27" i="1" s="1"/>
  <c r="CJ27" i="1" s="1"/>
  <c r="CH105" i="1"/>
  <c r="CI105" i="1" s="1"/>
  <c r="CJ105" i="1" s="1"/>
  <c r="CH282" i="1"/>
  <c r="CI282" i="1" s="1"/>
  <c r="CJ282" i="1" s="1"/>
  <c r="CH263" i="1"/>
  <c r="CI263" i="1" s="1"/>
  <c r="CJ263" i="1" s="1"/>
  <c r="CH368" i="1"/>
  <c r="CI368" i="1" s="1"/>
  <c r="CJ368" i="1" s="1"/>
  <c r="CH339" i="1"/>
  <c r="CI339" i="1" s="1"/>
  <c r="CJ339" i="1" s="1"/>
  <c r="CF69" i="1"/>
  <c r="CG69" i="1" s="1"/>
  <c r="CH33" i="1"/>
  <c r="CI33" i="1" s="1"/>
  <c r="CJ33" i="1" s="1"/>
  <c r="CH298" i="1"/>
  <c r="CI298" i="1" s="1"/>
  <c r="CJ298" i="1" s="1"/>
  <c r="CH124" i="1"/>
  <c r="CI124" i="1" s="1"/>
  <c r="CJ124" i="1" s="1"/>
  <c r="CH213" i="1"/>
  <c r="CI213" i="1" s="1"/>
  <c r="CJ213" i="1" s="1"/>
  <c r="CH293" i="1"/>
  <c r="CI293" i="1" s="1"/>
  <c r="CJ293" i="1" s="1"/>
  <c r="CH206" i="1"/>
  <c r="CI206" i="1" s="1"/>
  <c r="CJ206" i="1" s="1"/>
  <c r="CF287" i="1"/>
  <c r="CG287" i="1" s="1"/>
  <c r="CH34" i="1"/>
  <c r="CI34" i="1" s="1"/>
  <c r="CJ34" i="1" s="1"/>
  <c r="CH233" i="1"/>
  <c r="CI233" i="1" s="1"/>
  <c r="CJ233" i="1" s="1"/>
  <c r="CF118" i="1"/>
  <c r="CG118" i="1" s="1"/>
  <c r="CF79" i="1"/>
  <c r="CG79" i="1" s="1"/>
  <c r="CH184" i="1"/>
  <c r="CI184" i="1" s="1"/>
  <c r="CJ184" i="1" s="1"/>
  <c r="CH235" i="1"/>
  <c r="CI235" i="1" s="1"/>
  <c r="CJ235" i="1" s="1"/>
  <c r="CH121" i="1"/>
  <c r="CI121" i="1" s="1"/>
  <c r="CJ121" i="1" s="1"/>
  <c r="CH151" i="1"/>
  <c r="CI151" i="1" s="1"/>
  <c r="CJ151" i="1" s="1"/>
  <c r="CH109" i="1"/>
  <c r="CI109" i="1" s="1"/>
  <c r="CJ109" i="1" s="1"/>
  <c r="CH241" i="1"/>
  <c r="CI241" i="1" s="1"/>
  <c r="CJ241" i="1" s="1"/>
  <c r="CH64" i="1"/>
  <c r="CI64" i="1" s="1"/>
  <c r="CJ64" i="1" s="1"/>
  <c r="CF153" i="1"/>
  <c r="CG153" i="1" s="1"/>
  <c r="CF258" i="1"/>
  <c r="CG258" i="1" s="1"/>
  <c r="CF325" i="1"/>
  <c r="CG325" i="1" s="1"/>
  <c r="CH159" i="1"/>
  <c r="CI159" i="1" s="1"/>
  <c r="CJ159" i="1" s="1"/>
  <c r="CH209" i="1"/>
  <c r="CI209" i="1" s="1"/>
  <c r="CJ209" i="1" s="1"/>
  <c r="CH355" i="1"/>
  <c r="CI355" i="1" s="1"/>
  <c r="CJ355" i="1" s="1"/>
  <c r="CH166" i="1"/>
  <c r="CI166" i="1" s="1"/>
  <c r="CJ166" i="1" s="1"/>
  <c r="CH108" i="1"/>
  <c r="CI108" i="1" s="1"/>
  <c r="CJ108" i="1" s="1"/>
  <c r="CH114" i="1"/>
  <c r="CI114" i="1" s="1"/>
  <c r="CJ114" i="1" s="1"/>
  <c r="CH359" i="1"/>
  <c r="CI359" i="1" s="1"/>
  <c r="CJ359" i="1" s="1"/>
  <c r="CH324" i="1"/>
  <c r="CI324" i="1" s="1"/>
  <c r="CJ324" i="1" s="1"/>
  <c r="CH336" i="1"/>
  <c r="CI336" i="1" s="1"/>
  <c r="CJ336" i="1" s="1"/>
  <c r="CH342" i="1"/>
  <c r="CI342" i="1" s="1"/>
  <c r="CJ342" i="1" s="1"/>
  <c r="CF77" i="1"/>
  <c r="CG77" i="1" s="1"/>
  <c r="CF86" i="1"/>
  <c r="CG86" i="1" s="1"/>
  <c r="CH54" i="1"/>
  <c r="CI54" i="1" s="1"/>
  <c r="CJ54" i="1" s="1"/>
  <c r="CH316" i="1"/>
  <c r="CI316" i="1" s="1"/>
  <c r="CJ316" i="1" s="1"/>
  <c r="CH194" i="1"/>
  <c r="CI194" i="1" s="1"/>
  <c r="CJ194" i="1" s="1"/>
  <c r="CH200" i="1"/>
  <c r="CI200" i="1" s="1"/>
  <c r="CJ200" i="1" s="1"/>
  <c r="CH347" i="1"/>
  <c r="CI347" i="1" s="1"/>
  <c r="CJ347" i="1" s="1"/>
  <c r="CH168" i="1"/>
  <c r="CI168" i="1" s="1"/>
  <c r="CJ168" i="1" s="1"/>
  <c r="CH302" i="1"/>
  <c r="CI302" i="1" s="1"/>
  <c r="CJ302" i="1" s="1"/>
  <c r="CH62" i="1"/>
  <c r="CI62" i="1" s="1"/>
  <c r="CJ62" i="1" s="1"/>
  <c r="CH250" i="1"/>
  <c r="CI250" i="1" s="1"/>
  <c r="CJ250" i="1" s="1"/>
  <c r="CH262" i="1"/>
  <c r="CI262" i="1" s="1"/>
  <c r="CJ262" i="1" s="1"/>
  <c r="CH179" i="1"/>
  <c r="CI179" i="1" s="1"/>
  <c r="CJ179" i="1" s="1"/>
  <c r="CH257" i="1"/>
  <c r="CI257" i="1" s="1"/>
  <c r="CJ257" i="1" s="1"/>
  <c r="CH255" i="1"/>
  <c r="CI255" i="1" s="1"/>
  <c r="CJ255" i="1" s="1"/>
  <c r="CH98" i="1"/>
  <c r="CI98" i="1" s="1"/>
  <c r="CJ98" i="1" s="1"/>
  <c r="CF21" i="1"/>
  <c r="CG21" i="1" s="1"/>
  <c r="CF308" i="1"/>
  <c r="CG308" i="1" s="1"/>
  <c r="CF162" i="1"/>
  <c r="CG162" i="1" s="1"/>
  <c r="CH187" i="1"/>
  <c r="CI187" i="1" s="1"/>
  <c r="CJ187" i="1" s="1"/>
  <c r="CH328" i="1"/>
  <c r="CI328" i="1" s="1"/>
  <c r="CJ328" i="1" s="1"/>
  <c r="CH111" i="1"/>
  <c r="CI111" i="1" s="1"/>
  <c r="CJ111" i="1" s="1"/>
  <c r="CF182" i="1"/>
  <c r="CG182" i="1" s="1"/>
  <c r="CF155" i="1"/>
  <c r="CG155" i="1" s="1"/>
  <c r="CH165" i="1"/>
  <c r="CI165" i="1" s="1"/>
  <c r="CJ165" i="1" s="1"/>
  <c r="CH84" i="1"/>
  <c r="CI84" i="1" s="1"/>
  <c r="CJ84" i="1" s="1"/>
  <c r="CH274" i="1"/>
  <c r="CI274" i="1" s="1"/>
  <c r="CJ274" i="1" s="1"/>
  <c r="CH285" i="1"/>
  <c r="CI285" i="1" s="1"/>
  <c r="CJ285" i="1" s="1"/>
  <c r="CH141" i="1"/>
  <c r="CI141" i="1" s="1"/>
  <c r="CJ141" i="1" s="1"/>
  <c r="CH306" i="1"/>
  <c r="CI306" i="1" s="1"/>
  <c r="CJ306" i="1" s="1"/>
  <c r="CH120" i="1"/>
  <c r="CI120" i="1" s="1"/>
  <c r="CJ120" i="1" s="1"/>
  <c r="CH204" i="1"/>
  <c r="CI204" i="1" s="1"/>
  <c r="CJ204" i="1" s="1"/>
  <c r="CH57" i="1"/>
  <c r="CI57" i="1" s="1"/>
  <c r="CJ57" i="1" s="1"/>
  <c r="CH119" i="1"/>
  <c r="CI119" i="1" s="1"/>
  <c r="CJ119" i="1" s="1"/>
  <c r="CF171" i="1"/>
  <c r="CG171" i="1" s="1"/>
  <c r="CF225" i="1"/>
  <c r="CG225" i="1" s="1"/>
  <c r="CF178" i="1"/>
  <c r="CG178" i="1" s="1"/>
  <c r="CF327" i="1"/>
  <c r="CG327" i="1" s="1"/>
  <c r="CG112" i="1"/>
  <c r="CI112" i="1" s="1"/>
  <c r="CJ112" i="1" s="1"/>
  <c r="CH330" i="1"/>
  <c r="CI330" i="1" s="1"/>
  <c r="CJ330" i="1" s="1"/>
  <c r="CH87" i="1"/>
  <c r="CI87" i="1" s="1"/>
  <c r="CJ87" i="1" s="1"/>
  <c r="CH281" i="1"/>
  <c r="CI281" i="1" s="1"/>
  <c r="CJ281" i="1" s="1"/>
  <c r="CH291" i="1"/>
  <c r="CI291" i="1" s="1"/>
  <c r="CJ291" i="1" s="1"/>
  <c r="CH177" i="1"/>
  <c r="CI177" i="1" s="1"/>
  <c r="CJ177" i="1" s="1"/>
  <c r="CH245" i="1"/>
  <c r="CI245" i="1" s="1"/>
  <c r="CJ245" i="1" s="1"/>
  <c r="CG89" i="1"/>
  <c r="CI89" i="1" s="1"/>
  <c r="CJ89" i="1" s="1"/>
  <c r="CF290" i="1"/>
  <c r="CG290" i="1" s="1"/>
  <c r="CH31" i="1"/>
  <c r="CI31" i="1" s="1"/>
  <c r="CJ31" i="1" s="1"/>
  <c r="CH338" i="1"/>
  <c r="CI338" i="1" s="1"/>
  <c r="CJ338" i="1" s="1"/>
  <c r="CH216" i="1"/>
  <c r="CI216" i="1" s="1"/>
  <c r="CJ216" i="1" s="1"/>
  <c r="CH158" i="1"/>
  <c r="CI158" i="1" s="1"/>
  <c r="CJ158" i="1" s="1"/>
  <c r="CH356" i="1"/>
  <c r="CI356" i="1" s="1"/>
  <c r="CJ356" i="1" s="1"/>
  <c r="CF183" i="1"/>
  <c r="CG183" i="1" s="1"/>
  <c r="CH137" i="1"/>
  <c r="CI137" i="1" s="1"/>
  <c r="CJ137" i="1" s="1"/>
  <c r="CH362" i="1"/>
  <c r="CI362" i="1" s="1"/>
  <c r="CJ362" i="1" s="1"/>
  <c r="CH277" i="1"/>
  <c r="CI277" i="1" s="1"/>
  <c r="CJ277" i="1" s="1"/>
  <c r="CH100" i="1"/>
  <c r="CI100" i="1" s="1"/>
  <c r="CJ100" i="1" s="1"/>
  <c r="CF169" i="1"/>
  <c r="CG169" i="1" s="1"/>
  <c r="CF364" i="1"/>
  <c r="CG364" i="1" s="1"/>
  <c r="CH39" i="1"/>
  <c r="CI39" i="1" s="1"/>
  <c r="CJ39" i="1" s="1"/>
  <c r="CH253" i="1"/>
  <c r="CI253" i="1" s="1"/>
  <c r="CJ253" i="1" s="1"/>
  <c r="CH309" i="1"/>
  <c r="CI309" i="1" s="1"/>
  <c r="CJ309" i="1" s="1"/>
  <c r="CH349" i="1"/>
  <c r="CI349" i="1" s="1"/>
  <c r="CJ349" i="1" s="1"/>
  <c r="CH22" i="1"/>
  <c r="CI22" i="1" s="1"/>
  <c r="CJ22" i="1" s="1"/>
  <c r="CF32" i="1"/>
  <c r="CG32" i="1" s="1"/>
  <c r="CF254" i="1"/>
  <c r="CG254" i="1" s="1"/>
  <c r="CH229" i="1"/>
  <c r="CI229" i="1" s="1"/>
  <c r="CJ229" i="1" s="1"/>
  <c r="CH130" i="1"/>
  <c r="CI130" i="1" s="1"/>
  <c r="CJ130" i="1" s="1"/>
  <c r="CH136" i="1"/>
  <c r="CI136" i="1" s="1"/>
  <c r="CJ136" i="1" s="1"/>
  <c r="CH334" i="1"/>
  <c r="CI334" i="1" s="1"/>
  <c r="CJ334" i="1" s="1"/>
  <c r="CF92" i="1"/>
  <c r="CG92" i="1" s="1"/>
  <c r="CF161" i="1"/>
  <c r="CG161" i="1" s="1"/>
  <c r="CF333" i="1"/>
  <c r="CG333" i="1" s="1"/>
  <c r="CF344" i="1"/>
  <c r="CG344" i="1" s="1"/>
  <c r="CF331" i="1"/>
  <c r="CG331" i="1" s="1"/>
  <c r="CH154" i="1"/>
  <c r="CI154" i="1" s="1"/>
  <c r="CJ154" i="1" s="1"/>
  <c r="CH352" i="1"/>
  <c r="CI352" i="1" s="1"/>
  <c r="CJ352" i="1" s="1"/>
  <c r="CH135" i="1"/>
  <c r="CI135" i="1" s="1"/>
  <c r="CJ135" i="1" s="1"/>
  <c r="CH126" i="1"/>
  <c r="CI126" i="1" s="1"/>
  <c r="CJ126" i="1" s="1"/>
  <c r="CH211" i="1"/>
  <c r="CI211" i="1" s="1"/>
  <c r="CJ211" i="1" s="1"/>
  <c r="CF41" i="1"/>
  <c r="CG41" i="1" s="1"/>
  <c r="CF252" i="1"/>
  <c r="CG252" i="1" s="1"/>
  <c r="CF15" i="1"/>
  <c r="CG15" i="1" s="1"/>
  <c r="CA190" i="1"/>
  <c r="CC190" i="1" s="1"/>
  <c r="CA215" i="1"/>
  <c r="CC215" i="1" s="1"/>
  <c r="CA227" i="1"/>
  <c r="CC227" i="1" s="1"/>
  <c r="CB38" i="1"/>
  <c r="CC38" i="1" s="1"/>
  <c r="CB355" i="1"/>
  <c r="CC355" i="1" s="1"/>
  <c r="CB46" i="1"/>
  <c r="CC46" i="1" s="1"/>
  <c r="CB210" i="1"/>
  <c r="CC210" i="1" s="1"/>
  <c r="CA342" i="1"/>
  <c r="CC342" i="1" s="1"/>
  <c r="CA35" i="1"/>
  <c r="CC35" i="1" s="1"/>
  <c r="CB220" i="1"/>
  <c r="CC220" i="1" s="1"/>
  <c r="CB132" i="1"/>
  <c r="CC132" i="1" s="1"/>
  <c r="CA291" i="1"/>
  <c r="CC291" i="1" s="1"/>
  <c r="CA354" i="1"/>
  <c r="CC354" i="1" s="1"/>
  <c r="CA244" i="1"/>
  <c r="CC244" i="1" s="1"/>
  <c r="CB159" i="1"/>
  <c r="CC159" i="1" s="1"/>
  <c r="CB58" i="1"/>
  <c r="CC58" i="1" s="1"/>
  <c r="CA353" i="1"/>
  <c r="CC353" i="1" s="1"/>
  <c r="CB285" i="1"/>
  <c r="CC285" i="1" s="1"/>
  <c r="CB126" i="1"/>
  <c r="CC126" i="1" s="1"/>
  <c r="CA277" i="1"/>
  <c r="CC277" i="1" s="1"/>
  <c r="CB124" i="1"/>
  <c r="CC124" i="1" s="1"/>
  <c r="CA229" i="1"/>
  <c r="CC229" i="1" s="1"/>
  <c r="CB181" i="1"/>
  <c r="CC181" i="1" s="1"/>
  <c r="CB49" i="1"/>
  <c r="CC49" i="1" s="1"/>
  <c r="CA345" i="1"/>
  <c r="CC345" i="1" s="1"/>
  <c r="CA261" i="1"/>
  <c r="CC261" i="1" s="1"/>
  <c r="CB53" i="1"/>
  <c r="CC53" i="1" s="1"/>
  <c r="CB306" i="1"/>
  <c r="CC306" i="1" s="1"/>
  <c r="CB311" i="1"/>
  <c r="CC311" i="1" s="1"/>
  <c r="CB180" i="1"/>
  <c r="CC180" i="1" s="1"/>
  <c r="CA239" i="1"/>
  <c r="CC239" i="1" s="1"/>
  <c r="CB316" i="1"/>
  <c r="CC316" i="1" s="1"/>
  <c r="CB373" i="1"/>
  <c r="CC373" i="1" s="1"/>
  <c r="CB369" i="1"/>
  <c r="CC369" i="1" s="1"/>
  <c r="CB146" i="1"/>
  <c r="CC146" i="1" s="1"/>
  <c r="CA241" i="1"/>
  <c r="CC241" i="1" s="1"/>
  <c r="CA243" i="1"/>
  <c r="CC243" i="1" s="1"/>
  <c r="CA223" i="1"/>
  <c r="CC223" i="1" s="1"/>
  <c r="CB158" i="1"/>
  <c r="CC158" i="1" s="1"/>
  <c r="CB156" i="1"/>
  <c r="CC156" i="1" s="1"/>
  <c r="CB31" i="1"/>
  <c r="CC31" i="1" s="1"/>
  <c r="CB343" i="1"/>
  <c r="CC343" i="1" s="1"/>
  <c r="CB332" i="1"/>
  <c r="CC332" i="1" s="1"/>
  <c r="CB27" i="1"/>
  <c r="CC27" i="1" s="1"/>
  <c r="CA299" i="1"/>
  <c r="CC299" i="1" s="1"/>
  <c r="CA62" i="1"/>
  <c r="CC62" i="1" s="1"/>
  <c r="CB313" i="1"/>
  <c r="CC313" i="1" s="1"/>
  <c r="CA211" i="1"/>
  <c r="CC211" i="1" s="1"/>
  <c r="CA50" i="1"/>
  <c r="CC50" i="1" s="1"/>
  <c r="CB165" i="1"/>
  <c r="CC165" i="1" s="1"/>
  <c r="CB286" i="1"/>
  <c r="CC286" i="1" s="1"/>
  <c r="CB346" i="1"/>
  <c r="CC346" i="1" s="1"/>
  <c r="CB219" i="1"/>
  <c r="CC219" i="1" s="1"/>
  <c r="CB68" i="1"/>
  <c r="CC68" i="1" s="1"/>
  <c r="CB148" i="1"/>
  <c r="CC148" i="1" s="1"/>
  <c r="CA236" i="1"/>
  <c r="CC236" i="1" s="1"/>
  <c r="CB326" i="1"/>
  <c r="CC326" i="1" s="1"/>
  <c r="CA303" i="1"/>
  <c r="CC303" i="1" s="1"/>
  <c r="CA143" i="1"/>
  <c r="CC143" i="1" s="1"/>
  <c r="CB118" i="1"/>
  <c r="CC118" i="1" s="1"/>
  <c r="CA103" i="1"/>
  <c r="CC103" i="1" s="1"/>
  <c r="CB195" i="1"/>
  <c r="CC195" i="1" s="1"/>
  <c r="CB254" i="1"/>
  <c r="CC254" i="1" s="1"/>
  <c r="CB131" i="1"/>
  <c r="CC131" i="1" s="1"/>
  <c r="CB115" i="1"/>
  <c r="CC115" i="1" s="1"/>
  <c r="CB338" i="1"/>
  <c r="CC338" i="1" s="1"/>
  <c r="CB337" i="1"/>
  <c r="CC337" i="1" s="1"/>
  <c r="CA122" i="1"/>
  <c r="CC122" i="1" s="1"/>
  <c r="CB125" i="1"/>
  <c r="CC125" i="1" s="1"/>
  <c r="CB226" i="1"/>
  <c r="CC226" i="1" s="1"/>
  <c r="CB39" i="1"/>
  <c r="CC39" i="1" s="1"/>
  <c r="CB130" i="1"/>
  <c r="CC130" i="1" s="1"/>
  <c r="CB209" i="1"/>
  <c r="CC209" i="1" s="1"/>
  <c r="CA22" i="1"/>
  <c r="CC22" i="1" s="1"/>
  <c r="CA66" i="1"/>
  <c r="CC66" i="1" s="1"/>
  <c r="CA191" i="1"/>
  <c r="CC191" i="1" s="1"/>
  <c r="CA367" i="1"/>
  <c r="CC367" i="1" s="1"/>
  <c r="CA111" i="1"/>
  <c r="CC111" i="1" s="1"/>
  <c r="CA140" i="1"/>
  <c r="CC140" i="1" s="1"/>
  <c r="CB182" i="1"/>
  <c r="CC182" i="1" s="1"/>
  <c r="CA250" i="1"/>
  <c r="CC250" i="1" s="1"/>
  <c r="CA79" i="1"/>
  <c r="CC79" i="1" s="1"/>
  <c r="CA270" i="1"/>
  <c r="CC270" i="1" s="1"/>
  <c r="CA169" i="1"/>
  <c r="CC169" i="1" s="1"/>
  <c r="CB113" i="1"/>
  <c r="CC113" i="1" s="1"/>
  <c r="CA273" i="1"/>
  <c r="CC273" i="1" s="1"/>
  <c r="CA207" i="1"/>
  <c r="CC207" i="1" s="1"/>
  <c r="CB218" i="1"/>
  <c r="CC218" i="1" s="1"/>
  <c r="CA269" i="1"/>
  <c r="CC269" i="1" s="1"/>
  <c r="CB83" i="1"/>
  <c r="CC83" i="1" s="1"/>
  <c r="CA133" i="1"/>
  <c r="CC133" i="1" s="1"/>
  <c r="CA329" i="1"/>
  <c r="CC329" i="1" s="1"/>
  <c r="CB350" i="1"/>
  <c r="CC350" i="1" s="1"/>
  <c r="CA302" i="1"/>
  <c r="CC302" i="1" s="1"/>
  <c r="CB144" i="1"/>
  <c r="CC144" i="1" s="1"/>
  <c r="CA29" i="1"/>
  <c r="CC29" i="1" s="1"/>
  <c r="CB87" i="1"/>
  <c r="CC87" i="1" s="1"/>
  <c r="CB86" i="1"/>
  <c r="CC86" i="1" s="1"/>
  <c r="CA282" i="1"/>
  <c r="CC282" i="1" s="1"/>
  <c r="CB344" i="1"/>
  <c r="CC344" i="1" s="1"/>
  <c r="CA101" i="1"/>
  <c r="CC101" i="1" s="1"/>
  <c r="CA372" i="1"/>
  <c r="CC372" i="1" s="1"/>
  <c r="CB371" i="1"/>
  <c r="CC371" i="1" s="1"/>
  <c r="CB54" i="1"/>
  <c r="CC54" i="1" s="1"/>
  <c r="CB136" i="1"/>
  <c r="CC136" i="1" s="1"/>
  <c r="CA322" i="1"/>
  <c r="CC322" i="1" s="1"/>
  <c r="CA157" i="1"/>
  <c r="CC157" i="1" s="1"/>
  <c r="CB196" i="1"/>
  <c r="CC196" i="1" s="1"/>
  <c r="CB309" i="1"/>
  <c r="CC309" i="1" s="1"/>
  <c r="CB292" i="1"/>
  <c r="CC292" i="1" s="1"/>
  <c r="CA41" i="1"/>
  <c r="CC41" i="1" s="1"/>
  <c r="CB348" i="1"/>
  <c r="CC348" i="1" s="1"/>
  <c r="CA268" i="1"/>
  <c r="CC268" i="1" s="1"/>
  <c r="CA179" i="1"/>
  <c r="CC179" i="1" s="1"/>
  <c r="CB374" i="1"/>
  <c r="CC374" i="1" s="1"/>
  <c r="CB141" i="1"/>
  <c r="CC141" i="1" s="1"/>
  <c r="CA356" i="1"/>
  <c r="CC356" i="1" s="1"/>
  <c r="CB174" i="1"/>
  <c r="CC174" i="1" s="1"/>
  <c r="CA173" i="1"/>
  <c r="CC173" i="1" s="1"/>
  <c r="CB279" i="1"/>
  <c r="CC279" i="1" s="1"/>
  <c r="CB197" i="1"/>
  <c r="CC197" i="1" s="1"/>
  <c r="CA361" i="1"/>
  <c r="CC361" i="1" s="1"/>
  <c r="CA266" i="1"/>
  <c r="CC266" i="1" s="1"/>
  <c r="CA99" i="1"/>
  <c r="CC99" i="1" s="1"/>
  <c r="CB206" i="1"/>
  <c r="CC206" i="1" s="1"/>
  <c r="CA284" i="1"/>
  <c r="CC284" i="1" s="1"/>
  <c r="CB75" i="1"/>
  <c r="CC75" i="1" s="1"/>
  <c r="CA151" i="1"/>
  <c r="CC151" i="1" s="1"/>
  <c r="CB307" i="1"/>
  <c r="CC307" i="1" s="1"/>
  <c r="CA301" i="1"/>
  <c r="CC301" i="1" s="1"/>
  <c r="CA331" i="1"/>
  <c r="CC331" i="1" s="1"/>
  <c r="CA212" i="1"/>
  <c r="CC212" i="1" s="1"/>
  <c r="CB47" i="1"/>
  <c r="CC47" i="1" s="1"/>
  <c r="CA221" i="1"/>
  <c r="CC221" i="1" s="1"/>
  <c r="CA77" i="1"/>
  <c r="CC77" i="1" s="1"/>
  <c r="CA213" i="1"/>
  <c r="CC213" i="1" s="1"/>
  <c r="CA154" i="1"/>
  <c r="CC154" i="1" s="1"/>
  <c r="CA359" i="1"/>
  <c r="CC359" i="1" s="1"/>
  <c r="CB370" i="1"/>
  <c r="CC370" i="1" s="1"/>
  <c r="CA147" i="1"/>
  <c r="CC147" i="1" s="1"/>
  <c r="CA102" i="1"/>
  <c r="CC102" i="1" s="1"/>
  <c r="CA238" i="1"/>
  <c r="CC238" i="1" s="1"/>
  <c r="CA84" i="1"/>
  <c r="CC84" i="1" s="1"/>
  <c r="CA295" i="1"/>
  <c r="CC295" i="1" s="1"/>
  <c r="CB259" i="1"/>
  <c r="CC259" i="1" s="1"/>
  <c r="CB178" i="1"/>
  <c r="CC178" i="1" s="1"/>
  <c r="CB127" i="1"/>
  <c r="CC127" i="1" s="1"/>
  <c r="CA246" i="1"/>
  <c r="CC246" i="1" s="1"/>
  <c r="CB52" i="1"/>
  <c r="CC52" i="1" s="1"/>
  <c r="CB230" i="1"/>
  <c r="CC230" i="1" s="1"/>
  <c r="CB281" i="1"/>
  <c r="CC281" i="1" s="1"/>
  <c r="CB341" i="1"/>
  <c r="CC341" i="1" s="1"/>
  <c r="CA333" i="1"/>
  <c r="CC333" i="1" s="1"/>
  <c r="CA222" i="1"/>
  <c r="CC222" i="1" s="1"/>
  <c r="CA300" i="1"/>
  <c r="CC300" i="1" s="1"/>
  <c r="CA155" i="1"/>
  <c r="CC155" i="1" s="1"/>
  <c r="CA305" i="1"/>
  <c r="CC305" i="1" s="1"/>
  <c r="CB339" i="1"/>
  <c r="CC339" i="1" s="1"/>
  <c r="CA255" i="1"/>
  <c r="CC255" i="1" s="1"/>
  <c r="CB364" i="1"/>
  <c r="CC364" i="1" s="1"/>
  <c r="CA366" i="1"/>
  <c r="CC366" i="1" s="1"/>
  <c r="CB235" i="1"/>
  <c r="CC235" i="1" s="1"/>
  <c r="CA26" i="1"/>
  <c r="CC26" i="1" s="1"/>
  <c r="CA70" i="1"/>
  <c r="CC70" i="1" s="1"/>
  <c r="CB110" i="1"/>
  <c r="CC110" i="1" s="1"/>
  <c r="CB274" i="1"/>
  <c r="CC274" i="1" s="1"/>
  <c r="CB90" i="1"/>
  <c r="CC90" i="1" s="1"/>
  <c r="CA327" i="1"/>
  <c r="CC327" i="1" s="1"/>
  <c r="CB202" i="1"/>
  <c r="CC202" i="1" s="1"/>
  <c r="CB317" i="1"/>
  <c r="CC317" i="1" s="1"/>
  <c r="CB365" i="1"/>
  <c r="CC365" i="1" s="1"/>
  <c r="CB93" i="1"/>
  <c r="CC93" i="1" s="1"/>
  <c r="CA135" i="1"/>
  <c r="CC135" i="1" s="1"/>
  <c r="CB258" i="1"/>
  <c r="CC258" i="1" s="1"/>
  <c r="CA253" i="1"/>
  <c r="CC253" i="1" s="1"/>
  <c r="CB96" i="1"/>
  <c r="CC96" i="1" s="1"/>
  <c r="CA23" i="1"/>
  <c r="CC23" i="1" s="1"/>
  <c r="CA63" i="1"/>
  <c r="CC63" i="1" s="1"/>
  <c r="CA205" i="1"/>
  <c r="CC205" i="1" s="1"/>
  <c r="CA336" i="1"/>
  <c r="CC336" i="1" s="1"/>
  <c r="CA109" i="1"/>
  <c r="CC109" i="1" s="1"/>
  <c r="CA265" i="1"/>
  <c r="CC265" i="1" s="1"/>
  <c r="CA375" i="1"/>
  <c r="CC375" i="1" s="1"/>
  <c r="CA203" i="1"/>
  <c r="CC203" i="1" s="1"/>
  <c r="CA20" i="1"/>
  <c r="CC20" i="1" s="1"/>
  <c r="CB55" i="1"/>
  <c r="CC55" i="1" s="1"/>
  <c r="CB183" i="1"/>
  <c r="CC183" i="1" s="1"/>
  <c r="CA71" i="1"/>
  <c r="CC71" i="1" s="1"/>
  <c r="CB247" i="1"/>
  <c r="CC247" i="1" s="1"/>
  <c r="CA193" i="1"/>
  <c r="CC193" i="1" s="1"/>
  <c r="CB275" i="1"/>
  <c r="CC275" i="1" s="1"/>
  <c r="CB324" i="1"/>
  <c r="CC324" i="1" s="1"/>
  <c r="CA51" i="1"/>
  <c r="CC51" i="1" s="1"/>
  <c r="CA245" i="1"/>
  <c r="CC245" i="1" s="1"/>
  <c r="CB65" i="1"/>
  <c r="CC65" i="1" s="1"/>
  <c r="CA363" i="1"/>
  <c r="CC363" i="1" s="1"/>
  <c r="CA100" i="1"/>
  <c r="CC100" i="1" s="1"/>
  <c r="CB91" i="1"/>
  <c r="CC91" i="1" s="1"/>
  <c r="CA21" i="1"/>
  <c r="CC21" i="1" s="1"/>
  <c r="CA123" i="1"/>
  <c r="CC123" i="1" s="1"/>
  <c r="CA349" i="1"/>
  <c r="CC349" i="1" s="1"/>
  <c r="CA69" i="1"/>
  <c r="CC69" i="1" s="1"/>
  <c r="CB60" i="1"/>
  <c r="CC60" i="1" s="1"/>
  <c r="CB172" i="1"/>
  <c r="CC172" i="1" s="1"/>
  <c r="CB92" i="1"/>
  <c r="CC92" i="1" s="1"/>
  <c r="CA116" i="1"/>
  <c r="CC116" i="1" s="1"/>
  <c r="CB166" i="1"/>
  <c r="CC166" i="1" s="1"/>
  <c r="CA188" i="1"/>
  <c r="CC188" i="1" s="1"/>
  <c r="CB323" i="1"/>
  <c r="CC323" i="1" s="1"/>
  <c r="CB186" i="1"/>
  <c r="CC186" i="1" s="1"/>
  <c r="CB85" i="1"/>
  <c r="CC85" i="1" s="1"/>
  <c r="CA228" i="1"/>
  <c r="CC228" i="1" s="1"/>
  <c r="CB30" i="1"/>
  <c r="CC30" i="1" s="1"/>
  <c r="CB28" i="1"/>
  <c r="CC28" i="1" s="1"/>
  <c r="CA271" i="1"/>
  <c r="CC271" i="1" s="1"/>
  <c r="CA260" i="1"/>
  <c r="CC260" i="1" s="1"/>
  <c r="CB310" i="1"/>
  <c r="CC310" i="1" s="1"/>
  <c r="CB175" i="1"/>
  <c r="CC175" i="1" s="1"/>
  <c r="CB150" i="1"/>
  <c r="CC150" i="1" s="1"/>
  <c r="CB287" i="1"/>
  <c r="CC287" i="1" s="1"/>
  <c r="CA194" i="1"/>
  <c r="CC194" i="1" s="1"/>
  <c r="CA204" i="1"/>
  <c r="CC204" i="1" s="1"/>
  <c r="CA59" i="1"/>
  <c r="CC59" i="1" s="1"/>
  <c r="CA163" i="1"/>
  <c r="CC163" i="1" s="1"/>
  <c r="CB137" i="1"/>
  <c r="CC137" i="1" s="1"/>
  <c r="CA263" i="1"/>
  <c r="CC263" i="1" s="1"/>
  <c r="CB45" i="1"/>
  <c r="CC45" i="1" s="1"/>
  <c r="CA294" i="1"/>
  <c r="CC294" i="1" s="1"/>
  <c r="CB328" i="1"/>
  <c r="CC328" i="1" s="1"/>
  <c r="CA37" i="1"/>
  <c r="CC37" i="1" s="1"/>
  <c r="CA318" i="1"/>
  <c r="CC318" i="1" s="1"/>
  <c r="CA74" i="1"/>
  <c r="CC74" i="1" s="1"/>
  <c r="CA167" i="1"/>
  <c r="CC167" i="1" s="1"/>
  <c r="CA335" i="1"/>
  <c r="CC335" i="1" s="1"/>
  <c r="CA256" i="1"/>
  <c r="CC256" i="1" s="1"/>
  <c r="CB78" i="1"/>
  <c r="CC78" i="1" s="1"/>
  <c r="CB312" i="1"/>
  <c r="CC312" i="1" s="1"/>
  <c r="CB321" i="1"/>
  <c r="CC321" i="1" s="1"/>
  <c r="CA358" i="1"/>
  <c r="CC358" i="1" s="1"/>
  <c r="CB189" i="1"/>
  <c r="CC189" i="1" s="1"/>
  <c r="CA252" i="1"/>
  <c r="CC252" i="1" s="1"/>
  <c r="CA242" i="1"/>
  <c r="CC242" i="1" s="1"/>
  <c r="CA164" i="1"/>
  <c r="CC164" i="1" s="1"/>
  <c r="CA134" i="1"/>
  <c r="CC134" i="1" s="1"/>
  <c r="CA36" i="1"/>
  <c r="CC36" i="1" s="1"/>
  <c r="CA198" i="1"/>
  <c r="CC198" i="1" s="1"/>
  <c r="CB315" i="1"/>
  <c r="CC315" i="1" s="1"/>
  <c r="CB95" i="1"/>
  <c r="CC95" i="1" s="1"/>
  <c r="CB138" i="1"/>
  <c r="CC138" i="1" s="1"/>
  <c r="CA139" i="1"/>
  <c r="CC139" i="1" s="1"/>
  <c r="CA334" i="1"/>
  <c r="CC334" i="1" s="1"/>
  <c r="CB67" i="1"/>
  <c r="CC67" i="1" s="1"/>
  <c r="CA129" i="1"/>
  <c r="CC129" i="1" s="1"/>
  <c r="CA187" i="1"/>
  <c r="CC187" i="1" s="1"/>
  <c r="CA278" i="1"/>
  <c r="CC278" i="1" s="1"/>
  <c r="CA267" i="1"/>
  <c r="CC267" i="1" s="1"/>
  <c r="CB44" i="1"/>
  <c r="CC44" i="1" s="1"/>
  <c r="CA61" i="1"/>
  <c r="CC61" i="1" s="1"/>
  <c r="CB142" i="1"/>
  <c r="CC142" i="1" s="1"/>
  <c r="CA290" i="1"/>
  <c r="CC290" i="1" s="1"/>
  <c r="CA217" i="1"/>
  <c r="CC217" i="1" s="1"/>
  <c r="CB171" i="1"/>
  <c r="CC171" i="1" s="1"/>
  <c r="CB76" i="1"/>
  <c r="CC76" i="1" s="1"/>
  <c r="CB199" i="1"/>
  <c r="CC199" i="1" s="1"/>
  <c r="CA314" i="1"/>
  <c r="CC314" i="1" s="1"/>
  <c r="CB82" i="1"/>
  <c r="CC82" i="1" s="1"/>
  <c r="CB114" i="1"/>
  <c r="CC114" i="1" s="1"/>
  <c r="CA201" i="1"/>
  <c r="CC201" i="1" s="1"/>
  <c r="CB18" i="1"/>
  <c r="CC18" i="1" s="1"/>
  <c r="CB117" i="1"/>
  <c r="CC117" i="1" s="1"/>
  <c r="CB340" i="1"/>
  <c r="CC340" i="1" s="1"/>
  <c r="CA262" i="1"/>
  <c r="CC262" i="1" s="1"/>
  <c r="CA283" i="1"/>
  <c r="CC283" i="1" s="1"/>
  <c r="CB276" i="1"/>
  <c r="CC276" i="1" s="1"/>
  <c r="CB330" i="1"/>
  <c r="CC330" i="1" s="1"/>
  <c r="CA108" i="1"/>
  <c r="CC108" i="1" s="1"/>
  <c r="CA325" i="1"/>
  <c r="CC325" i="1" s="1"/>
  <c r="CA293" i="1"/>
  <c r="CC293" i="1" s="1"/>
  <c r="CB119" i="1"/>
  <c r="CC119" i="1" s="1"/>
  <c r="CB351" i="1"/>
  <c r="CC351" i="1" s="1"/>
  <c r="CB149" i="1"/>
  <c r="CC149" i="1" s="1"/>
  <c r="CB357" i="1"/>
  <c r="CC357" i="1" s="1"/>
  <c r="CB153" i="1"/>
  <c r="CC153" i="1" s="1"/>
  <c r="CA107" i="1"/>
  <c r="CC107" i="1" s="1"/>
  <c r="CB43" i="1"/>
  <c r="CC43" i="1" s="1"/>
  <c r="CA208" i="1"/>
  <c r="CC208" i="1" s="1"/>
  <c r="CA272" i="1"/>
  <c r="CC272" i="1" s="1"/>
  <c r="CB177" i="1"/>
  <c r="CC177" i="1" s="1"/>
  <c r="CB94" i="1"/>
  <c r="CC94" i="1" s="1"/>
  <c r="CB347" i="1"/>
  <c r="CC347" i="1" s="1"/>
  <c r="CB231" i="1"/>
  <c r="CC231" i="1" s="1"/>
  <c r="CA308" i="1"/>
  <c r="CC308" i="1" s="1"/>
  <c r="CB19" i="1"/>
  <c r="CC19" i="1" s="1"/>
  <c r="CA216" i="1"/>
  <c r="CC216" i="1" s="1"/>
  <c r="CB251" i="1"/>
  <c r="CC251" i="1" s="1"/>
  <c r="CB106" i="1"/>
  <c r="CC106" i="1" s="1"/>
  <c r="CA319" i="1"/>
  <c r="CC319" i="1" s="1"/>
  <c r="CB237" i="1"/>
  <c r="CC237" i="1" s="1"/>
  <c r="CA73" i="1"/>
  <c r="CC73" i="1" s="1"/>
  <c r="CA162" i="1"/>
  <c r="CC162" i="1" s="1"/>
  <c r="CA121" i="1"/>
  <c r="CC121" i="1" s="1"/>
  <c r="CA161" i="1"/>
  <c r="CC161" i="1" s="1"/>
  <c r="CB192" i="1"/>
  <c r="CC192" i="1" s="1"/>
  <c r="CB297" i="1"/>
  <c r="CC297" i="1" s="1"/>
  <c r="CA233" i="1"/>
  <c r="CC233" i="1" s="1"/>
  <c r="CA234" i="1"/>
  <c r="CC234" i="1" s="1"/>
  <c r="CA176" i="1"/>
  <c r="CC176" i="1" s="1"/>
  <c r="CB225" i="1"/>
  <c r="CC225" i="1" s="1"/>
  <c r="CA289" i="1"/>
  <c r="CC289" i="1" s="1"/>
  <c r="CA298" i="1"/>
  <c r="CC298" i="1" s="1"/>
  <c r="CB249" i="1"/>
  <c r="CC249" i="1" s="1"/>
  <c r="CA25" i="1"/>
  <c r="CC25" i="1" s="1"/>
  <c r="CA105" i="1"/>
  <c r="CC105" i="1" s="1"/>
  <c r="CB33" i="1"/>
  <c r="CC33" i="1" s="1"/>
  <c r="CB145" i="1"/>
  <c r="CC145" i="1" s="1"/>
  <c r="CB360" i="1"/>
  <c r="CC360" i="1" s="1"/>
  <c r="CB264" i="1"/>
  <c r="CC264" i="1" s="1"/>
  <c r="CA57" i="1"/>
  <c r="CC57" i="1" s="1"/>
  <c r="CA48" i="1"/>
  <c r="CC48" i="1" s="1"/>
  <c r="CA64" i="1"/>
  <c r="CC64" i="1" s="1"/>
  <c r="CA34" i="1"/>
  <c r="CC34" i="1" s="1"/>
  <c r="CA320" i="1"/>
  <c r="CC320" i="1" s="1"/>
  <c r="CB257" i="1"/>
  <c r="CC257" i="1" s="1"/>
  <c r="CB362" i="1"/>
  <c r="CC362" i="1" s="1"/>
  <c r="CA89" i="1"/>
  <c r="CC89" i="1" s="1"/>
  <c r="CB32" i="1"/>
  <c r="CC32" i="1" s="1"/>
  <c r="CB280" i="1"/>
  <c r="CC280" i="1" s="1"/>
  <c r="CA152" i="1"/>
  <c r="CC152" i="1" s="1"/>
  <c r="CB42" i="1"/>
  <c r="CC42" i="1" s="1"/>
  <c r="CB80" i="1"/>
  <c r="CC80" i="1" s="1"/>
  <c r="CA112" i="1"/>
  <c r="CC112" i="1" s="1"/>
  <c r="CA72" i="1"/>
  <c r="CC72" i="1" s="1"/>
  <c r="CA97" i="1"/>
  <c r="CC97" i="1" s="1"/>
  <c r="CB368" i="1"/>
  <c r="CC368" i="1" s="1"/>
  <c r="CA98" i="1"/>
  <c r="CC98" i="1" s="1"/>
  <c r="CB185" i="1"/>
  <c r="CC185" i="1" s="1"/>
  <c r="CA17" i="1"/>
  <c r="CC17" i="1" s="1"/>
  <c r="CB200" i="1"/>
  <c r="CC200" i="1" s="1"/>
  <c r="CB248" i="1"/>
  <c r="CC248" i="1" s="1"/>
  <c r="CA56" i="1"/>
  <c r="CC56" i="1" s="1"/>
  <c r="CA81" i="1"/>
  <c r="CC81" i="1" s="1"/>
  <c r="CA128" i="1"/>
  <c r="CC128" i="1" s="1"/>
  <c r="CB232" i="1"/>
  <c r="CC232" i="1" s="1"/>
  <c r="CB16" i="1"/>
  <c r="CC16" i="1" s="1"/>
  <c r="CB184" i="1"/>
  <c r="CC184" i="1" s="1"/>
  <c r="CA88" i="1"/>
  <c r="CC88" i="1" s="1"/>
  <c r="CB296" i="1"/>
  <c r="CC296" i="1" s="1"/>
  <c r="CA352" i="1"/>
  <c r="CC352" i="1" s="1"/>
  <c r="CA168" i="1"/>
  <c r="CC168" i="1" s="1"/>
  <c r="CA240" i="1"/>
  <c r="CC240" i="1" s="1"/>
  <c r="CB304" i="1"/>
  <c r="CC304" i="1" s="1"/>
  <c r="CA120" i="1"/>
  <c r="CC120" i="1" s="1"/>
  <c r="CA288" i="1"/>
  <c r="CC288" i="1" s="1"/>
  <c r="CB24" i="1"/>
  <c r="CC24" i="1" s="1"/>
  <c r="CB160" i="1"/>
  <c r="CC160" i="1" s="1"/>
  <c r="CB40" i="1"/>
  <c r="CC40" i="1" s="1"/>
  <c r="CA104" i="1"/>
  <c r="CC104" i="1" s="1"/>
  <c r="CA224" i="1"/>
  <c r="CC224" i="1" s="1"/>
  <c r="J188" i="1"/>
  <c r="K188" i="1" s="1"/>
  <c r="L188" i="1" s="1"/>
  <c r="M188" i="1" s="1"/>
  <c r="N188" i="1" s="1"/>
  <c r="J190" i="1"/>
  <c r="K190" i="1" s="1"/>
  <c r="L190" i="1" s="1"/>
  <c r="M190" i="1" s="1"/>
  <c r="N190" i="1" s="1"/>
  <c r="J189" i="1"/>
  <c r="K189" i="1" s="1"/>
  <c r="L189" i="1" s="1"/>
  <c r="M189" i="1" s="1"/>
  <c r="N189" i="1" s="1"/>
  <c r="J191" i="1"/>
  <c r="K191" i="1" s="1"/>
  <c r="J185" i="1"/>
  <c r="K185" i="1" s="1"/>
  <c r="J192" i="1"/>
  <c r="K192" i="1" s="1"/>
  <c r="J193" i="1"/>
  <c r="J186" i="1"/>
  <c r="K186" i="1" s="1"/>
  <c r="J194" i="1"/>
  <c r="J187" i="1"/>
  <c r="K187" i="1" s="1"/>
  <c r="F56" i="1"/>
  <c r="G56" i="1" s="1"/>
  <c r="E171" i="1"/>
  <c r="F53" i="1"/>
  <c r="G53" i="1" s="1"/>
  <c r="C161" i="1"/>
  <c r="J64" i="1"/>
  <c r="K64" i="1" s="1"/>
  <c r="L64" i="1" s="1"/>
  <c r="M64" i="1" s="1"/>
  <c r="O64" i="1" s="1"/>
  <c r="B148" i="1"/>
  <c r="F170" i="1" s="1"/>
  <c r="F50" i="1"/>
  <c r="G50" i="1" s="1"/>
  <c r="B158" i="1"/>
  <c r="B169" i="1" s="1"/>
  <c r="BZ11" i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DR28" i="1" l="1"/>
  <c r="DP26" i="1"/>
  <c r="DQ28" i="1"/>
  <c r="DQ26" i="1"/>
  <c r="DP28" i="1"/>
  <c r="DP27" i="1"/>
  <c r="DR27" i="1"/>
  <c r="DR26" i="1"/>
  <c r="DQ27" i="1"/>
  <c r="DK24" i="1"/>
  <c r="DM26" i="1" s="1"/>
  <c r="CH17" i="1"/>
  <c r="CI17" i="1" s="1"/>
  <c r="CJ17" i="1" s="1"/>
  <c r="CI50" i="1"/>
  <c r="CJ50" i="1" s="1"/>
  <c r="CH86" i="1"/>
  <c r="CI86" i="1" s="1"/>
  <c r="CJ86" i="1" s="1"/>
  <c r="CH115" i="1"/>
  <c r="CI115" i="1" s="1"/>
  <c r="CJ115" i="1" s="1"/>
  <c r="CH268" i="1"/>
  <c r="CI268" i="1" s="1"/>
  <c r="CJ268" i="1" s="1"/>
  <c r="CH71" i="1"/>
  <c r="CI71" i="1" s="1"/>
  <c r="CJ71" i="1" s="1"/>
  <c r="CH76" i="1"/>
  <c r="CI76" i="1" s="1"/>
  <c r="CJ76" i="1" s="1"/>
  <c r="CH42" i="1"/>
  <c r="CI42" i="1" s="1"/>
  <c r="CJ42" i="1" s="1"/>
  <c r="CH191" i="1"/>
  <c r="CI191" i="1" s="1"/>
  <c r="CJ191" i="1" s="1"/>
  <c r="CH360" i="1"/>
  <c r="CI360" i="1" s="1"/>
  <c r="CJ360" i="1" s="1"/>
  <c r="CH196" i="1"/>
  <c r="CI196" i="1" s="1"/>
  <c r="CJ196" i="1" s="1"/>
  <c r="CI113" i="1"/>
  <c r="CJ113" i="1" s="1"/>
  <c r="CH319" i="1"/>
  <c r="CI319" i="1" s="1"/>
  <c r="CJ319" i="1" s="1"/>
  <c r="CH30" i="1"/>
  <c r="CI30" i="1" s="1"/>
  <c r="CJ30" i="1" s="1"/>
  <c r="CI173" i="1"/>
  <c r="CJ173" i="1" s="1"/>
  <c r="CH296" i="1"/>
  <c r="CI296" i="1" s="1"/>
  <c r="CJ296" i="1" s="1"/>
  <c r="CH308" i="1"/>
  <c r="CI308" i="1" s="1"/>
  <c r="CJ308" i="1" s="1"/>
  <c r="CH221" i="1"/>
  <c r="CI221" i="1" s="1"/>
  <c r="CJ221" i="1" s="1"/>
  <c r="CH56" i="1"/>
  <c r="CI56" i="1" s="1"/>
  <c r="CJ56" i="1" s="1"/>
  <c r="CH252" i="1"/>
  <c r="CI252" i="1" s="1"/>
  <c r="CJ252" i="1" s="1"/>
  <c r="CH325" i="1"/>
  <c r="CI325" i="1" s="1"/>
  <c r="CJ325" i="1" s="1"/>
  <c r="CH287" i="1"/>
  <c r="CI287" i="1" s="1"/>
  <c r="CJ287" i="1" s="1"/>
  <c r="CH261" i="1"/>
  <c r="CI261" i="1" s="1"/>
  <c r="CJ261" i="1" s="1"/>
  <c r="CH44" i="1"/>
  <c r="CI44" i="1" s="1"/>
  <c r="CJ44" i="1" s="1"/>
  <c r="CH162" i="1"/>
  <c r="CI162" i="1" s="1"/>
  <c r="CJ162" i="1" s="1"/>
  <c r="CH343" i="1"/>
  <c r="CI343" i="1" s="1"/>
  <c r="CJ343" i="1" s="1"/>
  <c r="CH142" i="1"/>
  <c r="CI142" i="1" s="1"/>
  <c r="CJ142" i="1" s="1"/>
  <c r="CH128" i="1"/>
  <c r="CI128" i="1" s="1"/>
  <c r="CJ128" i="1" s="1"/>
  <c r="CH127" i="1"/>
  <c r="CI127" i="1" s="1"/>
  <c r="CJ127" i="1" s="1"/>
  <c r="CH358" i="1"/>
  <c r="CI358" i="1" s="1"/>
  <c r="CJ358" i="1" s="1"/>
  <c r="CH256" i="1"/>
  <c r="CI256" i="1" s="1"/>
  <c r="CJ256" i="1" s="1"/>
  <c r="CH266" i="1"/>
  <c r="CI266" i="1" s="1"/>
  <c r="CJ266" i="1" s="1"/>
  <c r="CH61" i="1"/>
  <c r="CI61" i="1" s="1"/>
  <c r="CJ61" i="1" s="1"/>
  <c r="CH77" i="1"/>
  <c r="CI77" i="1" s="1"/>
  <c r="CJ77" i="1" s="1"/>
  <c r="CH169" i="1"/>
  <c r="CI169" i="1" s="1"/>
  <c r="CJ169" i="1" s="1"/>
  <c r="CH94" i="1"/>
  <c r="CI94" i="1" s="1"/>
  <c r="CJ94" i="1" s="1"/>
  <c r="CH46" i="1"/>
  <c r="CI46" i="1" s="1"/>
  <c r="CJ46" i="1" s="1"/>
  <c r="CH239" i="1"/>
  <c r="CI239" i="1" s="1"/>
  <c r="CJ239" i="1" s="1"/>
  <c r="CH333" i="1"/>
  <c r="CI333" i="1" s="1"/>
  <c r="CJ333" i="1" s="1"/>
  <c r="CH79" i="1"/>
  <c r="CI79" i="1" s="1"/>
  <c r="CJ79" i="1" s="1"/>
  <c r="CH258" i="1"/>
  <c r="CI258" i="1" s="1"/>
  <c r="CJ258" i="1" s="1"/>
  <c r="CH279" i="1"/>
  <c r="CI279" i="1" s="1"/>
  <c r="CJ279" i="1" s="1"/>
  <c r="CH225" i="1"/>
  <c r="CI225" i="1" s="1"/>
  <c r="CJ225" i="1" s="1"/>
  <c r="CG16" i="1"/>
  <c r="CI16" i="1" s="1"/>
  <c r="CJ16" i="1" s="1"/>
  <c r="CH51" i="1"/>
  <c r="CI51" i="1" s="1"/>
  <c r="CJ51" i="1" s="1"/>
  <c r="CH117" i="1"/>
  <c r="CI117" i="1" s="1"/>
  <c r="CJ117" i="1" s="1"/>
  <c r="CH208" i="1"/>
  <c r="CI208" i="1" s="1"/>
  <c r="CJ208" i="1" s="1"/>
  <c r="CH96" i="1"/>
  <c r="CI96" i="1" s="1"/>
  <c r="CJ96" i="1" s="1"/>
  <c r="CH371" i="1"/>
  <c r="CI371" i="1" s="1"/>
  <c r="CJ371" i="1" s="1"/>
  <c r="CH249" i="1"/>
  <c r="CI249" i="1" s="1"/>
  <c r="CJ249" i="1" s="1"/>
  <c r="CH175" i="1"/>
  <c r="CI175" i="1" s="1"/>
  <c r="CJ175" i="1" s="1"/>
  <c r="CH55" i="1"/>
  <c r="CI55" i="1" s="1"/>
  <c r="CJ55" i="1" s="1"/>
  <c r="CH37" i="1"/>
  <c r="CI37" i="1" s="1"/>
  <c r="CJ37" i="1" s="1"/>
  <c r="CH278" i="1"/>
  <c r="CI278" i="1" s="1"/>
  <c r="CJ278" i="1" s="1"/>
  <c r="CH63" i="1"/>
  <c r="CI63" i="1" s="1"/>
  <c r="CJ63" i="1" s="1"/>
  <c r="CH310" i="1"/>
  <c r="CI310" i="1" s="1"/>
  <c r="CJ310" i="1" s="1"/>
  <c r="CH35" i="1"/>
  <c r="CI35" i="1" s="1"/>
  <c r="CJ35" i="1" s="1"/>
  <c r="CH69" i="1"/>
  <c r="CI69" i="1" s="1"/>
  <c r="CJ69" i="1" s="1"/>
  <c r="CH373" i="1"/>
  <c r="CI373" i="1" s="1"/>
  <c r="CJ373" i="1" s="1"/>
  <c r="CH164" i="1"/>
  <c r="CI164" i="1" s="1"/>
  <c r="CJ164" i="1" s="1"/>
  <c r="CI270" i="1"/>
  <c r="CJ270" i="1" s="1"/>
  <c r="CH178" i="1"/>
  <c r="CI178" i="1" s="1"/>
  <c r="CJ178" i="1" s="1"/>
  <c r="CH290" i="1"/>
  <c r="CI290" i="1" s="1"/>
  <c r="CJ290" i="1" s="1"/>
  <c r="CH26" i="1"/>
  <c r="CI26" i="1" s="1"/>
  <c r="CJ26" i="1" s="1"/>
  <c r="CH180" i="1"/>
  <c r="CI180" i="1" s="1"/>
  <c r="CJ180" i="1" s="1"/>
  <c r="CH271" i="1"/>
  <c r="CI271" i="1" s="1"/>
  <c r="CJ271" i="1" s="1"/>
  <c r="CH144" i="1"/>
  <c r="CI144" i="1" s="1"/>
  <c r="CJ144" i="1" s="1"/>
  <c r="CH247" i="1"/>
  <c r="CI247" i="1" s="1"/>
  <c r="CJ247" i="1" s="1"/>
  <c r="CH83" i="1"/>
  <c r="CI83" i="1" s="1"/>
  <c r="CJ83" i="1" s="1"/>
  <c r="CH88" i="1"/>
  <c r="CI88" i="1" s="1"/>
  <c r="CJ88" i="1" s="1"/>
  <c r="CH375" i="1"/>
  <c r="CI375" i="1" s="1"/>
  <c r="CJ375" i="1" s="1"/>
  <c r="CH305" i="1"/>
  <c r="CI305" i="1" s="1"/>
  <c r="CJ305" i="1" s="1"/>
  <c r="CH181" i="1"/>
  <c r="CI181" i="1" s="1"/>
  <c r="CJ181" i="1" s="1"/>
  <c r="CH148" i="1"/>
  <c r="CI148" i="1" s="1"/>
  <c r="CJ148" i="1" s="1"/>
  <c r="CH354" i="1"/>
  <c r="CI354" i="1" s="1"/>
  <c r="CJ354" i="1" s="1"/>
  <c r="CH92" i="1"/>
  <c r="CI92" i="1" s="1"/>
  <c r="CJ92" i="1" s="1"/>
  <c r="CH183" i="1"/>
  <c r="CI183" i="1" s="1"/>
  <c r="CJ183" i="1" s="1"/>
  <c r="CH155" i="1"/>
  <c r="CI155" i="1" s="1"/>
  <c r="CJ155" i="1" s="1"/>
  <c r="CH32" i="1"/>
  <c r="CI32" i="1" s="1"/>
  <c r="CJ32" i="1" s="1"/>
  <c r="CH19" i="1"/>
  <c r="CI19" i="1" s="1"/>
  <c r="CJ19" i="1" s="1"/>
  <c r="CH297" i="1"/>
  <c r="CI297" i="1" s="1"/>
  <c r="CJ297" i="1" s="1"/>
  <c r="CH25" i="1"/>
  <c r="CI25" i="1" s="1"/>
  <c r="CJ25" i="1" s="1"/>
  <c r="CH260" i="1"/>
  <c r="CI260" i="1" s="1"/>
  <c r="CJ260" i="1" s="1"/>
  <c r="CH182" i="1"/>
  <c r="CI182" i="1" s="1"/>
  <c r="CJ182" i="1" s="1"/>
  <c r="CH189" i="1"/>
  <c r="CI189" i="1" s="1"/>
  <c r="CJ189" i="1" s="1"/>
  <c r="CH133" i="1"/>
  <c r="CI133" i="1" s="1"/>
  <c r="CJ133" i="1" s="1"/>
  <c r="CH237" i="1"/>
  <c r="CI237" i="1" s="1"/>
  <c r="CJ237" i="1" s="1"/>
  <c r="CH284" i="1"/>
  <c r="CI284" i="1" s="1"/>
  <c r="CJ284" i="1" s="1"/>
  <c r="CH202" i="1"/>
  <c r="CI202" i="1" s="1"/>
  <c r="CJ202" i="1" s="1"/>
  <c r="CH320" i="1"/>
  <c r="CI320" i="1" s="1"/>
  <c r="CJ320" i="1" s="1"/>
  <c r="CH370" i="1"/>
  <c r="CI370" i="1" s="1"/>
  <c r="CJ370" i="1" s="1"/>
  <c r="CH240" i="1"/>
  <c r="CI240" i="1" s="1"/>
  <c r="CJ240" i="1" s="1"/>
  <c r="CH20" i="1"/>
  <c r="CI20" i="1" s="1"/>
  <c r="CJ20" i="1" s="1"/>
  <c r="CH90" i="1"/>
  <c r="CI90" i="1" s="1"/>
  <c r="CJ90" i="1" s="1"/>
  <c r="CH315" i="1"/>
  <c r="CI315" i="1" s="1"/>
  <c r="CJ315" i="1" s="1"/>
  <c r="CH329" i="1"/>
  <c r="CI329" i="1" s="1"/>
  <c r="CJ329" i="1" s="1"/>
  <c r="CH67" i="1"/>
  <c r="CI67" i="1" s="1"/>
  <c r="CJ67" i="1" s="1"/>
  <c r="CH161" i="1"/>
  <c r="CI161" i="1" s="1"/>
  <c r="CJ161" i="1" s="1"/>
  <c r="CH364" i="1"/>
  <c r="CI364" i="1" s="1"/>
  <c r="CJ364" i="1" s="1"/>
  <c r="CH344" i="1"/>
  <c r="CI344" i="1" s="1"/>
  <c r="CJ344" i="1" s="1"/>
  <c r="CH36" i="1"/>
  <c r="CI36" i="1" s="1"/>
  <c r="CJ36" i="1" s="1"/>
  <c r="CH138" i="1"/>
  <c r="CI138" i="1" s="1"/>
  <c r="CJ138" i="1" s="1"/>
  <c r="CH38" i="1"/>
  <c r="CI38" i="1" s="1"/>
  <c r="CJ38" i="1" s="1"/>
  <c r="CH313" i="1"/>
  <c r="CI313" i="1" s="1"/>
  <c r="CJ313" i="1" s="1"/>
  <c r="CH203" i="1"/>
  <c r="CI203" i="1" s="1"/>
  <c r="CJ203" i="1" s="1"/>
  <c r="CH292" i="1"/>
  <c r="CI292" i="1" s="1"/>
  <c r="CJ292" i="1" s="1"/>
  <c r="CH242" i="1"/>
  <c r="CI242" i="1" s="1"/>
  <c r="CJ242" i="1" s="1"/>
  <c r="CH78" i="1"/>
  <c r="CI78" i="1" s="1"/>
  <c r="CJ78" i="1" s="1"/>
  <c r="CH24" i="1"/>
  <c r="CI24" i="1" s="1"/>
  <c r="CJ24" i="1" s="1"/>
  <c r="CH147" i="1"/>
  <c r="CI147" i="1" s="1"/>
  <c r="CJ147" i="1" s="1"/>
  <c r="CH212" i="1"/>
  <c r="CI212" i="1" s="1"/>
  <c r="CJ212" i="1" s="1"/>
  <c r="CH331" i="1"/>
  <c r="CI331" i="1" s="1"/>
  <c r="CJ331" i="1" s="1"/>
  <c r="CH65" i="1"/>
  <c r="CI65" i="1" s="1"/>
  <c r="CJ65" i="1" s="1"/>
  <c r="CH95" i="1"/>
  <c r="CI95" i="1" s="1"/>
  <c r="CJ95" i="1" s="1"/>
  <c r="CH41" i="1"/>
  <c r="CI41" i="1" s="1"/>
  <c r="CJ41" i="1" s="1"/>
  <c r="CH254" i="1"/>
  <c r="CI254" i="1" s="1"/>
  <c r="CJ254" i="1" s="1"/>
  <c r="CH153" i="1"/>
  <c r="CI153" i="1" s="1"/>
  <c r="CJ153" i="1" s="1"/>
  <c r="CH327" i="1"/>
  <c r="CI327" i="1" s="1"/>
  <c r="CJ327" i="1" s="1"/>
  <c r="CH131" i="1"/>
  <c r="CI131" i="1" s="1"/>
  <c r="CJ131" i="1" s="1"/>
  <c r="CH18" i="1"/>
  <c r="CI18" i="1" s="1"/>
  <c r="CJ18" i="1" s="1"/>
  <c r="CH223" i="1"/>
  <c r="CI223" i="1" s="1"/>
  <c r="CJ223" i="1" s="1"/>
  <c r="CH118" i="1"/>
  <c r="CI118" i="1" s="1"/>
  <c r="CJ118" i="1" s="1"/>
  <c r="CH228" i="1"/>
  <c r="CI228" i="1" s="1"/>
  <c r="CJ228" i="1" s="1"/>
  <c r="CH215" i="1"/>
  <c r="CI215" i="1" s="1"/>
  <c r="CJ215" i="1" s="1"/>
  <c r="CH134" i="1"/>
  <c r="CI134" i="1" s="1"/>
  <c r="CJ134" i="1" s="1"/>
  <c r="CH190" i="1"/>
  <c r="CI190" i="1" s="1"/>
  <c r="CJ190" i="1" s="1"/>
  <c r="CI188" i="1"/>
  <c r="CJ188" i="1" s="1"/>
  <c r="CH244" i="1"/>
  <c r="CI244" i="1" s="1"/>
  <c r="CJ244" i="1" s="1"/>
  <c r="CH294" i="1"/>
  <c r="CI294" i="1" s="1"/>
  <c r="CJ294" i="1" s="1"/>
  <c r="CH311" i="1"/>
  <c r="CI311" i="1" s="1"/>
  <c r="CJ311" i="1" s="1"/>
  <c r="CH59" i="1"/>
  <c r="CI59" i="1" s="1"/>
  <c r="CJ59" i="1" s="1"/>
  <c r="CH123" i="1"/>
  <c r="CI123" i="1" s="1"/>
  <c r="CJ123" i="1" s="1"/>
  <c r="CH140" i="1"/>
  <c r="CI140" i="1" s="1"/>
  <c r="CJ140" i="1" s="1"/>
  <c r="CH53" i="1"/>
  <c r="CI53" i="1" s="1"/>
  <c r="CJ53" i="1" s="1"/>
  <c r="CH70" i="1"/>
  <c r="CI70" i="1" s="1"/>
  <c r="CJ70" i="1" s="1"/>
  <c r="CH171" i="1"/>
  <c r="CI171" i="1" s="1"/>
  <c r="CJ171" i="1" s="1"/>
  <c r="CH21" i="1"/>
  <c r="CI21" i="1" s="1"/>
  <c r="CJ21" i="1" s="1"/>
  <c r="CH68" i="1"/>
  <c r="CI68" i="1" s="1"/>
  <c r="CJ68" i="1" s="1"/>
  <c r="CH167" i="1"/>
  <c r="CI167" i="1" s="1"/>
  <c r="CJ167" i="1" s="1"/>
  <c r="CH350" i="1"/>
  <c r="CI350" i="1" s="1"/>
  <c r="CJ350" i="1" s="1"/>
  <c r="CH248" i="1"/>
  <c r="CI248" i="1" s="1"/>
  <c r="CJ248" i="1" s="1"/>
  <c r="CH224" i="1"/>
  <c r="CI224" i="1" s="1"/>
  <c r="CJ224" i="1" s="1"/>
  <c r="CH272" i="1"/>
  <c r="CI272" i="1" s="1"/>
  <c r="CJ272" i="1" s="1"/>
  <c r="CH289" i="1"/>
  <c r="CI289" i="1" s="1"/>
  <c r="CJ289" i="1" s="1"/>
  <c r="CH217" i="1"/>
  <c r="CI217" i="1" s="1"/>
  <c r="CJ217" i="1" s="1"/>
  <c r="CH75" i="1"/>
  <c r="CI75" i="1" s="1"/>
  <c r="CJ75" i="1" s="1"/>
  <c r="CH340" i="1"/>
  <c r="CI340" i="1" s="1"/>
  <c r="CJ340" i="1" s="1"/>
  <c r="CH48" i="1"/>
  <c r="CI48" i="1" s="1"/>
  <c r="CJ48" i="1" s="1"/>
  <c r="CH317" i="1"/>
  <c r="CI317" i="1" s="1"/>
  <c r="CJ317" i="1" s="1"/>
  <c r="CH214" i="1"/>
  <c r="CI214" i="1" s="1"/>
  <c r="CJ214" i="1" s="1"/>
  <c r="CH231" i="1"/>
  <c r="CI231" i="1" s="1"/>
  <c r="CJ231" i="1" s="1"/>
  <c r="CH361" i="1"/>
  <c r="CI361" i="1" s="1"/>
  <c r="CJ361" i="1" s="1"/>
  <c r="CH269" i="1"/>
  <c r="CI269" i="1" s="1"/>
  <c r="CJ269" i="1" s="1"/>
  <c r="CH152" i="1"/>
  <c r="CI152" i="1" s="1"/>
  <c r="CJ152" i="1" s="1"/>
  <c r="CH246" i="1"/>
  <c r="CI246" i="1" s="1"/>
  <c r="CJ246" i="1" s="1"/>
  <c r="CH81" i="1"/>
  <c r="CI81" i="1" s="1"/>
  <c r="CJ81" i="1" s="1"/>
  <c r="CH15" i="1"/>
  <c r="CI15" i="1" s="1"/>
  <c r="CJ15" i="1" s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DK26" i="1" l="1"/>
  <c r="DL27" i="1"/>
  <c r="DL28" i="1"/>
  <c r="DM28" i="1"/>
  <c r="DK28" i="1"/>
  <c r="DL26" i="1"/>
  <c r="DK27" i="1"/>
  <c r="DM27" i="1"/>
  <c r="DP31" i="1" a="1"/>
  <c r="DQ31" i="1" s="1"/>
  <c r="DU30" i="1" a="1"/>
  <c r="DU30" i="1" s="1"/>
  <c r="DP30" i="1" a="1"/>
  <c r="DP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B196" i="1" s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DP31" i="1" l="1"/>
  <c r="DR31" i="1"/>
  <c r="DX30" i="1"/>
  <c r="DW30" i="1"/>
  <c r="DV30" i="1"/>
  <c r="DQ30" i="1"/>
  <c r="DS30" i="1"/>
  <c r="DR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DY30" i="1" l="1"/>
  <c r="DS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AU159" i="1" l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Z159" i="1" l="1"/>
  <c r="N159" i="1" s="1"/>
  <c r="AW159" i="1"/>
  <c r="O159" i="1" s="1"/>
  <c r="AW163" i="1"/>
  <c r="O163" i="1" s="1"/>
  <c r="B178" i="1"/>
  <c r="B200" i="1" s="1"/>
  <c r="U4" i="1" s="1"/>
  <c r="AW158" i="1"/>
  <c r="O158" i="1" s="1"/>
  <c r="AW164" i="1"/>
  <c r="O164" i="1" s="1"/>
  <c r="BZ170" i="1"/>
  <c r="CB170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W4" i="1" l="1"/>
  <c r="DU5" i="1"/>
  <c r="AB7" i="1"/>
  <c r="CA170" i="1"/>
  <c r="CC170" i="1" s="1"/>
  <c r="O165" i="1"/>
  <c r="B180" i="1" s="1"/>
  <c r="B202" i="1" s="1"/>
  <c r="N165" i="1"/>
  <c r="B179" i="1" s="1"/>
  <c r="B201" i="1" s="1"/>
  <c r="B83" i="1"/>
  <c r="DU11" i="1" l="1"/>
  <c r="DU6" i="1"/>
  <c r="DU12" i="1" s="1"/>
  <c r="DU22" i="1" s="1" a="1"/>
  <c r="B205" i="1"/>
  <c r="U6" i="1" s="1"/>
  <c r="B204" i="1"/>
  <c r="U5" i="1" s="1"/>
  <c r="DU22" i="1" l="1"/>
  <c r="DX22" i="1"/>
  <c r="DV22" i="1"/>
  <c r="DW22" i="1"/>
  <c r="CC9" i="1"/>
  <c r="CJ9" i="1" s="1"/>
  <c r="DW5" i="1"/>
  <c r="DW11" i="1" s="1"/>
  <c r="CB9" i="1"/>
  <c r="CI9" i="1" s="1"/>
  <c r="DV5" i="1"/>
  <c r="U8" i="1"/>
  <c r="AA7" i="1" s="1"/>
  <c r="U7" i="1"/>
  <c r="W7" i="1" s="1"/>
  <c r="AA9" i="1"/>
  <c r="AB9" i="1"/>
  <c r="W6" i="1"/>
  <c r="U18" i="1"/>
  <c r="U19" i="1" s="1"/>
  <c r="U21" i="1" s="1"/>
  <c r="CI10" i="1" l="1"/>
  <c r="CI11" i="1" s="1"/>
  <c r="DV11" i="1"/>
  <c r="DY5" i="1"/>
  <c r="CB10" i="1"/>
  <c r="CB11" i="1" s="1"/>
  <c r="X8" i="1"/>
  <c r="X7" i="1"/>
  <c r="V19" i="1"/>
  <c r="V21" i="1" s="1"/>
  <c r="W19" i="1"/>
  <c r="W21" i="1" s="1"/>
  <c r="AC9" i="1"/>
  <c r="CJ11" i="1" l="1"/>
  <c r="CL11" i="1" s="1"/>
  <c r="CM11" i="1" s="1"/>
  <c r="DY11" i="1"/>
  <c r="DU21" i="1" a="1"/>
  <c r="DU32" i="1" a="1"/>
  <c r="CC11" i="1"/>
  <c r="CE11" i="1" s="1"/>
  <c r="CG11" i="1" s="1"/>
  <c r="U23" i="1"/>
  <c r="V23" i="1" s="1"/>
  <c r="DU21" i="1" l="1"/>
  <c r="DX21" i="1"/>
  <c r="DV21" i="1"/>
  <c r="DW21" i="1"/>
  <c r="DU32" i="1"/>
  <c r="DU36" i="1" s="1"/>
  <c r="DW32" i="1"/>
  <c r="DW36" i="1" s="1"/>
  <c r="DV32" i="1"/>
  <c r="DV36" i="1" s="1"/>
  <c r="DX32" i="1"/>
  <c r="DX36" i="1" l="1"/>
  <c r="DY36" i="1" s="1"/>
  <c r="DU31" i="1" a="1"/>
  <c r="DU31" i="1" s="1"/>
  <c r="DU37" i="1" s="1"/>
  <c r="EA36" i="1" l="1"/>
  <c r="DZ36" i="1"/>
  <c r="DW31" i="1"/>
  <c r="DW37" i="1" s="1"/>
  <c r="DX31" i="1"/>
  <c r="DV31" i="1"/>
  <c r="DV37" i="1" s="1"/>
  <c r="DY31" i="1" l="1"/>
  <c r="DY32" i="1" s="1"/>
  <c r="EB36" i="1"/>
  <c r="DX37" i="1"/>
  <c r="DY37" i="1" s="1"/>
  <c r="DZ37" i="1" l="1"/>
  <c r="EA37" i="1"/>
  <c r="EB37" i="1" l="1"/>
  <c r="EB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<sst xmlns="http://schemas.openxmlformats.org/spreadsheetml/2006/main" count="394" uniqueCount="224">
  <si>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</si>
  <si>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</si>
  <si>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</si>
  <si>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</si>
  <si>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</si>
  <si>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</si>
  <si>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</si>
  <si>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</si>
  <si>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</si>
  <si>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</si>
  <si>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</si>
  <si>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</si>
  <si>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</si>
  <si>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</si>
  <si>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</si>
  <si>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</si>
  <si>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</si>
  <si>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</si>
  <si>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</si>
  <si>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</si>
  <si>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</si>
  <si>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</si>
  <si>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</si>
  <si>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</si>
  <si>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</si>
  <si>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</si>
  <si>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</si>
  <si>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</si>
  <si>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</si>
  <si>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</si>
  <si>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</si>
  <si>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</si>
  <si>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</si>
  <si>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</si>
  <si>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</si>
  <si>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</si>
  <si>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</si>
  <si>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</si>
  <si>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</si>
  <si>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</si>
  <si>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</si>
  <si>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</si>
  <si>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</si>
  <si>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</si>
  <si>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</si>
  <si>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</si>
  <si>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</si>
  <si>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</si>
  <si>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</si>
  <si>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</si>
  <si>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</si>
  <si>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</si>
  <si>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</si>
  <si>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</si>
  <si>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</si>
  <si>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</si>
  <si>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</si>
  <si>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</si>
  <si>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</si>
  <si>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</si>
  <si>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</si>
  <si>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</si>
  <si>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</si>
  <si>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</si>
  <si>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</si>
  <si>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</si>
  <si>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</si>
  <si>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</si>
  <si>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</si>
  <si>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</si>
  <si>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</si>
  <si>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</si>
  <si>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</si>
  <si>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</si>
  <si>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</si>
  <si>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</si>
  <si>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</si>
  <si>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</si>
  <si>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</si>
  <si>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</si>
  <si>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</si>
  <si>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</si>
  <si>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</si>
  <si>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</si>
  <si>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</si>
  <si>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</si>
  <si>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</si>
  <si>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</si>
  <si>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</si>
  <si>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</si>
  <si>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</si>
  <si>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</si>
  <si>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</si>
  <si>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</si>
  <si>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</si>
  <si>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</si>
  <si>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</si>
  <si>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</si>
  <si>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</si>
  <si>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</si>
  <si>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</si>
  <si>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</si>
  <si>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</si>
  <si>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</si>
  <si>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</si>
  <si>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</si>
  <si>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</si>
  <si>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</si>
  <si>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</si>
  <si>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</si>
  <si>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</si>
  <si>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</si>
  <si>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</si>
  <si>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</si>
  <si>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</si>
  <si>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</si>
  <si>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</si>
  <si>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</si>
  <si>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</si>
  <si>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</si>
  <si>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</si>
  <si>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</si>
  <si>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</si>
  <si>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</si>
  <si>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</si>
  <si>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</si>
  <si>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</si>
  <si>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</si>
  <si>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</si>
  <si>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</si>
  <si>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</si>
  <si>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</si>
  <si>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</si>
  <si>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</si>
  <si>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</si>
  <si>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</si>
  <si>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</si>
  <si>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</si>
  <si>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</si>
  <si>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</si>
  <si>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</si>
  <si>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</si>
  <si>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</si>
  <si>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</si>
  <si>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</si>
  <si>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</si>
  <si>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</si>
  <si>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</si>
  <si>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</si>
  <si>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Guess Point - determined via parametric line between full compression and tension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</si>
  <si>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</si>
  <si>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</si>
  <si>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</si>
  <si>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</si>
  <si>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</si>
  <si>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</si>
  <si>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</si>
  <si>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</si>
  <si>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</si>
  <si>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</si>
  <si>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</si>
  <si>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</si>
  <si>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</si>
  <si>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</si>
  <si>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</si>
  <si>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</si>
  <si>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</si>
  <si>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</si>
  <si>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</si>
  <si>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</si>
  <si>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</si>
  <si>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</si>
  <si>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</si>
  <si>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</si>
  <si>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</si>
  <si>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</si>
  <si>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</si>
  <si>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</si>
  <si>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</si>
  <si>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</si>
  <si>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</si>
  <si>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</si>
  <si>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</si>
  <si>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</si>
  <si>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</si>
  <si>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</si>
  <si>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</si>
  <si>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</si>
  <si>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</si>
  <si>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</si>
  <si>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</si>
  <si>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</si>
  <si>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</si>
  <si>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</si>
  <si>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</si>
  <si>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</si>
  <si>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</si>
  <si>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</si>
  <si>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</si>
  <si>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</si>
  <si>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GU</t>
  </si>
  <si>
    <t>|GU|</t>
  </si>
  <si>
    <t>t</t>
  </si>
  <si>
    <t>Mx,calc</t>
  </si>
  <si>
    <t>My,calc</t>
  </si>
  <si>
    <t>Mx,user</t>
  </si>
  <si>
    <t>My,user</t>
  </si>
  <si>
    <t>2D Vector Between User Load/Calculated and New Center Point - moving from load to point</t>
  </si>
  <si>
    <t>Whitney</t>
  </si>
  <si>
    <t>3D Coordinate Transformation</t>
  </si>
  <si>
    <t>Translation</t>
  </si>
  <si>
    <t>Rotatiion to Y axis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</si>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</sst>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64" fontId="0" fillId="0" borderId="1" xfId="0" applyNumberFormat="1" applyBorder="1"/>
    <xf numFmtId="0" fontId="6" fillId="0" borderId="0" xfId="0" applyFont="1" applyBorder="1"/>
    <xf numFmtId="0" fontId="0" fillId="0" borderId="0" xfId="0" applyBorder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-5.5653385336398671</c:v>
                </c:pt>
                <c:pt idx="1">
                  <c:v>11.996477264716827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-3.1136564311375761</c:v>
                </c:pt>
                <c:pt idx="1">
                  <c:v>-6.061614726538032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-4.5837383587356015</c:v>
                </c:pt>
                <c:pt idx="1">
                  <c:v>12.978077439621092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2.7340115925926174</c:v>
                </c:pt>
                <c:pt idx="1">
                  <c:v>-0.21394670280784034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6.0872630845409716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12.471699097652822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-3.9306645852684303</c:v>
                </c:pt>
                <c:pt idx="1">
                  <c:v>7.9037608942349626</c:v>
                </c:pt>
                <c:pt idx="2">
                  <c:v>5.2550300215906081</c:v>
                </c:pt>
                <c:pt idx="3">
                  <c:v>5.2550300215906081</c:v>
                </c:pt>
                <c:pt idx="4">
                  <c:v>3.9306645852684303</c:v>
                </c:pt>
                <c:pt idx="5">
                  <c:v>-7.9037608942349626</c:v>
                </c:pt>
                <c:pt idx="6">
                  <c:v>-6.5793954579127849</c:v>
                </c:pt>
                <c:pt idx="7">
                  <c:v>-6.5793954579127849</c:v>
                </c:pt>
                <c:pt idx="8">
                  <c:v>-3.9306645852684303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-12.827699556745026</c:v>
                </c:pt>
                <c:pt idx="1">
                  <c:v>-10.84115140226176</c:v>
                </c:pt>
                <c:pt idx="2">
                  <c:v>4.9380825704094313</c:v>
                </c:pt>
                <c:pt idx="3">
                  <c:v>4.9380825704094313</c:v>
                </c:pt>
                <c:pt idx="4">
                  <c:v>12.827699556745026</c:v>
                </c:pt>
                <c:pt idx="5">
                  <c:v>10.84115140226176</c:v>
                </c:pt>
                <c:pt idx="6">
                  <c:v>2.9515344159261647</c:v>
                </c:pt>
                <c:pt idx="7">
                  <c:v>2.9515344159261647</c:v>
                </c:pt>
                <c:pt idx="8">
                  <c:v>-12.827699556745026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-2.2893516977650759</c:v>
                </c:pt>
                <c:pt idx="1">
                  <c:v>-2.6204430568456205</c:v>
                </c:pt>
                <c:pt idx="2">
                  <c:v>-0.31694745118117695</c:v>
                </c:pt>
                <c:pt idx="3">
                  <c:v>-0.64803881026172139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-10.524203951080583</c:v>
                </c:pt>
                <c:pt idx="1">
                  <c:v>-8.551799704496684</c:v>
                </c:pt>
                <c:pt idx="2">
                  <c:v>-10.193112592000038</c:v>
                </c:pt>
                <c:pt idx="3">
                  <c:v>-8.2207083454161403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-8.9037608942349635</c:v>
                </c:pt>
                <c:pt idx="1">
                  <c:v>8.9037608942349635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-16.819711889757613</c:v>
                </c:pt>
                <c:pt idx="1">
                  <c:v>-16.819711889757613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-8.9037608942349635</c:v>
                </c:pt>
                <c:pt idx="1">
                  <c:v>8.9037608942349635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-10.890229600457081</c:v>
                </c:pt>
                <c:pt idx="1">
                  <c:v>-10.890229600457081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7.6113882790028313</c:v>
                </c:pt>
                <c:pt idx="1">
                  <c:v>7.9037608942349626</c:v>
                </c:pt>
                <c:pt idx="2">
                  <c:v>5.2550300215906081</c:v>
                </c:pt>
                <c:pt idx="3">
                  <c:v>5.2550300215906081</c:v>
                </c:pt>
                <c:pt idx="4">
                  <c:v>3.9306645852684303</c:v>
                </c:pt>
                <c:pt idx="5">
                  <c:v>-7.9037608942349626</c:v>
                </c:pt>
                <c:pt idx="6">
                  <c:v>-6.5793954579127849</c:v>
                </c:pt>
                <c:pt idx="7">
                  <c:v>-6.5793954579127849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-10.890229600457081</c:v>
                </c:pt>
                <c:pt idx="1">
                  <c:v>-10.84115140226176</c:v>
                </c:pt>
                <c:pt idx="2">
                  <c:v>4.9380825704094313</c:v>
                </c:pt>
                <c:pt idx="3">
                  <c:v>4.9380825704094313</c:v>
                </c:pt>
                <c:pt idx="4">
                  <c:v>12.827699556745026</c:v>
                </c:pt>
                <c:pt idx="5">
                  <c:v>10.84115140226176</c:v>
                </c:pt>
                <c:pt idx="6">
                  <c:v>2.9515344159261647</c:v>
                </c:pt>
                <c:pt idx="7">
                  <c:v>2.9515344159261647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7.9037608942349626</c:v>
                </c:pt>
                <c:pt idx="1">
                  <c:v>5.2550300215906081</c:v>
                </c:pt>
                <c:pt idx="2">
                  <c:v>5.2550300215906081</c:v>
                </c:pt>
                <c:pt idx="3">
                  <c:v>3.9306645852684303</c:v>
                </c:pt>
                <c:pt idx="4">
                  <c:v>-7.9037608942349626</c:v>
                </c:pt>
                <c:pt idx="5">
                  <c:v>-6.5793954579127849</c:v>
                </c:pt>
                <c:pt idx="6">
                  <c:v>-6.5793954579127849</c:v>
                </c:pt>
                <c:pt idx="7">
                  <c:v>-4.2558918109327983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-10.84115140226176</c:v>
                </c:pt>
                <c:pt idx="1">
                  <c:v>4.9380825704094313</c:v>
                </c:pt>
                <c:pt idx="2">
                  <c:v>4.9380825704094313</c:v>
                </c:pt>
                <c:pt idx="3">
                  <c:v>12.827699556745026</c:v>
                </c:pt>
                <c:pt idx="4">
                  <c:v>10.84115140226176</c:v>
                </c:pt>
                <c:pt idx="5">
                  <c:v>2.9515344159261647</c:v>
                </c:pt>
                <c:pt idx="6">
                  <c:v>2.9515344159261647</c:v>
                </c:pt>
                <c:pt idx="7">
                  <c:v>-10.890229600457081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14.142135623730951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4.8109393949094867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799.99999999940883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14.142135623730951</c:v>
                </c:pt>
                <c:pt idx="1">
                  <c:v>4.8109393949094867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800</c:v>
                </c:pt>
                <c:pt idx="1">
                  <c:v>799.99999999940883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4.3910914686553157</c:v>
                </c:pt>
                <c:pt idx="1">
                  <c:v>4.4211985131781963</c:v>
                </c:pt>
                <c:pt idx="2">
                  <c:v>4.4408301452427388</c:v>
                </c:pt>
                <c:pt idx="3">
                  <c:v>4.4499749256382763</c:v>
                </c:pt>
                <c:pt idx="4">
                  <c:v>4.448595647200162</c:v>
                </c:pt>
                <c:pt idx="5">
                  <c:v>4.4366290943683859</c:v>
                </c:pt>
                <c:pt idx="6">
                  <c:v>4.4139856545026728</c:v>
                </c:pt>
                <c:pt idx="7">
                  <c:v>4.3805487946515704</c:v>
                </c:pt>
                <c:pt idx="8">
                  <c:v>4.3361743812579308</c:v>
                </c:pt>
                <c:pt idx="9">
                  <c:v>4.2806898714591179</c:v>
                </c:pt>
                <c:pt idx="10">
                  <c:v>4.2138933076139899</c:v>
                </c:pt>
                <c:pt idx="11">
                  <c:v>4.1371012805727299</c:v>
                </c:pt>
                <c:pt idx="12">
                  <c:v>4.0626253649807156</c:v>
                </c:pt>
                <c:pt idx="13">
                  <c:v>3.9922493439375062</c:v>
                </c:pt>
                <c:pt idx="14">
                  <c:v>3.9250276702485305</c:v>
                </c:pt>
                <c:pt idx="15">
                  <c:v>3.8601888222884222</c:v>
                </c:pt>
                <c:pt idx="16">
                  <c:v>3.7970918435811214</c:v>
                </c:pt>
                <c:pt idx="17">
                  <c:v>3.7351951876851954</c:v>
                </c:pt>
                <c:pt idx="18">
                  <c:v>3.6740338486634991</c:v>
                </c:pt>
                <c:pt idx="19">
                  <c:v>3.6132022361095197</c:v>
                </c:pt>
                <c:pt idx="20">
                  <c:v>3.5523411065034347</c:v>
                </c:pt>
                <c:pt idx="21">
                  <c:v>3.4911274053850856</c:v>
                </c:pt>
                <c:pt idx="22">
                  <c:v>3.4292662340040478</c:v>
                </c:pt>
                <c:pt idx="23">
                  <c:v>3.3664843965453315</c:v>
                </c:pt>
                <c:pt idx="24">
                  <c:v>3.3025251239556614</c:v>
                </c:pt>
                <c:pt idx="25">
                  <c:v>3.237143686408555</c:v>
                </c:pt>
                <c:pt idx="26">
                  <c:v>3.1701036683565222</c:v>
                </c:pt>
                <c:pt idx="27">
                  <c:v>3.1011737556274177</c:v>
                </c:pt>
                <c:pt idx="28">
                  <c:v>3.0301249025835566</c:v>
                </c:pt>
                <c:pt idx="29">
                  <c:v>2.9567277761588566</c:v>
                </c:pt>
                <c:pt idx="30">
                  <c:v>2.8807504088998392</c:v>
                </c:pt>
                <c:pt idx="31">
                  <c:v>2.8019559803555909</c:v>
                </c:pt>
                <c:pt idx="32">
                  <c:v>2.7201006883839121</c:v>
                </c:pt>
                <c:pt idx="33">
                  <c:v>2.6349316511159948</c:v>
                </c:pt>
                <c:pt idx="34">
                  <c:v>2.5461848085093055</c:v>
                </c:pt>
                <c:pt idx="35">
                  <c:v>2.4535827665061287</c:v>
                </c:pt>
                <c:pt idx="36">
                  <c:v>2.3568325718198961</c:v>
                </c:pt>
                <c:pt idx="37">
                  <c:v>2.2556233563444419</c:v>
                </c:pt>
                <c:pt idx="38">
                  <c:v>2.149623835056738</c:v>
                </c:pt>
                <c:pt idx="39">
                  <c:v>2.0384795940512523</c:v>
                </c:pt>
                <c:pt idx="40">
                  <c:v>1.921810149459116</c:v>
                </c:pt>
                <c:pt idx="41">
                  <c:v>1.7992057209709202</c:v>
                </c:pt>
                <c:pt idx="42">
                  <c:v>1.6702236568742812</c:v>
                </c:pt>
                <c:pt idx="43">
                  <c:v>1.5343844819524166</c:v>
                </c:pt>
                <c:pt idx="44">
                  <c:v>1.3911674642818164</c:v>
                </c:pt>
                <c:pt idx="45">
                  <c:v>1.2400056554439254</c:v>
                </c:pt>
                <c:pt idx="46">
                  <c:v>1.0802802927837785</c:v>
                </c:pt>
                <c:pt idx="47">
                  <c:v>0.91131448114418179</c:v>
                </c:pt>
                <c:pt idx="48">
                  <c:v>0.7323660056917376</c:v>
                </c:pt>
                <c:pt idx="49">
                  <c:v>0.54261915336723821</c:v>
                </c:pt>
                <c:pt idx="50">
                  <c:v>0.34117536612698629</c:v>
                </c:pt>
                <c:pt idx="51">
                  <c:v>0.12704250942051493</c:v>
                </c:pt>
                <c:pt idx="52">
                  <c:v>-0.10087746456529345</c:v>
                </c:pt>
                <c:pt idx="53">
                  <c:v>-0.34380277733540104</c:v>
                </c:pt>
                <c:pt idx="54">
                  <c:v>-0.60308833927266015</c:v>
                </c:pt>
                <c:pt idx="55">
                  <c:v>-0.88024497032776949</c:v>
                </c:pt>
                <c:pt idx="56">
                  <c:v>-1.1769618366959376</c:v>
                </c:pt>
                <c:pt idx="57">
                  <c:v>-1.4951327437824755</c:v>
                </c:pt>
                <c:pt idx="58">
                  <c:v>-1.8368870935492509</c:v>
                </c:pt>
                <c:pt idx="59">
                  <c:v>-2.204626464291207</c:v>
                </c:pt>
                <c:pt idx="60">
                  <c:v>-2.6010680515482765</c:v>
                </c:pt>
                <c:pt idx="61">
                  <c:v>-3.0292964955137385</c:v>
                </c:pt>
                <c:pt idx="62">
                  <c:v>-3.4928260278545196</c:v>
                </c:pt>
                <c:pt idx="63">
                  <c:v>-3.9956754087053805</c:v>
                </c:pt>
                <c:pt idx="64">
                  <c:v>-4.5424587937520275</c:v>
                </c:pt>
                <c:pt idx="65">
                  <c:v>-5.1384966238810508</c:v>
                </c:pt>
                <c:pt idx="66">
                  <c:v>-5.7899518316981782</c:v>
                </c:pt>
                <c:pt idx="67">
                  <c:v>-6.5039983798267569</c:v>
                </c:pt>
                <c:pt idx="68">
                  <c:v>-7.2890314250091972</c:v>
                </c:pt>
                <c:pt idx="69">
                  <c:v>-8.1549316241034653</c:v>
                </c:pt>
                <c:pt idx="70">
                  <c:v>-9.1134006357542248</c:v>
                </c:pt>
                <c:pt idx="71">
                  <c:v>-10.178391354837629</c:v>
                </c:pt>
                <c:pt idx="72">
                  <c:v>-11.366665868766733</c:v>
                </c:pt>
                <c:pt idx="73">
                  <c:v>-12.69852813017984</c:v>
                </c:pt>
                <c:pt idx="74">
                  <c:v>-14.19879955484641</c:v>
                </c:pt>
                <c:pt idx="75">
                  <c:v>-15.898138537214628</c:v>
                </c:pt>
                <c:pt idx="76">
                  <c:v>-17.834856963530708</c:v>
                </c:pt>
                <c:pt idx="77">
                  <c:v>-20.057471753846546</c:v>
                </c:pt>
                <c:pt idx="78">
                  <c:v>-22.628372658459913</c:v>
                </c:pt>
                <c:pt idx="79">
                  <c:v>-25.62923775351577</c:v>
                </c:pt>
                <c:pt idx="80">
                  <c:v>-29.169284011094931</c:v>
                </c:pt>
                <c:pt idx="81">
                  <c:v>-33.398312442042744</c:v>
                </c:pt>
                <c:pt idx="82">
                  <c:v>-38.528273985769559</c:v>
                </c:pt>
                <c:pt idx="83">
                  <c:v>-44.51259306731319</c:v>
                </c:pt>
                <c:pt idx="84">
                  <c:v>-50.436445503657808</c:v>
                </c:pt>
                <c:pt idx="85">
                  <c:v>-56.261666742749853</c:v>
                </c:pt>
                <c:pt idx="86">
                  <c:v>-62.114737032256762</c:v>
                </c:pt>
                <c:pt idx="87">
                  <c:v>-68.001963275416372</c:v>
                </c:pt>
                <c:pt idx="88">
                  <c:v>-73.929996627160548</c:v>
                </c:pt>
                <c:pt idx="89">
                  <c:v>-79.905895445749479</c:v>
                </c:pt>
                <c:pt idx="90">
                  <c:v>-85.882875000000539</c:v>
                </c:pt>
                <c:pt idx="91">
                  <c:v>-90.51195821896377</c:v>
                </c:pt>
                <c:pt idx="92">
                  <c:v>-95.143863069211946</c:v>
                </c:pt>
                <c:pt idx="93">
                  <c:v>-99.781418065863008</c:v>
                </c:pt>
                <c:pt idx="94">
                  <c:v>-104.42746552741947</c:v>
                </c:pt>
                <c:pt idx="95">
                  <c:v>-109.08486856707553</c:v>
                </c:pt>
                <c:pt idx="96">
                  <c:v>-113.75651819245793</c:v>
                </c:pt>
                <c:pt idx="97">
                  <c:v>-118.4453405514508</c:v>
                </c:pt>
                <c:pt idx="98">
                  <c:v>-123.14779734914421</c:v>
                </c:pt>
                <c:pt idx="99">
                  <c:v>-127.37377238646896</c:v>
                </c:pt>
                <c:pt idx="100">
                  <c:v>-130.95868562188622</c:v>
                </c:pt>
                <c:pt idx="101">
                  <c:v>-134.05235944417518</c:v>
                </c:pt>
                <c:pt idx="102">
                  <c:v>-136.75990192404294</c:v>
                </c:pt>
                <c:pt idx="103">
                  <c:v>-139.15751894139845</c:v>
                </c:pt>
                <c:pt idx="104">
                  <c:v>-141.30198935536004</c:v>
                </c:pt>
                <c:pt idx="105">
                  <c:v>-143.23660119868291</c:v>
                </c:pt>
                <c:pt idx="106">
                  <c:v>-144.99501189365159</c:v>
                </c:pt>
                <c:pt idx="107">
                  <c:v>-146.60383928102129</c:v>
                </c:pt>
                <c:pt idx="108">
                  <c:v>-148.08444884764231</c:v>
                </c:pt>
                <c:pt idx="109">
                  <c:v>-149.45421613921675</c:v>
                </c:pt>
                <c:pt idx="110">
                  <c:v>-150.72743726419901</c:v>
                </c:pt>
                <c:pt idx="111">
                  <c:v>-151.91599784270943</c:v>
                </c:pt>
                <c:pt idx="112">
                  <c:v>-153.02987264643721</c:v>
                </c:pt>
                <c:pt idx="113">
                  <c:v>-154.07750436459307</c:v>
                </c:pt>
                <c:pt idx="114">
                  <c:v>-155.06609458306536</c:v>
                </c:pt>
                <c:pt idx="115">
                  <c:v>-156.00183007130343</c:v>
                </c:pt>
                <c:pt idx="116">
                  <c:v>-156.89006071440951</c:v>
                </c:pt>
                <c:pt idx="117">
                  <c:v>-157.73544084072887</c:v>
                </c:pt>
                <c:pt idx="118">
                  <c:v>-158.54204254408012</c:v>
                </c:pt>
                <c:pt idx="119">
                  <c:v>-159.31344732815703</c:v>
                </c:pt>
                <c:pt idx="120">
                  <c:v>-160.05282080951139</c:v>
                </c:pt>
                <c:pt idx="121">
                  <c:v>-160.76297408697181</c:v>
                </c:pt>
                <c:pt idx="122">
                  <c:v>-161.44641447996645</c:v>
                </c:pt>
                <c:pt idx="123">
                  <c:v>-162.10538777911793</c:v>
                </c:pt>
                <c:pt idx="124">
                  <c:v>-162.74191362723099</c:v>
                </c:pt>
                <c:pt idx="125">
                  <c:v>-163.35781533052176</c:v>
                </c:pt>
                <c:pt idx="126">
                  <c:v>-163.95474511386951</c:v>
                </c:pt>
                <c:pt idx="127">
                  <c:v>-164.53420562693961</c:v>
                </c:pt>
                <c:pt idx="128">
                  <c:v>-165.09756835336501</c:v>
                </c:pt>
                <c:pt idx="129">
                  <c:v>-165.6460894520207</c:v>
                </c:pt>
                <c:pt idx="130">
                  <c:v>-166.18092344213528</c:v>
                </c:pt>
                <c:pt idx="131">
                  <c:v>-166.70313509331078</c:v>
                </c:pt>
                <c:pt idx="132">
                  <c:v>-167.21370980689855</c:v>
                </c:pt>
                <c:pt idx="133">
                  <c:v>-167.71356270473115</c:v>
                </c:pt>
                <c:pt idx="134">
                  <c:v>-168.20354665362984</c:v>
                </c:pt>
                <c:pt idx="135">
                  <c:v>-168.68445936419218</c:v>
                </c:pt>
                <c:pt idx="136">
                  <c:v>-169.15704971180321</c:v>
                </c:pt>
                <c:pt idx="137">
                  <c:v>-169.62202340157572</c:v>
                </c:pt>
                <c:pt idx="138">
                  <c:v>-170.08004806626116</c:v>
                </c:pt>
                <c:pt idx="139">
                  <c:v>-170.53175790211637</c:v>
                </c:pt>
                <c:pt idx="140">
                  <c:v>-170.97775789260461</c:v>
                </c:pt>
                <c:pt idx="141">
                  <c:v>-171.41862771234423</c:v>
                </c:pt>
                <c:pt idx="142">
                  <c:v>-171.85492534700259</c:v>
                </c:pt>
                <c:pt idx="143">
                  <c:v>-172.28719050562984</c:v>
                </c:pt>
                <c:pt idx="144">
                  <c:v>-172.71594784918454</c:v>
                </c:pt>
                <c:pt idx="145">
                  <c:v>-173.14171010521619</c:v>
                </c:pt>
                <c:pt idx="146">
                  <c:v>-173.56498110692269</c:v>
                </c:pt>
                <c:pt idx="147">
                  <c:v>-173.98625878042557</c:v>
                </c:pt>
                <c:pt idx="148">
                  <c:v>-174.40603816950528</c:v>
                </c:pt>
                <c:pt idx="149">
                  <c:v>-174.82481449850167</c:v>
                </c:pt>
                <c:pt idx="150">
                  <c:v>-175.24308636365393</c:v>
                </c:pt>
                <c:pt idx="151">
                  <c:v>-175.66135908462539</c:v>
                </c:pt>
                <c:pt idx="152">
                  <c:v>-176.06815674097638</c:v>
                </c:pt>
                <c:pt idx="153">
                  <c:v>-176.45101829110087</c:v>
                </c:pt>
                <c:pt idx="154">
                  <c:v>-176.81124451864699</c:v>
                </c:pt>
                <c:pt idx="155">
                  <c:v>-177.15004159445775</c:v>
                </c:pt>
                <c:pt idx="156">
                  <c:v>-177.46851778590985</c:v>
                </c:pt>
                <c:pt idx="157">
                  <c:v>-177.76769177142756</c:v>
                </c:pt>
                <c:pt idx="158">
                  <c:v>-178.0485000914733</c:v>
                </c:pt>
                <c:pt idx="159">
                  <c:v>-178.31180380907239</c:v>
                </c:pt>
                <c:pt idx="160">
                  <c:v>-178.55839449231831</c:v>
                </c:pt>
                <c:pt idx="161">
                  <c:v>-178.7889995857025</c:v>
                </c:pt>
                <c:pt idx="162">
                  <c:v>-179.00428722680013</c:v>
                </c:pt>
                <c:pt idx="163">
                  <c:v>-179.20487057385176</c:v>
                </c:pt>
                <c:pt idx="164">
                  <c:v>-179.39131169930013</c:v>
                </c:pt>
                <c:pt idx="165">
                  <c:v>-179.56412507735138</c:v>
                </c:pt>
                <c:pt idx="166">
                  <c:v>-179.72378072696057</c:v>
                </c:pt>
                <c:pt idx="167">
                  <c:v>-179.87070701943824</c:v>
                </c:pt>
                <c:pt idx="168">
                  <c:v>-180.00529319667106</c:v>
                </c:pt>
                <c:pt idx="169">
                  <c:v>-180.12789163269113</c:v>
                </c:pt>
                <c:pt idx="170">
                  <c:v>-180.23881982659455</c:v>
                </c:pt>
                <c:pt idx="171">
                  <c:v>-180.33836220267023</c:v>
                </c:pt>
                <c:pt idx="172">
                  <c:v>-180.42677167322032</c:v>
                </c:pt>
                <c:pt idx="173">
                  <c:v>-180.50427103311762</c:v>
                </c:pt>
                <c:pt idx="174">
                  <c:v>-180.5710541635643</c:v>
                </c:pt>
                <c:pt idx="175">
                  <c:v>-180.62728707321568</c:v>
                </c:pt>
                <c:pt idx="176">
                  <c:v>-180.67310877974276</c:v>
                </c:pt>
                <c:pt idx="177">
                  <c:v>-180.70863204918575</c:v>
                </c:pt>
                <c:pt idx="178">
                  <c:v>-180.73394398356385</c:v>
                </c:pt>
                <c:pt idx="179">
                  <c:v>-180.74910647648085</c:v>
                </c:pt>
                <c:pt idx="180">
                  <c:v>-180.75415653632419</c:v>
                </c:pt>
                <c:pt idx="181">
                  <c:v>-180.7491064764846</c:v>
                </c:pt>
                <c:pt idx="182">
                  <c:v>-180.73394398356777</c:v>
                </c:pt>
                <c:pt idx="183">
                  <c:v>-180.70863204918959</c:v>
                </c:pt>
                <c:pt idx="184">
                  <c:v>-180.67310877974657</c:v>
                </c:pt>
                <c:pt idx="185">
                  <c:v>-180.62728707321938</c:v>
                </c:pt>
                <c:pt idx="186">
                  <c:v>-180.57105416356814</c:v>
                </c:pt>
                <c:pt idx="187">
                  <c:v>-180.50427103312117</c:v>
                </c:pt>
                <c:pt idx="188">
                  <c:v>-180.42677167322412</c:v>
                </c:pt>
                <c:pt idx="189">
                  <c:v>-180.33836220267403</c:v>
                </c:pt>
                <c:pt idx="190">
                  <c:v>-180.23881982659827</c:v>
                </c:pt>
                <c:pt idx="191">
                  <c:v>-180.12789163269488</c:v>
                </c:pt>
                <c:pt idx="192">
                  <c:v>-180.00529319667481</c:v>
                </c:pt>
                <c:pt idx="193">
                  <c:v>-179.87070701944197</c:v>
                </c:pt>
                <c:pt idx="194">
                  <c:v>-179.72378072696401</c:v>
                </c:pt>
                <c:pt idx="195">
                  <c:v>-179.56412507735499</c:v>
                </c:pt>
                <c:pt idx="196">
                  <c:v>-179.39131169930369</c:v>
                </c:pt>
                <c:pt idx="197">
                  <c:v>-179.20487057385563</c:v>
                </c:pt>
                <c:pt idx="198">
                  <c:v>-179.00428722680402</c:v>
                </c:pt>
                <c:pt idx="199">
                  <c:v>-178.78899958570636</c:v>
                </c:pt>
                <c:pt idx="200">
                  <c:v>-178.55839449232212</c:v>
                </c:pt>
                <c:pt idx="201">
                  <c:v>-178.31180380907614</c:v>
                </c:pt>
                <c:pt idx="202">
                  <c:v>-178.04850009147697</c:v>
                </c:pt>
                <c:pt idx="203">
                  <c:v>-177.76769177143157</c:v>
                </c:pt>
                <c:pt idx="204">
                  <c:v>-177.46851778591378</c:v>
                </c:pt>
                <c:pt idx="205">
                  <c:v>-177.15004159446153</c:v>
                </c:pt>
                <c:pt idx="206">
                  <c:v>-176.81124451865105</c:v>
                </c:pt>
                <c:pt idx="207">
                  <c:v>-176.45101829110496</c:v>
                </c:pt>
                <c:pt idx="208">
                  <c:v>-175.95015744483814</c:v>
                </c:pt>
                <c:pt idx="209">
                  <c:v>-175.19154060923475</c:v>
                </c:pt>
                <c:pt idx="210">
                  <c:v>-174.42358711003959</c:v>
                </c:pt>
                <c:pt idx="211">
                  <c:v>-173.65815918999459</c:v>
                </c:pt>
                <c:pt idx="212">
                  <c:v>-172.89459156632267</c:v>
                </c:pt>
                <c:pt idx="213">
                  <c:v>-172.13223533836435</c:v>
                </c:pt>
                <c:pt idx="214">
                  <c:v>-171.37045426089406</c:v>
                </c:pt>
                <c:pt idx="215">
                  <c:v>-170.60862131515199</c:v>
                </c:pt>
                <c:pt idx="216">
                  <c:v>-169.76589270422076</c:v>
                </c:pt>
                <c:pt idx="217">
                  <c:v>-168.74711179695078</c:v>
                </c:pt>
                <c:pt idx="218">
                  <c:v>-167.72817696859053</c:v>
                </c:pt>
                <c:pt idx="219">
                  <c:v>-166.54268868593721</c:v>
                </c:pt>
                <c:pt idx="220">
                  <c:v>-165.1259963072165</c:v>
                </c:pt>
                <c:pt idx="221">
                  <c:v>-163.70844629190339</c:v>
                </c:pt>
                <c:pt idx="222">
                  <c:v>-162.28918524398571</c:v>
                </c:pt>
                <c:pt idx="223">
                  <c:v>-160.86735895750394</c:v>
                </c:pt>
                <c:pt idx="224">
                  <c:v>-159.44210974000487</c:v>
                </c:pt>
                <c:pt idx="225">
                  <c:v>-158.01257374042945</c:v>
                </c:pt>
                <c:pt idx="226">
                  <c:v>-156.57787823752017</c:v>
                </c:pt>
                <c:pt idx="227">
                  <c:v>-155.13713887695312</c:v>
                </c:pt>
                <c:pt idx="228">
                  <c:v>-153.68945680555359</c:v>
                </c:pt>
                <c:pt idx="229">
                  <c:v>-152.13013090968954</c:v>
                </c:pt>
                <c:pt idx="230">
                  <c:v>-150.36427007686325</c:v>
                </c:pt>
                <c:pt idx="231">
                  <c:v>-148.58937747588394</c:v>
                </c:pt>
                <c:pt idx="232">
                  <c:v>-146.80439930337764</c:v>
                </c:pt>
                <c:pt idx="233">
                  <c:v>-145.00825770409025</c:v>
                </c:pt>
                <c:pt idx="234">
                  <c:v>-143.19984728031113</c:v>
                </c:pt>
                <c:pt idx="235">
                  <c:v>-141.37803131144034</c:v>
                </c:pt>
                <c:pt idx="236">
                  <c:v>-139.54163762243024</c:v>
                </c:pt>
                <c:pt idx="237">
                  <c:v>-137.68945403882137</c:v>
                </c:pt>
                <c:pt idx="238">
                  <c:v>-135.82022331769204</c:v>
                </c:pt>
                <c:pt idx="239">
                  <c:v>-133.93263745184106</c:v>
                </c:pt>
                <c:pt idx="240">
                  <c:v>-132.02533119834041</c:v>
                </c:pt>
                <c:pt idx="241">
                  <c:v>-130.09687464893108</c:v>
                </c:pt>
                <c:pt idx="242">
                  <c:v>-128.14576461047426</c:v>
                </c:pt>
                <c:pt idx="243">
                  <c:v>-126.17041449472566</c:v>
                </c:pt>
                <c:pt idx="244">
                  <c:v>-124.16914231653547</c:v>
                </c:pt>
                <c:pt idx="245">
                  <c:v>-122.14015629431509</c:v>
                </c:pt>
                <c:pt idx="246">
                  <c:v>-120.08153733879421</c:v>
                </c:pt>
                <c:pt idx="247">
                  <c:v>-117.99121751265709</c:v>
                </c:pt>
                <c:pt idx="248">
                  <c:v>-115.86695316421643</c:v>
                </c:pt>
                <c:pt idx="249">
                  <c:v>-113.7062909670269</c:v>
                </c:pt>
                <c:pt idx="250">
                  <c:v>-111.50652437631689</c:v>
                </c:pt>
                <c:pt idx="251">
                  <c:v>-109.26463694496509</c:v>
                </c:pt>
                <c:pt idx="252">
                  <c:v>-106.97722736901564</c:v>
                </c:pt>
                <c:pt idx="253">
                  <c:v>-104.64040868748738</c:v>
                </c:pt>
                <c:pt idx="254">
                  <c:v>-102.24967026660457</c:v>
                </c:pt>
                <c:pt idx="255">
                  <c:v>-99.799685141389403</c:v>
                </c:pt>
                <c:pt idx="256">
                  <c:v>-97.28403533898846</c:v>
                </c:pt>
                <c:pt idx="257">
                  <c:v>-94.694811086174482</c:v>
                </c:pt>
                <c:pt idx="258">
                  <c:v>-92.022010707866301</c:v>
                </c:pt>
                <c:pt idx="259">
                  <c:v>-89.25261559417342</c:v>
                </c:pt>
                <c:pt idx="260">
                  <c:v>-86.369116124766023</c:v>
                </c:pt>
                <c:pt idx="261">
                  <c:v>-83.347070321624741</c:v>
                </c:pt>
                <c:pt idx="262">
                  <c:v>-80.150872008687259</c:v>
                </c:pt>
                <c:pt idx="263">
                  <c:v>-76.726000708551581</c:v>
                </c:pt>
                <c:pt idx="264">
                  <c:v>-72.983828836761788</c:v>
                </c:pt>
                <c:pt idx="265">
                  <c:v>-68.769133145905073</c:v>
                </c:pt>
                <c:pt idx="266">
                  <c:v>-63.782228393388344</c:v>
                </c:pt>
                <c:pt idx="267">
                  <c:v>-58.252713696333096</c:v>
                </c:pt>
                <c:pt idx="268">
                  <c:v>-52.707697013810964</c:v>
                </c:pt>
                <c:pt idx="269">
                  <c:v>-47.142877576341</c:v>
                </c:pt>
                <c:pt idx="270">
                  <c:v>-41.553865231182478</c:v>
                </c:pt>
                <c:pt idx="271">
                  <c:v>-35.29276043157536</c:v>
                </c:pt>
                <c:pt idx="272">
                  <c:v>-29.086451826906352</c:v>
                </c:pt>
                <c:pt idx="273">
                  <c:v>-22.92782190487948</c:v>
                </c:pt>
                <c:pt idx="274">
                  <c:v>-17.645707761038558</c:v>
                </c:pt>
                <c:pt idx="275">
                  <c:v>-14.16581562399675</c:v>
                </c:pt>
                <c:pt idx="276">
                  <c:v>-11.712006151869593</c:v>
                </c:pt>
                <c:pt idx="277">
                  <c:v>-9.8874540028075089</c:v>
                </c:pt>
                <c:pt idx="278">
                  <c:v>-8.4778685652030905</c:v>
                </c:pt>
                <c:pt idx="279">
                  <c:v>-7.3566668524389449</c:v>
                </c:pt>
                <c:pt idx="280">
                  <c:v>-6.4440134422817694</c:v>
                </c:pt>
                <c:pt idx="281">
                  <c:v>-5.6869715691834193</c:v>
                </c:pt>
                <c:pt idx="282">
                  <c:v>-5.049022748900664</c:v>
                </c:pt>
                <c:pt idx="283">
                  <c:v>-4.5041515039058968</c:v>
                </c:pt>
                <c:pt idx="284">
                  <c:v>-4.4996244601221136</c:v>
                </c:pt>
                <c:pt idx="285">
                  <c:v>-4.0580240208098566</c:v>
                </c:pt>
                <c:pt idx="286">
                  <c:v>-3.6686655807252522</c:v>
                </c:pt>
                <c:pt idx="287">
                  <c:v>-3.3225768460337441</c:v>
                </c:pt>
                <c:pt idx="288">
                  <c:v>-3.0126902554184536</c:v>
                </c:pt>
                <c:pt idx="289">
                  <c:v>-2.7333656793658752</c:v>
                </c:pt>
                <c:pt idx="290">
                  <c:v>-2.4800494760587259</c:v>
                </c:pt>
                <c:pt idx="291">
                  <c:v>-2.2490265140338583</c:v>
                </c:pt>
                <c:pt idx="292">
                  <c:v>-2.0372368802639675</c:v>
                </c:pt>
                <c:pt idx="293">
                  <c:v>-1.8421384196834061</c:v>
                </c:pt>
                <c:pt idx="294">
                  <c:v>-1.6616022947677775</c:v>
                </c:pt>
                <c:pt idx="295">
                  <c:v>-1.4938326780706526</c:v>
                </c:pt>
                <c:pt idx="296">
                  <c:v>-1.3373043213923843</c:v>
                </c:pt>
                <c:pt idx="297">
                  <c:v>-1.190713557059268</c:v>
                </c:pt>
                <c:pt idx="298">
                  <c:v>-1.0529394499855418</c:v>
                </c:pt>
                <c:pt idx="299">
                  <c:v>-0.92301277541688842</c:v>
                </c:pt>
                <c:pt idx="300">
                  <c:v>-0.80009101167554453</c:v>
                </c:pt>
                <c:pt idx="301">
                  <c:v>-0.6834380577003828</c:v>
                </c:pt>
                <c:pt idx="302">
                  <c:v>-0.57240765499090096</c:v>
                </c:pt>
                <c:pt idx="303">
                  <c:v>-0.46642975273873044</c:v>
                </c:pt>
                <c:pt idx="304">
                  <c:v>-0.36499922185326489</c:v>
                </c:pt>
                <c:pt idx="305">
                  <c:v>-0.26766646193080124</c:v>
                </c:pt>
                <c:pt idx="306">
                  <c:v>-0.174029531391477</c:v>
                </c:pt>
                <c:pt idx="307">
                  <c:v>-8.3727527818735339E-2</c:v>
                </c:pt>
                <c:pt idx="308">
                  <c:v>3.5650213571092773E-3</c:v>
                </c:pt>
                <c:pt idx="309">
                  <c:v>8.8142923389305211E-2</c:v>
                </c:pt>
                <c:pt idx="310">
                  <c:v>0.17027440788123058</c:v>
                </c:pt>
                <c:pt idx="311">
                  <c:v>0.25020462661716397</c:v>
                </c:pt>
                <c:pt idx="312">
                  <c:v>0.32815869614725457</c:v>
                </c:pt>
                <c:pt idx="313">
                  <c:v>0.40434432852702673</c:v>
                </c:pt>
                <c:pt idx="314">
                  <c:v>0.47895414351845156</c:v>
                </c:pt>
                <c:pt idx="315">
                  <c:v>0.55216769905921992</c:v>
                </c:pt>
                <c:pt idx="316">
                  <c:v>0.62415329309584111</c:v>
                </c:pt>
                <c:pt idx="317">
                  <c:v>0.69506957255137902</c:v>
                </c:pt>
                <c:pt idx="318">
                  <c:v>0.76506698459336342</c:v>
                </c:pt>
                <c:pt idx="319">
                  <c:v>0.83428909737554502</c:v>
                </c:pt>
                <c:pt idx="320">
                  <c:v>0.90287381129332223</c:v>
                </c:pt>
                <c:pt idx="321">
                  <c:v>0.97095449085678065</c:v>
                </c:pt>
                <c:pt idx="322">
                  <c:v>1.0386610282402449</c:v>
                </c:pt>
                <c:pt idx="323">
                  <c:v>1.1061208609122166</c:v>
                </c:pt>
                <c:pt idx="324">
                  <c:v>1.1734599626488624</c:v>
                </c:pt>
                <c:pt idx="325">
                  <c:v>1.2408038210972769</c:v>
                </c:pt>
                <c:pt idx="326">
                  <c:v>1.3082784152020115</c:v>
                </c:pt>
                <c:pt idx="327">
                  <c:v>1.3760112181399111</c:v>
                </c:pt>
                <c:pt idx="328">
                  <c:v>1.4441322454001104</c:v>
                </c:pt>
                <c:pt idx="329">
                  <c:v>1.5127751482936853</c:v>
                </c:pt>
                <c:pt idx="330">
                  <c:v>1.5820784026950843</c:v>
                </c:pt>
                <c:pt idx="331">
                  <c:v>1.6521866019669686</c:v>
                </c:pt>
                <c:pt idx="332">
                  <c:v>1.7232518875210421</c:v>
                </c:pt>
                <c:pt idx="333">
                  <c:v>1.7954355513033542</c:v>
                </c:pt>
                <c:pt idx="334">
                  <c:v>1.8689098624138085</c:v>
                </c:pt>
                <c:pt idx="335">
                  <c:v>1.9438601679373997</c:v>
                </c:pt>
                <c:pt idx="336">
                  <c:v>2.020487328110006</c:v>
                </c:pt>
                <c:pt idx="337">
                  <c:v>2.0990105802872812</c:v>
                </c:pt>
                <c:pt idx="338">
                  <c:v>2.1796709430282277</c:v>
                </c:pt>
                <c:pt idx="339">
                  <c:v>2.2627352968534136</c:v>
                </c:pt>
                <c:pt idx="340">
                  <c:v>2.3485013245436308</c:v>
                </c:pt>
                <c:pt idx="341">
                  <c:v>2.4373035622962056</c:v>
                </c:pt>
                <c:pt idx="342">
                  <c:v>2.5295209005820287</c:v>
                </c:pt>
                <c:pt idx="343">
                  <c:v>2.6255859726732602</c:v>
                </c:pt>
                <c:pt idx="344">
                  <c:v>2.6494372871887899</c:v>
                </c:pt>
                <c:pt idx="345">
                  <c:v>2.7474736904441937</c:v>
                </c:pt>
                <c:pt idx="346">
                  <c:v>2.8508037819648671</c:v>
                </c:pt>
                <c:pt idx="347">
                  <c:v>2.960191491218251</c:v>
                </c:pt>
                <c:pt idx="348">
                  <c:v>3.0765560048277854</c:v>
                </c:pt>
                <c:pt idx="349">
                  <c:v>3.201019220723555</c:v>
                </c:pt>
                <c:pt idx="350">
                  <c:v>3.3349732443648636</c:v>
                </c:pt>
                <c:pt idx="351">
                  <c:v>3.4800373054015044</c:v>
                </c:pt>
                <c:pt idx="352">
                  <c:v>3.6233707548257006</c:v>
                </c:pt>
                <c:pt idx="353">
                  <c:v>3.7557446767673452</c:v>
                </c:pt>
                <c:pt idx="354">
                  <c:v>3.8773853478565026</c:v>
                </c:pt>
                <c:pt idx="355">
                  <c:v>3.9884911153362581</c:v>
                </c:pt>
                <c:pt idx="356">
                  <c:v>4.0892333477056493</c:v>
                </c:pt>
                <c:pt idx="357">
                  <c:v>4.1797572457359253</c:v>
                </c:pt>
                <c:pt idx="358">
                  <c:v>4.2601825072818365</c:v>
                </c:pt>
                <c:pt idx="359">
                  <c:v>4.3306038637282382</c:v>
                </c:pt>
                <c:pt idx="360">
                  <c:v>4.3910914686492681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9.7910791804467081</c:v>
                </c:pt>
                <c:pt idx="1">
                  <c:v>10.436276243172463</c:v>
                </c:pt>
                <c:pt idx="2">
                  <c:v>11.081374289664311</c:v>
                </c:pt>
                <c:pt idx="3">
                  <c:v>11.726771002012741</c:v>
                </c:pt>
                <c:pt idx="4">
                  <c:v>12.372864759775933</c:v>
                </c:pt>
                <c:pt idx="5">
                  <c:v>13.020055630114092</c:v>
                </c:pt>
                <c:pt idx="6">
                  <c:v>13.668746367035158</c:v>
                </c:pt>
                <c:pt idx="7">
                  <c:v>14.319343424394566</c:v>
                </c:pt>
                <c:pt idx="8">
                  <c:v>14.97225798882711</c:v>
                </c:pt>
                <c:pt idx="9">
                  <c:v>15.627907036868212</c:v>
                </c:pt>
                <c:pt idx="10">
                  <c:v>16.286714424555818</c:v>
                </c:pt>
                <c:pt idx="11">
                  <c:v>16.94297666656928</c:v>
                </c:pt>
                <c:pt idx="12">
                  <c:v>17.551044976380716</c:v>
                </c:pt>
                <c:pt idx="13">
                  <c:v>18.111961669269725</c:v>
                </c:pt>
                <c:pt idx="14">
                  <c:v>18.635630658281464</c:v>
                </c:pt>
                <c:pt idx="15">
                  <c:v>19.129486593717608</c:v>
                </c:pt>
                <c:pt idx="16">
                  <c:v>19.599230658375475</c:v>
                </c:pt>
                <c:pt idx="17">
                  <c:v>20.049318232921252</c:v>
                </c:pt>
                <c:pt idx="18">
                  <c:v>20.483291068923698</c:v>
                </c:pt>
                <c:pt idx="19">
                  <c:v>20.90400901513048</c:v>
                </c:pt>
                <c:pt idx="20">
                  <c:v>21.313815112432145</c:v>
                </c:pt>
                <c:pt idx="21">
                  <c:v>21.714655444932994</c:v>
                </c:pt>
                <c:pt idx="22">
                  <c:v>22.108167627450161</c:v>
                </c:pt>
                <c:pt idx="23">
                  <c:v>22.495747147597555</c:v>
                </c:pt>
                <c:pt idx="24">
                  <c:v>22.878597810025671</c:v>
                </c:pt>
                <c:pt idx="25">
                  <c:v>23.257770597561912</c:v>
                </c:pt>
                <c:pt idx="26">
                  <c:v>23.634193978196006</c:v>
                </c:pt>
                <c:pt idx="27">
                  <c:v>24.008697820187802</c:v>
                </c:pt>
                <c:pt idx="28">
                  <c:v>24.382032478013063</c:v>
                </c:pt>
                <c:pt idx="29">
                  <c:v>24.754884194376597</c:v>
                </c:pt>
                <c:pt idx="30">
                  <c:v>25.127887669942627</c:v>
                </c:pt>
                <c:pt idx="31">
                  <c:v>25.501636437101975</c:v>
                </c:pt>
                <c:pt idx="32">
                  <c:v>25.876691524425919</c:v>
                </c:pt>
                <c:pt idx="33">
                  <c:v>26.253588782110914</c:v>
                </c:pt>
                <c:pt idx="34">
                  <c:v>26.632845158479832</c:v>
                </c:pt>
                <c:pt idx="35">
                  <c:v>27.014964151093107</c:v>
                </c:pt>
                <c:pt idx="36">
                  <c:v>27.40044061576403</c:v>
                </c:pt>
                <c:pt idx="37">
                  <c:v>27.789765073924148</c:v>
                </c:pt>
                <c:pt idx="38">
                  <c:v>28.183427639054013</c:v>
                </c:pt>
                <c:pt idx="39">
                  <c:v>28.581921655140416</c:v>
                </c:pt>
                <c:pt idx="40">
                  <c:v>28.985747132444111</c:v>
                </c:pt>
                <c:pt idx="41">
                  <c:v>29.395414048829668</c:v>
                </c:pt>
                <c:pt idx="42">
                  <c:v>29.811445575596732</c:v>
                </c:pt>
                <c:pt idx="43">
                  <c:v>30.234381288209875</c:v>
                </c:pt>
                <c:pt idx="44">
                  <c:v>30.664780405538263</c:v>
                </c:pt>
                <c:pt idx="45">
                  <c:v>31.103225111393908</c:v>
                </c:pt>
                <c:pt idx="46">
                  <c:v>31.55032400073317</c:v>
                </c:pt>
                <c:pt idx="47">
                  <c:v>32.006715701580951</c:v>
                </c:pt>
                <c:pt idx="48">
                  <c:v>32.473072715218819</c:v>
                </c:pt>
                <c:pt idx="49">
                  <c:v>32.950105529436442</c:v>
                </c:pt>
                <c:pt idx="50">
                  <c:v>33.438567057680125</c:v>
                </c:pt>
                <c:pt idx="51">
                  <c:v>33.939257459839361</c:v>
                </c:pt>
                <c:pt idx="52">
                  <c:v>34.453029414814132</c:v>
                </c:pt>
                <c:pt idx="53">
                  <c:v>34.980793911497571</c:v>
                </c:pt>
                <c:pt idx="54">
                  <c:v>35.523526645318128</c:v>
                </c:pt>
                <c:pt idx="55">
                  <c:v>36.08227510824112</c:v>
                </c:pt>
                <c:pt idx="56">
                  <c:v>36.658166481917725</c:v>
                </c:pt>
                <c:pt idx="57">
                  <c:v>37.252416457363623</c:v>
                </c:pt>
                <c:pt idx="58">
                  <c:v>37.866339118814416</c:v>
                </c:pt>
                <c:pt idx="59">
                  <c:v>38.501358063235422</c:v>
                </c:pt>
                <c:pt idx="60">
                  <c:v>39.159018944658101</c:v>
                </c:pt>
                <c:pt idx="61">
                  <c:v>39.841003672831363</c:v>
                </c:pt>
                <c:pt idx="62">
                  <c:v>40.549146535649641</c:v>
                </c:pt>
                <c:pt idx="63">
                  <c:v>41.285452561066357</c:v>
                </c:pt>
                <c:pt idx="64">
                  <c:v>42.052118502691798</c:v>
                </c:pt>
                <c:pt idx="65">
                  <c:v>42.851556898726194</c:v>
                </c:pt>
                <c:pt idx="66">
                  <c:v>43.686423758720323</c:v>
                </c:pt>
                <c:pt idx="67">
                  <c:v>44.559650535649524</c:v>
                </c:pt>
                <c:pt idx="68">
                  <c:v>45.474481196853112</c:v>
                </c:pt>
                <c:pt idx="69">
                  <c:v>46.434515390584139</c:v>
                </c:pt>
                <c:pt idx="70">
                  <c:v>47.443758941945717</c:v>
                </c:pt>
                <c:pt idx="71">
                  <c:v>48.506683226726402</c:v>
                </c:pt>
                <c:pt idx="72">
                  <c:v>49.628295384920278</c:v>
                </c:pt>
                <c:pt idx="73">
                  <c:v>50.814221898733855</c:v>
                </c:pt>
                <c:pt idx="74">
                  <c:v>52.07080882734391</c:v>
                </c:pt>
                <c:pt idx="75">
                  <c:v>53.405243098793854</c:v>
                </c:pt>
                <c:pt idx="76">
                  <c:v>54.825700843961712</c:v>
                </c:pt>
                <c:pt idx="77">
                  <c:v>56.341531173046789</c:v>
                </c:pt>
                <c:pt idx="78">
                  <c:v>57.963487545594631</c:v>
                </c:pt>
                <c:pt idx="79">
                  <c:v>59.704024979537152</c:v>
                </c:pt>
                <c:pt idx="80">
                  <c:v>61.577691678196196</c:v>
                </c:pt>
                <c:pt idx="81">
                  <c:v>63.601662069007723</c:v>
                </c:pt>
                <c:pt idx="82">
                  <c:v>65.796492875728362</c:v>
                </c:pt>
                <c:pt idx="83">
                  <c:v>67.801779647098385</c:v>
                </c:pt>
                <c:pt idx="84">
                  <c:v>69.2388569374761</c:v>
                </c:pt>
                <c:pt idx="85">
                  <c:v>70.51337431572334</c:v>
                </c:pt>
                <c:pt idx="86">
                  <c:v>71.731591921366473</c:v>
                </c:pt>
                <c:pt idx="87">
                  <c:v>72.896497460706115</c:v>
                </c:pt>
                <c:pt idx="88">
                  <c:v>74.011085302666601</c:v>
                </c:pt>
                <c:pt idx="89">
                  <c:v>75.078390263638738</c:v>
                </c:pt>
                <c:pt idx="90">
                  <c:v>76.063265767880239</c:v>
                </c:pt>
                <c:pt idx="91">
                  <c:v>76.022865293641757</c:v>
                </c:pt>
                <c:pt idx="92">
                  <c:v>75.9015653529449</c:v>
                </c:pt>
                <c:pt idx="93">
                  <c:v>75.699069879388119</c:v>
                </c:pt>
                <c:pt idx="94">
                  <c:v>75.41488372078534</c:v>
                </c:pt>
                <c:pt idx="95">
                  <c:v>75.048310063704619</c:v>
                </c:pt>
                <c:pt idx="96">
                  <c:v>74.598446792130986</c:v>
                </c:pt>
                <c:pt idx="97">
                  <c:v>74.064181750243677</c:v>
                </c:pt>
                <c:pt idx="98">
                  <c:v>73.445096712554488</c:v>
                </c:pt>
                <c:pt idx="99">
                  <c:v>72.814597644574079</c:v>
                </c:pt>
                <c:pt idx="100">
                  <c:v>72.215504580965145</c:v>
                </c:pt>
                <c:pt idx="101">
                  <c:v>71.64276124793922</c:v>
                </c:pt>
                <c:pt idx="102">
                  <c:v>71.092411627356313</c:v>
                </c:pt>
                <c:pt idx="103">
                  <c:v>70.561283720577833</c:v>
                </c:pt>
                <c:pt idx="104">
                  <c:v>70.046781044572526</c:v>
                </c:pt>
                <c:pt idx="105">
                  <c:v>69.546740064689899</c:v>
                </c:pt>
                <c:pt idx="106">
                  <c:v>69.059329697900822</c:v>
                </c:pt>
                <c:pt idx="107">
                  <c:v>68.582978587738666</c:v>
                </c:pt>
                <c:pt idx="108">
                  <c:v>68.116321267782666</c:v>
                </c:pt>
                <c:pt idx="109">
                  <c:v>67.658157505066967</c:v>
                </c:pt>
                <c:pt idx="110">
                  <c:v>67.20742103799067</c:v>
                </c:pt>
                <c:pt idx="111">
                  <c:v>66.763155150732288</c:v>
                </c:pt>
                <c:pt idx="112">
                  <c:v>66.324493295368868</c:v>
                </c:pt>
                <c:pt idx="113">
                  <c:v>65.890643515774741</c:v>
                </c:pt>
                <c:pt idx="114">
                  <c:v>65.460875746757623</c:v>
                </c:pt>
                <c:pt idx="115">
                  <c:v>65.034511338270434</c:v>
                </c:pt>
                <c:pt idx="116">
                  <c:v>64.610914301979093</c:v>
                </c:pt>
                <c:pt idx="117">
                  <c:v>64.189483900772174</c:v>
                </c:pt>
                <c:pt idx="118">
                  <c:v>63.769648304928886</c:v>
                </c:pt>
                <c:pt idx="119">
                  <c:v>63.350859084813123</c:v>
                </c:pt>
                <c:pt idx="120">
                  <c:v>62.932586363320873</c:v>
                </c:pt>
                <c:pt idx="121">
                  <c:v>62.514314498806407</c:v>
                </c:pt>
                <c:pt idx="122">
                  <c:v>62.095538169463573</c:v>
                </c:pt>
                <c:pt idx="123">
                  <c:v>61.675758780598095</c:v>
                </c:pt>
                <c:pt idx="124">
                  <c:v>61.254481106540105</c:v>
                </c:pt>
                <c:pt idx="125">
                  <c:v>60.831210105694545</c:v>
                </c:pt>
                <c:pt idx="126">
                  <c:v>60.405447848638879</c:v>
                </c:pt>
                <c:pt idx="127">
                  <c:v>59.976690505823733</c:v>
                </c:pt>
                <c:pt idx="128">
                  <c:v>59.544425347646019</c:v>
                </c:pt>
                <c:pt idx="129">
                  <c:v>59.10812771239322</c:v>
                </c:pt>
                <c:pt idx="130">
                  <c:v>58.667257893011453</c:v>
                </c:pt>
                <c:pt idx="131">
                  <c:v>58.22125790182222</c:v>
                </c:pt>
                <c:pt idx="132">
                  <c:v>57.769548066258757</c:v>
                </c:pt>
                <c:pt idx="133">
                  <c:v>57.31152340109859</c:v>
                </c:pt>
                <c:pt idx="134">
                  <c:v>56.84654971194233</c:v>
                </c:pt>
                <c:pt idx="135">
                  <c:v>56.373959364112082</c:v>
                </c:pt>
                <c:pt idx="136">
                  <c:v>55.893046653408</c:v>
                </c:pt>
                <c:pt idx="137">
                  <c:v>55.403062704241542</c:v>
                </c:pt>
                <c:pt idx="138">
                  <c:v>54.903209806410956</c:v>
                </c:pt>
                <c:pt idx="139">
                  <c:v>54.392635093610743</c:v>
                </c:pt>
                <c:pt idx="140">
                  <c:v>53.870423441582638</c:v>
                </c:pt>
                <c:pt idx="141">
                  <c:v>53.335589451934929</c:v>
                </c:pt>
                <c:pt idx="142">
                  <c:v>52.787068353274591</c:v>
                </c:pt>
                <c:pt idx="143">
                  <c:v>52.223705626402861</c:v>
                </c:pt>
                <c:pt idx="144">
                  <c:v>51.644245113766551</c:v>
                </c:pt>
                <c:pt idx="145">
                  <c:v>51.047315330364675</c:v>
                </c:pt>
                <c:pt idx="146">
                  <c:v>50.431413627042211</c:v>
                </c:pt>
                <c:pt idx="147">
                  <c:v>49.79488777917625</c:v>
                </c:pt>
                <c:pt idx="148">
                  <c:v>49.13591448019411</c:v>
                </c:pt>
                <c:pt idx="149">
                  <c:v>48.452474086951582</c:v>
                </c:pt>
                <c:pt idx="150">
                  <c:v>47.742320809672869</c:v>
                </c:pt>
                <c:pt idx="151">
                  <c:v>47.002947327684083</c:v>
                </c:pt>
                <c:pt idx="152">
                  <c:v>46.253792659578217</c:v>
                </c:pt>
                <c:pt idx="153">
                  <c:v>45.518393650740499</c:v>
                </c:pt>
                <c:pt idx="154">
                  <c:v>44.795960310958499</c:v>
                </c:pt>
                <c:pt idx="155">
                  <c:v>44.085723867838439</c:v>
                </c:pt>
                <c:pt idx="156">
                  <c:v>43.386955917978256</c:v>
                </c:pt>
                <c:pt idx="157">
                  <c:v>42.698965157348653</c:v>
                </c:pt>
                <c:pt idx="158">
                  <c:v>42.021094386435692</c:v>
                </c:pt>
                <c:pt idx="159">
                  <c:v>41.352717761424287</c:v>
                </c:pt>
                <c:pt idx="160">
                  <c:v>40.693238265924847</c:v>
                </c:pt>
                <c:pt idx="161">
                  <c:v>40.042085380552663</c:v>
                </c:pt>
                <c:pt idx="162">
                  <c:v>39.398712930121135</c:v>
                </c:pt>
                <c:pt idx="163">
                  <c:v>38.762597090354873</c:v>
                </c:pt>
                <c:pt idx="164">
                  <c:v>38.133234537904762</c:v>
                </c:pt>
                <c:pt idx="165">
                  <c:v>37.510140729092008</c:v>
                </c:pt>
                <c:pt idx="166">
                  <c:v>36.892848294251728</c:v>
                </c:pt>
                <c:pt idx="167">
                  <c:v>36.280905535812671</c:v>
                </c:pt>
                <c:pt idx="168">
                  <c:v>35.673875019361553</c:v>
                </c:pt>
                <c:pt idx="169">
                  <c:v>35.071332247915663</c:v>
                </c:pt>
                <c:pt idx="170">
                  <c:v>34.472864410485904</c:v>
                </c:pt>
                <c:pt idx="171">
                  <c:v>33.878069196758695</c:v>
                </c:pt>
                <c:pt idx="172">
                  <c:v>33.286553670384578</c:v>
                </c:pt>
                <c:pt idx="173">
                  <c:v>32.697933193931611</c:v>
                </c:pt>
                <c:pt idx="174">
                  <c:v>32.111830399057489</c:v>
                </c:pt>
                <c:pt idx="175">
                  <c:v>31.527874195884721</c:v>
                </c:pt>
                <c:pt idx="176">
                  <c:v>30.945698815927692</c:v>
                </c:pt>
                <c:pt idx="177">
                  <c:v>30.364942883233166</c:v>
                </c:pt>
                <c:pt idx="178">
                  <c:v>29.785248508651783</c:v>
                </c:pt>
                <c:pt idx="179">
                  <c:v>29.206260402370766</c:v>
                </c:pt>
                <c:pt idx="180">
                  <c:v>28.627625000000354</c:v>
                </c:pt>
                <c:pt idx="181">
                  <c:v>28.048989597629983</c:v>
                </c:pt>
                <c:pt idx="182">
                  <c:v>27.470001491348921</c:v>
                </c:pt>
                <c:pt idx="183">
                  <c:v>26.890307116767552</c:v>
                </c:pt>
                <c:pt idx="184">
                  <c:v>26.309551184073051</c:v>
                </c:pt>
                <c:pt idx="185">
                  <c:v>25.727375804116019</c:v>
                </c:pt>
                <c:pt idx="186">
                  <c:v>25.143419600943229</c:v>
                </c:pt>
                <c:pt idx="187">
                  <c:v>24.557316806069107</c:v>
                </c:pt>
                <c:pt idx="188">
                  <c:v>23.968696329616151</c:v>
                </c:pt>
                <c:pt idx="189">
                  <c:v>23.377180803242066</c:v>
                </c:pt>
                <c:pt idx="190">
                  <c:v>22.782385589514824</c:v>
                </c:pt>
                <c:pt idx="191">
                  <c:v>22.183917752085073</c:v>
                </c:pt>
                <c:pt idx="192">
                  <c:v>21.581374980639215</c:v>
                </c:pt>
                <c:pt idx="193">
                  <c:v>20.974344464188039</c:v>
                </c:pt>
                <c:pt idx="194">
                  <c:v>20.362401705749043</c:v>
                </c:pt>
                <c:pt idx="195">
                  <c:v>19.745109270908763</c:v>
                </c:pt>
                <c:pt idx="196">
                  <c:v>19.12201546209603</c:v>
                </c:pt>
                <c:pt idx="197">
                  <c:v>18.49265290964593</c:v>
                </c:pt>
                <c:pt idx="198">
                  <c:v>17.85653706987965</c:v>
                </c:pt>
                <c:pt idx="199">
                  <c:v>17.213164619448154</c:v>
                </c:pt>
                <c:pt idx="200">
                  <c:v>16.562011734075956</c:v>
                </c:pt>
                <c:pt idx="201">
                  <c:v>15.902532238576535</c:v>
                </c:pt>
                <c:pt idx="202">
                  <c:v>15.234155613565164</c:v>
                </c:pt>
                <c:pt idx="203">
                  <c:v>14.556284842652207</c:v>
                </c:pt>
                <c:pt idx="204">
                  <c:v>13.868294082022672</c:v>
                </c:pt>
                <c:pt idx="205">
                  <c:v>13.169526132162449</c:v>
                </c:pt>
                <c:pt idx="206">
                  <c:v>12.459289689042363</c:v>
                </c:pt>
                <c:pt idx="207">
                  <c:v>11.736856349260362</c:v>
                </c:pt>
                <c:pt idx="208">
                  <c:v>10.973159632543391</c:v>
                </c:pt>
                <c:pt idx="209">
                  <c:v>10.139866731778769</c:v>
                </c:pt>
                <c:pt idx="210">
                  <c:v>9.3221500972347311</c:v>
                </c:pt>
                <c:pt idx="211">
                  <c:v>8.538500261227826</c:v>
                </c:pt>
                <c:pt idx="212">
                  <c:v>7.7861063498933394</c:v>
                </c:pt>
                <c:pt idx="213">
                  <c:v>7.0624535959502284</c:v>
                </c:pt>
                <c:pt idx="214">
                  <c:v>6.3652837292139113</c:v>
                </c:pt>
                <c:pt idx="215">
                  <c:v>5.6925616141867641</c:v>
                </c:pt>
                <c:pt idx="216">
                  <c:v>5.0368048111493247</c:v>
                </c:pt>
                <c:pt idx="217">
                  <c:v>4.3917458932298681</c:v>
                </c:pt>
                <c:pt idx="218">
                  <c:v>3.7692514209859143</c:v>
                </c:pt>
                <c:pt idx="219">
                  <c:v>3.1411258732471312</c:v>
                </c:pt>
                <c:pt idx="220">
                  <c:v>2.4984485680705348</c:v>
                </c:pt>
                <c:pt idx="221">
                  <c:v>1.8781840518697066</c:v>
                </c:pt>
                <c:pt idx="222">
                  <c:v>1.2790225654708403</c:v>
                </c:pt>
                <c:pt idx="223">
                  <c:v>0.69976491365368831</c:v>
                </c:pt>
                <c:pt idx="224">
                  <c:v>0.13931146314542198</c:v>
                </c:pt>
                <c:pt idx="225">
                  <c:v>-0.40334750345549825</c:v>
                </c:pt>
                <c:pt idx="226">
                  <c:v>-0.92914026626190394</c:v>
                </c:pt>
                <c:pt idx="227">
                  <c:v>-1.4389211454445558</c:v>
                </c:pt>
                <c:pt idx="228">
                  <c:v>-1.9334771084925819</c:v>
                </c:pt>
                <c:pt idx="229">
                  <c:v>-2.4125540392786604</c:v>
                </c:pt>
                <c:pt idx="230">
                  <c:v>-2.8738650607896439</c:v>
                </c:pt>
                <c:pt idx="231">
                  <c:v>-3.3189212103489569</c:v>
                </c:pt>
                <c:pt idx="232">
                  <c:v>-3.7483243752860886</c:v>
                </c:pt>
                <c:pt idx="233">
                  <c:v>-4.1626241152107282</c:v>
                </c:pt>
                <c:pt idx="234">
                  <c:v>-4.5623212806907434</c:v>
                </c:pt>
                <c:pt idx="235">
                  <c:v>-4.9478712465830377</c:v>
                </c:pt>
                <c:pt idx="236">
                  <c:v>-5.3196868089985045</c:v>
                </c:pt>
                <c:pt idx="237">
                  <c:v>-5.6781407971327429</c:v>
                </c:pt>
                <c:pt idx="238">
                  <c:v>-6.0235684330232502</c:v>
                </c:pt>
                <c:pt idx="239">
                  <c:v>-6.3562694847151704</c:v>
                </c:pt>
                <c:pt idx="240">
                  <c:v>-6.6765102496828517</c:v>
                </c:pt>
                <c:pt idx="241">
                  <c:v>-6.9845254083147683</c:v>
                </c:pt>
                <c:pt idx="242">
                  <c:v>-7.2805197909429342</c:v>
                </c:pt>
                <c:pt idx="243">
                  <c:v>-7.5646701064240194</c:v>
                </c:pt>
                <c:pt idx="244">
                  <c:v>-7.8371266820622552</c:v>
                </c:pt>
                <c:pt idx="245">
                  <c:v>-8.0980152893814328</c:v>
                </c:pt>
                <c:pt idx="246">
                  <c:v>-8.3474391221407682</c:v>
                </c:pt>
                <c:pt idx="247">
                  <c:v>-8.5854810419047016</c:v>
                </c:pt>
                <c:pt idx="248">
                  <c:v>-8.8122062107059076</c:v>
                </c:pt>
                <c:pt idx="249">
                  <c:v>-9.0276652868738392</c:v>
                </c:pt>
                <c:pt idx="250">
                  <c:v>-9.2318984158486241</c:v>
                </c:pt>
                <c:pt idx="251">
                  <c:v>-9.4249403210205056</c:v>
                </c:pt>
                <c:pt idx="252">
                  <c:v>-9.6068269328443208</c:v>
                </c:pt>
                <c:pt idx="253">
                  <c:v>-9.7776041556597892</c:v>
                </c:pt>
                <c:pt idx="254">
                  <c:v>-9.9373396291219009</c:v>
                </c:pt>
                <c:pt idx="255">
                  <c:v>-10.086138736944752</c:v>
                </c:pt>
                <c:pt idx="256">
                  <c:v>-10.224166694485714</c:v>
                </c:pt>
                <c:pt idx="257">
                  <c:v>-10.351679495485216</c:v>
                </c:pt>
                <c:pt idx="258">
                  <c:v>-10.469068010503303</c:v>
                </c:pt>
                <c:pt idx="259">
                  <c:v>-10.576922062197065</c:v>
                </c:pt>
                <c:pt idx="260">
                  <c:v>-10.67612567387406</c:v>
                </c:pt>
                <c:pt idx="261">
                  <c:v>-10.768002575854657</c:v>
                </c:pt>
                <c:pt idx="262">
                  <c:v>-10.854545955069343</c:v>
                </c:pt>
                <c:pt idx="263">
                  <c:v>-10.938796318878392</c:v>
                </c:pt>
                <c:pt idx="264">
                  <c:v>-11.025495643445213</c:v>
                </c:pt>
                <c:pt idx="265">
                  <c:v>-11.122297512201081</c:v>
                </c:pt>
                <c:pt idx="266">
                  <c:v>-11.242199442066093</c:v>
                </c:pt>
                <c:pt idx="267">
                  <c:v>-11.333895347604455</c:v>
                </c:pt>
                <c:pt idx="268">
                  <c:v>-11.336963709414315</c:v>
                </c:pt>
                <c:pt idx="269">
                  <c:v>-11.251438061003896</c:v>
                </c:pt>
                <c:pt idx="270">
                  <c:v>-11.077114373243885</c:v>
                </c:pt>
                <c:pt idx="271">
                  <c:v>-10.611424249390227</c:v>
                </c:pt>
                <c:pt idx="272">
                  <c:v>-10.07453198745506</c:v>
                </c:pt>
                <c:pt idx="273">
                  <c:v>-9.4655581269940079</c:v>
                </c:pt>
                <c:pt idx="274">
                  <c:v>-8.852331032773515</c:v>
                </c:pt>
                <c:pt idx="275">
                  <c:v>-8.3471505771000771</c:v>
                </c:pt>
                <c:pt idx="276">
                  <c:v>-7.9207840338040265</c:v>
                </c:pt>
                <c:pt idx="277">
                  <c:v>-7.5529964516547645</c:v>
                </c:pt>
                <c:pt idx="278">
                  <c:v>-7.2304992262210686</c:v>
                </c:pt>
                <c:pt idx="279">
                  <c:v>-6.9440332768693578</c:v>
                </c:pt>
                <c:pt idx="280">
                  <c:v>-6.6868628621054382</c:v>
                </c:pt>
                <c:pt idx="281">
                  <c:v>-6.4539238862376225</c:v>
                </c:pt>
                <c:pt idx="282">
                  <c:v>-6.241308549209271</c:v>
                </c:pt>
                <c:pt idx="283">
                  <c:v>-6.0459366857997177</c:v>
                </c:pt>
                <c:pt idx="284">
                  <c:v>-5.929170660409306</c:v>
                </c:pt>
                <c:pt idx="285">
                  <c:v>-5.7547967577431978</c:v>
                </c:pt>
                <c:pt idx="286">
                  <c:v>-5.5918532337723983</c:v>
                </c:pt>
                <c:pt idx="287">
                  <c:v>-5.4389079452646998</c:v>
                </c:pt>
                <c:pt idx="288">
                  <c:v>-5.2947535551989739</c:v>
                </c:pt>
                <c:pt idx="289">
                  <c:v>-5.1583629067465671</c:v>
                </c:pt>
                <c:pt idx="290">
                  <c:v>-5.0288548356542773</c:v>
                </c:pt>
                <c:pt idx="291">
                  <c:v>-4.9054676062210554</c:v>
                </c:pt>
                <c:pt idx="292">
                  <c:v>-4.7875380098315823</c:v>
                </c:pt>
                <c:pt idx="293">
                  <c:v>-4.6744847326350909</c:v>
                </c:pt>
                <c:pt idx="294">
                  <c:v>-4.5657949782537433</c:v>
                </c:pt>
                <c:pt idx="295">
                  <c:v>-4.4610136075407674</c:v>
                </c:pt>
                <c:pt idx="296">
                  <c:v>-4.3597342445884077</c:v>
                </c:pt>
                <c:pt idx="297">
                  <c:v>-4.2615919208765867</c:v>
                </c:pt>
                <c:pt idx="298">
                  <c:v>-4.1662569595877441</c:v>
                </c:pt>
                <c:pt idx="299">
                  <c:v>-4.0734298310540229</c:v>
                </c:pt>
                <c:pt idx="300">
                  <c:v>-3.9828368095758142</c:v>
                </c:pt>
                <c:pt idx="301">
                  <c:v>-3.8942262658946141</c:v>
                </c:pt>
                <c:pt idx="302">
                  <c:v>-3.8073654836369926</c:v>
                </c:pt>
                <c:pt idx="303">
                  <c:v>-3.7220379011455491</c:v>
                </c:pt>
                <c:pt idx="304">
                  <c:v>-3.6380407021169825</c:v>
                </c:pt>
                <c:pt idx="305">
                  <c:v>-3.5551826897314709</c:v>
                </c:pt>
                <c:pt idx="306">
                  <c:v>-3.4732823956120673</c:v>
                </c:pt>
                <c:pt idx="307">
                  <c:v>-3.3921663748452486</c:v>
                </c:pt>
                <c:pt idx="308">
                  <c:v>-3.3116676555452691</c:v>
                </c:pt>
                <c:pt idx="309">
                  <c:v>-3.231624304742116</c:v>
                </c:pt>
                <c:pt idx="310">
                  <c:v>-3.151878091615421</c:v>
                </c:pt>
                <c:pt idx="311">
                  <c:v>-3.0722732116219151</c:v>
                </c:pt>
                <c:pt idx="312">
                  <c:v>-2.9926550624211012</c:v>
                </c:pt>
                <c:pt idx="313">
                  <c:v>-2.9128690372335169</c:v>
                </c:pt>
                <c:pt idx="314">
                  <c:v>-2.8327593262163284</c:v>
                </c:pt>
                <c:pt idx="315">
                  <c:v>-2.752167698965982</c:v>
                </c:pt>
                <c:pt idx="316">
                  <c:v>-2.6709322506239297</c:v>
                </c:pt>
                <c:pt idx="317">
                  <c:v>-2.5888860891516181</c:v>
                </c:pt>
                <c:pt idx="318">
                  <c:v>-2.505855941620045</c:v>
                </c:pt>
                <c:pt idx="319">
                  <c:v>-2.4216606537469647</c:v>
                </c:pt>
                <c:pt idx="320">
                  <c:v>-2.3361095529346496</c:v>
                </c:pt>
                <c:pt idx="321">
                  <c:v>-2.2490006451507711</c:v>
                </c:pt>
                <c:pt idx="322">
                  <c:v>-2.1601186047577445</c:v>
                </c:pt>
                <c:pt idx="323">
                  <c:v>-2.069232514328823</c:v>
                </c:pt>
                <c:pt idx="324">
                  <c:v>-1.976093302236527</c:v>
                </c:pt>
                <c:pt idx="325">
                  <c:v>-1.8804308132831637</c:v>
                </c:pt>
                <c:pt idx="326">
                  <c:v>-1.7819504344054078</c:v>
                </c:pt>
                <c:pt idx="327">
                  <c:v>-1.6803291842983343</c:v>
                </c:pt>
                <c:pt idx="328">
                  <c:v>-1.575211151637014</c:v>
                </c:pt>
                <c:pt idx="329">
                  <c:v>-1.4662021324739891</c:v>
                </c:pt>
                <c:pt idx="330">
                  <c:v>-1.3528632964527039</c:v>
                </c:pt>
                <c:pt idx="331">
                  <c:v>-1.2347036512648901</c:v>
                </c:pt>
                <c:pt idx="332">
                  <c:v>-1.1111710208159127</c:v>
                </c:pt>
                <c:pt idx="333">
                  <c:v>-0.98164117153148356</c:v>
                </c:pt>
                <c:pt idx="334">
                  <c:v>-0.84540461849342574</c:v>
                </c:pt>
                <c:pt idx="335">
                  <c:v>-0.70165049785887412</c:v>
                </c:pt>
                <c:pt idx="336">
                  <c:v>-0.54944669958911485</c:v>
                </c:pt>
                <c:pt idx="337">
                  <c:v>-0.38771519636648094</c:v>
                </c:pt>
                <c:pt idx="338">
                  <c:v>-0.21520113833092994</c:v>
                </c:pt>
                <c:pt idx="339">
                  <c:v>-3.0433770371135555E-2</c:v>
                </c:pt>
                <c:pt idx="340">
                  <c:v>0.16832349823696657</c:v>
                </c:pt>
                <c:pt idx="341">
                  <c:v>0.3831375923518972</c:v>
                </c:pt>
                <c:pt idx="342">
                  <c:v>0.61649010462493847</c:v>
                </c:pt>
                <c:pt idx="343">
                  <c:v>0.87138905129016642</c:v>
                </c:pt>
                <c:pt idx="344">
                  <c:v>0.75558107034232591</c:v>
                </c:pt>
                <c:pt idx="345">
                  <c:v>1.0394448235531792</c:v>
                </c:pt>
                <c:pt idx="346">
                  <c:v>1.3558451731281314</c:v>
                </c:pt>
                <c:pt idx="347">
                  <c:v>1.7114990251866871</c:v>
                </c:pt>
                <c:pt idx="348">
                  <c:v>2.115118372693984</c:v>
                </c:pt>
                <c:pt idx="349">
                  <c:v>2.5782270034485064</c:v>
                </c:pt>
                <c:pt idx="350">
                  <c:v>3.1164219849678934</c:v>
                </c:pt>
                <c:pt idx="351">
                  <c:v>3.7506595532143141</c:v>
                </c:pt>
                <c:pt idx="352">
                  <c:v>4.4281919383917812</c:v>
                </c:pt>
                <c:pt idx="353">
                  <c:v>5.1031359940869656</c:v>
                </c:pt>
                <c:pt idx="354">
                  <c:v>5.7759243993570344</c:v>
                </c:pt>
                <c:pt idx="355">
                  <c:v>6.4469844766906741</c:v>
                </c:pt>
                <c:pt idx="356">
                  <c:v>7.1167392998047383</c:v>
                </c:pt>
                <c:pt idx="357">
                  <c:v>7.7856087787980526</c:v>
                </c:pt>
                <c:pt idx="358">
                  <c:v>8.4540107292336746</c:v>
                </c:pt>
                <c:pt idx="359">
                  <c:v>9.1223619305319819</c:v>
                </c:pt>
                <c:pt idx="360">
                  <c:v>9.7910791804451698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3.4018478699941461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3.4018478700418617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10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-64.093805184452847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21.364601728150944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L_Section_Capacity!$AS$4:$AS$5</c:f>
              <c:numCache>
                <c:formatCode>0.000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xVal>
          <c:yVal>
            <c:numRef>
              <c:f>L_Section_Capacity!$AT$4:$AT$5</c:f>
              <c:numCache>
                <c:formatCode>0.000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1.149208149413308</c:v>
                </c:pt>
                <c:pt idx="1">
                  <c:v>1.1700802513473938</c:v>
                </c:pt>
                <c:pt idx="2">
                  <c:v>1.1896459446004195</c:v>
                </c:pt>
                <c:pt idx="3">
                  <c:v>1.208111245963934</c:v>
                </c:pt>
                <c:pt idx="4">
                  <c:v>1.2256440323986837</c:v>
                </c:pt>
                <c:pt idx="5">
                  <c:v>1.2423825836025373</c:v>
                </c:pt>
                <c:pt idx="6">
                  <c:v>1.2584419575906398</c:v>
                </c:pt>
                <c:pt idx="7">
                  <c:v>1.2739188080031043</c:v>
                </c:pt>
                <c:pt idx="8">
                  <c:v>1.2888950677715905</c:v>
                </c:pt>
                <c:pt idx="9">
                  <c:v>1.303440794860238</c:v>
                </c:pt>
                <c:pt idx="10">
                  <c:v>1.3176163964725249</c:v>
                </c:pt>
                <c:pt idx="11">
                  <c:v>1.3313047034098957</c:v>
                </c:pt>
                <c:pt idx="12">
                  <c:v>1.3433276480231056</c:v>
                </c:pt>
                <c:pt idx="13">
                  <c:v>1.3538448805135512</c:v>
                </c:pt>
                <c:pt idx="14">
                  <c:v>1.3632108490185035</c:v>
                </c:pt>
                <c:pt idx="15">
                  <c:v>1.3716777095052231</c:v>
                </c:pt>
                <c:pt idx="16">
                  <c:v>1.3794302829677656</c:v>
                </c:pt>
                <c:pt idx="17">
                  <c:v>1.3866075264777005</c:v>
                </c:pt>
                <c:pt idx="18">
                  <c:v>1.3933162415664901</c:v>
                </c:pt>
                <c:pt idx="19">
                  <c:v>1.3996401202545228</c:v>
                </c:pt>
                <c:pt idx="20">
                  <c:v>1.4056458878541909</c:v>
                </c:pt>
                <c:pt idx="21">
                  <c:v>1.4113875804202065</c:v>
                </c:pt>
                <c:pt idx="22">
                  <c:v>1.4169095900835125</c:v>
                </c:pt>
                <c:pt idx="23">
                  <c:v>1.4222488760877723</c:v>
                </c:pt>
                <c:pt idx="24">
                  <c:v>1.4274365990575095</c:v>
                </c:pt>
                <c:pt idx="25">
                  <c:v>1.4324993485205288</c:v>
                </c:pt>
                <c:pt idx="26">
                  <c:v>1.4374600790628131</c:v>
                </c:pt>
                <c:pt idx="27">
                  <c:v>1.4423388337595282</c:v>
                </c:pt>
                <c:pt idx="28">
                  <c:v>1.4471533106797101</c:v>
                </c:pt>
                <c:pt idx="29">
                  <c:v>1.4519193122066145</c:v>
                </c:pt>
                <c:pt idx="30">
                  <c:v>1.4566511053446838</c:v>
                </c:pt>
                <c:pt idx="31">
                  <c:v>1.4613617146372568</c:v>
                </c:pt>
                <c:pt idx="32">
                  <c:v>1.4660631626602298</c:v>
                </c:pt>
                <c:pt idx="33">
                  <c:v>1.4707666703098523</c:v>
                </c:pt>
                <c:pt idx="34">
                  <c:v>1.4754828254087928</c:v>
                </c:pt>
                <c:pt idx="35">
                  <c:v>1.4802217272050198</c:v>
                </c:pt>
                <c:pt idx="36">
                  <c:v>1.4849931112112498</c:v>
                </c:pt>
                <c:pt idx="37">
                  <c:v>1.4898064595462153</c:v>
                </c:pt>
                <c:pt idx="38">
                  <c:v>1.4946710994195358</c:v>
                </c:pt>
                <c:pt idx="39">
                  <c:v>1.499596293408429</c:v>
                </c:pt>
                <c:pt idx="40">
                  <c:v>1.5045913230192609</c:v>
                </c:pt>
                <c:pt idx="41">
                  <c:v>1.509665567860117</c:v>
                </c:pt>
                <c:pt idx="42">
                  <c:v>1.5148285825061989</c:v>
                </c:pt>
                <c:pt idx="43">
                  <c:v>1.5200901715744721</c:v>
                </c:pt>
                <c:pt idx="44">
                  <c:v>1.5254604656619126</c:v>
                </c:pt>
                <c:pt idx="45">
                  <c:v>1.5309499984205504</c:v>
                </c:pt>
                <c:pt idx="46">
                  <c:v>1.5365697868016324</c:v>
                </c:pt>
                <c:pt idx="47">
                  <c:v>1.5423314150830707</c:v>
                </c:pt>
                <c:pt idx="48">
                  <c:v>1.5482471248747758</c:v>
                </c:pt>
                <c:pt idx="49">
                  <c:v>1.5543299118522595</c:v>
                </c:pt>
                <c:pt idx="50">
                  <c:v>1.5605936309903914</c:v>
                </c:pt>
                <c:pt idx="51">
                  <c:v>1.5670531124298877</c:v>
                </c:pt>
                <c:pt idx="52">
                  <c:v>1.5737242892413219</c:v>
                </c:pt>
                <c:pt idx="53">
                  <c:v>1.5806243400998035</c:v>
                </c:pt>
                <c:pt idx="54">
                  <c:v>1.5877718487878947</c:v>
                </c:pt>
                <c:pt idx="55">
                  <c:v>1.5951869841734589</c:v>
                </c:pt>
                <c:pt idx="56">
                  <c:v>1.6028917038200485</c:v>
                </c:pt>
                <c:pt idx="57">
                  <c:v>1.6109099853891642</c:v>
                </c:pt>
                <c:pt idx="58">
                  <c:v>1.6192680912912036</c:v>
                </c:pt>
                <c:pt idx="59">
                  <c:v>1.6279948719319932</c:v>
                </c:pt>
                <c:pt idx="60">
                  <c:v>1.6371221151867892</c:v>
                </c:pt>
                <c:pt idx="61">
                  <c:v>1.646684950556812</c:v>
                </c:pt>
                <c:pt idx="62">
                  <c:v>1.6567223184646926</c:v>
                </c:pt>
                <c:pt idx="63">
                  <c:v>1.6672775177688495</c:v>
                </c:pt>
                <c:pt idx="64">
                  <c:v>1.6783988468894564</c:v>
                </c:pt>
                <c:pt idx="65">
                  <c:v>1.6901403584317609</c:v>
                </c:pt>
                <c:pt idx="66">
                  <c:v>1.7025627510201602</c:v>
                </c:pt>
                <c:pt idx="67">
                  <c:v>1.715734429128418</c:v>
                </c:pt>
                <c:pt idx="68">
                  <c:v>1.7297327688476631</c:v>
                </c:pt>
                <c:pt idx="69">
                  <c:v>1.7446456381334234</c:v>
                </c:pt>
                <c:pt idx="70">
                  <c:v>1.7605732339184734</c:v>
                </c:pt>
                <c:pt idx="71">
                  <c:v>1.7776303166923222</c:v>
                </c:pt>
                <c:pt idx="72">
                  <c:v>1.7959489481489144</c:v>
                </c:pt>
                <c:pt idx="73">
                  <c:v>1.8156818717293373</c:v>
                </c:pt>
                <c:pt idx="74">
                  <c:v>1.837006724324636</c:v>
                </c:pt>
                <c:pt idx="75">
                  <c:v>1.8601313356900457</c:v>
                </c:pt>
                <c:pt idx="76">
                  <c:v>1.8853004732620826</c:v>
                </c:pt>
                <c:pt idx="77">
                  <c:v>1.9128045404172842</c:v>
                </c:pt>
                <c:pt idx="78">
                  <c:v>1.9429909693627883</c:v>
                </c:pt>
                <c:pt idx="79">
                  <c:v>1.9762794225122846</c:v>
                </c:pt>
                <c:pt idx="80">
                  <c:v>2.0131825365853637</c:v>
                </c:pt>
                <c:pt idx="81">
                  <c:v>2.0543350247277479</c:v>
                </c:pt>
                <c:pt idx="82">
                  <c:v>2.1005359405334758</c:v>
                </c:pt>
                <c:pt idx="83">
                  <c:v>2.1517348739133939</c:v>
                </c:pt>
                <c:pt idx="84">
                  <c:v>2.2003565221970289</c:v>
                </c:pt>
                <c:pt idx="85">
                  <c:v>2.2442471968750111</c:v>
                </c:pt>
                <c:pt idx="86">
                  <c:v>2.2844677772369568</c:v>
                </c:pt>
                <c:pt idx="87">
                  <c:v>2.3214704286967871</c:v>
                </c:pt>
                <c:pt idx="88">
                  <c:v>2.3556463755893704</c:v>
                </c:pt>
                <c:pt idx="89">
                  <c:v>2.3873327750906639</c:v>
                </c:pt>
                <c:pt idx="90">
                  <c:v>2.4167553740891696</c:v>
                </c:pt>
                <c:pt idx="91">
                  <c:v>2.4429793376206579</c:v>
                </c:pt>
                <c:pt idx="92">
                  <c:v>2.4682216456736539</c:v>
                </c:pt>
                <c:pt idx="93">
                  <c:v>2.4925791458493918</c:v>
                </c:pt>
                <c:pt idx="94">
                  <c:v>2.5161387819322325</c:v>
                </c:pt>
                <c:pt idx="95">
                  <c:v>2.5389788030234337</c:v>
                </c:pt>
                <c:pt idx="96">
                  <c:v>2.5611698239994891</c:v>
                </c:pt>
                <c:pt idx="97">
                  <c:v>2.5827757536029781</c:v>
                </c:pt>
                <c:pt idx="98">
                  <c:v>2.6038259119836145</c:v>
                </c:pt>
                <c:pt idx="99">
                  <c:v>2.6222714625181469</c:v>
                </c:pt>
                <c:pt idx="100">
                  <c:v>2.6376466158161329</c:v>
                </c:pt>
                <c:pt idx="101">
                  <c:v>2.6507751860846702</c:v>
                </c:pt>
                <c:pt idx="102">
                  <c:v>2.6622042407806261</c:v>
                </c:pt>
                <c:pt idx="103">
                  <c:v>2.6723125966468575</c:v>
                </c:pt>
                <c:pt idx="104">
                  <c:v>2.681371728079478</c:v>
                </c:pt>
                <c:pt idx="105">
                  <c:v>2.6895818479239897</c:v>
                </c:pt>
                <c:pt idx="106">
                  <c:v>2.6970942559960855</c:v>
                </c:pt>
                <c:pt idx="107">
                  <c:v>2.7040257128859708</c:v>
                </c:pt>
                <c:pt idx="108">
                  <c:v>2.7104679872824025</c:v>
                </c:pt>
                <c:pt idx="109">
                  <c:v>2.7164943767292806</c:v>
                </c:pt>
                <c:pt idx="110">
                  <c:v>2.7221642711677521</c:v>
                </c:pt>
                <c:pt idx="111">
                  <c:v>2.7275264161491615</c:v>
                </c:pt>
                <c:pt idx="112">
                  <c:v>2.7326212913220713</c:v>
                </c:pt>
                <c:pt idx="113">
                  <c:v>2.7374828740209298</c:v>
                </c:pt>
                <c:pt idx="114">
                  <c:v>2.7421399673470868</c:v>
                </c:pt>
                <c:pt idx="115">
                  <c:v>2.7466172144340582</c:v>
                </c:pt>
                <c:pt idx="116">
                  <c:v>2.7509358830975086</c:v>
                </c:pt>
                <c:pt idx="117">
                  <c:v>2.7551144801062195</c:v>
                </c:pt>
                <c:pt idx="118">
                  <c:v>2.759169237394568</c:v>
                </c:pt>
                <c:pt idx="119">
                  <c:v>2.7631145009235381</c:v>
                </c:pt>
                <c:pt idx="120">
                  <c:v>2.7669630447446196</c:v>
                </c:pt>
                <c:pt idx="121">
                  <c:v>2.7707263270405615</c:v>
                </c:pt>
                <c:pt idx="122">
                  <c:v>2.7744147007821871</c:v>
                </c:pt>
                <c:pt idx="123">
                  <c:v>2.7780375886023529</c:v>
                </c:pt>
                <c:pt idx="124">
                  <c:v>2.7816036292806605</c:v>
                </c:pt>
                <c:pt idx="125">
                  <c:v>2.785120801575796</c:v>
                </c:pt>
                <c:pt idx="126">
                  <c:v>2.7885965299088507</c:v>
                </c:pt>
                <c:pt idx="127">
                  <c:v>2.7920377754647987</c:v>
                </c:pt>
                <c:pt idx="128">
                  <c:v>2.7954511155693287</c:v>
                </c:pt>
                <c:pt idx="129">
                  <c:v>2.7988428136571049</c:v>
                </c:pt>
                <c:pt idx="130">
                  <c:v>2.8022188817242197</c:v>
                </c:pt>
                <c:pt idx="131">
                  <c:v>2.8055851368456146</c:v>
                </c:pt>
                <c:pt idx="132">
                  <c:v>2.808947253092176</c:v>
                </c:pt>
                <c:pt idx="133">
                  <c:v>2.8123108099843481</c:v>
                </c:pt>
                <c:pt idx="134">
                  <c:v>2.8156813385076762</c:v>
                </c:pt>
                <c:pt idx="135">
                  <c:v>2.8190643655895031</c:v>
                </c:pt>
                <c:pt idx="136">
                  <c:v>2.8224654578877479</c:v>
                </c:pt>
                <c:pt idx="137">
                  <c:v>2.8258902657071605</c:v>
                </c:pt>
                <c:pt idx="138">
                  <c:v>2.8293445678392484</c:v>
                </c:pt>
                <c:pt idx="139">
                  <c:v>2.8328343181629005</c:v>
                </c:pt>
                <c:pt idx="140">
                  <c:v>2.8363656948548588</c:v>
                </c:pt>
                <c:pt idx="141">
                  <c:v>2.8399451531747881</c:v>
                </c:pt>
                <c:pt idx="142">
                  <c:v>2.8435794828565881</c:v>
                </c:pt>
                <c:pt idx="143">
                  <c:v>2.8472758713233612</c:v>
                </c:pt>
                <c:pt idx="144">
                  <c:v>2.8510419740889814</c:v>
                </c:pt>
                <c:pt idx="145">
                  <c:v>2.8548859940019922</c:v>
                </c:pt>
                <c:pt idx="146">
                  <c:v>2.8588167712752233</c:v>
                </c:pt>
                <c:pt idx="147">
                  <c:v>2.8628438866273984</c:v>
                </c:pt>
                <c:pt idx="148">
                  <c:v>2.8669777804519443</c:v>
                </c:pt>
                <c:pt idx="149">
                  <c:v>2.8712298914833894</c:v>
                </c:pt>
                <c:pt idx="150">
                  <c:v>2.8756128193803225</c:v>
                </c:pt>
                <c:pt idx="151">
                  <c:v>2.8801405166660885</c:v>
                </c:pt>
                <c:pt idx="152">
                  <c:v>2.8846935705018493</c:v>
                </c:pt>
                <c:pt idx="153">
                  <c:v>2.8891305840657422</c:v>
                </c:pt>
                <c:pt idx="154">
                  <c:v>2.8934591238427085</c:v>
                </c:pt>
                <c:pt idx="155">
                  <c:v>2.8976863445805936</c:v>
                </c:pt>
                <c:pt idx="156">
                  <c:v>2.9018189042547462</c:v>
                </c:pt>
                <c:pt idx="157">
                  <c:v>2.9058630118050202</c:v>
                </c:pt>
                <c:pt idx="158">
                  <c:v>2.9098244697716011</c:v>
                </c:pt>
                <c:pt idx="159">
                  <c:v>2.9137087124434258</c:v>
                </c:pt>
                <c:pt idx="160">
                  <c:v>2.9175208401104649</c:v>
                </c:pt>
                <c:pt idx="161">
                  <c:v>2.921265649889127</c:v>
                </c:pt>
                <c:pt idx="162">
                  <c:v>2.924947663525963</c:v>
                </c:pt>
                <c:pt idx="163">
                  <c:v>2.9285711525513407</c:v>
                </c:pt>
                <c:pt idx="164">
                  <c:v>2.9321401611029159</c:v>
                </c:pt>
                <c:pt idx="165">
                  <c:v>2.9356585266750264</c:v>
                </c:pt>
                <c:pt idx="166">
                  <c:v>2.9391298990609567</c:v>
                </c:pt>
                <c:pt idx="167">
                  <c:v>2.9425577576712456</c:v>
                </c:pt>
                <c:pt idx="168">
                  <c:v>2.9459454274332493</c:v>
                </c:pt>
                <c:pt idx="169">
                  <c:v>2.9492960934432304</c:v>
                </c:pt>
                <c:pt idx="170">
                  <c:v>2.9526128144803239</c:v>
                </c:pt>
                <c:pt idx="171">
                  <c:v>2.9558985355720764</c:v>
                </c:pt>
                <c:pt idx="172">
                  <c:v>2.9591560996631268</c:v>
                </c:pt>
                <c:pt idx="173">
                  <c:v>2.9623882585480761</c:v>
                </c:pt>
                <c:pt idx="174">
                  <c:v>2.9655976831265405</c:v>
                </c:pt>
                <c:pt idx="175">
                  <c:v>2.9687869730839376</c:v>
                </c:pt>
                <c:pt idx="176">
                  <c:v>2.9719586660703254</c:v>
                </c:pt>
                <c:pt idx="177">
                  <c:v>2.9751152464585955</c:v>
                </c:pt>
                <c:pt idx="178">
                  <c:v>2.9782591537342737</c:v>
                </c:pt>
                <c:pt idx="179">
                  <c:v>2.9813927905937083</c:v>
                </c:pt>
                <c:pt idx="180">
                  <c:v>2.9845185308059134</c:v>
                </c:pt>
                <c:pt idx="181">
                  <c:v>2.9876387268921061</c:v>
                </c:pt>
                <c:pt idx="182">
                  <c:v>2.9907557176859147</c:v>
                </c:pt>
                <c:pt idx="183">
                  <c:v>2.9938718358152046</c:v>
                </c:pt>
                <c:pt idx="184">
                  <c:v>2.9969894151714627</c:v>
                </c:pt>
                <c:pt idx="185">
                  <c:v>3.0001107984120718</c:v>
                </c:pt>
                <c:pt idx="186">
                  <c:v>3.0032383445523099</c:v>
                </c:pt>
                <c:pt idx="187">
                  <c:v>3.0063744367056708</c:v>
                </c:pt>
                <c:pt idx="188">
                  <c:v>3.0095214900189458</c:v>
                </c:pt>
                <c:pt idx="189">
                  <c:v>3.0126819598749517</c:v>
                </c:pt>
                <c:pt idx="190">
                  <c:v>3.0158583504197893</c:v>
                </c:pt>
                <c:pt idx="191">
                  <c:v>3.0190532234880165</c:v>
                </c:pt>
                <c:pt idx="192">
                  <c:v>3.0222692079885087</c:v>
                </c:pt>
                <c:pt idx="193">
                  <c:v>3.0255090098564232</c:v>
                </c:pt>
                <c:pt idx="194">
                  <c:v>3.0287754226241521</c:v>
                </c:pt>
                <c:pt idx="195">
                  <c:v>3.0320713387511216</c:v>
                </c:pt>
                <c:pt idx="196">
                  <c:v>3.0353997617857162</c:v>
                </c:pt>
                <c:pt idx="197">
                  <c:v>3.0387638195052413</c:v>
                </c:pt>
                <c:pt idx="198">
                  <c:v>3.0421667781674864</c:v>
                </c:pt>
                <c:pt idx="199">
                  <c:v>3.0456120580213852</c:v>
                </c:pt>
                <c:pt idx="200">
                  <c:v>3.0491032502690003</c:v>
                </c:pt>
                <c:pt idx="201">
                  <c:v>3.0526441356688783</c:v>
                </c:pt>
                <c:pt idx="202">
                  <c:v>3.0562387050221327</c:v>
                </c:pt>
                <c:pt idx="203">
                  <c:v>3.0598911818053733</c:v>
                </c:pt>
                <c:pt idx="204">
                  <c:v>3.0636060472548241</c:v>
                </c:pt>
                <c:pt idx="205">
                  <c:v>3.0673880682630443</c:v>
                </c:pt>
                <c:pt idx="206">
                  <c:v>3.0712423285055563</c:v>
                </c:pt>
                <c:pt idx="207">
                  <c:v>3.0751742632689618</c:v>
                </c:pt>
                <c:pt idx="208">
                  <c:v>3.0793081605525146</c:v>
                </c:pt>
                <c:pt idx="209">
                  <c:v>3.083778407988917</c:v>
                </c:pt>
                <c:pt idx="210">
                  <c:v>3.0881979869220877</c:v>
                </c:pt>
                <c:pt idx="211">
                  <c:v>3.0924637813494873</c:v>
                </c:pt>
                <c:pt idx="212">
                  <c:v>3.0965892260845305</c:v>
                </c:pt>
                <c:pt idx="213">
                  <c:v>3.1005864201745794</c:v>
                </c:pt>
                <c:pt idx="214">
                  <c:v>3.1044663068975979</c:v>
                </c:pt>
                <c:pt idx="215">
                  <c:v>3.108238826190755</c:v>
                </c:pt>
                <c:pt idx="216">
                  <c:v>3.1119322334829569</c:v>
                </c:pt>
                <c:pt idx="217">
                  <c:v>3.1155729209122773</c:v>
                </c:pt>
                <c:pt idx="218">
                  <c:v>3.1191240548086037</c:v>
                </c:pt>
                <c:pt idx="219">
                  <c:v>3.1227341043848424</c:v>
                </c:pt>
                <c:pt idx="220">
                  <c:v>3.1264632494357145</c:v>
                </c:pt>
                <c:pt idx="221">
                  <c:v>3.1301204192830103</c:v>
                </c:pt>
                <c:pt idx="222">
                  <c:v>3.1337116842969501</c:v>
                </c:pt>
                <c:pt idx="223">
                  <c:v>3.1372427313645912</c:v>
                </c:pt>
                <c:pt idx="224">
                  <c:v>3.1407189105872626</c:v>
                </c:pt>
                <c:pt idx="225">
                  <c:v>3.1441452772060763</c:v>
                </c:pt>
                <c:pt idx="226">
                  <c:v>3.1475266295194966</c:v>
                </c:pt>
                <c:pt idx="227">
                  <c:v>3.1508675435048703</c:v>
                </c:pt>
                <c:pt idx="228">
                  <c:v>3.1541724047099762</c:v>
                </c:pt>
                <c:pt idx="229">
                  <c:v>3.1574498135725646</c:v>
                </c:pt>
                <c:pt idx="230">
                  <c:v>3.1607030127199782</c:v>
                </c:pt>
                <c:pt idx="231">
                  <c:v>3.1639251344784882</c:v>
                </c:pt>
                <c:pt idx="232">
                  <c:v>3.1671198869159918</c:v>
                </c:pt>
                <c:pt idx="233">
                  <c:v>3.1702908901925815</c:v>
                </c:pt>
                <c:pt idx="234">
                  <c:v>3.1734416998580133</c:v>
                </c:pt>
                <c:pt idx="235">
                  <c:v>3.1765758302335825</c:v>
                </c:pt>
                <c:pt idx="236">
                  <c:v>3.1796967783236778</c:v>
                </c:pt>
                <c:pt idx="237">
                  <c:v>3.1828080487943859</c:v>
                </c:pt>
                <c:pt idx="238">
                  <c:v>3.1859131805281518</c:v>
                </c:pt>
                <c:pt idx="239">
                  <c:v>3.1890157754538873</c:v>
                </c:pt>
                <c:pt idx="240">
                  <c:v>3.1921195304318197</c:v>
                </c:pt>
                <c:pt idx="241">
                  <c:v>3.1952282731643797</c:v>
                </c:pt>
                <c:pt idx="242">
                  <c:v>3.1983460033526647</c:v>
                </c:pt>
                <c:pt idx="243">
                  <c:v>3.2014769406423254</c:v>
                </c:pt>
                <c:pt idx="244">
                  <c:v>3.2046255813032065</c:v>
                </c:pt>
                <c:pt idx="245">
                  <c:v>3.2077967662879909</c:v>
                </c:pt>
                <c:pt idx="246">
                  <c:v>3.210995763974382</c:v>
                </c:pt>
                <c:pt idx="247">
                  <c:v>3.214228372245405</c:v>
                </c:pt>
                <c:pt idx="248">
                  <c:v>3.217501045996757</c:v>
                </c:pt>
                <c:pt idx="249">
                  <c:v>3.2208210585798889</c:v>
                </c:pt>
                <c:pt idx="250">
                  <c:v>3.2241967090199912</c:v>
                </c:pt>
                <c:pt idx="251">
                  <c:v>3.2276375916990494</c:v>
                </c:pt>
                <c:pt idx="252">
                  <c:v>3.2311549526931747</c:v>
                </c:pt>
                <c:pt idx="253">
                  <c:v>3.2347621681566929</c:v>
                </c:pt>
                <c:pt idx="254">
                  <c:v>3.2384753978133491</c:v>
                </c:pt>
                <c:pt idx="255">
                  <c:v>3.242314495000798</c:v>
                </c:pt>
                <c:pt idx="256">
                  <c:v>3.2463043012021777</c:v>
                </c:pt>
                <c:pt idx="257">
                  <c:v>3.250476532318344</c:v>
                </c:pt>
                <c:pt idx="258">
                  <c:v>3.2548726033461461</c:v>
                </c:pt>
                <c:pt idx="259">
                  <c:v>3.2595479937491314</c:v>
                </c:pt>
                <c:pt idx="260">
                  <c:v>3.2645792468023966</c:v>
                </c:pt>
                <c:pt idx="261">
                  <c:v>3.270075693052978</c:v>
                </c:pt>
                <c:pt idx="262">
                  <c:v>3.2762001491023716</c:v>
                </c:pt>
                <c:pt idx="263">
                  <c:v>3.2832079187583094</c:v>
                </c:pt>
                <c:pt idx="264">
                  <c:v>3.2915265955680595</c:v>
                </c:pt>
                <c:pt idx="265">
                  <c:v>3.3019380403859846</c:v>
                </c:pt>
                <c:pt idx="266">
                  <c:v>3.3160597634736706</c:v>
                </c:pt>
                <c:pt idx="267">
                  <c:v>3.333756105770171</c:v>
                </c:pt>
                <c:pt idx="268">
                  <c:v>3.3534560171433356</c:v>
                </c:pt>
                <c:pt idx="269">
                  <c:v>3.375876629893511</c:v>
                </c:pt>
                <c:pt idx="270">
                  <c:v>3.4021070527073007</c:v>
                </c:pt>
                <c:pt idx="271">
                  <c:v>3.4336627135278341</c:v>
                </c:pt>
                <c:pt idx="272">
                  <c:v>3.4750255976737279</c:v>
                </c:pt>
                <c:pt idx="273">
                  <c:v>3.5331201037881965</c:v>
                </c:pt>
                <c:pt idx="274">
                  <c:v>3.606575769294484</c:v>
                </c:pt>
                <c:pt idx="275">
                  <c:v>3.6740672936269112</c:v>
                </c:pt>
                <c:pt idx="276">
                  <c:v>3.7362321902074354</c:v>
                </c:pt>
                <c:pt idx="277">
                  <c:v>3.7939286772228606</c:v>
                </c:pt>
                <c:pt idx="278">
                  <c:v>3.8477491404029944</c:v>
                </c:pt>
                <c:pt idx="279">
                  <c:v>3.898144738459127</c:v>
                </c:pt>
                <c:pt idx="280">
                  <c:v>3.9454832413447529</c:v>
                </c:pt>
                <c:pt idx="281">
                  <c:v>3.9900779725006918</c:v>
                </c:pt>
                <c:pt idx="282">
                  <c:v>4.0322032435749779</c:v>
                </c:pt>
                <c:pt idx="283">
                  <c:v>4.0721031458119299</c:v>
                </c:pt>
                <c:pt idx="284">
                  <c:v>4.0632186401883832</c:v>
                </c:pt>
                <c:pt idx="285">
                  <c:v>4.0982116203943617</c:v>
                </c:pt>
                <c:pt idx="286">
                  <c:v>4.1317561488408483</c:v>
                </c:pt>
                <c:pt idx="287">
                  <c:v>4.1640002650289052</c:v>
                </c:pt>
                <c:pt idx="288">
                  <c:v>4.1950790486030636</c:v>
                </c:pt>
                <c:pt idx="289">
                  <c:v>4.2251161670671324</c:v>
                </c:pt>
                <c:pt idx="290">
                  <c:v>4.2542252216879337</c:v>
                </c:pt>
                <c:pt idx="291">
                  <c:v>4.282510939311571</c:v>
                </c:pt>
                <c:pt idx="292">
                  <c:v>4.3100702411430287</c:v>
                </c:pt>
                <c:pt idx="293">
                  <c:v>4.3369932102726612</c:v>
                </c:pt>
                <c:pt idx="294">
                  <c:v>4.3633639713494317</c:v>
                </c:pt>
                <c:pt idx="295">
                  <c:v>4.3892614959681406</c:v>
                </c:pt>
                <c:pt idx="296">
                  <c:v>4.4147603450186379</c:v>
                </c:pt>
                <c:pt idx="297">
                  <c:v>4.4399313513120111</c:v>
                </c:pt>
                <c:pt idx="298">
                  <c:v>4.464842260799136</c:v>
                </c:pt>
                <c:pt idx="299">
                  <c:v>4.4895583280038567</c:v>
                </c:pt>
                <c:pt idx="300">
                  <c:v>4.51414288415336</c:v>
                </c:pt>
                <c:pt idx="301">
                  <c:v>4.5386578768254777</c:v>
                </c:pt>
                <c:pt idx="302">
                  <c:v>4.5631643919952154</c:v>
                </c:pt>
                <c:pt idx="303">
                  <c:v>4.5877231633843678</c:v>
                </c:pt>
                <c:pt idx="304">
                  <c:v>4.6123950759173979</c:v>
                </c:pt>
                <c:pt idx="305">
                  <c:v>4.637241668030466</c:v>
                </c:pt>
                <c:pt idx="306">
                  <c:v>4.662325641152683</c:v>
                </c:pt>
                <c:pt idx="307">
                  <c:v>4.6877113786293538</c:v>
                </c:pt>
                <c:pt idx="308">
                  <c:v>4.7134654833284619</c:v>
                </c:pt>
                <c:pt idx="309">
                  <c:v>4.7396573344342467</c:v>
                </c:pt>
                <c:pt idx="310">
                  <c:v>4.766359674583784</c:v>
                </c:pt>
                <c:pt idx="311">
                  <c:v>4.7936492224020686</c:v>
                </c:pt>
                <c:pt idx="312">
                  <c:v>4.8216073235615955</c:v>
                </c:pt>
                <c:pt idx="313">
                  <c:v>4.8503206310370111</c:v>
                </c:pt>
                <c:pt idx="314">
                  <c:v>4.8798818216961868</c:v>
                </c:pt>
                <c:pt idx="315">
                  <c:v>4.9103903385659589</c:v>
                </c:pt>
                <c:pt idx="316">
                  <c:v>4.9419531505931245</c:v>
                </c:pt>
                <c:pt idx="317">
                  <c:v>4.9746855109633907</c:v>
                </c:pt>
                <c:pt idx="318">
                  <c:v>5.0087116861223588</c:v>
                </c:pt>
                <c:pt idx="319">
                  <c:v>5.0441656120356608</c:v>
                </c:pt>
                <c:pt idx="320">
                  <c:v>5.081191413808277</c:v>
                </c:pt>
                <c:pt idx="321">
                  <c:v>5.1199437027039378</c:v>
                </c:pt>
                <c:pt idx="322">
                  <c:v>5.1605875255325717</c:v>
                </c:pt>
                <c:pt idx="323">
                  <c:v>5.2032978034931974</c:v>
                </c:pt>
                <c:pt idx="324">
                  <c:v>5.2482580462457857</c:v>
                </c:pt>
                <c:pt idx="325">
                  <c:v>5.2956580681051442</c:v>
                </c:pt>
                <c:pt idx="326">
                  <c:v>5.345690375477961</c:v>
                </c:pt>
                <c:pt idx="327">
                  <c:v>5.3985448505817777</c:v>
                </c:pt>
                <c:pt idx="328">
                  <c:v>5.4544013362812089</c:v>
                </c:pt>
                <c:pt idx="329">
                  <c:v>5.5134197644935572</c:v>
                </c:pt>
                <c:pt idx="330">
                  <c:v>5.5757276286300579</c:v>
                </c:pt>
                <c:pt idx="331">
                  <c:v>5.6414048838089688</c:v>
                </c:pt>
                <c:pt idx="332">
                  <c:v>5.7104668514576282</c:v>
                </c:pt>
                <c:pt idx="333">
                  <c:v>5.7828463885509125</c:v>
                </c:pt>
                <c:pt idx="334">
                  <c:v>5.858377398535608</c:v>
                </c:pt>
                <c:pt idx="335">
                  <c:v>5.9367825262184963</c:v>
                </c:pt>
                <c:pt idx="336">
                  <c:v>6.0176683047607948</c:v>
                </c:pt>
                <c:pt idx="337">
                  <c:v>6.1005307558832911</c:v>
                </c:pt>
                <c:pt idx="338">
                  <c:v>6.184773226446465</c:v>
                </c:pt>
                <c:pt idx="339">
                  <c:v>6.2697361266973433</c:v>
                </c:pt>
                <c:pt idx="340">
                  <c:v>7.1550378439460757E-2</c:v>
                </c:pt>
                <c:pt idx="341">
                  <c:v>0.15592135305751101</c:v>
                </c:pt>
                <c:pt idx="342">
                  <c:v>0.23905763253588738</c:v>
                </c:pt>
                <c:pt idx="343">
                  <c:v>0.32044527084827196</c:v>
                </c:pt>
                <c:pt idx="344">
                  <c:v>0.27781070392264989</c:v>
                </c:pt>
                <c:pt idx="345">
                  <c:v>0.36168472512537325</c:v>
                </c:pt>
                <c:pt idx="346">
                  <c:v>0.44393859673004682</c:v>
                </c:pt>
                <c:pt idx="347">
                  <c:v>0.52421464942037732</c:v>
                </c:pt>
                <c:pt idx="348">
                  <c:v>0.60228428245264853</c:v>
                </c:pt>
                <c:pt idx="349">
                  <c:v>0.67804886087954952</c:v>
                </c:pt>
                <c:pt idx="350">
                  <c:v>0.75153452548378274</c:v>
                </c:pt>
                <c:pt idx="351">
                  <c:v>0.82280755828663332</c:v>
                </c:pt>
                <c:pt idx="352">
                  <c:v>0.88502561029232518</c:v>
                </c:pt>
                <c:pt idx="353">
                  <c:v>0.93633636313292523</c:v>
                </c:pt>
                <c:pt idx="354">
                  <c:v>0.97959201568579513</c:v>
                </c:pt>
                <c:pt idx="355">
                  <c:v>1.0167691424822438</c:v>
                </c:pt>
                <c:pt idx="356">
                  <c:v>1.0492674689055932</c:v>
                </c:pt>
                <c:pt idx="357">
                  <c:v>1.0780998084986202</c:v>
                </c:pt>
                <c:pt idx="358">
                  <c:v>1.1040141075971339</c:v>
                </c:pt>
                <c:pt idx="359">
                  <c:v>1.1275732308630075</c:v>
                </c:pt>
                <c:pt idx="360">
                  <c:v>1.1492081494137634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-0.16631129974414258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0.78539816340446145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2.9741806017412165</c:v>
                </c:pt>
                <c:pt idx="1">
                  <c:v>2.9834223528217887</c:v>
                </c:pt>
                <c:pt idx="2">
                  <c:v>2.9926594373777275</c:v>
                </c:pt>
                <c:pt idx="3">
                  <c:v>3.0019000649443983</c:v>
                </c:pt>
                <c:pt idx="4">
                  <c:v>3.0111524899123467</c:v>
                </c:pt>
                <c:pt idx="5">
                  <c:v>3.0204250425689172</c:v>
                </c:pt>
                <c:pt idx="6">
                  <c:v>3.0297261609260726</c:v>
                </c:pt>
                <c:pt idx="7">
                  <c:v>3.0390644236209523</c:v>
                </c:pt>
                <c:pt idx="8">
                  <c:v>3.048448584146759</c:v>
                </c:pt>
                <c:pt idx="9">
                  <c:v>3.0578876067443876</c:v>
                </c:pt>
                <c:pt idx="10">
                  <c:v>3.0673907042236963</c:v>
                </c:pt>
                <c:pt idx="11">
                  <c:v>3.0768792964733853</c:v>
                </c:pt>
                <c:pt idx="12">
                  <c:v>3.0856979356468131</c:v>
                </c:pt>
                <c:pt idx="13">
                  <c:v>3.0938564606031731</c:v>
                </c:pt>
                <c:pt idx="14">
                  <c:v>3.1014933441578627</c:v>
                </c:pt>
                <c:pt idx="15">
                  <c:v>3.1087129139222158</c:v>
                </c:pt>
                <c:pt idx="16">
                  <c:v>3.1155954519354649</c:v>
                </c:pt>
                <c:pt idx="17">
                  <c:v>3.1222039161954993</c:v>
                </c:pt>
                <c:pt idx="18">
                  <c:v>3.128588535521184</c:v>
                </c:pt>
                <c:pt idx="19">
                  <c:v>3.1347900252387939</c:v>
                </c:pt>
                <c:pt idx="20">
                  <c:v>3.1408418849361239</c:v>
                </c:pt>
                <c:pt idx="21">
                  <c:v>-3.1364132360311818</c:v>
                </c:pt>
                <c:pt idx="22">
                  <c:v>-3.1305810714778253</c:v>
                </c:pt>
                <c:pt idx="23">
                  <c:v>-3.1248266504109097</c:v>
                </c:pt>
                <c:pt idx="24">
                  <c:v>-3.1191323581932902</c:v>
                </c:pt>
                <c:pt idx="25">
                  <c:v>-3.1134826947481598</c:v>
                </c:pt>
                <c:pt idx="26">
                  <c:v>-3.1078638446423366</c:v>
                </c:pt>
                <c:pt idx="27">
                  <c:v>-3.1022633361111125</c:v>
                </c:pt>
                <c:pt idx="28">
                  <c:v>-3.0966697671969956</c:v>
                </c:pt>
                <c:pt idx="29">
                  <c:v>-3.0910725829529615</c:v>
                </c:pt>
                <c:pt idx="30">
                  <c:v>-3.0854618917373497</c:v>
                </c:pt>
                <c:pt idx="31">
                  <c:v>-3.0798283115976246</c:v>
                </c:pt>
                <c:pt idx="32">
                  <c:v>-3.0741628398293557</c:v>
                </c:pt>
                <c:pt idx="33">
                  <c:v>-3.0684567403870711</c:v>
                </c:pt>
                <c:pt idx="34">
                  <c:v>-3.0627014449411853</c:v>
                </c:pt>
                <c:pt idx="35">
                  <c:v>-3.0568884642569794</c:v>
                </c:pt>
                <c:pt idx="36">
                  <c:v>-3.0510093071480209</c:v>
                </c:pt>
                <c:pt idx="37">
                  <c:v>-3.0450554047773686</c:v>
                </c:pt>
                <c:pt idx="38">
                  <c:v>-3.0390180383645555</c:v>
                </c:pt>
                <c:pt idx="39">
                  <c:v>-3.0328882686477794</c:v>
                </c:pt>
                <c:pt idx="40">
                  <c:v>-3.0266568655599526</c:v>
                </c:pt>
                <c:pt idx="41">
                  <c:v>-3.0203142367121343</c:v>
                </c:pt>
                <c:pt idx="42">
                  <c:v>-3.0138503533194281</c:v>
                </c:pt>
                <c:pt idx="43">
                  <c:v>-3.007254672154553</c:v>
                </c:pt>
                <c:pt idx="44">
                  <c:v>-3.0005160521258381</c:v>
                </c:pt>
                <c:pt idx="45">
                  <c:v>-2.9936226639021508</c:v>
                </c:pt>
                <c:pt idx="46">
                  <c:v>-2.9865618909035549</c:v>
                </c:pt>
                <c:pt idx="47">
                  <c:v>-2.9793202197213269</c:v>
                </c:pt>
                <c:pt idx="48">
                  <c:v>-2.9718831177932898</c:v>
                </c:pt>
                <c:pt idx="49">
                  <c:v>-2.9642348957590152</c:v>
                </c:pt>
                <c:pt idx="50">
                  <c:v>-2.9563585514907249</c:v>
                </c:pt>
                <c:pt idx="51">
                  <c:v>-2.9482355922269212</c:v>
                </c:pt>
                <c:pt idx="52">
                  <c:v>-2.9398458304911737</c:v>
                </c:pt>
                <c:pt idx="53">
                  <c:v>-2.9311671486093447</c:v>
                </c:pt>
                <c:pt idx="54">
                  <c:v>-2.9221752254642288</c:v>
                </c:pt>
                <c:pt idx="55">
                  <c:v>-2.9128432177097396</c:v>
                </c:pt>
                <c:pt idx="56">
                  <c:v>-2.903141385804096</c:v>
                </c:pt>
                <c:pt idx="57">
                  <c:v>-2.8930366528737816</c:v>
                </c:pt>
                <c:pt idx="58">
                  <c:v>-2.8824920813892074</c:v>
                </c:pt>
                <c:pt idx="59">
                  <c:v>-2.871466248674774</c:v>
                </c:pt>
                <c:pt idx="60">
                  <c:v>-2.8599124971413068</c:v>
                </c:pt>
                <c:pt idx="61">
                  <c:v>-2.8477780283311454</c:v>
                </c:pt>
                <c:pt idx="62">
                  <c:v>-2.8350028008536623</c:v>
                </c:pt>
                <c:pt idx="63">
                  <c:v>-2.821518180207228</c:v>
                </c:pt>
                <c:pt idx="64">
                  <c:v>-2.8072452721361847</c:v>
                </c:pt>
                <c:pt idx="65">
                  <c:v>-2.7920928488487187</c:v>
                </c:pt>
                <c:pt idx="66">
                  <c:v>-2.7759547466071313</c:v>
                </c:pt>
                <c:pt idx="67">
                  <c:v>-2.7587065702119475</c:v>
                </c:pt>
                <c:pt idx="68">
                  <c:v>-2.7402014792374421</c:v>
                </c:pt>
                <c:pt idx="69">
                  <c:v>-2.7202647442573102</c:v>
                </c:pt>
                <c:pt idx="70">
                  <c:v>-2.6986866360894806</c:v>
                </c:pt>
                <c:pt idx="71">
                  <c:v>-2.6752130278280046</c:v>
                </c:pt>
                <c:pt idx="72">
                  <c:v>-2.6495328178064557</c:v>
                </c:pt>
                <c:pt idx="73">
                  <c:v>-2.6212608741173891</c:v>
                </c:pt>
                <c:pt idx="74">
                  <c:v>-2.5899145830536341</c:v>
                </c:pt>
                <c:pt idx="75">
                  <c:v>-2.5548811376449523</c:v>
                </c:pt>
                <c:pt idx="76">
                  <c:v>-2.5153712483447954</c:v>
                </c:pt>
                <c:pt idx="77">
                  <c:v>-2.4703527347228822</c:v>
                </c:pt>
                <c:pt idx="78">
                  <c:v>-2.4184541394108301</c:v>
                </c:pt>
                <c:pt idx="79">
                  <c:v>-2.3578238855882017</c:v>
                </c:pt>
                <c:pt idx="80">
                  <c:v>-2.2859252699704693</c:v>
                </c:pt>
                <c:pt idx="81">
                  <c:v>-2.1992461299821553</c:v>
                </c:pt>
                <c:pt idx="82">
                  <c:v>-2.092921375863289</c:v>
                </c:pt>
                <c:pt idx="83">
                  <c:v>-1.9698439215371899</c:v>
                </c:pt>
                <c:pt idx="84">
                  <c:v>-1.8486904155723878</c:v>
                </c:pt>
                <c:pt idx="85">
                  <c:v>-1.7288233357034823</c:v>
                </c:pt>
                <c:pt idx="86">
                  <c:v>-1.6100690839799017</c:v>
                </c:pt>
                <c:pt idx="87">
                  <c:v>-1.4951016330709261</c:v>
                </c:pt>
                <c:pt idx="88">
                  <c:v>-1.3860911319489528</c:v>
                </c:pt>
                <c:pt idx="89">
                  <c:v>-1.2845064321581834</c:v>
                </c:pt>
                <c:pt idx="90">
                  <c:v>-1.1917154286449834</c:v>
                </c:pt>
                <c:pt idx="91">
                  <c:v>-1.1205708445657321</c:v>
                </c:pt>
                <c:pt idx="92">
                  <c:v>-1.0532263257945595</c:v>
                </c:pt>
                <c:pt idx="93">
                  <c:v>-0.98964619319246228</c:v>
                </c:pt>
                <c:pt idx="94">
                  <c:v>-0.92971573374049221</c:v>
                </c:pt>
                <c:pt idx="95">
                  <c:v>-0.87326522816409025</c:v>
                </c:pt>
                <c:pt idx="96">
                  <c:v>-0.82009027883568875</c:v>
                </c:pt>
                <c:pt idx="97">
                  <c:v>-0.76996792494646193</c:v>
                </c:pt>
                <c:pt idx="98">
                  <c:v>-0.72273204990487028</c:v>
                </c:pt>
                <c:pt idx="99">
                  <c:v>-0.68264983936286316</c:v>
                </c:pt>
                <c:pt idx="100">
                  <c:v>-0.65018883838398589</c:v>
                </c:pt>
                <c:pt idx="101">
                  <c:v>-0.62315643147246846</c:v>
                </c:pt>
                <c:pt idx="102">
                  <c:v>-0.60013364738175556</c:v>
                </c:pt>
                <c:pt idx="103">
                  <c:v>-0.5801612839217597</c:v>
                </c:pt>
                <c:pt idx="104">
                  <c:v>-0.56256701886870764</c:v>
                </c:pt>
                <c:pt idx="105">
                  <c:v>-0.54686501330077553</c:v>
                </c:pt>
                <c:pt idx="106">
                  <c:v>-0.53269493542096069</c:v>
                </c:pt>
                <c:pt idx="107">
                  <c:v>-0.51978347552341886</c:v>
                </c:pt>
                <c:pt idx="108">
                  <c:v>-0.50791923630782254</c:v>
                </c:pt>
                <c:pt idx="109">
                  <c:v>-0.49693586923792232</c:v>
                </c:pt>
                <c:pt idx="110">
                  <c:v>-0.48670045756224273</c:v>
                </c:pt>
                <c:pt idx="111">
                  <c:v>-0.47710533176651654</c:v>
                </c:pt>
                <c:pt idx="112">
                  <c:v>-0.46806218664277954</c:v>
                </c:pt>
                <c:pt idx="113">
                  <c:v>-0.45949777613061821</c:v>
                </c:pt>
                <c:pt idx="114">
                  <c:v>-0.45135071127763859</c:v>
                </c:pt>
                <c:pt idx="115">
                  <c:v>-0.4435690433890615</c:v>
                </c:pt>
                <c:pt idx="116">
                  <c:v>-0.43610841513166604</c:v>
                </c:pt>
                <c:pt idx="117">
                  <c:v>-0.42893062853828395</c:v>
                </c:pt>
                <c:pt idx="118">
                  <c:v>-0.42200252316532016</c:v>
                </c:pt>
                <c:pt idx="119">
                  <c:v>-0.41529508780448127</c:v>
                </c:pt>
                <c:pt idx="120">
                  <c:v>-0.40878275004696685</c:v>
                </c:pt>
                <c:pt idx="121">
                  <c:v>-0.40244280266569121</c:v>
                </c:pt>
                <c:pt idx="122">
                  <c:v>-0.3962549362216678</c:v>
                </c:pt>
                <c:pt idx="123">
                  <c:v>-0.39020085483459971</c:v>
                </c:pt>
                <c:pt idx="124">
                  <c:v>-0.38426395754861642</c:v>
                </c:pt>
                <c:pt idx="125">
                  <c:v>-0.37842907177034241</c:v>
                </c:pt>
                <c:pt idx="126">
                  <c:v>-0.3726822282696105</c:v>
                </c:pt>
                <c:pt idx="127">
                  <c:v>-0.36701046949686472</c:v>
                </c:pt>
                <c:pt idx="128">
                  <c:v>-0.36140168467971101</c:v>
                </c:pt>
                <c:pt idx="129">
                  <c:v>-0.3558444664606078</c:v>
                </c:pt>
                <c:pt idx="130">
                  <c:v>-0.35032798484832423</c:v>
                </c:pt>
                <c:pt idx="131">
                  <c:v>-0.34484187500397595</c:v>
                </c:pt>
                <c:pt idx="132">
                  <c:v>-0.33937613597610217</c:v>
                </c:pt>
                <c:pt idx="133">
                  <c:v>-0.33392103797084238</c:v>
                </c:pt>
                <c:pt idx="134">
                  <c:v>-0.32846703603798627</c:v>
                </c:pt>
                <c:pt idx="135">
                  <c:v>-0.32300468835826812</c:v>
                </c:pt>
                <c:pt idx="136">
                  <c:v>-0.3175245774687665</c:v>
                </c:pt>
                <c:pt idx="137">
                  <c:v>-0.31201723288555316</c:v>
                </c:pt>
                <c:pt idx="138">
                  <c:v>-0.30647305366682576</c:v>
                </c:pt>
                <c:pt idx="139">
                  <c:v>-0.30088222944035969</c:v>
                </c:pt>
                <c:pt idx="140">
                  <c:v>-0.29523465843918584</c:v>
                </c:pt>
                <c:pt idx="141">
                  <c:v>-0.28951986094280385</c:v>
                </c:pt>
                <c:pt idx="142">
                  <c:v>-0.28372688644760224</c:v>
                </c:pt>
                <c:pt idx="143">
                  <c:v>-0.27784421263160092</c:v>
                </c:pt>
                <c:pt idx="144">
                  <c:v>-0.27185963397940199</c:v>
                </c:pt>
                <c:pt idx="145">
                  <c:v>-0.26576013751201227</c:v>
                </c:pt>
                <c:pt idx="146">
                  <c:v>-0.25953176265287409</c:v>
                </c:pt>
                <c:pt idx="147">
                  <c:v>-0.25315944170427657</c:v>
                </c:pt>
                <c:pt idx="148">
                  <c:v>-0.24662681655291244</c:v>
                </c:pt>
                <c:pt idx="149">
                  <c:v>-0.23991602641304396</c:v>
                </c:pt>
                <c:pt idx="150">
                  <c:v>-0.23300746003876044</c:v>
                </c:pt>
                <c:pt idx="151">
                  <c:v>-0.22587946435174089</c:v>
                </c:pt>
                <c:pt idx="152">
                  <c:v>-0.21872002184680225</c:v>
                </c:pt>
                <c:pt idx="153">
                  <c:v>-0.21175056335293593</c:v>
                </c:pt>
                <c:pt idx="154">
                  <c:v>-0.20495795955782262</c:v>
                </c:pt>
                <c:pt idx="155">
                  <c:v>-0.19832986593110419</c:v>
                </c:pt>
                <c:pt idx="156">
                  <c:v>-0.19185483836304573</c:v>
                </c:pt>
                <c:pt idx="157">
                  <c:v>-0.18552224236304818</c:v>
                </c:pt>
                <c:pt idx="158">
                  <c:v>-0.17932217237880527</c:v>
                </c:pt>
                <c:pt idx="159">
                  <c:v>-0.17324537994876046</c:v>
                </c:pt>
                <c:pt idx="160">
                  <c:v>-0.16728320950527764</c:v>
                </c:pt>
                <c:pt idx="161">
                  <c:v>-0.16142754086555502</c:v>
                </c:pt>
                <c:pt idx="162">
                  <c:v>-0.15567073758008979</c:v>
                </c:pt>
                <c:pt idx="163">
                  <c:v>-0.15000560039722322</c:v>
                </c:pt>
                <c:pt idx="164">
                  <c:v>-0.14442532520677145</c:v>
                </c:pt>
                <c:pt idx="165">
                  <c:v>-0.13892346493462135</c:v>
                </c:pt>
                <c:pt idx="166">
                  <c:v>-0.13349389487998378</c:v>
                </c:pt>
                <c:pt idx="167">
                  <c:v>-0.12813078110735482</c:v>
                </c:pt>
                <c:pt idx="168">
                  <c:v>-0.12282855150407017</c:v>
                </c:pt>
                <c:pt idx="169">
                  <c:v>-0.11758186917366319</c:v>
                </c:pt>
                <c:pt idx="170">
                  <c:v>-0.11238560791467875</c:v>
                </c:pt>
                <c:pt idx="171">
                  <c:v>-0.10723482947099747</c:v>
                </c:pt>
                <c:pt idx="172">
                  <c:v>-0.10212476238956746</c:v>
                </c:pt>
                <c:pt idx="173">
                  <c:v>-9.7050782226913226E-2</c:v>
                </c:pt>
                <c:pt idx="174">
                  <c:v>-9.2008392954768634E-2</c:v>
                </c:pt>
                <c:pt idx="175">
                  <c:v>-8.6993209380560113E-2</c:v>
                </c:pt>
                <c:pt idx="176">
                  <c:v>-8.2000940434818245E-2</c:v>
                </c:pt>
                <c:pt idx="177">
                  <c:v>-7.7027373176753733E-2</c:v>
                </c:pt>
                <c:pt idx="178">
                  <c:v>-7.2068357397720134E-2</c:v>
                </c:pt>
                <c:pt idx="179">
                  <c:v>-6.7119790687062877E-2</c:v>
                </c:pt>
                <c:pt idx="180">
                  <c:v>-6.2177603845787181E-2</c:v>
                </c:pt>
                <c:pt idx="181">
                  <c:v>-5.7237746535890525E-2</c:v>
                </c:pt>
                <c:pt idx="182">
                  <c:v>-5.2296173049227797E-2</c:v>
                </c:pt>
                <c:pt idx="183">
                  <c:v>-4.7348828094130976E-2</c:v>
                </c:pt>
                <c:pt idx="184">
                  <c:v>-4.2391632482001548E-2</c:v>
                </c:pt>
                <c:pt idx="185">
                  <c:v>-3.7420468607389172E-2</c:v>
                </c:pt>
                <c:pt idx="186">
                  <c:v>-3.2431165605378814E-2</c:v>
                </c:pt>
                <c:pt idx="187">
                  <c:v>-2.7419484066411086E-2</c:v>
                </c:pt>
                <c:pt idx="188">
                  <c:v>-2.2381100187586159E-2</c:v>
                </c:pt>
                <c:pt idx="189">
                  <c:v>-1.7311589221897045E-2</c:v>
                </c:pt>
                <c:pt idx="190">
                  <c:v>-1.2206408085067007E-2</c:v>
                </c:pt>
                <c:pt idx="191">
                  <c:v>-7.0608769632442567E-3</c:v>
                </c:pt>
                <c:pt idx="192">
                  <c:v>-1.870159752793884E-3</c:v>
                </c:pt>
                <c:pt idx="193">
                  <c:v>3.3707568585953219E-3</c:v>
                </c:pt>
                <c:pt idx="194">
                  <c:v>8.6670858748147291E-3</c:v>
                </c:pt>
                <c:pt idx="195">
                  <c:v>1.4024264273561628E-2</c:v>
                </c:pt>
                <c:pt idx="196">
                  <c:v>1.9447979348928626E-2</c:v>
                </c:pt>
                <c:pt idx="197">
                  <c:v>2.4944197410272987E-2</c:v>
                </c:pt>
                <c:pt idx="198">
                  <c:v>3.0519195170758365E-2</c:v>
                </c:pt>
                <c:pt idx="199">
                  <c:v>3.6179594210868173E-2</c:v>
                </c:pt>
                <c:pt idx="200">
                  <c:v>4.1932398948299004E-2</c:v>
                </c:pt>
                <c:pt idx="201">
                  <c:v>4.7785038619839876E-2</c:v>
                </c:pt>
                <c:pt idx="202">
                  <c:v>5.3745413847693067E-2</c:v>
                </c:pt>
                <c:pt idx="203">
                  <c:v>5.9821948456518205E-2</c:v>
                </c:pt>
                <c:pt idx="204">
                  <c:v>6.6023647317392076E-2</c:v>
                </c:pt>
                <c:pt idx="205">
                  <c:v>7.2360161113423555E-2</c:v>
                </c:pt>
                <c:pt idx="206">
                  <c:v>7.8841859068143172E-2</c:v>
                </c:pt>
                <c:pt idx="207">
                  <c:v>8.5479910878722476E-2</c:v>
                </c:pt>
                <c:pt idx="208">
                  <c:v>9.2634004921777133E-2</c:v>
                </c:pt>
                <c:pt idx="209">
                  <c:v>0.10069307950640623</c:v>
                </c:pt>
                <c:pt idx="210">
                  <c:v>0.10871921671495564</c:v>
                </c:pt>
                <c:pt idx="211">
                  <c:v>0.11653414632755596</c:v>
                </c:pt>
                <c:pt idx="212">
                  <c:v>0.12415948965090863</c:v>
                </c:pt>
                <c:pt idx="213">
                  <c:v>0.13161492308966169</c:v>
                </c:pt>
                <c:pt idx="214">
                  <c:v>0.13891845489173185</c:v>
                </c:pt>
                <c:pt idx="215">
                  <c:v>0.14608666131761658</c:v>
                </c:pt>
                <c:pt idx="216">
                  <c:v>0.15330148247062073</c:v>
                </c:pt>
                <c:pt idx="217">
                  <c:v>0.16078182115834752</c:v>
                </c:pt>
                <c:pt idx="218">
                  <c:v>0.16817920499587158</c:v>
                </c:pt>
                <c:pt idx="219">
                  <c:v>0.17603746958079983</c:v>
                </c:pt>
                <c:pt idx="220">
                  <c:v>0.18460793889179186</c:v>
                </c:pt>
                <c:pt idx="221">
                  <c:v>0.1931785775144424</c:v>
                </c:pt>
                <c:pt idx="222">
                  <c:v>0.20176391331526811</c:v>
                </c:pt>
                <c:pt idx="223">
                  <c:v>0.21037839223121482</c:v>
                </c:pt>
                <c:pt idx="224">
                  <c:v>0.21903648823903241</c:v>
                </c:pt>
                <c:pt idx="225">
                  <c:v>0.2277528119274129</c:v>
                </c:pt>
                <c:pt idx="226">
                  <c:v>0.23654221951085289</c:v>
                </c:pt>
                <c:pt idx="227">
                  <c:v>0.24541992411554112</c:v>
                </c:pt>
                <c:pt idx="228">
                  <c:v>0.25440161118676569</c:v>
                </c:pt>
                <c:pt idx="229">
                  <c:v>0.26378962527838001</c:v>
                </c:pt>
                <c:pt idx="230">
                  <c:v>0.27389779673684334</c:v>
                </c:pt>
                <c:pt idx="231">
                  <c:v>0.28421922558585377</c:v>
                </c:pt>
                <c:pt idx="232">
                  <c:v>0.2947782917283337</c:v>
                </c:pt>
                <c:pt idx="233">
                  <c:v>0.30560119406488284</c:v>
                </c:pt>
                <c:pt idx="234">
                  <c:v>0.31671622658402876</c:v>
                </c:pt>
                <c:pt idx="235">
                  <c:v>0.32815409179090615</c:v>
                </c:pt>
                <c:pt idx="236">
                  <c:v>0.33994825872369433</c:v>
                </c:pt>
                <c:pt idx="237">
                  <c:v>0.35213537425955782</c:v>
                </c:pt>
                <c:pt idx="238">
                  <c:v>0.36475573813134254</c:v>
                </c:pt>
                <c:pt idx="239">
                  <c:v>0.37785385433017493</c:v>
                </c:pt>
                <c:pt idx="240">
                  <c:v>0.3914790742930821</c:v>
                </c:pt>
                <c:pt idx="241">
                  <c:v>0.40568635072851039</c:v>
                </c:pt>
                <c:pt idx="242">
                  <c:v>0.42053712527274628</c:v>
                </c:pt>
                <c:pt idx="243">
                  <c:v>0.43610037864780682</c:v>
                </c:pt>
                <c:pt idx="244">
                  <c:v>0.45245387892016653</c:v>
                </c:pt>
                <c:pt idx="245">
                  <c:v>0.46968567239106518</c:v>
                </c:pt>
                <c:pt idx="246">
                  <c:v>0.48789587292730252</c:v>
                </c:pt>
                <c:pt idx="247">
                  <c:v>0.50719882034730757</c:v>
                </c:pt>
                <c:pt idx="248">
                  <c:v>0.52772569743704989</c:v>
                </c:pt>
                <c:pt idx="249">
                  <c:v>0.5496277201887938</c:v>
                </c:pt>
                <c:pt idx="250">
                  <c:v>0.57308004876275864</c:v>
                </c:pt>
                <c:pt idx="251">
                  <c:v>0.59828661047792298</c:v>
                </c:pt>
                <c:pt idx="252">
                  <c:v>0.62548608533677341</c:v>
                </c:pt>
                <c:pt idx="253">
                  <c:v>0.65495938547240207</c:v>
                </c:pt>
                <c:pt idx="254">
                  <c:v>0.68703907288961985</c:v>
                </c:pt>
                <c:pt idx="255">
                  <c:v>0.72212132167487963</c:v>
                </c:pt>
                <c:pt idx="256">
                  <c:v>0.76068127012112297</c:v>
                </c:pt>
                <c:pt idx="257">
                  <c:v>0.80329297757662843</c:v>
                </c:pt>
                <c:pt idx="258">
                  <c:v>0.85065580031195565</c:v>
                </c:pt>
                <c:pt idx="259">
                  <c:v>0.90363003206757053</c:v>
                </c:pt>
                <c:pt idx="260">
                  <c:v>0.96328654197641439</c:v>
                </c:pt>
                <c:pt idx="261">
                  <c:v>1.0309788112991702</c:v>
                </c:pt>
                <c:pt idx="262">
                  <c:v>1.1084533143859501</c:v>
                </c:pt>
                <c:pt idx="263">
                  <c:v>1.1980304942036992</c:v>
                </c:pt>
                <c:pt idx="264">
                  <c:v>1.3029253992488874</c:v>
                </c:pt>
                <c:pt idx="265">
                  <c:v>1.4278634541476514</c:v>
                </c:pt>
                <c:pt idx="266">
                  <c:v>1.5803516127212156</c:v>
                </c:pt>
                <c:pt idx="267">
                  <c:v>1.7475666546471857</c:v>
                </c:pt>
                <c:pt idx="268">
                  <c:v>1.9058509493486249</c:v>
                </c:pt>
                <c:pt idx="269">
                  <c:v>2.0500884171593388</c:v>
                </c:pt>
                <c:pt idx="270">
                  <c:v>2.1780120927891446</c:v>
                </c:pt>
                <c:pt idx="271">
                  <c:v>2.3040021463236702</c:v>
                </c:pt>
                <c:pt idx="272">
                  <c:v>2.4098436108380907</c:v>
                </c:pt>
                <c:pt idx="273">
                  <c:v>2.4987810542169018</c:v>
                </c:pt>
                <c:pt idx="274">
                  <c:v>2.5648290265447429</c:v>
                </c:pt>
                <c:pt idx="275">
                  <c:v>2.6047897161500644</c:v>
                </c:pt>
                <c:pt idx="276">
                  <c:v>2.6318083234046825</c:v>
                </c:pt>
                <c:pt idx="277">
                  <c:v>2.6515269786792586</c:v>
                </c:pt>
                <c:pt idx="278">
                  <c:v>2.6666868536214983</c:v>
                </c:pt>
                <c:pt idx="279">
                  <c:v>2.6787904799944471</c:v>
                </c:pt>
                <c:pt idx="280">
                  <c:v>2.6887353565385892</c:v>
                </c:pt>
                <c:pt idx="281">
                  <c:v>2.6970932287341789</c:v>
                </c:pt>
                <c:pt idx="282">
                  <c:v>2.7042470142508259</c:v>
                </c:pt>
                <c:pt idx="283">
                  <c:v>2.7104636399302682</c:v>
                </c:pt>
                <c:pt idx="284">
                  <c:v>2.7121109020402536</c:v>
                </c:pt>
                <c:pt idx="285">
                  <c:v>2.7173088050894094</c:v>
                </c:pt>
                <c:pt idx="286">
                  <c:v>2.7219756549948397</c:v>
                </c:pt>
                <c:pt idx="287">
                  <c:v>2.7262014768086362</c:v>
                </c:pt>
                <c:pt idx="288">
                  <c:v>2.7300569504178145</c:v>
                </c:pt>
                <c:pt idx="289">
                  <c:v>2.7335984242231164</c:v>
                </c:pt>
                <c:pt idx="290">
                  <c:v>2.7368714356863495</c:v>
                </c:pt>
                <c:pt idx="291">
                  <c:v>2.7399132359107821</c:v>
                </c:pt>
                <c:pt idx="292">
                  <c:v>2.7427546341102111</c:v>
                </c:pt>
                <c:pt idx="293">
                  <c:v>2.7454213678662294</c:v>
                </c:pt>
                <c:pt idx="294">
                  <c:v>2.7479351365229858</c:v>
                </c:pt>
                <c:pt idx="295">
                  <c:v>2.7503143912257597</c:v>
                </c:pt>
                <c:pt idx="296">
                  <c:v>2.7525749464699887</c:v>
                </c:pt>
                <c:pt idx="297">
                  <c:v>2.7547304589419266</c:v>
                </c:pt>
                <c:pt idx="298">
                  <c:v>2.7567928064058598</c:v>
                </c:pt>
                <c:pt idx="299">
                  <c:v>2.7587723904978589</c:v>
                </c:pt>
                <c:pt idx="300">
                  <c:v>2.7606783809322319</c:v>
                </c:pt>
                <c:pt idx="301">
                  <c:v>2.7625189142099122</c:v>
                </c:pt>
                <c:pt idx="302">
                  <c:v>2.7643012566644516</c:v>
                </c:pt>
                <c:pt idx="303">
                  <c:v>2.7660319393480068</c:v>
                </c:pt>
                <c:pt idx="304">
                  <c:v>2.7677168705242985</c:v>
                </c:pt>
                <c:pt idx="305">
                  <c:v>2.7693614302499596</c:v>
                </c:pt>
                <c:pt idx="306">
                  <c:v>2.770970550553058</c:v>
                </c:pt>
                <c:pt idx="307">
                  <c:v>2.7725487839917959</c:v>
                </c:pt>
                <c:pt idx="308">
                  <c:v>2.7741003628089969</c:v>
                </c:pt>
                <c:pt idx="309">
                  <c:v>2.7756292504771207</c:v>
                </c:pt>
                <c:pt idx="310">
                  <c:v>2.7771391870891384</c:v>
                </c:pt>
                <c:pt idx="311">
                  <c:v>2.7786337298052133</c:v>
                </c:pt>
                <c:pt idx="312">
                  <c:v>2.7801162893571179</c:v>
                </c:pt>
                <c:pt idx="313">
                  <c:v>2.7815901634705482</c:v>
                </c:pt>
                <c:pt idx="314">
                  <c:v>2.783058567942855</c:v>
                </c:pt>
                <c:pt idx="315">
                  <c:v>2.7845246660329779</c:v>
                </c:pt>
                <c:pt idx="316">
                  <c:v>2.7859915967573139</c:v>
                </c:pt>
                <c:pt idx="317">
                  <c:v>2.7874625026466697</c:v>
                </c:pt>
                <c:pt idx="318">
                  <c:v>2.7889405574995298</c:v>
                </c:pt>
                <c:pt idx="319">
                  <c:v>2.7904289946648162</c:v>
                </c:pt>
                <c:pt idx="320">
                  <c:v>2.791931136402388</c:v>
                </c:pt>
                <c:pt idx="321">
                  <c:v>2.7934504249065779</c:v>
                </c:pt>
                <c:pt idx="322">
                  <c:v>2.7949904556300682</c:v>
                </c:pt>
                <c:pt idx="323">
                  <c:v>2.7965550136260733</c:v>
                </c:pt>
                <c:pt idx="324">
                  <c:v>2.7981481137332942</c:v>
                </c:pt>
                <c:pt idx="325">
                  <c:v>2.7997740455657443</c:v>
                </c:pt>
                <c:pt idx="326">
                  <c:v>2.801437424449559</c:v>
                </c:pt>
                <c:pt idx="327">
                  <c:v>2.8031432496876634</c:v>
                </c:pt>
                <c:pt idx="328">
                  <c:v>2.8048969718325618</c:v>
                </c:pt>
                <c:pt idx="329">
                  <c:v>2.8067045710220704</c:v>
                </c:pt>
                <c:pt idx="330">
                  <c:v>2.808572648959816</c:v>
                </c:pt>
                <c:pt idx="331">
                  <c:v>2.810508537752292</c:v>
                </c:pt>
                <c:pt idx="332">
                  <c:v>2.8125204296781714</c:v>
                </c:pt>
                <c:pt idx="333">
                  <c:v>2.8146175330894918</c:v>
                </c:pt>
                <c:pt idx="334">
                  <c:v>2.8168102611521344</c:v>
                </c:pt>
                <c:pt idx="335">
                  <c:v>2.8191104621376537</c:v>
                </c:pt>
                <c:pt idx="336">
                  <c:v>2.8215317027031475</c:v>
                </c:pt>
                <c:pt idx="337">
                  <c:v>2.8240896193539693</c:v>
                </c:pt>
                <c:pt idx="338">
                  <c:v>2.8268023584747395</c:v>
                </c:pt>
                <c:pt idx="339">
                  <c:v>2.8296911326082901</c:v>
                </c:pt>
                <c:pt idx="340">
                  <c:v>2.8327809310714089</c:v>
                </c:pt>
                <c:pt idx="341">
                  <c:v>2.8361014380728533</c:v>
                </c:pt>
                <c:pt idx="342">
                  <c:v>2.8396882336846279</c:v>
                </c:pt>
                <c:pt idx="343">
                  <c:v>2.8435843862371049</c:v>
                </c:pt>
                <c:pt idx="344">
                  <c:v>2.8420998265100108</c:v>
                </c:pt>
                <c:pt idx="345">
                  <c:v>2.846396122874693</c:v>
                </c:pt>
                <c:pt idx="346">
                  <c:v>2.851158874006384</c:v>
                </c:pt>
                <c:pt idx="347">
                  <c:v>2.8564839131140349</c:v>
                </c:pt>
                <c:pt idx="348">
                  <c:v>2.862495534773374</c:v>
                </c:pt>
                <c:pt idx="349">
                  <c:v>2.8693582057618423</c:v>
                </c:pt>
                <c:pt idx="350">
                  <c:v>2.8772946937555575</c:v>
                </c:pt>
                <c:pt idx="351">
                  <c:v>2.88660448454957</c:v>
                </c:pt>
                <c:pt idx="352">
                  <c:v>2.8965150929162018</c:v>
                </c:pt>
                <c:pt idx="353">
                  <c:v>2.9063602235660762</c:v>
                </c:pt>
                <c:pt idx="354">
                  <c:v>2.9161488969558467</c:v>
                </c:pt>
                <c:pt idx="355">
                  <c:v>2.925889943677618</c:v>
                </c:pt>
                <c:pt idx="356">
                  <c:v>2.9355920371906863</c:v>
                </c:pt>
                <c:pt idx="357">
                  <c:v>2.9452637255123553</c:v>
                </c:pt>
                <c:pt idx="358">
                  <c:v>2.9549134620661306</c:v>
                </c:pt>
                <c:pt idx="359">
                  <c:v>2.9645496359422854</c:v>
                </c:pt>
                <c:pt idx="360">
                  <c:v>2.97418060174118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-0.36380998601585968</c:v>
                </c:pt>
                <c:pt idx="1">
                  <c:v>-0.38468208794994552</c:v>
                </c:pt>
                <c:pt idx="2">
                  <c:v>-0.40424778120297122</c:v>
                </c:pt>
                <c:pt idx="3">
                  <c:v>-0.42271308256648576</c:v>
                </c:pt>
                <c:pt idx="4">
                  <c:v>-0.44024586900123541</c:v>
                </c:pt>
                <c:pt idx="5">
                  <c:v>-0.45698442020508906</c:v>
                </c:pt>
                <c:pt idx="6">
                  <c:v>-0.47304379419319154</c:v>
                </c:pt>
                <c:pt idx="7">
                  <c:v>-0.48852064460565603</c:v>
                </c:pt>
                <c:pt idx="8">
                  <c:v>-0.50349690437414218</c:v>
                </c:pt>
                <c:pt idx="9">
                  <c:v>-0.51804263146278973</c:v>
                </c:pt>
                <c:pt idx="10">
                  <c:v>-0.53221823307507665</c:v>
                </c:pt>
                <c:pt idx="11">
                  <c:v>-0.54590654001244743</c:v>
                </c:pt>
                <c:pt idx="12">
                  <c:v>-0.55792948462565739</c:v>
                </c:pt>
                <c:pt idx="13">
                  <c:v>-0.56844671711610295</c:v>
                </c:pt>
                <c:pt idx="14">
                  <c:v>-0.57781268562105526</c:v>
                </c:pt>
                <c:pt idx="15">
                  <c:v>-0.58627954610777477</c:v>
                </c:pt>
                <c:pt idx="16">
                  <c:v>-0.59403211957031732</c:v>
                </c:pt>
                <c:pt idx="17">
                  <c:v>-0.60120936308025219</c:v>
                </c:pt>
                <c:pt idx="18">
                  <c:v>-0.60791807816904186</c:v>
                </c:pt>
                <c:pt idx="19">
                  <c:v>-0.61424195685707439</c:v>
                </c:pt>
                <c:pt idx="20">
                  <c:v>-0.62024772445674259</c:v>
                </c:pt>
                <c:pt idx="21">
                  <c:v>-0.62598941702275823</c:v>
                </c:pt>
                <c:pt idx="22">
                  <c:v>-0.63151142668606419</c:v>
                </c:pt>
                <c:pt idx="23">
                  <c:v>-0.63685071269032401</c:v>
                </c:pt>
                <c:pt idx="24">
                  <c:v>-0.64203843566006125</c:v>
                </c:pt>
                <c:pt idx="25">
                  <c:v>-0.64710118512308057</c:v>
                </c:pt>
                <c:pt idx="26">
                  <c:v>-0.65206191566536487</c:v>
                </c:pt>
                <c:pt idx="27">
                  <c:v>-0.65694067036207993</c:v>
                </c:pt>
                <c:pt idx="28">
                  <c:v>-0.66175514728226181</c:v>
                </c:pt>
                <c:pt idx="29">
                  <c:v>-0.66652114880916624</c:v>
                </c:pt>
                <c:pt idx="30">
                  <c:v>-0.6712529419472355</c:v>
                </c:pt>
                <c:pt idx="31">
                  <c:v>-0.67596355123980845</c:v>
                </c:pt>
                <c:pt idx="32">
                  <c:v>-0.68066499926278157</c:v>
                </c:pt>
                <c:pt idx="33">
                  <c:v>-0.68536850691240403</c:v>
                </c:pt>
                <c:pt idx="34">
                  <c:v>-0.69008466201134455</c:v>
                </c:pt>
                <c:pt idx="35">
                  <c:v>-0.69482356380757149</c:v>
                </c:pt>
                <c:pt idx="36">
                  <c:v>-0.69959494781380149</c:v>
                </c:pt>
                <c:pt idx="37">
                  <c:v>-0.70440829614876699</c:v>
                </c:pt>
                <c:pt idx="38">
                  <c:v>-0.70927293602208752</c:v>
                </c:pt>
                <c:pt idx="39">
                  <c:v>-0.71419813001098076</c:v>
                </c:pt>
                <c:pt idx="40">
                  <c:v>-0.71919315962181263</c:v>
                </c:pt>
                <c:pt idx="41">
                  <c:v>-0.72426740446266868</c:v>
                </c:pt>
                <c:pt idx="42">
                  <c:v>-0.72943041910875062</c:v>
                </c:pt>
                <c:pt idx="43">
                  <c:v>-0.73469200817702396</c:v>
                </c:pt>
                <c:pt idx="44">
                  <c:v>-0.74006230226446434</c:v>
                </c:pt>
                <c:pt idx="45">
                  <c:v>-0.74555183502310207</c:v>
                </c:pt>
                <c:pt idx="46">
                  <c:v>-0.75117162340418409</c:v>
                </c:pt>
                <c:pt idx="47">
                  <c:v>-0.75693325168562242</c:v>
                </c:pt>
                <c:pt idx="48">
                  <c:v>-0.7628489614773275</c:v>
                </c:pt>
                <c:pt idx="49">
                  <c:v>-0.76893174845481127</c:v>
                </c:pt>
                <c:pt idx="50">
                  <c:v>-0.77519546759294311</c:v>
                </c:pt>
                <c:pt idx="51">
                  <c:v>-0.78165494903243937</c:v>
                </c:pt>
                <c:pt idx="52">
                  <c:v>-0.78832612584387352</c:v>
                </c:pt>
                <c:pt idx="53">
                  <c:v>-0.79522617670235518</c:v>
                </c:pt>
                <c:pt idx="54">
                  <c:v>-0.80237368539044651</c:v>
                </c:pt>
                <c:pt idx="55">
                  <c:v>-0.80978882077601078</c:v>
                </c:pt>
                <c:pt idx="56">
                  <c:v>-0.81749354042260036</c:v>
                </c:pt>
                <c:pt idx="57">
                  <c:v>-0.82551182199171602</c:v>
                </c:pt>
                <c:pt idx="58">
                  <c:v>-0.83386992789375536</c:v>
                </c:pt>
                <c:pt idx="59">
                  <c:v>-0.84259670853454494</c:v>
                </c:pt>
                <c:pt idx="60">
                  <c:v>-0.85172395178934091</c:v>
                </c:pt>
                <c:pt idx="61">
                  <c:v>-0.86128678715936358</c:v>
                </c:pt>
                <c:pt idx="62">
                  <c:v>-0.87132415506724437</c:v>
                </c:pt>
                <c:pt idx="63">
                  <c:v>-0.88187935437140108</c:v>
                </c:pt>
                <c:pt idx="64">
                  <c:v>-0.89300068349200812</c:v>
                </c:pt>
                <c:pt idx="65">
                  <c:v>-0.90474219503431252</c:v>
                </c:pt>
                <c:pt idx="66">
                  <c:v>-0.91716458762271191</c:v>
                </c:pt>
                <c:pt idx="67">
                  <c:v>-0.93033626573096961</c:v>
                </c:pt>
                <c:pt idx="68">
                  <c:v>-0.94433460545021486</c:v>
                </c:pt>
                <c:pt idx="69">
                  <c:v>-0.95924747473597516</c:v>
                </c:pt>
                <c:pt idx="70">
                  <c:v>-0.97517507052102514</c:v>
                </c:pt>
                <c:pt idx="71">
                  <c:v>-0.99223215329487391</c:v>
                </c:pt>
                <c:pt idx="72">
                  <c:v>-1.0105507847514661</c:v>
                </c:pt>
                <c:pt idx="73">
                  <c:v>-1.030283708331889</c:v>
                </c:pt>
                <c:pt idx="74">
                  <c:v>-1.0516085609271877</c:v>
                </c:pt>
                <c:pt idx="75">
                  <c:v>-1.0747331722925975</c:v>
                </c:pt>
                <c:pt idx="76">
                  <c:v>-1.0999023098646343</c:v>
                </c:pt>
                <c:pt idx="77">
                  <c:v>-1.1274063770198359</c:v>
                </c:pt>
                <c:pt idx="78">
                  <c:v>-1.15759280596534</c:v>
                </c:pt>
                <c:pt idx="79">
                  <c:v>-1.1908812591148363</c:v>
                </c:pt>
                <c:pt idx="80">
                  <c:v>-1.2277843731879154</c:v>
                </c:pt>
                <c:pt idx="81">
                  <c:v>-1.2689368613302996</c:v>
                </c:pt>
                <c:pt idx="82">
                  <c:v>-1.3151377771360275</c:v>
                </c:pt>
                <c:pt idx="83">
                  <c:v>-1.3663367105159456</c:v>
                </c:pt>
                <c:pt idx="84">
                  <c:v>-1.4149583587995807</c:v>
                </c:pt>
                <c:pt idx="85">
                  <c:v>-1.4588490334775628</c:v>
                </c:pt>
                <c:pt idx="86">
                  <c:v>-1.4990696138395085</c:v>
                </c:pt>
                <c:pt idx="87">
                  <c:v>-1.5360722652993388</c:v>
                </c:pt>
                <c:pt idx="88">
                  <c:v>-1.5702482121919221</c:v>
                </c:pt>
                <c:pt idx="89">
                  <c:v>-1.6019346116932154</c:v>
                </c:pt>
                <c:pt idx="90">
                  <c:v>-1.6313572106917211</c:v>
                </c:pt>
                <c:pt idx="91">
                  <c:v>-1.6575811742232094</c:v>
                </c:pt>
                <c:pt idx="92">
                  <c:v>-1.6828234822762054</c:v>
                </c:pt>
                <c:pt idx="93">
                  <c:v>-1.7071809824519433</c:v>
                </c:pt>
                <c:pt idx="94">
                  <c:v>-1.730740618534784</c:v>
                </c:pt>
                <c:pt idx="95">
                  <c:v>-1.7535806396259854</c:v>
                </c:pt>
                <c:pt idx="96">
                  <c:v>-1.7757716606020408</c:v>
                </c:pt>
                <c:pt idx="97">
                  <c:v>-1.7973775902055298</c:v>
                </c:pt>
                <c:pt idx="98">
                  <c:v>-1.8184277485861662</c:v>
                </c:pt>
                <c:pt idx="99">
                  <c:v>-1.8368732991206986</c:v>
                </c:pt>
                <c:pt idx="100">
                  <c:v>-1.8522484524186844</c:v>
                </c:pt>
                <c:pt idx="101">
                  <c:v>-1.8653770226872217</c:v>
                </c:pt>
                <c:pt idx="102">
                  <c:v>-1.8768060773831776</c:v>
                </c:pt>
                <c:pt idx="103">
                  <c:v>-1.886914433249409</c:v>
                </c:pt>
                <c:pt idx="104">
                  <c:v>-1.8959735646820295</c:v>
                </c:pt>
                <c:pt idx="105">
                  <c:v>-1.9041836845265412</c:v>
                </c:pt>
                <c:pt idx="106">
                  <c:v>-1.911696092598637</c:v>
                </c:pt>
                <c:pt idx="107">
                  <c:v>-1.9186275494885223</c:v>
                </c:pt>
                <c:pt idx="108">
                  <c:v>-1.925069823884954</c:v>
                </c:pt>
                <c:pt idx="109">
                  <c:v>-1.9310962133318321</c:v>
                </c:pt>
                <c:pt idx="110">
                  <c:v>-1.9367661077703038</c:v>
                </c:pt>
                <c:pt idx="111">
                  <c:v>-1.9421282527517132</c:v>
                </c:pt>
                <c:pt idx="112">
                  <c:v>-1.947223127924623</c:v>
                </c:pt>
                <c:pt idx="113">
                  <c:v>-1.9520847106234815</c:v>
                </c:pt>
                <c:pt idx="114">
                  <c:v>-1.9567418039496383</c:v>
                </c:pt>
                <c:pt idx="115">
                  <c:v>-1.9612190510366099</c:v>
                </c:pt>
                <c:pt idx="116">
                  <c:v>-1.9655377197000601</c:v>
                </c:pt>
                <c:pt idx="117">
                  <c:v>-1.9697163167087712</c:v>
                </c:pt>
                <c:pt idx="118">
                  <c:v>-1.9737710739971195</c:v>
                </c:pt>
                <c:pt idx="119">
                  <c:v>-1.9777163375260896</c:v>
                </c:pt>
                <c:pt idx="120">
                  <c:v>-1.9815648813471711</c:v>
                </c:pt>
                <c:pt idx="121">
                  <c:v>-1.985328163643113</c:v>
                </c:pt>
                <c:pt idx="122">
                  <c:v>-1.9890165373847386</c:v>
                </c:pt>
                <c:pt idx="123">
                  <c:v>-1.9926394252049044</c:v>
                </c:pt>
                <c:pt idx="124">
                  <c:v>-1.9962054658832122</c:v>
                </c:pt>
                <c:pt idx="125">
                  <c:v>-1.9997226381783475</c:v>
                </c:pt>
                <c:pt idx="126">
                  <c:v>-2.0031983665114019</c:v>
                </c:pt>
                <c:pt idx="127">
                  <c:v>-2.0066396120673504</c:v>
                </c:pt>
                <c:pt idx="128">
                  <c:v>-2.01005295217188</c:v>
                </c:pt>
                <c:pt idx="129">
                  <c:v>-2.0134446502596566</c:v>
                </c:pt>
                <c:pt idx="130">
                  <c:v>-2.0168207183267715</c:v>
                </c:pt>
                <c:pt idx="131">
                  <c:v>-2.0201869734481663</c:v>
                </c:pt>
                <c:pt idx="132">
                  <c:v>-2.0235490896947277</c:v>
                </c:pt>
                <c:pt idx="133">
                  <c:v>-2.0269126465868998</c:v>
                </c:pt>
                <c:pt idx="134">
                  <c:v>-2.0302831751102275</c:v>
                </c:pt>
                <c:pt idx="135">
                  <c:v>-2.0336662021920544</c:v>
                </c:pt>
                <c:pt idx="136">
                  <c:v>-2.0370672944902992</c:v>
                </c:pt>
                <c:pt idx="137">
                  <c:v>-2.0404921023097122</c:v>
                </c:pt>
                <c:pt idx="138">
                  <c:v>-2.0439464044418001</c:v>
                </c:pt>
                <c:pt idx="139">
                  <c:v>-2.0474361547654523</c:v>
                </c:pt>
                <c:pt idx="140">
                  <c:v>-2.0509675314574105</c:v>
                </c:pt>
                <c:pt idx="141">
                  <c:v>-2.0545469897773394</c:v>
                </c:pt>
                <c:pt idx="142">
                  <c:v>-2.0581813194591398</c:v>
                </c:pt>
                <c:pt idx="143">
                  <c:v>-2.061877707925913</c:v>
                </c:pt>
                <c:pt idx="144">
                  <c:v>-2.0656438106915331</c:v>
                </c:pt>
                <c:pt idx="145">
                  <c:v>-2.0694878306045439</c:v>
                </c:pt>
                <c:pt idx="146">
                  <c:v>-2.073418607877775</c:v>
                </c:pt>
                <c:pt idx="147">
                  <c:v>-2.0774457232299501</c:v>
                </c:pt>
                <c:pt idx="148">
                  <c:v>-2.081579617054496</c:v>
                </c:pt>
                <c:pt idx="149">
                  <c:v>-2.0858317280859411</c:v>
                </c:pt>
                <c:pt idx="150">
                  <c:v>-2.0902146559828738</c:v>
                </c:pt>
                <c:pt idx="151">
                  <c:v>-2.0947423532686402</c:v>
                </c:pt>
                <c:pt idx="152">
                  <c:v>-2.0992954071044005</c:v>
                </c:pt>
                <c:pt idx="153">
                  <c:v>-2.1037324206682939</c:v>
                </c:pt>
                <c:pt idx="154">
                  <c:v>-2.1080609604452603</c:v>
                </c:pt>
                <c:pt idx="155">
                  <c:v>-2.1122881811831453</c:v>
                </c:pt>
                <c:pt idx="156">
                  <c:v>-2.1164207408572979</c:v>
                </c:pt>
                <c:pt idx="157">
                  <c:v>-2.1204648484075719</c:v>
                </c:pt>
                <c:pt idx="158">
                  <c:v>-2.1244263063741529</c:v>
                </c:pt>
                <c:pt idx="159">
                  <c:v>-2.1283105490459775</c:v>
                </c:pt>
                <c:pt idx="160">
                  <c:v>-2.1321226767130161</c:v>
                </c:pt>
                <c:pt idx="161">
                  <c:v>-2.1358674864916782</c:v>
                </c:pt>
                <c:pt idx="162">
                  <c:v>-2.1395495001285143</c:v>
                </c:pt>
                <c:pt idx="163">
                  <c:v>-2.1431729891538924</c:v>
                </c:pt>
                <c:pt idx="164">
                  <c:v>-2.1467419977054676</c:v>
                </c:pt>
                <c:pt idx="165">
                  <c:v>-2.1502603632775781</c:v>
                </c:pt>
                <c:pt idx="166">
                  <c:v>-2.1537317356635084</c:v>
                </c:pt>
                <c:pt idx="167">
                  <c:v>-2.1571595942737973</c:v>
                </c:pt>
                <c:pt idx="168">
                  <c:v>-2.160547264035801</c:v>
                </c:pt>
                <c:pt idx="169">
                  <c:v>-2.1638979300457821</c:v>
                </c:pt>
                <c:pt idx="170">
                  <c:v>-2.1672146510828756</c:v>
                </c:pt>
                <c:pt idx="171">
                  <c:v>-2.1705003721746277</c:v>
                </c:pt>
                <c:pt idx="172">
                  <c:v>-2.1737579362656785</c:v>
                </c:pt>
                <c:pt idx="173">
                  <c:v>-2.1769900951506278</c:v>
                </c:pt>
                <c:pt idx="174">
                  <c:v>-2.1801995197290922</c:v>
                </c:pt>
                <c:pt idx="175">
                  <c:v>-2.1833888096864893</c:v>
                </c:pt>
                <c:pt idx="176">
                  <c:v>-2.1865605026728772</c:v>
                </c:pt>
                <c:pt idx="177">
                  <c:v>-2.1897170830611472</c:v>
                </c:pt>
                <c:pt idx="178">
                  <c:v>-2.1928609903368255</c:v>
                </c:pt>
                <c:pt idx="179">
                  <c:v>-2.19599462719626</c:v>
                </c:pt>
                <c:pt idx="180">
                  <c:v>-2.1991203674084652</c:v>
                </c:pt>
                <c:pt idx="181">
                  <c:v>-2.2022405634946578</c:v>
                </c:pt>
                <c:pt idx="182">
                  <c:v>-2.2053575542884665</c:v>
                </c:pt>
                <c:pt idx="183">
                  <c:v>-2.2084736724177563</c:v>
                </c:pt>
                <c:pt idx="184">
                  <c:v>-2.2115912517740144</c:v>
                </c:pt>
                <c:pt idx="185">
                  <c:v>-2.2147126350146236</c:v>
                </c:pt>
                <c:pt idx="186">
                  <c:v>-2.2178401811548616</c:v>
                </c:pt>
                <c:pt idx="187">
                  <c:v>-2.2209762733082226</c:v>
                </c:pt>
                <c:pt idx="188">
                  <c:v>-2.2241233266214975</c:v>
                </c:pt>
                <c:pt idx="189">
                  <c:v>-2.2272837964775034</c:v>
                </c:pt>
                <c:pt idx="190">
                  <c:v>-2.2304601870223411</c:v>
                </c:pt>
                <c:pt idx="191">
                  <c:v>-2.2336550600905682</c:v>
                </c:pt>
                <c:pt idx="192">
                  <c:v>-2.2368710445910605</c:v>
                </c:pt>
                <c:pt idx="193">
                  <c:v>-2.2401108464589745</c:v>
                </c:pt>
                <c:pt idx="194">
                  <c:v>-2.2433772592267038</c:v>
                </c:pt>
                <c:pt idx="195">
                  <c:v>-2.2466731753536733</c:v>
                </c:pt>
                <c:pt idx="196">
                  <c:v>-2.250001598388268</c:v>
                </c:pt>
                <c:pt idx="197">
                  <c:v>-2.253365656107793</c:v>
                </c:pt>
                <c:pt idx="198">
                  <c:v>-2.2567686147700381</c:v>
                </c:pt>
                <c:pt idx="199">
                  <c:v>-2.260213894623937</c:v>
                </c:pt>
                <c:pt idx="200">
                  <c:v>-2.263705086871552</c:v>
                </c:pt>
                <c:pt idx="201">
                  <c:v>-2.26724597227143</c:v>
                </c:pt>
                <c:pt idx="202">
                  <c:v>-2.2708405416246844</c:v>
                </c:pt>
                <c:pt idx="203">
                  <c:v>-2.2744930184079251</c:v>
                </c:pt>
                <c:pt idx="204">
                  <c:v>-2.2782078838573758</c:v>
                </c:pt>
                <c:pt idx="205">
                  <c:v>-2.2819899048655961</c:v>
                </c:pt>
                <c:pt idx="206">
                  <c:v>-2.2858441651081081</c:v>
                </c:pt>
                <c:pt idx="207">
                  <c:v>-2.2897760998715135</c:v>
                </c:pt>
                <c:pt idx="208">
                  <c:v>-2.2939099971550663</c:v>
                </c:pt>
                <c:pt idx="209">
                  <c:v>-2.2983802445914687</c:v>
                </c:pt>
                <c:pt idx="210">
                  <c:v>-2.3027998235246394</c:v>
                </c:pt>
                <c:pt idx="211">
                  <c:v>-2.307065617952039</c:v>
                </c:pt>
                <c:pt idx="212">
                  <c:v>-2.3111910626870822</c:v>
                </c:pt>
                <c:pt idx="213">
                  <c:v>-2.3151882567771311</c:v>
                </c:pt>
                <c:pt idx="214">
                  <c:v>-2.3190681435001497</c:v>
                </c:pt>
                <c:pt idx="215">
                  <c:v>-2.3228406627933067</c:v>
                </c:pt>
                <c:pt idx="216">
                  <c:v>-2.3265340700855086</c:v>
                </c:pt>
                <c:pt idx="217">
                  <c:v>-2.3301747575148291</c:v>
                </c:pt>
                <c:pt idx="218">
                  <c:v>-2.3337258914111554</c:v>
                </c:pt>
                <c:pt idx="219">
                  <c:v>-2.3373359409873942</c:v>
                </c:pt>
                <c:pt idx="220">
                  <c:v>-2.3410650860382662</c:v>
                </c:pt>
                <c:pt idx="221">
                  <c:v>-2.3447222558855616</c:v>
                </c:pt>
                <c:pt idx="222">
                  <c:v>-2.3483135208995018</c:v>
                </c:pt>
                <c:pt idx="223">
                  <c:v>-2.3518445679671425</c:v>
                </c:pt>
                <c:pt idx="224">
                  <c:v>-2.3553207471898139</c:v>
                </c:pt>
                <c:pt idx="225">
                  <c:v>-2.358747113808628</c:v>
                </c:pt>
                <c:pt idx="226">
                  <c:v>-2.3621284661220483</c:v>
                </c:pt>
                <c:pt idx="227">
                  <c:v>-2.365469380107422</c:v>
                </c:pt>
                <c:pt idx="228">
                  <c:v>-2.3687742413125275</c:v>
                </c:pt>
                <c:pt idx="229">
                  <c:v>-2.3720516501751163</c:v>
                </c:pt>
                <c:pt idx="230">
                  <c:v>-2.3753048493225299</c:v>
                </c:pt>
                <c:pt idx="231">
                  <c:v>-2.3785269710810399</c:v>
                </c:pt>
                <c:pt idx="232">
                  <c:v>-2.3817217235185435</c:v>
                </c:pt>
                <c:pt idx="233">
                  <c:v>-2.3848927267951332</c:v>
                </c:pt>
                <c:pt idx="234">
                  <c:v>-2.388043536460565</c:v>
                </c:pt>
                <c:pt idx="235">
                  <c:v>-2.3911776668361342</c:v>
                </c:pt>
                <c:pt idx="236">
                  <c:v>-2.3942986149262291</c:v>
                </c:pt>
                <c:pt idx="237">
                  <c:v>-2.3974098853969377</c:v>
                </c:pt>
                <c:pt idx="238">
                  <c:v>-2.4005150171307035</c:v>
                </c:pt>
                <c:pt idx="239">
                  <c:v>-2.403617612056439</c:v>
                </c:pt>
                <c:pt idx="240">
                  <c:v>-2.4067213670343715</c:v>
                </c:pt>
                <c:pt idx="241">
                  <c:v>-2.4098301097669315</c:v>
                </c:pt>
                <c:pt idx="242">
                  <c:v>-2.4129478399552164</c:v>
                </c:pt>
                <c:pt idx="243">
                  <c:v>-2.4160787772448771</c:v>
                </c:pt>
                <c:pt idx="244">
                  <c:v>-2.4192274179057582</c:v>
                </c:pt>
                <c:pt idx="245">
                  <c:v>-2.4223986028905427</c:v>
                </c:pt>
                <c:pt idx="246">
                  <c:v>-2.4255976005769337</c:v>
                </c:pt>
                <c:pt idx="247">
                  <c:v>-2.4288302088479568</c:v>
                </c:pt>
                <c:pt idx="248">
                  <c:v>-2.4321028825993087</c:v>
                </c:pt>
                <c:pt idx="249">
                  <c:v>-2.4354228951824406</c:v>
                </c:pt>
                <c:pt idx="250">
                  <c:v>-2.4387985456225429</c:v>
                </c:pt>
                <c:pt idx="251">
                  <c:v>-2.4422394283016011</c:v>
                </c:pt>
                <c:pt idx="252">
                  <c:v>-2.4457567892957264</c:v>
                </c:pt>
                <c:pt idx="253">
                  <c:v>-2.4493640047592447</c:v>
                </c:pt>
                <c:pt idx="254">
                  <c:v>-2.4530772344159004</c:v>
                </c:pt>
                <c:pt idx="255">
                  <c:v>-2.4569163316033498</c:v>
                </c:pt>
                <c:pt idx="256">
                  <c:v>-2.4609061378047294</c:v>
                </c:pt>
                <c:pt idx="257">
                  <c:v>-2.4650783689208957</c:v>
                </c:pt>
                <c:pt idx="258">
                  <c:v>-2.4694744399486979</c:v>
                </c:pt>
                <c:pt idx="259">
                  <c:v>-2.4741498303516831</c:v>
                </c:pt>
                <c:pt idx="260">
                  <c:v>-2.4791810834049484</c:v>
                </c:pt>
                <c:pt idx="261">
                  <c:v>-2.4846775296555297</c:v>
                </c:pt>
                <c:pt idx="262">
                  <c:v>-2.4908019857049233</c:v>
                </c:pt>
                <c:pt idx="263">
                  <c:v>-2.4978097553608611</c:v>
                </c:pt>
                <c:pt idx="264">
                  <c:v>-2.5061284321706112</c:v>
                </c:pt>
                <c:pt idx="265">
                  <c:v>-2.5165398769885363</c:v>
                </c:pt>
                <c:pt idx="266">
                  <c:v>-2.5306616000762223</c:v>
                </c:pt>
                <c:pt idx="267">
                  <c:v>-2.5483579423727227</c:v>
                </c:pt>
                <c:pt idx="268">
                  <c:v>-2.5680578537458869</c:v>
                </c:pt>
                <c:pt idx="269">
                  <c:v>-2.5904784664960627</c:v>
                </c:pt>
                <c:pt idx="270">
                  <c:v>-2.6167088893098525</c:v>
                </c:pt>
                <c:pt idx="271">
                  <c:v>-2.6482645501303859</c:v>
                </c:pt>
                <c:pt idx="272">
                  <c:v>-2.6896274342762796</c:v>
                </c:pt>
                <c:pt idx="273">
                  <c:v>-2.7477219403907482</c:v>
                </c:pt>
                <c:pt idx="274">
                  <c:v>-2.8211776058970357</c:v>
                </c:pt>
                <c:pt idx="275">
                  <c:v>-2.8886691302294629</c:v>
                </c:pt>
                <c:pt idx="276">
                  <c:v>-2.9508340268099871</c:v>
                </c:pt>
                <c:pt idx="277">
                  <c:v>-3.0085305138254124</c:v>
                </c:pt>
                <c:pt idx="278">
                  <c:v>-3.0623509770055461</c:v>
                </c:pt>
                <c:pt idx="279">
                  <c:v>-3.1127465750616787</c:v>
                </c:pt>
                <c:pt idx="280">
                  <c:v>3.1231002292322816</c:v>
                </c:pt>
                <c:pt idx="281">
                  <c:v>3.0785054980763427</c:v>
                </c:pt>
                <c:pt idx="282">
                  <c:v>3.0363802270020566</c:v>
                </c:pt>
                <c:pt idx="283">
                  <c:v>2.9964803247651046</c:v>
                </c:pt>
                <c:pt idx="284">
                  <c:v>3.0053648303886513</c:v>
                </c:pt>
                <c:pt idx="285">
                  <c:v>2.9703718501826728</c:v>
                </c:pt>
                <c:pt idx="286">
                  <c:v>2.9368273217361862</c:v>
                </c:pt>
                <c:pt idx="287">
                  <c:v>2.9045832055481293</c:v>
                </c:pt>
                <c:pt idx="288">
                  <c:v>2.8735044219739709</c:v>
                </c:pt>
                <c:pt idx="289">
                  <c:v>2.8434673035099021</c:v>
                </c:pt>
                <c:pt idx="290">
                  <c:v>2.8143582488891008</c:v>
                </c:pt>
                <c:pt idx="291">
                  <c:v>2.7860725312654635</c:v>
                </c:pt>
                <c:pt idx="292">
                  <c:v>2.7585132294340058</c:v>
                </c:pt>
                <c:pt idx="293">
                  <c:v>2.7315902603043734</c:v>
                </c:pt>
                <c:pt idx="294">
                  <c:v>2.7052194992276029</c:v>
                </c:pt>
                <c:pt idx="295">
                  <c:v>2.6793219746088939</c:v>
                </c:pt>
                <c:pt idx="296">
                  <c:v>2.6538231255583966</c:v>
                </c:pt>
                <c:pt idx="297">
                  <c:v>2.6286521192650234</c:v>
                </c:pt>
                <c:pt idx="298">
                  <c:v>2.6037412097778985</c:v>
                </c:pt>
                <c:pt idx="299">
                  <c:v>2.5790251425731778</c:v>
                </c:pt>
                <c:pt idx="300">
                  <c:v>2.5544405864236746</c:v>
                </c:pt>
                <c:pt idx="301">
                  <c:v>2.5299255937515568</c:v>
                </c:pt>
                <c:pt idx="302">
                  <c:v>2.5054190785818191</c:v>
                </c:pt>
                <c:pt idx="303">
                  <c:v>2.4808603071926667</c:v>
                </c:pt>
                <c:pt idx="304">
                  <c:v>2.4561883946596366</c:v>
                </c:pt>
                <c:pt idx="305">
                  <c:v>2.4313418025465685</c:v>
                </c:pt>
                <c:pt idx="306">
                  <c:v>2.4062578294243515</c:v>
                </c:pt>
                <c:pt idx="307">
                  <c:v>2.3808720919476807</c:v>
                </c:pt>
                <c:pt idx="308">
                  <c:v>2.3551179872485726</c:v>
                </c:pt>
                <c:pt idx="309">
                  <c:v>2.3289261361427878</c:v>
                </c:pt>
                <c:pt idx="310">
                  <c:v>2.3022237959932506</c:v>
                </c:pt>
                <c:pt idx="311">
                  <c:v>2.2749342481749659</c:v>
                </c:pt>
                <c:pt idx="312">
                  <c:v>2.246976147015439</c:v>
                </c:pt>
                <c:pt idx="313">
                  <c:v>2.2182628395400235</c:v>
                </c:pt>
                <c:pt idx="314">
                  <c:v>2.1887016488808477</c:v>
                </c:pt>
                <c:pt idx="315">
                  <c:v>2.1581931320110757</c:v>
                </c:pt>
                <c:pt idx="316">
                  <c:v>2.1266303199839101</c:v>
                </c:pt>
                <c:pt idx="317">
                  <c:v>2.0938979596136438</c:v>
                </c:pt>
                <c:pt idx="318">
                  <c:v>2.0598717844546757</c:v>
                </c:pt>
                <c:pt idx="319">
                  <c:v>2.0244178585413737</c:v>
                </c:pt>
                <c:pt idx="320">
                  <c:v>1.9873920567687575</c:v>
                </c:pt>
                <c:pt idx="321">
                  <c:v>1.9486397678730969</c:v>
                </c:pt>
                <c:pt idx="322">
                  <c:v>1.907995945044463</c:v>
                </c:pt>
                <c:pt idx="323">
                  <c:v>1.8652856670838374</c:v>
                </c:pt>
                <c:pt idx="324">
                  <c:v>1.8203254243312488</c:v>
                </c:pt>
                <c:pt idx="325">
                  <c:v>1.7729254024718903</c:v>
                </c:pt>
                <c:pt idx="326">
                  <c:v>1.7228930950990737</c:v>
                </c:pt>
                <c:pt idx="327">
                  <c:v>1.670038619995257</c:v>
                </c:pt>
                <c:pt idx="328">
                  <c:v>1.6141821342958258</c:v>
                </c:pt>
                <c:pt idx="329">
                  <c:v>1.5551637060834775</c:v>
                </c:pt>
                <c:pt idx="330">
                  <c:v>1.4928558419469768</c:v>
                </c:pt>
                <c:pt idx="331">
                  <c:v>1.427178586768066</c:v>
                </c:pt>
                <c:pt idx="332">
                  <c:v>1.3581166191194065</c:v>
                </c:pt>
                <c:pt idx="333">
                  <c:v>1.2857370820261222</c:v>
                </c:pt>
                <c:pt idx="334">
                  <c:v>1.2102060720414267</c:v>
                </c:pt>
                <c:pt idx="335">
                  <c:v>1.1318009443585384</c:v>
                </c:pt>
                <c:pt idx="336">
                  <c:v>1.0509151658162399</c:v>
                </c:pt>
                <c:pt idx="337">
                  <c:v>0.96805271469374365</c:v>
                </c:pt>
                <c:pt idx="338">
                  <c:v>0.88381024413056974</c:v>
                </c:pt>
                <c:pt idx="339">
                  <c:v>0.79884734387969147</c:v>
                </c:pt>
                <c:pt idx="340">
                  <c:v>0.7138477849579874</c:v>
                </c:pt>
                <c:pt idx="341">
                  <c:v>0.6294768103399373</c:v>
                </c:pt>
                <c:pt idx="342">
                  <c:v>0.54634053086156098</c:v>
                </c:pt>
                <c:pt idx="343">
                  <c:v>0.46495289254917632</c:v>
                </c:pt>
                <c:pt idx="344">
                  <c:v>0.50758745947479844</c:v>
                </c:pt>
                <c:pt idx="345">
                  <c:v>0.42371343827207503</c:v>
                </c:pt>
                <c:pt idx="346">
                  <c:v>0.3414595666674014</c:v>
                </c:pt>
                <c:pt idx="347">
                  <c:v>0.26118351397707096</c:v>
                </c:pt>
                <c:pt idx="348">
                  <c:v>0.18311388094479975</c:v>
                </c:pt>
                <c:pt idx="349">
                  <c:v>0.10734930251789876</c:v>
                </c:pt>
                <c:pt idx="350">
                  <c:v>3.3863637913665534E-2</c:v>
                </c:pt>
                <c:pt idx="351">
                  <c:v>-3.7409394889185044E-2</c:v>
                </c:pt>
                <c:pt idx="352">
                  <c:v>-9.9627446894876903E-2</c:v>
                </c:pt>
                <c:pt idx="353">
                  <c:v>-0.15093819973547695</c:v>
                </c:pt>
                <c:pt idx="354">
                  <c:v>-0.19419385228834685</c:v>
                </c:pt>
                <c:pt idx="355">
                  <c:v>-0.23137097908479556</c:v>
                </c:pt>
                <c:pt idx="356">
                  <c:v>-0.26386930550814491</c:v>
                </c:pt>
                <c:pt idx="357">
                  <c:v>-0.29270164510117191</c:v>
                </c:pt>
                <c:pt idx="358">
                  <c:v>-0.31861594419968559</c:v>
                </c:pt>
                <c:pt idx="359">
                  <c:v>-0.3421750674655592</c:v>
                </c:pt>
                <c:pt idx="360">
                  <c:v>-0.36380998601631509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-0.16631129974414258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-7.0131678242546514E-12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0.78539816339744828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1.8325957145940459</c:v>
                </c:pt>
                <c:pt idx="1">
                  <c:v>-0.26179938779914935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L_Section_Capacity!$CJ$15:$CJ$375</c:f>
              <c:numCache>
                <c:formatCode>General</c:formatCode>
                <c:ptCount val="361"/>
                <c:pt idx="0">
                  <c:v>-2.3934253130347187</c:v>
                </c:pt>
                <c:pt idx="1">
                  <c:v>-2.2781508234321257</c:v>
                </c:pt>
                <c:pt idx="2">
                  <c:v>-2.1640728789982977</c:v>
                </c:pt>
                <c:pt idx="3">
                  <c:v>-2.0545595854433767</c:v>
                </c:pt>
                <c:pt idx="4">
                  <c:v>-1.952263148433812</c:v>
                </c:pt>
                <c:pt idx="5">
                  <c:v>-1.8588601045119877</c:v>
                </c:pt>
                <c:pt idx="6">
                  <c:v>-1.7750722886953298</c:v>
                </c:pt>
                <c:pt idx="7">
                  <c:v>-1.7008691771084683</c:v>
                </c:pt>
                <c:pt idx="8">
                  <c:v>-1.6357258192862287</c:v>
                </c:pt>
                <c:pt idx="9">
                  <c:v>-1.5788512633953438</c:v>
                </c:pt>
                <c:pt idx="10">
                  <c:v>-1.52935438811752</c:v>
                </c:pt>
                <c:pt idx="11">
                  <c:v>-1.4866530959140776</c:v>
                </c:pt>
                <c:pt idx="12">
                  <c:v>-1.4517284583784833</c:v>
                </c:pt>
                <c:pt idx="13">
                  <c:v>-1.422858613608045</c:v>
                </c:pt>
                <c:pt idx="14">
                  <c:v>-1.3984542453601652</c:v>
                </c:pt>
                <c:pt idx="15">
                  <c:v>-1.3774458193367947</c:v>
                </c:pt>
                <c:pt idx="16">
                  <c:v>-1.359088961794928</c:v>
                </c:pt>
                <c:pt idx="17">
                  <c:v>-1.3428503766078173</c:v>
                </c:pt>
                <c:pt idx="18">
                  <c:v>-1.3283382715203129</c:v>
                </c:pt>
                <c:pt idx="19">
                  <c:v>-1.3152584253339348</c:v>
                </c:pt>
                <c:pt idx="20">
                  <c:v>-1.3033855842316493</c:v>
                </c:pt>
                <c:pt idx="21">
                  <c:v>-1.2925443290814451</c:v>
                </c:pt>
                <c:pt idx="22">
                  <c:v>-1.2825959676197298</c:v>
                </c:pt>
                <c:pt idx="23">
                  <c:v>-1.2734293598714994</c:v>
                </c:pt>
                <c:pt idx="24">
                  <c:v>-1.2649543727128654</c:v>
                </c:pt>
                <c:pt idx="25">
                  <c:v>-1.2570971288316284</c:v>
                </c:pt>
                <c:pt idx="26">
                  <c:v>-1.2497965046071124</c:v>
                </c:pt>
                <c:pt idx="27">
                  <c:v>-1.2430015113070398</c:v>
                </c:pt>
                <c:pt idx="28">
                  <c:v>-1.2366693118168022</c:v>
                </c:pt>
                <c:pt idx="29">
                  <c:v>-1.2307637013807295</c:v>
                </c:pt>
                <c:pt idx="30">
                  <c:v>-1.2252539309277362</c:v>
                </c:pt>
                <c:pt idx="31">
                  <c:v>-1.2201137878372403</c:v>
                </c:pt>
                <c:pt idx="32">
                  <c:v>-1.2153208709974397</c:v>
                </c:pt>
                <c:pt idx="33">
                  <c:v>-1.2108560154033732</c:v>
                </c:pt>
                <c:pt idx="34">
                  <c:v>-1.2067028320627649</c:v>
                </c:pt>
                <c:pt idx="35">
                  <c:v>-1.202847339114385</c:v>
                </c:pt>
                <c:pt idx="36">
                  <c:v>-1.1992776638750067</c:v>
                </c:pt>
                <c:pt idx="37">
                  <c:v>-1.1959838027807121</c:v>
                </c:pt>
                <c:pt idx="38">
                  <c:v>-1.1929574271101431</c:v>
                </c:pt>
                <c:pt idx="39">
                  <c:v>-1.1901917272941285</c:v>
                </c:pt>
                <c:pt idx="40">
                  <c:v>-1.1876812881061543</c:v>
                </c:pt>
                <c:pt idx="41">
                  <c:v>-1.1854219902269478</c:v>
                </c:pt>
                <c:pt idx="42">
                  <c:v>-1.1834109348226454</c:v>
                </c:pt>
                <c:pt idx="43">
                  <c:v>-1.1816463867302314</c:v>
                </c:pt>
                <c:pt idx="44">
                  <c:v>-1.1801277357635755</c:v>
                </c:pt>
                <c:pt idx="45">
                  <c:v>-1.1788554729799392</c:v>
                </c:pt>
                <c:pt idx="46">
                  <c:v>-1.1778311817506064</c:v>
                </c:pt>
                <c:pt idx="47">
                  <c:v>-1.1770575418997209</c:v>
                </c:pt>
                <c:pt idx="48">
                  <c:v>-1.1765383476581808</c:v>
                </c:pt>
                <c:pt idx="49">
                  <c:v>-1.1762785383932377</c:v>
                </c:pt>
                <c:pt idx="50">
                  <c:v>-1.1762842426278499</c:v>
                </c:pt>
                <c:pt idx="51">
                  <c:v>-1.1765628364106384</c:v>
                </c:pt>
                <c:pt idx="52">
                  <c:v>-1.1771230159455075</c:v>
                </c:pt>
                <c:pt idx="53">
                  <c:v>-1.177974886703425</c:v>
                </c:pt>
                <c:pt idx="54">
                  <c:v>-1.1791300696708098</c:v>
                </c:pt>
                <c:pt idx="55">
                  <c:v>-1.1806018275381516</c:v>
                </c:pt>
                <c:pt idx="56">
                  <c:v>-1.1824052127575382</c:v>
                </c:pt>
                <c:pt idx="57">
                  <c:v>-1.184557240437774</c:v>
                </c:pt>
                <c:pt idx="58">
                  <c:v>-1.1870770903534695</c:v>
                </c:pt>
                <c:pt idx="59">
                  <c:v>-1.1899863417310725</c:v>
                </c:pt>
                <c:pt idx="60">
                  <c:v>-1.1933092468374225</c:v>
                </c:pt>
                <c:pt idx="61">
                  <c:v>-1.1970730497036739</c:v>
                </c:pt>
                <c:pt idx="62">
                  <c:v>-1.201308357957247</c:v>
                </c:pt>
                <c:pt idx="63">
                  <c:v>-1.2060495779065339</c:v>
                </c:pt>
                <c:pt idx="64">
                  <c:v>-1.2113354245077774</c:v>
                </c:pt>
                <c:pt idx="65">
                  <c:v>-1.2172095216712275</c:v>
                </c:pt>
                <c:pt idx="66">
                  <c:v>-1.2237211108698833</c:v>
                </c:pt>
                <c:pt idx="67">
                  <c:v>-1.2309258918981212</c:v>
                </c:pt>
                <c:pt idx="68">
                  <c:v>-1.2388870247772776</c:v>
                </c:pt>
                <c:pt idx="69">
                  <c:v>-1.2476763300980043</c:v>
                </c:pt>
                <c:pt idx="70">
                  <c:v>-1.2573757358761339</c:v>
                </c:pt>
                <c:pt idx="71">
                  <c:v>-1.2680790331448075</c:v>
                </c:pt>
                <c:pt idx="72">
                  <c:v>-1.2798940222090818</c:v>
                </c:pt>
                <c:pt idx="73">
                  <c:v>-1.2929451586542884</c:v>
                </c:pt>
                <c:pt idx="74">
                  <c:v>-1.3073768472834004</c:v>
                </c:pt>
                <c:pt idx="75">
                  <c:v>-1.3233575876802952</c:v>
                </c:pt>
                <c:pt idx="76">
                  <c:v>-1.3410852590271478</c:v>
                </c:pt>
                <c:pt idx="77">
                  <c:v>-1.3607939581035891</c:v>
                </c:pt>
                <c:pt idx="78">
                  <c:v>-1.3827630036759877</c:v>
                </c:pt>
                <c:pt idx="79">
                  <c:v>-1.4073290438836508</c:v>
                </c:pt>
                <c:pt idx="80">
                  <c:v>-1.434902749265289</c:v>
                </c:pt>
                <c:pt idx="81">
                  <c:v>-1.4659925369617892</c:v>
                </c:pt>
                <c:pt idx="82">
                  <c:v>-1.5012395593765171</c:v>
                </c:pt>
                <c:pt idx="83">
                  <c:v>-1.5415191588922008</c:v>
                </c:pt>
                <c:pt idx="84">
                  <c:v>-1.5808029745223375</c:v>
                </c:pt>
                <c:pt idx="85">
                  <c:v>-1.6161077528629064</c:v>
                </c:pt>
                <c:pt idx="86">
                  <c:v>-1.6482163937836456</c:v>
                </c:pt>
                <c:pt idx="87">
                  <c:v>-1.6775965683770673</c:v>
                </c:pt>
                <c:pt idx="88">
                  <c:v>-1.7046323050545451</c:v>
                </c:pt>
                <c:pt idx="89">
                  <c:v>-1.7296404421142202</c:v>
                </c:pt>
                <c:pt idx="90">
                  <c:v>-1.7528895378195333</c:v>
                </c:pt>
                <c:pt idx="91">
                  <c:v>-1.7750078464449717</c:v>
                </c:pt>
                <c:pt idx="92">
                  <c:v>-1.7963196479785246</c:v>
                </c:pt>
                <c:pt idx="93">
                  <c:v>-1.8169129249635165</c:v>
                </c:pt>
                <c:pt idx="94">
                  <c:v>-1.8368655089570036</c:v>
                </c:pt>
                <c:pt idx="95">
                  <c:v>-1.8562465538916257</c:v>
                </c:pt>
                <c:pt idx="96">
                  <c:v>-1.8751177739887346</c:v>
                </c:pt>
                <c:pt idx="97">
                  <c:v>-1.8935344871903681</c:v>
                </c:pt>
                <c:pt idx="98">
                  <c:v>-1.9115219517404112</c:v>
                </c:pt>
                <c:pt idx="99">
                  <c:v>-1.9273251933802942</c:v>
                </c:pt>
                <c:pt idx="100">
                  <c:v>-1.9405370257779759</c:v>
                </c:pt>
                <c:pt idx="101">
                  <c:v>-1.9518539084632669</c:v>
                </c:pt>
                <c:pt idx="102">
                  <c:v>-1.96173753116953</c:v>
                </c:pt>
                <c:pt idx="103">
                  <c:v>-1.9705072526733645</c:v>
                </c:pt>
                <c:pt idx="104">
                  <c:v>-1.9783918071547066</c:v>
                </c:pt>
                <c:pt idx="105">
                  <c:v>-1.9855598518162212</c:v>
                </c:pt>
                <c:pt idx="106">
                  <c:v>-1.99213884998487</c:v>
                </c:pt>
                <c:pt idx="107">
                  <c:v>-1.9982271975242976</c:v>
                </c:pt>
                <c:pt idx="108">
                  <c:v>-2.0039022680789325</c:v>
                </c:pt>
                <c:pt idx="109">
                  <c:v>-2.0092259031375903</c:v>
                </c:pt>
                <c:pt idx="110">
                  <c:v>-2.0142482517883114</c:v>
                </c:pt>
                <c:pt idx="111">
                  <c:v>-2.0190105151322157</c:v>
                </c:pt>
                <c:pt idx="112">
                  <c:v>-2.0235469460429272</c:v>
                </c:pt>
                <c:pt idx="113">
                  <c:v>-2.0278863316942699</c:v>
                </c:pt>
                <c:pt idx="114">
                  <c:v>-2.0320531099535302</c:v>
                </c:pt>
                <c:pt idx="115">
                  <c:v>-2.0360682220389714</c:v>
                </c:pt>
                <c:pt idx="116">
                  <c:v>-2.039949772271255</c:v>
                </c:pt>
                <c:pt idx="117">
                  <c:v>-2.0437135447266037</c:v>
                </c:pt>
                <c:pt idx="118">
                  <c:v>-2.0473734123493745</c:v>
                </c:pt>
                <c:pt idx="119">
                  <c:v>-2.0509416643334903</c:v>
                </c:pt>
                <c:pt idx="120">
                  <c:v>-2.0544292707230456</c:v>
                </c:pt>
                <c:pt idx="121">
                  <c:v>-2.057846098312119</c:v>
                </c:pt>
                <c:pt idx="122">
                  <c:v>-2.0612010884792209</c:v>
                </c:pt>
                <c:pt idx="123">
                  <c:v>-2.0645024050078318</c:v>
                </c:pt>
                <c:pt idx="124">
                  <c:v>-2.0677575581184255</c:v>
                </c:pt>
                <c:pt idx="125">
                  <c:v>-2.0709735095303961</c:v>
                </c:pt>
                <c:pt idx="126">
                  <c:v>-2.0741567623452872</c:v>
                </c:pt>
                <c:pt idx="127">
                  <c:v>-2.0773134387574297</c:v>
                </c:pt>
                <c:pt idx="128">
                  <c:v>-2.0804493480010109</c:v>
                </c:pt>
                <c:pt idx="129">
                  <c:v>-2.0835700464894362</c:v>
                </c:pt>
                <c:pt idx="130">
                  <c:v>-2.0866808917560791</c:v>
                </c:pt>
                <c:pt idx="131">
                  <c:v>-2.0897870915356487</c:v>
                </c:pt>
                <c:pt idx="132">
                  <c:v>-2.0928937491264428</c:v>
                </c:pt>
                <c:pt idx="133">
                  <c:v>-2.0960059060170364</c:v>
                </c:pt>
                <c:pt idx="134">
                  <c:v>-2.0991285826535835</c:v>
                </c:pt>
                <c:pt idx="135">
                  <c:v>-2.1022668181412456</c:v>
                </c:pt>
                <c:pt idx="136">
                  <c:v>-2.1054257096255555</c:v>
                </c:pt>
                <c:pt idx="137">
                  <c:v>-2.1086104520775129</c:v>
                </c:pt>
                <c:pt idx="138">
                  <c:v>-2.1118263792013643</c:v>
                </c:pt>
                <c:pt idx="139">
                  <c:v>-2.1150790062180489</c:v>
                </c:pt>
                <c:pt idx="140">
                  <c:v>-2.118374075309629</c:v>
                </c:pt>
                <c:pt idx="141">
                  <c:v>-2.1217176046049935</c:v>
                </c:pt>
                <c:pt idx="142">
                  <c:v>-2.1251159416712948</c:v>
                </c:pt>
                <c:pt idx="143">
                  <c:v>-2.1285758226375631</c:v>
                </c:pt>
                <c:pt idx="144">
                  <c:v>-2.1321044382333074</c:v>
                </c:pt>
                <c:pt idx="145">
                  <c:v>-2.1357095082861912</c:v>
                </c:pt>
                <c:pt idx="146">
                  <c:v>-2.1393993665059128</c:v>
                </c:pt>
                <c:pt idx="147">
                  <c:v>-2.1431830577476467</c:v>
                </c:pt>
                <c:pt idx="148">
                  <c:v>-2.1470704504829601</c:v>
                </c:pt>
                <c:pt idx="149">
                  <c:v>-2.1510723677586312</c:v>
                </c:pt>
                <c:pt idx="150">
                  <c:v>-2.1552007407887079</c:v>
                </c:pt>
                <c:pt idx="151">
                  <c:v>-2.1594687903064238</c:v>
                </c:pt>
                <c:pt idx="152">
                  <c:v>-2.163763942690808</c:v>
                </c:pt>
                <c:pt idx="153">
                  <c:v>-2.1679527279336841</c:v>
                </c:pt>
                <c:pt idx="154">
                  <c:v>-2.1720421195993111</c:v>
                </c:pt>
                <c:pt idx="155">
                  <c:v>-2.1760387181051657</c:v>
                </c:pt>
                <c:pt idx="156">
                  <c:v>-2.1799486692732559</c:v>
                </c:pt>
                <c:pt idx="157">
                  <c:v>-2.1837777082150112</c:v>
                </c:pt>
                <c:pt idx="158">
                  <c:v>-2.1875311985170622</c:v>
                </c:pt>
                <c:pt idx="159">
                  <c:v>-2.1912141673036483</c:v>
                </c:pt>
                <c:pt idx="160">
                  <c:v>-2.1948313367153047</c:v>
                </c:pt>
                <c:pt idx="161">
                  <c:v>-2.1983871522399427</c:v>
                </c:pt>
                <c:pt idx="162">
                  <c:v>-2.2018858082731714</c:v>
                </c:pt>
                <c:pt idx="163">
                  <c:v>-2.2053312712486735</c:v>
                </c:pt>
                <c:pt idx="164">
                  <c:v>-2.2087273006324137</c:v>
                </c:pt>
                <c:pt idx="165">
                  <c:v>-2.212077468021318</c:v>
                </c:pt>
                <c:pt idx="166">
                  <c:v>-2.2153851745862223</c:v>
                </c:pt>
                <c:pt idx="167">
                  <c:v>-2.2186536670348103</c:v>
                </c:pt>
                <c:pt idx="168">
                  <c:v>-2.2218860522791619</c:v>
                </c:pt>
                <c:pt idx="169">
                  <c:v>-2.2250853109639652</c:v>
                </c:pt>
                <c:pt idx="170">
                  <c:v>-2.2282543099659202</c:v>
                </c:pt>
                <c:pt idx="171">
                  <c:v>-2.2313958140237551</c:v>
                </c:pt>
                <c:pt idx="172">
                  <c:v>-2.2345124965637853</c:v>
                </c:pt>
                <c:pt idx="173">
                  <c:v>-2.2376069498547149</c:v>
                </c:pt>
                <c:pt idx="174">
                  <c:v>-2.2406816945553718</c:v>
                </c:pt>
                <c:pt idx="175">
                  <c:v>-2.2437391887465297</c:v>
                </c:pt>
                <c:pt idx="176">
                  <c:v>-2.2467818365158005</c:v>
                </c:pt>
                <c:pt idx="177">
                  <c:v>-2.2498119961685319</c:v>
                </c:pt>
                <c:pt idx="178">
                  <c:v>-2.252831988118118</c:v>
                </c:pt>
                <c:pt idx="179">
                  <c:v>-2.2558441025232794</c:v>
                </c:pt>
                <c:pt idx="180">
                  <c:v>-2.2588506067254701</c:v>
                </c:pt>
                <c:pt idx="181">
                  <c:v>-2.2618537525382671</c:v>
                </c:pt>
                <c:pt idx="182">
                  <c:v>-2.264855783445443</c:v>
                </c:pt>
                <c:pt idx="183">
                  <c:v>-2.2678589417510722</c:v>
                </c:pt>
                <c:pt idx="184">
                  <c:v>-2.270865475739845</c:v>
                </c:pt>
                <c:pt idx="185">
                  <c:v>-2.2738776468937498</c:v>
                </c:pt>
                <c:pt idx="186">
                  <c:v>-2.2768977372185599</c:v>
                </c:pt>
                <c:pt idx="187">
                  <c:v>-2.2799280567350961</c:v>
                </c:pt>
                <c:pt idx="188">
                  <c:v>-2.2829709511846734</c:v>
                </c:pt>
                <c:pt idx="189">
                  <c:v>-2.2860288100141184</c:v>
                </c:pt>
                <c:pt idx="190">
                  <c:v>-2.2891040746985483</c:v>
                </c:pt>
                <c:pt idx="191">
                  <c:v>-2.2921992474711761</c:v>
                </c:pt>
                <c:pt idx="192">
                  <c:v>-2.2953169005267005</c:v>
                </c:pt>
                <c:pt idx="193">
                  <c:v>-2.2984596857896196</c:v>
                </c:pt>
                <c:pt idx="194">
                  <c:v>-2.3016303453164402</c:v>
                </c:pt>
                <c:pt idx="195">
                  <c:v>-2.3048317224484052</c:v>
                </c:pt>
                <c:pt idx="196">
                  <c:v>-2.3080667738043186</c:v>
                </c:pt>
                <c:pt idx="197">
                  <c:v>-2.3113385822447658</c:v>
                </c:pt>
                <c:pt idx="198">
                  <c:v>-2.3146503709403041</c:v>
                </c:pt>
                <c:pt idx="199">
                  <c:v>-2.3180055186927513</c:v>
                </c:pt>
                <c:pt idx="200">
                  <c:v>-2.321407576689146</c:v>
                </c:pt>
                <c:pt idx="201">
                  <c:v>-2.3248602868807624</c:v>
                </c:pt>
                <c:pt idx="202">
                  <c:v>-2.3283676022169968</c:v>
                </c:pt>
                <c:pt idx="203">
                  <c:v>-2.3319337089923073</c:v>
                </c:pt>
                <c:pt idx="204">
                  <c:v>-2.3355630516041552</c:v>
                </c:pt>
                <c:pt idx="205">
                  <c:v>-2.3392603600692663</c:v>
                </c:pt>
                <c:pt idx="206">
                  <c:v>-2.3430306806992669</c:v>
                </c:pt>
                <c:pt idx="207">
                  <c:v>-2.3468794103992647</c:v>
                </c:pt>
                <c:pt idx="208">
                  <c:v>-2.3509610945262098</c:v>
                </c:pt>
                <c:pt idx="209">
                  <c:v>-2.3554392359041367</c:v>
                </c:pt>
                <c:pt idx="210">
                  <c:v>-2.3598699791087951</c:v>
                </c:pt>
                <c:pt idx="211">
                  <c:v>-2.3641520396768665</c:v>
                </c:pt>
                <c:pt idx="212">
                  <c:v>-2.368298650902533</c:v>
                </c:pt>
                <c:pt idx="213">
                  <c:v>-2.3723217381807578</c:v>
                </c:pt>
                <c:pt idx="214">
                  <c:v>-2.3762320967556767</c:v>
                </c:pt>
                <c:pt idx="215">
                  <c:v>-2.3800395422154739</c:v>
                </c:pt>
                <c:pt idx="216">
                  <c:v>-2.3837966932268846</c:v>
                </c:pt>
                <c:pt idx="217">
                  <c:v>-2.3875595559400207</c:v>
                </c:pt>
                <c:pt idx="218">
                  <c:v>-2.391237880283509</c:v>
                </c:pt>
                <c:pt idx="219">
                  <c:v>-2.3950260405491481</c:v>
                </c:pt>
                <c:pt idx="220">
                  <c:v>-2.3990034880372808</c:v>
                </c:pt>
                <c:pt idx="221">
                  <c:v>-2.402915910947149</c:v>
                </c:pt>
                <c:pt idx="222">
                  <c:v>-2.4067695772701971</c:v>
                </c:pt>
                <c:pt idx="223">
                  <c:v>-2.4105703944799801</c:v>
                </c:pt>
                <c:pt idx="224">
                  <c:v>-2.4143239570188513</c:v>
                </c:pt>
                <c:pt idx="225">
                  <c:v>-2.4180355891914145</c:v>
                </c:pt>
                <c:pt idx="226">
                  <c:v>-2.4217103842457095</c:v>
                </c:pt>
                <c:pt idx="227">
                  <c:v>-2.4253532403593279</c:v>
                </c:pt>
                <c:pt idx="228">
                  <c:v>-2.4289688941223493</c:v>
                </c:pt>
                <c:pt idx="229">
                  <c:v>-2.4326046405885347</c:v>
                </c:pt>
                <c:pt idx="230">
                  <c:v>-2.4363015828838726</c:v>
                </c:pt>
                <c:pt idx="231">
                  <c:v>-2.4399815592742407</c:v>
                </c:pt>
                <c:pt idx="232">
                  <c:v>-2.4436490267582633</c:v>
                </c:pt>
                <c:pt idx="233">
                  <c:v>-2.4473084160373419</c:v>
                </c:pt>
                <c:pt idx="234">
                  <c:v>-2.4509641604455332</c:v>
                </c:pt>
                <c:pt idx="235">
                  <c:v>-2.4546207256941575</c:v>
                </c:pt>
                <c:pt idx="236">
                  <c:v>-2.458282640982683</c:v>
                </c:pt>
                <c:pt idx="237">
                  <c:v>-2.4619545321310303</c:v>
                </c:pt>
                <c:pt idx="238">
                  <c:v>-2.4656411574049861</c:v>
                </c:pt>
                <c:pt idx="239">
                  <c:v>-2.4693474469081496</c:v>
                </c:pt>
                <c:pt idx="240">
                  <c:v>-2.4730785465427396</c:v>
                </c:pt>
                <c:pt idx="241">
                  <c:v>-2.4768398677787768</c:v>
                </c:pt>
                <c:pt idx="242">
                  <c:v>-2.480637144778882</c:v>
                </c:pt>
                <c:pt idx="243">
                  <c:v>-2.4844765008286411</c:v>
                </c:pt>
                <c:pt idx="244">
                  <c:v>-2.488364526531734</c:v>
                </c:pt>
                <c:pt idx="245">
                  <c:v>-2.4923083730448043</c:v>
                </c:pt>
                <c:pt idx="246">
                  <c:v>-2.4963158644951395</c:v>
                </c:pt>
                <c:pt idx="247">
                  <c:v>-2.5003956352779766</c:v>
                </c:pt>
                <c:pt idx="248">
                  <c:v>-2.5045572997290115</c:v>
                </c:pt>
                <c:pt idx="249">
                  <c:v>-2.5088116645289675</c:v>
                </c:pt>
                <c:pt idx="250">
                  <c:v>-2.5131709981873573</c:v>
                </c:pt>
                <c:pt idx="251">
                  <c:v>-2.5176493777690858</c:v>
                </c:pt>
                <c:pt idx="252">
                  <c:v>-2.5222631419162971</c:v>
                </c:pt>
                <c:pt idx="253">
                  <c:v>-2.5270314925716981</c:v>
                </c:pt>
                <c:pt idx="254">
                  <c:v>-2.5319773087852973</c:v>
                </c:pt>
                <c:pt idx="255">
                  <c:v>-2.5371282696232433</c:v>
                </c:pt>
                <c:pt idx="256">
                  <c:v>-2.5425184383245112</c:v>
                </c:pt>
                <c:pt idx="257">
                  <c:v>-2.5481905536898246</c:v>
                </c:pt>
                <c:pt idx="258">
                  <c:v>-2.5541994394650178</c:v>
                </c:pt>
                <c:pt idx="259">
                  <c:v>-2.5606172440132573</c:v>
                </c:pt>
                <c:pt idx="260">
                  <c:v>-2.5675418002202477</c:v>
                </c:pt>
                <c:pt idx="261">
                  <c:v>-2.5751105637849716</c:v>
                </c:pt>
                <c:pt idx="262">
                  <c:v>-2.5835251066120377</c:v>
                </c:pt>
                <c:pt idx="263">
                  <c:v>-2.593097010874577</c:v>
                </c:pt>
                <c:pt idx="264">
                  <c:v>-2.6043410687413151</c:v>
                </c:pt>
                <c:pt idx="265">
                  <c:v>-2.6181854227039509</c:v>
                </c:pt>
                <c:pt idx="266">
                  <c:v>-2.6365174384654235</c:v>
                </c:pt>
                <c:pt idx="267">
                  <c:v>-2.6591450599376469</c:v>
                </c:pt>
                <c:pt idx="268">
                  <c:v>-2.6841666475629298</c:v>
                </c:pt>
                <c:pt idx="269">
                  <c:v>-2.7122446152611972</c:v>
                </c:pt>
                <c:pt idx="270">
                  <c:v>-2.7442954612363435</c:v>
                </c:pt>
                <c:pt idx="271">
                  <c:v>-2.7832574969962822</c:v>
                </c:pt>
                <c:pt idx="272">
                  <c:v>-2.8306573506001413</c:v>
                </c:pt>
                <c:pt idx="273">
                  <c:v>-2.8900874394963525</c:v>
                </c:pt>
                <c:pt idx="274">
                  <c:v>-2.954687084010728</c:v>
                </c:pt>
                <c:pt idx="275">
                  <c:v>-3.0055698079102333</c:v>
                </c:pt>
                <c:pt idx="276">
                  <c:v>-3.0462241164815285</c:v>
                </c:pt>
                <c:pt idx="277">
                  <c:v>-3.0793220516962427</c:v>
                </c:pt>
                <c:pt idx="278">
                  <c:v>-3.1066747220730471</c:v>
                </c:pt>
                <c:pt idx="279">
                  <c:v>-3.129563346008724</c:v>
                </c:pt>
                <c:pt idx="280">
                  <c:v>3.1342627819502615</c:v>
                </c:pt>
                <c:pt idx="281">
                  <c:v>3.1177349860532044</c:v>
                </c:pt>
                <c:pt idx="282">
                  <c:v>3.1035071101804603</c:v>
                </c:pt>
                <c:pt idx="283">
                  <c:v>3.0911679801183758</c:v>
                </c:pt>
                <c:pt idx="284">
                  <c:v>3.0946471253069152</c:v>
                </c:pt>
                <c:pt idx="285">
                  <c:v>3.0847397906767746</c:v>
                </c:pt>
                <c:pt idx="286">
                  <c:v>3.0759606851505596</c:v>
                </c:pt>
                <c:pt idx="287">
                  <c:v>3.068142900536647</c:v>
                </c:pt>
                <c:pt idx="288">
                  <c:v>3.0611495479301665</c:v>
                </c:pt>
                <c:pt idx="289">
                  <c:v>3.0548674978857413</c:v>
                </c:pt>
                <c:pt idx="290">
                  <c:v>3.0492026017642955</c:v>
                </c:pt>
                <c:pt idx="291">
                  <c:v>3.0440760044274593</c:v>
                </c:pt>
                <c:pt idx="292">
                  <c:v>3.039421270951963</c:v>
                </c:pt>
                <c:pt idx="293">
                  <c:v>3.0351821272560384</c:v>
                </c:pt>
                <c:pt idx="294">
                  <c:v>3.0313106691985086</c:v>
                </c:pt>
                <c:pt idx="295">
                  <c:v>3.0277659319033945</c:v>
                </c:pt>
                <c:pt idx="296">
                  <c:v>3.0245127385459405</c:v>
                </c:pt>
                <c:pt idx="297">
                  <c:v>3.0215207692904986</c:v>
                </c:pt>
                <c:pt idx="298">
                  <c:v>3.0187638016611529</c:v>
                </c:pt>
                <c:pt idx="299">
                  <c:v>3.0162190898582524</c:v>
                </c:pt>
                <c:pt idx="300">
                  <c:v>3.0138668528587829</c:v>
                </c:pt>
                <c:pt idx="301">
                  <c:v>3.0116898518967483</c:v>
                </c:pt>
                <c:pt idx="302">
                  <c:v>3.0096730395560791</c:v>
                </c:pt>
                <c:pt idx="303">
                  <c:v>3.0078032676231845</c:v>
                </c:pt>
                <c:pt idx="304">
                  <c:v>3.006069043087368</c:v>
                </c:pt>
                <c:pt idx="305">
                  <c:v>3.0044603242228236</c:v>
                </c:pt>
                <c:pt idx="306">
                  <c:v>3.00296834954325</c:v>
                </c:pt>
                <c:pt idx="307">
                  <c:v>3.0015854950157843</c:v>
                </c:pt>
                <c:pt idx="308">
                  <c:v>3.0003051544249892</c:v>
                </c:pt>
                <c:pt idx="309">
                  <c:v>2.9991216404159489</c:v>
                </c:pt>
                <c:pt idx="310">
                  <c:v>2.9980301021017368</c:v>
                </c:pt>
                <c:pt idx="311">
                  <c:v>2.9970264588783828</c:v>
                </c:pt>
                <c:pt idx="312">
                  <c:v>2.9961073466043242</c:v>
                </c:pt>
                <c:pt idx="313">
                  <c:v>2.9952700769616807</c:v>
                </c:pt>
                <c:pt idx="314">
                  <c:v>2.9945126072922883</c:v>
                </c:pt>
                <c:pt idx="315">
                  <c:v>2.9938335213863851</c:v>
                </c:pt>
                <c:pt idx="316">
                  <c:v>2.9932320204151299</c:v>
                </c:pt>
                <c:pt idx="317">
                  <c:v>2.9927079241366568</c:v>
                </c:pt>
                <c:pt idx="318">
                  <c:v>2.992261682475637</c:v>
                </c:pt>
                <c:pt idx="319">
                  <c:v>2.9918943981108508</c:v>
                </c:pt>
                <c:pt idx="320">
                  <c:v>2.9916078612222625</c:v>
                </c:pt>
                <c:pt idx="321">
                  <c:v>2.9914045971700842</c:v>
                </c:pt>
                <c:pt idx="322">
                  <c:v>2.991287929454042</c:v>
                </c:pt>
                <c:pt idx="323">
                  <c:v>2.9912620600321302</c:v>
                </c:pt>
                <c:pt idx="324">
                  <c:v>2.9913321699152498</c:v>
                </c:pt>
                <c:pt idx="325">
                  <c:v>2.9915045442179227</c:v>
                </c:pt>
                <c:pt idx="326">
                  <c:v>2.9917867269788081</c:v>
                </c:pt>
                <c:pt idx="327">
                  <c:v>2.9921877117348021</c:v>
                </c:pt>
                <c:pt idx="328">
                  <c:v>2.992718176209666</c:v>
                </c:pt>
                <c:pt idx="329">
                  <c:v>2.9933907734511411</c:v>
                </c:pt>
                <c:pt idx="330">
                  <c:v>2.9942204919222064</c:v>
                </c:pt>
                <c:pt idx="331">
                  <c:v>2.9952251045956899</c:v>
                </c:pt>
                <c:pt idx="332">
                  <c:v>2.9964257319446421</c:v>
                </c:pt>
                <c:pt idx="333">
                  <c:v>2.9978475526075594</c:v>
                </c:pt>
                <c:pt idx="334">
                  <c:v>2.9995207067031129</c:v>
                </c:pt>
                <c:pt idx="335">
                  <c:v>3.0014814544413317</c:v>
                </c:pt>
                <c:pt idx="336">
                  <c:v>3.0037736770220018</c:v>
                </c:pt>
                <c:pt idx="337">
                  <c:v>3.0064508406465347</c:v>
                </c:pt>
                <c:pt idx="338">
                  <c:v>3.0095785966176436</c:v>
                </c:pt>
                <c:pt idx="339">
                  <c:v>3.013238268612576</c:v>
                </c:pt>
                <c:pt idx="340">
                  <c:v>3.0175315968465579</c:v>
                </c:pt>
                <c:pt idx="341">
                  <c:v>3.0225872938613096</c:v>
                </c:pt>
                <c:pt idx="342">
                  <c:v>3.0285702630278744</c:v>
                </c:pt>
                <c:pt idx="343">
                  <c:v>3.0356948183392296</c:v>
                </c:pt>
                <c:pt idx="344">
                  <c:v>3.0279620315829812</c:v>
                </c:pt>
                <c:pt idx="345">
                  <c:v>3.0366310005827026</c:v>
                </c:pt>
                <c:pt idx="346">
                  <c:v>3.0472163876073899</c:v>
                </c:pt>
                <c:pt idx="347">
                  <c:v>3.0603089866671276</c:v>
                </c:pt>
                <c:pt idx="348">
                  <c:v>3.0767581718683736</c:v>
                </c:pt>
                <c:pt idx="349">
                  <c:v>3.0978260207026551</c:v>
                </c:pt>
                <c:pt idx="350">
                  <c:v>3.1254631472730106</c:v>
                </c:pt>
                <c:pt idx="351">
                  <c:v>-3.1204026372701987</c:v>
                </c:pt>
                <c:pt idx="352">
                  <c:v>-3.0743363851812306</c:v>
                </c:pt>
                <c:pt idx="353">
                  <c:v>-3.0212385595580518</c:v>
                </c:pt>
                <c:pt idx="354">
                  <c:v>-2.9601189870830651</c:v>
                </c:pt>
                <c:pt idx="355">
                  <c:v>-2.8899964152289597</c:v>
                </c:pt>
                <c:pt idx="356">
                  <c:v>-2.8100330107090201</c:v>
                </c:pt>
                <c:pt idx="357">
                  <c:v>-2.7197466474444374</c:v>
                </c:pt>
                <c:pt idx="358">
                  <c:v>-2.6192954251117859</c:v>
                </c:pt>
                <c:pt idx="359">
                  <c:v>-2.5097781548596751</c:v>
                </c:pt>
                <c:pt idx="360">
                  <c:v>-2.3934253130349523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136525</xdr:colOff>
      <xdr:row>19</xdr:row>
      <xdr:rowOff>43656</xdr:rowOff>
    </xdr:from>
    <xdr:to>
      <xdr:col>30</xdr:col>
      <xdr:colOff>473075</xdr:colOff>
      <xdr:row>34</xdr:row>
      <xdr:rowOff>74612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B378"/>
  <sheetViews>
    <sheetView tabSelected="1" topLeftCell="CV1" zoomScale="80" zoomScaleNormal="80" workbookViewId="0">
      <selection activeCell="DI20" sqref="DI20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12" max="12" width="12.42578125" customWidth="1"/>
    <col min="13" max="13" width="13.140625" bestFit="1" customWidth="1"/>
    <col min="14" max="14" width="11.42578125" bestFit="1" customWidth="1"/>
    <col min="15" max="15" width="12.140625" bestFit="1" customWidth="1"/>
    <col min="16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27" max="27" width="10.7109375" bestFit="1" customWidth="1"/>
    <col min="30" max="30" width="13.7109375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49" bestFit="1" customWidth="1"/>
    <col min="53" max="53" width="19.42578125" style="49" bestFit="1" customWidth="1"/>
    <col min="54" max="54" width="19.140625" style="49" bestFit="1" customWidth="1"/>
    <col min="55" max="56" width="24.28515625" style="49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1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20" max="120" width="9" bestFit="1" customWidth="1"/>
    <col min="121" max="121" width="13.7109375" bestFit="1" customWidth="1"/>
    <col min="122" max="122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29" x14ac:dyDescent="0.25">
      <c r="A1" s="8" t="s">
        <v>196</v>
      </c>
      <c r="B1" s="20" t="s">
        <v>208</v>
      </c>
      <c r="K1" s="8" t="s">
        <v>71</v>
      </c>
      <c r="L1" s="56">
        <v>1.0000000000000001E-9</v>
      </c>
      <c r="P1" s="8" t="s">
        <v>144</v>
      </c>
      <c r="Q1" s="4">
        <v>1</v>
      </c>
      <c r="T1" t="s">
        <v>157</v>
      </c>
      <c r="U1" s="4">
        <v>0</v>
      </c>
      <c r="W1" t="s">
        <v>197</v>
      </c>
      <c r="X1" s="4">
        <v>1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145</v>
      </c>
      <c r="BH1" s="6" t="s">
        <v>146</v>
      </c>
      <c r="BI1" s="6" t="s">
        <v>147</v>
      </c>
      <c r="BW1" s="45" t="s">
        <v>148</v>
      </c>
      <c r="CU1" t="s">
        <v>113</v>
      </c>
      <c r="DC1" t="s">
        <v>136</v>
      </c>
      <c r="DI1" t="s">
        <v>143</v>
      </c>
      <c r="DO1" t="s">
        <v>209</v>
      </c>
    </row>
    <row r="2" spans="1:129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1070</v>
      </c>
      <c r="N2">
        <v>25</v>
      </c>
      <c r="O2">
        <v>1</v>
      </c>
      <c r="AD2" s="8" t="s">
        <v>158</v>
      </c>
      <c r="AE2" s="20">
        <v>360</v>
      </c>
      <c r="AS2" s="6" t="s">
        <v>202</v>
      </c>
      <c r="AT2" s="7">
        <v>2</v>
      </c>
      <c r="BC2">
        <v>0</v>
      </c>
      <c r="BD2">
        <v>4.3910914686553157</v>
      </c>
      <c r="BE2">
        <v>9.7910791804467081</v>
      </c>
      <c r="BF2" s="6">
        <f t="shared" ref="BF2:BF33" si="0">IF(BC2&lt;&gt;"",IF(AND(BD2=0,BE2=0),0,MOD(ATAN2(BD2,BE2),2*PI())),NA())</f>
        <v>1.149208149413308</v>
      </c>
      <c r="BG2" s="6">
        <f t="shared" ref="BG2:BG33" si="1">ABS(BC2-BF2)</f>
        <v>1.149208149413308</v>
      </c>
      <c r="BH2" s="6">
        <f>ATAN2(COS($U$13-BF2),SIN($U$13-BF2))</f>
        <v>-0.36380998601585968</v>
      </c>
      <c r="BI2" s="6">
        <f>ABS(BH2)</f>
        <v>0.36380998601585968</v>
      </c>
      <c r="BT2">
        <v>0.78539816339744828</v>
      </c>
      <c r="BV2" s="38"/>
      <c r="CJ2">
        <v>3.1415926535897931</v>
      </c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3.1415926535897931</v>
      </c>
    </row>
    <row r="3" spans="1:129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0.65</v>
      </c>
      <c r="V3" s="15"/>
      <c r="W3" s="29" t="s">
        <v>95</v>
      </c>
      <c r="X3" t="s">
        <v>79</v>
      </c>
      <c r="AA3" t="s">
        <v>110</v>
      </c>
      <c r="AS3" s="6" t="s">
        <v>8</v>
      </c>
      <c r="AT3" s="6" t="s">
        <v>9</v>
      </c>
      <c r="BC3">
        <v>1.7453292519943295E-2</v>
      </c>
      <c r="BD3">
        <v>4.4211985131781963</v>
      </c>
      <c r="BE3">
        <v>10.436276243172463</v>
      </c>
      <c r="BF3" s="6">
        <f t="shared" si="0"/>
        <v>1.1700802513473938</v>
      </c>
      <c r="BG3" s="6">
        <f t="shared" si="1"/>
        <v>1.1526269588274505</v>
      </c>
      <c r="BH3" s="6">
        <f t="shared" ref="BH3:BH66" si="2">ATAN2(COS($U$13-BF3),SIN($U$13-BF3))</f>
        <v>-0.38468208794994552</v>
      </c>
      <c r="BI3" s="6">
        <f t="shared" ref="BI3:BI66" si="3">ABS(BH3)</f>
        <v>0.38468208794994552</v>
      </c>
      <c r="BV3" s="38"/>
      <c r="BW3" t="s">
        <v>149</v>
      </c>
      <c r="CU3">
        <v>1.8325957145940459</v>
      </c>
      <c r="CV3">
        <v>-0.26179938779914935</v>
      </c>
      <c r="CW3">
        <v>0.78539816339744828</v>
      </c>
      <c r="CX3">
        <v>1.9760462662487972</v>
      </c>
      <c r="CY3">
        <v>-3.0381507190181694</v>
      </c>
      <c r="CZ3">
        <v>1.1598662598498557</v>
      </c>
      <c r="DC3" t="s">
        <v>138</v>
      </c>
      <c r="DD3" t="s">
        <v>139</v>
      </c>
      <c r="DE3" t="s">
        <v>141</v>
      </c>
      <c r="DF3" t="s">
        <v>142</v>
      </c>
      <c r="DG3" t="s">
        <v>140</v>
      </c>
      <c r="DO3" s="9"/>
      <c r="DP3" s="9" t="str">
        <f t="shared" ref="DP3:DR3" si="4">Z14</f>
        <v>P</v>
      </c>
      <c r="DQ3" s="9" t="str">
        <f t="shared" si="4"/>
        <v>Mx</v>
      </c>
      <c r="DR3" s="9" t="str">
        <f t="shared" si="4"/>
        <v>My</v>
      </c>
    </row>
    <row r="4" spans="1:129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799.99999999940883</v>
      </c>
      <c r="V4" s="16" t="s">
        <v>68</v>
      </c>
      <c r="W4" s="30">
        <f ca="1">U4-U10</f>
        <v>-5.9117155615240335E-10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 s="6">
        <v>0</v>
      </c>
      <c r="AT4" s="6">
        <v>0</v>
      </c>
      <c r="BC4">
        <v>3.4906585039886591E-2</v>
      </c>
      <c r="BD4">
        <v>4.4408301452427388</v>
      </c>
      <c r="BE4">
        <v>11.081374289664311</v>
      </c>
      <c r="BF4" s="6">
        <f t="shared" si="0"/>
        <v>1.1896459446004195</v>
      </c>
      <c r="BG4" s="6">
        <f t="shared" si="1"/>
        <v>1.1547393595605329</v>
      </c>
      <c r="BH4" s="6">
        <f t="shared" si="2"/>
        <v>-0.40424778120297122</v>
      </c>
      <c r="BI4" s="6">
        <f t="shared" si="3"/>
        <v>0.40424778120297122</v>
      </c>
      <c r="BV4" s="38"/>
      <c r="BW4" s="1" t="s">
        <v>100</v>
      </c>
      <c r="BX4" s="1" t="s">
        <v>101</v>
      </c>
      <c r="CU4">
        <v>1.8325957145940459</v>
      </c>
      <c r="CV4">
        <v>0.78539816339744828</v>
      </c>
      <c r="CW4">
        <v>1.308996938995747</v>
      </c>
      <c r="CX4">
        <v>1.9760462662487972</v>
      </c>
      <c r="CY4">
        <v>1.1598662598498557</v>
      </c>
      <c r="CZ4">
        <v>1.3043487067946571</v>
      </c>
      <c r="DO4" s="9" t="str">
        <f t="shared" ref="DO4:DO5" si="5">Y15</f>
        <v>Max</v>
      </c>
      <c r="DP4" s="9">
        <f t="shared" ref="DP4:DP5" ca="1" si="6">Z15</f>
        <v>910.1105</v>
      </c>
      <c r="DQ4" s="9">
        <f t="shared" ref="DQ4:DQ5" ca="1" si="7">AA15</f>
        <v>-85.882875000000013</v>
      </c>
      <c r="DR4" s="9">
        <f t="shared" ref="DR4:DR5" ca="1" si="8">AB15</f>
        <v>28.627624999999998</v>
      </c>
      <c r="DS4" s="9"/>
      <c r="DT4" t="s">
        <v>218</v>
      </c>
      <c r="DU4" s="9">
        <f>U10</f>
        <v>800</v>
      </c>
      <c r="DV4" s="9">
        <f>U11</f>
        <v>10</v>
      </c>
      <c r="DW4" s="9">
        <f>U12</f>
        <v>10</v>
      </c>
      <c r="DY4">
        <f>ATAN2(DV4,DW4)</f>
        <v>0.78539816339744828</v>
      </c>
    </row>
    <row r="5" spans="1:129" x14ac:dyDescent="0.25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9">((E4*F5)-(E5*F4))*0.5</f>
        <v>96</v>
      </c>
      <c r="T5" s="26" t="s">
        <v>77</v>
      </c>
      <c r="U5" s="10">
        <f ca="1">U3*IF(B1="PCA_Parabolic",B204*(1/12),B79*(1/12))</f>
        <v>3.4018478699941461</v>
      </c>
      <c r="V5" s="16" t="s">
        <v>70</v>
      </c>
      <c r="W5" s="31"/>
      <c r="X5">
        <f>X4</f>
        <v>34</v>
      </c>
      <c r="Y5">
        <f>X5</f>
        <v>34</v>
      </c>
      <c r="AA5">
        <v>0</v>
      </c>
      <c r="AB5">
        <v>0</v>
      </c>
      <c r="AS5" s="6">
        <f>AS4+(AT2*(U11-AS4))</f>
        <v>20</v>
      </c>
      <c r="AT5" s="6">
        <f>AT4+(AT2*(U12-AT4))</f>
        <v>20</v>
      </c>
      <c r="BC5">
        <v>5.235987755982989E-2</v>
      </c>
      <c r="BD5">
        <v>4.4499749256382763</v>
      </c>
      <c r="BE5">
        <v>11.726771002012741</v>
      </c>
      <c r="BF5" s="6">
        <f t="shared" si="0"/>
        <v>1.208111245963934</v>
      </c>
      <c r="BG5" s="6">
        <f t="shared" si="1"/>
        <v>1.1557513684041041</v>
      </c>
      <c r="BH5" s="6">
        <f t="shared" si="2"/>
        <v>-0.42271308256648576</v>
      </c>
      <c r="BI5" s="6">
        <f t="shared" si="3"/>
        <v>0.42271308256648576</v>
      </c>
      <c r="BV5" s="38"/>
      <c r="BW5">
        <f ca="1">B132</f>
        <v>-64.093805184452847</v>
      </c>
      <c r="BX5">
        <f ca="1">B133</f>
        <v>21.364601728150944</v>
      </c>
      <c r="CU5">
        <v>1.8325957145940459</v>
      </c>
      <c r="CV5">
        <v>1.308996938995747</v>
      </c>
      <c r="CW5">
        <v>1.5707963267948966</v>
      </c>
      <c r="CX5">
        <v>1.9760462662487972</v>
      </c>
      <c r="CY5">
        <v>1.3043487067946571</v>
      </c>
      <c r="CZ5">
        <v>1.738691312740329</v>
      </c>
      <c r="DO5" s="9" t="str">
        <f t="shared" si="5"/>
        <v>Min</v>
      </c>
      <c r="DP5" s="9">
        <f t="shared" ca="1" si="6"/>
        <v>-170.64000000000001</v>
      </c>
      <c r="DQ5" s="9">
        <f t="shared" ca="1" si="7"/>
        <v>127.98</v>
      </c>
      <c r="DR5" s="9">
        <f t="shared" ca="1" si="8"/>
        <v>-42.660000000000004</v>
      </c>
      <c r="DS5" s="9"/>
      <c r="DT5" t="s">
        <v>219</v>
      </c>
      <c r="DU5" s="9">
        <f ca="1">U4</f>
        <v>799.99999999940883</v>
      </c>
      <c r="DV5" s="9">
        <f ca="1">U5</f>
        <v>3.4018478699941461</v>
      </c>
      <c r="DW5" s="9">
        <f ca="1">U6</f>
        <v>3.4018478700418617</v>
      </c>
      <c r="DY5">
        <f ca="1">ATAN2(DV5,DW5)</f>
        <v>0.78539816340446145</v>
      </c>
    </row>
    <row r="6" spans="1:129" x14ac:dyDescent="0.25">
      <c r="A6" s="8" t="s">
        <v>92</v>
      </c>
      <c r="B6" s="44">
        <v>0</v>
      </c>
      <c r="C6" t="s">
        <v>4</v>
      </c>
      <c r="E6" s="5">
        <f>B7+B5</f>
        <v>12</v>
      </c>
      <c r="F6">
        <f>F5</f>
        <v>16</v>
      </c>
      <c r="G6">
        <f t="shared" si="9"/>
        <v>0</v>
      </c>
      <c r="T6" s="26" t="s">
        <v>76</v>
      </c>
      <c r="U6" s="10">
        <f ca="1">U3*IF(B1="PCA_Parabolic",B205*(1/12),B80*(1/12))</f>
        <v>3.4018478700418617</v>
      </c>
      <c r="V6" s="16" t="s">
        <v>70</v>
      </c>
      <c r="W6" s="30">
        <f t="shared" ref="W6" ca="1" si="10">U6</f>
        <v>3.4018478700418617</v>
      </c>
      <c r="X6">
        <f>IF(B6=0,0,-1*X5)</f>
        <v>0</v>
      </c>
      <c r="Y6">
        <f>IF(B6=0,0,Y5)</f>
        <v>0</v>
      </c>
      <c r="AA6">
        <f>U14</f>
        <v>14.142135623730951</v>
      </c>
      <c r="AB6">
        <f>U10</f>
        <v>800</v>
      </c>
      <c r="BC6">
        <v>6.9813170079773182E-2</v>
      </c>
      <c r="BD6">
        <v>4.448595647200162</v>
      </c>
      <c r="BE6">
        <v>12.372864759775933</v>
      </c>
      <c r="BF6" s="6">
        <f t="shared" si="0"/>
        <v>1.2256440323986837</v>
      </c>
      <c r="BG6" s="6">
        <f t="shared" si="1"/>
        <v>1.1558308623189104</v>
      </c>
      <c r="BH6" s="6">
        <f t="shared" si="2"/>
        <v>-0.44024586900123541</v>
      </c>
      <c r="BI6" s="6">
        <f t="shared" si="3"/>
        <v>0.44024586900123541</v>
      </c>
      <c r="BV6" s="38"/>
      <c r="CU6">
        <v>1.8325957145940459</v>
      </c>
      <c r="CV6">
        <v>1.5707963267948966</v>
      </c>
      <c r="CW6">
        <v>1.7016960206944711</v>
      </c>
      <c r="CX6">
        <v>1.9760462662487972</v>
      </c>
      <c r="CY6">
        <v>1.738691312740329</v>
      </c>
      <c r="CZ6">
        <v>1.8913208927341638</v>
      </c>
      <c r="DS6" s="9"/>
      <c r="DT6" t="s">
        <v>222</v>
      </c>
      <c r="DU6" s="9">
        <f ca="1">DU5</f>
        <v>799.99999999940883</v>
      </c>
      <c r="DV6" s="9">
        <f>DV4+5</f>
        <v>15</v>
      </c>
      <c r="DW6" s="9">
        <f>DW4+5</f>
        <v>15</v>
      </c>
      <c r="DY6">
        <f>ATAN2(DV6,DW6)</f>
        <v>0.78539816339744828</v>
      </c>
    </row>
    <row r="7" spans="1:129" ht="15.75" thickBot="1" x14ac:dyDescent="0.3">
      <c r="A7" s="8" t="s">
        <v>91</v>
      </c>
      <c r="B7" s="44">
        <v>0</v>
      </c>
      <c r="C7" t="s">
        <v>4</v>
      </c>
      <c r="E7" s="5">
        <f>E6</f>
        <v>12</v>
      </c>
      <c r="F7">
        <f>B8</f>
        <v>24</v>
      </c>
      <c r="G7">
        <f t="shared" si="9"/>
        <v>48</v>
      </c>
      <c r="T7" s="27" t="s">
        <v>96</v>
      </c>
      <c r="U7" s="28">
        <f ca="1">IF(AND(U5=0,U6=0),0,MOD(ATAN2(U5,U6),2*PI()))</f>
        <v>0.78539816340446145</v>
      </c>
      <c r="V7" s="17" t="s">
        <v>97</v>
      </c>
      <c r="W7" s="32">
        <f ca="1">IF((U13-U7)=0,0,ATAN2(COS(U13-U7),SIN(U13-U7)))</f>
        <v>-7.0131678242546514E-12</v>
      </c>
      <c r="X7" s="38">
        <f ca="1">U7+2*PI()</f>
        <v>7.0685834705840476</v>
      </c>
      <c r="AA7">
        <f ca="1">U8</f>
        <v>4.8109393949094867</v>
      </c>
      <c r="AB7" s="9">
        <f ca="1">U4</f>
        <v>799.99999999940883</v>
      </c>
      <c r="BC7">
        <v>8.7266462599716474E-2</v>
      </c>
      <c r="BD7">
        <v>4.4366290943683859</v>
      </c>
      <c r="BE7">
        <v>13.020055630114092</v>
      </c>
      <c r="BF7" s="6">
        <f t="shared" si="0"/>
        <v>1.2423825836025373</v>
      </c>
      <c r="BG7" s="6">
        <f t="shared" si="1"/>
        <v>1.1551161210028209</v>
      </c>
      <c r="BH7" s="6">
        <f t="shared" si="2"/>
        <v>-0.45698442020508906</v>
      </c>
      <c r="BI7" s="6">
        <f t="shared" si="3"/>
        <v>0.45698442020508906</v>
      </c>
      <c r="BV7" s="38"/>
      <c r="BW7" t="s">
        <v>207</v>
      </c>
      <c r="CU7">
        <v>1.8325957145940459</v>
      </c>
      <c r="CV7">
        <v>1.7016960206944711</v>
      </c>
      <c r="CW7">
        <v>1.7671458676442584</v>
      </c>
      <c r="CX7">
        <v>1.9760462662487972</v>
      </c>
      <c r="CY7">
        <v>1.8913208927341638</v>
      </c>
      <c r="CZ7">
        <v>1.9442673481731532</v>
      </c>
      <c r="DO7" t="s">
        <v>210</v>
      </c>
    </row>
    <row r="8" spans="1:129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9"/>
        <v>144</v>
      </c>
      <c r="T8" s="36" t="s">
        <v>109</v>
      </c>
      <c r="U8" s="6">
        <f ca="1">SQRT(POWER(U5,2)+POWER(U6,2))</f>
        <v>4.8109393949094867</v>
      </c>
      <c r="V8" s="40" t="s">
        <v>70</v>
      </c>
      <c r="X8">
        <f ca="1">DEGREES(U7)</f>
        <v>45.000000000401826</v>
      </c>
      <c r="BC8">
        <v>0.10471975511965977</v>
      </c>
      <c r="BD8">
        <v>4.4139856545026728</v>
      </c>
      <c r="BE8">
        <v>13.668746367035158</v>
      </c>
      <c r="BF8" s="6">
        <f t="shared" si="0"/>
        <v>1.2584419575906398</v>
      </c>
      <c r="BG8" s="6">
        <f t="shared" si="1"/>
        <v>1.1537222024709801</v>
      </c>
      <c r="BH8" s="6">
        <f t="shared" si="2"/>
        <v>-0.47304379419319154</v>
      </c>
      <c r="BI8" s="6">
        <f t="shared" si="3"/>
        <v>0.47304379419319154</v>
      </c>
      <c r="BV8" s="38"/>
      <c r="BW8" s="1" t="s">
        <v>205</v>
      </c>
      <c r="BX8" s="1" t="s">
        <v>206</v>
      </c>
      <c r="BY8" s="1"/>
      <c r="BZ8" s="1"/>
      <c r="CA8" s="1"/>
      <c r="CB8" s="1" t="s">
        <v>203</v>
      </c>
      <c r="CC8" s="1" t="s">
        <v>204</v>
      </c>
      <c r="CD8" s="1"/>
      <c r="CE8" s="1"/>
      <c r="CG8" s="1"/>
      <c r="CN8" s="1"/>
      <c r="CO8" s="1"/>
      <c r="CP8" s="1"/>
      <c r="CQ8" s="1"/>
      <c r="CU8">
        <v>1.8325957145940459</v>
      </c>
      <c r="CV8">
        <v>1.7671458676442584</v>
      </c>
      <c r="CW8">
        <v>1.7998707911191523</v>
      </c>
      <c r="CX8">
        <v>1.9760462662487972</v>
      </c>
      <c r="CY8">
        <v>1.9442673481731532</v>
      </c>
      <c r="CZ8">
        <v>1.9617238522506064</v>
      </c>
      <c r="DP8" s="9">
        <f ca="1">DP5</f>
        <v>-170.64000000000001</v>
      </c>
      <c r="DQ8" s="9">
        <f ca="1">DQ5</f>
        <v>127.98</v>
      </c>
      <c r="DR8" s="9">
        <f ca="1">DR5</f>
        <v>-42.660000000000004</v>
      </c>
    </row>
    <row r="9" spans="1:129" x14ac:dyDescent="0.25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9"/>
        <v>0</v>
      </c>
      <c r="T9" s="34" t="s">
        <v>98</v>
      </c>
      <c r="U9" s="35"/>
      <c r="V9" s="15"/>
      <c r="AA9" s="9">
        <f ca="1">U5-U11</f>
        <v>-6.5981521300058539</v>
      </c>
      <c r="AB9" s="9">
        <f ca="1">U6-U12</f>
        <v>-6.5981521299581383</v>
      </c>
      <c r="AC9" s="9">
        <f ca="1">AA9+AB9</f>
        <v>-13.196304259963991</v>
      </c>
      <c r="BC9">
        <v>0.12217304763960306</v>
      </c>
      <c r="BD9">
        <v>4.3805487946515704</v>
      </c>
      <c r="BE9">
        <v>14.319343424394566</v>
      </c>
      <c r="BF9" s="6">
        <f t="shared" si="0"/>
        <v>1.2739188080031043</v>
      </c>
      <c r="BG9" s="6">
        <f t="shared" si="1"/>
        <v>1.1517457603635013</v>
      </c>
      <c r="BH9" s="6">
        <f t="shared" si="2"/>
        <v>-0.48852064460565603</v>
      </c>
      <c r="BI9" s="6">
        <f t="shared" si="3"/>
        <v>0.48852064460565603</v>
      </c>
      <c r="BV9" s="38" t="s">
        <v>200</v>
      </c>
      <c r="BW9" s="6">
        <f ca="1">(BW5-U11)</f>
        <v>-74.093805184452847</v>
      </c>
      <c r="BX9" s="6">
        <f ca="1">(BX5-U12)</f>
        <v>11.364601728150944</v>
      </c>
      <c r="BY9" s="1"/>
      <c r="BZ9" s="1"/>
      <c r="CA9" s="1"/>
      <c r="CB9" s="6">
        <f ca="1">BW5-U5</f>
        <v>-67.49565305444699</v>
      </c>
      <c r="CC9" s="6">
        <f ca="1">BX5-U6</f>
        <v>17.962753858109082</v>
      </c>
      <c r="CD9" s="1"/>
      <c r="CE9" s="6"/>
      <c r="CF9" s="9"/>
      <c r="CI9" s="6">
        <f ca="1">BW9-CB9</f>
        <v>-6.5981521300058574</v>
      </c>
      <c r="CJ9" s="6">
        <f ca="1">BX9-CC9</f>
        <v>-6.5981521299581374</v>
      </c>
      <c r="CK9" s="1"/>
      <c r="CL9" s="1"/>
      <c r="CM9" s="9"/>
      <c r="CR9" s="38"/>
      <c r="CU9">
        <v>1.8325957145940459</v>
      </c>
      <c r="CV9">
        <v>1.7998707911191523</v>
      </c>
      <c r="CW9">
        <v>1.8162332528565992</v>
      </c>
      <c r="CX9">
        <v>1.9760462662487972</v>
      </c>
      <c r="CY9">
        <v>1.9617238522506064</v>
      </c>
      <c r="CZ9">
        <v>1.9692023149911233</v>
      </c>
      <c r="DP9" s="9" t="s">
        <v>215</v>
      </c>
      <c r="DQ9" s="9" t="s">
        <v>8</v>
      </c>
      <c r="DR9" s="9" t="s">
        <v>9</v>
      </c>
      <c r="DS9" s="9" t="s">
        <v>217</v>
      </c>
    </row>
    <row r="10" spans="1:129" x14ac:dyDescent="0.25">
      <c r="E10">
        <v>0</v>
      </c>
      <c r="F10">
        <f>F9</f>
        <v>16</v>
      </c>
      <c r="G10">
        <f t="shared" si="9"/>
        <v>0</v>
      </c>
      <c r="T10" s="36" t="s">
        <v>99</v>
      </c>
      <c r="U10" s="47">
        <v>800</v>
      </c>
      <c r="V10" s="16" t="s">
        <v>68</v>
      </c>
      <c r="W10" t="str">
        <f>"+ Compression"</f>
        <v>+ Compression</v>
      </c>
      <c r="BC10">
        <v>0.13962634015954636</v>
      </c>
      <c r="BD10">
        <v>4.3361743812579308</v>
      </c>
      <c r="BE10">
        <v>14.97225798882711</v>
      </c>
      <c r="BF10" s="6">
        <f t="shared" si="0"/>
        <v>1.2888950677715905</v>
      </c>
      <c r="BG10" s="6">
        <f t="shared" si="1"/>
        <v>1.1492687276120441</v>
      </c>
      <c r="BH10" s="6">
        <f t="shared" si="2"/>
        <v>-0.50349690437414218</v>
      </c>
      <c r="BI10" s="6">
        <f t="shared" si="3"/>
        <v>0.50349690437414218</v>
      </c>
      <c r="BV10" s="38" t="s">
        <v>201</v>
      </c>
      <c r="BW10" s="1">
        <f ca="1">SQRT(POWER(BW9,2)+POWER(BX9,2))</f>
        <v>74.960297085531508</v>
      </c>
      <c r="BX10" s="1"/>
      <c r="BY10" s="1"/>
      <c r="BZ10" s="1" t="s">
        <v>155</v>
      </c>
      <c r="CA10" s="39" t="s">
        <v>201</v>
      </c>
      <c r="CB10" s="1">
        <f ca="1">SQRT(POWER(CB9,2)+POWER(CC9,2))</f>
        <v>69.844997726489282</v>
      </c>
      <c r="CC10" s="1"/>
      <c r="CD10" s="1"/>
      <c r="CE10" s="1" t="s">
        <v>155</v>
      </c>
      <c r="CH10" s="39" t="s">
        <v>201</v>
      </c>
      <c r="CI10" s="1">
        <f ca="1">SQRT(POWER(CI9,2)+POWER(CJ9,2))</f>
        <v>9.3311962288214652</v>
      </c>
      <c r="CJ10" s="1"/>
      <c r="CK10" s="1"/>
      <c r="CL10" s="1" t="s">
        <v>155</v>
      </c>
      <c r="CU10">
        <v>1.8325957145940459</v>
      </c>
      <c r="CV10">
        <v>1.8162332528565992</v>
      </c>
      <c r="CW10">
        <v>1.8244144837253224</v>
      </c>
      <c r="CX10">
        <v>1.9760462662487972</v>
      </c>
      <c r="CY10">
        <v>1.9692023149911233</v>
      </c>
      <c r="CZ10">
        <v>1.9726963486812983</v>
      </c>
      <c r="DO10" t="s">
        <v>198</v>
      </c>
      <c r="DP10" s="9">
        <f ca="1">DP4-$DP$8</f>
        <v>1080.7505000000001</v>
      </c>
      <c r="DQ10" s="9">
        <f ca="1">DQ4-$DQ$8</f>
        <v>-213.86287500000003</v>
      </c>
      <c r="DR10" s="9">
        <f ca="1">DR4-$DR$8</f>
        <v>71.287625000000006</v>
      </c>
      <c r="DS10" s="9">
        <v>0</v>
      </c>
      <c r="DU10" s="9">
        <f ca="1">DU4-$DP$8</f>
        <v>970.64</v>
      </c>
      <c r="DV10" s="9">
        <f ca="1">DV4-$DQ$8</f>
        <v>-117.98</v>
      </c>
      <c r="DW10" s="9">
        <f ca="1">DW4-$DR$8</f>
        <v>52.660000000000004</v>
      </c>
      <c r="DX10" s="9">
        <v>0</v>
      </c>
      <c r="DY10">
        <f ca="1">ATAN2(DV10,DW10)</f>
        <v>2.721780849116934</v>
      </c>
    </row>
    <row r="11" spans="1:129" x14ac:dyDescent="0.25">
      <c r="A11" t="s">
        <v>10</v>
      </c>
      <c r="E11">
        <v>0</v>
      </c>
      <c r="F11">
        <v>0</v>
      </c>
      <c r="G11">
        <f t="shared" si="9"/>
        <v>0</v>
      </c>
      <c r="T11" s="36" t="s">
        <v>100</v>
      </c>
      <c r="U11" s="47">
        <v>10</v>
      </c>
      <c r="V11" s="16" t="s">
        <v>70</v>
      </c>
      <c r="W11" t="str">
        <f>"+ Puts Top of Section in Compression"</f>
        <v>+ Puts Top of Section in Compression</v>
      </c>
      <c r="BC11">
        <v>0.15707963267948966</v>
      </c>
      <c r="BD11">
        <v>4.2806898714591179</v>
      </c>
      <c r="BE11">
        <v>15.627907036868212</v>
      </c>
      <c r="BF11" s="6">
        <f t="shared" si="0"/>
        <v>1.303440794860238</v>
      </c>
      <c r="BG11" s="6">
        <f t="shared" si="1"/>
        <v>1.1463611621807483</v>
      </c>
      <c r="BH11" s="6">
        <f t="shared" si="2"/>
        <v>-0.51804263146278973</v>
      </c>
      <c r="BI11" s="6">
        <f t="shared" si="3"/>
        <v>0.51804263146278973</v>
      </c>
      <c r="BV11" s="38" t="s">
        <v>150</v>
      </c>
      <c r="BW11" s="1">
        <f ca="1">BW9/BW10</f>
        <v>-0.988440655456715</v>
      </c>
      <c r="BX11" s="1">
        <f ca="1">BX9/BW10</f>
        <v>0.15160828024979223</v>
      </c>
      <c r="BY11" s="1"/>
      <c r="BZ11" s="1">
        <f ca="1">ATAN2(BW11,BX11)</f>
        <v>2.9893974947526321</v>
      </c>
      <c r="CA11" s="39" t="s">
        <v>150</v>
      </c>
      <c r="CB11" s="1">
        <f ca="1">CB9/CB10</f>
        <v>-0.9663634512346575</v>
      </c>
      <c r="CC11" s="1">
        <f ca="1">CC9/CB10</f>
        <v>0.25718024830426134</v>
      </c>
      <c r="CD11" s="1"/>
      <c r="CE11" s="1">
        <f ca="1">ATAN2(CB11,CC11)</f>
        <v>2.8814894884260398</v>
      </c>
      <c r="CF11" s="9"/>
      <c r="CG11">
        <f ca="1">ATAN2(COS(CE11-BZ11),SIN(CE11-BZ11))</f>
        <v>-0.10790800632659224</v>
      </c>
      <c r="CH11" s="39" t="s">
        <v>150</v>
      </c>
      <c r="CI11" s="1">
        <f ca="1">CI9/CI10</f>
        <v>-0.70710678118910453</v>
      </c>
      <c r="CJ11" s="1">
        <f ca="1">CJ9/CI10</f>
        <v>-0.70710678118399051</v>
      </c>
      <c r="CK11" s="1"/>
      <c r="CL11" s="1">
        <f ca="1">ATAN2(CI11,CJ11)</f>
        <v>-2.3561944901959611</v>
      </c>
      <c r="CM11" s="38">
        <f ca="1">ATAN2(COS(U13-CL11),SIN(U13-CL11))</f>
        <v>-3.1415926535861769</v>
      </c>
      <c r="CU11">
        <v>1.8325957145940459</v>
      </c>
      <c r="CV11">
        <v>1.8244144837253224</v>
      </c>
      <c r="CW11">
        <v>1.8285050991596843</v>
      </c>
      <c r="CX11">
        <v>1.9760462662487972</v>
      </c>
      <c r="CY11">
        <v>1.9726963486812983</v>
      </c>
      <c r="CZ11">
        <v>1.9743885128535212</v>
      </c>
      <c r="DO11" t="s">
        <v>199</v>
      </c>
      <c r="DP11" s="9">
        <f ca="1">DP5-$DP$8</f>
        <v>0</v>
      </c>
      <c r="DQ11" s="9">
        <f ca="1">DQ5-$DQ$8</f>
        <v>0</v>
      </c>
      <c r="DR11" s="9">
        <f ca="1">DR5-$DR$8</f>
        <v>0</v>
      </c>
      <c r="DS11" s="9">
        <v>0</v>
      </c>
      <c r="DU11" s="9">
        <f ca="1">DU5-$DP$8</f>
        <v>970.63999999940881</v>
      </c>
      <c r="DV11" s="9">
        <f ca="1">DV5-$DQ$8</f>
        <v>-124.57815213000586</v>
      </c>
      <c r="DW11" s="9">
        <f ca="1">DW5-$DR$8</f>
        <v>46.061847870041866</v>
      </c>
      <c r="DX11" s="9">
        <v>0</v>
      </c>
      <c r="DY11">
        <f ca="1">ATAN2(DV11,DW11)</f>
        <v>2.7874391727021837</v>
      </c>
    </row>
    <row r="12" spans="1:129" x14ac:dyDescent="0.25">
      <c r="A12" s="8" t="s">
        <v>11</v>
      </c>
      <c r="B12" s="2">
        <v>60</v>
      </c>
      <c r="C12" t="s">
        <v>1</v>
      </c>
      <c r="G12">
        <f>SUM(G4:G11)</f>
        <v>288</v>
      </c>
      <c r="T12" s="36" t="s">
        <v>101</v>
      </c>
      <c r="U12" s="47">
        <v>10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4.2138933076139899</v>
      </c>
      <c r="BE12">
        <v>16.286714424555818</v>
      </c>
      <c r="BF12" s="6">
        <f t="shared" si="0"/>
        <v>1.3176163964725249</v>
      </c>
      <c r="BG12" s="6">
        <f t="shared" si="1"/>
        <v>1.143083471273092</v>
      </c>
      <c r="BH12" s="6">
        <f t="shared" si="2"/>
        <v>-0.53221823307507665</v>
      </c>
      <c r="BI12" s="6">
        <f t="shared" si="3"/>
        <v>0.53221823307507665</v>
      </c>
      <c r="BV12" s="38"/>
      <c r="CN12" s="1"/>
      <c r="CO12" s="1"/>
      <c r="CP12" s="1"/>
      <c r="CQ12" s="1"/>
      <c r="CU12">
        <v>1.8325957145940459</v>
      </c>
      <c r="CV12">
        <v>1.8285050991596843</v>
      </c>
      <c r="CW12">
        <v>1.8305504068768652</v>
      </c>
      <c r="CX12">
        <v>1.9760462662487972</v>
      </c>
      <c r="CY12">
        <v>1.9743885128535212</v>
      </c>
      <c r="CZ12">
        <v>1.9752215951289438</v>
      </c>
      <c r="DU12" s="9">
        <f ca="1">DU6-$DP$8</f>
        <v>970.63999999940881</v>
      </c>
      <c r="DV12" s="9">
        <f ca="1">DV6-$DQ$8</f>
        <v>-112.98</v>
      </c>
      <c r="DW12" s="9">
        <f ca="1">DW6-$DR$8</f>
        <v>57.660000000000004</v>
      </c>
      <c r="DX12" s="9">
        <v>0</v>
      </c>
      <c r="DY12">
        <f ca="1">ATAN2(DV12,DW12)</f>
        <v>2.6696947557966162</v>
      </c>
    </row>
    <row r="13" spans="1:129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0.78539816339744828</v>
      </c>
      <c r="V13" s="17" t="s">
        <v>97</v>
      </c>
      <c r="X13" s="38"/>
      <c r="Y13" s="9"/>
      <c r="AA13" s="48"/>
      <c r="BC13">
        <v>0.19198621771937624</v>
      </c>
      <c r="BD13">
        <v>4.1371012805727299</v>
      </c>
      <c r="BE13">
        <v>16.94297666656928</v>
      </c>
      <c r="BF13" s="6">
        <f t="shared" si="0"/>
        <v>1.3313047034098957</v>
      </c>
      <c r="BG13" s="6">
        <f t="shared" si="1"/>
        <v>1.1393184856905194</v>
      </c>
      <c r="BH13" s="6">
        <f t="shared" si="2"/>
        <v>-0.54590654001244743</v>
      </c>
      <c r="BI13" s="6">
        <f t="shared" si="3"/>
        <v>0.54590654001244743</v>
      </c>
      <c r="BV13" s="38"/>
      <c r="BW13" t="s">
        <v>151</v>
      </c>
      <c r="CI13" s="9"/>
      <c r="CJ13" s="9"/>
      <c r="CU13">
        <v>1.8325957145940459</v>
      </c>
      <c r="CV13">
        <v>1.8305504068768652</v>
      </c>
      <c r="CW13">
        <v>1.8315730607354554</v>
      </c>
      <c r="CX13">
        <v>1.9760462662487972</v>
      </c>
      <c r="CY13">
        <v>1.9752215951289438</v>
      </c>
      <c r="CZ13">
        <v>1.9756349704483986</v>
      </c>
      <c r="DO13" t="s">
        <v>211</v>
      </c>
    </row>
    <row r="14" spans="1:129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14.142135623730951</v>
      </c>
      <c r="V14" s="43" t="s">
        <v>70</v>
      </c>
      <c r="Y14" s="57"/>
      <c r="Z14" s="58" t="s">
        <v>99</v>
      </c>
      <c r="AA14" s="59" t="s">
        <v>100</v>
      </c>
      <c r="AB14" s="60" t="s">
        <v>101</v>
      </c>
      <c r="BC14">
        <v>0.20943951023931953</v>
      </c>
      <c r="BD14">
        <v>4.0626253649807156</v>
      </c>
      <c r="BE14">
        <v>17.551044976380716</v>
      </c>
      <c r="BF14" s="6">
        <f t="shared" si="0"/>
        <v>1.3433276480231056</v>
      </c>
      <c r="BG14" s="6">
        <f t="shared" si="1"/>
        <v>1.1338881377837859</v>
      </c>
      <c r="BH14" s="6">
        <f t="shared" si="2"/>
        <v>-0.55792948462565739</v>
      </c>
      <c r="BI14" s="6">
        <f t="shared" si="3"/>
        <v>0.55792948462565739</v>
      </c>
      <c r="BV14" s="38"/>
      <c r="BW14" t="s">
        <v>111</v>
      </c>
      <c r="BX14" s="1" t="s">
        <v>100</v>
      </c>
      <c r="BY14" s="1" t="s">
        <v>101</v>
      </c>
      <c r="BZ14" s="1" t="s">
        <v>152</v>
      </c>
      <c r="CA14" s="1" t="s">
        <v>153</v>
      </c>
      <c r="CB14" s="1" t="s">
        <v>154</v>
      </c>
      <c r="CC14" s="1" t="s">
        <v>155</v>
      </c>
      <c r="CD14" s="1"/>
      <c r="CE14" s="1"/>
      <c r="CF14" s="1" t="s">
        <v>152</v>
      </c>
      <c r="CG14" s="1" t="s">
        <v>153</v>
      </c>
      <c r="CH14" s="1" t="s">
        <v>154</v>
      </c>
      <c r="CI14" s="1" t="s">
        <v>155</v>
      </c>
      <c r="CJ14" s="1" t="s">
        <v>156</v>
      </c>
      <c r="CL14" s="1"/>
      <c r="CM14" s="1"/>
      <c r="CN14" s="1"/>
      <c r="CO14" s="1"/>
      <c r="CP14" s="1"/>
      <c r="CU14">
        <v>1.8325957145940459</v>
      </c>
      <c r="CV14">
        <v>1.8315730607354554</v>
      </c>
      <c r="CW14">
        <v>1.8320843876647506</v>
      </c>
      <c r="CX14">
        <v>1.9760462662487972</v>
      </c>
      <c r="CY14">
        <v>1.9756349704483986</v>
      </c>
      <c r="CZ14">
        <v>1.9758408768303888</v>
      </c>
      <c r="DJ14" t="s">
        <v>212</v>
      </c>
      <c r="DK14">
        <f ca="1">DP14</f>
        <v>-0.32175055439664219</v>
      </c>
      <c r="DL14" t="s">
        <v>97</v>
      </c>
      <c r="DO14" t="s">
        <v>212</v>
      </c>
      <c r="DP14">
        <f ca="1">ATAN2(-1*DQ10,-1*DR10)</f>
        <v>-0.32175055439664219</v>
      </c>
      <c r="DQ14" t="s">
        <v>97</v>
      </c>
    </row>
    <row r="15" spans="1:129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11">IF($B15=0,NA(),D15)</f>
        <v>2</v>
      </c>
      <c r="L15" s="1">
        <f t="shared" ref="L15:L24" si="12">IF($B15=0,NA(),E15)</f>
        <v>2</v>
      </c>
      <c r="T15" s="37" t="s">
        <v>103</v>
      </c>
      <c r="U15" s="6">
        <f>SQRT(POWER(U12,2)+POWER(U11,2)+POWER(U10,2))</f>
        <v>800.12499023590055</v>
      </c>
      <c r="Y15" s="61" t="s">
        <v>198</v>
      </c>
      <c r="Z15" s="10">
        <f ca="1">B115</f>
        <v>910.1105</v>
      </c>
      <c r="AA15" s="10">
        <f ca="1">C116</f>
        <v>-85.882875000000013</v>
      </c>
      <c r="AB15" s="64">
        <f ca="1">C117</f>
        <v>28.627624999999998</v>
      </c>
      <c r="BC15">
        <v>0.22689280275926282</v>
      </c>
      <c r="BD15">
        <v>3.9922493439375062</v>
      </c>
      <c r="BE15">
        <v>18.111961669269725</v>
      </c>
      <c r="BF15" s="6">
        <f t="shared" si="0"/>
        <v>1.3538448805135512</v>
      </c>
      <c r="BG15" s="6">
        <f t="shared" si="1"/>
        <v>1.1269520777542885</v>
      </c>
      <c r="BH15" s="6">
        <f t="shared" si="2"/>
        <v>-0.56844671711610295</v>
      </c>
      <c r="BI15" s="6">
        <f t="shared" si="3"/>
        <v>0.56844671711610295</v>
      </c>
      <c r="BV15" s="38"/>
      <c r="BW15" s="6">
        <f t="shared" ref="BW15:BW78" si="13">BC2</f>
        <v>0</v>
      </c>
      <c r="BX15" s="9">
        <f ca="1">$BW$5-BD2</f>
        <v>-68.484896653108166</v>
      </c>
      <c r="BY15" s="9">
        <f ca="1">$BX$5-BE2</f>
        <v>11.573522547704236</v>
      </c>
      <c r="BZ15">
        <f ca="1">SQRT(POWER(BX15,2)+POWER(BY15,2))</f>
        <v>69.455939225879916</v>
      </c>
      <c r="CA15" s="6">
        <f t="shared" ref="CA15" ca="1" si="14">BX15/BZ15</f>
        <v>-0.98601930110521163</v>
      </c>
      <c r="CB15" s="6">
        <f t="shared" ref="CB15" ca="1" si="15">BY15/BZ15</f>
        <v>0.1666311430915304</v>
      </c>
      <c r="CC15" s="6">
        <f t="shared" ref="CC15" ca="1" si="16">ATAN2(CA15,CB15)</f>
        <v>2.9741806017412165</v>
      </c>
      <c r="CD15" s="6">
        <f ca="1">$BW$9-BX15</f>
        <v>-5.6089085313446816</v>
      </c>
      <c r="CE15" s="9">
        <f ca="1">$BX$9-BY15</f>
        <v>-0.20892081955329189</v>
      </c>
      <c r="CF15">
        <f ca="1">SQRT(POWER(CD15,2)+POWER(CE15,2))</f>
        <v>5.6127981276573609</v>
      </c>
      <c r="CG15" s="6">
        <f t="shared" ref="CG15" ca="1" si="17">CD15/CF15</f>
        <v>-0.9993070129685383</v>
      </c>
      <c r="CH15" s="6">
        <f t="shared" ref="CH15" ca="1" si="18">CE15/CF15</f>
        <v>-3.7222222285854797E-2</v>
      </c>
      <c r="CI15" s="6">
        <f t="shared" ref="CI15" ca="1" si="19">ATAN2(CG15,CH15)</f>
        <v>-3.1043618307474192</v>
      </c>
      <c r="CJ15" s="1">
        <f ca="1">ATAN2(COS($U$13-CI15),SIN($U$13-CI15))</f>
        <v>-2.3934253130347187</v>
      </c>
      <c r="CK15" s="38"/>
      <c r="CL15" s="9"/>
      <c r="CM15" s="9"/>
      <c r="CN15" s="1"/>
      <c r="CO15" s="1"/>
      <c r="CP15" s="1"/>
      <c r="CQ15" s="1"/>
      <c r="CU15">
        <v>1.8325957145940459</v>
      </c>
      <c r="CV15">
        <v>1.8320843876647506</v>
      </c>
      <c r="CW15">
        <v>1.8323400511293984</v>
      </c>
      <c r="CX15">
        <v>1.9760462662487972</v>
      </c>
      <c r="CY15">
        <v>1.9758408768303888</v>
      </c>
      <c r="CZ15">
        <v>1.9759436359945197</v>
      </c>
      <c r="DJ15" t="s">
        <v>213</v>
      </c>
      <c r="DK15">
        <v>1</v>
      </c>
      <c r="DL15">
        <v>0</v>
      </c>
      <c r="DM15">
        <v>0</v>
      </c>
      <c r="DO15" t="s">
        <v>213</v>
      </c>
      <c r="DP15">
        <v>1</v>
      </c>
      <c r="DQ15">
        <v>0</v>
      </c>
      <c r="DR15">
        <v>0</v>
      </c>
    </row>
    <row r="16" spans="1:129" ht="15.75" thickBot="1" x14ac:dyDescent="0.3">
      <c r="A16">
        <v>2</v>
      </c>
      <c r="B16" s="19">
        <v>8</v>
      </c>
      <c r="C16" s="6">
        <f t="shared" ref="C16:C24" ca="1" si="20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11"/>
        <v>2</v>
      </c>
      <c r="L16" s="1">
        <f t="shared" si="12"/>
        <v>4</v>
      </c>
      <c r="T16" s="37" t="s">
        <v>104</v>
      </c>
      <c r="U16" s="39">
        <f>U10/U15</f>
        <v>0.99984378661155959</v>
      </c>
      <c r="V16" s="39">
        <f>U11/U15</f>
        <v>1.2498047332644495E-2</v>
      </c>
      <c r="W16" s="39">
        <f>U12/U15</f>
        <v>1.2498047332644495E-2</v>
      </c>
      <c r="X16" s="38"/>
      <c r="Y16" s="62" t="s">
        <v>199</v>
      </c>
      <c r="Z16" s="63">
        <f ca="1">J115</f>
        <v>-170.64000000000001</v>
      </c>
      <c r="AA16" s="63">
        <f ca="1">K116</f>
        <v>127.98</v>
      </c>
      <c r="AB16" s="65">
        <f ca="1">K117</f>
        <v>-42.660000000000004</v>
      </c>
      <c r="BC16">
        <v>0.24434609527920612</v>
      </c>
      <c r="BD16">
        <v>3.9250276702485305</v>
      </c>
      <c r="BE16">
        <v>18.635630658281464</v>
      </c>
      <c r="BF16" s="6">
        <f t="shared" si="0"/>
        <v>1.3632108490185035</v>
      </c>
      <c r="BG16" s="6">
        <f t="shared" si="1"/>
        <v>1.1188647537392975</v>
      </c>
      <c r="BH16" s="6">
        <f t="shared" si="2"/>
        <v>-0.57781268562105526</v>
      </c>
      <c r="BI16" s="6">
        <f t="shared" si="3"/>
        <v>0.57781268562105526</v>
      </c>
      <c r="BV16" s="38"/>
      <c r="BW16" s="6">
        <f t="shared" si="13"/>
        <v>1.7453292519943295E-2</v>
      </c>
      <c r="BX16" s="9">
        <f t="shared" ref="BX16:BX79" ca="1" si="21">$BW$5-BD3</f>
        <v>-68.515003697631045</v>
      </c>
      <c r="BY16" s="9">
        <f t="shared" ref="BY16:BY79" ca="1" si="22">$BX$5-BE3</f>
        <v>10.928325484978481</v>
      </c>
      <c r="BZ16">
        <f t="shared" ref="BZ16:BZ79" ca="1" si="23">SQRT(POWER(BX16,2)+POWER(BY16,2))</f>
        <v>69.381078325376478</v>
      </c>
      <c r="CA16" s="6">
        <f t="shared" ref="CA16:CA79" ca="1" si="24">BX16/BZ16</f>
        <v>-0.98751713509432926</v>
      </c>
      <c r="CB16" s="6">
        <f t="shared" ref="CB16:CB79" ca="1" si="25">BY16/BZ16</f>
        <v>0.15751161193730526</v>
      </c>
      <c r="CC16" s="6">
        <f t="shared" ref="CC16:CC79" ca="1" si="26">ATAN2(CA16,CB16)</f>
        <v>2.9834223528217887</v>
      </c>
      <c r="CD16" s="6">
        <f t="shared" ref="CD16:CD79" ca="1" si="27">$BW$9-BX16</f>
        <v>-5.5788014868218028</v>
      </c>
      <c r="CE16" s="9">
        <f t="shared" ref="CE16:CE79" ca="1" si="28">$BX$9-BY16</f>
        <v>0.43627624317246294</v>
      </c>
      <c r="CF16">
        <f t="shared" ref="CF16:CF79" ca="1" si="29">SQRT(POWER(CD16,2)+POWER(CE16,2))</f>
        <v>5.5958344319432678</v>
      </c>
      <c r="CG16" s="6">
        <f t="shared" ref="CG16:CG79" ca="1" si="30">CD16/CF16</f>
        <v>-0.99695613847610753</v>
      </c>
      <c r="CH16" s="6">
        <f t="shared" ref="CH16:CH79" ca="1" si="31">CE16/CF16</f>
        <v>7.7964465975266017E-2</v>
      </c>
      <c r="CI16" s="6">
        <f t="shared" ref="CI16:CI79" ca="1" si="32">ATAN2(CG16,CH16)</f>
        <v>3.063548986829574</v>
      </c>
      <c r="CJ16" s="1">
        <f t="shared" ref="CJ16:CJ79" ca="1" si="33">ATAN2(COS($U$13-CI16),SIN($U$13-CI16))</f>
        <v>-2.2781508234321257</v>
      </c>
      <c r="CK16" s="38"/>
      <c r="CU16">
        <v>1.8325957145940459</v>
      </c>
      <c r="CV16">
        <v>1.8323400511293984</v>
      </c>
      <c r="CW16">
        <v>1.8324678828617222</v>
      </c>
      <c r="CX16">
        <v>1.9760462662487972</v>
      </c>
      <c r="CY16">
        <v>1.9759436359945197</v>
      </c>
      <c r="CZ16">
        <v>1.9759949671905166</v>
      </c>
      <c r="DJ16" t="s">
        <v>214</v>
      </c>
      <c r="DK16">
        <f ca="1">(DK15*DK15*(1-COS(DK14)))+COS(DK14)</f>
        <v>1</v>
      </c>
      <c r="DL16">
        <f ca="1">(DL15*DK15*(1-COS(DK14)))-(DM15*SIN(DK14))</f>
        <v>0</v>
      </c>
      <c r="DM16">
        <f ca="1">(DM15*DK15*(1-COS(DK14)))+(DL15*SIN(DK14))</f>
        <v>0</v>
      </c>
      <c r="DO16" t="s">
        <v>214</v>
      </c>
      <c r="DP16">
        <f ca="1">(DP15*DP15*(1-COS(DP14)))+COS(DP14)</f>
        <v>1</v>
      </c>
      <c r="DQ16">
        <f ca="1">(DQ15*DP15*(1-COS(DP14)))-(DR15*SIN(DP14))</f>
        <v>0</v>
      </c>
      <c r="DR16">
        <f ca="1">(DR15*DP15*(1-COS(DP14)))+(DQ15*SIN(DP14))</f>
        <v>0</v>
      </c>
      <c r="DS16">
        <v>0</v>
      </c>
    </row>
    <row r="17" spans="1:129" x14ac:dyDescent="0.25">
      <c r="A17">
        <v>3</v>
      </c>
      <c r="B17" s="19">
        <v>8</v>
      </c>
      <c r="C17" s="6">
        <f t="shared" ca="1" si="20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11"/>
        <v>4</v>
      </c>
      <c r="L17" s="1">
        <f t="shared" si="12"/>
        <v>2</v>
      </c>
      <c r="BC17">
        <v>0.26179938779914941</v>
      </c>
      <c r="BD17">
        <v>3.8601888222884222</v>
      </c>
      <c r="BE17">
        <v>19.129486593717608</v>
      </c>
      <c r="BF17" s="6">
        <f t="shared" si="0"/>
        <v>1.3716777095052231</v>
      </c>
      <c r="BG17" s="6">
        <f t="shared" si="1"/>
        <v>1.1098783217060737</v>
      </c>
      <c r="BH17" s="6">
        <f t="shared" si="2"/>
        <v>-0.58627954610777477</v>
      </c>
      <c r="BI17" s="6">
        <f t="shared" si="3"/>
        <v>0.58627954610777477</v>
      </c>
      <c r="BV17" s="38"/>
      <c r="BW17" s="6">
        <f t="shared" si="13"/>
        <v>3.4906585039886591E-2</v>
      </c>
      <c r="BX17" s="9">
        <f t="shared" ca="1" si="21"/>
        <v>-68.53463532969559</v>
      </c>
      <c r="BY17" s="9">
        <f t="shared" ca="1" si="22"/>
        <v>10.283227438486634</v>
      </c>
      <c r="BZ17">
        <f t="shared" ca="1" si="23"/>
        <v>69.301810988790209</v>
      </c>
      <c r="CA17" s="6">
        <f t="shared" ca="1" si="24"/>
        <v>-0.98892993345846747</v>
      </c>
      <c r="CB17" s="6">
        <f t="shared" ca="1" si="25"/>
        <v>0.14838324268538927</v>
      </c>
      <c r="CC17" s="6">
        <f t="shared" ca="1" si="26"/>
        <v>2.9926594373777275</v>
      </c>
      <c r="CD17" s="6">
        <f t="shared" ca="1" si="27"/>
        <v>-5.5591698547572577</v>
      </c>
      <c r="CE17" s="9">
        <f t="shared" ca="1" si="28"/>
        <v>1.0813742896643106</v>
      </c>
      <c r="CF17">
        <f t="shared" ca="1" si="29"/>
        <v>5.6633682405781123</v>
      </c>
      <c r="CG17" s="6">
        <f t="shared" ca="1" si="30"/>
        <v>-0.98160134015756351</v>
      </c>
      <c r="CH17" s="6">
        <f t="shared" ca="1" si="31"/>
        <v>0.19094189954243992</v>
      </c>
      <c r="CI17" s="6">
        <f t="shared" ca="1" si="32"/>
        <v>2.949471042395746</v>
      </c>
      <c r="CJ17" s="1">
        <f t="shared" ca="1" si="33"/>
        <v>-2.1640728789982977</v>
      </c>
      <c r="CK17" s="38"/>
      <c r="CU17">
        <v>1.8325957145940459</v>
      </c>
      <c r="CV17">
        <v>1.8324678828617222</v>
      </c>
      <c r="CW17">
        <v>1.8325317987278842</v>
      </c>
      <c r="CX17">
        <v>1.9760462662487972</v>
      </c>
      <c r="CY17">
        <v>1.9759949671905166</v>
      </c>
      <c r="CZ17">
        <v>1.9760206207526829</v>
      </c>
      <c r="DK17">
        <f ca="1">(DK15*DL15*(1-COS(DK14)))+(DM15*SIN(DK14))</f>
        <v>0</v>
      </c>
      <c r="DL17">
        <f ca="1">(DL15*DL15*(1-COS(DK14)))+COS(DK14)</f>
        <v>0.94868329805051377</v>
      </c>
      <c r="DM17">
        <f ca="1">(DM15*DL15*(1-COS(DK14)))-(DK15*SIN(DK14))</f>
        <v>0.31622776601683794</v>
      </c>
      <c r="DP17">
        <f ca="1">(DP15*DQ15*(1-COS(DP14)))+(DR15*SIN(DP14))</f>
        <v>0</v>
      </c>
      <c r="DQ17">
        <f ca="1">(DQ15*DQ15*(1-COS(DP14)))+COS(DP14)</f>
        <v>0.94868329805051377</v>
      </c>
      <c r="DR17">
        <f ca="1">(DR15*DQ15*(1-COS(DP14)))-(DP15*SIN(DP14))</f>
        <v>0.31622776601683794</v>
      </c>
      <c r="DS17">
        <v>0</v>
      </c>
    </row>
    <row r="18" spans="1:129" x14ac:dyDescent="0.25">
      <c r="A18">
        <v>4</v>
      </c>
      <c r="B18" s="19">
        <v>8</v>
      </c>
      <c r="C18" s="6">
        <f t="shared" ca="1" si="20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11"/>
        <v>4</v>
      </c>
      <c r="L18" s="1">
        <f t="shared" si="12"/>
        <v>4</v>
      </c>
      <c r="T18" s="8" t="s">
        <v>105</v>
      </c>
      <c r="U18" s="6">
        <f ca="1">SQRT(POWER(U6,2)+POWER(U5,2)+POWER(U4,2))</f>
        <v>800.01446557978909</v>
      </c>
      <c r="BC18">
        <v>0.27925268031909273</v>
      </c>
      <c r="BD18">
        <v>3.7970918435811214</v>
      </c>
      <c r="BE18">
        <v>19.599230658375475</v>
      </c>
      <c r="BF18" s="6">
        <f t="shared" si="0"/>
        <v>1.3794302829677656</v>
      </c>
      <c r="BG18" s="6">
        <f t="shared" si="1"/>
        <v>1.1001776026486729</v>
      </c>
      <c r="BH18" s="6">
        <f t="shared" si="2"/>
        <v>-0.59403211957031732</v>
      </c>
      <c r="BI18" s="6">
        <f t="shared" si="3"/>
        <v>0.59403211957031732</v>
      </c>
      <c r="BV18" s="38"/>
      <c r="BW18" s="6">
        <f t="shared" si="13"/>
        <v>5.235987755982989E-2</v>
      </c>
      <c r="BX18" s="9">
        <f t="shared" ca="1" si="21"/>
        <v>-68.54378011009112</v>
      </c>
      <c r="BY18" s="9">
        <f t="shared" ca="1" si="22"/>
        <v>9.637830726138203</v>
      </c>
      <c r="BZ18">
        <f t="shared" ca="1" si="23"/>
        <v>69.218043694445868</v>
      </c>
      <c r="CA18" s="6">
        <f t="shared" ca="1" si="24"/>
        <v>-0.99025884656129259</v>
      </c>
      <c r="CB18" s="6">
        <f t="shared" ca="1" si="25"/>
        <v>0.13923870441475006</v>
      </c>
      <c r="CC18" s="6">
        <f t="shared" ca="1" si="26"/>
        <v>3.0019000649443983</v>
      </c>
      <c r="CD18" s="6">
        <f t="shared" ca="1" si="27"/>
        <v>-5.5500250743617272</v>
      </c>
      <c r="CE18" s="9">
        <f t="shared" ca="1" si="28"/>
        <v>1.7267710020127414</v>
      </c>
      <c r="CF18">
        <f t="shared" ca="1" si="29"/>
        <v>5.812444960551109</v>
      </c>
      <c r="CG18" s="6">
        <f t="shared" ca="1" si="30"/>
        <v>-0.95485206518592125</v>
      </c>
      <c r="CH18" s="6">
        <f t="shared" ca="1" si="31"/>
        <v>0.29708169517858402</v>
      </c>
      <c r="CI18" s="6">
        <f t="shared" ca="1" si="32"/>
        <v>2.839957748840825</v>
      </c>
      <c r="CJ18" s="1">
        <f t="shared" ca="1" si="33"/>
        <v>-2.0545595854433767</v>
      </c>
      <c r="CK18" s="38"/>
      <c r="CU18">
        <v>1.8325957145940459</v>
      </c>
      <c r="CV18">
        <v>1.8325317987278842</v>
      </c>
      <c r="CW18">
        <v>1.8325637566609649</v>
      </c>
      <c r="CX18">
        <v>1.9760462662487972</v>
      </c>
      <c r="CY18">
        <v>1.9760206207526829</v>
      </c>
      <c r="CZ18">
        <v>1.9760334445269978</v>
      </c>
      <c r="DK18">
        <f ca="1">(DK15*DM15*(1-COS(DK14)))-(DL15*SIN(DK14))</f>
        <v>0</v>
      </c>
      <c r="DL18">
        <f ca="1">(DL15*DM15*(1-COS(DK14)))+(DK15*SIN(DK14))</f>
        <v>-0.31622776601683794</v>
      </c>
      <c r="DM18">
        <f ca="1">(DM15*DM15*(1-COS(DK14)))+COS(DK14)</f>
        <v>0.94868329805051377</v>
      </c>
      <c r="DP18">
        <f ca="1">(DP15*DR15*(1-COS(DP14)))-(DQ15*SIN(DP14))</f>
        <v>0</v>
      </c>
      <c r="DQ18">
        <f ca="1">(DQ15*DR15*(1-COS(DP14)))+(DP15*SIN(DP14))</f>
        <v>-0.31622776601683794</v>
      </c>
      <c r="DR18">
        <f ca="1">(DR15*DR15*(1-COS(DP14)))+COS(DP14)</f>
        <v>0.94868329805051377</v>
      </c>
      <c r="DS18">
        <v>0</v>
      </c>
    </row>
    <row r="19" spans="1:129" x14ac:dyDescent="0.25">
      <c r="A19">
        <v>5</v>
      </c>
      <c r="B19" s="19">
        <v>0</v>
      </c>
      <c r="C19" s="6">
        <f t="shared" ca="1" si="20"/>
        <v>0</v>
      </c>
      <c r="D19" s="2">
        <v>2</v>
      </c>
      <c r="E19" s="2">
        <v>8.66</v>
      </c>
      <c r="G19" s="1">
        <v>7</v>
      </c>
      <c r="H19" s="6">
        <v>0.875</v>
      </c>
      <c r="I19" s="6">
        <v>0.6</v>
      </c>
      <c r="K19" s="1" t="e">
        <f t="shared" si="11"/>
        <v>#N/A</v>
      </c>
      <c r="L19" s="1" t="e">
        <f t="shared" si="12"/>
        <v>#N/A</v>
      </c>
      <c r="T19" s="8" t="s">
        <v>106</v>
      </c>
      <c r="U19" s="39">
        <f ca="1">U4/U18</f>
        <v>0.99998191835147654</v>
      </c>
      <c r="V19" s="39">
        <f ca="1">U5/U18</f>
        <v>4.2522329487239309E-3</v>
      </c>
      <c r="W19" s="39">
        <f ca="1">U6/U18</f>
        <v>4.2522329487835742E-3</v>
      </c>
      <c r="X19" s="38"/>
      <c r="BC19">
        <v>0.29670597283903605</v>
      </c>
      <c r="BD19">
        <v>3.7351951876851954</v>
      </c>
      <c r="BE19">
        <v>20.049318232921252</v>
      </c>
      <c r="BF19" s="6">
        <f t="shared" si="0"/>
        <v>1.3866075264777005</v>
      </c>
      <c r="BG19" s="6">
        <f t="shared" si="1"/>
        <v>1.0899015536386645</v>
      </c>
      <c r="BH19" s="6">
        <f t="shared" si="2"/>
        <v>-0.60120936308025219</v>
      </c>
      <c r="BI19" s="6">
        <f t="shared" si="3"/>
        <v>0.60120936308025219</v>
      </c>
      <c r="BV19" s="38"/>
      <c r="BW19" s="6">
        <f t="shared" si="13"/>
        <v>6.9813170079773182E-2</v>
      </c>
      <c r="BX19" s="9">
        <f t="shared" ca="1" si="21"/>
        <v>-68.542400831653012</v>
      </c>
      <c r="BY19" s="9">
        <f t="shared" ca="1" si="22"/>
        <v>8.9917369683750117</v>
      </c>
      <c r="BZ19">
        <f t="shared" ca="1" si="23"/>
        <v>69.129675577681027</v>
      </c>
      <c r="CA19" s="6">
        <f t="shared" ca="1" si="24"/>
        <v>-0.99150473742107914</v>
      </c>
      <c r="CB19" s="6">
        <f t="shared" ca="1" si="25"/>
        <v>0.13007057957723228</v>
      </c>
      <c r="CC19" s="6">
        <f t="shared" ca="1" si="26"/>
        <v>3.0111524899123467</v>
      </c>
      <c r="CD19" s="6">
        <f t="shared" ca="1" si="27"/>
        <v>-5.5514043527998354</v>
      </c>
      <c r="CE19" s="9">
        <f t="shared" ca="1" si="28"/>
        <v>2.3728647597759327</v>
      </c>
      <c r="CF19">
        <f t="shared" ca="1" si="29"/>
        <v>6.0372657268395482</v>
      </c>
      <c r="CG19" s="6">
        <f t="shared" ca="1" si="30"/>
        <v>-0.91952294365978537</v>
      </c>
      <c r="CH19" s="6">
        <f t="shared" ca="1" si="31"/>
        <v>0.39303632921556114</v>
      </c>
      <c r="CI19" s="6">
        <f t="shared" ca="1" si="32"/>
        <v>2.7376613118312605</v>
      </c>
      <c r="CJ19" s="1">
        <f t="shared" ca="1" si="33"/>
        <v>-1.952263148433812</v>
      </c>
      <c r="CK19" s="38"/>
      <c r="CU19">
        <v>1.8325957145940459</v>
      </c>
      <c r="CV19">
        <v>1.8325637566609649</v>
      </c>
      <c r="CW19">
        <v>1.8325797356275055</v>
      </c>
      <c r="CX19">
        <v>1.9760462662487972</v>
      </c>
      <c r="CY19">
        <v>1.9760334445269978</v>
      </c>
      <c r="CZ19">
        <v>1.9760398556226602</v>
      </c>
      <c r="DP19">
        <v>0</v>
      </c>
      <c r="DQ19">
        <v>0</v>
      </c>
      <c r="DR19">
        <v>0</v>
      </c>
      <c r="DS19">
        <v>1</v>
      </c>
    </row>
    <row r="20" spans="1:129" x14ac:dyDescent="0.25">
      <c r="A20">
        <v>6</v>
      </c>
      <c r="B20" s="19">
        <v>0</v>
      </c>
      <c r="C20" s="6">
        <f t="shared" ca="1" si="20"/>
        <v>0</v>
      </c>
      <c r="D20" s="2">
        <v>10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11"/>
        <v>#N/A</v>
      </c>
      <c r="L20" s="1" t="e">
        <f t="shared" si="12"/>
        <v>#N/A</v>
      </c>
      <c r="BC20">
        <v>0.31415926535897937</v>
      </c>
      <c r="BD20">
        <v>3.6740338486634991</v>
      </c>
      <c r="BE20">
        <v>20.483291068923698</v>
      </c>
      <c r="BF20" s="6">
        <f t="shared" si="0"/>
        <v>1.3933162415664901</v>
      </c>
      <c r="BG20" s="6">
        <f t="shared" si="1"/>
        <v>1.0791569762075108</v>
      </c>
      <c r="BH20" s="6">
        <f t="shared" si="2"/>
        <v>-0.60791807816904186</v>
      </c>
      <c r="BI20" s="6">
        <f t="shared" si="3"/>
        <v>0.60791807816904186</v>
      </c>
      <c r="BV20" s="38"/>
      <c r="BW20" s="6">
        <f t="shared" si="13"/>
        <v>8.7266462599716474E-2</v>
      </c>
      <c r="BX20" s="9">
        <f t="shared" ca="1" si="21"/>
        <v>-68.530434278821232</v>
      </c>
      <c r="BY20" s="9">
        <f t="shared" ca="1" si="22"/>
        <v>8.3445460980368527</v>
      </c>
      <c r="BZ20">
        <f t="shared" ca="1" si="23"/>
        <v>69.036598062376285</v>
      </c>
      <c r="CA20" s="6">
        <f t="shared" ca="1" si="24"/>
        <v>-0.99266818183744043</v>
      </c>
      <c r="CB20" s="6">
        <f t="shared" ca="1" si="25"/>
        <v>0.12087133972762314</v>
      </c>
      <c r="CC20" s="6">
        <f t="shared" ca="1" si="26"/>
        <v>3.0204250425689172</v>
      </c>
      <c r="CD20" s="6">
        <f t="shared" ca="1" si="27"/>
        <v>-5.563370905631615</v>
      </c>
      <c r="CE20" s="9">
        <f t="shared" ca="1" si="28"/>
        <v>3.0200556301140917</v>
      </c>
      <c r="CF20">
        <f t="shared" ca="1" si="29"/>
        <v>6.3302315789086387</v>
      </c>
      <c r="CG20" s="6">
        <f t="shared" ca="1" si="30"/>
        <v>-0.87885740612838148</v>
      </c>
      <c r="CH20" s="6">
        <f t="shared" ca="1" si="31"/>
        <v>0.47708454145286788</v>
      </c>
      <c r="CI20" s="6">
        <f t="shared" ca="1" si="32"/>
        <v>2.6442582679094362</v>
      </c>
      <c r="CJ20" s="1">
        <f t="shared" ca="1" si="33"/>
        <v>-1.8588601045119877</v>
      </c>
      <c r="CK20" s="38"/>
      <c r="CU20">
        <v>1.8325957145940459</v>
      </c>
      <c r="CV20">
        <v>1.8325797356275055</v>
      </c>
      <c r="CW20">
        <v>1.8325877251107756</v>
      </c>
      <c r="CX20">
        <v>1.9760462662487972</v>
      </c>
      <c r="CY20">
        <v>1.9760398556226602</v>
      </c>
      <c r="CZ20">
        <v>1.9760430610050561</v>
      </c>
      <c r="DO20" t="s">
        <v>198</v>
      </c>
      <c r="DP20">
        <f t="array" aca="1" ref="DP20:DS20" ca="1">MMULT(DP10:DS10,DP16:DS19)</f>
        <v>1080.7505000000001</v>
      </c>
      <c r="DQ20">
        <f ca="1"/>
        <v>-225.43126398396089</v>
      </c>
      <c r="DR20">
        <f ca="1"/>
        <v>0</v>
      </c>
      <c r="DS20" s="9">
        <f ca="1"/>
        <v>0</v>
      </c>
      <c r="DU20">
        <f t="array" aca="1" ref="DU20:DX20" ca="1">MMULT(DU10:DX10,DP16:DS19)</f>
        <v>970.64</v>
      </c>
      <c r="DV20">
        <f ca="1"/>
        <v>-128.57820966244631</v>
      </c>
      <c r="DW20">
        <f ca="1"/>
        <v>12.64911064067352</v>
      </c>
      <c r="DX20" s="9">
        <f ca="1"/>
        <v>0</v>
      </c>
    </row>
    <row r="21" spans="1:129" x14ac:dyDescent="0.25">
      <c r="A21">
        <v>7</v>
      </c>
      <c r="B21" s="19">
        <v>0</v>
      </c>
      <c r="C21" s="6">
        <f t="shared" ca="1" si="20"/>
        <v>0</v>
      </c>
      <c r="D21" s="2">
        <v>2</v>
      </c>
      <c r="E21" s="2">
        <v>15.33</v>
      </c>
      <c r="G21" s="1">
        <v>9</v>
      </c>
      <c r="H21" s="6">
        <v>1.1279999999999999</v>
      </c>
      <c r="I21" s="6">
        <v>1</v>
      </c>
      <c r="K21" s="1" t="e">
        <f t="shared" si="11"/>
        <v>#N/A</v>
      </c>
      <c r="L21" s="1" t="e">
        <f t="shared" si="12"/>
        <v>#N/A</v>
      </c>
      <c r="T21" s="8" t="s">
        <v>107</v>
      </c>
      <c r="U21" s="39">
        <f ca="1">U16-U19</f>
        <v>-1.3813173991694683E-4</v>
      </c>
      <c r="V21" s="39">
        <f t="shared" ref="V21:W21" ca="1" si="34">V16-V19</f>
        <v>8.2458143839205644E-3</v>
      </c>
      <c r="W21" s="39">
        <f t="shared" ca="1" si="34"/>
        <v>8.2458143838609211E-3</v>
      </c>
      <c r="BC21">
        <v>0.33161255787892269</v>
      </c>
      <c r="BD21">
        <v>3.6132022361095197</v>
      </c>
      <c r="BE21">
        <v>20.90400901513048</v>
      </c>
      <c r="BF21" s="6">
        <f t="shared" si="0"/>
        <v>1.3996401202545228</v>
      </c>
      <c r="BG21" s="6">
        <f t="shared" si="1"/>
        <v>1.0680275623756001</v>
      </c>
      <c r="BH21" s="6">
        <f t="shared" si="2"/>
        <v>-0.61424195685707439</v>
      </c>
      <c r="BI21" s="6">
        <f t="shared" si="3"/>
        <v>0.61424195685707439</v>
      </c>
      <c r="BV21" s="38"/>
      <c r="BW21" s="6">
        <f t="shared" si="13"/>
        <v>0.10471975511965977</v>
      </c>
      <c r="BX21" s="9">
        <f t="shared" ca="1" si="21"/>
        <v>-68.507790838955515</v>
      </c>
      <c r="BY21" s="9">
        <f t="shared" ca="1" si="22"/>
        <v>7.6958553611157861</v>
      </c>
      <c r="BZ21">
        <f t="shared" ca="1" si="23"/>
        <v>68.938694471053708</v>
      </c>
      <c r="CA21" s="6">
        <f t="shared" ca="1" si="24"/>
        <v>-0.99374946631344863</v>
      </c>
      <c r="CB21" s="6">
        <f t="shared" ca="1" si="25"/>
        <v>0.11163332030239065</v>
      </c>
      <c r="CC21" s="6">
        <f t="shared" ca="1" si="26"/>
        <v>3.0297261609260726</v>
      </c>
      <c r="CD21" s="6">
        <f t="shared" ca="1" si="27"/>
        <v>-5.5860143454973326</v>
      </c>
      <c r="CE21" s="9">
        <f t="shared" ca="1" si="28"/>
        <v>3.6687463670351583</v>
      </c>
      <c r="CF21">
        <f t="shared" ca="1" si="29"/>
        <v>6.6830573971600495</v>
      </c>
      <c r="CG21" s="6">
        <f t="shared" ca="1" si="30"/>
        <v>-0.83584713006820754</v>
      </c>
      <c r="CH21" s="6">
        <f t="shared" ca="1" si="31"/>
        <v>0.54896227115963181</v>
      </c>
      <c r="CI21" s="6">
        <f t="shared" ca="1" si="32"/>
        <v>2.5604704520927783</v>
      </c>
      <c r="CJ21" s="1">
        <f t="shared" ca="1" si="33"/>
        <v>-1.7750722886953298</v>
      </c>
      <c r="CK21" s="38"/>
      <c r="CU21">
        <v>1.8325957145940459</v>
      </c>
      <c r="CV21">
        <v>1.8325877251107756</v>
      </c>
      <c r="CW21">
        <v>1.8325917198524109</v>
      </c>
      <c r="CX21">
        <v>1.9760462662487972</v>
      </c>
      <c r="CY21">
        <v>1.9760430610050561</v>
      </c>
      <c r="CZ21">
        <v>1.9760446636549356</v>
      </c>
      <c r="DO21" t="s">
        <v>199</v>
      </c>
      <c r="DP21">
        <f t="array" aca="1" ref="DP21:DS21" ca="1">MMULT(DP11:DS11,DP16:DS19)</f>
        <v>0</v>
      </c>
      <c r="DQ21">
        <f ca="1"/>
        <v>0</v>
      </c>
      <c r="DR21">
        <f ca="1"/>
        <v>0</v>
      </c>
      <c r="DS21" s="9">
        <f ca="1"/>
        <v>0</v>
      </c>
      <c r="DU21">
        <f t="array" aca="1" ref="DU21:DX21" ca="1">MMULT(DU11:DX11,DP16:DS19)</f>
        <v>970.63999999940881</v>
      </c>
      <c r="DV21">
        <f ca="1"/>
        <v>-132.75124747828337</v>
      </c>
      <c r="DW21">
        <f ca="1"/>
        <v>4.3030350090748115</v>
      </c>
      <c r="DX21" s="9">
        <f ca="1"/>
        <v>0</v>
      </c>
    </row>
    <row r="22" spans="1:129" x14ac:dyDescent="0.25">
      <c r="A22">
        <v>8</v>
      </c>
      <c r="B22" s="19">
        <v>0</v>
      </c>
      <c r="C22" s="6">
        <f t="shared" ca="1" si="20"/>
        <v>0</v>
      </c>
      <c r="D22" s="2">
        <v>10</v>
      </c>
      <c r="E22" s="2">
        <v>15.33</v>
      </c>
      <c r="G22" s="1">
        <v>10</v>
      </c>
      <c r="H22" s="6">
        <v>1.27</v>
      </c>
      <c r="I22" s="6">
        <v>1.27</v>
      </c>
      <c r="K22" s="1" t="e">
        <f t="shared" si="11"/>
        <v>#N/A</v>
      </c>
      <c r="L22" s="1" t="e">
        <f t="shared" si="12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3.5523411065034347</v>
      </c>
      <c r="BE22">
        <v>21.313815112432145</v>
      </c>
      <c r="BF22" s="6">
        <f t="shared" si="0"/>
        <v>1.4056458878541909</v>
      </c>
      <c r="BG22" s="6">
        <f t="shared" si="1"/>
        <v>1.0565800374553249</v>
      </c>
      <c r="BH22" s="6">
        <f t="shared" si="2"/>
        <v>-0.62024772445674259</v>
      </c>
      <c r="BI22" s="6">
        <f t="shared" si="3"/>
        <v>0.62024772445674259</v>
      </c>
      <c r="BV22" s="38"/>
      <c r="BW22" s="6">
        <f t="shared" si="13"/>
        <v>0.12217304763960306</v>
      </c>
      <c r="BX22" s="9">
        <f t="shared" ca="1" si="21"/>
        <v>-68.474353979104421</v>
      </c>
      <c r="BY22" s="9">
        <f t="shared" ca="1" si="22"/>
        <v>7.0452583037563787</v>
      </c>
      <c r="BZ22">
        <f t="shared" ca="1" si="23"/>
        <v>68.835839628948676</v>
      </c>
      <c r="CA22" s="6">
        <f t="shared" ca="1" si="24"/>
        <v>-0.99474858370591834</v>
      </c>
      <c r="CB22" s="6">
        <f t="shared" ca="1" si="25"/>
        <v>0.1023486942519042</v>
      </c>
      <c r="CC22" s="6">
        <f t="shared" ca="1" si="26"/>
        <v>3.0390644236209523</v>
      </c>
      <c r="CD22" s="6">
        <f t="shared" ca="1" si="27"/>
        <v>-5.619451205348426</v>
      </c>
      <c r="CE22" s="9">
        <f t="shared" ca="1" si="28"/>
        <v>4.3193434243945656</v>
      </c>
      <c r="CF22">
        <f t="shared" ca="1" si="29"/>
        <v>7.0876624825927239</v>
      </c>
      <c r="CG22" s="6">
        <f t="shared" ca="1" si="30"/>
        <v>-0.79284971866955856</v>
      </c>
      <c r="CH22" s="6">
        <f t="shared" ca="1" si="31"/>
        <v>0.60941719995878174</v>
      </c>
      <c r="CI22" s="6">
        <f t="shared" ca="1" si="32"/>
        <v>2.4862673405059166</v>
      </c>
      <c r="CJ22" s="1">
        <f t="shared" ca="1" si="33"/>
        <v>-1.7008691771084683</v>
      </c>
      <c r="CK22" s="38"/>
      <c r="CU22">
        <v>1.8325957145940459</v>
      </c>
      <c r="CV22">
        <v>1.8325917198524109</v>
      </c>
      <c r="CW22">
        <v>1.8325937172232285</v>
      </c>
      <c r="CX22">
        <v>1.9760462662487972</v>
      </c>
      <c r="CY22">
        <v>1.9760446636549356</v>
      </c>
      <c r="CZ22">
        <v>1.9760454649588743</v>
      </c>
      <c r="DU22">
        <f t="array" aca="1" ref="DU22:DX22" ca="1">MMULT(DU12:DX12,DP16:DS19)</f>
        <v>970.63999999940881</v>
      </c>
      <c r="DV22">
        <f ca="1"/>
        <v>-125.41593200227793</v>
      </c>
      <c r="DW22">
        <f ca="1"/>
        <v>18.973665961010276</v>
      </c>
      <c r="DX22">
        <f ca="1"/>
        <v>0</v>
      </c>
    </row>
    <row r="23" spans="1:129" x14ac:dyDescent="0.25">
      <c r="A23">
        <v>9</v>
      </c>
      <c r="B23" s="19">
        <v>0</v>
      </c>
      <c r="C23" s="6">
        <f t="shared" ca="1" si="20"/>
        <v>0</v>
      </c>
      <c r="D23" s="2">
        <v>8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11"/>
        <v>#N/A</v>
      </c>
      <c r="L23" s="1" t="e">
        <f t="shared" si="12"/>
        <v>#N/A</v>
      </c>
      <c r="T23" s="8" t="s">
        <v>108</v>
      </c>
      <c r="U23" s="39">
        <f ca="1">SQRT(POWER(U21,2)+POWER(V21,2)+POWER(W21,2))</f>
        <v>1.1662160609626821E-2</v>
      </c>
      <c r="V23" t="str">
        <f ca="1">IF(ABS(U23)&lt;=L1,"","NG")</f>
        <v>NG</v>
      </c>
      <c r="BC23">
        <v>0.36651914291880933</v>
      </c>
      <c r="BD23">
        <v>3.4911274053850856</v>
      </c>
      <c r="BE23">
        <v>21.714655444932994</v>
      </c>
      <c r="BF23" s="6">
        <f t="shared" si="0"/>
        <v>1.4113875804202065</v>
      </c>
      <c r="BG23" s="6">
        <f t="shared" si="1"/>
        <v>1.0448684375013972</v>
      </c>
      <c r="BH23" s="6">
        <f t="shared" si="2"/>
        <v>-0.62598941702275823</v>
      </c>
      <c r="BI23" s="6">
        <f t="shared" si="3"/>
        <v>0.62598941702275823</v>
      </c>
      <c r="BV23" s="38"/>
      <c r="BW23" s="6">
        <f t="shared" si="13"/>
        <v>0.13962634015954636</v>
      </c>
      <c r="BX23" s="9">
        <f t="shared" ca="1" si="21"/>
        <v>-68.429979565710781</v>
      </c>
      <c r="BY23" s="9">
        <f t="shared" ca="1" si="22"/>
        <v>6.3923437393238345</v>
      </c>
      <c r="BZ23">
        <f t="shared" ca="1" si="23"/>
        <v>68.727899442986526</v>
      </c>
      <c r="CA23" s="6">
        <f t="shared" ca="1" si="24"/>
        <v>-0.99566522649913247</v>
      </c>
      <c r="CB23" s="6">
        <f t="shared" ca="1" si="25"/>
        <v>9.3009444361479815E-2</v>
      </c>
      <c r="CC23" s="6">
        <f t="shared" ca="1" si="26"/>
        <v>3.048448584146759</v>
      </c>
      <c r="CD23" s="6">
        <f t="shared" ca="1" si="27"/>
        <v>-5.6638256187420666</v>
      </c>
      <c r="CE23" s="9">
        <f t="shared" ca="1" si="28"/>
        <v>4.9722579888271099</v>
      </c>
      <c r="CF23">
        <f t="shared" ca="1" si="29"/>
        <v>7.5367280796758198</v>
      </c>
      <c r="CG23" s="6">
        <f t="shared" ca="1" si="30"/>
        <v>-0.7514966121725446</v>
      </c>
      <c r="CH23" s="6">
        <f t="shared" ca="1" si="31"/>
        <v>0.65973694901315627</v>
      </c>
      <c r="CI23" s="6">
        <f t="shared" ca="1" si="32"/>
        <v>2.4211239826836772</v>
      </c>
      <c r="CJ23" s="1">
        <f t="shared" ca="1" si="33"/>
        <v>-1.6357258192862287</v>
      </c>
      <c r="CK23" s="38"/>
      <c r="CU23">
        <v>1.8325957145940459</v>
      </c>
      <c r="CV23">
        <v>1.8325937172232285</v>
      </c>
      <c r="CW23">
        <v>1.8325947159086371</v>
      </c>
      <c r="CX23">
        <v>1.9760462662487972</v>
      </c>
      <c r="CY23">
        <v>1.9760454649588743</v>
      </c>
      <c r="CZ23">
        <v>1.9760458655948967</v>
      </c>
      <c r="DO23" t="s">
        <v>216</v>
      </c>
    </row>
    <row r="24" spans="1:129" ht="15.75" thickBot="1" x14ac:dyDescent="0.3">
      <c r="A24">
        <v>10</v>
      </c>
      <c r="B24" s="19">
        <v>0</v>
      </c>
      <c r="C24" s="11">
        <f t="shared" ca="1" si="20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11"/>
        <v>#N/A</v>
      </c>
      <c r="L24" s="1" t="e">
        <f t="shared" si="12"/>
        <v>#N/A</v>
      </c>
      <c r="BC24">
        <v>0.38397243543875265</v>
      </c>
      <c r="BD24">
        <v>3.4292662340040478</v>
      </c>
      <c r="BE24">
        <v>22.108167627450161</v>
      </c>
      <c r="BF24" s="6">
        <f t="shared" si="0"/>
        <v>1.4169095900835125</v>
      </c>
      <c r="BG24" s="6">
        <f t="shared" si="1"/>
        <v>1.0329371546447599</v>
      </c>
      <c r="BH24" s="6">
        <f t="shared" si="2"/>
        <v>-0.63151142668606419</v>
      </c>
      <c r="BI24" s="6">
        <f t="shared" si="3"/>
        <v>0.63151142668606419</v>
      </c>
      <c r="BV24" s="38"/>
      <c r="BW24" s="6">
        <f t="shared" si="13"/>
        <v>0.15707963267948966</v>
      </c>
      <c r="BX24" s="9">
        <f t="shared" ca="1" si="21"/>
        <v>-68.374495055911964</v>
      </c>
      <c r="BY24" s="9">
        <f t="shared" ca="1" si="22"/>
        <v>5.7366946912827324</v>
      </c>
      <c r="BZ24">
        <f t="shared" ca="1" si="23"/>
        <v>68.614730489392144</v>
      </c>
      <c r="CA24" s="6">
        <f t="shared" ca="1" si="24"/>
        <v>-0.99649877756909178</v>
      </c>
      <c r="CB24" s="6">
        <f t="shared" ca="1" si="25"/>
        <v>8.3607334028217559E-2</v>
      </c>
      <c r="CC24" s="6">
        <f t="shared" ca="1" si="26"/>
        <v>3.0578876067443876</v>
      </c>
      <c r="CD24" s="6">
        <f t="shared" ca="1" si="27"/>
        <v>-5.7193101285408829</v>
      </c>
      <c r="CE24" s="9">
        <f t="shared" ca="1" si="28"/>
        <v>5.627907036868212</v>
      </c>
      <c r="CF24">
        <f t="shared" ca="1" si="29"/>
        <v>8.0239545089725599</v>
      </c>
      <c r="CG24" s="6">
        <f t="shared" ca="1" si="30"/>
        <v>-0.7127794807591975</v>
      </c>
      <c r="CH24" s="6">
        <f t="shared" ca="1" si="31"/>
        <v>0.70138820335720553</v>
      </c>
      <c r="CI24" s="6">
        <f t="shared" ca="1" si="32"/>
        <v>2.3642494267927923</v>
      </c>
      <c r="CJ24" s="1">
        <f t="shared" ca="1" si="33"/>
        <v>-1.5788512633953438</v>
      </c>
      <c r="CK24" s="38"/>
      <c r="CU24">
        <v>1.8325957145940459</v>
      </c>
      <c r="CV24">
        <v>1.8325947159086371</v>
      </c>
      <c r="CW24">
        <v>1.8325952152513416</v>
      </c>
      <c r="CX24">
        <v>1.9760462662487972</v>
      </c>
      <c r="CY24">
        <v>1.9760458655948967</v>
      </c>
      <c r="CZ24">
        <v>1.9760460659463315</v>
      </c>
      <c r="DJ24" t="s">
        <v>212</v>
      </c>
      <c r="DK24">
        <f ca="1">DP24</f>
        <v>-0.20563916507936747</v>
      </c>
      <c r="DO24" t="s">
        <v>212</v>
      </c>
      <c r="DP24">
        <f ca="1">ATAN2(DP20,DQ20)</f>
        <v>-0.20563916507936747</v>
      </c>
    </row>
    <row r="25" spans="1:129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3.3664843965453315</v>
      </c>
      <c r="BE25">
        <v>22.495747147597555</v>
      </c>
      <c r="BF25" s="6">
        <f t="shared" si="0"/>
        <v>1.4222488760877723</v>
      </c>
      <c r="BG25" s="6">
        <f t="shared" si="1"/>
        <v>1.0208231481290764</v>
      </c>
      <c r="BH25" s="6">
        <f t="shared" si="2"/>
        <v>-0.63685071269032401</v>
      </c>
      <c r="BI25" s="6">
        <f t="shared" si="3"/>
        <v>0.63685071269032401</v>
      </c>
      <c r="BV25" s="38"/>
      <c r="BW25" s="6">
        <f t="shared" si="13"/>
        <v>0.17453292519943295</v>
      </c>
      <c r="BX25" s="9">
        <f t="shared" ca="1" si="21"/>
        <v>-68.307698492066834</v>
      </c>
      <c r="BY25" s="9">
        <f t="shared" ca="1" si="22"/>
        <v>5.0778873035951264</v>
      </c>
      <c r="BZ25">
        <f t="shared" ca="1" si="23"/>
        <v>68.496179548578638</v>
      </c>
      <c r="CA25" s="6">
        <f t="shared" ca="1" si="24"/>
        <v>-0.99724829825905648</v>
      </c>
      <c r="CB25" s="6">
        <f t="shared" ca="1" si="25"/>
        <v>7.4133876328004597E-2</v>
      </c>
      <c r="CC25" s="6">
        <f t="shared" ca="1" si="26"/>
        <v>3.0673907042236963</v>
      </c>
      <c r="CD25" s="6">
        <f t="shared" ca="1" si="27"/>
        <v>-5.7861066923860136</v>
      </c>
      <c r="CE25" s="9">
        <f t="shared" ca="1" si="28"/>
        <v>6.286714424555818</v>
      </c>
      <c r="CF25">
        <f t="shared" ca="1" si="29"/>
        <v>8.5441096032057313</v>
      </c>
      <c r="CG25" s="6">
        <f t="shared" ca="1" si="30"/>
        <v>-0.67720417470008565</v>
      </c>
      <c r="CH25" s="6">
        <f t="shared" ca="1" si="31"/>
        <v>0.73579515204218082</v>
      </c>
      <c r="CI25" s="6">
        <f t="shared" ca="1" si="32"/>
        <v>2.3147525515149683</v>
      </c>
      <c r="CJ25" s="1">
        <f t="shared" ca="1" si="33"/>
        <v>-1.52935438811752</v>
      </c>
      <c r="CK25" s="38"/>
      <c r="CU25">
        <v>1.8325957145940459</v>
      </c>
      <c r="CV25">
        <v>1.8325952152513416</v>
      </c>
      <c r="CW25">
        <v>1.8325954649226937</v>
      </c>
      <c r="CX25">
        <v>1.9760462662487972</v>
      </c>
      <c r="CY25">
        <v>1.9760460659463315</v>
      </c>
      <c r="CZ25">
        <v>1.9760461660983353</v>
      </c>
      <c r="DJ25" t="s">
        <v>213</v>
      </c>
      <c r="DK25">
        <v>0</v>
      </c>
      <c r="DL25">
        <v>0</v>
      </c>
      <c r="DM25">
        <v>1</v>
      </c>
      <c r="DO25" t="s">
        <v>213</v>
      </c>
      <c r="DP25">
        <v>0</v>
      </c>
      <c r="DQ25">
        <v>0</v>
      </c>
      <c r="DR25">
        <v>1</v>
      </c>
    </row>
    <row r="26" spans="1:129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3.3025251239556614</v>
      </c>
      <c r="BE26">
        <v>22.878597810025671</v>
      </c>
      <c r="BF26" s="6">
        <f t="shared" si="0"/>
        <v>1.4274365990575095</v>
      </c>
      <c r="BG26" s="6">
        <f t="shared" si="1"/>
        <v>1.0085575785788703</v>
      </c>
      <c r="BH26" s="6">
        <f t="shared" si="2"/>
        <v>-0.64203843566006125</v>
      </c>
      <c r="BI26" s="6">
        <f t="shared" si="3"/>
        <v>0.64203843566006125</v>
      </c>
      <c r="BV26" s="38"/>
      <c r="BW26" s="6">
        <f t="shared" si="13"/>
        <v>0.19198621771937624</v>
      </c>
      <c r="BX26" s="9">
        <f t="shared" ca="1" si="21"/>
        <v>-68.230906465025583</v>
      </c>
      <c r="BY26" s="9">
        <f t="shared" ca="1" si="22"/>
        <v>4.4216250615816648</v>
      </c>
      <c r="BZ26">
        <f t="shared" ca="1" si="23"/>
        <v>68.374025515719623</v>
      </c>
      <c r="CA26" s="6">
        <f t="shared" ca="1" si="24"/>
        <v>-0.99790682134605146</v>
      </c>
      <c r="CB26" s="6">
        <f t="shared" ca="1" si="25"/>
        <v>6.4668198606576188E-2</v>
      </c>
      <c r="CC26" s="6">
        <f t="shared" ca="1" si="26"/>
        <v>3.0768792964733853</v>
      </c>
      <c r="CD26" s="6">
        <f t="shared" ca="1" si="27"/>
        <v>-5.8628987194272639</v>
      </c>
      <c r="CE26" s="9">
        <f t="shared" ca="1" si="28"/>
        <v>6.9429766665692796</v>
      </c>
      <c r="CF26">
        <f t="shared" ca="1" si="29"/>
        <v>9.0872716690317628</v>
      </c>
      <c r="CG26" s="6">
        <f t="shared" ca="1" si="30"/>
        <v>-0.64517700504181674</v>
      </c>
      <c r="CH26" s="6">
        <f t="shared" ca="1" si="31"/>
        <v>0.76403313551525476</v>
      </c>
      <c r="CI26" s="6">
        <f t="shared" ca="1" si="32"/>
        <v>2.2720512593115259</v>
      </c>
      <c r="CJ26" s="1">
        <f t="shared" ca="1" si="33"/>
        <v>-1.4866530959140776</v>
      </c>
      <c r="CK26" s="38"/>
      <c r="CU26">
        <v>1.8325957145940459</v>
      </c>
      <c r="CV26">
        <v>1.8325954649226937</v>
      </c>
      <c r="CW26">
        <v>1.8325955897583697</v>
      </c>
      <c r="CX26">
        <v>1.9760462662487972</v>
      </c>
      <c r="CY26">
        <v>1.9760461660983353</v>
      </c>
      <c r="CZ26">
        <v>1.9760462161523706</v>
      </c>
      <c r="DK26">
        <f ca="1">(DK25*DK25*(1-COS(DK24)))+COS(DK24)</f>
        <v>0.97893067151958357</v>
      </c>
      <c r="DL26">
        <f ca="1">(DL25*DK25*(1-COS(DK24)))-(DM25*SIN(DK24))</f>
        <v>0.20419289987219741</v>
      </c>
      <c r="DM26">
        <f ca="1">(DM25*DK25*(1-COS(DK24)))+(DL25*SIN(DK24))</f>
        <v>0</v>
      </c>
      <c r="DP26">
        <f ca="1">(DP25*DP25*(1-COS(DP24)))+COS(DP24)</f>
        <v>0.97893067151958357</v>
      </c>
      <c r="DQ26">
        <f ca="1">(DQ25*DP25*(1-COS(DP24)))-(DR25*SIN(DP24))</f>
        <v>0.20419289987219741</v>
      </c>
      <c r="DR26">
        <f ca="1">(DR25*DP25*(1-COS(DP24)))+(DQ25*SIN(DP24))</f>
        <v>0</v>
      </c>
      <c r="DS26">
        <v>0</v>
      </c>
    </row>
    <row r="27" spans="1:129" x14ac:dyDescent="0.25">
      <c r="A27" s="8" t="s">
        <v>15</v>
      </c>
      <c r="B27" s="33">
        <v>-0.16631129974414258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3.237143686408555</v>
      </c>
      <c r="BE27">
        <v>23.257770597561912</v>
      </c>
      <c r="BF27" s="6">
        <f t="shared" si="0"/>
        <v>1.4324993485205288</v>
      </c>
      <c r="BG27" s="6">
        <f t="shared" si="1"/>
        <v>0.9961670355219463</v>
      </c>
      <c r="BH27" s="6">
        <f t="shared" si="2"/>
        <v>-0.64710118512308057</v>
      </c>
      <c r="BI27" s="6">
        <f t="shared" si="3"/>
        <v>0.64710118512308057</v>
      </c>
      <c r="BV27" s="38"/>
      <c r="BW27" s="6">
        <f t="shared" si="13"/>
        <v>0.20943951023931953</v>
      </c>
      <c r="BX27" s="9">
        <f t="shared" ca="1" si="21"/>
        <v>-68.156430549433566</v>
      </c>
      <c r="BY27" s="9">
        <f t="shared" ca="1" si="22"/>
        <v>3.8135567517702285</v>
      </c>
      <c r="BZ27">
        <f t="shared" ca="1" si="23"/>
        <v>68.263037145579261</v>
      </c>
      <c r="CA27" s="6">
        <f t="shared" ca="1" si="24"/>
        <v>-0.99843829690849617</v>
      </c>
      <c r="CB27" s="6">
        <f t="shared" ca="1" si="25"/>
        <v>5.5865617927859747E-2</v>
      </c>
      <c r="CC27" s="6">
        <f t="shared" ca="1" si="26"/>
        <v>3.0856979356468131</v>
      </c>
      <c r="CD27" s="6">
        <f t="shared" ca="1" si="27"/>
        <v>-5.9373746350192818</v>
      </c>
      <c r="CE27" s="9">
        <f t="shared" ca="1" si="28"/>
        <v>7.5510449763807159</v>
      </c>
      <c r="CF27">
        <f t="shared" ca="1" si="29"/>
        <v>9.6057637797259421</v>
      </c>
      <c r="CG27" s="6">
        <f t="shared" ca="1" si="30"/>
        <v>-0.6181054178690909</v>
      </c>
      <c r="CH27" s="6">
        <f t="shared" ca="1" si="31"/>
        <v>0.78609521840606322</v>
      </c>
      <c r="CI27" s="6">
        <f t="shared" ca="1" si="32"/>
        <v>2.2371266217759316</v>
      </c>
      <c r="CJ27" s="1">
        <f t="shared" ca="1" si="33"/>
        <v>-1.4517284583784833</v>
      </c>
      <c r="CK27" s="38"/>
      <c r="CU27">
        <v>1.8325957145940459</v>
      </c>
      <c r="CV27">
        <v>1.8325955897583697</v>
      </c>
      <c r="CW27">
        <v>1.8325956521762077</v>
      </c>
      <c r="CX27">
        <v>1.9760462662487972</v>
      </c>
      <c r="CY27">
        <v>1.9760462161523706</v>
      </c>
      <c r="CZ27">
        <v>1.976046241200633</v>
      </c>
      <c r="DK27">
        <f ca="1">(DK25*DL25*(1-COS(DK24)))+(DM25*SIN(DK24))</f>
        <v>-0.20419289987219741</v>
      </c>
      <c r="DL27">
        <f ca="1">(DL25*DL25*(1-COS(DK24)))+COS(DK24)</f>
        <v>0.97893067151958357</v>
      </c>
      <c r="DM27">
        <f ca="1">(DM25*DL25*(1-COS(DK24)))-(DK25*SIN(DK24))</f>
        <v>0</v>
      </c>
      <c r="DP27">
        <f ca="1">(DP25*DQ25*(1-COS(DP24)))+(DR25*SIN(DP24))</f>
        <v>-0.20419289987219741</v>
      </c>
      <c r="DQ27">
        <f ca="1">(DQ25*DQ25*(1-COS(DP24)))+COS(DP24)</f>
        <v>0.97893067151958357</v>
      </c>
      <c r="DR27">
        <f ca="1">(DR25*DQ25*(1-COS(DP24)))-(DP25*SIN(DP24))</f>
        <v>0</v>
      </c>
      <c r="DS27">
        <v>0</v>
      </c>
    </row>
    <row r="28" spans="1:129" x14ac:dyDescent="0.25">
      <c r="A28" s="8" t="s">
        <v>17</v>
      </c>
      <c r="B28" s="33">
        <v>29.647411446502637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10</v>
      </c>
      <c r="BC28">
        <v>0.45378560551852593</v>
      </c>
      <c r="BD28">
        <v>3.1701036683565222</v>
      </c>
      <c r="BE28">
        <v>23.634193978196006</v>
      </c>
      <c r="BF28" s="6">
        <f t="shared" si="0"/>
        <v>1.4374600790628131</v>
      </c>
      <c r="BG28" s="6">
        <f t="shared" si="1"/>
        <v>0.98367447354428728</v>
      </c>
      <c r="BH28" s="6">
        <f t="shared" si="2"/>
        <v>-0.65206191566536487</v>
      </c>
      <c r="BI28" s="6">
        <f t="shared" si="3"/>
        <v>0.65206191566536487</v>
      </c>
      <c r="BV28" s="38"/>
      <c r="BW28" s="6">
        <f t="shared" si="13"/>
        <v>0.22689280275926282</v>
      </c>
      <c r="BX28" s="9">
        <f t="shared" ca="1" si="21"/>
        <v>-68.086054528390349</v>
      </c>
      <c r="BY28" s="9">
        <f t="shared" ca="1" si="22"/>
        <v>3.2526400588812194</v>
      </c>
      <c r="BZ28">
        <f t="shared" ca="1" si="23"/>
        <v>68.163703600931072</v>
      </c>
      <c r="CA28" s="6">
        <f t="shared" ca="1" si="24"/>
        <v>-0.99886084428458688</v>
      </c>
      <c r="CB28" s="6">
        <f t="shared" ca="1" si="25"/>
        <v>4.7718065290642313E-2</v>
      </c>
      <c r="CC28" s="6">
        <f t="shared" ca="1" si="26"/>
        <v>3.0938564606031731</v>
      </c>
      <c r="CD28" s="6">
        <f t="shared" ca="1" si="27"/>
        <v>-6.0077506560624983</v>
      </c>
      <c r="CE28" s="9">
        <f t="shared" ca="1" si="28"/>
        <v>8.111961669269725</v>
      </c>
      <c r="CF28">
        <f t="shared" ca="1" si="29"/>
        <v>10.094403898651997</v>
      </c>
      <c r="CG28" s="6">
        <f t="shared" ca="1" si="30"/>
        <v>-0.59515655568970949</v>
      </c>
      <c r="CH28" s="6">
        <f t="shared" ca="1" si="31"/>
        <v>0.80360977732949568</v>
      </c>
      <c r="CI28" s="6">
        <f t="shared" ca="1" si="32"/>
        <v>2.2082567770054933</v>
      </c>
      <c r="CJ28" s="1">
        <f t="shared" ca="1" si="33"/>
        <v>-1.422858613608045</v>
      </c>
      <c r="CK28" s="38"/>
      <c r="CU28">
        <v>1.8325957145940459</v>
      </c>
      <c r="CV28">
        <v>1.8325956521762077</v>
      </c>
      <c r="CW28">
        <v>1.8325956833851267</v>
      </c>
      <c r="CX28">
        <v>1.9760462662487972</v>
      </c>
      <c r="CY28">
        <v>1.976046241200633</v>
      </c>
      <c r="CZ28">
        <v>1.9760462537461085</v>
      </c>
      <c r="DK28">
        <f ca="1">(DK25*DM25*(1-COS(DK24)))-(DL25*SIN(DK24))</f>
        <v>0</v>
      </c>
      <c r="DL28">
        <f ca="1">(DL25*DM25*(1-COS(DK24)))+(DK25*SIN(DK24))</f>
        <v>0</v>
      </c>
      <c r="DM28">
        <f ca="1">(DM25*DM25*(1-COS(DK24)))+COS(DK24)</f>
        <v>1</v>
      </c>
      <c r="DP28">
        <f ca="1">(DP25*DR25*(1-COS(DP24)))-(DQ25*SIN(DP24))</f>
        <v>0</v>
      </c>
      <c r="DQ28">
        <f ca="1">(DQ25*DR25*(1-COS(DP24)))+(DP25*SIN(DP24))</f>
        <v>0</v>
      </c>
      <c r="DR28">
        <f ca="1">(DR25*DR25*(1-COS(DP24)))+COS(DP24)</f>
        <v>1</v>
      </c>
      <c r="DS28">
        <v>0</v>
      </c>
    </row>
    <row r="29" spans="1:129" x14ac:dyDescent="0.25">
      <c r="A29" s="8" t="s">
        <v>18</v>
      </c>
      <c r="B29" s="6">
        <f>B28*B4</f>
        <v>23.717929157202107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3.1011737556274177</v>
      </c>
      <c r="BE29">
        <v>24.008697820187802</v>
      </c>
      <c r="BF29" s="6">
        <f t="shared" si="0"/>
        <v>1.4423388337595282</v>
      </c>
      <c r="BG29" s="6">
        <f t="shared" si="1"/>
        <v>0.97109993572105902</v>
      </c>
      <c r="BH29" s="6">
        <f t="shared" si="2"/>
        <v>-0.65694067036207993</v>
      </c>
      <c r="BI29" s="6">
        <f t="shared" si="3"/>
        <v>0.65694067036207993</v>
      </c>
      <c r="BV29" s="38"/>
      <c r="BW29" s="6">
        <f t="shared" si="13"/>
        <v>0.24434609527920612</v>
      </c>
      <c r="BX29" s="9">
        <f t="shared" ca="1" si="21"/>
        <v>-68.018832854701373</v>
      </c>
      <c r="BY29" s="9">
        <f t="shared" ca="1" si="22"/>
        <v>2.7289710698694805</v>
      </c>
      <c r="BZ29">
        <f t="shared" ca="1" si="23"/>
        <v>68.073555115154576</v>
      </c>
      <c r="CA29" s="6">
        <f t="shared" ca="1" si="24"/>
        <v>-0.99919613041568589</v>
      </c>
      <c r="CB29" s="6">
        <f t="shared" ca="1" si="25"/>
        <v>4.0088563984253485E-2</v>
      </c>
      <c r="CC29" s="6">
        <f t="shared" ca="1" si="26"/>
        <v>3.1014933441578627</v>
      </c>
      <c r="CD29" s="6">
        <f t="shared" ca="1" si="27"/>
        <v>-6.0749723297514748</v>
      </c>
      <c r="CE29" s="9">
        <f t="shared" ca="1" si="28"/>
        <v>8.6356306582814639</v>
      </c>
      <c r="CF29">
        <f t="shared" ca="1" si="29"/>
        <v>10.558380826315029</v>
      </c>
      <c r="CG29" s="6">
        <f t="shared" ca="1" si="30"/>
        <v>-0.57536969253946635</v>
      </c>
      <c r="CH29" s="6">
        <f t="shared" ca="1" si="31"/>
        <v>0.81789346305435151</v>
      </c>
      <c r="CI29" s="6">
        <f t="shared" ca="1" si="32"/>
        <v>2.1838524087576134</v>
      </c>
      <c r="CJ29" s="1">
        <f t="shared" ca="1" si="33"/>
        <v>-1.3984542453601652</v>
      </c>
      <c r="CK29" s="38"/>
      <c r="CU29">
        <v>1.8325957145940459</v>
      </c>
      <c r="CV29">
        <v>1.8325956833851267</v>
      </c>
      <c r="CW29">
        <v>1.8325956989895862</v>
      </c>
      <c r="CX29">
        <v>1.9760462662487972</v>
      </c>
      <c r="CY29">
        <v>1.9760462537461085</v>
      </c>
      <c r="CZ29">
        <v>1.9760462599974451</v>
      </c>
      <c r="DP29">
        <v>0</v>
      </c>
      <c r="DQ29">
        <v>0</v>
      </c>
      <c r="DR29">
        <v>0</v>
      </c>
      <c r="DS29">
        <v>1</v>
      </c>
      <c r="DY29" t="s">
        <v>220</v>
      </c>
    </row>
    <row r="30" spans="1:129" x14ac:dyDescent="0.25">
      <c r="A30" s="8" t="s">
        <v>102</v>
      </c>
      <c r="B30" s="1">
        <v>3.0000000000000001E-3</v>
      </c>
      <c r="BC30">
        <v>0.48869219055841256</v>
      </c>
      <c r="BD30">
        <v>3.0301249025835566</v>
      </c>
      <c r="BE30">
        <v>24.382032478013063</v>
      </c>
      <c r="BF30" s="6">
        <f t="shared" si="0"/>
        <v>1.4471533106797101</v>
      </c>
      <c r="BG30" s="6">
        <f t="shared" si="1"/>
        <v>0.95846112012129758</v>
      </c>
      <c r="BH30" s="6">
        <f t="shared" si="2"/>
        <v>-0.66175514728226181</v>
      </c>
      <c r="BI30" s="6">
        <f t="shared" si="3"/>
        <v>0.66175514728226181</v>
      </c>
      <c r="BV30" s="38"/>
      <c r="BW30" s="6">
        <f t="shared" si="13"/>
        <v>0.26179938779914941</v>
      </c>
      <c r="BX30" s="9">
        <f t="shared" ca="1" si="21"/>
        <v>-67.953994006741269</v>
      </c>
      <c r="BY30" s="9">
        <f t="shared" ca="1" si="22"/>
        <v>2.235115134433336</v>
      </c>
      <c r="BZ30">
        <f t="shared" ca="1" si="23"/>
        <v>67.990742319321683</v>
      </c>
      <c r="CA30" s="6">
        <f t="shared" ca="1" si="24"/>
        <v>-0.99945951005494504</v>
      </c>
      <c r="CB30" s="6">
        <f t="shared" ca="1" si="25"/>
        <v>3.2873815731206665E-2</v>
      </c>
      <c r="CC30" s="6">
        <f t="shared" ca="1" si="26"/>
        <v>3.1087129139222158</v>
      </c>
      <c r="CD30" s="6">
        <f t="shared" ca="1" si="27"/>
        <v>-6.1398111777115787</v>
      </c>
      <c r="CE30" s="9">
        <f t="shared" ca="1" si="28"/>
        <v>9.1294865937176084</v>
      </c>
      <c r="CF30">
        <f t="shared" ca="1" si="29"/>
        <v>11.002036482525478</v>
      </c>
      <c r="CG30" s="6">
        <f t="shared" ca="1" si="30"/>
        <v>-0.55806133595934115</v>
      </c>
      <c r="CH30" s="6">
        <f t="shared" ca="1" si="31"/>
        <v>0.8297997019204546</v>
      </c>
      <c r="CI30" s="6">
        <f t="shared" ca="1" si="32"/>
        <v>2.1628439827342429</v>
      </c>
      <c r="CJ30" s="1">
        <f t="shared" ca="1" si="33"/>
        <v>-1.3774458193367947</v>
      </c>
      <c r="CK30" s="38"/>
      <c r="CU30">
        <v>1.8325957145940459</v>
      </c>
      <c r="CV30">
        <v>1.8325956989895862</v>
      </c>
      <c r="CW30">
        <v>1.8325957067918162</v>
      </c>
      <c r="CX30">
        <v>1.9760462662487972</v>
      </c>
      <c r="CY30">
        <v>1.9760462599974451</v>
      </c>
      <c r="CZ30">
        <v>1.9760462631017552</v>
      </c>
      <c r="DO30" t="s">
        <v>198</v>
      </c>
      <c r="DP30">
        <f t="array" aca="1" ref="DP30:DS30" ca="1">MMULT(DP20:DS20,DP26:DS29)</f>
        <v>1104.0112762248657</v>
      </c>
      <c r="DQ30">
        <f ca="1"/>
        <v>-2.8421709430404007E-14</v>
      </c>
      <c r="DR30">
        <f ca="1"/>
        <v>0</v>
      </c>
      <c r="DS30" s="9">
        <f ca="1"/>
        <v>0</v>
      </c>
      <c r="DU30">
        <f t="array" aca="1" ref="DU30:DX30" ca="1">MMULT(DU20:DX20,DP26:DS29)</f>
        <v>976.44402449511892</v>
      </c>
      <c r="DV30">
        <f ca="1"/>
        <v>72.328643204305308</v>
      </c>
      <c r="DW30">
        <f ca="1"/>
        <v>12.64911064067352</v>
      </c>
      <c r="DX30" s="9">
        <f ca="1"/>
        <v>0</v>
      </c>
      <c r="DY30">
        <f ca="1">ATAN2(DV30,DW30)</f>
        <v>0.17313295290473577</v>
      </c>
    </row>
    <row r="31" spans="1:129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2.9567277761588566</v>
      </c>
      <c r="BE31">
        <v>24.754884194376597</v>
      </c>
      <c r="BF31" s="6">
        <f t="shared" si="0"/>
        <v>1.4519193122066145</v>
      </c>
      <c r="BG31" s="6">
        <f t="shared" si="1"/>
        <v>0.94577382912825869</v>
      </c>
      <c r="BH31" s="6">
        <f t="shared" si="2"/>
        <v>-0.66652114880916624</v>
      </c>
      <c r="BI31" s="6">
        <f t="shared" si="3"/>
        <v>0.66652114880916624</v>
      </c>
      <c r="BV31" s="38"/>
      <c r="BW31" s="6">
        <f t="shared" si="13"/>
        <v>0.27925268031909273</v>
      </c>
      <c r="BX31" s="9">
        <f t="shared" ca="1" si="21"/>
        <v>-67.890897028033976</v>
      </c>
      <c r="BY31" s="9">
        <f t="shared" ca="1" si="22"/>
        <v>1.765371069775469</v>
      </c>
      <c r="BZ31">
        <f t="shared" ca="1" si="23"/>
        <v>67.913845674391851</v>
      </c>
      <c r="CA31" s="6">
        <f t="shared" ca="1" si="24"/>
        <v>-0.999662091785114</v>
      </c>
      <c r="CB31" s="6">
        <f t="shared" ca="1" si="25"/>
        <v>2.5994273365690646E-2</v>
      </c>
      <c r="CC31" s="6">
        <f t="shared" ca="1" si="26"/>
        <v>3.1155954519354649</v>
      </c>
      <c r="CD31" s="6">
        <f t="shared" ca="1" si="27"/>
        <v>-6.2029081564188715</v>
      </c>
      <c r="CE31" s="9">
        <f t="shared" ca="1" si="28"/>
        <v>9.5992306583754754</v>
      </c>
      <c r="CF31">
        <f t="shared" ca="1" si="29"/>
        <v>11.428967531219232</v>
      </c>
      <c r="CG31" s="6">
        <f t="shared" ca="1" si="30"/>
        <v>-0.54273565302159454</v>
      </c>
      <c r="CH31" s="6">
        <f t="shared" ca="1" si="31"/>
        <v>0.83990357240532276</v>
      </c>
      <c r="CI31" s="6">
        <f t="shared" ca="1" si="32"/>
        <v>2.1444871251923763</v>
      </c>
      <c r="CJ31" s="1">
        <f t="shared" ca="1" si="33"/>
        <v>-1.359088961794928</v>
      </c>
      <c r="CK31" s="38"/>
      <c r="CU31">
        <v>1.8325957145940459</v>
      </c>
      <c r="CV31">
        <v>1.8325957067918162</v>
      </c>
      <c r="CW31">
        <v>1.8325957106929311</v>
      </c>
      <c r="CX31">
        <v>1.9760462662487972</v>
      </c>
      <c r="CY31">
        <v>1.9760462631017552</v>
      </c>
      <c r="CZ31">
        <v>1.9760462646752619</v>
      </c>
      <c r="DO31" t="s">
        <v>199</v>
      </c>
      <c r="DP31">
        <f t="array" aca="1" ref="DP31:DR31" ca="1">MMULT(DP21:DR21,DP26:DR28)</f>
        <v>0</v>
      </c>
      <c r="DQ31">
        <f ca="1"/>
        <v>0</v>
      </c>
      <c r="DR31">
        <f ca="1"/>
        <v>0</v>
      </c>
      <c r="DS31" s="9">
        <f ca="1">SQRT(POWER(DP31,2)+POWER(DQ31,2)+POWER(DR31,2))</f>
        <v>0</v>
      </c>
      <c r="DU31">
        <f t="array" aca="1" ref="DU31:DX31" ca="1">MMULT(DU21:DX21,DP26:DS29)</f>
        <v>977.29612918743237</v>
      </c>
      <c r="DV31">
        <f ca="1"/>
        <v>68.243528492850601</v>
      </c>
      <c r="DW31">
        <f ca="1"/>
        <v>4.3030350090748115</v>
      </c>
      <c r="DX31" s="9">
        <f ca="1"/>
        <v>0</v>
      </c>
      <c r="DY31">
        <f ca="1">ATAN2(DV31,DW31)</f>
        <v>6.297074565724381E-2</v>
      </c>
    </row>
    <row r="32" spans="1:129" x14ac:dyDescent="0.25">
      <c r="J32" t="s">
        <v>88</v>
      </c>
      <c r="N32" t="s">
        <v>89</v>
      </c>
      <c r="BC32">
        <v>0.52359877559829915</v>
      </c>
      <c r="BD32">
        <v>2.8807504088998392</v>
      </c>
      <c r="BE32">
        <v>25.127887669942627</v>
      </c>
      <c r="BF32" s="6">
        <f t="shared" si="0"/>
        <v>1.4566511053446838</v>
      </c>
      <c r="BG32" s="6">
        <f t="shared" si="1"/>
        <v>0.93305232974638463</v>
      </c>
      <c r="BH32" s="6">
        <f t="shared" si="2"/>
        <v>-0.6712529419472355</v>
      </c>
      <c r="BI32" s="6">
        <f t="shared" si="3"/>
        <v>0.6712529419472355</v>
      </c>
      <c r="BV32" s="38"/>
      <c r="BW32" s="6">
        <f t="shared" si="13"/>
        <v>0.29670597283903605</v>
      </c>
      <c r="BX32" s="9">
        <f t="shared" ca="1" si="21"/>
        <v>-67.82900037213804</v>
      </c>
      <c r="BY32" s="9">
        <f t="shared" ca="1" si="22"/>
        <v>1.3152834952296928</v>
      </c>
      <c r="BZ32">
        <f t="shared" ca="1" si="23"/>
        <v>67.841751614741838</v>
      </c>
      <c r="CA32" s="6">
        <f t="shared" ca="1" si="24"/>
        <v>-0.99981204431931225</v>
      </c>
      <c r="CB32" s="6">
        <f t="shared" ca="1" si="25"/>
        <v>1.9387522637960383E-2</v>
      </c>
      <c r="CC32" s="6">
        <f t="shared" ca="1" si="26"/>
        <v>3.1222039161954993</v>
      </c>
      <c r="CD32" s="6">
        <f t="shared" ca="1" si="27"/>
        <v>-6.2648048123148072</v>
      </c>
      <c r="CE32" s="9">
        <f t="shared" ca="1" si="28"/>
        <v>10.049318232921252</v>
      </c>
      <c r="CF32">
        <f t="shared" ca="1" si="29"/>
        <v>11.842152518985992</v>
      </c>
      <c r="CG32" s="6">
        <f t="shared" ca="1" si="30"/>
        <v>-0.52902585085530074</v>
      </c>
      <c r="CH32" s="6">
        <f t="shared" ca="1" si="31"/>
        <v>0.84860570887004116</v>
      </c>
      <c r="CI32" s="6">
        <f t="shared" ca="1" si="32"/>
        <v>2.1282485400052655</v>
      </c>
      <c r="CJ32" s="1">
        <f t="shared" ca="1" si="33"/>
        <v>-1.3428503766078173</v>
      </c>
      <c r="CK32" s="38"/>
      <c r="CU32">
        <v>1.8325957145940459</v>
      </c>
      <c r="CV32">
        <v>1.8325957106929311</v>
      </c>
      <c r="CW32">
        <v>1.8325957126434886</v>
      </c>
      <c r="CX32">
        <v>1.9760462662487972</v>
      </c>
      <c r="CY32">
        <v>1.9760462646752619</v>
      </c>
      <c r="CZ32">
        <v>1.9760462654834028</v>
      </c>
      <c r="DU32">
        <f t="array" aca="1" ref="DU32:DX32" ca="1">MMULT(DU22:DX22,DP26:DS29)</f>
        <v>975.79830984890941</v>
      </c>
      <c r="DV32">
        <f ca="1"/>
        <v>75.424293797584625</v>
      </c>
      <c r="DW32">
        <f ca="1"/>
        <v>18.973665961010276</v>
      </c>
      <c r="DX32" s="9">
        <f ca="1"/>
        <v>0</v>
      </c>
      <c r="DY32">
        <f ca="1">ATAN2(COS(DY30-DY31),SIN(DY30-DY31))</f>
        <v>0.11016220724749196</v>
      </c>
    </row>
    <row r="33" spans="1:132" x14ac:dyDescent="0.25">
      <c r="A33" t="s">
        <v>19</v>
      </c>
      <c r="J33">
        <f>(J38*COS(-1*$B$27))+(K38*SIN(-1*$B$27))+$I$2</f>
        <v>-5.5653385336398671</v>
      </c>
      <c r="K33">
        <f>(-1*J38*SIN(-1*$B$27))+(K38*COS(-1*$B$27))+$I$3</f>
        <v>-3.1136564311375761</v>
      </c>
      <c r="N33">
        <f>IF(B1="PCA_Parabolic",NA(),(N38*COS(-1*$B$27))+(O38*SIN(-1*$B$27))+$I$2)</f>
        <v>-4.5837383587356015</v>
      </c>
      <c r="O33">
        <f>(-1*N38*SIN(-1*$B$27))+(O38*COS(-1*$B$27))+$I$3</f>
        <v>2.7340115925926174</v>
      </c>
      <c r="BC33">
        <v>0.54105206811824247</v>
      </c>
      <c r="BD33">
        <v>2.8019559803555909</v>
      </c>
      <c r="BE33">
        <v>25.501636437101975</v>
      </c>
      <c r="BF33" s="6">
        <f t="shared" si="0"/>
        <v>1.4613617146372568</v>
      </c>
      <c r="BG33" s="6">
        <f t="shared" si="1"/>
        <v>0.92030964651901437</v>
      </c>
      <c r="BH33" s="6">
        <f t="shared" si="2"/>
        <v>-0.67596355123980845</v>
      </c>
      <c r="BI33" s="6">
        <f t="shared" si="3"/>
        <v>0.67596355123980845</v>
      </c>
      <c r="BV33" s="38"/>
      <c r="BW33" s="6">
        <f t="shared" si="13"/>
        <v>0.31415926535897937</v>
      </c>
      <c r="BX33" s="9">
        <f t="shared" ca="1" si="21"/>
        <v>-67.767839033116346</v>
      </c>
      <c r="BY33" s="9">
        <f t="shared" ca="1" si="22"/>
        <v>0.88131065922724616</v>
      </c>
      <c r="BZ33">
        <f t="shared" ca="1" si="23"/>
        <v>67.773569447804903</v>
      </c>
      <c r="CA33" s="6">
        <f t="shared" ca="1" si="24"/>
        <v>-0.99991544764817253</v>
      </c>
      <c r="CB33" s="6">
        <f t="shared" ca="1" si="25"/>
        <v>1.3003751556954341E-2</v>
      </c>
      <c r="CC33" s="6">
        <f t="shared" ca="1" si="26"/>
        <v>3.128588535521184</v>
      </c>
      <c r="CD33" s="6">
        <f t="shared" ca="1" si="27"/>
        <v>-6.3259661513365018</v>
      </c>
      <c r="CE33" s="9">
        <f t="shared" ca="1" si="28"/>
        <v>10.483291068923698</v>
      </c>
      <c r="CF33">
        <f t="shared" ca="1" si="29"/>
        <v>12.244069559735053</v>
      </c>
      <c r="CG33" s="6">
        <f t="shared" ca="1" si="30"/>
        <v>-0.51665552212636956</v>
      </c>
      <c r="CH33" s="6">
        <f t="shared" ca="1" si="31"/>
        <v>0.8561933610209369</v>
      </c>
      <c r="CI33" s="6">
        <f t="shared" ca="1" si="32"/>
        <v>2.1137364349177612</v>
      </c>
      <c r="CJ33" s="1">
        <f t="shared" ca="1" si="33"/>
        <v>-1.3283382715203129</v>
      </c>
      <c r="CK33" s="38"/>
      <c r="CU33">
        <v>1.8325957145940459</v>
      </c>
      <c r="CV33">
        <v>1.8325957126434886</v>
      </c>
      <c r="CW33">
        <v>1.8325957136187672</v>
      </c>
      <c r="CX33">
        <v>1.9760462662487972</v>
      </c>
      <c r="CY33">
        <v>1.9760462654834028</v>
      </c>
      <c r="CZ33">
        <v>1.9760462658447189</v>
      </c>
    </row>
    <row r="34" spans="1:132" x14ac:dyDescent="0.25">
      <c r="J34">
        <f>(J39*COS(-1*$B$27))+(K39*SIN(-1*$B$27))+$I$2</f>
        <v>11.996477264716827</v>
      </c>
      <c r="K34">
        <f>(-1*J39*SIN(-1*$B$27))+(K39*COS(-1*$B$27))+$I$3</f>
        <v>-6.061614726538032</v>
      </c>
      <c r="N34">
        <f>IF(B1="PCA_Parabolic",NA(),(N39*COS(-1*$B$27))+(O39*SIN(-1*$B$27))+$I$2)</f>
        <v>12.978077439621092</v>
      </c>
      <c r="O34">
        <f>(-1*N39*SIN(-1*$B$27))+(O39*COS(-1*$B$27))+$I$3</f>
        <v>-0.21394670280784034</v>
      </c>
      <c r="BC34">
        <v>0.55850536063818579</v>
      </c>
      <c r="BD34">
        <v>2.7201006883839121</v>
      </c>
      <c r="BE34">
        <v>25.876691524425919</v>
      </c>
      <c r="BF34" s="6">
        <f t="shared" ref="BF34:BF65" si="35">IF(BC34&lt;&gt;"",IF(AND(BD34=0,BE34=0),0,MOD(ATAN2(BD34,BE34),2*PI())),NA())</f>
        <v>1.4660631626602298</v>
      </c>
      <c r="BG34" s="6">
        <f t="shared" ref="BG34:BG65" si="36">ABS(BC34-BF34)</f>
        <v>0.90755780202204406</v>
      </c>
      <c r="BH34" s="6">
        <f t="shared" si="2"/>
        <v>-0.68066499926278157</v>
      </c>
      <c r="BI34" s="6">
        <f t="shared" si="3"/>
        <v>0.68066499926278157</v>
      </c>
      <c r="BV34" s="38"/>
      <c r="BW34" s="6">
        <f t="shared" si="13"/>
        <v>0.33161255787892269</v>
      </c>
      <c r="BX34" s="9">
        <f t="shared" ca="1" si="21"/>
        <v>-67.707007420562363</v>
      </c>
      <c r="BY34" s="9">
        <f t="shared" ca="1" si="22"/>
        <v>0.46059271302046412</v>
      </c>
      <c r="BZ34">
        <f t="shared" ca="1" si="23"/>
        <v>67.708574047127698</v>
      </c>
      <c r="CA34" s="6">
        <f t="shared" ca="1" si="24"/>
        <v>-0.99997686221298587</v>
      </c>
      <c r="CB34" s="6">
        <f t="shared" ca="1" si="25"/>
        <v>6.8025758849961067E-3</v>
      </c>
      <c r="CC34" s="6">
        <f t="shared" ca="1" si="26"/>
        <v>3.1347900252387939</v>
      </c>
      <c r="CD34" s="6">
        <f t="shared" ca="1" si="27"/>
        <v>-6.3867977638904847</v>
      </c>
      <c r="CE34" s="9">
        <f t="shared" ca="1" si="28"/>
        <v>10.90400901513048</v>
      </c>
      <c r="CF34">
        <f t="shared" ca="1" si="29"/>
        <v>12.6367954117681</v>
      </c>
      <c r="CG34" s="6">
        <f t="shared" ca="1" si="30"/>
        <v>-0.50541276928031431</v>
      </c>
      <c r="CH34" s="6">
        <f t="shared" ca="1" si="31"/>
        <v>0.86287770434077371</v>
      </c>
      <c r="CI34" s="6">
        <f t="shared" ca="1" si="32"/>
        <v>2.1006565887313831</v>
      </c>
      <c r="CJ34" s="1">
        <f t="shared" ca="1" si="33"/>
        <v>-1.3152584253339348</v>
      </c>
      <c r="CK34" s="38"/>
      <c r="CU34">
        <v>1.8325957145940459</v>
      </c>
      <c r="CV34">
        <v>1.8325957136187672</v>
      </c>
      <c r="CW34">
        <v>1.8325957141064064</v>
      </c>
      <c r="CX34">
        <v>1.9760462662487972</v>
      </c>
      <c r="CY34">
        <v>1.9760462658447189</v>
      </c>
      <c r="CZ34">
        <v>1.9760462660467599</v>
      </c>
      <c r="DU34" t="s">
        <v>221</v>
      </c>
    </row>
    <row r="35" spans="1:132" x14ac:dyDescent="0.25">
      <c r="A35" s="8" t="s">
        <v>20</v>
      </c>
      <c r="AD35" t="s">
        <v>135</v>
      </c>
      <c r="BC35">
        <v>0.57595865315812911</v>
      </c>
      <c r="BD35">
        <v>2.6349316511159948</v>
      </c>
      <c r="BE35">
        <v>26.253588782110914</v>
      </c>
      <c r="BF35" s="6">
        <f t="shared" si="35"/>
        <v>1.4707666703098523</v>
      </c>
      <c r="BG35" s="6">
        <f t="shared" si="36"/>
        <v>0.8948080171517232</v>
      </c>
      <c r="BH35" s="6">
        <f t="shared" si="2"/>
        <v>-0.68536850691240403</v>
      </c>
      <c r="BI35" s="6">
        <f t="shared" si="3"/>
        <v>0.68536850691240403</v>
      </c>
      <c r="BV35" s="38"/>
      <c r="BW35" s="6">
        <f t="shared" si="13"/>
        <v>0.34906585039886601</v>
      </c>
      <c r="BX35" s="9">
        <f t="shared" ca="1" si="21"/>
        <v>-67.646146290956281</v>
      </c>
      <c r="BY35" s="9">
        <f t="shared" ca="1" si="22"/>
        <v>5.0786615718799055E-2</v>
      </c>
      <c r="BZ35">
        <f t="shared" ca="1" si="23"/>
        <v>67.646165355456731</v>
      </c>
      <c r="CA35" s="6">
        <f t="shared" ca="1" si="24"/>
        <v>-0.99999971817322753</v>
      </c>
      <c r="CB35" s="6">
        <f t="shared" ca="1" si="25"/>
        <v>7.507685831404235E-4</v>
      </c>
      <c r="CC35" s="6">
        <f t="shared" ca="1" si="26"/>
        <v>3.1408418849361239</v>
      </c>
      <c r="CD35" s="6">
        <f t="shared" ca="1" si="27"/>
        <v>-6.4476588934965662</v>
      </c>
      <c r="CE35" s="9">
        <f t="shared" ca="1" si="28"/>
        <v>11.313815112432145</v>
      </c>
      <c r="CF35">
        <f t="shared" ca="1" si="29"/>
        <v>13.022085762472283</v>
      </c>
      <c r="CG35" s="6">
        <f t="shared" ca="1" si="30"/>
        <v>-0.49513257792217596</v>
      </c>
      <c r="CH35" s="6">
        <f t="shared" ca="1" si="31"/>
        <v>0.86881743207657869</v>
      </c>
      <c r="CI35" s="6">
        <f t="shared" ca="1" si="32"/>
        <v>2.0887837476290976</v>
      </c>
      <c r="CJ35" s="1">
        <f t="shared" ca="1" si="33"/>
        <v>-1.3033855842316493</v>
      </c>
      <c r="CK35" s="38"/>
      <c r="CU35">
        <v>1.8325957145940459</v>
      </c>
      <c r="CV35">
        <v>1.8325957141064064</v>
      </c>
      <c r="CW35">
        <v>1.8325957143502261</v>
      </c>
      <c r="CX35">
        <v>1.9760462662487972</v>
      </c>
      <c r="CY35">
        <v>1.9760462660467599</v>
      </c>
      <c r="CZ35">
        <v>1.9760462661477809</v>
      </c>
      <c r="DX35" s="9"/>
    </row>
    <row r="36" spans="1:132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75.245022414104753</v>
      </c>
      <c r="H36" s="14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2.5461848085093055</v>
      </c>
      <c r="BE36">
        <v>26.632845158479832</v>
      </c>
      <c r="BF36" s="6">
        <f t="shared" si="35"/>
        <v>1.4754828254087928</v>
      </c>
      <c r="BG36" s="6">
        <f t="shared" si="36"/>
        <v>0.8820708797307204</v>
      </c>
      <c r="BH36" s="6">
        <f t="shared" si="2"/>
        <v>-0.69008466201134455</v>
      </c>
      <c r="BI36" s="6">
        <f t="shared" si="3"/>
        <v>0.69008466201134455</v>
      </c>
      <c r="BV36" s="38"/>
      <c r="BW36" s="6">
        <f t="shared" si="13"/>
        <v>0.36651914291880933</v>
      </c>
      <c r="BX36" s="9">
        <f t="shared" ca="1" si="21"/>
        <v>-67.584932589837933</v>
      </c>
      <c r="BY36" s="9">
        <f t="shared" ca="1" si="22"/>
        <v>-0.35005371678204966</v>
      </c>
      <c r="BZ36">
        <f t="shared" ca="1" si="23"/>
        <v>67.585839129048111</v>
      </c>
      <c r="CA36" s="6">
        <f t="shared" ca="1" si="24"/>
        <v>-0.99998658684686226</v>
      </c>
      <c r="CB36" s="6">
        <f t="shared" ca="1" si="25"/>
        <v>-5.1793944011504925E-3</v>
      </c>
      <c r="CC36" s="6">
        <f t="shared" ca="1" si="26"/>
        <v>-3.1364132360311818</v>
      </c>
      <c r="CD36" s="6">
        <f t="shared" ca="1" si="27"/>
        <v>-6.508872594614914</v>
      </c>
      <c r="CE36" s="9">
        <f t="shared" ca="1" si="28"/>
        <v>11.714655444932994</v>
      </c>
      <c r="CF36">
        <f t="shared" ca="1" si="29"/>
        <v>13.401439275183368</v>
      </c>
      <c r="CG36" s="6">
        <f t="shared" ca="1" si="30"/>
        <v>-0.48568459409191744</v>
      </c>
      <c r="CH36" s="6">
        <f t="shared" ca="1" si="31"/>
        <v>0.87413412875929375</v>
      </c>
      <c r="CI36" s="6">
        <f t="shared" ca="1" si="32"/>
        <v>2.0779424924788934</v>
      </c>
      <c r="CJ36" s="1">
        <f t="shared" ca="1" si="33"/>
        <v>-1.2925443290814451</v>
      </c>
      <c r="CK36" s="38"/>
      <c r="CU36">
        <v>1.8325957145940459</v>
      </c>
      <c r="CV36">
        <v>1.8325957143502261</v>
      </c>
      <c r="CW36">
        <v>1.8325957144721361</v>
      </c>
      <c r="CX36">
        <v>1.9760462662487972</v>
      </c>
      <c r="CY36">
        <v>1.9760462661477809</v>
      </c>
      <c r="CZ36">
        <v>1.9760462661769156</v>
      </c>
      <c r="DU36">
        <f ca="1">(DU32-DU30)</f>
        <v>-0.64571464620951247</v>
      </c>
      <c r="DV36">
        <f t="shared" ref="DV36:DW36" ca="1" si="37">(DV32-DV30)</f>
        <v>3.0956505932793164</v>
      </c>
      <c r="DW36">
        <f t="shared" ca="1" si="37"/>
        <v>6.3245553203367564</v>
      </c>
      <c r="DX36" s="9">
        <f ca="1">SQRT(POWER(DU36,2)+POWER(DV36,2)+POWER(DW36,2))</f>
        <v>7.0710678118654773</v>
      </c>
      <c r="DY36">
        <f ca="1">DU36/DX36</f>
        <v>-9.1317841009243714E-2</v>
      </c>
      <c r="DZ36">
        <f ca="1">DV36/DX36</f>
        <v>0.43779110533839261</v>
      </c>
      <c r="EA36">
        <f ca="1">DW36/DX36</f>
        <v>0.8944271909999153</v>
      </c>
      <c r="EB36">
        <f ca="1">ATAN2(DZ36,EA36)</f>
        <v>1.1156119107452123</v>
      </c>
    </row>
    <row r="37" spans="1:132" x14ac:dyDescent="0.25">
      <c r="A37" s="3">
        <f t="shared" ref="A37:A45" si="38">E3-$I$2</f>
        <v>-6</v>
      </c>
      <c r="B37" s="6">
        <f t="shared" ref="B37:B45" si="39">F3-$I$3</f>
        <v>-12</v>
      </c>
      <c r="C37" s="6">
        <f t="shared" ref="C37:C45" si="40">A37*COS($B$27)+B37*SIN($B$27)</f>
        <v>-3.9306645852684303</v>
      </c>
      <c r="D37" s="6">
        <f t="shared" ref="D37:D45" si="41">-1*A37*SIN($B$27)+B37*COS($B$27)</f>
        <v>-12.827699556745026</v>
      </c>
      <c r="F37" s="8" t="s">
        <v>23</v>
      </c>
      <c r="G37" s="1">
        <f>MAX(D37:D41)-MIN(D37:D41)</f>
        <v>25.655399113490052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2.4535827665061287</v>
      </c>
      <c r="BE37">
        <v>27.014964151093107</v>
      </c>
      <c r="BF37" s="6">
        <f t="shared" si="35"/>
        <v>1.4802217272050198</v>
      </c>
      <c r="BG37" s="6">
        <f t="shared" si="36"/>
        <v>0.86935648900700402</v>
      </c>
      <c r="BH37" s="6">
        <f t="shared" si="2"/>
        <v>-0.69482356380757149</v>
      </c>
      <c r="BI37" s="6">
        <f t="shared" si="3"/>
        <v>0.69482356380757149</v>
      </c>
      <c r="BV37" s="38"/>
      <c r="BW37" s="6">
        <f t="shared" si="13"/>
        <v>0.38397243543875265</v>
      </c>
      <c r="BX37" s="9">
        <f t="shared" ca="1" si="21"/>
        <v>-67.523071418456894</v>
      </c>
      <c r="BY37" s="9">
        <f t="shared" ca="1" si="22"/>
        <v>-0.74356589929921668</v>
      </c>
      <c r="BZ37">
        <f t="shared" ca="1" si="23"/>
        <v>67.527165378302612</v>
      </c>
      <c r="CA37" s="6">
        <f t="shared" ca="1" si="24"/>
        <v>-0.99993937314230819</v>
      </c>
      <c r="CB37" s="6">
        <f t="shared" ca="1" si="25"/>
        <v>-1.1011359578527998E-2</v>
      </c>
      <c r="CC37" s="6">
        <f t="shared" ca="1" si="26"/>
        <v>-3.1305810714778253</v>
      </c>
      <c r="CD37" s="6">
        <f t="shared" ca="1" si="27"/>
        <v>-6.5707337659959535</v>
      </c>
      <c r="CE37" s="9">
        <f t="shared" ca="1" si="28"/>
        <v>12.108167627450161</v>
      </c>
      <c r="CF37">
        <f t="shared" ca="1" si="29"/>
        <v>13.776148428281084</v>
      </c>
      <c r="CG37" s="6">
        <f t="shared" ca="1" si="30"/>
        <v>-0.47696450137738644</v>
      </c>
      <c r="CH37" s="6">
        <f t="shared" ca="1" si="31"/>
        <v>0.87892255883315529</v>
      </c>
      <c r="CI37" s="6">
        <f t="shared" ca="1" si="32"/>
        <v>2.0679941310171781</v>
      </c>
      <c r="CJ37" s="1">
        <f t="shared" ca="1" si="33"/>
        <v>-1.2825959676197298</v>
      </c>
      <c r="CK37" s="38"/>
      <c r="CU37">
        <v>1.8325957145940459</v>
      </c>
      <c r="CV37">
        <v>1.8325957144721361</v>
      </c>
      <c r="CW37">
        <v>1.8325957145330909</v>
      </c>
      <c r="CX37">
        <v>1.9760462662487972</v>
      </c>
      <c r="CY37">
        <v>1.9760462661769156</v>
      </c>
      <c r="CZ37">
        <v>1.9760462662128522</v>
      </c>
      <c r="DU37">
        <f ca="1">DU31-DU30</f>
        <v>0.85210469231344632</v>
      </c>
      <c r="DV37">
        <f t="shared" ref="DV37:DW37" ca="1" si="42">DV31-DV30</f>
        <v>-4.0851147114547075</v>
      </c>
      <c r="DW37">
        <f t="shared" ca="1" si="42"/>
        <v>-8.3460756315987084</v>
      </c>
      <c r="DX37" s="9">
        <f ca="1">SQRT(POWER(DU37,2)+POWER(DV37,2)+POWER(DW37,2))</f>
        <v>9.3311962288214705</v>
      </c>
      <c r="DY37">
        <f ca="1">DU37/DX37</f>
        <v>9.1317840866054434E-2</v>
      </c>
      <c r="DZ37">
        <f ca="1">DV37/DX37</f>
        <v>-0.43779110537156257</v>
      </c>
      <c r="EA37">
        <f ca="1">DW37/DX37</f>
        <v>-0.89442719099829893</v>
      </c>
      <c r="EB37">
        <f ca="1">ATAN2(DZ37,EA37)</f>
        <v>-2.0259807428752121</v>
      </c>
    </row>
    <row r="38" spans="1:132" x14ac:dyDescent="0.25">
      <c r="A38" s="3">
        <f t="shared" si="38"/>
        <v>6</v>
      </c>
      <c r="B38" s="6">
        <f t="shared" si="39"/>
        <v>-12</v>
      </c>
      <c r="C38" s="6">
        <f t="shared" si="40"/>
        <v>7.9037608942349626</v>
      </c>
      <c r="D38" s="6">
        <f t="shared" si="41"/>
        <v>-10.84115140226176</v>
      </c>
      <c r="F38" s="8" t="s">
        <v>24</v>
      </c>
      <c r="G38" s="6">
        <f>MAX(D37:D43)</f>
        <v>12.827699556745026</v>
      </c>
      <c r="H38" t="s">
        <v>4</v>
      </c>
      <c r="J38" s="9">
        <f>MIN(C37:C43,A37:A43)-1</f>
        <v>-8.9037608942349635</v>
      </c>
      <c r="K38" s="9">
        <f>G40</f>
        <v>-16.819711889757613</v>
      </c>
      <c r="N38" s="9">
        <f>J38</f>
        <v>-8.9037608942349635</v>
      </c>
      <c r="O38" s="9">
        <f>G41</f>
        <v>-10.890229600457081</v>
      </c>
      <c r="AD38">
        <f>AE37</f>
        <v>6.2831853071795862</v>
      </c>
      <c r="AE38">
        <f>AE37</f>
        <v>6.2831853071795862</v>
      </c>
      <c r="BC38">
        <v>0.62831853071795907</v>
      </c>
      <c r="BD38">
        <v>2.3568325718198961</v>
      </c>
      <c r="BE38">
        <v>27.40044061576403</v>
      </c>
      <c r="BF38" s="6">
        <f t="shared" si="35"/>
        <v>1.4849931112112498</v>
      </c>
      <c r="BG38" s="6">
        <f t="shared" si="36"/>
        <v>0.8566745804932907</v>
      </c>
      <c r="BH38" s="6">
        <f t="shared" si="2"/>
        <v>-0.69959494781380149</v>
      </c>
      <c r="BI38" s="6">
        <f t="shared" si="3"/>
        <v>0.69959494781380149</v>
      </c>
      <c r="BV38" s="38"/>
      <c r="BW38" s="6">
        <f t="shared" si="13"/>
        <v>0.40142572795869597</v>
      </c>
      <c r="BX38" s="9">
        <f t="shared" ca="1" si="21"/>
        <v>-67.460289580998179</v>
      </c>
      <c r="BY38" s="9">
        <f t="shared" ca="1" si="22"/>
        <v>-1.1311454194466108</v>
      </c>
      <c r="BZ38">
        <f t="shared" ca="1" si="23"/>
        <v>67.469772196977715</v>
      </c>
      <c r="CA38" s="6">
        <f t="shared" ca="1" si="24"/>
        <v>-0.99985945386102903</v>
      </c>
      <c r="CB38" s="6">
        <f t="shared" ca="1" si="25"/>
        <v>-1.676521770585258E-2</v>
      </c>
      <c r="CC38" s="6">
        <f t="shared" ca="1" si="26"/>
        <v>-3.1248266504109097</v>
      </c>
      <c r="CD38" s="6">
        <f t="shared" ca="1" si="27"/>
        <v>-6.6335156034546685</v>
      </c>
      <c r="CE38" s="9">
        <f t="shared" ca="1" si="28"/>
        <v>12.495747147597555</v>
      </c>
      <c r="CF38">
        <f t="shared" ca="1" si="29"/>
        <v>14.147339892643034</v>
      </c>
      <c r="CG38" s="6">
        <f t="shared" ca="1" si="30"/>
        <v>-0.46888783713355614</v>
      </c>
      <c r="CH38" s="6">
        <f t="shared" ca="1" si="31"/>
        <v>0.88325771787639407</v>
      </c>
      <c r="CI38" s="6">
        <f t="shared" ca="1" si="32"/>
        <v>2.0588275232689477</v>
      </c>
      <c r="CJ38" s="1">
        <f t="shared" ca="1" si="33"/>
        <v>-1.2734293598714994</v>
      </c>
      <c r="CK38" s="38"/>
      <c r="CU38">
        <v>1.8325957145940459</v>
      </c>
      <c r="CV38">
        <v>1.8325957145330909</v>
      </c>
      <c r="CW38">
        <v>1.8325957145635683</v>
      </c>
      <c r="CX38">
        <v>1.9760462662487972</v>
      </c>
      <c r="CY38">
        <v>1.9760462662128522</v>
      </c>
      <c r="CZ38">
        <v>1.9760462662522038</v>
      </c>
      <c r="EB38" s="9">
        <f ca="1">ATAN2(COS(EB37-EB36),SIN(EB37-EB36))</f>
        <v>3.1415926535591616</v>
      </c>
    </row>
    <row r="39" spans="1:132" x14ac:dyDescent="0.25">
      <c r="A39" s="3">
        <f t="shared" si="38"/>
        <v>6</v>
      </c>
      <c r="B39" s="6">
        <f t="shared" si="39"/>
        <v>4</v>
      </c>
      <c r="C39" s="6">
        <f t="shared" si="40"/>
        <v>5.2550300215906081</v>
      </c>
      <c r="D39" s="6">
        <f t="shared" si="41"/>
        <v>4.9380825704094313</v>
      </c>
      <c r="J39" s="9">
        <f>MAX(C37:C43,A37:A43)+1</f>
        <v>8.9037608942349635</v>
      </c>
      <c r="K39" s="9">
        <f>K38</f>
        <v>-16.819711889757613</v>
      </c>
      <c r="N39" s="9">
        <f>J39</f>
        <v>8.9037608942349635</v>
      </c>
      <c r="O39" s="9">
        <f>G41</f>
        <v>-10.890229600457081</v>
      </c>
      <c r="AD39">
        <f>AD38</f>
        <v>6.2831853071795862</v>
      </c>
      <c r="AE39">
        <v>0</v>
      </c>
      <c r="BC39">
        <v>0.64577182323790239</v>
      </c>
      <c r="BD39">
        <v>2.2556233563444419</v>
      </c>
      <c r="BE39">
        <v>27.789765073924148</v>
      </c>
      <c r="BF39" s="6">
        <f t="shared" si="35"/>
        <v>1.4898064595462153</v>
      </c>
      <c r="BG39" s="6">
        <f t="shared" si="36"/>
        <v>0.84403463630831288</v>
      </c>
      <c r="BH39" s="6">
        <f t="shared" si="2"/>
        <v>-0.70440829614876699</v>
      </c>
      <c r="BI39" s="6">
        <f t="shared" si="3"/>
        <v>0.70440829614876699</v>
      </c>
      <c r="BV39" s="38"/>
      <c r="BW39" s="6">
        <f t="shared" si="13"/>
        <v>0.41887902047863929</v>
      </c>
      <c r="BX39" s="9">
        <f t="shared" ca="1" si="21"/>
        <v>-67.396330308408508</v>
      </c>
      <c r="BY39" s="9">
        <f t="shared" ca="1" si="22"/>
        <v>-1.5139960818747262</v>
      </c>
      <c r="BZ39">
        <f t="shared" ca="1" si="23"/>
        <v>67.413333422818042</v>
      </c>
      <c r="CA39" s="6">
        <f t="shared" ca="1" si="24"/>
        <v>-0.99974777816870608</v>
      </c>
      <c r="CB39" s="6">
        <f t="shared" ca="1" si="25"/>
        <v>-2.2458407039137297E-2</v>
      </c>
      <c r="CC39" s="6">
        <f t="shared" ca="1" si="26"/>
        <v>-3.1191323581932902</v>
      </c>
      <c r="CD39" s="6">
        <f t="shared" ca="1" si="27"/>
        <v>-6.697474876044339</v>
      </c>
      <c r="CE39" s="9">
        <f t="shared" ca="1" si="28"/>
        <v>12.878597810025671</v>
      </c>
      <c r="CF39">
        <f t="shared" ca="1" si="29"/>
        <v>14.516006725943713</v>
      </c>
      <c r="CG39" s="6">
        <f t="shared" ca="1" si="30"/>
        <v>-0.46138548999665907</v>
      </c>
      <c r="CH39" s="6">
        <f t="shared" ca="1" si="31"/>
        <v>0.88719976872209727</v>
      </c>
      <c r="CI39" s="6">
        <f t="shared" ca="1" si="32"/>
        <v>2.0503525361103137</v>
      </c>
      <c r="CJ39" s="1">
        <f t="shared" ca="1" si="33"/>
        <v>-1.2649543727128654</v>
      </c>
      <c r="CK39" s="38"/>
      <c r="CU39">
        <v>1.8325957145940459</v>
      </c>
      <c r="CV39">
        <v>1.8325957145635683</v>
      </c>
      <c r="CW39">
        <v>1.8325957145788072</v>
      </c>
      <c r="CX39">
        <v>1.9760462662487972</v>
      </c>
      <c r="CY39">
        <v>1.9760462662522038</v>
      </c>
      <c r="CZ39">
        <v>1.9760462662505003</v>
      </c>
    </row>
    <row r="40" spans="1:132" x14ac:dyDescent="0.25">
      <c r="A40" s="3">
        <f t="shared" si="38"/>
        <v>6</v>
      </c>
      <c r="B40" s="6">
        <f t="shared" si="39"/>
        <v>4</v>
      </c>
      <c r="C40" s="6">
        <f t="shared" si="40"/>
        <v>5.2550300215906081</v>
      </c>
      <c r="D40" s="6">
        <f t="shared" si="41"/>
        <v>4.9380825704094313</v>
      </c>
      <c r="F40" s="8" t="s">
        <v>50</v>
      </c>
      <c r="G40" s="9">
        <f>G38-B28</f>
        <v>-16.819711889757613</v>
      </c>
      <c r="AD40">
        <f>AE39</f>
        <v>0</v>
      </c>
      <c r="AE40">
        <f>AE39</f>
        <v>0</v>
      </c>
      <c r="BC40">
        <v>0.66322511575784571</v>
      </c>
      <c r="BD40">
        <v>2.149623835056738</v>
      </c>
      <c r="BE40">
        <v>28.183427639054013</v>
      </c>
      <c r="BF40" s="6">
        <f t="shared" si="35"/>
        <v>1.4946710994195358</v>
      </c>
      <c r="BG40" s="6">
        <f t="shared" si="36"/>
        <v>0.83144598366169009</v>
      </c>
      <c r="BH40" s="6">
        <f t="shared" si="2"/>
        <v>-0.70927293602208752</v>
      </c>
      <c r="BI40" s="6">
        <f t="shared" si="3"/>
        <v>0.70927293602208752</v>
      </c>
      <c r="BV40" s="38"/>
      <c r="BW40" s="6">
        <f t="shared" si="13"/>
        <v>0.43633231299858261</v>
      </c>
      <c r="BX40" s="9">
        <f t="shared" ca="1" si="21"/>
        <v>-67.330948870861405</v>
      </c>
      <c r="BY40" s="9">
        <f t="shared" ca="1" si="22"/>
        <v>-1.8931688694109674</v>
      </c>
      <c r="BZ40">
        <f t="shared" ca="1" si="23"/>
        <v>67.35755907259896</v>
      </c>
      <c r="CA40" s="6">
        <f t="shared" ca="1" si="24"/>
        <v>-0.99960494112162124</v>
      </c>
      <c r="CB40" s="6">
        <f t="shared" ca="1" si="25"/>
        <v>-2.8106257047861287E-2</v>
      </c>
      <c r="CC40" s="6">
        <f t="shared" ca="1" si="26"/>
        <v>-3.1134826947481598</v>
      </c>
      <c r="CD40" s="6">
        <f t="shared" ca="1" si="27"/>
        <v>-6.7628563135914419</v>
      </c>
      <c r="CE40" s="9">
        <f t="shared" ca="1" si="28"/>
        <v>13.257770597561912</v>
      </c>
      <c r="CF40">
        <f t="shared" ca="1" si="29"/>
        <v>14.883034191180935</v>
      </c>
      <c r="CG40" s="6">
        <f t="shared" ca="1" si="30"/>
        <v>-0.4544003747299612</v>
      </c>
      <c r="CH40" s="6">
        <f t="shared" ca="1" si="31"/>
        <v>0.89079756367272966</v>
      </c>
      <c r="CI40" s="6">
        <f t="shared" ca="1" si="32"/>
        <v>2.0424952922290767</v>
      </c>
      <c r="CJ40" s="1">
        <f t="shared" ca="1" si="33"/>
        <v>-1.2570971288316284</v>
      </c>
      <c r="CK40" s="38"/>
      <c r="CU40">
        <v>1.8325957145940459</v>
      </c>
      <c r="CV40">
        <v>1.8325957145788072</v>
      </c>
      <c r="CW40">
        <v>1.8325957145864264</v>
      </c>
      <c r="CX40">
        <v>1.9760462662487972</v>
      </c>
      <c r="CY40">
        <v>1.9760462662505003</v>
      </c>
      <c r="CZ40">
        <v>1.9760462662496414</v>
      </c>
    </row>
    <row r="41" spans="1:132" x14ac:dyDescent="0.25">
      <c r="A41" s="3">
        <f t="shared" si="38"/>
        <v>6</v>
      </c>
      <c r="B41" s="6">
        <f t="shared" si="39"/>
        <v>12</v>
      </c>
      <c r="C41" s="6">
        <f t="shared" si="40"/>
        <v>3.9306645852684303</v>
      </c>
      <c r="D41" s="6">
        <f t="shared" si="41"/>
        <v>12.827699556745026</v>
      </c>
      <c r="F41" s="8" t="s">
        <v>51</v>
      </c>
      <c r="G41" s="9">
        <f>G38-B29</f>
        <v>-10.890229600457081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2.0384795940512523</v>
      </c>
      <c r="BE41">
        <v>28.581921655140416</v>
      </c>
      <c r="BF41" s="6">
        <f t="shared" si="35"/>
        <v>1.499596293408429</v>
      </c>
      <c r="BG41" s="6">
        <f t="shared" si="36"/>
        <v>0.81891788513064001</v>
      </c>
      <c r="BH41" s="6">
        <f t="shared" si="2"/>
        <v>-0.71419813001098076</v>
      </c>
      <c r="BI41" s="6">
        <f t="shared" si="3"/>
        <v>0.71419813001098076</v>
      </c>
      <c r="BV41" s="38"/>
      <c r="BW41" s="6">
        <f t="shared" si="13"/>
        <v>0.45378560551852593</v>
      </c>
      <c r="BX41" s="9">
        <f t="shared" ca="1" si="21"/>
        <v>-67.263908852809365</v>
      </c>
      <c r="BY41" s="9">
        <f t="shared" ca="1" si="22"/>
        <v>-2.2695922500450614</v>
      </c>
      <c r="BZ41">
        <f t="shared" ca="1" si="23"/>
        <v>67.302187803521733</v>
      </c>
      <c r="CA41" s="6">
        <f t="shared" ca="1" si="24"/>
        <v>-0.99943123764677433</v>
      </c>
      <c r="CB41" s="6">
        <f t="shared" ca="1" si="25"/>
        <v>-3.3722414146042073E-2</v>
      </c>
      <c r="CC41" s="6">
        <f t="shared" ca="1" si="26"/>
        <v>-3.1078638446423366</v>
      </c>
      <c r="CD41" s="6">
        <f t="shared" ca="1" si="27"/>
        <v>-6.8298963316434822</v>
      </c>
      <c r="CE41" s="9">
        <f t="shared" ca="1" si="28"/>
        <v>13.634193978196006</v>
      </c>
      <c r="CF41">
        <f t="shared" ca="1" si="29"/>
        <v>15.249220614053471</v>
      </c>
      <c r="CG41" s="6">
        <f t="shared" ca="1" si="30"/>
        <v>-0.44788494471311829</v>
      </c>
      <c r="CH41" s="6">
        <f t="shared" ca="1" si="31"/>
        <v>0.89409120133201569</v>
      </c>
      <c r="CI41" s="6">
        <f t="shared" ca="1" si="32"/>
        <v>2.0351946680045607</v>
      </c>
      <c r="CJ41" s="1">
        <f t="shared" ca="1" si="33"/>
        <v>-1.2497965046071124</v>
      </c>
      <c r="CK41" s="38"/>
      <c r="CU41">
        <v>1.8325957145940459</v>
      </c>
      <c r="CV41">
        <v>1.8325957145864264</v>
      </c>
      <c r="CW41">
        <v>1.8325957145902363</v>
      </c>
      <c r="CX41">
        <v>1.9760462662487972</v>
      </c>
      <c r="CY41">
        <v>1.9760462662496414</v>
      </c>
      <c r="CZ41">
        <v>1.9760462662492144</v>
      </c>
      <c r="DY41" t="s">
        <v>223</v>
      </c>
    </row>
    <row r="42" spans="1:132" x14ac:dyDescent="0.25">
      <c r="A42" s="3">
        <f t="shared" si="38"/>
        <v>-6</v>
      </c>
      <c r="B42" s="6">
        <f t="shared" si="39"/>
        <v>12</v>
      </c>
      <c r="C42" s="6">
        <f t="shared" si="40"/>
        <v>-7.9037608942349626</v>
      </c>
      <c r="D42" s="6">
        <f t="shared" si="41"/>
        <v>10.84115140226176</v>
      </c>
      <c r="J42" s="9"/>
      <c r="K42" s="9"/>
      <c r="N42" s="9"/>
      <c r="O42" s="9"/>
      <c r="BC42">
        <v>0.69813170079773235</v>
      </c>
      <c r="BD42">
        <v>1.921810149459116</v>
      </c>
      <c r="BE42">
        <v>28.985747132444111</v>
      </c>
      <c r="BF42" s="6">
        <f t="shared" si="35"/>
        <v>1.5045913230192609</v>
      </c>
      <c r="BG42" s="6">
        <f t="shared" si="36"/>
        <v>0.80645962222152856</v>
      </c>
      <c r="BH42" s="6">
        <f t="shared" si="2"/>
        <v>-0.71919315962181263</v>
      </c>
      <c r="BI42" s="6">
        <f t="shared" si="3"/>
        <v>0.71919315962181263</v>
      </c>
      <c r="BV42" s="38"/>
      <c r="BW42" s="6">
        <f t="shared" si="13"/>
        <v>0.47123889803846924</v>
      </c>
      <c r="BX42" s="9">
        <f t="shared" ca="1" si="21"/>
        <v>-67.194978940080262</v>
      </c>
      <c r="BY42" s="9">
        <f t="shared" ca="1" si="22"/>
        <v>-2.6440960920368575</v>
      </c>
      <c r="BZ42">
        <f t="shared" ca="1" si="23"/>
        <v>67.246980890607688</v>
      </c>
      <c r="CA42" s="6">
        <f t="shared" ca="1" si="24"/>
        <v>-0.99922670207883357</v>
      </c>
      <c r="CB42" s="6">
        <f t="shared" ca="1" si="25"/>
        <v>-3.9319179196134819E-2</v>
      </c>
      <c r="CC42" s="6">
        <f t="shared" ca="1" si="26"/>
        <v>-3.1022633361111125</v>
      </c>
      <c r="CD42" s="6">
        <f t="shared" ca="1" si="27"/>
        <v>-6.8988262443725858</v>
      </c>
      <c r="CE42" s="9">
        <f t="shared" ca="1" si="28"/>
        <v>14.008697820187802</v>
      </c>
      <c r="CF42">
        <f t="shared" ca="1" si="29"/>
        <v>15.615294366978114</v>
      </c>
      <c r="CG42" s="6">
        <f t="shared" ca="1" si="30"/>
        <v>-0.44179930792477612</v>
      </c>
      <c r="CH42" s="6">
        <f t="shared" ca="1" si="31"/>
        <v>0.89711391223031922</v>
      </c>
      <c r="CI42" s="6">
        <f t="shared" ca="1" si="32"/>
        <v>2.0283996747044881</v>
      </c>
      <c r="CJ42" s="1">
        <f t="shared" ca="1" si="33"/>
        <v>-1.2430015113070398</v>
      </c>
      <c r="CK42" s="38"/>
      <c r="CU42">
        <v>1.8325957145940459</v>
      </c>
      <c r="CV42">
        <v>1.8325957145902363</v>
      </c>
      <c r="CW42">
        <v>1.832595714592141</v>
      </c>
      <c r="CX42">
        <v>1.9760462662487972</v>
      </c>
      <c r="CY42">
        <v>1.9760462662492144</v>
      </c>
      <c r="CZ42">
        <v>1.9760462662490113</v>
      </c>
    </row>
    <row r="43" spans="1:132" x14ac:dyDescent="0.25">
      <c r="A43" s="3">
        <f t="shared" si="38"/>
        <v>-6</v>
      </c>
      <c r="B43" s="6">
        <f t="shared" si="39"/>
        <v>4</v>
      </c>
      <c r="C43" s="6">
        <f t="shared" si="40"/>
        <v>-6.5793954579127849</v>
      </c>
      <c r="D43" s="6">
        <f t="shared" si="41"/>
        <v>2.9515344159261647</v>
      </c>
      <c r="AD43" t="s">
        <v>134</v>
      </c>
      <c r="BC43">
        <v>0.71558499331767567</v>
      </c>
      <c r="BD43">
        <v>1.7992057209709202</v>
      </c>
      <c r="BE43">
        <v>29.395414048829668</v>
      </c>
      <c r="BF43" s="6">
        <f t="shared" si="35"/>
        <v>1.509665567860117</v>
      </c>
      <c r="BG43" s="6">
        <f t="shared" si="36"/>
        <v>0.7940805745424413</v>
      </c>
      <c r="BH43" s="6">
        <f t="shared" si="2"/>
        <v>-0.72426740446266868</v>
      </c>
      <c r="BI43" s="6">
        <f t="shared" si="3"/>
        <v>0.72426740446266868</v>
      </c>
      <c r="BV43" s="38"/>
      <c r="BW43" s="6">
        <f t="shared" si="13"/>
        <v>0.48869219055841256</v>
      </c>
      <c r="BX43" s="9">
        <f t="shared" ca="1" si="21"/>
        <v>-67.123930087036399</v>
      </c>
      <c r="BY43" s="9">
        <f t="shared" ca="1" si="22"/>
        <v>-3.0174307498621182</v>
      </c>
      <c r="BZ43">
        <f t="shared" ca="1" si="23"/>
        <v>67.19171733673403</v>
      </c>
      <c r="CA43" s="6">
        <f t="shared" ca="1" si="24"/>
        <v>-0.99899113681887441</v>
      </c>
      <c r="CB43" s="6">
        <f t="shared" ca="1" si="25"/>
        <v>-4.4907778361135513E-2</v>
      </c>
      <c r="CC43" s="6">
        <f t="shared" ca="1" si="26"/>
        <v>-3.0966697671969956</v>
      </c>
      <c r="CD43" s="6">
        <f t="shared" ca="1" si="27"/>
        <v>-6.9698750974164483</v>
      </c>
      <c r="CE43" s="9">
        <f t="shared" ca="1" si="28"/>
        <v>14.382032478013063</v>
      </c>
      <c r="CF43">
        <f t="shared" ca="1" si="29"/>
        <v>15.98192782714928</v>
      </c>
      <c r="CG43" s="6">
        <f t="shared" ca="1" si="30"/>
        <v>-0.43610978430126446</v>
      </c>
      <c r="CH43" s="6">
        <f t="shared" ca="1" si="31"/>
        <v>0.89989346927106029</v>
      </c>
      <c r="CI43" s="6">
        <f t="shared" ca="1" si="32"/>
        <v>2.0220674752142505</v>
      </c>
      <c r="CJ43" s="1">
        <f t="shared" ca="1" si="33"/>
        <v>-1.2366693118168022</v>
      </c>
      <c r="CK43" s="38"/>
      <c r="CU43">
        <v>1.8325957145940459</v>
      </c>
      <c r="CV43">
        <v>1.832595714592141</v>
      </c>
      <c r="CW43">
        <v>1.8325957145930936</v>
      </c>
      <c r="CX43">
        <v>1.9760462662487972</v>
      </c>
      <c r="CY43">
        <v>1.9760462662490113</v>
      </c>
      <c r="CZ43">
        <v>1.9760462662489027</v>
      </c>
    </row>
    <row r="44" spans="1:132" x14ac:dyDescent="0.25">
      <c r="A44" s="3">
        <f t="shared" si="38"/>
        <v>-6</v>
      </c>
      <c r="B44" s="6">
        <f t="shared" si="39"/>
        <v>4</v>
      </c>
      <c r="C44" s="6">
        <f t="shared" si="40"/>
        <v>-6.5793954579127849</v>
      </c>
      <c r="D44" s="6">
        <f t="shared" si="41"/>
        <v>2.9515344159261647</v>
      </c>
      <c r="AD44" t="s">
        <v>8</v>
      </c>
      <c r="AE44" t="s">
        <v>9</v>
      </c>
      <c r="BC44">
        <v>0.73303828583761899</v>
      </c>
      <c r="BD44">
        <v>1.6702236568742812</v>
      </c>
      <c r="BE44">
        <v>29.811445575596732</v>
      </c>
      <c r="BF44" s="6">
        <f t="shared" si="35"/>
        <v>1.5148285825061989</v>
      </c>
      <c r="BG44" s="6">
        <f t="shared" si="36"/>
        <v>0.78179029666857991</v>
      </c>
      <c r="BH44" s="6">
        <f t="shared" si="2"/>
        <v>-0.72943041910875062</v>
      </c>
      <c r="BI44" s="6">
        <f t="shared" si="3"/>
        <v>0.72943041910875062</v>
      </c>
      <c r="BV44" s="38"/>
      <c r="BW44" s="6">
        <f t="shared" si="13"/>
        <v>0.50614548307835583</v>
      </c>
      <c r="BX44" s="9">
        <f t="shared" ca="1" si="21"/>
        <v>-67.050532960611704</v>
      </c>
      <c r="BY44" s="9">
        <f t="shared" ca="1" si="22"/>
        <v>-3.3902824662256528</v>
      </c>
      <c r="BZ44">
        <f t="shared" ca="1" si="23"/>
        <v>67.136189834565926</v>
      </c>
      <c r="CA44" s="6">
        <f t="shared" ca="1" si="24"/>
        <v>-0.99872413263002724</v>
      </c>
      <c r="CB44" s="6">
        <f t="shared" ca="1" si="25"/>
        <v>-5.0498583172203237E-2</v>
      </c>
      <c r="CC44" s="6">
        <f t="shared" ca="1" si="26"/>
        <v>-3.0910725829529615</v>
      </c>
      <c r="CD44" s="6">
        <f t="shared" ca="1" si="27"/>
        <v>-7.0432722238411429</v>
      </c>
      <c r="CE44" s="9">
        <f t="shared" ca="1" si="28"/>
        <v>14.754884194376597</v>
      </c>
      <c r="CF44">
        <f t="shared" ca="1" si="29"/>
        <v>16.34974896469657</v>
      </c>
      <c r="CG44" s="6">
        <f t="shared" ca="1" si="30"/>
        <v>-0.4307877900174143</v>
      </c>
      <c r="CH44" s="6">
        <f t="shared" ca="1" si="31"/>
        <v>0.90245325639166041</v>
      </c>
      <c r="CI44" s="6">
        <f t="shared" ca="1" si="32"/>
        <v>2.0161618647781778</v>
      </c>
      <c r="CJ44" s="1">
        <f t="shared" ca="1" si="33"/>
        <v>-1.2307637013807295</v>
      </c>
      <c r="CK44" s="38"/>
      <c r="CU44">
        <v>1.8325957145940459</v>
      </c>
      <c r="CV44">
        <v>1.8325957145930936</v>
      </c>
      <c r="CW44">
        <v>1.8325957145935696</v>
      </c>
      <c r="CX44">
        <v>1.9760462662487972</v>
      </c>
      <c r="CY44">
        <v>1.9760462662489027</v>
      </c>
      <c r="CZ44">
        <v>1.9760462662488409</v>
      </c>
    </row>
    <row r="45" spans="1:132" x14ac:dyDescent="0.25">
      <c r="A45" s="3">
        <f t="shared" si="38"/>
        <v>-6</v>
      </c>
      <c r="B45" s="6">
        <f t="shared" si="39"/>
        <v>-12</v>
      </c>
      <c r="C45" s="6">
        <f t="shared" si="40"/>
        <v>-3.9306645852684303</v>
      </c>
      <c r="D45" s="6">
        <f t="shared" si="41"/>
        <v>-12.827699556745026</v>
      </c>
      <c r="AD45" s="38">
        <f>U13+PI()/3</f>
        <v>1.8325957145940459</v>
      </c>
      <c r="AE45">
        <v>0</v>
      </c>
      <c r="BC45">
        <v>0.75049157835756231</v>
      </c>
      <c r="BD45">
        <v>1.5343844819524166</v>
      </c>
      <c r="BE45">
        <v>30.234381288209875</v>
      </c>
      <c r="BF45" s="6">
        <f t="shared" si="35"/>
        <v>1.5200901715744721</v>
      </c>
      <c r="BG45" s="6">
        <f t="shared" si="36"/>
        <v>0.76959859321690982</v>
      </c>
      <c r="BH45" s="6">
        <f t="shared" si="2"/>
        <v>-0.73469200817702396</v>
      </c>
      <c r="BI45" s="6">
        <f t="shared" si="3"/>
        <v>0.73469200817702396</v>
      </c>
      <c r="BV45" s="38"/>
      <c r="BW45" s="6">
        <f t="shared" si="13"/>
        <v>0.52359877559829915</v>
      </c>
      <c r="BX45" s="9">
        <f t="shared" ca="1" si="21"/>
        <v>-66.97455559335269</v>
      </c>
      <c r="BY45" s="9">
        <f t="shared" ca="1" si="22"/>
        <v>-3.7632859417916826</v>
      </c>
      <c r="BZ45">
        <f t="shared" ca="1" si="23"/>
        <v>67.08020138615251</v>
      </c>
      <c r="CA45" s="6">
        <f t="shared" ca="1" si="24"/>
        <v>-0.99842508235490135</v>
      </c>
      <c r="CB45" s="6">
        <f t="shared" ca="1" si="25"/>
        <v>-5.61012916483066E-2</v>
      </c>
      <c r="CC45" s="6">
        <f t="shared" ca="1" si="26"/>
        <v>-3.0854618917373497</v>
      </c>
      <c r="CD45" s="6">
        <f t="shared" ca="1" si="27"/>
        <v>-7.1192495911001572</v>
      </c>
      <c r="CE45" s="9">
        <f t="shared" ca="1" si="28"/>
        <v>15.127887669942627</v>
      </c>
      <c r="CF45">
        <f t="shared" ca="1" si="29"/>
        <v>16.719351066796278</v>
      </c>
      <c r="CG45" s="6">
        <f t="shared" ca="1" si="30"/>
        <v>-0.42580896606917956</v>
      </c>
      <c r="CH45" s="6">
        <f t="shared" ca="1" si="31"/>
        <v>0.90481308810996797</v>
      </c>
      <c r="CI45" s="6">
        <f t="shared" ca="1" si="32"/>
        <v>2.0106520943251844</v>
      </c>
      <c r="CJ45" s="1">
        <f t="shared" ca="1" si="33"/>
        <v>-1.2252539309277362</v>
      </c>
      <c r="CK45" s="38"/>
      <c r="CU45">
        <v>1.8325957145940459</v>
      </c>
      <c r="CV45">
        <v>1.8325957145935696</v>
      </c>
      <c r="CW45">
        <v>1.8325957145938077</v>
      </c>
      <c r="CX45">
        <v>1.9760462662487972</v>
      </c>
      <c r="CY45">
        <v>1.9760462662488409</v>
      </c>
      <c r="CZ45">
        <v>1.9760462662488187</v>
      </c>
    </row>
    <row r="46" spans="1:132" x14ac:dyDescent="0.25">
      <c r="AD46" s="38">
        <f>U13-PI()/3</f>
        <v>-0.26179938779914935</v>
      </c>
      <c r="AE46">
        <f>AE45</f>
        <v>0</v>
      </c>
      <c r="BC46">
        <v>0.76794487087750563</v>
      </c>
      <c r="BD46">
        <v>1.3911674642818164</v>
      </c>
      <c r="BE46">
        <v>30.664780405538263</v>
      </c>
      <c r="BF46" s="6">
        <f t="shared" si="35"/>
        <v>1.5254604656619126</v>
      </c>
      <c r="BG46" s="6">
        <f t="shared" si="36"/>
        <v>0.757515594784407</v>
      </c>
      <c r="BH46" s="6">
        <f t="shared" si="2"/>
        <v>-0.74006230226446434</v>
      </c>
      <c r="BI46" s="6">
        <f t="shared" si="3"/>
        <v>0.74006230226446434</v>
      </c>
      <c r="BV46" s="38"/>
      <c r="BW46" s="6">
        <f t="shared" si="13"/>
        <v>0.54105206811824247</v>
      </c>
      <c r="BX46" s="9">
        <f t="shared" ca="1" si="21"/>
        <v>-66.895761164808434</v>
      </c>
      <c r="BY46" s="9">
        <f t="shared" ca="1" si="22"/>
        <v>-4.1370347089510311</v>
      </c>
      <c r="BZ46">
        <f t="shared" ca="1" si="23"/>
        <v>67.023562409067438</v>
      </c>
      <c r="CA46" s="6">
        <f t="shared" ca="1" si="24"/>
        <v>-0.99809318932528546</v>
      </c>
      <c r="CB46" s="6">
        <f t="shared" ca="1" si="25"/>
        <v>-6.1725079363900578E-2</v>
      </c>
      <c r="CC46" s="6">
        <f t="shared" ca="1" si="26"/>
        <v>-3.0798283115976246</v>
      </c>
      <c r="CD46" s="6">
        <f t="shared" ca="1" si="27"/>
        <v>-7.1980440196444135</v>
      </c>
      <c r="CE46" s="9">
        <f t="shared" ca="1" si="28"/>
        <v>15.501636437101975</v>
      </c>
      <c r="CF46">
        <f t="shared" ca="1" si="29"/>
        <v>17.09130100187889</v>
      </c>
      <c r="CG46" s="6">
        <f t="shared" ca="1" si="30"/>
        <v>-0.42115249265419374</v>
      </c>
      <c r="CH46" s="6">
        <f t="shared" ca="1" si="31"/>
        <v>0.90698984444764275</v>
      </c>
      <c r="CI46" s="6">
        <f t="shared" ca="1" si="32"/>
        <v>2.0055119512346886</v>
      </c>
      <c r="CJ46" s="1">
        <f t="shared" ca="1" si="33"/>
        <v>-1.2201137878372403</v>
      </c>
      <c r="CK46" s="38"/>
      <c r="CU46">
        <v>1.8325957145940459</v>
      </c>
      <c r="CV46">
        <v>1.8325957145938077</v>
      </c>
      <c r="CW46">
        <v>1.8325957145939267</v>
      </c>
      <c r="CX46">
        <v>1.9760462662487972</v>
      </c>
      <c r="CY46">
        <v>1.9760462662488187</v>
      </c>
      <c r="CZ46">
        <v>1.9760462662488103</v>
      </c>
    </row>
    <row r="47" spans="1:132" x14ac:dyDescent="0.25">
      <c r="A47" t="s">
        <v>27</v>
      </c>
      <c r="BC47">
        <v>0.78539816339744895</v>
      </c>
      <c r="BD47">
        <v>1.2400056554439254</v>
      </c>
      <c r="BE47">
        <v>31.103225111393908</v>
      </c>
      <c r="BF47" s="6">
        <f t="shared" si="35"/>
        <v>1.5309499984205504</v>
      </c>
      <c r="BG47" s="6">
        <f t="shared" si="36"/>
        <v>0.74555183502310141</v>
      </c>
      <c r="BH47" s="6">
        <f t="shared" si="2"/>
        <v>-0.74555183502310207</v>
      </c>
      <c r="BI47" s="6">
        <f t="shared" si="3"/>
        <v>0.74555183502310207</v>
      </c>
      <c r="BV47" s="38"/>
      <c r="BW47" s="6">
        <f t="shared" si="13"/>
        <v>0.55850536063818579</v>
      </c>
      <c r="BX47" s="9">
        <f t="shared" ca="1" si="21"/>
        <v>-66.813905872836756</v>
      </c>
      <c r="BY47" s="9">
        <f t="shared" ca="1" si="22"/>
        <v>-4.5120897962749744</v>
      </c>
      <c r="BZ47">
        <f t="shared" ca="1" si="23"/>
        <v>66.966088226160693</v>
      </c>
      <c r="CA47" s="6">
        <f t="shared" ca="1" si="24"/>
        <v>-0.99772747136117645</v>
      </c>
      <c r="CB47" s="6">
        <f t="shared" ca="1" si="25"/>
        <v>-6.7378727290095766E-2</v>
      </c>
      <c r="CC47" s="6">
        <f t="shared" ca="1" si="26"/>
        <v>-3.0741628398293557</v>
      </c>
      <c r="CD47" s="6">
        <f t="shared" ca="1" si="27"/>
        <v>-7.2798993116160915</v>
      </c>
      <c r="CE47" s="9">
        <f t="shared" ca="1" si="28"/>
        <v>15.876691524425919</v>
      </c>
      <c r="CF47">
        <f t="shared" ca="1" si="29"/>
        <v>17.466146333666345</v>
      </c>
      <c r="CG47" s="6">
        <f t="shared" ca="1" si="30"/>
        <v>-0.4168005450397459</v>
      </c>
      <c r="CH47" s="6">
        <f t="shared" ca="1" si="31"/>
        <v>0.90899796790453313</v>
      </c>
      <c r="CI47" s="6">
        <f t="shared" ca="1" si="32"/>
        <v>2.000719034394888</v>
      </c>
      <c r="CJ47" s="1">
        <f t="shared" ca="1" si="33"/>
        <v>-1.2153208709974397</v>
      </c>
      <c r="CK47" s="38"/>
      <c r="CU47">
        <v>1.8325957145940459</v>
      </c>
      <c r="CV47">
        <v>1.8325957145939267</v>
      </c>
      <c r="CW47">
        <v>1.8325957145939862</v>
      </c>
      <c r="CX47">
        <v>1.9760462662487972</v>
      </c>
      <c r="CY47">
        <v>1.9760462662488103</v>
      </c>
      <c r="CZ47">
        <v>1.9760462662487961</v>
      </c>
    </row>
    <row r="48" spans="1:132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1.0802802927837785</v>
      </c>
      <c r="BE48">
        <v>31.55032400073317</v>
      </c>
      <c r="BF48" s="6">
        <f t="shared" si="35"/>
        <v>1.5365697868016324</v>
      </c>
      <c r="BG48" s="6">
        <f t="shared" si="36"/>
        <v>0.7337183308842401</v>
      </c>
      <c r="BH48" s="6">
        <f t="shared" si="2"/>
        <v>-0.75117162340418409</v>
      </c>
      <c r="BI48" s="6">
        <f t="shared" si="3"/>
        <v>0.75117162340418409</v>
      </c>
      <c r="BV48" s="38"/>
      <c r="BW48" s="6">
        <f t="shared" si="13"/>
        <v>0.57595865315812911</v>
      </c>
      <c r="BX48" s="9">
        <f t="shared" ca="1" si="21"/>
        <v>-66.728736835568839</v>
      </c>
      <c r="BY48" s="9">
        <f t="shared" ca="1" si="22"/>
        <v>-4.8889870539599691</v>
      </c>
      <c r="BZ48">
        <f t="shared" ca="1" si="23"/>
        <v>66.907596833875218</v>
      </c>
      <c r="CA48" s="6">
        <f t="shared" ca="1" si="24"/>
        <v>-0.9973267609842501</v>
      </c>
      <c r="CB48" s="6">
        <f t="shared" ca="1" si="25"/>
        <v>-7.3070731655462517E-2</v>
      </c>
      <c r="CC48" s="6">
        <f t="shared" ca="1" si="26"/>
        <v>-3.0684567403870711</v>
      </c>
      <c r="CD48" s="6">
        <f t="shared" ca="1" si="27"/>
        <v>-7.3650683488840087</v>
      </c>
      <c r="CE48" s="9">
        <f t="shared" ca="1" si="28"/>
        <v>16.253588782110914</v>
      </c>
      <c r="CF48">
        <f t="shared" ca="1" si="29"/>
        <v>17.844421539565097</v>
      </c>
      <c r="CG48" s="6">
        <f t="shared" ca="1" si="30"/>
        <v>-0.41273785942312535</v>
      </c>
      <c r="CH48" s="6">
        <f t="shared" ca="1" si="31"/>
        <v>0.91084985557380216</v>
      </c>
      <c r="CI48" s="6">
        <f t="shared" ca="1" si="32"/>
        <v>1.9962541788008215</v>
      </c>
      <c r="CJ48" s="1">
        <f t="shared" ca="1" si="33"/>
        <v>-1.2108560154033732</v>
      </c>
      <c r="CK48" s="38"/>
      <c r="CU48">
        <v>1.8325957145940459</v>
      </c>
      <c r="CV48">
        <v>1.8325957145939862</v>
      </c>
      <c r="CW48">
        <v>1.8325957145940159</v>
      </c>
      <c r="CX48">
        <v>1.9760462662487972</v>
      </c>
      <c r="CY48">
        <v>1.9760462662487961</v>
      </c>
      <c r="CZ48">
        <v>1.976046266248797</v>
      </c>
    </row>
    <row r="49" spans="1:104" x14ac:dyDescent="0.25">
      <c r="A49" t="s">
        <v>43</v>
      </c>
      <c r="B49" s="6">
        <f>C37</f>
        <v>-3.9306645852684303</v>
      </c>
      <c r="C49" s="6">
        <f>D37</f>
        <v>-12.827699556745026</v>
      </c>
      <c r="D49" s="6">
        <f t="shared" ref="D49:E56" si="43">C38</f>
        <v>7.9037608942349626</v>
      </c>
      <c r="E49" s="6">
        <f t="shared" si="43"/>
        <v>-10.84115140226176</v>
      </c>
      <c r="F49" s="6">
        <f t="shared" ref="F49:F56" si="44">IF(B49=D49,"V",(C49-E49)/(B49-D49))</f>
        <v>0.16786181618396803</v>
      </c>
      <c r="G49" s="6">
        <f t="shared" ref="G49:G56" si="45">IF(F49="V",0,(-1*B49*F49)+C49)</f>
        <v>-12.167891060651863</v>
      </c>
      <c r="H49" s="6">
        <f t="shared" ref="H49:H56" si="46">IF(AND(C49&lt;$G$41,E49&lt;$G$41),0,IF(AND(C49&lt;$G$41,E49&gt;$G$41),IF(F49="V",B49,($G$41-G49)/F49),B49))</f>
        <v>7.6113882790028313</v>
      </c>
      <c r="I49" s="6">
        <f t="shared" ref="I49:I56" si="47">IF(AND(C49&lt;$G$41,E49&lt;$G$41),0,IF(AND(C49&lt;$G$41,E49&gt;$G$41),$G$41,C49))</f>
        <v>-10.890229600457081</v>
      </c>
      <c r="J49" s="6">
        <f t="shared" ref="J49:J56" si="48">IF(AND(C49&lt;$G$41,E49&lt;$G$41),0,IF(E49&gt;=$G$41,D49,IF(F49="V",D49,($G$41-G49)/F49)))</f>
        <v>7.9037608942349626</v>
      </c>
      <c r="K49" s="6">
        <f t="shared" ref="K49:K56" si="49">IF(AND(C49&lt;$G$41,E49&lt;$G$41),0,IF(E49&gt;=$G$41,E49,$G$41))</f>
        <v>-10.84115140226176</v>
      </c>
      <c r="L49" s="6">
        <f t="shared" ref="L49:L56" si="50">IF(AND(I49=0,K49=0,H49=0,J49=0),0,$B$31)</f>
        <v>4.25</v>
      </c>
      <c r="M49" s="6">
        <f t="shared" ref="M49:M56" si="51">IF(AND(I49=0,K49=0,H49=0,J49=0),0,$B$31)</f>
        <v>4.25</v>
      </c>
      <c r="N49" s="10">
        <f t="shared" ref="N49:N56" si="52">(1/6)*(K49-I49)*((L49*((2*H49)+J49))+(M49*(H49+(2*J49))))</f>
        <v>1.6180930780775447</v>
      </c>
      <c r="O49" s="10">
        <f t="shared" ref="O49:O56" si="53">((1/12)*(K49-I49)*(L49*H49*((3*I49)+K49)+L49*J49*(I49+K49)+M49*H49*(I49+K49)+M49*J49*(I49+(3*K49))))</f>
        <v>-17.581449174340825</v>
      </c>
      <c r="P49" s="10">
        <f t="shared" ref="P49:P56" si="54">((-1/24)*(K49-I49)*(H49*H49*((3*L49)+M49)+2*H49*J49*(L49+M49)+J49*J49*(L49+(3*M49))))</f>
        <v>-6.276981786590647</v>
      </c>
      <c r="S49">
        <f t="shared" ref="S49:S56" si="55">IF(AND(I49=0,K49=0,H49=0,J49=0),NA(),H49)</f>
        <v>7.6113882790028313</v>
      </c>
      <c r="T49">
        <f t="shared" ref="T49:T56" si="56">IF(AND(I49=0,K49=0,H49=0,J49=0),NA(),I49)</f>
        <v>-10.890229600457081</v>
      </c>
      <c r="V49">
        <f t="shared" ref="V49:V56" si="57">IF(AND(I49=0,K49=0,H49=0,J49=0),NA(),J49)</f>
        <v>7.9037608942349626</v>
      </c>
      <c r="W49">
        <f t="shared" ref="W49:W56" si="58">IF(AND(I49=0,K49=0,H49=0,J49=0),NA(),K49)</f>
        <v>-10.84115140226176</v>
      </c>
      <c r="AC49">
        <v>0</v>
      </c>
      <c r="AD49">
        <f>-PI()</f>
        <v>-3.1415926535897931</v>
      </c>
      <c r="BC49">
        <v>0.82030474843733558</v>
      </c>
      <c r="BD49">
        <v>0.91131448114418179</v>
      </c>
      <c r="BE49">
        <v>32.006715701580951</v>
      </c>
      <c r="BF49" s="6">
        <f t="shared" si="35"/>
        <v>1.5423314150830707</v>
      </c>
      <c r="BG49" s="6">
        <f t="shared" si="36"/>
        <v>0.72202666664573512</v>
      </c>
      <c r="BH49" s="6">
        <f t="shared" si="2"/>
        <v>-0.75693325168562242</v>
      </c>
      <c r="BI49" s="6">
        <f t="shared" si="3"/>
        <v>0.75693325168562242</v>
      </c>
      <c r="BV49" s="38"/>
      <c r="BW49" s="6">
        <f t="shared" si="13"/>
        <v>0.59341194567807243</v>
      </c>
      <c r="BX49" s="9">
        <f t="shared" ca="1" si="21"/>
        <v>-66.639989992962157</v>
      </c>
      <c r="BY49" s="9">
        <f t="shared" ca="1" si="22"/>
        <v>-5.2682434303288872</v>
      </c>
      <c r="BZ49">
        <f t="shared" ca="1" si="23"/>
        <v>66.847906886478498</v>
      </c>
      <c r="CA49" s="6">
        <f t="shared" ca="1" si="24"/>
        <v>-0.99688970226293805</v>
      </c>
      <c r="CB49" s="6">
        <f t="shared" ca="1" si="25"/>
        <v>-7.8809399960352522E-2</v>
      </c>
      <c r="CC49" s="6">
        <f t="shared" ca="1" si="26"/>
        <v>-3.0627014449411853</v>
      </c>
      <c r="CD49" s="6">
        <f t="shared" ca="1" si="27"/>
        <v>-7.4538151914906905</v>
      </c>
      <c r="CE49" s="9">
        <f t="shared" ca="1" si="28"/>
        <v>16.632845158479832</v>
      </c>
      <c r="CF49">
        <f t="shared" ca="1" si="29"/>
        <v>18.22665353198067</v>
      </c>
      <c r="CG49" s="6">
        <f t="shared" ca="1" si="30"/>
        <v>-0.40895138421390143</v>
      </c>
      <c r="CH49" s="6">
        <f t="shared" ca="1" si="31"/>
        <v>0.91255617106539466</v>
      </c>
      <c r="CI49" s="6">
        <f t="shared" ca="1" si="32"/>
        <v>1.9921009954602131</v>
      </c>
      <c r="CJ49" s="1">
        <f t="shared" ca="1" si="33"/>
        <v>-1.2067028320627649</v>
      </c>
      <c r="CK49" s="38"/>
      <c r="CU49">
        <v>1.8325957145940459</v>
      </c>
      <c r="CV49">
        <v>1.8325957145940159</v>
      </c>
      <c r="CW49">
        <v>1.832595714594031</v>
      </c>
      <c r="CX49">
        <v>1.9760462662487972</v>
      </c>
      <c r="CY49">
        <v>1.976046266248797</v>
      </c>
      <c r="CZ49">
        <v>1.9760462662488061</v>
      </c>
    </row>
    <row r="50" spans="1:104" x14ac:dyDescent="0.25">
      <c r="A50" t="s">
        <v>44</v>
      </c>
      <c r="B50" s="6">
        <f t="shared" ref="B50:C56" si="59">D49</f>
        <v>7.9037608942349626</v>
      </c>
      <c r="C50" s="6">
        <f t="shared" si="59"/>
        <v>-10.84115140226176</v>
      </c>
      <c r="D50" s="6">
        <f t="shared" si="43"/>
        <v>5.2550300215906081</v>
      </c>
      <c r="E50" s="6">
        <f t="shared" si="43"/>
        <v>4.9380825704094313</v>
      </c>
      <c r="F50" s="6">
        <f t="shared" si="44"/>
        <v>-5.9572809512798965</v>
      </c>
      <c r="G50" s="6">
        <f t="shared" si="45"/>
        <v>36.243772816435147</v>
      </c>
      <c r="H50" s="6">
        <f t="shared" si="46"/>
        <v>7.9037608942349626</v>
      </c>
      <c r="I50" s="6">
        <f t="shared" si="47"/>
        <v>-10.84115140226176</v>
      </c>
      <c r="J50" s="6">
        <f t="shared" si="48"/>
        <v>5.2550300215906081</v>
      </c>
      <c r="K50" s="6">
        <f t="shared" si="49"/>
        <v>4.9380825704094313</v>
      </c>
      <c r="L50" s="6">
        <f t="shared" si="50"/>
        <v>4.25</v>
      </c>
      <c r="M50" s="6">
        <f t="shared" si="51"/>
        <v>4.25</v>
      </c>
      <c r="N50" s="10">
        <f t="shared" si="52"/>
        <v>441.22573639882779</v>
      </c>
      <c r="O50" s="10">
        <f t="shared" si="53"/>
        <v>-1535.8631013795184</v>
      </c>
      <c r="P50" s="10">
        <f t="shared" si="54"/>
        <v>-1471.1030582179619</v>
      </c>
      <c r="S50">
        <f t="shared" si="55"/>
        <v>7.9037608942349626</v>
      </c>
      <c r="T50">
        <f t="shared" si="56"/>
        <v>-10.84115140226176</v>
      </c>
      <c r="V50">
        <f t="shared" si="57"/>
        <v>5.2550300215906081</v>
      </c>
      <c r="W50">
        <f t="shared" si="58"/>
        <v>4.9380825704094313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0.7323660056917376</v>
      </c>
      <c r="BE50">
        <v>32.473072715218819</v>
      </c>
      <c r="BF50" s="6">
        <f t="shared" si="35"/>
        <v>1.5482471248747758</v>
      </c>
      <c r="BG50" s="6">
        <f t="shared" si="36"/>
        <v>0.71048908391749688</v>
      </c>
      <c r="BH50" s="6">
        <f t="shared" si="2"/>
        <v>-0.7628489614773275</v>
      </c>
      <c r="BI50" s="6">
        <f t="shared" si="3"/>
        <v>0.7628489614773275</v>
      </c>
      <c r="BV50" s="38"/>
      <c r="BW50" s="6">
        <f t="shared" si="13"/>
        <v>0.61086523819801575</v>
      </c>
      <c r="BX50" s="9">
        <f t="shared" ca="1" si="21"/>
        <v>-66.547387950958978</v>
      </c>
      <c r="BY50" s="9">
        <f t="shared" ca="1" si="22"/>
        <v>-5.6503624229421625</v>
      </c>
      <c r="BZ50">
        <f t="shared" ca="1" si="23"/>
        <v>66.786835818191278</v>
      </c>
      <c r="CA50" s="6">
        <f t="shared" ca="1" si="24"/>
        <v>-0.99641474454810031</v>
      </c>
      <c r="CB50" s="6">
        <f t="shared" ca="1" si="25"/>
        <v>-8.4602936397881079E-2</v>
      </c>
      <c r="CC50" s="6">
        <f t="shared" ca="1" si="26"/>
        <v>-3.0568884642569794</v>
      </c>
      <c r="CD50" s="6">
        <f t="shared" ca="1" si="27"/>
        <v>-7.5464172334938695</v>
      </c>
      <c r="CE50" s="9">
        <f t="shared" ca="1" si="28"/>
        <v>17.014964151093107</v>
      </c>
      <c r="CF50">
        <f t="shared" ca="1" si="29"/>
        <v>18.613366652085187</v>
      </c>
      <c r="CG50" s="6">
        <f t="shared" ca="1" si="30"/>
        <v>-0.40542999955617764</v>
      </c>
      <c r="CH50" s="6">
        <f t="shared" ca="1" si="31"/>
        <v>0.91412609385132282</v>
      </c>
      <c r="CI50" s="6">
        <f t="shared" ca="1" si="32"/>
        <v>1.9882455025118333</v>
      </c>
      <c r="CJ50" s="1">
        <f t="shared" ca="1" si="33"/>
        <v>-1.202847339114385</v>
      </c>
      <c r="CK50" s="38"/>
      <c r="CU50">
        <v>1.8325957145940459</v>
      </c>
      <c r="CV50">
        <v>1.832595714594031</v>
      </c>
      <c r="CW50">
        <v>1.8325957145940386</v>
      </c>
      <c r="CX50">
        <v>1.9760462662487972</v>
      </c>
      <c r="CY50">
        <v>1.9760462662488061</v>
      </c>
      <c r="CZ50">
        <v>1.9760462662487943</v>
      </c>
    </row>
    <row r="51" spans="1:104" x14ac:dyDescent="0.25">
      <c r="A51" t="s">
        <v>45</v>
      </c>
      <c r="B51" s="6">
        <f t="shared" si="59"/>
        <v>5.2550300215906081</v>
      </c>
      <c r="C51" s="6">
        <f t="shared" si="59"/>
        <v>4.9380825704094313</v>
      </c>
      <c r="D51" s="6">
        <f t="shared" si="43"/>
        <v>5.2550300215906081</v>
      </c>
      <c r="E51" s="6">
        <f t="shared" si="43"/>
        <v>4.9380825704094313</v>
      </c>
      <c r="F51" s="6" t="str">
        <f t="shared" si="44"/>
        <v>V</v>
      </c>
      <c r="G51" s="6">
        <f t="shared" si="45"/>
        <v>0</v>
      </c>
      <c r="H51" s="6">
        <f t="shared" si="46"/>
        <v>5.2550300215906081</v>
      </c>
      <c r="I51" s="6">
        <f t="shared" si="47"/>
        <v>4.9380825704094313</v>
      </c>
      <c r="J51" s="6">
        <f t="shared" si="48"/>
        <v>5.2550300215906081</v>
      </c>
      <c r="K51" s="6">
        <f t="shared" si="49"/>
        <v>4.9380825704094313</v>
      </c>
      <c r="L51" s="6">
        <f t="shared" si="50"/>
        <v>4.25</v>
      </c>
      <c r="M51" s="6">
        <f t="shared" si="51"/>
        <v>4.25</v>
      </c>
      <c r="N51" s="10">
        <f t="shared" si="52"/>
        <v>0</v>
      </c>
      <c r="O51" s="10">
        <f t="shared" si="53"/>
        <v>0</v>
      </c>
      <c r="P51" s="10">
        <f t="shared" si="54"/>
        <v>0</v>
      </c>
      <c r="S51">
        <f t="shared" si="55"/>
        <v>5.2550300215906081</v>
      </c>
      <c r="T51">
        <f t="shared" si="56"/>
        <v>4.9380825704094313</v>
      </c>
      <c r="V51">
        <f t="shared" si="57"/>
        <v>5.2550300215906081</v>
      </c>
      <c r="W51">
        <f t="shared" si="58"/>
        <v>4.9380825704094313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0.54261915336723821</v>
      </c>
      <c r="BE51">
        <v>32.950105529436442</v>
      </c>
      <c r="BF51" s="6">
        <f t="shared" si="35"/>
        <v>1.5543299118522595</v>
      </c>
      <c r="BG51" s="6">
        <f t="shared" si="36"/>
        <v>0.69911857837503733</v>
      </c>
      <c r="BH51" s="6">
        <f t="shared" si="2"/>
        <v>-0.76893174845481127</v>
      </c>
      <c r="BI51" s="6">
        <f t="shared" si="3"/>
        <v>0.76893174845481127</v>
      </c>
      <c r="BV51" s="38"/>
      <c r="BW51" s="6">
        <f t="shared" si="13"/>
        <v>0.62831853071795907</v>
      </c>
      <c r="BX51" s="9">
        <f t="shared" ca="1" si="21"/>
        <v>-66.450637756272741</v>
      </c>
      <c r="BY51" s="9">
        <f t="shared" ca="1" si="22"/>
        <v>-6.0358388876130853</v>
      </c>
      <c r="BZ51">
        <f t="shared" ca="1" si="23"/>
        <v>66.724198079052272</v>
      </c>
      <c r="CA51" s="6">
        <f t="shared" ca="1" si="24"/>
        <v>-0.99590013322519921</v>
      </c>
      <c r="CB51" s="6">
        <f t="shared" ca="1" si="25"/>
        <v>-9.0459519355512594E-2</v>
      </c>
      <c r="CC51" s="6">
        <f t="shared" ca="1" si="26"/>
        <v>-3.0510093071480209</v>
      </c>
      <c r="CD51" s="6">
        <f t="shared" ca="1" si="27"/>
        <v>-7.6431674281801065</v>
      </c>
      <c r="CE51" s="9">
        <f t="shared" ca="1" si="28"/>
        <v>17.40044061576403</v>
      </c>
      <c r="CF51">
        <f t="shared" ca="1" si="29"/>
        <v>19.005087265201489</v>
      </c>
      <c r="CG51" s="6">
        <f t="shared" ca="1" si="30"/>
        <v>-0.40216429009378057</v>
      </c>
      <c r="CH51" s="6">
        <f t="shared" ca="1" si="31"/>
        <v>0.91556752005156095</v>
      </c>
      <c r="CI51" s="6">
        <f t="shared" ca="1" si="32"/>
        <v>1.984675827272455</v>
      </c>
      <c r="CJ51" s="1">
        <f t="shared" ca="1" si="33"/>
        <v>-1.1992776638750067</v>
      </c>
      <c r="CK51" s="38"/>
      <c r="CU51">
        <v>1.8325957145940459</v>
      </c>
      <c r="CV51">
        <v>1.8325957145940386</v>
      </c>
      <c r="CW51">
        <v>1.8325957145940421</v>
      </c>
      <c r="CX51">
        <v>1.9760462662487972</v>
      </c>
      <c r="CY51">
        <v>1.9760462662487943</v>
      </c>
      <c r="CZ51">
        <v>1.9760462662487956</v>
      </c>
    </row>
    <row r="52" spans="1:104" x14ac:dyDescent="0.25">
      <c r="A52" t="s">
        <v>46</v>
      </c>
      <c r="B52" s="6">
        <f t="shared" si="59"/>
        <v>5.2550300215906081</v>
      </c>
      <c r="C52" s="6">
        <f t="shared" si="59"/>
        <v>4.9380825704094313</v>
      </c>
      <c r="D52" s="6">
        <f t="shared" si="43"/>
        <v>3.9306645852684303</v>
      </c>
      <c r="E52" s="6">
        <f t="shared" si="43"/>
        <v>12.827699556745026</v>
      </c>
      <c r="F52" s="6">
        <f t="shared" si="44"/>
        <v>-5.9572809512798939</v>
      </c>
      <c r="G52" s="6">
        <f t="shared" si="45"/>
        <v>36.243772816435126</v>
      </c>
      <c r="H52" s="6">
        <f t="shared" si="46"/>
        <v>5.2550300215906081</v>
      </c>
      <c r="I52" s="6">
        <f t="shared" si="47"/>
        <v>4.9380825704094313</v>
      </c>
      <c r="J52" s="6">
        <f t="shared" si="48"/>
        <v>3.9306645852684303</v>
      </c>
      <c r="K52" s="6">
        <f t="shared" si="49"/>
        <v>12.827699556745026</v>
      </c>
      <c r="L52" s="6">
        <f t="shared" si="50"/>
        <v>4.25</v>
      </c>
      <c r="M52" s="6">
        <f t="shared" si="51"/>
        <v>4.25</v>
      </c>
      <c r="N52" s="10">
        <f t="shared" si="52"/>
        <v>154.00217592832846</v>
      </c>
      <c r="O52" s="10">
        <f t="shared" si="53"/>
        <v>1338.7882829244454</v>
      </c>
      <c r="P52" s="10">
        <f t="shared" si="54"/>
        <v>-356.1047086210541</v>
      </c>
      <c r="S52">
        <f t="shared" si="55"/>
        <v>5.2550300215906081</v>
      </c>
      <c r="T52">
        <f t="shared" si="56"/>
        <v>4.9380825704094313</v>
      </c>
      <c r="V52">
        <f t="shared" si="57"/>
        <v>3.9306645852684303</v>
      </c>
      <c r="W52">
        <f t="shared" si="58"/>
        <v>12.827699556745026</v>
      </c>
      <c r="AC52">
        <f>0</f>
        <v>0</v>
      </c>
      <c r="AD52">
        <f>AD51</f>
        <v>3.1415926535897931</v>
      </c>
      <c r="BC52">
        <v>0.87266462599716554</v>
      </c>
      <c r="BD52">
        <v>0.34117536612698629</v>
      </c>
      <c r="BE52">
        <v>33.438567057680125</v>
      </c>
      <c r="BF52" s="6">
        <f t="shared" si="35"/>
        <v>1.5605936309903914</v>
      </c>
      <c r="BG52" s="6">
        <f t="shared" si="36"/>
        <v>0.68792900499322585</v>
      </c>
      <c r="BH52" s="6">
        <f t="shared" si="2"/>
        <v>-0.77519546759294311</v>
      </c>
      <c r="BI52" s="6">
        <f t="shared" si="3"/>
        <v>0.77519546759294311</v>
      </c>
      <c r="BV52" s="38"/>
      <c r="BW52" s="6">
        <f t="shared" si="13"/>
        <v>0.64577182323790239</v>
      </c>
      <c r="BX52" s="9">
        <f t="shared" ca="1" si="21"/>
        <v>-66.349428540797291</v>
      </c>
      <c r="BY52" s="9">
        <f t="shared" ca="1" si="22"/>
        <v>-6.4251633457732034</v>
      </c>
      <c r="BZ52">
        <f t="shared" ca="1" si="23"/>
        <v>66.659803417878706</v>
      </c>
      <c r="CA52" s="6">
        <f t="shared" ca="1" si="24"/>
        <v>-0.9953438975039316</v>
      </c>
      <c r="CB52" s="6">
        <f t="shared" ca="1" si="25"/>
        <v>-9.6387373144426677E-2</v>
      </c>
      <c r="CC52" s="6">
        <f t="shared" ca="1" si="26"/>
        <v>-3.0450554047773686</v>
      </c>
      <c r="CD52" s="6">
        <f t="shared" ca="1" si="27"/>
        <v>-7.7443766436555563</v>
      </c>
      <c r="CE52" s="9">
        <f t="shared" ca="1" si="28"/>
        <v>17.789765073924148</v>
      </c>
      <c r="CF52">
        <f t="shared" ca="1" si="29"/>
        <v>19.402348079142616</v>
      </c>
      <c r="CG52" s="6">
        <f t="shared" ca="1" si="30"/>
        <v>-0.39914636167056011</v>
      </c>
      <c r="CH52" s="6">
        <f t="shared" ca="1" si="31"/>
        <v>0.91688722423488611</v>
      </c>
      <c r="CI52" s="6">
        <f t="shared" ca="1" si="32"/>
        <v>1.9813819661781604</v>
      </c>
      <c r="CJ52" s="1">
        <f t="shared" ca="1" si="33"/>
        <v>-1.1959838027807121</v>
      </c>
      <c r="CK52" s="38"/>
      <c r="CU52">
        <v>1.8325957145940459</v>
      </c>
      <c r="CV52">
        <v>1.8325957145940421</v>
      </c>
      <c r="CW52">
        <v>1.8325957145940439</v>
      </c>
      <c r="CX52">
        <v>1.9760462662487972</v>
      </c>
      <c r="CY52">
        <v>1.9760462662487956</v>
      </c>
      <c r="CZ52">
        <v>1.9760462662487965</v>
      </c>
    </row>
    <row r="53" spans="1:104" x14ac:dyDescent="0.25">
      <c r="A53" t="s">
        <v>47</v>
      </c>
      <c r="B53" s="6">
        <f t="shared" si="59"/>
        <v>3.9306645852684303</v>
      </c>
      <c r="C53" s="6">
        <f t="shared" si="59"/>
        <v>12.827699556745026</v>
      </c>
      <c r="D53" s="6">
        <f t="shared" si="43"/>
        <v>-7.9037608942349626</v>
      </c>
      <c r="E53" s="6">
        <f t="shared" si="43"/>
        <v>10.84115140226176</v>
      </c>
      <c r="F53" s="6">
        <f t="shared" si="44"/>
        <v>0.16786181618396803</v>
      </c>
      <c r="G53" s="6">
        <f t="shared" si="45"/>
        <v>12.167891060651863</v>
      </c>
      <c r="H53" s="6">
        <f t="shared" si="46"/>
        <v>3.9306645852684303</v>
      </c>
      <c r="I53" s="6">
        <f t="shared" si="47"/>
        <v>12.827699556745026</v>
      </c>
      <c r="J53" s="6">
        <f t="shared" si="48"/>
        <v>-7.9037608942349626</v>
      </c>
      <c r="K53" s="6">
        <f t="shared" si="49"/>
        <v>10.84115140226176</v>
      </c>
      <c r="L53" s="6">
        <f t="shared" si="50"/>
        <v>4.25</v>
      </c>
      <c r="M53" s="6">
        <f t="shared" si="51"/>
        <v>4.25</v>
      </c>
      <c r="N53" s="10">
        <f t="shared" si="52"/>
        <v>16.7720876728437</v>
      </c>
      <c r="O53" s="10">
        <f t="shared" si="53"/>
        <v>181.94735322496908</v>
      </c>
      <c r="P53" s="10">
        <f t="shared" si="54"/>
        <v>65.927984520427898</v>
      </c>
      <c r="S53">
        <f t="shared" si="55"/>
        <v>3.9306645852684303</v>
      </c>
      <c r="T53">
        <f t="shared" si="56"/>
        <v>12.827699556745026</v>
      </c>
      <c r="V53">
        <f t="shared" si="57"/>
        <v>-7.9037608942349626</v>
      </c>
      <c r="W53">
        <f t="shared" si="58"/>
        <v>10.84115140226176</v>
      </c>
      <c r="AC53">
        <f>AC49</f>
        <v>0</v>
      </c>
      <c r="AD53">
        <f>AD49</f>
        <v>-3.1415926535897931</v>
      </c>
      <c r="BC53">
        <v>0.89011791851710886</v>
      </c>
      <c r="BD53">
        <v>0.12704250942051493</v>
      </c>
      <c r="BE53">
        <v>33.939257459839361</v>
      </c>
      <c r="BF53" s="6">
        <f t="shared" si="35"/>
        <v>1.5670531124298877</v>
      </c>
      <c r="BG53" s="6">
        <f t="shared" si="36"/>
        <v>0.67693519391277879</v>
      </c>
      <c r="BH53" s="6">
        <f t="shared" si="2"/>
        <v>-0.78165494903243937</v>
      </c>
      <c r="BI53" s="6">
        <f t="shared" si="3"/>
        <v>0.78165494903243937</v>
      </c>
      <c r="BV53" s="38"/>
      <c r="BW53" s="6">
        <f t="shared" si="13"/>
        <v>0.66322511575784571</v>
      </c>
      <c r="BX53" s="9">
        <f t="shared" ca="1" si="21"/>
        <v>-66.243429019509591</v>
      </c>
      <c r="BY53" s="9">
        <f t="shared" ca="1" si="22"/>
        <v>-6.8188259109030689</v>
      </c>
      <c r="BZ53">
        <f t="shared" ca="1" si="23"/>
        <v>66.593455196933633</v>
      </c>
      <c r="CA53" s="6">
        <f t="shared" ca="1" si="24"/>
        <v>-0.99474383516534881</v>
      </c>
      <c r="CB53" s="6">
        <f t="shared" ca="1" si="25"/>
        <v>-0.10239483580988674</v>
      </c>
      <c r="CC53" s="6">
        <f t="shared" ca="1" si="26"/>
        <v>-3.0390180383645555</v>
      </c>
      <c r="CD53" s="6">
        <f t="shared" ca="1" si="27"/>
        <v>-7.8503761649432562</v>
      </c>
      <c r="CE53" s="9">
        <f t="shared" ca="1" si="28"/>
        <v>18.183427639054013</v>
      </c>
      <c r="CF53">
        <f t="shared" ca="1" si="29"/>
        <v>19.805692278630975</v>
      </c>
      <c r="CG53" s="6">
        <f t="shared" ca="1" si="30"/>
        <v>-0.39636969283892642</v>
      </c>
      <c r="CH53" s="6">
        <f t="shared" ca="1" si="31"/>
        <v>0.9180909903701131</v>
      </c>
      <c r="CI53" s="6">
        <f t="shared" ca="1" si="32"/>
        <v>1.9783555905075914</v>
      </c>
      <c r="CJ53" s="1">
        <f t="shared" ca="1" si="33"/>
        <v>-1.1929574271101431</v>
      </c>
      <c r="CK53" s="38"/>
      <c r="CU53">
        <v>1.8325957145940459</v>
      </c>
      <c r="CV53">
        <v>1.8325957145940439</v>
      </c>
      <c r="CW53">
        <v>1.8325957145940448</v>
      </c>
      <c r="CX53">
        <v>1.9760462662487972</v>
      </c>
      <c r="CY53">
        <v>1.9760462662487965</v>
      </c>
      <c r="CZ53">
        <v>1.9760462662487965</v>
      </c>
    </row>
    <row r="54" spans="1:104" x14ac:dyDescent="0.25">
      <c r="A54" t="s">
        <v>48</v>
      </c>
      <c r="B54" s="6">
        <f t="shared" si="59"/>
        <v>-7.9037608942349626</v>
      </c>
      <c r="C54" s="6">
        <f t="shared" si="59"/>
        <v>10.84115140226176</v>
      </c>
      <c r="D54" s="6">
        <f t="shared" si="43"/>
        <v>-6.5793954579127849</v>
      </c>
      <c r="E54" s="6">
        <f t="shared" si="43"/>
        <v>2.9515344159261647</v>
      </c>
      <c r="F54" s="6">
        <f t="shared" si="44"/>
        <v>-5.9572809512798939</v>
      </c>
      <c r="G54" s="6">
        <f t="shared" si="45"/>
        <v>-36.243772816435126</v>
      </c>
      <c r="H54" s="6">
        <f t="shared" si="46"/>
        <v>-7.9037608942349626</v>
      </c>
      <c r="I54" s="6">
        <f t="shared" si="47"/>
        <v>10.84115140226176</v>
      </c>
      <c r="J54" s="6">
        <f t="shared" si="48"/>
        <v>-6.5793954579127849</v>
      </c>
      <c r="K54" s="6">
        <f t="shared" si="49"/>
        <v>2.9515344159261647</v>
      </c>
      <c r="L54" s="6">
        <f t="shared" si="50"/>
        <v>4.25</v>
      </c>
      <c r="M54" s="6">
        <f t="shared" si="51"/>
        <v>4.25</v>
      </c>
      <c r="N54" s="10">
        <f t="shared" si="52"/>
        <v>242.81643228977563</v>
      </c>
      <c r="O54" s="10">
        <f t="shared" si="53"/>
        <v>1703.7416504338401</v>
      </c>
      <c r="P54" s="10">
        <f t="shared" si="54"/>
        <v>881.63755783458271</v>
      </c>
      <c r="S54">
        <f t="shared" si="55"/>
        <v>-7.9037608942349626</v>
      </c>
      <c r="T54">
        <f t="shared" si="56"/>
        <v>10.84115140226176</v>
      </c>
      <c r="V54">
        <f t="shared" si="57"/>
        <v>-6.5793954579127849</v>
      </c>
      <c r="W54">
        <f t="shared" si="58"/>
        <v>2.9515344159261647</v>
      </c>
      <c r="BC54">
        <v>0.90757121103705218</v>
      </c>
      <c r="BD54">
        <v>-0.10087746456529345</v>
      </c>
      <c r="BE54">
        <v>34.453029414814132</v>
      </c>
      <c r="BF54" s="6">
        <f t="shared" si="35"/>
        <v>1.5737242892413219</v>
      </c>
      <c r="BG54" s="6">
        <f t="shared" si="36"/>
        <v>0.66615307820426972</v>
      </c>
      <c r="BH54" s="6">
        <f t="shared" si="2"/>
        <v>-0.78832612584387352</v>
      </c>
      <c r="BI54" s="6">
        <f t="shared" si="3"/>
        <v>0.78832612584387352</v>
      </c>
      <c r="BV54" s="38"/>
      <c r="BW54" s="6">
        <f t="shared" si="13"/>
        <v>0.68067840827778903</v>
      </c>
      <c r="BX54" s="9">
        <f t="shared" ca="1" si="21"/>
        <v>-66.132284778504101</v>
      </c>
      <c r="BY54" s="9">
        <f t="shared" ca="1" si="22"/>
        <v>-7.2173199269894717</v>
      </c>
      <c r="BZ54">
        <f t="shared" ca="1" si="23"/>
        <v>66.524948680579115</v>
      </c>
      <c r="CA54" s="6">
        <f t="shared" ca="1" si="24"/>
        <v>-0.99409749410013981</v>
      </c>
      <c r="CB54" s="6">
        <f t="shared" ca="1" si="25"/>
        <v>-0.10849042457204408</v>
      </c>
      <c r="CC54" s="6">
        <f t="shared" ca="1" si="26"/>
        <v>-3.0328882686477794</v>
      </c>
      <c r="CD54" s="6">
        <f t="shared" ca="1" si="27"/>
        <v>-7.9615204059487468</v>
      </c>
      <c r="CE54" s="9">
        <f t="shared" ca="1" si="28"/>
        <v>18.581921655140416</v>
      </c>
      <c r="CF54">
        <f t="shared" ca="1" si="29"/>
        <v>20.215677568959066</v>
      </c>
      <c r="CG54" s="6">
        <f t="shared" ca="1" si="30"/>
        <v>-0.39382901605898024</v>
      </c>
      <c r="CH54" s="6">
        <f t="shared" ca="1" si="31"/>
        <v>0.91918371727855108</v>
      </c>
      <c r="CI54" s="6">
        <f t="shared" ca="1" si="32"/>
        <v>1.9755898906915768</v>
      </c>
      <c r="CJ54" s="1">
        <f t="shared" ca="1" si="33"/>
        <v>-1.1901917272941285</v>
      </c>
      <c r="CK54" s="38"/>
      <c r="CU54">
        <v>1.8325957145940459</v>
      </c>
      <c r="CV54">
        <v>1.8325957145940448</v>
      </c>
      <c r="CW54">
        <v>1.8325957145940452</v>
      </c>
      <c r="CX54">
        <v>1.9760462662487972</v>
      </c>
      <c r="CY54">
        <v>1.9760462662487965</v>
      </c>
      <c r="CZ54">
        <v>1.9760462662488043</v>
      </c>
    </row>
    <row r="55" spans="1:104" x14ac:dyDescent="0.25">
      <c r="A55" t="s">
        <v>93</v>
      </c>
      <c r="B55" s="6">
        <f t="shared" si="59"/>
        <v>-6.5793954579127849</v>
      </c>
      <c r="C55" s="6">
        <f t="shared" si="59"/>
        <v>2.9515344159261647</v>
      </c>
      <c r="D55" s="6">
        <f t="shared" si="43"/>
        <v>-6.5793954579127849</v>
      </c>
      <c r="E55" s="6">
        <f t="shared" si="43"/>
        <v>2.9515344159261647</v>
      </c>
      <c r="F55" s="6" t="str">
        <f t="shared" si="44"/>
        <v>V</v>
      </c>
      <c r="G55" s="6">
        <f t="shared" si="45"/>
        <v>0</v>
      </c>
      <c r="H55" s="6">
        <f t="shared" si="46"/>
        <v>-6.5793954579127849</v>
      </c>
      <c r="I55" s="6">
        <f t="shared" si="47"/>
        <v>2.9515344159261647</v>
      </c>
      <c r="J55" s="6">
        <f t="shared" si="48"/>
        <v>-6.5793954579127849</v>
      </c>
      <c r="K55" s="6">
        <f t="shared" si="49"/>
        <v>2.9515344159261647</v>
      </c>
      <c r="L55" s="6">
        <f t="shared" si="50"/>
        <v>4.25</v>
      </c>
      <c r="M55" s="6">
        <f t="shared" si="51"/>
        <v>4.25</v>
      </c>
      <c r="N55" s="10">
        <f t="shared" si="52"/>
        <v>0</v>
      </c>
      <c r="O55" s="10">
        <f t="shared" si="53"/>
        <v>0</v>
      </c>
      <c r="P55" s="10">
        <f t="shared" si="54"/>
        <v>0</v>
      </c>
      <c r="S55">
        <f t="shared" si="55"/>
        <v>-6.5793954579127849</v>
      </c>
      <c r="T55">
        <f t="shared" si="56"/>
        <v>2.9515344159261647</v>
      </c>
      <c r="V55">
        <f t="shared" si="57"/>
        <v>-6.5793954579127849</v>
      </c>
      <c r="W55">
        <f t="shared" si="58"/>
        <v>2.9515344159261647</v>
      </c>
      <c r="BC55">
        <v>0.9250245035569955</v>
      </c>
      <c r="BD55">
        <v>-0.34380277733540104</v>
      </c>
      <c r="BE55">
        <v>34.980793911497571</v>
      </c>
      <c r="BF55" s="6">
        <f t="shared" si="35"/>
        <v>1.5806243400998035</v>
      </c>
      <c r="BG55" s="6">
        <f t="shared" si="36"/>
        <v>0.65559983654280796</v>
      </c>
      <c r="BH55" s="6">
        <f t="shared" si="2"/>
        <v>-0.79522617670235518</v>
      </c>
      <c r="BI55" s="6">
        <f t="shared" si="3"/>
        <v>0.79522617670235518</v>
      </c>
      <c r="BV55" s="38"/>
      <c r="BW55" s="6">
        <f t="shared" si="13"/>
        <v>0.69813170079773235</v>
      </c>
      <c r="BX55" s="9">
        <f t="shared" ca="1" si="21"/>
        <v>-66.015615333911967</v>
      </c>
      <c r="BY55" s="9">
        <f t="shared" ca="1" si="22"/>
        <v>-7.6211454042931663</v>
      </c>
      <c r="BZ55">
        <f t="shared" ca="1" si="23"/>
        <v>66.454069289911899</v>
      </c>
      <c r="CA55" s="6">
        <f t="shared" ca="1" si="24"/>
        <v>-0.9934021503771705</v>
      </c>
      <c r="CB55" s="6">
        <f t="shared" ca="1" si="25"/>
        <v>-0.11468290032090027</v>
      </c>
      <c r="CC55" s="6">
        <f t="shared" ca="1" si="26"/>
        <v>-3.0266568655599526</v>
      </c>
      <c r="CD55" s="6">
        <f t="shared" ca="1" si="27"/>
        <v>-8.0781898505408805</v>
      </c>
      <c r="CE55" s="9">
        <f t="shared" ca="1" si="28"/>
        <v>18.985747132444111</v>
      </c>
      <c r="CF55">
        <f t="shared" ca="1" si="29"/>
        <v>20.632880202203751</v>
      </c>
      <c r="CG55" s="6">
        <f t="shared" ca="1" si="30"/>
        <v>-0.39152022264337422</v>
      </c>
      <c r="CH55" s="6">
        <f t="shared" ca="1" si="31"/>
        <v>0.92016950354882043</v>
      </c>
      <c r="CI55" s="6">
        <f t="shared" ca="1" si="32"/>
        <v>1.9730794515036025</v>
      </c>
      <c r="CJ55" s="1">
        <f t="shared" ca="1" si="33"/>
        <v>-1.1876812881061543</v>
      </c>
      <c r="CK55" s="38"/>
      <c r="CU55">
        <v>1.8325957145940459</v>
      </c>
      <c r="CV55">
        <v>1.8325957145940452</v>
      </c>
      <c r="CW55">
        <v>1.8325957145940457</v>
      </c>
      <c r="CX55">
        <v>1.9760462662487972</v>
      </c>
      <c r="CY55">
        <v>1.9760462662488043</v>
      </c>
      <c r="CZ55">
        <v>1.9760462662488043</v>
      </c>
    </row>
    <row r="56" spans="1:104" ht="15.75" thickBot="1" x14ac:dyDescent="0.3">
      <c r="A56" t="s">
        <v>94</v>
      </c>
      <c r="B56" s="6">
        <f t="shared" si="59"/>
        <v>-6.5793954579127849</v>
      </c>
      <c r="C56" s="6">
        <f t="shared" si="59"/>
        <v>2.9515344159261647</v>
      </c>
      <c r="D56" s="6">
        <f t="shared" si="43"/>
        <v>-3.9306645852684303</v>
      </c>
      <c r="E56" s="6">
        <f t="shared" si="43"/>
        <v>-12.827699556745026</v>
      </c>
      <c r="F56" s="6">
        <f t="shared" si="44"/>
        <v>-5.9572809512798965</v>
      </c>
      <c r="G56" s="6">
        <f t="shared" si="45"/>
        <v>-36.243772816435147</v>
      </c>
      <c r="H56" s="6">
        <f t="shared" si="46"/>
        <v>-6.5793954579127849</v>
      </c>
      <c r="I56" s="6">
        <f t="shared" si="47"/>
        <v>2.9515344159261647</v>
      </c>
      <c r="J56" s="6">
        <f t="shared" si="48"/>
        <v>-4.2558918109327983</v>
      </c>
      <c r="K56" s="6">
        <f t="shared" si="49"/>
        <v>-10.890229600457081</v>
      </c>
      <c r="L56" s="6">
        <f t="shared" si="50"/>
        <v>4.25</v>
      </c>
      <c r="M56" s="6">
        <f t="shared" si="51"/>
        <v>4.25</v>
      </c>
      <c r="N56" s="11">
        <f t="shared" si="52"/>
        <v>318.70641502829983</v>
      </c>
      <c r="O56" s="11">
        <f t="shared" si="53"/>
        <v>-1107.3920388561073</v>
      </c>
      <c r="P56" s="11">
        <f t="shared" si="54"/>
        <v>876.5518151637865</v>
      </c>
      <c r="S56">
        <f t="shared" si="55"/>
        <v>-6.5793954579127849</v>
      </c>
      <c r="T56">
        <f t="shared" si="56"/>
        <v>2.9515344159261647</v>
      </c>
      <c r="V56">
        <f t="shared" si="57"/>
        <v>-4.2558918109327983</v>
      </c>
      <c r="W56">
        <f t="shared" si="58"/>
        <v>-10.890229600457081</v>
      </c>
      <c r="BC56">
        <v>0.94247779607693882</v>
      </c>
      <c r="BD56">
        <v>-0.60308833927266015</v>
      </c>
      <c r="BE56">
        <v>35.523526645318128</v>
      </c>
      <c r="BF56" s="6">
        <f t="shared" si="35"/>
        <v>1.5877718487878947</v>
      </c>
      <c r="BG56" s="6">
        <f t="shared" si="36"/>
        <v>0.64529405271095586</v>
      </c>
      <c r="BH56" s="6">
        <f t="shared" si="2"/>
        <v>-0.80237368539044651</v>
      </c>
      <c r="BI56" s="6">
        <f t="shared" si="3"/>
        <v>0.80237368539044651</v>
      </c>
      <c r="BV56" s="38"/>
      <c r="BW56" s="6">
        <f t="shared" si="13"/>
        <v>0.71558499331767567</v>
      </c>
      <c r="BX56" s="9">
        <f t="shared" ca="1" si="21"/>
        <v>-65.893010905423765</v>
      </c>
      <c r="BY56" s="9">
        <f t="shared" ca="1" si="22"/>
        <v>-8.0308123206787236</v>
      </c>
      <c r="BZ56">
        <f t="shared" ca="1" si="23"/>
        <v>66.380590783091563</v>
      </c>
      <c r="CA56" s="6">
        <f t="shared" ca="1" si="24"/>
        <v>-0.99265478249114958</v>
      </c>
      <c r="CB56" s="6">
        <f t="shared" ca="1" si="25"/>
        <v>-0.12098133243376208</v>
      </c>
      <c r="CC56" s="6">
        <f t="shared" ca="1" si="26"/>
        <v>-3.0203142367121343</v>
      </c>
      <c r="CD56" s="6">
        <f t="shared" ca="1" si="27"/>
        <v>-8.2007942790290826</v>
      </c>
      <c r="CE56" s="9">
        <f t="shared" ca="1" si="28"/>
        <v>19.395414048829668</v>
      </c>
      <c r="CF56">
        <f t="shared" ca="1" si="29"/>
        <v>21.057899062643816</v>
      </c>
      <c r="CG56" s="6">
        <f t="shared" ca="1" si="30"/>
        <v>-0.3894402881613715</v>
      </c>
      <c r="CH56" s="6">
        <f t="shared" ca="1" si="31"/>
        <v>0.92105171513698847</v>
      </c>
      <c r="CI56" s="6">
        <f t="shared" ca="1" si="32"/>
        <v>1.9708201536243961</v>
      </c>
      <c r="CJ56" s="1">
        <f t="shared" ca="1" si="33"/>
        <v>-1.1854219902269478</v>
      </c>
      <c r="CK56" s="38"/>
      <c r="CU56">
        <v>1.8325957145940459</v>
      </c>
      <c r="CV56">
        <v>1.8325957145940457</v>
      </c>
      <c r="CW56">
        <v>1.8325957145940457</v>
      </c>
      <c r="CX56">
        <v>1.9760462662487972</v>
      </c>
      <c r="CY56">
        <v>1.9760462662488043</v>
      </c>
      <c r="CZ56">
        <v>1.9760462662488043</v>
      </c>
    </row>
    <row r="57" spans="1:104" ht="15.75" thickTop="1" x14ac:dyDescent="0.25">
      <c r="N57" s="6">
        <f>SUM(N49:N56)</f>
        <v>1175.1409403961529</v>
      </c>
      <c r="O57" s="6">
        <f>SUM(O49:O56)</f>
        <v>563.64069717328789</v>
      </c>
      <c r="P57" s="6">
        <f>SUM(P49:P56)</f>
        <v>-9.3673911068096913</v>
      </c>
      <c r="BC57">
        <v>0.95993108859688214</v>
      </c>
      <c r="BD57">
        <v>-0.88024497032776949</v>
      </c>
      <c r="BE57">
        <v>36.08227510824112</v>
      </c>
      <c r="BF57" s="6">
        <f t="shared" si="35"/>
        <v>1.5951869841734589</v>
      </c>
      <c r="BG57" s="6">
        <f t="shared" si="36"/>
        <v>0.6352558955765768</v>
      </c>
      <c r="BH57" s="6">
        <f t="shared" si="2"/>
        <v>-0.80978882077601078</v>
      </c>
      <c r="BI57" s="6">
        <f t="shared" si="3"/>
        <v>0.80978882077601078</v>
      </c>
      <c r="BV57" s="38"/>
      <c r="BW57" s="6">
        <f t="shared" si="13"/>
        <v>0.73303828583761899</v>
      </c>
      <c r="BX57" s="9">
        <f t="shared" ca="1" si="21"/>
        <v>-65.764028841327132</v>
      </c>
      <c r="BY57" s="9">
        <f t="shared" ca="1" si="22"/>
        <v>-8.4468438474457876</v>
      </c>
      <c r="BZ57">
        <f t="shared" ca="1" si="23"/>
        <v>66.304273319493063</v>
      </c>
      <c r="CA57" s="6">
        <f t="shared" ca="1" si="24"/>
        <v>-0.99185204133732507</v>
      </c>
      <c r="CB57" s="6">
        <f t="shared" ca="1" si="25"/>
        <v>-0.12739516511618967</v>
      </c>
      <c r="CC57" s="6">
        <f t="shared" ca="1" si="26"/>
        <v>-3.0138503533194281</v>
      </c>
      <c r="CD57" s="6">
        <f t="shared" ca="1" si="27"/>
        <v>-8.3297763431257152</v>
      </c>
      <c r="CE57" s="9">
        <f t="shared" ca="1" si="28"/>
        <v>19.811445575596732</v>
      </c>
      <c r="CF57">
        <f t="shared" ca="1" si="29"/>
        <v>21.491359885342948</v>
      </c>
      <c r="CG57" s="6">
        <f t="shared" ca="1" si="30"/>
        <v>-0.38758721586560008</v>
      </c>
      <c r="CH57" s="6">
        <f t="shared" ca="1" si="31"/>
        <v>0.9218330380809493</v>
      </c>
      <c r="CI57" s="6">
        <f t="shared" ca="1" si="32"/>
        <v>1.9688090982200936</v>
      </c>
      <c r="CJ57" s="1">
        <f t="shared" ca="1" si="33"/>
        <v>-1.1834109348226454</v>
      </c>
      <c r="CK57" s="38"/>
      <c r="CU57">
        <v>1.8325957145940459</v>
      </c>
      <c r="CV57">
        <v>1.8325957145940457</v>
      </c>
      <c r="CW57">
        <v>1.8325957145940457</v>
      </c>
      <c r="CX57">
        <v>1.9760462662487972</v>
      </c>
      <c r="CY57">
        <v>1.9760462662488043</v>
      </c>
      <c r="CZ57">
        <v>1.9760462662488043</v>
      </c>
    </row>
    <row r="58" spans="1:104" x14ac:dyDescent="0.25">
      <c r="O58" s="6">
        <f>O57/N57</f>
        <v>0.47963667828922579</v>
      </c>
      <c r="P58" s="6">
        <f>-1*P57/N57</f>
        <v>7.9712915998414978E-3</v>
      </c>
      <c r="S58">
        <f>(P58*COS(-1*$B$27))+(O58*SIN(-1*$B$27))+$I$2</f>
        <v>6.0872630845409716</v>
      </c>
      <c r="T58">
        <f>(-1*P58*SIN(-1*$B$27))+(O58*COS(-1*$B$27))+$I$3</f>
        <v>12.471699097652822</v>
      </c>
      <c r="BC58">
        <v>0.97738438111682546</v>
      </c>
      <c r="BD58">
        <v>-1.1769618366959376</v>
      </c>
      <c r="BE58">
        <v>36.658166481917725</v>
      </c>
      <c r="BF58" s="6">
        <f t="shared" si="35"/>
        <v>1.6028917038200485</v>
      </c>
      <c r="BG58" s="6">
        <f t="shared" si="36"/>
        <v>0.62550732270322307</v>
      </c>
      <c r="BH58" s="6">
        <f t="shared" si="2"/>
        <v>-0.81749354042260036</v>
      </c>
      <c r="BI58" s="6">
        <f t="shared" si="3"/>
        <v>0.81749354042260036</v>
      </c>
      <c r="BV58" s="38"/>
      <c r="BW58" s="6">
        <f t="shared" si="13"/>
        <v>0.75049157835756231</v>
      </c>
      <c r="BX58" s="9">
        <f t="shared" ca="1" si="21"/>
        <v>-65.628189666405262</v>
      </c>
      <c r="BY58" s="9">
        <f t="shared" ca="1" si="22"/>
        <v>-8.8697795600589302</v>
      </c>
      <c r="BZ58">
        <f t="shared" ca="1" si="23"/>
        <v>66.224861406677945</v>
      </c>
      <c r="CA58" s="6">
        <f t="shared" ca="1" si="24"/>
        <v>-0.9909902153421114</v>
      </c>
      <c r="CB58" s="6">
        <f t="shared" ca="1" si="25"/>
        <v>-0.13393428648481134</v>
      </c>
      <c r="CC58" s="6">
        <f t="shared" ca="1" si="26"/>
        <v>-3.007254672154553</v>
      </c>
      <c r="CD58" s="6">
        <f t="shared" ca="1" si="27"/>
        <v>-8.4656155180475849</v>
      </c>
      <c r="CE58" s="9">
        <f t="shared" ca="1" si="28"/>
        <v>20.234381288209875</v>
      </c>
      <c r="CF58">
        <f t="shared" ca="1" si="29"/>
        <v>21.933919672873472</v>
      </c>
      <c r="CG58" s="6">
        <f t="shared" ca="1" si="30"/>
        <v>-0.38595999457941571</v>
      </c>
      <c r="CH58" s="6">
        <f t="shared" ca="1" si="31"/>
        <v>0.92251551888532346</v>
      </c>
      <c r="CI58" s="6">
        <f t="shared" ca="1" si="32"/>
        <v>1.9670445501276796</v>
      </c>
      <c r="CJ58" s="1">
        <f t="shared" ca="1" si="33"/>
        <v>-1.1816463867302314</v>
      </c>
      <c r="CK58" s="38"/>
      <c r="CU58">
        <v>1.8325957145940459</v>
      </c>
      <c r="CV58">
        <v>1.8325957145940457</v>
      </c>
      <c r="CW58">
        <v>1.8325957145940457</v>
      </c>
      <c r="CX58">
        <v>1.9760462662487972</v>
      </c>
      <c r="CY58">
        <v>1.9760462662488043</v>
      </c>
      <c r="CZ58">
        <v>1.9760462662488043</v>
      </c>
    </row>
    <row r="59" spans="1:104" x14ac:dyDescent="0.25">
      <c r="A59" t="s">
        <v>54</v>
      </c>
      <c r="O59">
        <f>O57/12</f>
        <v>46.970058097773993</v>
      </c>
      <c r="P59">
        <f>P57/12</f>
        <v>-0.78061592556747428</v>
      </c>
      <c r="BC59">
        <v>0.99483767363676878</v>
      </c>
      <c r="BD59">
        <v>-1.4951327437824755</v>
      </c>
      <c r="BE59">
        <v>37.252416457363623</v>
      </c>
      <c r="BF59" s="6">
        <f t="shared" si="35"/>
        <v>1.6109099853891642</v>
      </c>
      <c r="BG59" s="6">
        <f t="shared" si="36"/>
        <v>0.61607231175239541</v>
      </c>
      <c r="BH59" s="6">
        <f t="shared" si="2"/>
        <v>-0.82551182199171602</v>
      </c>
      <c r="BI59" s="6">
        <f t="shared" si="3"/>
        <v>0.82551182199171602</v>
      </c>
      <c r="BV59" s="38"/>
      <c r="BW59" s="6">
        <f t="shared" si="13"/>
        <v>0.76794487087750563</v>
      </c>
      <c r="BX59" s="9">
        <f t="shared" ca="1" si="21"/>
        <v>-65.484972648734669</v>
      </c>
      <c r="BY59" s="9">
        <f t="shared" ca="1" si="22"/>
        <v>-9.3001786773873185</v>
      </c>
      <c r="BZ59">
        <f t="shared" ca="1" si="23"/>
        <v>66.142081659385781</v>
      </c>
      <c r="CA59" s="6">
        <f t="shared" ca="1" si="24"/>
        <v>-0.99006519005502347</v>
      </c>
      <c r="CB59" s="6">
        <f t="shared" ca="1" si="25"/>
        <v>-0.14060910155928835</v>
      </c>
      <c r="CC59" s="6">
        <f t="shared" ca="1" si="26"/>
        <v>-3.0005160521258381</v>
      </c>
      <c r="CD59" s="6">
        <f t="shared" ca="1" si="27"/>
        <v>-8.6088325357181787</v>
      </c>
      <c r="CE59" s="9">
        <f t="shared" ca="1" si="28"/>
        <v>20.664780405538263</v>
      </c>
      <c r="CF59">
        <f t="shared" ca="1" si="29"/>
        <v>22.386271392019662</v>
      </c>
      <c r="CG59" s="6">
        <f t="shared" ca="1" si="30"/>
        <v>-0.38455857096359003</v>
      </c>
      <c r="CH59" s="6">
        <f t="shared" ca="1" si="31"/>
        <v>0.92310059337996397</v>
      </c>
      <c r="CI59" s="6">
        <f t="shared" ca="1" si="32"/>
        <v>1.9655258991610238</v>
      </c>
      <c r="CJ59" s="1">
        <f t="shared" ca="1" si="33"/>
        <v>-1.1801277357635755</v>
      </c>
      <c r="CK59" s="38"/>
      <c r="CU59">
        <v>1.8325957145940459</v>
      </c>
      <c r="CV59">
        <v>1.8325957145940457</v>
      </c>
      <c r="CW59">
        <v>1.8325957145940457</v>
      </c>
      <c r="CX59">
        <v>1.9760462662487972</v>
      </c>
      <c r="CY59">
        <v>1.9760462662488043</v>
      </c>
      <c r="CZ59">
        <v>1.9760462662488043</v>
      </c>
    </row>
    <row r="60" spans="1:104" x14ac:dyDescent="0.25">
      <c r="BC60">
        <v>1.0122909661567121</v>
      </c>
      <c r="BD60">
        <v>-1.8368870935492509</v>
      </c>
      <c r="BE60">
        <v>37.866339118814416</v>
      </c>
      <c r="BF60" s="6">
        <f t="shared" si="35"/>
        <v>1.6192680912912036</v>
      </c>
      <c r="BG60" s="6">
        <f t="shared" si="36"/>
        <v>0.60697712513449154</v>
      </c>
      <c r="BH60" s="6">
        <f t="shared" si="2"/>
        <v>-0.83386992789375536</v>
      </c>
      <c r="BI60" s="6">
        <f t="shared" si="3"/>
        <v>0.83386992789375536</v>
      </c>
      <c r="BV60" s="38"/>
      <c r="BW60" s="6">
        <f t="shared" si="13"/>
        <v>0.78539816339744895</v>
      </c>
      <c r="BX60" s="9">
        <f t="shared" ca="1" si="21"/>
        <v>-65.333810839896771</v>
      </c>
      <c r="BY60" s="9">
        <f t="shared" ca="1" si="22"/>
        <v>-9.7386233832429632</v>
      </c>
      <c r="BZ60">
        <f t="shared" ca="1" si="23"/>
        <v>66.055640366770035</v>
      </c>
      <c r="CA60" s="6">
        <f t="shared" ca="1" si="24"/>
        <v>-0.98907240134430086</v>
      </c>
      <c r="CB60" s="6">
        <f t="shared" ca="1" si="25"/>
        <v>-0.14743061045460817</v>
      </c>
      <c r="CC60" s="6">
        <f t="shared" ca="1" si="26"/>
        <v>-2.9936226639021508</v>
      </c>
      <c r="CD60" s="6">
        <f t="shared" ca="1" si="27"/>
        <v>-8.7599943445560768</v>
      </c>
      <c r="CE60" s="9">
        <f t="shared" ca="1" si="28"/>
        <v>21.103225111393908</v>
      </c>
      <c r="CF60">
        <f t="shared" ca="1" si="29"/>
        <v>22.849149021764923</v>
      </c>
      <c r="CG60" s="6">
        <f t="shared" ca="1" si="30"/>
        <v>-0.38338383351658994</v>
      </c>
      <c r="CH60" s="6">
        <f t="shared" ca="1" si="31"/>
        <v>0.92358910571645636</v>
      </c>
      <c r="CI60" s="6">
        <f t="shared" ca="1" si="32"/>
        <v>1.9642536363773875</v>
      </c>
      <c r="CJ60" s="1">
        <f t="shared" ca="1" si="33"/>
        <v>-1.1788554729799392</v>
      </c>
      <c r="CK60" s="38"/>
      <c r="CU60">
        <v>1.8325957145940459</v>
      </c>
      <c r="CV60">
        <v>1.8325957145940457</v>
      </c>
      <c r="CW60">
        <v>1.8325957145940457</v>
      </c>
      <c r="CX60">
        <v>1.9760462662487972</v>
      </c>
      <c r="CY60">
        <v>1.9760462662488043</v>
      </c>
      <c r="CZ60">
        <v>1.9760462662488043</v>
      </c>
    </row>
    <row r="61" spans="1:104" x14ac:dyDescent="0.25">
      <c r="A61">
        <f t="shared" ref="A61:E71" si="60">A14</f>
        <v>0</v>
      </c>
      <c r="B61" s="1" t="str">
        <f t="shared" si="60"/>
        <v>Bar #</v>
      </c>
      <c r="C61" s="1" t="str">
        <f t="shared" si="60"/>
        <v>As (in^2)</v>
      </c>
      <c r="D61" s="1" t="str">
        <f t="shared" si="60"/>
        <v>x</v>
      </c>
      <c r="E61" s="1" t="str">
        <f t="shared" si="60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-2.204626464291207</v>
      </c>
      <c r="BE61">
        <v>38.501358063235422</v>
      </c>
      <c r="BF61" s="6">
        <f t="shared" si="35"/>
        <v>1.6279948719319932</v>
      </c>
      <c r="BG61" s="6">
        <f t="shared" si="36"/>
        <v>0.59825061325533779</v>
      </c>
      <c r="BH61" s="6">
        <f t="shared" si="2"/>
        <v>-0.84259670853454494</v>
      </c>
      <c r="BI61" s="6">
        <f t="shared" si="3"/>
        <v>0.84259670853454494</v>
      </c>
      <c r="BV61" s="38"/>
      <c r="BW61" s="6">
        <f t="shared" si="13"/>
        <v>0.80285145591739226</v>
      </c>
      <c r="BX61" s="9">
        <f t="shared" ca="1" si="21"/>
        <v>-65.17408547723663</v>
      </c>
      <c r="BY61" s="9">
        <f t="shared" ca="1" si="22"/>
        <v>-10.185722272582225</v>
      </c>
      <c r="BZ61">
        <f t="shared" ca="1" si="23"/>
        <v>65.965220806181833</v>
      </c>
      <c r="CA61" s="6">
        <f t="shared" ca="1" si="24"/>
        <v>-0.98800678116018581</v>
      </c>
      <c r="CB61" s="6">
        <f t="shared" ca="1" si="25"/>
        <v>-0.15441049310681129</v>
      </c>
      <c r="CC61" s="6">
        <f t="shared" ca="1" si="26"/>
        <v>-2.9865618909035549</v>
      </c>
      <c r="CD61" s="6">
        <f t="shared" ca="1" si="27"/>
        <v>-8.9197197072162169</v>
      </c>
      <c r="CE61" s="9">
        <f t="shared" ca="1" si="28"/>
        <v>21.55032400073317</v>
      </c>
      <c r="CF61">
        <f t="shared" ca="1" si="29"/>
        <v>23.323333042082073</v>
      </c>
      <c r="CG61" s="6">
        <f t="shared" ca="1" si="30"/>
        <v>-0.38243760834364665</v>
      </c>
      <c r="CH61" s="6">
        <f t="shared" ca="1" si="31"/>
        <v>0.92398131784381421</v>
      </c>
      <c r="CI61" s="6">
        <f t="shared" ca="1" si="32"/>
        <v>1.9632293451480547</v>
      </c>
      <c r="CJ61" s="1">
        <f t="shared" ca="1" si="33"/>
        <v>-1.1778311817506064</v>
      </c>
      <c r="CK61" s="38"/>
      <c r="CU61">
        <v>1.8325957145940459</v>
      </c>
      <c r="CV61">
        <v>1.8325957145940457</v>
      </c>
      <c r="CW61">
        <v>1.8325957145940457</v>
      </c>
      <c r="CX61">
        <v>1.9760462662487972</v>
      </c>
      <c r="CY61">
        <v>1.9760462662488043</v>
      </c>
      <c r="CZ61">
        <v>1.9760462662488043</v>
      </c>
    </row>
    <row r="62" spans="1:104" x14ac:dyDescent="0.25">
      <c r="A62">
        <f t="shared" si="60"/>
        <v>1</v>
      </c>
      <c r="B62" s="1">
        <f t="shared" si="60"/>
        <v>8</v>
      </c>
      <c r="C62" s="1">
        <f t="shared" ca="1" si="60"/>
        <v>0.79</v>
      </c>
      <c r="D62" s="1">
        <f t="shared" si="60"/>
        <v>2</v>
      </c>
      <c r="E62" s="1">
        <f t="shared" si="60"/>
        <v>2</v>
      </c>
      <c r="F62" s="1">
        <f t="shared" ref="F62:F71" si="61">D62-$I$2</f>
        <v>-4</v>
      </c>
      <c r="G62" s="1">
        <f t="shared" ref="G62:G71" si="62">E62-$I$3</f>
        <v>-10</v>
      </c>
      <c r="H62" s="6">
        <f t="shared" ref="H62:H71" si="63">F62*COS($B$27)+G62*SIN($B$27)</f>
        <v>-2.2893516977650759</v>
      </c>
      <c r="I62" s="6">
        <f t="shared" ref="I62:I71" si="64">-1*F62*SIN($B$27)+G62*COS($B$27)</f>
        <v>-10.524203951080583</v>
      </c>
      <c r="J62" s="6">
        <f t="shared" ref="J62:J71" si="65">$G$38-I62</f>
        <v>23.351903507825611</v>
      </c>
      <c r="K62">
        <f t="shared" ref="K62:K71" ca="1" si="66">IF($B$28=0,-1,IF(C62=0,0,(($B$28-J62)/$B$28)*$B$30)*IF($B$28&lt;0,-1,1))</f>
        <v>6.370378692288507E-4</v>
      </c>
      <c r="L62">
        <f t="shared" ref="L62:L71" ca="1" si="67">IF(AND(K62&gt;0,J62&lt;=$B$29),MIN((K62*B$13),B$12)-$B$31,MAX(K62*B$13,-1*B$12))</f>
        <v>14.224098207636672</v>
      </c>
      <c r="M62" s="6">
        <f t="shared" ref="M62:M71" ca="1" si="68">L62*C62</f>
        <v>11.237037584032972</v>
      </c>
      <c r="N62" s="6">
        <f t="shared" ref="N62:N71" ca="1" si="69">M62*I62</f>
        <v>-118.26087534032082</v>
      </c>
      <c r="O62" s="6">
        <f t="shared" ref="O62:O71" ca="1" si="70">M62*H62*-1</f>
        <v>25.725531070855851</v>
      </c>
      <c r="Q62">
        <f t="shared" ref="Q62:Q71" si="71">IF($B62=0,NA(),H62)</f>
        <v>-2.2893516977650759</v>
      </c>
      <c r="R62">
        <f t="shared" ref="R62:R71" si="72">IF($B62=0,NA(),I62)</f>
        <v>-10.524203951080583</v>
      </c>
      <c r="BC62">
        <v>1.0471975511965987</v>
      </c>
      <c r="BD62">
        <v>-2.6010680515482765</v>
      </c>
      <c r="BE62">
        <v>39.159018944658101</v>
      </c>
      <c r="BF62" s="6">
        <f t="shared" si="35"/>
        <v>1.6371221151867892</v>
      </c>
      <c r="BG62" s="6">
        <f t="shared" si="36"/>
        <v>0.58992456399019044</v>
      </c>
      <c r="BH62" s="6">
        <f t="shared" si="2"/>
        <v>-0.85172395178934091</v>
      </c>
      <c r="BI62" s="6">
        <f t="shared" si="3"/>
        <v>0.85172395178934091</v>
      </c>
      <c r="BV62" s="38"/>
      <c r="BW62" s="6">
        <f t="shared" si="13"/>
        <v>0.82030474843733558</v>
      </c>
      <c r="BX62" s="9">
        <f t="shared" ca="1" si="21"/>
        <v>-65.005119665597036</v>
      </c>
      <c r="BY62" s="9">
        <f t="shared" ca="1" si="22"/>
        <v>-10.642113973430007</v>
      </c>
      <c r="BZ62">
        <f t="shared" ca="1" si="23"/>
        <v>65.870480281853602</v>
      </c>
      <c r="CA62" s="6">
        <f t="shared" ca="1" si="24"/>
        <v>-0.98686269460077158</v>
      </c>
      <c r="CB62" s="6">
        <f t="shared" ca="1" si="25"/>
        <v>-0.16156120204214999</v>
      </c>
      <c r="CC62" s="6">
        <f t="shared" ca="1" si="26"/>
        <v>-2.9793202197213269</v>
      </c>
      <c r="CD62" s="6">
        <f t="shared" ca="1" si="27"/>
        <v>-9.0886855188558116</v>
      </c>
      <c r="CE62" s="9">
        <f t="shared" ca="1" si="28"/>
        <v>22.006715701580951</v>
      </c>
      <c r="CF62">
        <f t="shared" ca="1" si="29"/>
        <v>23.809656453440667</v>
      </c>
      <c r="CG62" s="6">
        <f t="shared" ca="1" si="30"/>
        <v>-0.38172266519798653</v>
      </c>
      <c r="CH62" s="6">
        <f t="shared" ca="1" si="31"/>
        <v>0.92427691027859504</v>
      </c>
      <c r="CI62" s="6">
        <f t="shared" ca="1" si="32"/>
        <v>1.9624557052971692</v>
      </c>
      <c r="CJ62" s="1">
        <f t="shared" ca="1" si="33"/>
        <v>-1.1770575418997209</v>
      </c>
      <c r="CK62" s="38"/>
      <c r="CU62">
        <v>1.8325957145940459</v>
      </c>
      <c r="CV62">
        <v>1.8325957145940457</v>
      </c>
      <c r="CW62">
        <v>1.8325957145940457</v>
      </c>
      <c r="CX62">
        <v>1.9760462662487972</v>
      </c>
      <c r="CY62">
        <v>1.9760462662488043</v>
      </c>
      <c r="CZ62">
        <v>1.9760462662488043</v>
      </c>
    </row>
    <row r="63" spans="1:104" x14ac:dyDescent="0.25">
      <c r="A63">
        <f t="shared" si="60"/>
        <v>2</v>
      </c>
      <c r="B63" s="1">
        <f t="shared" si="60"/>
        <v>8</v>
      </c>
      <c r="C63" s="1">
        <f t="shared" ca="1" si="60"/>
        <v>0.79</v>
      </c>
      <c r="D63" s="1">
        <f t="shared" si="60"/>
        <v>2</v>
      </c>
      <c r="E63" s="1">
        <f t="shared" si="60"/>
        <v>4</v>
      </c>
      <c r="F63" s="1">
        <f t="shared" si="61"/>
        <v>-4</v>
      </c>
      <c r="G63" s="1">
        <f t="shared" si="62"/>
        <v>-8</v>
      </c>
      <c r="H63" s="6">
        <f t="shared" si="63"/>
        <v>-2.6204430568456205</v>
      </c>
      <c r="I63" s="6">
        <f t="shared" si="64"/>
        <v>-8.551799704496684</v>
      </c>
      <c r="J63" s="6">
        <f t="shared" si="65"/>
        <v>21.379499261241712</v>
      </c>
      <c r="K63">
        <f t="shared" ca="1" si="66"/>
        <v>8.3662402029735235E-4</v>
      </c>
      <c r="L63">
        <f t="shared" ca="1" si="67"/>
        <v>20.012096588623219</v>
      </c>
      <c r="M63" s="6">
        <f t="shared" ca="1" si="68"/>
        <v>15.809556305012343</v>
      </c>
      <c r="N63" s="6">
        <f t="shared" ca="1" si="69"/>
        <v>-135.20015893742826</v>
      </c>
      <c r="O63" s="6">
        <f t="shared" ca="1" si="70"/>
        <v>41.428042051279498</v>
      </c>
      <c r="Q63">
        <f t="shared" si="71"/>
        <v>-2.6204430568456205</v>
      </c>
      <c r="R63">
        <f t="shared" si="72"/>
        <v>-8.551799704496684</v>
      </c>
      <c r="BC63">
        <v>1.0646508437165421</v>
      </c>
      <c r="BD63">
        <v>-3.0292964955137385</v>
      </c>
      <c r="BE63">
        <v>39.841003672831363</v>
      </c>
      <c r="BF63" s="6">
        <f t="shared" si="35"/>
        <v>1.646684950556812</v>
      </c>
      <c r="BG63" s="6">
        <f t="shared" si="36"/>
        <v>0.5820341068402699</v>
      </c>
      <c r="BH63" s="6">
        <f t="shared" si="2"/>
        <v>-0.86128678715936358</v>
      </c>
      <c r="BI63" s="6">
        <f t="shared" si="3"/>
        <v>0.86128678715936358</v>
      </c>
      <c r="BV63" s="38"/>
      <c r="BW63" s="6">
        <f t="shared" si="13"/>
        <v>0.8377580409572789</v>
      </c>
      <c r="BX63" s="9">
        <f t="shared" ca="1" si="21"/>
        <v>-64.826171190144578</v>
      </c>
      <c r="BY63" s="9">
        <f t="shared" ca="1" si="22"/>
        <v>-11.108470987067875</v>
      </c>
      <c r="BZ63">
        <f t="shared" ca="1" si="23"/>
        <v>65.771046812746263</v>
      </c>
      <c r="CA63" s="6">
        <f t="shared" ca="1" si="24"/>
        <v>-0.98563386674851328</v>
      </c>
      <c r="CB63" s="6">
        <f t="shared" ca="1" si="25"/>
        <v>-0.16889606483981157</v>
      </c>
      <c r="CC63" s="6">
        <f t="shared" ca="1" si="26"/>
        <v>-2.9718831177932898</v>
      </c>
      <c r="CD63" s="6">
        <f t="shared" ca="1" si="27"/>
        <v>-9.2676339943082695</v>
      </c>
      <c r="CE63" s="9">
        <f t="shared" ca="1" si="28"/>
        <v>22.473072715218819</v>
      </c>
      <c r="CF63">
        <f t="shared" ca="1" si="29"/>
        <v>24.309011438476283</v>
      </c>
      <c r="CG63" s="6">
        <f t="shared" ca="1" si="30"/>
        <v>-0.38124273452105362</v>
      </c>
      <c r="CH63" s="6">
        <f t="shared" ca="1" si="31"/>
        <v>0.92447497390405842</v>
      </c>
      <c r="CI63" s="6">
        <f t="shared" ca="1" si="32"/>
        <v>1.9619365110556291</v>
      </c>
      <c r="CJ63" s="1">
        <f t="shared" ca="1" si="33"/>
        <v>-1.1765383476581808</v>
      </c>
      <c r="CK63" s="38"/>
      <c r="CU63">
        <v>1.8325957145940459</v>
      </c>
      <c r="CV63">
        <v>1.8325957145940457</v>
      </c>
      <c r="CW63">
        <v>1.8325957145940457</v>
      </c>
      <c r="CX63">
        <v>1.9760462662487972</v>
      </c>
      <c r="CY63">
        <v>1.9760462662488043</v>
      </c>
      <c r="CZ63">
        <v>1.9760462662488043</v>
      </c>
    </row>
    <row r="64" spans="1:104" x14ac:dyDescent="0.25">
      <c r="A64">
        <f t="shared" si="60"/>
        <v>3</v>
      </c>
      <c r="B64" s="1">
        <f t="shared" si="60"/>
        <v>8</v>
      </c>
      <c r="C64" s="1">
        <f t="shared" ca="1" si="60"/>
        <v>0.79</v>
      </c>
      <c r="D64" s="1">
        <f t="shared" si="60"/>
        <v>4</v>
      </c>
      <c r="E64" s="1">
        <f t="shared" si="60"/>
        <v>2</v>
      </c>
      <c r="F64" s="1">
        <f t="shared" si="61"/>
        <v>-2</v>
      </c>
      <c r="G64" s="1">
        <f t="shared" si="62"/>
        <v>-10</v>
      </c>
      <c r="H64" s="6">
        <f t="shared" si="63"/>
        <v>-0.31694745118117695</v>
      </c>
      <c r="I64" s="6">
        <f t="shared" si="64"/>
        <v>-10.193112592000038</v>
      </c>
      <c r="J64" s="6">
        <f t="shared" si="65"/>
        <v>23.020812148745065</v>
      </c>
      <c r="K64">
        <f t="shared" ca="1" si="66"/>
        <v>6.7054076303237737E-4</v>
      </c>
      <c r="L64">
        <f t="shared" ca="1" si="67"/>
        <v>15.195682127938944</v>
      </c>
      <c r="M64" s="6">
        <f t="shared" ca="1" si="68"/>
        <v>12.004588881071767</v>
      </c>
      <c r="N64" s="6">
        <f t="shared" ca="1" si="69"/>
        <v>-122.36412608543627</v>
      </c>
      <c r="O64" s="6">
        <f t="shared" ca="1" si="70"/>
        <v>3.8048238483335934</v>
      </c>
      <c r="Q64">
        <f t="shared" si="71"/>
        <v>-0.31694745118117695</v>
      </c>
      <c r="R64">
        <f t="shared" si="72"/>
        <v>-10.193112592000038</v>
      </c>
      <c r="BC64">
        <v>1.0821041362364854</v>
      </c>
      <c r="BD64">
        <v>-3.4928260278545196</v>
      </c>
      <c r="BE64">
        <v>40.549146535649641</v>
      </c>
      <c r="BF64" s="6">
        <f t="shared" si="35"/>
        <v>1.6567223184646926</v>
      </c>
      <c r="BG64" s="6">
        <f t="shared" si="36"/>
        <v>0.57461818222820726</v>
      </c>
      <c r="BH64" s="6">
        <f t="shared" si="2"/>
        <v>-0.87132415506724437</v>
      </c>
      <c r="BI64" s="6">
        <f t="shared" si="3"/>
        <v>0.87132415506724437</v>
      </c>
      <c r="BV64" s="38"/>
      <c r="BW64" s="6">
        <f t="shared" si="13"/>
        <v>0.85521133347722222</v>
      </c>
      <c r="BX64" s="9">
        <f t="shared" ca="1" si="21"/>
        <v>-64.636424337820088</v>
      </c>
      <c r="BY64" s="9">
        <f t="shared" ca="1" si="22"/>
        <v>-11.585503801285498</v>
      </c>
      <c r="BZ64">
        <f t="shared" ca="1" si="23"/>
        <v>65.666515436014592</v>
      </c>
      <c r="CA64" s="6">
        <f t="shared" ca="1" si="24"/>
        <v>-0.98431329740348072</v>
      </c>
      <c r="CB64" s="6">
        <f t="shared" ca="1" si="25"/>
        <v>-0.17642939821550915</v>
      </c>
      <c r="CC64" s="6">
        <f t="shared" ca="1" si="26"/>
        <v>-2.9642348957590152</v>
      </c>
      <c r="CD64" s="6">
        <f t="shared" ca="1" si="27"/>
        <v>-9.4573808466327591</v>
      </c>
      <c r="CE64" s="9">
        <f t="shared" ca="1" si="28"/>
        <v>22.950105529436442</v>
      </c>
      <c r="CF64">
        <f t="shared" ca="1" si="29"/>
        <v>24.822356783563588</v>
      </c>
      <c r="CG64" s="6">
        <f t="shared" ca="1" si="30"/>
        <v>-0.38100253449322241</v>
      </c>
      <c r="CH64" s="6">
        <f t="shared" ca="1" si="31"/>
        <v>0.92457399309613986</v>
      </c>
      <c r="CI64" s="6">
        <f t="shared" ca="1" si="32"/>
        <v>1.961676701790686</v>
      </c>
      <c r="CJ64" s="1">
        <f t="shared" ca="1" si="33"/>
        <v>-1.1762785383932377</v>
      </c>
      <c r="CK64" s="38"/>
      <c r="CU64">
        <v>1.8325957145940459</v>
      </c>
      <c r="CV64">
        <v>1.8325957145940457</v>
      </c>
      <c r="CW64">
        <v>1.8325957145940457</v>
      </c>
      <c r="CX64">
        <v>1.9760462662487972</v>
      </c>
      <c r="CY64">
        <v>1.9760462662488043</v>
      </c>
      <c r="CZ64">
        <v>1.9760462662488043</v>
      </c>
    </row>
    <row r="65" spans="1:104" x14ac:dyDescent="0.25">
      <c r="A65">
        <f t="shared" si="60"/>
        <v>4</v>
      </c>
      <c r="B65" s="1">
        <f t="shared" si="60"/>
        <v>8</v>
      </c>
      <c r="C65" s="1">
        <f t="shared" ca="1" si="60"/>
        <v>0.79</v>
      </c>
      <c r="D65" s="1">
        <f t="shared" si="60"/>
        <v>4</v>
      </c>
      <c r="E65" s="1">
        <f t="shared" si="60"/>
        <v>4</v>
      </c>
      <c r="F65" s="1">
        <f t="shared" si="61"/>
        <v>-2</v>
      </c>
      <c r="G65" s="1">
        <f t="shared" si="62"/>
        <v>-8</v>
      </c>
      <c r="H65" s="6">
        <f t="shared" si="63"/>
        <v>-0.64803881026172139</v>
      </c>
      <c r="I65" s="6">
        <f t="shared" si="64"/>
        <v>-8.2207083454161403</v>
      </c>
      <c r="J65" s="6">
        <f t="shared" si="65"/>
        <v>21.048407902161166</v>
      </c>
      <c r="K65">
        <f t="shared" ca="1" si="66"/>
        <v>8.701269141008789E-4</v>
      </c>
      <c r="L65">
        <f t="shared" ca="1" si="67"/>
        <v>20.983680508925488</v>
      </c>
      <c r="M65" s="6">
        <f t="shared" ca="1" si="68"/>
        <v>16.577107602051136</v>
      </c>
      <c r="N65" s="6">
        <f t="shared" ca="1" si="69"/>
        <v>-136.27556680704311</v>
      </c>
      <c r="O65" s="6">
        <f t="shared" ca="1" si="70"/>
        <v>10.742609088013756</v>
      </c>
      <c r="Q65">
        <f t="shared" si="71"/>
        <v>-0.64803881026172139</v>
      </c>
      <c r="R65">
        <f t="shared" si="72"/>
        <v>-8.2207083454161403</v>
      </c>
      <c r="BC65">
        <v>1.0995574287564287</v>
      </c>
      <c r="BD65">
        <v>-3.9956754087053805</v>
      </c>
      <c r="BE65">
        <v>41.285452561066357</v>
      </c>
      <c r="BF65" s="6">
        <f t="shared" si="35"/>
        <v>1.6672775177688495</v>
      </c>
      <c r="BG65" s="6">
        <f t="shared" si="36"/>
        <v>0.56772008901242077</v>
      </c>
      <c r="BH65" s="6">
        <f t="shared" si="2"/>
        <v>-0.88187935437140108</v>
      </c>
      <c r="BI65" s="6">
        <f t="shared" si="3"/>
        <v>0.88187935437140108</v>
      </c>
      <c r="BV65" s="38"/>
      <c r="BW65" s="6">
        <f t="shared" si="13"/>
        <v>0.87266462599716554</v>
      </c>
      <c r="BX65" s="9">
        <f t="shared" ca="1" si="21"/>
        <v>-64.434980550579837</v>
      </c>
      <c r="BY65" s="9">
        <f t="shared" ca="1" si="22"/>
        <v>-12.07396532952918</v>
      </c>
      <c r="BZ65">
        <f t="shared" ca="1" si="23"/>
        <v>65.556444056494357</v>
      </c>
      <c r="CA65" s="6">
        <f t="shared" ca="1" si="24"/>
        <v>-0.98289316142669236</v>
      </c>
      <c r="CB65" s="6">
        <f t="shared" ca="1" si="25"/>
        <v>-0.18417663592497849</v>
      </c>
      <c r="CC65" s="6">
        <f t="shared" ca="1" si="26"/>
        <v>-2.9563585514907249</v>
      </c>
      <c r="CD65" s="6">
        <f t="shared" ca="1" si="27"/>
        <v>-9.6588246338730102</v>
      </c>
      <c r="CE65" s="9">
        <f t="shared" ca="1" si="28"/>
        <v>23.438567057680125</v>
      </c>
      <c r="CF65">
        <f t="shared" ca="1" si="29"/>
        <v>25.350726203114579</v>
      </c>
      <c r="CG65" s="6">
        <f t="shared" ca="1" si="30"/>
        <v>-0.38100780847399673</v>
      </c>
      <c r="CH65" s="6">
        <f t="shared" ca="1" si="31"/>
        <v>0.9245718197532532</v>
      </c>
      <c r="CI65" s="6">
        <f t="shared" ca="1" si="32"/>
        <v>1.9616824060252982</v>
      </c>
      <c r="CJ65" s="1">
        <f t="shared" ca="1" si="33"/>
        <v>-1.1762842426278499</v>
      </c>
      <c r="CK65" s="38"/>
      <c r="CU65">
        <v>1.8325957145940459</v>
      </c>
      <c r="CV65">
        <v>1.8325957145940457</v>
      </c>
      <c r="CW65">
        <v>1.8325957145940457</v>
      </c>
      <c r="CX65">
        <v>1.9760462662487972</v>
      </c>
      <c r="CY65">
        <v>1.9760462662488043</v>
      </c>
      <c r="CZ65">
        <v>1.9760462662488043</v>
      </c>
    </row>
    <row r="66" spans="1:104" x14ac:dyDescent="0.25">
      <c r="A66">
        <f t="shared" si="60"/>
        <v>5</v>
      </c>
      <c r="B66" s="1">
        <f t="shared" si="60"/>
        <v>0</v>
      </c>
      <c r="C66" s="1">
        <f t="shared" ca="1" si="60"/>
        <v>0</v>
      </c>
      <c r="D66" s="1">
        <f t="shared" si="60"/>
        <v>2</v>
      </c>
      <c r="E66" s="1">
        <f t="shared" si="60"/>
        <v>8.66</v>
      </c>
      <c r="F66" s="1">
        <f t="shared" si="61"/>
        <v>-4</v>
      </c>
      <c r="G66" s="1">
        <f t="shared" si="62"/>
        <v>-3.34</v>
      </c>
      <c r="H66" s="6">
        <f t="shared" si="63"/>
        <v>-3.3918859235032888</v>
      </c>
      <c r="I66" s="6">
        <f t="shared" si="64"/>
        <v>-3.9560978099562001</v>
      </c>
      <c r="J66" s="6">
        <f t="shared" si="65"/>
        <v>16.783797366701226</v>
      </c>
      <c r="K66">
        <f t="shared" ca="1" si="66"/>
        <v>0</v>
      </c>
      <c r="L66">
        <f t="shared" ca="1" si="67"/>
        <v>0</v>
      </c>
      <c r="M66" s="6">
        <f t="shared" ca="1" si="68"/>
        <v>0</v>
      </c>
      <c r="N66" s="6">
        <f t="shared" ca="1" si="69"/>
        <v>0</v>
      </c>
      <c r="O66" s="6">
        <f t="shared" ca="1" si="70"/>
        <v>0</v>
      </c>
      <c r="Q66" t="e">
        <f t="shared" si="71"/>
        <v>#N/A</v>
      </c>
      <c r="R66" t="e">
        <f t="shared" si="72"/>
        <v>#N/A</v>
      </c>
      <c r="BC66">
        <v>1.117010721276372</v>
      </c>
      <c r="BD66">
        <v>-4.5424587937520275</v>
      </c>
      <c r="BE66">
        <v>42.052118502691798</v>
      </c>
      <c r="BF66" s="6">
        <f t="shared" ref="BF66:BF97" si="73">IF(BC66&lt;&gt;"",IF(AND(BD66=0,BE66=0),0,MOD(ATAN2(BD66,BE66),2*PI())),NA())</f>
        <v>1.6783988468894564</v>
      </c>
      <c r="BG66" s="6">
        <f t="shared" ref="BG66:BG97" si="74">ABS(BC66-BF66)</f>
        <v>0.56138812561308438</v>
      </c>
      <c r="BH66" s="6">
        <f t="shared" si="2"/>
        <v>-0.89300068349200812</v>
      </c>
      <c r="BI66" s="6">
        <f t="shared" si="3"/>
        <v>0.89300068349200812</v>
      </c>
      <c r="BV66" s="38"/>
      <c r="BW66" s="6">
        <f t="shared" si="13"/>
        <v>0.89011791851710886</v>
      </c>
      <c r="BX66" s="9">
        <f t="shared" ca="1" si="21"/>
        <v>-64.220847693873367</v>
      </c>
      <c r="BY66" s="9">
        <f t="shared" ca="1" si="22"/>
        <v>-12.574655731688416</v>
      </c>
      <c r="BZ66">
        <f t="shared" ca="1" si="23"/>
        <v>65.440348755872051</v>
      </c>
      <c r="CA66" s="6">
        <f t="shared" ca="1" si="24"/>
        <v>-0.98136469188836262</v>
      </c>
      <c r="CB66" s="6">
        <f t="shared" ca="1" si="25"/>
        <v>-0.19215447305451708</v>
      </c>
      <c r="CC66" s="6">
        <f t="shared" ca="1" si="26"/>
        <v>-2.9482355922269212</v>
      </c>
      <c r="CD66" s="6">
        <f t="shared" ca="1" si="27"/>
        <v>-9.8729574905794806</v>
      </c>
      <c r="CE66" s="9">
        <f t="shared" ca="1" si="28"/>
        <v>23.939257459839361</v>
      </c>
      <c r="CF66">
        <f t="shared" ca="1" si="29"/>
        <v>25.895237734750843</v>
      </c>
      <c r="CG66" s="6">
        <f t="shared" ca="1" si="30"/>
        <v>-0.3812653736455251</v>
      </c>
      <c r="CH66" s="6">
        <f t="shared" ca="1" si="31"/>
        <v>0.924465637467904</v>
      </c>
      <c r="CI66" s="6">
        <f t="shared" ca="1" si="32"/>
        <v>1.9619609998080867</v>
      </c>
      <c r="CJ66" s="1">
        <f t="shared" ca="1" si="33"/>
        <v>-1.1765628364106384</v>
      </c>
      <c r="CK66" s="38"/>
      <c r="CU66">
        <v>1.8325957145940459</v>
      </c>
      <c r="CV66">
        <v>1.8325957145940457</v>
      </c>
      <c r="CW66">
        <v>1.8325957145940457</v>
      </c>
      <c r="CX66">
        <v>1.9760462662487972</v>
      </c>
      <c r="CY66">
        <v>1.9760462662488043</v>
      </c>
      <c r="CZ66">
        <v>1.9760462662488043</v>
      </c>
    </row>
    <row r="67" spans="1:104" x14ac:dyDescent="0.25">
      <c r="A67">
        <f t="shared" si="60"/>
        <v>6</v>
      </c>
      <c r="B67" s="1">
        <f t="shared" si="60"/>
        <v>0</v>
      </c>
      <c r="C67" s="1">
        <f t="shared" ca="1" si="60"/>
        <v>0</v>
      </c>
      <c r="D67" s="1">
        <f t="shared" si="60"/>
        <v>10</v>
      </c>
      <c r="E67" s="1">
        <f t="shared" si="60"/>
        <v>8.66</v>
      </c>
      <c r="F67" s="1">
        <f t="shared" si="61"/>
        <v>4</v>
      </c>
      <c r="G67" s="1">
        <f t="shared" si="62"/>
        <v>-3.34</v>
      </c>
      <c r="H67" s="6">
        <f t="shared" si="63"/>
        <v>4.4977310628323064</v>
      </c>
      <c r="I67" s="6">
        <f t="shared" si="64"/>
        <v>-2.6317323736340223</v>
      </c>
      <c r="J67" s="6">
        <f t="shared" si="65"/>
        <v>15.459431930379049</v>
      </c>
      <c r="K67">
        <f t="shared" ca="1" si="66"/>
        <v>0</v>
      </c>
      <c r="L67">
        <f t="shared" ca="1" si="67"/>
        <v>0</v>
      </c>
      <c r="M67" s="6">
        <f t="shared" ca="1" si="68"/>
        <v>0</v>
      </c>
      <c r="N67" s="6">
        <f t="shared" ca="1" si="69"/>
        <v>0</v>
      </c>
      <c r="O67" s="6">
        <f t="shared" ca="1" si="70"/>
        <v>0</v>
      </c>
      <c r="Q67" t="e">
        <f t="shared" si="71"/>
        <v>#N/A</v>
      </c>
      <c r="R67" t="e">
        <f t="shared" si="72"/>
        <v>#N/A</v>
      </c>
      <c r="BC67">
        <v>1.1344640137963153</v>
      </c>
      <c r="BD67">
        <v>-5.1384966238810508</v>
      </c>
      <c r="BE67">
        <v>42.851556898726194</v>
      </c>
      <c r="BF67" s="6">
        <f t="shared" si="73"/>
        <v>1.6901403584317609</v>
      </c>
      <c r="BG67" s="6">
        <f t="shared" si="74"/>
        <v>0.55567634463544557</v>
      </c>
      <c r="BH67" s="6">
        <f t="shared" ref="BH67:BH130" si="75">ATAN2(COS($U$13-BF67),SIN($U$13-BF67))</f>
        <v>-0.90474219503431252</v>
      </c>
      <c r="BI67" s="6">
        <f t="shared" ref="BI67:BI130" si="76">ABS(BH67)</f>
        <v>0.90474219503431252</v>
      </c>
      <c r="BV67" s="38"/>
      <c r="BW67" s="6">
        <f t="shared" si="13"/>
        <v>0.90757121103705218</v>
      </c>
      <c r="BX67" s="9">
        <f t="shared" ca="1" si="21"/>
        <v>-63.992927719887554</v>
      </c>
      <c r="BY67" s="9">
        <f t="shared" ca="1" si="22"/>
        <v>-13.088427686663188</v>
      </c>
      <c r="BZ67">
        <f t="shared" ca="1" si="23"/>
        <v>65.317698501032353</v>
      </c>
      <c r="CA67" s="6">
        <f t="shared" ca="1" si="24"/>
        <v>-0.97971804255895723</v>
      </c>
      <c r="CB67" s="6">
        <f t="shared" ca="1" si="25"/>
        <v>-0.20038102975193353</v>
      </c>
      <c r="CC67" s="6">
        <f t="shared" ca="1" si="26"/>
        <v>-2.9398458304911737</v>
      </c>
      <c r="CD67" s="6">
        <f t="shared" ca="1" si="27"/>
        <v>-10.100877464565293</v>
      </c>
      <c r="CE67" s="9">
        <f t="shared" ca="1" si="28"/>
        <v>24.453029414814132</v>
      </c>
      <c r="CF67">
        <f t="shared" ca="1" si="29"/>
        <v>26.457104397796979</v>
      </c>
      <c r="CG67" s="6">
        <f t="shared" ca="1" si="30"/>
        <v>-0.38178318052849236</v>
      </c>
      <c r="CH67" s="6">
        <f t="shared" ca="1" si="31"/>
        <v>0.92425191537023521</v>
      </c>
      <c r="CI67" s="6">
        <f t="shared" ca="1" si="32"/>
        <v>1.9625211793429558</v>
      </c>
      <c r="CJ67" s="1">
        <f t="shared" ca="1" si="33"/>
        <v>-1.1771230159455075</v>
      </c>
      <c r="CK67" s="38"/>
      <c r="CU67">
        <v>1.8325957145940459</v>
      </c>
      <c r="CV67">
        <v>1.8325957145940457</v>
      </c>
      <c r="CW67">
        <v>1.8325957145940457</v>
      </c>
      <c r="CX67">
        <v>1.9760462662487972</v>
      </c>
      <c r="CY67">
        <v>1.9760462662488043</v>
      </c>
      <c r="CZ67">
        <v>1.9760462662488043</v>
      </c>
    </row>
    <row r="68" spans="1:104" x14ac:dyDescent="0.25">
      <c r="A68">
        <f t="shared" si="60"/>
        <v>7</v>
      </c>
      <c r="B68" s="1">
        <f t="shared" si="60"/>
        <v>0</v>
      </c>
      <c r="C68" s="1">
        <f t="shared" ca="1" si="60"/>
        <v>0</v>
      </c>
      <c r="D68" s="1">
        <f t="shared" si="60"/>
        <v>2</v>
      </c>
      <c r="E68" s="1">
        <f t="shared" si="60"/>
        <v>15.33</v>
      </c>
      <c r="F68" s="1">
        <f t="shared" si="61"/>
        <v>-4</v>
      </c>
      <c r="G68" s="1">
        <f t="shared" si="62"/>
        <v>3.33</v>
      </c>
      <c r="H68" s="6">
        <f t="shared" si="63"/>
        <v>-4.4960756060369045</v>
      </c>
      <c r="I68" s="6">
        <f t="shared" si="64"/>
        <v>2.6218703524011029</v>
      </c>
      <c r="J68" s="6">
        <f t="shared" si="65"/>
        <v>10.205829204343923</v>
      </c>
      <c r="K68">
        <f t="shared" ca="1" si="66"/>
        <v>0</v>
      </c>
      <c r="L68">
        <f t="shared" ca="1" si="67"/>
        <v>0</v>
      </c>
      <c r="M68" s="6">
        <f t="shared" ca="1" si="68"/>
        <v>0</v>
      </c>
      <c r="N68" s="6">
        <f t="shared" ca="1" si="69"/>
        <v>0</v>
      </c>
      <c r="O68" s="6">
        <f t="shared" ca="1" si="70"/>
        <v>0</v>
      </c>
      <c r="Q68" t="e">
        <f t="shared" si="71"/>
        <v>#N/A</v>
      </c>
      <c r="R68" t="e">
        <f t="shared" si="72"/>
        <v>#N/A</v>
      </c>
      <c r="BC68">
        <v>1.1519173063162587</v>
      </c>
      <c r="BD68">
        <v>-5.7899518316981782</v>
      </c>
      <c r="BE68">
        <v>43.686423758720323</v>
      </c>
      <c r="BF68" s="6">
        <f t="shared" si="73"/>
        <v>1.7025627510201602</v>
      </c>
      <c r="BG68" s="6">
        <f t="shared" si="74"/>
        <v>0.55064544470390153</v>
      </c>
      <c r="BH68" s="6">
        <f t="shared" si="75"/>
        <v>-0.91716458762271191</v>
      </c>
      <c r="BI68" s="6">
        <f t="shared" si="76"/>
        <v>0.91716458762271191</v>
      </c>
      <c r="BV68" s="38"/>
      <c r="BW68" s="6">
        <f t="shared" si="13"/>
        <v>0.9250245035569955</v>
      </c>
      <c r="BX68" s="9">
        <f t="shared" ca="1" si="21"/>
        <v>-63.750002407117449</v>
      </c>
      <c r="BY68" s="9">
        <f t="shared" ca="1" si="22"/>
        <v>-13.616192183346627</v>
      </c>
      <c r="BZ68">
        <f t="shared" ca="1" si="23"/>
        <v>65.187909128007092</v>
      </c>
      <c r="CA68" s="6">
        <f t="shared" ca="1" si="24"/>
        <v>-0.97794212546277437</v>
      </c>
      <c r="CB68" s="6">
        <f t="shared" ca="1" si="25"/>
        <v>-0.20887603798748955</v>
      </c>
      <c r="CC68" s="6">
        <f t="shared" ca="1" si="26"/>
        <v>-2.9311671486093447</v>
      </c>
      <c r="CD68" s="6">
        <f t="shared" ca="1" si="27"/>
        <v>-10.343802777335398</v>
      </c>
      <c r="CE68" s="9">
        <f t="shared" ca="1" si="28"/>
        <v>24.980793911497571</v>
      </c>
      <c r="CF68">
        <f t="shared" ca="1" si="29"/>
        <v>27.037646353651525</v>
      </c>
      <c r="CG68" s="6">
        <f t="shared" ca="1" si="30"/>
        <v>-0.38257038508599445</v>
      </c>
      <c r="CH68" s="6">
        <f t="shared" ca="1" si="31"/>
        <v>0.92392635012491875</v>
      </c>
      <c r="CI68" s="6">
        <f t="shared" ca="1" si="32"/>
        <v>1.9633730501008733</v>
      </c>
      <c r="CJ68" s="1">
        <f t="shared" ca="1" si="33"/>
        <v>-1.177974886703425</v>
      </c>
      <c r="CK68" s="38"/>
      <c r="CU68">
        <v>1.8325957145940459</v>
      </c>
      <c r="CV68">
        <v>1.8325957145940457</v>
      </c>
      <c r="CW68">
        <v>1.8325957145940457</v>
      </c>
      <c r="CX68">
        <v>1.9760462662487972</v>
      </c>
      <c r="CY68">
        <v>1.9760462662488043</v>
      </c>
      <c r="CZ68">
        <v>1.9760462662488043</v>
      </c>
    </row>
    <row r="69" spans="1:104" x14ac:dyDescent="0.25">
      <c r="A69">
        <f t="shared" si="60"/>
        <v>8</v>
      </c>
      <c r="B69" s="1">
        <f t="shared" si="60"/>
        <v>0</v>
      </c>
      <c r="C69" s="1">
        <f t="shared" ca="1" si="60"/>
        <v>0</v>
      </c>
      <c r="D69" s="1">
        <f t="shared" si="60"/>
        <v>10</v>
      </c>
      <c r="E69" s="1">
        <f t="shared" si="60"/>
        <v>15.33</v>
      </c>
      <c r="F69" s="1">
        <f t="shared" si="61"/>
        <v>4</v>
      </c>
      <c r="G69" s="1">
        <f t="shared" si="62"/>
        <v>3.33</v>
      </c>
      <c r="H69" s="6">
        <f t="shared" si="63"/>
        <v>3.3935413802986911</v>
      </c>
      <c r="I69" s="6">
        <f t="shared" si="64"/>
        <v>3.9462357887232806</v>
      </c>
      <c r="J69" s="6">
        <f t="shared" si="65"/>
        <v>8.8814637680217459</v>
      </c>
      <c r="K69">
        <f t="shared" ca="1" si="66"/>
        <v>0</v>
      </c>
      <c r="L69">
        <f t="shared" ca="1" si="67"/>
        <v>0</v>
      </c>
      <c r="M69" s="6">
        <f t="shared" ca="1" si="68"/>
        <v>0</v>
      </c>
      <c r="N69" s="6">
        <f t="shared" ca="1" si="69"/>
        <v>0</v>
      </c>
      <c r="O69" s="6">
        <f t="shared" ca="1" si="70"/>
        <v>0</v>
      </c>
      <c r="Q69" t="e">
        <f t="shared" si="71"/>
        <v>#N/A</v>
      </c>
      <c r="R69" t="e">
        <f t="shared" si="72"/>
        <v>#N/A</v>
      </c>
      <c r="BC69">
        <v>1.169370598836202</v>
      </c>
      <c r="BD69">
        <v>-6.5039983798267569</v>
      </c>
      <c r="BE69">
        <v>44.559650535649524</v>
      </c>
      <c r="BF69" s="6">
        <f t="shared" si="73"/>
        <v>1.715734429128418</v>
      </c>
      <c r="BG69" s="6">
        <f t="shared" si="74"/>
        <v>0.54636383029221602</v>
      </c>
      <c r="BH69" s="6">
        <f t="shared" si="75"/>
        <v>-0.93033626573096961</v>
      </c>
      <c r="BI69" s="6">
        <f t="shared" si="76"/>
        <v>0.93033626573096961</v>
      </c>
      <c r="BV69" s="38"/>
      <c r="BW69" s="6">
        <f t="shared" si="13"/>
        <v>0.94247779607693882</v>
      </c>
      <c r="BX69" s="9">
        <f t="shared" ca="1" si="21"/>
        <v>-63.490716845180188</v>
      </c>
      <c r="BY69" s="9">
        <f t="shared" ca="1" si="22"/>
        <v>-14.158924917167184</v>
      </c>
      <c r="BZ69">
        <f t="shared" ca="1" si="23"/>
        <v>65.050336512002957</v>
      </c>
      <c r="CA69" s="6">
        <f t="shared" ca="1" si="24"/>
        <v>-0.97602441815908225</v>
      </c>
      <c r="CB69" s="6">
        <f t="shared" ca="1" si="25"/>
        <v>-0.21766105567424093</v>
      </c>
      <c r="CC69" s="6">
        <f t="shared" ca="1" si="26"/>
        <v>-2.9221752254642288</v>
      </c>
      <c r="CD69" s="6">
        <f t="shared" ca="1" si="27"/>
        <v>-10.603088339272659</v>
      </c>
      <c r="CE69" s="9">
        <f t="shared" ca="1" si="28"/>
        <v>25.523526645318128</v>
      </c>
      <c r="CF69">
        <f t="shared" ca="1" si="29"/>
        <v>27.638304845715201</v>
      </c>
      <c r="CG69" s="6">
        <f t="shared" ca="1" si="30"/>
        <v>-0.38363743357134539</v>
      </c>
      <c r="CH69" s="6">
        <f t="shared" ca="1" si="31"/>
        <v>0.92348379496490973</v>
      </c>
      <c r="CI69" s="6">
        <f t="shared" ca="1" si="32"/>
        <v>1.9645282330682581</v>
      </c>
      <c r="CJ69" s="1">
        <f t="shared" ca="1" si="33"/>
        <v>-1.1791300696708098</v>
      </c>
      <c r="CK69" s="38"/>
      <c r="CU69">
        <v>1.8325957145940459</v>
      </c>
      <c r="CV69">
        <v>1.8325957145940457</v>
      </c>
      <c r="CW69">
        <v>1.8325957145940457</v>
      </c>
      <c r="CX69">
        <v>1.9760462662487972</v>
      </c>
      <c r="CY69">
        <v>1.9760462662488043</v>
      </c>
      <c r="CZ69">
        <v>1.9760462662488043</v>
      </c>
    </row>
    <row r="70" spans="1:104" x14ac:dyDescent="0.25">
      <c r="A70">
        <f t="shared" si="60"/>
        <v>9</v>
      </c>
      <c r="B70" s="1">
        <f t="shared" si="60"/>
        <v>0</v>
      </c>
      <c r="C70" s="1">
        <f t="shared" ca="1" si="60"/>
        <v>0</v>
      </c>
      <c r="D70" s="1">
        <f t="shared" si="60"/>
        <v>8</v>
      </c>
      <c r="E70" s="1">
        <f t="shared" si="60"/>
        <v>2</v>
      </c>
      <c r="F70" s="1">
        <f t="shared" si="61"/>
        <v>2</v>
      </c>
      <c r="G70" s="1">
        <f t="shared" si="62"/>
        <v>-10</v>
      </c>
      <c r="H70" s="6">
        <f t="shared" si="63"/>
        <v>3.6278610419866206</v>
      </c>
      <c r="I70" s="6">
        <f t="shared" si="64"/>
        <v>-9.5309298738389501</v>
      </c>
      <c r="J70" s="6">
        <f t="shared" si="65"/>
        <v>22.358629430583974</v>
      </c>
      <c r="K70">
        <f t="shared" ca="1" si="66"/>
        <v>0</v>
      </c>
      <c r="L70">
        <f t="shared" ca="1" si="67"/>
        <v>0</v>
      </c>
      <c r="M70" s="6">
        <f t="shared" ca="1" si="68"/>
        <v>0</v>
      </c>
      <c r="N70" s="6">
        <f t="shared" ca="1" si="69"/>
        <v>0</v>
      </c>
      <c r="O70" s="6">
        <f t="shared" ca="1" si="70"/>
        <v>0</v>
      </c>
      <c r="Q70" t="e">
        <f t="shared" si="71"/>
        <v>#N/A</v>
      </c>
      <c r="R70" t="e">
        <f t="shared" si="72"/>
        <v>#N/A</v>
      </c>
      <c r="BC70">
        <v>1.1868238913561453</v>
      </c>
      <c r="BD70">
        <v>-7.2890314250091972</v>
      </c>
      <c r="BE70">
        <v>45.474481196853112</v>
      </c>
      <c r="BF70" s="6">
        <f t="shared" si="73"/>
        <v>1.7297327688476631</v>
      </c>
      <c r="BG70" s="6">
        <f t="shared" si="74"/>
        <v>0.54290887749151784</v>
      </c>
      <c r="BH70" s="6">
        <f t="shared" si="75"/>
        <v>-0.94433460545021486</v>
      </c>
      <c r="BI70" s="6">
        <f t="shared" si="76"/>
        <v>0.94433460545021486</v>
      </c>
      <c r="BV70" s="38"/>
      <c r="BW70" s="6">
        <f t="shared" si="13"/>
        <v>0.95993108859688214</v>
      </c>
      <c r="BX70" s="9">
        <f t="shared" ca="1" si="21"/>
        <v>-63.213560214125081</v>
      </c>
      <c r="BY70" s="9">
        <f t="shared" ca="1" si="22"/>
        <v>-14.717673380090176</v>
      </c>
      <c r="BZ70">
        <f t="shared" ca="1" si="23"/>
        <v>64.904268770766024</v>
      </c>
      <c r="CA70" s="6">
        <f t="shared" ca="1" si="24"/>
        <v>-0.97395073407864252</v>
      </c>
      <c r="CB70" s="6">
        <f t="shared" ca="1" si="25"/>
        <v>-0.22675971332596329</v>
      </c>
      <c r="CC70" s="6">
        <f t="shared" ca="1" si="26"/>
        <v>-2.9128432177097396</v>
      </c>
      <c r="CD70" s="6">
        <f t="shared" ca="1" si="27"/>
        <v>-10.880244970327766</v>
      </c>
      <c r="CE70" s="9">
        <f t="shared" ca="1" si="28"/>
        <v>26.08227510824112</v>
      </c>
      <c r="CF70">
        <f t="shared" ca="1" si="29"/>
        <v>28.260658262615134</v>
      </c>
      <c r="CG70" s="6">
        <f t="shared" ca="1" si="30"/>
        <v>-0.38499616212835336</v>
      </c>
      <c r="CH70" s="6">
        <f t="shared" ca="1" si="31"/>
        <v>0.92291817359202466</v>
      </c>
      <c r="CI70" s="6">
        <f t="shared" ca="1" si="32"/>
        <v>1.9659999909355999</v>
      </c>
      <c r="CJ70" s="1">
        <f t="shared" ca="1" si="33"/>
        <v>-1.1806018275381516</v>
      </c>
      <c r="CK70" s="38"/>
      <c r="CU70">
        <v>1.8325957145940459</v>
      </c>
      <c r="CV70">
        <v>1.8325957145940457</v>
      </c>
      <c r="CW70">
        <v>1.8325957145940457</v>
      </c>
      <c r="CX70">
        <v>1.9760462662487972</v>
      </c>
      <c r="CY70">
        <v>1.9760462662488043</v>
      </c>
      <c r="CZ70">
        <v>1.9760462662488043</v>
      </c>
    </row>
    <row r="71" spans="1:104" ht="15.75" thickBot="1" x14ac:dyDescent="0.3">
      <c r="A71">
        <f t="shared" si="60"/>
        <v>10</v>
      </c>
      <c r="B71" s="1">
        <f t="shared" si="60"/>
        <v>0</v>
      </c>
      <c r="C71" s="1">
        <f t="shared" ca="1" si="60"/>
        <v>0</v>
      </c>
      <c r="D71" s="1">
        <f t="shared" si="60"/>
        <v>10</v>
      </c>
      <c r="E71" s="1">
        <f t="shared" si="60"/>
        <v>2</v>
      </c>
      <c r="F71" s="1">
        <f t="shared" si="61"/>
        <v>4</v>
      </c>
      <c r="G71" s="1">
        <f t="shared" si="62"/>
        <v>-10</v>
      </c>
      <c r="H71" s="6">
        <f t="shared" si="63"/>
        <v>5.6002652885705198</v>
      </c>
      <c r="I71" s="6">
        <f t="shared" si="64"/>
        <v>-9.1998385147584045</v>
      </c>
      <c r="J71" s="6">
        <f t="shared" si="65"/>
        <v>22.027538071503429</v>
      </c>
      <c r="K71" s="12">
        <f t="shared" ca="1" si="66"/>
        <v>0</v>
      </c>
      <c r="L71">
        <f t="shared" ca="1" si="67"/>
        <v>0</v>
      </c>
      <c r="M71" s="11">
        <f t="shared" ca="1" si="68"/>
        <v>0</v>
      </c>
      <c r="N71" s="11">
        <f t="shared" ca="1" si="69"/>
        <v>0</v>
      </c>
      <c r="O71" s="11">
        <f t="shared" ca="1" si="70"/>
        <v>0</v>
      </c>
      <c r="Q71" t="e">
        <f t="shared" si="71"/>
        <v>#N/A</v>
      </c>
      <c r="R71" t="e">
        <f t="shared" si="72"/>
        <v>#N/A</v>
      </c>
      <c r="BC71">
        <v>1.2042771838760886</v>
      </c>
      <c r="BD71">
        <v>-8.1549316241034653</v>
      </c>
      <c r="BE71">
        <v>46.434515390584139</v>
      </c>
      <c r="BF71" s="6">
        <f t="shared" si="73"/>
        <v>1.7446456381334234</v>
      </c>
      <c r="BG71" s="6">
        <f t="shared" si="74"/>
        <v>0.54036845425733482</v>
      </c>
      <c r="BH71" s="6">
        <f t="shared" si="75"/>
        <v>-0.95924747473597516</v>
      </c>
      <c r="BI71" s="6">
        <f t="shared" si="76"/>
        <v>0.95924747473597516</v>
      </c>
      <c r="BV71" s="38"/>
      <c r="BW71" s="6">
        <f t="shared" si="13"/>
        <v>0.97738438111682546</v>
      </c>
      <c r="BX71" s="9">
        <f t="shared" ca="1" si="21"/>
        <v>-62.91684334775691</v>
      </c>
      <c r="BY71" s="9">
        <f t="shared" ca="1" si="22"/>
        <v>-15.29356475376678</v>
      </c>
      <c r="BZ71">
        <f t="shared" ca="1" si="23"/>
        <v>64.748917363333888</v>
      </c>
      <c r="CA71" s="6">
        <f t="shared" ca="1" si="24"/>
        <v>-0.97170494750828917</v>
      </c>
      <c r="CB71" s="6">
        <f t="shared" ca="1" si="25"/>
        <v>-0.23619799954257217</v>
      </c>
      <c r="CC71" s="6">
        <f t="shared" ca="1" si="26"/>
        <v>-2.903141385804096</v>
      </c>
      <c r="CD71" s="6">
        <f t="shared" ca="1" si="27"/>
        <v>-11.176961836695938</v>
      </c>
      <c r="CE71" s="9">
        <f t="shared" ca="1" si="28"/>
        <v>26.658166481917725</v>
      </c>
      <c r="CF71">
        <f t="shared" ca="1" si="29"/>
        <v>28.90644073691189</v>
      </c>
      <c r="CG71" s="6">
        <f t="shared" ca="1" si="30"/>
        <v>-0.38665991217741275</v>
      </c>
      <c r="CH71" s="6">
        <f t="shared" ca="1" si="31"/>
        <v>0.92222237682402575</v>
      </c>
      <c r="CI71" s="6">
        <f t="shared" ca="1" si="32"/>
        <v>1.9678033761549865</v>
      </c>
      <c r="CJ71" s="1">
        <f t="shared" ca="1" si="33"/>
        <v>-1.1824052127575382</v>
      </c>
      <c r="CK71" s="38"/>
      <c r="CU71">
        <v>1.8325957145940459</v>
      </c>
      <c r="CV71">
        <v>1.8325957145940457</v>
      </c>
      <c r="CW71">
        <v>1.8325957145940457</v>
      </c>
      <c r="CX71">
        <v>1.9760462662487972</v>
      </c>
      <c r="CY71">
        <v>1.9760462662488043</v>
      </c>
      <c r="CZ71">
        <v>1.9760462662488043</v>
      </c>
    </row>
    <row r="72" spans="1:104" ht="15.75" thickTop="1" x14ac:dyDescent="0.25">
      <c r="K72" s="13">
        <f ca="1">MIN(K62:K71)</f>
        <v>0</v>
      </c>
      <c r="M72" s="9">
        <f ca="1">SUM(M62:M71)</f>
        <v>55.628290372168216</v>
      </c>
      <c r="N72" s="9">
        <f ca="1">SUM(N62:N71)</f>
        <v>-512.10072717022854</v>
      </c>
      <c r="O72" s="9">
        <f ca="1">SUM(O62:O71)</f>
        <v>81.701006058482704</v>
      </c>
      <c r="BC72">
        <v>1.2217304763960319</v>
      </c>
      <c r="BD72">
        <v>-9.1134006357542248</v>
      </c>
      <c r="BE72">
        <v>47.443758941945717</v>
      </c>
      <c r="BF72" s="6">
        <f t="shared" si="73"/>
        <v>1.7605732339184734</v>
      </c>
      <c r="BG72" s="6">
        <f t="shared" si="74"/>
        <v>0.53884275752244148</v>
      </c>
      <c r="BH72" s="6">
        <f t="shared" si="75"/>
        <v>-0.97517507052102514</v>
      </c>
      <c r="BI72" s="6">
        <f t="shared" si="76"/>
        <v>0.97517507052102514</v>
      </c>
      <c r="BV72" s="38"/>
      <c r="BW72" s="6">
        <f t="shared" si="13"/>
        <v>0.99483767363676878</v>
      </c>
      <c r="BX72" s="9">
        <f t="shared" ca="1" si="21"/>
        <v>-62.59867244067037</v>
      </c>
      <c r="BY72" s="9">
        <f t="shared" ca="1" si="22"/>
        <v>-15.887814729212678</v>
      </c>
      <c r="BZ72">
        <f t="shared" ca="1" si="23"/>
        <v>64.583406910785769</v>
      </c>
      <c r="CA72" s="6">
        <f t="shared" ca="1" si="24"/>
        <v>-0.96926866257060318</v>
      </c>
      <c r="CB72" s="6">
        <f t="shared" ca="1" si="25"/>
        <v>-0.24600459296239649</v>
      </c>
      <c r="CC72" s="6">
        <f t="shared" ca="1" si="26"/>
        <v>-2.8930366528737816</v>
      </c>
      <c r="CD72" s="6">
        <f t="shared" ca="1" si="27"/>
        <v>-11.495132743782477</v>
      </c>
      <c r="CE72" s="9">
        <f t="shared" ca="1" si="28"/>
        <v>27.252416457363623</v>
      </c>
      <c r="CF72">
        <f t="shared" ca="1" si="29"/>
        <v>29.577563786809144</v>
      </c>
      <c r="CG72" s="6">
        <f t="shared" ca="1" si="30"/>
        <v>-0.38864366337395984</v>
      </c>
      <c r="CH72" s="6">
        <f t="shared" ca="1" si="31"/>
        <v>0.92138813912447792</v>
      </c>
      <c r="CI72" s="6">
        <f t="shared" ca="1" si="32"/>
        <v>1.9699554038352223</v>
      </c>
      <c r="CJ72" s="1">
        <f t="shared" ca="1" si="33"/>
        <v>-1.184557240437774</v>
      </c>
      <c r="CK72" s="38"/>
      <c r="CU72">
        <v>1.8325957145940459</v>
      </c>
      <c r="CV72">
        <v>1.8325957145940457</v>
      </c>
      <c r="CW72">
        <v>1.8325957145940457</v>
      </c>
      <c r="CX72">
        <v>1.9760462662487972</v>
      </c>
      <c r="CY72">
        <v>1.9760462662488043</v>
      </c>
      <c r="CZ72">
        <v>1.9760462662488043</v>
      </c>
    </row>
    <row r="73" spans="1:104" x14ac:dyDescent="0.25">
      <c r="N73" s="46">
        <f ca="1">N72/12</f>
        <v>-42.675060597519042</v>
      </c>
      <c r="O73" s="46">
        <f ca="1">O72/12</f>
        <v>6.8084171715402251</v>
      </c>
      <c r="BC73">
        <v>1.2391837689159753</v>
      </c>
      <c r="BD73">
        <v>-10.178391354837629</v>
      </c>
      <c r="BE73">
        <v>48.506683226726402</v>
      </c>
      <c r="BF73" s="6">
        <f t="shared" si="73"/>
        <v>1.7776303166923222</v>
      </c>
      <c r="BG73" s="6">
        <f t="shared" si="74"/>
        <v>0.53844654777634693</v>
      </c>
      <c r="BH73" s="6">
        <f t="shared" si="75"/>
        <v>-0.99223215329487391</v>
      </c>
      <c r="BI73" s="6">
        <f t="shared" si="76"/>
        <v>0.99223215329487391</v>
      </c>
      <c r="BV73" s="38"/>
      <c r="BW73" s="6">
        <f t="shared" si="13"/>
        <v>1.0122909661567121</v>
      </c>
      <c r="BX73" s="9">
        <f t="shared" ca="1" si="21"/>
        <v>-62.256918090903596</v>
      </c>
      <c r="BY73" s="9">
        <f t="shared" ca="1" si="22"/>
        <v>-16.501737390663472</v>
      </c>
      <c r="BZ73">
        <f t="shared" ca="1" si="23"/>
        <v>64.40676351974146</v>
      </c>
      <c r="CA73" s="6">
        <f t="shared" ca="1" si="24"/>
        <v>-0.96662081260799715</v>
      </c>
      <c r="CB73" s="6">
        <f t="shared" ca="1" si="25"/>
        <v>-0.2562112500126712</v>
      </c>
      <c r="CC73" s="6">
        <f t="shared" ca="1" si="26"/>
        <v>-2.8824920813892074</v>
      </c>
      <c r="CD73" s="6">
        <f t="shared" ca="1" si="27"/>
        <v>-11.836887093549251</v>
      </c>
      <c r="CE73" s="9">
        <f t="shared" ca="1" si="28"/>
        <v>27.866339118814416</v>
      </c>
      <c r="CF73">
        <f t="shared" ca="1" si="29"/>
        <v>30.27614162918055</v>
      </c>
      <c r="CG73" s="6">
        <f t="shared" ca="1" si="30"/>
        <v>-0.39096418686787687</v>
      </c>
      <c r="CH73" s="6">
        <f t="shared" ca="1" si="31"/>
        <v>0.92040589121688032</v>
      </c>
      <c r="CI73" s="6">
        <f t="shared" ca="1" si="32"/>
        <v>1.9724752537509178</v>
      </c>
      <c r="CJ73" s="1">
        <f t="shared" ca="1" si="33"/>
        <v>-1.1870770903534695</v>
      </c>
      <c r="CK73" s="38"/>
      <c r="CU73">
        <v>1.8325957145940459</v>
      </c>
      <c r="CV73">
        <v>1.8325957145940457</v>
      </c>
      <c r="CW73">
        <v>1.8325957145940457</v>
      </c>
      <c r="CX73">
        <v>1.9760462662487972</v>
      </c>
      <c r="CY73">
        <v>1.9760462662488043</v>
      </c>
      <c r="CZ73">
        <v>1.9760462662488043</v>
      </c>
    </row>
    <row r="74" spans="1:104" x14ac:dyDescent="0.25">
      <c r="BC74">
        <v>1.2566370614359186</v>
      </c>
      <c r="BD74">
        <v>-11.366665868766733</v>
      </c>
      <c r="BE74">
        <v>49.628295384920278</v>
      </c>
      <c r="BF74" s="6">
        <f t="shared" si="73"/>
        <v>1.7959489481489144</v>
      </c>
      <c r="BG74" s="6">
        <f t="shared" si="74"/>
        <v>0.53931188671299579</v>
      </c>
      <c r="BH74" s="6">
        <f t="shared" si="75"/>
        <v>-1.0105507847514661</v>
      </c>
      <c r="BI74" s="6">
        <f t="shared" si="76"/>
        <v>1.0105507847514661</v>
      </c>
      <c r="BV74" s="38"/>
      <c r="BW74" s="6">
        <f t="shared" si="13"/>
        <v>1.0297442586766554</v>
      </c>
      <c r="BX74" s="9">
        <f t="shared" ca="1" si="21"/>
        <v>-61.889178720161638</v>
      </c>
      <c r="BY74" s="9">
        <f t="shared" ca="1" si="22"/>
        <v>-17.136756335084478</v>
      </c>
      <c r="BZ74">
        <f t="shared" ca="1" si="23"/>
        <v>64.2179014009658</v>
      </c>
      <c r="CA74" s="6">
        <f t="shared" ca="1" si="24"/>
        <v>-0.96373717250172952</v>
      </c>
      <c r="CB74" s="6">
        <f t="shared" ca="1" si="25"/>
        <v>-0.26685325993581521</v>
      </c>
      <c r="CC74" s="6">
        <f t="shared" ca="1" si="26"/>
        <v>-2.871466248674774</v>
      </c>
      <c r="CD74" s="6">
        <f t="shared" ca="1" si="27"/>
        <v>-12.204626464291209</v>
      </c>
      <c r="CE74" s="9">
        <f t="shared" ca="1" si="28"/>
        <v>28.501358063235422</v>
      </c>
      <c r="CF74">
        <f t="shared" ca="1" si="29"/>
        <v>31.004520937786349</v>
      </c>
      <c r="CG74" s="6">
        <f t="shared" ca="1" si="30"/>
        <v>-0.39364022068849264</v>
      </c>
      <c r="CH74" s="6">
        <f t="shared" ca="1" si="31"/>
        <v>0.91926458468512473</v>
      </c>
      <c r="CI74" s="6">
        <f t="shared" ca="1" si="32"/>
        <v>1.9753845051285208</v>
      </c>
      <c r="CJ74" s="1">
        <f t="shared" ca="1" si="33"/>
        <v>-1.1899863417310725</v>
      </c>
      <c r="CK74" s="38"/>
      <c r="CU74">
        <v>1.8325957145940459</v>
      </c>
      <c r="CV74">
        <v>1.8325957145940457</v>
      </c>
      <c r="CW74">
        <v>1.8325957145940457</v>
      </c>
      <c r="CX74">
        <v>1.9760462662487972</v>
      </c>
      <c r="CY74">
        <v>1.9760462662488043</v>
      </c>
      <c r="CZ74">
        <v>1.9760462662488043</v>
      </c>
    </row>
    <row r="75" spans="1:104" x14ac:dyDescent="0.25">
      <c r="A75" s="8" t="s">
        <v>63</v>
      </c>
      <c r="B75" s="9">
        <f ca="1">N57+M72</f>
        <v>1230.7692307683212</v>
      </c>
      <c r="C75" t="s">
        <v>68</v>
      </c>
      <c r="E75">
        <f>((O59*COS(-1*B27))+(P59*SIN(-1*B27)))</f>
        <v>46.192743433312913</v>
      </c>
      <c r="F75">
        <f>(-1*(O59)*SIN(-1*B27))+((P59)*COS(-1*B27))</f>
        <v>-8.5455352691122144</v>
      </c>
      <c r="BC75">
        <v>1.2740903539558619</v>
      </c>
      <c r="BD75">
        <v>-12.69852813017984</v>
      </c>
      <c r="BE75">
        <v>50.814221898733855</v>
      </c>
      <c r="BF75" s="6">
        <f t="shared" si="73"/>
        <v>1.8156818717293373</v>
      </c>
      <c r="BG75" s="6">
        <f t="shared" si="74"/>
        <v>0.54159151777347536</v>
      </c>
      <c r="BH75" s="6">
        <f t="shared" si="75"/>
        <v>-1.030283708331889</v>
      </c>
      <c r="BI75" s="6">
        <f t="shared" si="76"/>
        <v>1.030283708331889</v>
      </c>
      <c r="BV75" s="38"/>
      <c r="BW75" s="6">
        <f t="shared" si="13"/>
        <v>1.0471975511965987</v>
      </c>
      <c r="BX75" s="9">
        <f t="shared" ca="1" si="21"/>
        <v>-61.492737132904573</v>
      </c>
      <c r="BY75" s="9">
        <f t="shared" ca="1" si="22"/>
        <v>-17.794417216507156</v>
      </c>
      <c r="BZ75">
        <f t="shared" ca="1" si="23"/>
        <v>64.015607504511166</v>
      </c>
      <c r="CA75" s="6">
        <f t="shared" ca="1" si="24"/>
        <v>-0.96058976131049278</v>
      </c>
      <c r="CB75" s="6">
        <f t="shared" ca="1" si="25"/>
        <v>-0.27796998123079886</v>
      </c>
      <c r="CC75" s="6">
        <f t="shared" ca="1" si="26"/>
        <v>-2.8599124971413068</v>
      </c>
      <c r="CD75" s="6">
        <f t="shared" ca="1" si="27"/>
        <v>-12.601068051548275</v>
      </c>
      <c r="CE75" s="9">
        <f t="shared" ca="1" si="28"/>
        <v>29.159018944658101</v>
      </c>
      <c r="CF75">
        <f t="shared" ca="1" si="29"/>
        <v>31.765316020066297</v>
      </c>
      <c r="CG75" s="6">
        <f t="shared" ca="1" si="30"/>
        <v>-0.39669267082336351</v>
      </c>
      <c r="CH75" s="6">
        <f t="shared" ca="1" si="31"/>
        <v>0.91795148287642447</v>
      </c>
      <c r="CI75" s="6">
        <f t="shared" ca="1" si="32"/>
        <v>1.9787074102348707</v>
      </c>
      <c r="CJ75" s="1">
        <f t="shared" ca="1" si="33"/>
        <v>-1.1933092468374225</v>
      </c>
      <c r="CK75" s="38"/>
      <c r="CU75">
        <v>1.8325957145940459</v>
      </c>
      <c r="CV75">
        <v>1.8325957145940457</v>
      </c>
      <c r="CW75">
        <v>1.8325957145940457</v>
      </c>
      <c r="CX75">
        <v>1.9760462662487972</v>
      </c>
      <c r="CY75">
        <v>1.9760462662488043</v>
      </c>
      <c r="CZ75">
        <v>1.9760462662488043</v>
      </c>
    </row>
    <row r="76" spans="1:104" x14ac:dyDescent="0.25">
      <c r="A76" s="8" t="s">
        <v>66</v>
      </c>
      <c r="B76" s="9">
        <f ca="1">O57+N72</f>
        <v>51.539970003059352</v>
      </c>
      <c r="C76" t="s">
        <v>69</v>
      </c>
      <c r="E76">
        <f ca="1">((N73*COS(-1*B27))+(O73*SIN(-1*B27)))</f>
        <v>-40.959131325629606</v>
      </c>
      <c r="F76">
        <f ca="1">(-1*(N73)*SIN(-1*B27))+((O73)*COS(-1*B27))</f>
        <v>13.779147376868924</v>
      </c>
      <c r="BC76">
        <v>1.2915436464758052</v>
      </c>
      <c r="BD76">
        <v>-14.19879955484641</v>
      </c>
      <c r="BE76">
        <v>52.07080882734391</v>
      </c>
      <c r="BF76" s="6">
        <f t="shared" si="73"/>
        <v>1.837006724324636</v>
      </c>
      <c r="BG76" s="6">
        <f t="shared" si="74"/>
        <v>0.54546307784883075</v>
      </c>
      <c r="BH76" s="6">
        <f t="shared" si="75"/>
        <v>-1.0516085609271877</v>
      </c>
      <c r="BI76" s="6">
        <f t="shared" si="76"/>
        <v>1.0516085609271877</v>
      </c>
      <c r="BV76" s="38"/>
      <c r="BW76" s="6">
        <f t="shared" si="13"/>
        <v>1.0646508437165421</v>
      </c>
      <c r="BX76" s="9">
        <f t="shared" ca="1" si="21"/>
        <v>-61.064508688939107</v>
      </c>
      <c r="BY76" s="9">
        <f t="shared" ca="1" si="22"/>
        <v>-18.476401944680418</v>
      </c>
      <c r="BZ76">
        <f t="shared" ca="1" si="23"/>
        <v>63.798523887648919</v>
      </c>
      <c r="CA76" s="6">
        <f t="shared" ca="1" si="24"/>
        <v>-0.95714610570732805</v>
      </c>
      <c r="CB76" s="6">
        <f t="shared" ca="1" si="25"/>
        <v>-0.28960547703608169</v>
      </c>
      <c r="CC76" s="6">
        <f t="shared" ca="1" si="26"/>
        <v>-2.8477780283311454</v>
      </c>
      <c r="CD76" s="6">
        <f t="shared" ca="1" si="27"/>
        <v>-13.029296495513741</v>
      </c>
      <c r="CE76" s="9">
        <f t="shared" ca="1" si="28"/>
        <v>29.841003672831363</v>
      </c>
      <c r="CF76">
        <f t="shared" ca="1" si="29"/>
        <v>32.561450633685553</v>
      </c>
      <c r="CG76" s="6">
        <f t="shared" ca="1" si="30"/>
        <v>-0.40014484127542649</v>
      </c>
      <c r="CH76" s="6">
        <f t="shared" ca="1" si="31"/>
        <v>0.91645191145016658</v>
      </c>
      <c r="CI76" s="6">
        <f t="shared" ca="1" si="32"/>
        <v>1.9824712131011222</v>
      </c>
      <c r="CJ76" s="1">
        <f t="shared" ca="1" si="33"/>
        <v>-1.1970730497036739</v>
      </c>
      <c r="CK76" s="38"/>
      <c r="CU76">
        <v>1.8325957145940459</v>
      </c>
      <c r="CV76">
        <v>1.8325957145940457</v>
      </c>
      <c r="CW76">
        <v>1.8325957145940457</v>
      </c>
      <c r="CX76">
        <v>1.9760462662487972</v>
      </c>
      <c r="CY76">
        <v>1.9760462662488043</v>
      </c>
      <c r="CZ76">
        <v>1.9760462662488043</v>
      </c>
    </row>
    <row r="77" spans="1:104" x14ac:dyDescent="0.25">
      <c r="A77" s="8" t="s">
        <v>67</v>
      </c>
      <c r="B77" s="9">
        <f ca="1">P57+O72</f>
        <v>72.333614951673013</v>
      </c>
      <c r="C77" t="s">
        <v>69</v>
      </c>
      <c r="BC77">
        <v>1.3089969389957485</v>
      </c>
      <c r="BD77">
        <v>-15.898138537214628</v>
      </c>
      <c r="BE77">
        <v>53.405243098793854</v>
      </c>
      <c r="BF77" s="6">
        <f t="shared" si="73"/>
        <v>1.8601313356900457</v>
      </c>
      <c r="BG77" s="6">
        <f t="shared" si="74"/>
        <v>0.5511343966942972</v>
      </c>
      <c r="BH77" s="6">
        <f t="shared" si="75"/>
        <v>-1.0747331722925975</v>
      </c>
      <c r="BI77" s="6">
        <f t="shared" si="76"/>
        <v>1.0747331722925975</v>
      </c>
      <c r="BV77" s="38"/>
      <c r="BW77" s="6">
        <f t="shared" si="13"/>
        <v>1.0821041362364854</v>
      </c>
      <c r="BX77" s="9">
        <f t="shared" ca="1" si="21"/>
        <v>-60.600979156598328</v>
      </c>
      <c r="BY77" s="9">
        <f t="shared" ca="1" si="22"/>
        <v>-19.184544807498696</v>
      </c>
      <c r="BZ77">
        <f t="shared" ca="1" si="23"/>
        <v>63.565127500929236</v>
      </c>
      <c r="CA77" s="6">
        <f t="shared" ca="1" si="24"/>
        <v>-0.95336832535594962</v>
      </c>
      <c r="CB77" s="6">
        <f t="shared" ca="1" si="25"/>
        <v>-0.30180927124260459</v>
      </c>
      <c r="CC77" s="6">
        <f t="shared" ca="1" si="26"/>
        <v>-2.8350028008536623</v>
      </c>
      <c r="CD77" s="6">
        <f t="shared" ca="1" si="27"/>
        <v>-13.49282602785452</v>
      </c>
      <c r="CE77" s="9">
        <f t="shared" ca="1" si="28"/>
        <v>30.549146535649641</v>
      </c>
      <c r="CF77">
        <f t="shared" ca="1" si="29"/>
        <v>33.396207992443436</v>
      </c>
      <c r="CG77" s="6">
        <f t="shared" ca="1" si="30"/>
        <v>-0.40402269715494477</v>
      </c>
      <c r="CH77" s="6">
        <f t="shared" ca="1" si="31"/>
        <v>0.91474896019817575</v>
      </c>
      <c r="CI77" s="6">
        <f t="shared" ca="1" si="32"/>
        <v>1.9867065213546953</v>
      </c>
      <c r="CJ77" s="1">
        <f t="shared" ca="1" si="33"/>
        <v>-1.201308357957247</v>
      </c>
      <c r="CK77" s="38"/>
      <c r="CU77">
        <v>1.8325957145940459</v>
      </c>
      <c r="CV77">
        <v>1.8325957145940457</v>
      </c>
      <c r="CW77">
        <v>1.8325957145940457</v>
      </c>
      <c r="CX77">
        <v>1.9760462662487972</v>
      </c>
      <c r="CY77">
        <v>1.9760462662488043</v>
      </c>
      <c r="CZ77">
        <v>1.9760462662488043</v>
      </c>
    </row>
    <row r="78" spans="1:104" x14ac:dyDescent="0.25">
      <c r="BC78">
        <v>1.3264502315156919</v>
      </c>
      <c r="BD78">
        <v>-17.834856963530708</v>
      </c>
      <c r="BE78">
        <v>54.825700843961712</v>
      </c>
      <c r="BF78" s="6">
        <f t="shared" si="73"/>
        <v>1.8853004732620826</v>
      </c>
      <c r="BG78" s="6">
        <f t="shared" si="74"/>
        <v>0.55885024174639075</v>
      </c>
      <c r="BH78" s="6">
        <f t="shared" si="75"/>
        <v>-1.0999023098646343</v>
      </c>
      <c r="BI78" s="6">
        <f t="shared" si="76"/>
        <v>1.0999023098646343</v>
      </c>
      <c r="BV78" s="38"/>
      <c r="BW78" s="6">
        <f t="shared" si="13"/>
        <v>1.0995574287564287</v>
      </c>
      <c r="BX78" s="9">
        <f t="shared" ca="1" si="21"/>
        <v>-60.098129775747466</v>
      </c>
      <c r="BY78" s="9">
        <f t="shared" ca="1" si="22"/>
        <v>-19.920850832915413</v>
      </c>
      <c r="BZ78">
        <f t="shared" ca="1" si="23"/>
        <v>63.313707050289281</v>
      </c>
      <c r="CA78" s="6">
        <f t="shared" ca="1" si="24"/>
        <v>-0.94921198861428657</v>
      </c>
      <c r="CB78" s="6">
        <f t="shared" ca="1" si="25"/>
        <v>-0.31463725251614999</v>
      </c>
      <c r="CC78" s="6">
        <f t="shared" ca="1" si="26"/>
        <v>-2.821518180207228</v>
      </c>
      <c r="CD78" s="6">
        <f t="shared" ca="1" si="27"/>
        <v>-13.995675408705381</v>
      </c>
      <c r="CE78" s="9">
        <f t="shared" ca="1" si="28"/>
        <v>31.285452561066357</v>
      </c>
      <c r="CF78">
        <f t="shared" ca="1" si="29"/>
        <v>34.273290943482131</v>
      </c>
      <c r="CG78" s="6">
        <f t="shared" ca="1" si="30"/>
        <v>-0.40835516588660087</v>
      </c>
      <c r="CH78" s="6">
        <f t="shared" ca="1" si="31"/>
        <v>0.91282312552527201</v>
      </c>
      <c r="CI78" s="6">
        <f t="shared" ca="1" si="32"/>
        <v>1.9914477413039822</v>
      </c>
      <c r="CJ78" s="1">
        <f t="shared" ca="1" si="33"/>
        <v>-1.2060495779065339</v>
      </c>
      <c r="CK78" s="38"/>
    </row>
    <row r="79" spans="1:104" x14ac:dyDescent="0.25">
      <c r="A79" s="8" t="s">
        <v>64</v>
      </c>
      <c r="B79">
        <f ca="1">((B76*COS(-1*B27))+(B77*SIN(-1*B27)))</f>
        <v>62.803345292199616</v>
      </c>
      <c r="C79" t="s">
        <v>69</v>
      </c>
      <c r="BC79">
        <v>1.3439035240356352</v>
      </c>
      <c r="BD79">
        <v>-20.057471753846546</v>
      </c>
      <c r="BE79">
        <v>56.341531173046789</v>
      </c>
      <c r="BF79" s="6">
        <f t="shared" si="73"/>
        <v>1.9128045404172842</v>
      </c>
      <c r="BG79" s="6">
        <f t="shared" si="74"/>
        <v>0.56890101638164903</v>
      </c>
      <c r="BH79" s="6">
        <f t="shared" si="75"/>
        <v>-1.1274063770198359</v>
      </c>
      <c r="BI79" s="6">
        <f t="shared" si="76"/>
        <v>1.1274063770198359</v>
      </c>
      <c r="BV79" s="38"/>
      <c r="BW79" s="6">
        <f t="shared" ref="BW79:BW142" si="77">BC66</f>
        <v>1.117010721276372</v>
      </c>
      <c r="BX79" s="9">
        <f t="shared" ca="1" si="21"/>
        <v>-59.551346390700822</v>
      </c>
      <c r="BY79" s="9">
        <f t="shared" ca="1" si="22"/>
        <v>-20.687516774540853</v>
      </c>
      <c r="BZ79">
        <f t="shared" ca="1" si="23"/>
        <v>63.042336625811586</v>
      </c>
      <c r="CA79" s="6">
        <f t="shared" ca="1" si="24"/>
        <v>-0.94462466935780676</v>
      </c>
      <c r="CB79" s="6">
        <f t="shared" ca="1" si="25"/>
        <v>-0.32815276022098949</v>
      </c>
      <c r="CC79" s="6">
        <f t="shared" ca="1" si="26"/>
        <v>-2.8072452721361847</v>
      </c>
      <c r="CD79" s="6">
        <f t="shared" ca="1" si="27"/>
        <v>-14.542458793752026</v>
      </c>
      <c r="CE79" s="9">
        <f t="shared" ca="1" si="28"/>
        <v>32.052118502691798</v>
      </c>
      <c r="CF79">
        <f t="shared" ca="1" si="29"/>
        <v>35.196894866998896</v>
      </c>
      <c r="CG79" s="6">
        <f t="shared" ca="1" si="30"/>
        <v>-0.41317448168949811</v>
      </c>
      <c r="CH79" s="6">
        <f t="shared" ca="1" si="31"/>
        <v>0.91065188062212599</v>
      </c>
      <c r="CI79" s="6">
        <f t="shared" ca="1" si="32"/>
        <v>1.9967335879052257</v>
      </c>
      <c r="CJ79" s="1">
        <f t="shared" ca="1" si="33"/>
        <v>-1.2113354245077774</v>
      </c>
      <c r="CK79" s="38"/>
    </row>
    <row r="80" spans="1:104" x14ac:dyDescent="0.25">
      <c r="A80" s="8" t="s">
        <v>65</v>
      </c>
      <c r="B80">
        <f ca="1">(-1*(B76)*SIN(-1*B27))+((B77)*COS(-1*B27))</f>
        <v>62.803345293080525</v>
      </c>
      <c r="C80" t="s">
        <v>69</v>
      </c>
      <c r="BC80">
        <v>1.3613568165555785</v>
      </c>
      <c r="BD80">
        <v>-22.628372658459913</v>
      </c>
      <c r="BE80">
        <v>57.963487545594631</v>
      </c>
      <c r="BF80" s="6">
        <f t="shared" si="73"/>
        <v>1.9429909693627883</v>
      </c>
      <c r="BG80" s="6">
        <f t="shared" si="74"/>
        <v>0.58163415280720976</v>
      </c>
      <c r="BH80" s="6">
        <f t="shared" si="75"/>
        <v>-1.15759280596534</v>
      </c>
      <c r="BI80" s="6">
        <f t="shared" si="76"/>
        <v>1.15759280596534</v>
      </c>
      <c r="BV80" s="38"/>
      <c r="BW80" s="6">
        <f t="shared" si="77"/>
        <v>1.1344640137963153</v>
      </c>
      <c r="BX80" s="9">
        <f t="shared" ref="BX80:BX143" ca="1" si="78">$BW$5-BD67</f>
        <v>-58.955308560571794</v>
      </c>
      <c r="BY80" s="9">
        <f t="shared" ref="BY80:BY143" ca="1" si="79">$BX$5-BE67</f>
        <v>-21.48695517057525</v>
      </c>
      <c r="BZ80">
        <f t="shared" ref="BZ80:BZ143" ca="1" si="80">SQRT(POWER(BX80,2)+POWER(BY80,2))</f>
        <v>62.748845805915352</v>
      </c>
      <c r="CA80" s="6">
        <f t="shared" ref="CA80:CA143" ca="1" si="81">BX80/BZ80</f>
        <v>-0.93954411118449699</v>
      </c>
      <c r="CB80" s="6">
        <f t="shared" ref="CB80:CB143" ca="1" si="82">BY80/BZ80</f>
        <v>-0.34242789480200558</v>
      </c>
      <c r="CC80" s="6">
        <f t="shared" ref="CC80:CC143" ca="1" si="83">ATAN2(CA80,CB80)</f>
        <v>-2.7920928488487187</v>
      </c>
      <c r="CD80" s="6">
        <f t="shared" ref="CD80:CD143" ca="1" si="84">$BW$9-BX80</f>
        <v>-15.138496623881053</v>
      </c>
      <c r="CE80" s="9">
        <f t="shared" ref="CE80:CE143" ca="1" si="85">$BX$9-BY80</f>
        <v>32.851556898726194</v>
      </c>
      <c r="CF80">
        <f t="shared" ref="CF80:CF143" ca="1" si="86">SQRT(POWER(CD80,2)+POWER(CE80,2))</f>
        <v>36.171796619763064</v>
      </c>
      <c r="CG80" s="6">
        <f t="shared" ref="CG80:CG143" ca="1" si="87">CD80/CF80</f>
        <v>-0.41851658027983835</v>
      </c>
      <c r="CH80" s="6">
        <f t="shared" ref="CH80:CH143" ca="1" si="88">CE80/CF80</f>
        <v>0.90820915654427847</v>
      </c>
      <c r="CI80" s="6">
        <f t="shared" ref="CI80:CI143" ca="1" si="89">ATAN2(CG80,CH80)</f>
        <v>2.0026076850686758</v>
      </c>
      <c r="CJ80" s="1">
        <f t="shared" ref="CJ80:CJ143" ca="1" si="90">ATAN2(COS($U$13-CI80),SIN($U$13-CI80))</f>
        <v>-1.2172095216712275</v>
      </c>
      <c r="CK80" s="38"/>
    </row>
    <row r="81" spans="1:89" x14ac:dyDescent="0.25">
      <c r="BC81">
        <v>1.3788101090755218</v>
      </c>
      <c r="BD81">
        <v>-25.62923775351577</v>
      </c>
      <c r="BE81">
        <v>59.704024979537152</v>
      </c>
      <c r="BF81" s="6">
        <f t="shared" si="73"/>
        <v>1.9762794225122846</v>
      </c>
      <c r="BG81" s="6">
        <f t="shared" si="74"/>
        <v>0.59746931343676279</v>
      </c>
      <c r="BH81" s="6">
        <f t="shared" si="75"/>
        <v>-1.1908812591148363</v>
      </c>
      <c r="BI81" s="6">
        <f t="shared" si="76"/>
        <v>1.1908812591148363</v>
      </c>
      <c r="BV81" s="38"/>
      <c r="BW81" s="6">
        <f t="shared" si="77"/>
        <v>1.1519173063162587</v>
      </c>
      <c r="BX81" s="9">
        <f t="shared" ca="1" si="78"/>
        <v>-58.303853352754672</v>
      </c>
      <c r="BY81" s="9">
        <f t="shared" ca="1" si="79"/>
        <v>-22.321822030569379</v>
      </c>
      <c r="BZ81">
        <f t="shared" ca="1" si="80"/>
        <v>62.430786111852981</v>
      </c>
      <c r="CA81" s="6">
        <f t="shared" ca="1" si="81"/>
        <v>-0.93389587067341484</v>
      </c>
      <c r="CB81" s="6">
        <f t="shared" ca="1" si="82"/>
        <v>-0.35754510588056498</v>
      </c>
      <c r="CC81" s="6">
        <f t="shared" ca="1" si="83"/>
        <v>-2.7759547466071313</v>
      </c>
      <c r="CD81" s="6">
        <f t="shared" ca="1" si="84"/>
        <v>-15.789951831698176</v>
      </c>
      <c r="CE81" s="9">
        <f t="shared" ca="1" si="85"/>
        <v>33.686423758720323</v>
      </c>
      <c r="CF81">
        <f t="shared" ca="1" si="86"/>
        <v>37.203463877701303</v>
      </c>
      <c r="CG81" s="6">
        <f t="shared" ca="1" si="87"/>
        <v>-0.42442155073528576</v>
      </c>
      <c r="CH81" s="6">
        <f t="shared" ca="1" si="88"/>
        <v>0.90546471343253088</v>
      </c>
      <c r="CI81" s="6">
        <f t="shared" ca="1" si="89"/>
        <v>2.0091192742673316</v>
      </c>
      <c r="CJ81" s="1">
        <f t="shared" ca="1" si="90"/>
        <v>-1.2237211108698833</v>
      </c>
      <c r="CK81" s="38"/>
    </row>
    <row r="82" spans="1:89" x14ac:dyDescent="0.25">
      <c r="B82">
        <f>ATAN2(1,0)</f>
        <v>0</v>
      </c>
      <c r="BC82">
        <v>1.3962634015954651</v>
      </c>
      <c r="BD82">
        <v>-29.169284011094931</v>
      </c>
      <c r="BE82">
        <v>61.577691678196196</v>
      </c>
      <c r="BF82" s="6">
        <f t="shared" si="73"/>
        <v>2.0131825365853637</v>
      </c>
      <c r="BG82" s="6">
        <f t="shared" si="74"/>
        <v>0.61691913498989859</v>
      </c>
      <c r="BH82" s="6">
        <f t="shared" si="75"/>
        <v>-1.2277843731879154</v>
      </c>
      <c r="BI82" s="6">
        <f t="shared" si="76"/>
        <v>1.2277843731879154</v>
      </c>
      <c r="BV82" s="38"/>
      <c r="BW82" s="6">
        <f t="shared" si="77"/>
        <v>1.169370598836202</v>
      </c>
      <c r="BX82" s="9">
        <f t="shared" ca="1" si="78"/>
        <v>-57.589806804626093</v>
      </c>
      <c r="BY82" s="9">
        <f t="shared" ca="1" si="79"/>
        <v>-23.19504880749858</v>
      </c>
      <c r="BZ82">
        <f t="shared" ca="1" si="80"/>
        <v>62.085393910133156</v>
      </c>
      <c r="CA82" s="6">
        <f t="shared" ca="1" si="81"/>
        <v>-0.92759026201856276</v>
      </c>
      <c r="CB82" s="6">
        <f t="shared" ca="1" si="82"/>
        <v>-0.37359912447479604</v>
      </c>
      <c r="CC82" s="6">
        <f t="shared" ca="1" si="83"/>
        <v>-2.7587065702119475</v>
      </c>
      <c r="CD82" s="6">
        <f t="shared" ca="1" si="84"/>
        <v>-16.503998379826754</v>
      </c>
      <c r="CE82" s="9">
        <f t="shared" ca="1" si="85"/>
        <v>34.559650535649524</v>
      </c>
      <c r="CF82">
        <f t="shared" ca="1" si="86"/>
        <v>38.298190657882841</v>
      </c>
      <c r="CG82" s="6">
        <f t="shared" ca="1" si="87"/>
        <v>-0.43093415371124766</v>
      </c>
      <c r="CH82" s="6">
        <f t="shared" ca="1" si="88"/>
        <v>0.90238337482755671</v>
      </c>
      <c r="CI82" s="6">
        <f t="shared" ca="1" si="89"/>
        <v>2.0163240552955695</v>
      </c>
      <c r="CJ82" s="1">
        <f t="shared" ca="1" si="90"/>
        <v>-1.2309258918981212</v>
      </c>
      <c r="CK82" s="38"/>
    </row>
    <row r="83" spans="1:89" x14ac:dyDescent="0.25">
      <c r="A83" t="s">
        <v>74</v>
      </c>
      <c r="B83">
        <f ca="1">ATAN2(B79,B80)</f>
        <v>0.78539816340446156</v>
      </c>
      <c r="BC83">
        <v>1.4137166941154085</v>
      </c>
      <c r="BD83">
        <v>-33.398312442042744</v>
      </c>
      <c r="BE83">
        <v>63.601662069007723</v>
      </c>
      <c r="BF83" s="6">
        <f t="shared" si="73"/>
        <v>2.0543350247277479</v>
      </c>
      <c r="BG83" s="6">
        <f t="shared" si="74"/>
        <v>0.64061833061233941</v>
      </c>
      <c r="BH83" s="6">
        <f t="shared" si="75"/>
        <v>-1.2689368613302996</v>
      </c>
      <c r="BI83" s="6">
        <f t="shared" si="76"/>
        <v>1.2689368613302996</v>
      </c>
      <c r="BV83" s="38"/>
      <c r="BW83" s="6">
        <f t="shared" si="77"/>
        <v>1.1868238913561453</v>
      </c>
      <c r="BX83" s="9">
        <f t="shared" ca="1" si="78"/>
        <v>-56.804773759443648</v>
      </c>
      <c r="BY83" s="9">
        <f t="shared" ca="1" si="79"/>
        <v>-24.109879468702168</v>
      </c>
      <c r="BZ83">
        <f t="shared" ca="1" si="80"/>
        <v>61.709550394221182</v>
      </c>
      <c r="CA83" s="6">
        <f t="shared" ca="1" si="81"/>
        <v>-0.92051835407251903</v>
      </c>
      <c r="CB83" s="6">
        <f t="shared" ca="1" si="82"/>
        <v>-0.39069932149367836</v>
      </c>
      <c r="CC83" s="6">
        <f t="shared" ca="1" si="83"/>
        <v>-2.7402014792374421</v>
      </c>
      <c r="CD83" s="6">
        <f t="shared" ca="1" si="84"/>
        <v>-17.289031425009199</v>
      </c>
      <c r="CE83" s="9">
        <f t="shared" ca="1" si="85"/>
        <v>35.474481196853112</v>
      </c>
      <c r="CF83">
        <f t="shared" ca="1" si="86"/>
        <v>39.463266765447088</v>
      </c>
      <c r="CG83" s="6">
        <f t="shared" ca="1" si="87"/>
        <v>-0.43810441562701502</v>
      </c>
      <c r="CH83" s="6">
        <f t="shared" ca="1" si="88"/>
        <v>0.89892409079305002</v>
      </c>
      <c r="CI83" s="6">
        <f t="shared" ca="1" si="89"/>
        <v>2.0242851881747259</v>
      </c>
      <c r="CJ83" s="1">
        <f t="shared" ca="1" si="90"/>
        <v>-1.2388870247772776</v>
      </c>
      <c r="CK83" s="38"/>
    </row>
    <row r="84" spans="1:89" x14ac:dyDescent="0.25">
      <c r="BC84">
        <v>1.4311699866353518</v>
      </c>
      <c r="BD84">
        <v>-38.528273985769559</v>
      </c>
      <c r="BE84">
        <v>65.796492875728362</v>
      </c>
      <c r="BF84" s="6">
        <f t="shared" si="73"/>
        <v>2.1005359405334758</v>
      </c>
      <c r="BG84" s="6">
        <f t="shared" si="74"/>
        <v>0.66936595389812403</v>
      </c>
      <c r="BH84" s="6">
        <f t="shared" si="75"/>
        <v>-1.3151377771360275</v>
      </c>
      <c r="BI84" s="6">
        <f t="shared" si="76"/>
        <v>1.3151377771360275</v>
      </c>
      <c r="BV84" s="38"/>
      <c r="BW84" s="6">
        <f t="shared" si="77"/>
        <v>1.2042771838760886</v>
      </c>
      <c r="BX84" s="9">
        <f t="shared" ca="1" si="78"/>
        <v>-55.938873560349379</v>
      </c>
      <c r="BY84" s="9">
        <f t="shared" ca="1" si="79"/>
        <v>-25.069913662433194</v>
      </c>
      <c r="BZ84">
        <f t="shared" ca="1" si="80"/>
        <v>61.299740180873599</v>
      </c>
      <c r="CA84" s="6">
        <f t="shared" ca="1" si="81"/>
        <v>-0.91254666651593919</v>
      </c>
      <c r="CB84" s="6">
        <f t="shared" ca="1" si="82"/>
        <v>-0.4089725925176983</v>
      </c>
      <c r="CC84" s="6">
        <f t="shared" ca="1" si="83"/>
        <v>-2.7202647442573102</v>
      </c>
      <c r="CD84" s="6">
        <f t="shared" ca="1" si="84"/>
        <v>-18.154931624103469</v>
      </c>
      <c r="CE84" s="9">
        <f t="shared" ca="1" si="85"/>
        <v>36.434515390584139</v>
      </c>
      <c r="CF84">
        <f t="shared" ca="1" si="86"/>
        <v>40.707191674476697</v>
      </c>
      <c r="CG84" s="6">
        <f t="shared" ca="1" si="87"/>
        <v>-0.44598831010704587</v>
      </c>
      <c r="CH84" s="6">
        <f t="shared" ca="1" si="88"/>
        <v>0.89503878533159742</v>
      </c>
      <c r="CI84" s="6">
        <f t="shared" ca="1" si="89"/>
        <v>2.0330744934954526</v>
      </c>
      <c r="CJ84" s="1">
        <f t="shared" ca="1" si="90"/>
        <v>-1.2476763300980043</v>
      </c>
      <c r="CK84" s="38"/>
    </row>
    <row r="85" spans="1:89" x14ac:dyDescent="0.25">
      <c r="BC85">
        <v>1.4486232791552951</v>
      </c>
      <c r="BD85">
        <v>-44.51259306731319</v>
      </c>
      <c r="BE85">
        <v>67.801779647098385</v>
      </c>
      <c r="BF85" s="6">
        <f t="shared" si="73"/>
        <v>2.1517348739133939</v>
      </c>
      <c r="BG85" s="6">
        <f t="shared" si="74"/>
        <v>0.70311159475809881</v>
      </c>
      <c r="BH85" s="6">
        <f t="shared" si="75"/>
        <v>-1.3663367105159456</v>
      </c>
      <c r="BI85" s="6">
        <f t="shared" si="76"/>
        <v>1.3663367105159456</v>
      </c>
      <c r="BV85" s="38"/>
      <c r="BW85" s="6">
        <f t="shared" si="77"/>
        <v>1.2217304763960319</v>
      </c>
      <c r="BX85" s="9">
        <f t="shared" ca="1" si="78"/>
        <v>-54.980404548698623</v>
      </c>
      <c r="BY85" s="9">
        <f t="shared" ca="1" si="79"/>
        <v>-26.079157213794772</v>
      </c>
      <c r="BZ85">
        <f t="shared" ca="1" si="80"/>
        <v>60.852011678500695</v>
      </c>
      <c r="CA85" s="6">
        <f t="shared" ca="1" si="81"/>
        <v>-0.90351005713954824</v>
      </c>
      <c r="CB85" s="6">
        <f t="shared" ca="1" si="82"/>
        <v>-0.42856688701728923</v>
      </c>
      <c r="CC85" s="6">
        <f t="shared" ca="1" si="83"/>
        <v>-2.6986866360894806</v>
      </c>
      <c r="CD85" s="6">
        <f t="shared" ca="1" si="84"/>
        <v>-19.113400635754225</v>
      </c>
      <c r="CE85" s="9">
        <f t="shared" ca="1" si="85"/>
        <v>37.443758941945717</v>
      </c>
      <c r="CF85">
        <f t="shared" ca="1" si="86"/>
        <v>42.039947283094797</v>
      </c>
      <c r="CG85" s="6">
        <f t="shared" ca="1" si="87"/>
        <v>-0.45464853956751156</v>
      </c>
      <c r="CH85" s="6">
        <f t="shared" ca="1" si="88"/>
        <v>0.89067092995624875</v>
      </c>
      <c r="CI85" s="6">
        <f t="shared" ca="1" si="89"/>
        <v>2.0427738992735822</v>
      </c>
      <c r="CJ85" s="1">
        <f t="shared" ca="1" si="90"/>
        <v>-1.2573757358761339</v>
      </c>
      <c r="CK85" s="38"/>
    </row>
    <row r="86" spans="1:89" x14ac:dyDescent="0.25">
      <c r="BC86">
        <v>1.4660765716752384</v>
      </c>
      <c r="BD86">
        <v>-50.436445503657808</v>
      </c>
      <c r="BE86">
        <v>69.2388569374761</v>
      </c>
      <c r="BF86" s="6">
        <f t="shared" si="73"/>
        <v>2.2003565221970289</v>
      </c>
      <c r="BG86" s="6">
        <f t="shared" si="74"/>
        <v>0.73427995052179051</v>
      </c>
      <c r="BH86" s="6">
        <f t="shared" si="75"/>
        <v>-1.4149583587995807</v>
      </c>
      <c r="BI86" s="6">
        <f t="shared" si="76"/>
        <v>1.4149583587995807</v>
      </c>
      <c r="BV86" s="38"/>
      <c r="BW86" s="6">
        <f t="shared" si="77"/>
        <v>1.2391837689159753</v>
      </c>
      <c r="BX86" s="9">
        <f t="shared" ca="1" si="78"/>
        <v>-53.915413829615218</v>
      </c>
      <c r="BY86" s="9">
        <f t="shared" ca="1" si="79"/>
        <v>-27.142081498575457</v>
      </c>
      <c r="BZ86">
        <f t="shared" ca="1" si="80"/>
        <v>60.361945267643392</v>
      </c>
      <c r="CA86" s="6">
        <f t="shared" ca="1" si="81"/>
        <v>-0.89320205951871812</v>
      </c>
      <c r="CB86" s="6">
        <f t="shared" ca="1" si="82"/>
        <v>-0.44965551355623368</v>
      </c>
      <c r="CC86" s="6">
        <f t="shared" ca="1" si="83"/>
        <v>-2.6752130278280046</v>
      </c>
      <c r="CD86" s="6">
        <f t="shared" ca="1" si="84"/>
        <v>-20.178391354837629</v>
      </c>
      <c r="CE86" s="9">
        <f t="shared" ca="1" si="85"/>
        <v>38.506683226726402</v>
      </c>
      <c r="CF86">
        <f t="shared" ca="1" si="86"/>
        <v>43.47334966151606</v>
      </c>
      <c r="CG86" s="6">
        <f t="shared" ca="1" si="87"/>
        <v>-0.46415543113072233</v>
      </c>
      <c r="CH86" s="6">
        <f t="shared" ca="1" si="88"/>
        <v>0.88575376699839847</v>
      </c>
      <c r="CI86" s="6">
        <f t="shared" ca="1" si="89"/>
        <v>2.0534771965422558</v>
      </c>
      <c r="CJ86" s="1">
        <f t="shared" ca="1" si="90"/>
        <v>-1.2680790331448075</v>
      </c>
      <c r="CK86" s="38"/>
    </row>
    <row r="87" spans="1:89" x14ac:dyDescent="0.25">
      <c r="A87" t="s">
        <v>119</v>
      </c>
      <c r="BC87">
        <v>1.4835298641951817</v>
      </c>
      <c r="BD87">
        <v>-56.261666742749853</v>
      </c>
      <c r="BE87">
        <v>70.51337431572334</v>
      </c>
      <c r="BF87" s="6">
        <f t="shared" si="73"/>
        <v>2.2442471968750111</v>
      </c>
      <c r="BG87" s="6">
        <f t="shared" si="74"/>
        <v>0.76071733267982933</v>
      </c>
      <c r="BH87" s="6">
        <f t="shared" si="75"/>
        <v>-1.4588490334775628</v>
      </c>
      <c r="BI87" s="6">
        <f t="shared" si="76"/>
        <v>1.4588490334775628</v>
      </c>
      <c r="BV87" s="38"/>
      <c r="BW87" s="6">
        <f t="shared" si="77"/>
        <v>1.2566370614359186</v>
      </c>
      <c r="BX87" s="9">
        <f t="shared" ca="1" si="78"/>
        <v>-52.727139315686117</v>
      </c>
      <c r="BY87" s="9">
        <f t="shared" ca="1" si="79"/>
        <v>-28.263693656769334</v>
      </c>
      <c r="BZ87">
        <f t="shared" ca="1" si="80"/>
        <v>59.824640404598135</v>
      </c>
      <c r="CA87" s="6">
        <f t="shared" ca="1" si="81"/>
        <v>-0.88136157541589666</v>
      </c>
      <c r="CB87" s="6">
        <f t="shared" ca="1" si="82"/>
        <v>-0.47244234926645678</v>
      </c>
      <c r="CC87" s="6">
        <f t="shared" ca="1" si="83"/>
        <v>-2.6495328178064557</v>
      </c>
      <c r="CD87" s="6">
        <f t="shared" ca="1" si="84"/>
        <v>-21.366665868766731</v>
      </c>
      <c r="CE87" s="9">
        <f t="shared" ca="1" si="85"/>
        <v>39.628295384920278</v>
      </c>
      <c r="CF87">
        <f t="shared" ca="1" si="86"/>
        <v>45.021508253966957</v>
      </c>
      <c r="CG87" s="6">
        <f t="shared" ca="1" si="87"/>
        <v>-0.47458796245201451</v>
      </c>
      <c r="CH87" s="6">
        <f t="shared" ca="1" si="88"/>
        <v>0.88020808102155335</v>
      </c>
      <c r="CI87" s="6">
        <f t="shared" ca="1" si="89"/>
        <v>2.0652921856065301</v>
      </c>
      <c r="CJ87" s="1">
        <f t="shared" ca="1" si="90"/>
        <v>-1.2798940222090818</v>
      </c>
      <c r="CK87" s="38"/>
    </row>
    <row r="88" spans="1:89" x14ac:dyDescent="0.25">
      <c r="A88" t="s">
        <v>120</v>
      </c>
      <c r="BC88">
        <v>1.5009831567151251</v>
      </c>
      <c r="BD88">
        <v>-62.114737032256762</v>
      </c>
      <c r="BE88">
        <v>71.731591921366473</v>
      </c>
      <c r="BF88" s="6">
        <f t="shared" si="73"/>
        <v>2.2844677772369568</v>
      </c>
      <c r="BG88" s="6">
        <f t="shared" si="74"/>
        <v>0.78348462052183176</v>
      </c>
      <c r="BH88" s="6">
        <f t="shared" si="75"/>
        <v>-1.4990696138395085</v>
      </c>
      <c r="BI88" s="6">
        <f t="shared" si="76"/>
        <v>1.4990696138395085</v>
      </c>
      <c r="BV88" s="38"/>
      <c r="BW88" s="6">
        <f t="shared" si="77"/>
        <v>1.2740903539558619</v>
      </c>
      <c r="BX88" s="9">
        <f t="shared" ca="1" si="78"/>
        <v>-51.395277054273009</v>
      </c>
      <c r="BY88" s="9">
        <f t="shared" ca="1" si="79"/>
        <v>-29.449620170582911</v>
      </c>
      <c r="BZ88">
        <f t="shared" ca="1" si="80"/>
        <v>59.234741762559288</v>
      </c>
      <c r="CA88" s="6">
        <f t="shared" ca="1" si="81"/>
        <v>-0.86765427728695865</v>
      </c>
      <c r="CB88" s="6">
        <f t="shared" ca="1" si="82"/>
        <v>-0.49716803508033924</v>
      </c>
      <c r="CC88" s="6">
        <f t="shared" ca="1" si="83"/>
        <v>-2.6212608741173891</v>
      </c>
      <c r="CD88" s="6">
        <f t="shared" ca="1" si="84"/>
        <v>-22.698528130179838</v>
      </c>
      <c r="CE88" s="9">
        <f t="shared" ca="1" si="85"/>
        <v>40.814221898733855</v>
      </c>
      <c r="CF88">
        <f t="shared" ca="1" si="86"/>
        <v>46.701433473456163</v>
      </c>
      <c r="CG88" s="6">
        <f t="shared" ca="1" si="87"/>
        <v>-0.48603493387587493</v>
      </c>
      <c r="CH88" s="6">
        <f t="shared" ca="1" si="88"/>
        <v>0.87393938179502695</v>
      </c>
      <c r="CI88" s="6">
        <f t="shared" ca="1" si="89"/>
        <v>2.0783433220517367</v>
      </c>
      <c r="CJ88" s="1">
        <f t="shared" ca="1" si="90"/>
        <v>-1.2929451586542884</v>
      </c>
      <c r="CK88" s="38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-68.001963275416372</v>
      </c>
      <c r="BE89">
        <v>72.896497460706115</v>
      </c>
      <c r="BF89" s="6">
        <f t="shared" si="73"/>
        <v>2.3214704286967871</v>
      </c>
      <c r="BG89" s="6">
        <f t="shared" si="74"/>
        <v>0.80303397946171873</v>
      </c>
      <c r="BH89" s="6">
        <f t="shared" si="75"/>
        <v>-1.5360722652993388</v>
      </c>
      <c r="BI89" s="6">
        <f t="shared" si="76"/>
        <v>1.5360722652993388</v>
      </c>
      <c r="BV89" s="38"/>
      <c r="BW89" s="6">
        <f t="shared" si="77"/>
        <v>1.2915436464758052</v>
      </c>
      <c r="BX89" s="9">
        <f t="shared" ca="1" si="78"/>
        <v>-49.895005629606437</v>
      </c>
      <c r="BY89" s="9">
        <f t="shared" ca="1" si="79"/>
        <v>-30.706207099192966</v>
      </c>
      <c r="BZ89">
        <f t="shared" ca="1" si="80"/>
        <v>58.586540614692268</v>
      </c>
      <c r="CA89" s="6">
        <f t="shared" ca="1" si="81"/>
        <v>-0.8516462161122007</v>
      </c>
      <c r="CB89" s="6">
        <f t="shared" ca="1" si="82"/>
        <v>-0.52411708861834549</v>
      </c>
      <c r="CC89" s="6">
        <f t="shared" ca="1" si="83"/>
        <v>-2.5899145830536341</v>
      </c>
      <c r="CD89" s="6">
        <f t="shared" ca="1" si="84"/>
        <v>-24.19879955484641</v>
      </c>
      <c r="CE89" s="9">
        <f t="shared" ca="1" si="85"/>
        <v>42.07080882734391</v>
      </c>
      <c r="CF89">
        <f t="shared" ca="1" si="86"/>
        <v>48.53385267298026</v>
      </c>
      <c r="CG89" s="6">
        <f t="shared" ca="1" si="87"/>
        <v>-0.4985963038602611</v>
      </c>
      <c r="CH89" s="6">
        <f t="shared" ca="1" si="88"/>
        <v>0.86683431275929901</v>
      </c>
      <c r="CI89" s="6">
        <f t="shared" ca="1" si="89"/>
        <v>2.0927750106808487</v>
      </c>
      <c r="CJ89" s="1">
        <f t="shared" ca="1" si="90"/>
        <v>-1.3073768472834004</v>
      </c>
      <c r="CK89" s="38"/>
    </row>
    <row r="90" spans="1:89" x14ac:dyDescent="0.25">
      <c r="A90" s="6">
        <f t="shared" ref="A90:A98" si="91">E3-$I$2</f>
        <v>-6</v>
      </c>
      <c r="B90" s="1">
        <f t="shared" ref="B90:B98" si="92">F3-$I$3</f>
        <v>-12</v>
      </c>
      <c r="C90" s="1"/>
      <c r="BC90">
        <v>1.5358897417550117</v>
      </c>
      <c r="BD90">
        <v>-73.929996627160548</v>
      </c>
      <c r="BE90">
        <v>74.011085302666601</v>
      </c>
      <c r="BF90" s="6">
        <f t="shared" si="73"/>
        <v>2.3556463755893704</v>
      </c>
      <c r="BG90" s="6">
        <f t="shared" si="74"/>
        <v>0.81975663383435871</v>
      </c>
      <c r="BH90" s="6">
        <f t="shared" si="75"/>
        <v>-1.5702482121919221</v>
      </c>
      <c r="BI90" s="6">
        <f t="shared" si="76"/>
        <v>1.5702482121919221</v>
      </c>
      <c r="BV90" s="38"/>
      <c r="BW90" s="6">
        <f t="shared" si="77"/>
        <v>1.3089969389957485</v>
      </c>
      <c r="BX90" s="9">
        <f t="shared" ca="1" si="78"/>
        <v>-48.19566664723822</v>
      </c>
      <c r="BY90" s="9">
        <f t="shared" ca="1" si="79"/>
        <v>-32.040641370642909</v>
      </c>
      <c r="BZ90">
        <f t="shared" ca="1" si="80"/>
        <v>57.874216910588643</v>
      </c>
      <c r="CA90" s="6">
        <f t="shared" ca="1" si="81"/>
        <v>-0.83276576721024043</v>
      </c>
      <c r="CB90" s="6">
        <f t="shared" ca="1" si="82"/>
        <v>-0.55362548438699943</v>
      </c>
      <c r="CC90" s="6">
        <f t="shared" ca="1" si="83"/>
        <v>-2.5548811376449523</v>
      </c>
      <c r="CD90" s="6">
        <f t="shared" ca="1" si="84"/>
        <v>-25.898138537214628</v>
      </c>
      <c r="CE90" s="9">
        <f t="shared" ca="1" si="85"/>
        <v>43.405243098793854</v>
      </c>
      <c r="CF90">
        <f t="shared" ca="1" si="86"/>
        <v>50.544324193307332</v>
      </c>
      <c r="CG90" s="6">
        <f t="shared" ca="1" si="87"/>
        <v>-0.5123847029424492</v>
      </c>
      <c r="CH90" s="6">
        <f t="shared" ca="1" si="88"/>
        <v>0.85875602832852249</v>
      </c>
      <c r="CI90" s="6">
        <f t="shared" ca="1" si="89"/>
        <v>2.1087557510777435</v>
      </c>
      <c r="CJ90" s="1">
        <f t="shared" ca="1" si="90"/>
        <v>-1.3233575876802952</v>
      </c>
      <c r="CK90" s="38"/>
    </row>
    <row r="91" spans="1:89" x14ac:dyDescent="0.25">
      <c r="A91" s="6">
        <f t="shared" si="91"/>
        <v>6</v>
      </c>
      <c r="B91" s="1">
        <f t="shared" si="92"/>
        <v>-12</v>
      </c>
      <c r="C91" s="1">
        <f t="shared" ref="C91:C98" si="93">((A90*B91)-(A91*B90))*0.5</f>
        <v>72</v>
      </c>
      <c r="D91" s="6">
        <f t="shared" ref="D91:D98" si="94">(A91+A90)*((A90*B91)-(A91*B90))*(1/6)</f>
        <v>0</v>
      </c>
      <c r="E91" s="6">
        <f t="shared" ref="E91:E98" si="95">(B91+B90)*((A90*B91)-(A91*B90))*(1/6)</f>
        <v>-576</v>
      </c>
      <c r="BC91">
        <v>1.553343034274955</v>
      </c>
      <c r="BD91">
        <v>-79.905895445749479</v>
      </c>
      <c r="BE91">
        <v>75.078390263638738</v>
      </c>
      <c r="BF91" s="6">
        <f t="shared" si="73"/>
        <v>2.3873327750906639</v>
      </c>
      <c r="BG91" s="6">
        <f t="shared" si="74"/>
        <v>0.83398974081570887</v>
      </c>
      <c r="BH91" s="6">
        <f t="shared" si="75"/>
        <v>-1.6019346116932154</v>
      </c>
      <c r="BI91" s="6">
        <f t="shared" si="76"/>
        <v>1.6019346116932154</v>
      </c>
      <c r="BV91" s="38"/>
      <c r="BW91" s="6">
        <f t="shared" si="77"/>
        <v>1.3264502315156919</v>
      </c>
      <c r="BX91" s="9">
        <f t="shared" ca="1" si="78"/>
        <v>-46.258948220922136</v>
      </c>
      <c r="BY91" s="9">
        <f t="shared" ca="1" si="79"/>
        <v>-33.461099115810768</v>
      </c>
      <c r="BZ91">
        <f t="shared" ca="1" si="80"/>
        <v>57.092341382571334</v>
      </c>
      <c r="CA91" s="6">
        <f t="shared" ca="1" si="81"/>
        <v>-0.81024787389510833</v>
      </c>
      <c r="CB91" s="6">
        <f t="shared" ca="1" si="82"/>
        <v>-0.58608735086884156</v>
      </c>
      <c r="CC91" s="6">
        <f t="shared" ca="1" si="83"/>
        <v>-2.5153712483447954</v>
      </c>
      <c r="CD91" s="6">
        <f t="shared" ca="1" si="84"/>
        <v>-27.834856963530711</v>
      </c>
      <c r="CE91" s="9">
        <f t="shared" ca="1" si="85"/>
        <v>44.825700843961712</v>
      </c>
      <c r="CF91">
        <f t="shared" ca="1" si="86"/>
        <v>52.764786726874618</v>
      </c>
      <c r="CG91" s="6">
        <f t="shared" ca="1" si="87"/>
        <v>-0.52752713865047463</v>
      </c>
      <c r="CH91" s="6">
        <f t="shared" ca="1" si="88"/>
        <v>0.84953817924048769</v>
      </c>
      <c r="CI91" s="6">
        <f t="shared" ca="1" si="89"/>
        <v>2.1264834224245961</v>
      </c>
      <c r="CJ91" s="1">
        <f t="shared" ca="1" si="90"/>
        <v>-1.3410852590271478</v>
      </c>
      <c r="CK91" s="38"/>
    </row>
    <row r="92" spans="1:89" x14ac:dyDescent="0.25">
      <c r="A92" s="6">
        <f t="shared" si="91"/>
        <v>6</v>
      </c>
      <c r="B92" s="1">
        <f t="shared" si="92"/>
        <v>4</v>
      </c>
      <c r="C92" s="1">
        <f t="shared" si="93"/>
        <v>48</v>
      </c>
      <c r="D92" s="6">
        <f t="shared" si="94"/>
        <v>192</v>
      </c>
      <c r="E92" s="6">
        <f t="shared" si="95"/>
        <v>-128</v>
      </c>
      <c r="BC92">
        <v>1.5707963267948983</v>
      </c>
      <c r="BD92">
        <v>-85.882875000000539</v>
      </c>
      <c r="BE92">
        <v>76.063265767880239</v>
      </c>
      <c r="BF92" s="6">
        <f t="shared" si="73"/>
        <v>2.4167553740891696</v>
      </c>
      <c r="BG92" s="6">
        <f t="shared" si="74"/>
        <v>0.84595904729427129</v>
      </c>
      <c r="BH92" s="6">
        <f t="shared" si="75"/>
        <v>-1.6313572106917211</v>
      </c>
      <c r="BI92" s="6">
        <f t="shared" si="76"/>
        <v>1.6313572106917211</v>
      </c>
      <c r="BV92" s="38"/>
      <c r="BW92" s="6">
        <f t="shared" si="77"/>
        <v>1.3439035240356352</v>
      </c>
      <c r="BX92" s="9">
        <f t="shared" ca="1" si="78"/>
        <v>-44.036333430606305</v>
      </c>
      <c r="BY92" s="9">
        <f t="shared" ca="1" si="79"/>
        <v>-34.976929444895845</v>
      </c>
      <c r="BZ92">
        <f t="shared" ca="1" si="80"/>
        <v>56.236858512942888</v>
      </c>
      <c r="CA92" s="6">
        <f t="shared" ca="1" si="81"/>
        <v>-0.78305109131356199</v>
      </c>
      <c r="CB92" s="6">
        <f t="shared" ca="1" si="82"/>
        <v>-0.62195738470785877</v>
      </c>
      <c r="CC92" s="6">
        <f t="shared" ca="1" si="83"/>
        <v>-2.4703527347228822</v>
      </c>
      <c r="CD92" s="6">
        <f t="shared" ca="1" si="84"/>
        <v>-30.057471753846542</v>
      </c>
      <c r="CE92" s="9">
        <f t="shared" ca="1" si="85"/>
        <v>46.341531173046789</v>
      </c>
      <c r="CF92">
        <f t="shared" ca="1" si="86"/>
        <v>55.235759428976351</v>
      </c>
      <c r="CG92" s="6">
        <f t="shared" ca="1" si="87"/>
        <v>-0.54416689594890533</v>
      </c>
      <c r="CH92" s="6">
        <f t="shared" ca="1" si="88"/>
        <v>0.83897698976392265</v>
      </c>
      <c r="CI92" s="6">
        <f t="shared" ca="1" si="89"/>
        <v>2.1461921215010373</v>
      </c>
      <c r="CJ92" s="1">
        <f t="shared" ca="1" si="90"/>
        <v>-1.3607939581035891</v>
      </c>
      <c r="CK92" s="38"/>
    </row>
    <row r="93" spans="1:89" x14ac:dyDescent="0.25">
      <c r="A93" s="6">
        <f t="shared" si="91"/>
        <v>6</v>
      </c>
      <c r="B93" s="1">
        <f t="shared" si="92"/>
        <v>4</v>
      </c>
      <c r="C93" s="1">
        <f t="shared" si="93"/>
        <v>0</v>
      </c>
      <c r="D93" s="6">
        <f t="shared" si="94"/>
        <v>0</v>
      </c>
      <c r="E93" s="6">
        <f t="shared" si="95"/>
        <v>0</v>
      </c>
      <c r="BC93">
        <v>1.5882496193148417</v>
      </c>
      <c r="BD93">
        <v>-90.51195821896377</v>
      </c>
      <c r="BE93">
        <v>76.022865293641757</v>
      </c>
      <c r="BF93" s="6">
        <f t="shared" si="73"/>
        <v>2.4429793376206579</v>
      </c>
      <c r="BG93" s="6">
        <f t="shared" si="74"/>
        <v>0.85472971830581623</v>
      </c>
      <c r="BH93" s="6">
        <f t="shared" si="75"/>
        <v>-1.6575811742232094</v>
      </c>
      <c r="BI93" s="6">
        <f t="shared" si="76"/>
        <v>1.6575811742232094</v>
      </c>
      <c r="BV93" s="38"/>
      <c r="BW93" s="6">
        <f t="shared" si="77"/>
        <v>1.3613568165555785</v>
      </c>
      <c r="BX93" s="9">
        <f t="shared" ca="1" si="78"/>
        <v>-41.465432525992938</v>
      </c>
      <c r="BY93" s="9">
        <f t="shared" ca="1" si="79"/>
        <v>-36.598885817443687</v>
      </c>
      <c r="BZ93">
        <f t="shared" ca="1" si="80"/>
        <v>55.306966447690421</v>
      </c>
      <c r="CA93" s="6">
        <f t="shared" ca="1" si="81"/>
        <v>-0.74973254165388248</v>
      </c>
      <c r="CB93" s="6">
        <f t="shared" ca="1" si="82"/>
        <v>-0.66174097348222993</v>
      </c>
      <c r="CC93" s="6">
        <f t="shared" ca="1" si="83"/>
        <v>-2.4184541394108301</v>
      </c>
      <c r="CD93" s="6">
        <f t="shared" ca="1" si="84"/>
        <v>-32.628372658459909</v>
      </c>
      <c r="CE93" s="9">
        <f t="shared" ca="1" si="85"/>
        <v>47.963487545594631</v>
      </c>
      <c r="CF93">
        <f t="shared" ca="1" si="86"/>
        <v>58.009540938329671</v>
      </c>
      <c r="CG93" s="6">
        <f t="shared" ca="1" si="87"/>
        <v>-0.5624656242866557</v>
      </c>
      <c r="CH93" s="6">
        <f t="shared" ca="1" si="88"/>
        <v>0.82682067069941023</v>
      </c>
      <c r="CI93" s="6">
        <f t="shared" ca="1" si="89"/>
        <v>2.168161167073436</v>
      </c>
      <c r="CJ93" s="1">
        <f t="shared" ca="1" si="90"/>
        <v>-1.3827630036759877</v>
      </c>
      <c r="CK93" s="38"/>
    </row>
    <row r="94" spans="1:89" x14ac:dyDescent="0.25">
      <c r="A94" s="6">
        <f t="shared" si="91"/>
        <v>6</v>
      </c>
      <c r="B94" s="1">
        <f t="shared" si="92"/>
        <v>12</v>
      </c>
      <c r="C94" s="1">
        <f t="shared" si="93"/>
        <v>24</v>
      </c>
      <c r="D94" s="6">
        <f t="shared" si="94"/>
        <v>96</v>
      </c>
      <c r="E94" s="6">
        <f t="shared" si="95"/>
        <v>128</v>
      </c>
      <c r="BC94">
        <v>1.605702911834785</v>
      </c>
      <c r="BD94">
        <v>-95.143863069211946</v>
      </c>
      <c r="BE94">
        <v>75.9015653529449</v>
      </c>
      <c r="BF94" s="6">
        <f t="shared" si="73"/>
        <v>2.4682216456736539</v>
      </c>
      <c r="BG94" s="6">
        <f t="shared" si="74"/>
        <v>0.8625187338388689</v>
      </c>
      <c r="BH94" s="6">
        <f t="shared" si="75"/>
        <v>-1.6828234822762054</v>
      </c>
      <c r="BI94" s="6">
        <f t="shared" si="76"/>
        <v>1.6828234822762054</v>
      </c>
      <c r="BV94" s="38"/>
      <c r="BW94" s="6">
        <f t="shared" si="77"/>
        <v>1.3788101090755218</v>
      </c>
      <c r="BX94" s="9">
        <f t="shared" ca="1" si="78"/>
        <v>-38.46456743093708</v>
      </c>
      <c r="BY94" s="9">
        <f t="shared" ca="1" si="79"/>
        <v>-38.339423251386208</v>
      </c>
      <c r="BZ94">
        <f t="shared" ca="1" si="80"/>
        <v>54.308694726517217</v>
      </c>
      <c r="CA94" s="6">
        <f t="shared" ca="1" si="81"/>
        <v>-0.70825799855130833</v>
      </c>
      <c r="CB94" s="6">
        <f t="shared" ca="1" si="82"/>
        <v>-0.70595368650365076</v>
      </c>
      <c r="CC94" s="6">
        <f t="shared" ca="1" si="83"/>
        <v>-2.3578238855882017</v>
      </c>
      <c r="CD94" s="6">
        <f t="shared" ca="1" si="84"/>
        <v>-35.629237753515767</v>
      </c>
      <c r="CE94" s="9">
        <f t="shared" ca="1" si="85"/>
        <v>49.704024979537152</v>
      </c>
      <c r="CF94">
        <f t="shared" ca="1" si="86"/>
        <v>61.154989020218181</v>
      </c>
      <c r="CG94" s="6">
        <f t="shared" ca="1" si="87"/>
        <v>-0.58260557845471184</v>
      </c>
      <c r="CH94" s="6">
        <f t="shared" ca="1" si="88"/>
        <v>0.81275503071555988</v>
      </c>
      <c r="CI94" s="6">
        <f t="shared" ca="1" si="89"/>
        <v>2.192727207281099</v>
      </c>
      <c r="CJ94" s="1">
        <f t="shared" ca="1" si="90"/>
        <v>-1.4073290438836508</v>
      </c>
      <c r="CK94" s="38"/>
    </row>
    <row r="95" spans="1:89" x14ac:dyDescent="0.25">
      <c r="A95" s="6">
        <f t="shared" si="91"/>
        <v>-6</v>
      </c>
      <c r="B95" s="1">
        <f t="shared" si="92"/>
        <v>12</v>
      </c>
      <c r="C95" s="1">
        <f t="shared" si="93"/>
        <v>72</v>
      </c>
      <c r="D95" s="6">
        <f t="shared" si="94"/>
        <v>0</v>
      </c>
      <c r="E95" s="6">
        <f t="shared" si="95"/>
        <v>576</v>
      </c>
      <c r="BC95">
        <v>1.6231562043547283</v>
      </c>
      <c r="BD95">
        <v>-99.781418065863008</v>
      </c>
      <c r="BE95">
        <v>75.699069879388119</v>
      </c>
      <c r="BF95" s="6">
        <f t="shared" si="73"/>
        <v>2.4925791458493918</v>
      </c>
      <c r="BG95" s="6">
        <f t="shared" si="74"/>
        <v>0.86942294149466348</v>
      </c>
      <c r="BH95" s="6">
        <f t="shared" si="75"/>
        <v>-1.7071809824519433</v>
      </c>
      <c r="BI95" s="6">
        <f t="shared" si="76"/>
        <v>1.7071809824519433</v>
      </c>
      <c r="BV95" s="38"/>
      <c r="BW95" s="6">
        <f t="shared" si="77"/>
        <v>1.3962634015954651</v>
      </c>
      <c r="BX95" s="9">
        <f t="shared" ca="1" si="78"/>
        <v>-34.924521173357917</v>
      </c>
      <c r="BY95" s="9">
        <f t="shared" ca="1" si="79"/>
        <v>-40.213089950045251</v>
      </c>
      <c r="BZ95">
        <f t="shared" ca="1" si="80"/>
        <v>53.261757223346997</v>
      </c>
      <c r="CA95" s="6">
        <f t="shared" ca="1" si="81"/>
        <v>-0.65571477536698597</v>
      </c>
      <c r="CB95" s="6">
        <f t="shared" ca="1" si="82"/>
        <v>-0.7550086975428979</v>
      </c>
      <c r="CC95" s="6">
        <f t="shared" ca="1" si="83"/>
        <v>-2.2859252699704693</v>
      </c>
      <c r="CD95" s="6">
        <f t="shared" ca="1" si="84"/>
        <v>-39.169284011094931</v>
      </c>
      <c r="CE95" s="9">
        <f t="shared" ca="1" si="85"/>
        <v>51.577691678196196</v>
      </c>
      <c r="CF95">
        <f t="shared" ca="1" si="86"/>
        <v>64.764890865289701</v>
      </c>
      <c r="CG95" s="6">
        <f t="shared" ca="1" si="87"/>
        <v>-0.60479194032097783</v>
      </c>
      <c r="CH95" s="6">
        <f t="shared" ca="1" si="88"/>
        <v>0.79638351874130786</v>
      </c>
      <c r="CI95" s="6">
        <f t="shared" ca="1" si="89"/>
        <v>2.2203009126627373</v>
      </c>
      <c r="CJ95" s="1">
        <f t="shared" ca="1" si="90"/>
        <v>-1.434902749265289</v>
      </c>
      <c r="CK95" s="38"/>
    </row>
    <row r="96" spans="1:89" x14ac:dyDescent="0.25">
      <c r="A96" s="6">
        <f t="shared" si="91"/>
        <v>-6</v>
      </c>
      <c r="B96" s="1">
        <f t="shared" si="92"/>
        <v>4</v>
      </c>
      <c r="C96" s="1">
        <f t="shared" si="93"/>
        <v>24</v>
      </c>
      <c r="D96" s="6">
        <f t="shared" si="94"/>
        <v>-96</v>
      </c>
      <c r="E96" s="6">
        <f t="shared" si="95"/>
        <v>128</v>
      </c>
      <c r="BC96">
        <v>1.6406094968746716</v>
      </c>
      <c r="BD96">
        <v>-104.42746552741947</v>
      </c>
      <c r="BE96">
        <v>75.41488372078534</v>
      </c>
      <c r="BF96" s="6">
        <f t="shared" si="73"/>
        <v>2.5161387819322325</v>
      </c>
      <c r="BG96" s="6">
        <f t="shared" si="74"/>
        <v>0.87552928505756089</v>
      </c>
      <c r="BH96" s="6">
        <f t="shared" si="75"/>
        <v>-1.730740618534784</v>
      </c>
      <c r="BI96" s="6">
        <f t="shared" si="76"/>
        <v>1.730740618534784</v>
      </c>
      <c r="BV96" s="38"/>
      <c r="BW96" s="6">
        <f t="shared" si="77"/>
        <v>1.4137166941154085</v>
      </c>
      <c r="BX96" s="9">
        <f t="shared" ca="1" si="78"/>
        <v>-30.695492742410103</v>
      </c>
      <c r="BY96" s="9">
        <f t="shared" ca="1" si="79"/>
        <v>-42.237060340856779</v>
      </c>
      <c r="BZ96">
        <f t="shared" ca="1" si="80"/>
        <v>52.212858003910569</v>
      </c>
      <c r="CA96" s="6">
        <f t="shared" ca="1" si="81"/>
        <v>-0.58789144888623246</v>
      </c>
      <c r="CB96" s="6">
        <f t="shared" ca="1" si="82"/>
        <v>-0.80893982738300529</v>
      </c>
      <c r="CC96" s="6">
        <f t="shared" ca="1" si="83"/>
        <v>-2.1992461299821553</v>
      </c>
      <c r="CD96" s="6">
        <f t="shared" ca="1" si="84"/>
        <v>-43.398312442042744</v>
      </c>
      <c r="CE96" s="9">
        <f t="shared" ca="1" si="85"/>
        <v>53.601662069007723</v>
      </c>
      <c r="CF96">
        <f t="shared" ca="1" si="86"/>
        <v>68.967758404759422</v>
      </c>
      <c r="CG96" s="6">
        <f t="shared" ca="1" si="87"/>
        <v>-0.62925508158965848</v>
      </c>
      <c r="CH96" s="6">
        <f t="shared" ca="1" si="88"/>
        <v>0.77719884347159973</v>
      </c>
      <c r="CI96" s="6">
        <f t="shared" ca="1" si="89"/>
        <v>2.2513907003592375</v>
      </c>
      <c r="CJ96" s="1">
        <f t="shared" ca="1" si="90"/>
        <v>-1.4659925369617892</v>
      </c>
      <c r="CK96" s="38"/>
    </row>
    <row r="97" spans="1:89" x14ac:dyDescent="0.25">
      <c r="A97" s="6">
        <f t="shared" si="91"/>
        <v>-6</v>
      </c>
      <c r="B97" s="1">
        <f t="shared" si="92"/>
        <v>4</v>
      </c>
      <c r="C97" s="1">
        <f t="shared" si="93"/>
        <v>0</v>
      </c>
      <c r="D97" s="6">
        <f t="shared" si="94"/>
        <v>0</v>
      </c>
      <c r="E97" s="6">
        <f t="shared" si="95"/>
        <v>0</v>
      </c>
      <c r="BC97">
        <v>1.6580627893946149</v>
      </c>
      <c r="BD97">
        <v>-109.08486856707553</v>
      </c>
      <c r="BE97">
        <v>75.048310063704619</v>
      </c>
      <c r="BF97" s="6">
        <f t="shared" si="73"/>
        <v>2.5389788030234337</v>
      </c>
      <c r="BG97" s="6">
        <f t="shared" si="74"/>
        <v>0.88091601362881877</v>
      </c>
      <c r="BH97" s="6">
        <f t="shared" si="75"/>
        <v>-1.7535806396259854</v>
      </c>
      <c r="BI97" s="6">
        <f t="shared" si="76"/>
        <v>1.7535806396259854</v>
      </c>
      <c r="BV97" s="38"/>
      <c r="BW97" s="6">
        <f t="shared" si="77"/>
        <v>1.4311699866353518</v>
      </c>
      <c r="BX97" s="9">
        <f t="shared" ca="1" si="78"/>
        <v>-25.565531198683288</v>
      </c>
      <c r="BY97" s="9">
        <f t="shared" ca="1" si="79"/>
        <v>-44.431891147577417</v>
      </c>
      <c r="BZ97">
        <f t="shared" ca="1" si="80"/>
        <v>51.261967738480514</v>
      </c>
      <c r="CA97" s="6">
        <f t="shared" ca="1" si="81"/>
        <v>-0.49872317288148432</v>
      </c>
      <c r="CB97" s="6">
        <f t="shared" ca="1" si="82"/>
        <v>-0.86676132633558656</v>
      </c>
      <c r="CC97" s="6">
        <f t="shared" ca="1" si="83"/>
        <v>-2.092921375863289</v>
      </c>
      <c r="CD97" s="6">
        <f t="shared" ca="1" si="84"/>
        <v>-48.528273985769559</v>
      </c>
      <c r="CE97" s="9">
        <f t="shared" ca="1" si="85"/>
        <v>55.796492875728362</v>
      </c>
      <c r="CF97">
        <f t="shared" ca="1" si="86"/>
        <v>73.94756245657544</v>
      </c>
      <c r="CG97" s="6">
        <f t="shared" ca="1" si="87"/>
        <v>-0.65625251696791276</v>
      </c>
      <c r="CH97" s="6">
        <f t="shared" ca="1" si="88"/>
        <v>0.75454134013536944</v>
      </c>
      <c r="CI97" s="6">
        <f t="shared" ca="1" si="89"/>
        <v>2.2866377227739654</v>
      </c>
      <c r="CJ97" s="1">
        <f t="shared" ca="1" si="90"/>
        <v>-1.5012395593765171</v>
      </c>
      <c r="CK97" s="38"/>
    </row>
    <row r="98" spans="1:89" x14ac:dyDescent="0.25">
      <c r="A98" s="6">
        <f t="shared" si="91"/>
        <v>-6</v>
      </c>
      <c r="B98" s="1">
        <f t="shared" si="92"/>
        <v>-12</v>
      </c>
      <c r="C98" s="1">
        <f t="shared" si="93"/>
        <v>48</v>
      </c>
      <c r="D98" s="6">
        <f t="shared" si="94"/>
        <v>-192</v>
      </c>
      <c r="E98" s="6">
        <f t="shared" si="95"/>
        <v>-128</v>
      </c>
      <c r="BC98">
        <v>1.6755160819145583</v>
      </c>
      <c r="BD98">
        <v>-113.75651819245793</v>
      </c>
      <c r="BE98">
        <v>74.598446792130986</v>
      </c>
      <c r="BF98" s="6">
        <f t="shared" ref="BF98:BF129" si="96">IF(BC98&lt;&gt;"",IF(AND(BD98=0,BE98=0),0,MOD(ATAN2(BD98,BE98),2*PI())),NA())</f>
        <v>2.5611698239994891</v>
      </c>
      <c r="BG98" s="6">
        <f t="shared" ref="BG98:BG129" si="97">ABS(BC98-BF98)</f>
        <v>0.88565374208493086</v>
      </c>
      <c r="BH98" s="6">
        <f t="shared" si="75"/>
        <v>-1.7757716606020408</v>
      </c>
      <c r="BI98" s="6">
        <f t="shared" si="76"/>
        <v>1.7757716606020408</v>
      </c>
      <c r="BV98" s="38"/>
      <c r="BW98" s="6">
        <f t="shared" si="77"/>
        <v>1.4486232791552951</v>
      </c>
      <c r="BX98" s="9">
        <f t="shared" ca="1" si="78"/>
        <v>-19.581212117139657</v>
      </c>
      <c r="BY98" s="9">
        <f t="shared" ca="1" si="79"/>
        <v>-46.437177918947441</v>
      </c>
      <c r="BZ98">
        <f t="shared" ca="1" si="80"/>
        <v>50.396779272612221</v>
      </c>
      <c r="CA98" s="6">
        <f t="shared" ca="1" si="81"/>
        <v>-0.38854094249195265</v>
      </c>
      <c r="CB98" s="6">
        <f t="shared" ca="1" si="82"/>
        <v>-0.92143146028745138</v>
      </c>
      <c r="CC98" s="6">
        <f t="shared" ca="1" si="83"/>
        <v>-1.9698439215371899</v>
      </c>
      <c r="CD98" s="6">
        <f t="shared" ca="1" si="84"/>
        <v>-54.51259306731319</v>
      </c>
      <c r="CE98" s="9">
        <f t="shared" ca="1" si="85"/>
        <v>57.801779647098385</v>
      </c>
      <c r="CF98">
        <f t="shared" ca="1" si="86"/>
        <v>79.452303511567237</v>
      </c>
      <c r="CG98" s="6">
        <f t="shared" ca="1" si="87"/>
        <v>-0.68610462702792319</v>
      </c>
      <c r="CH98" s="6">
        <f t="shared" ca="1" si="88"/>
        <v>0.72750288024919485</v>
      </c>
      <c r="CI98" s="6">
        <f t="shared" ca="1" si="89"/>
        <v>2.3269173222896491</v>
      </c>
      <c r="CJ98" s="1">
        <f t="shared" ca="1" si="90"/>
        <v>-1.5415191588922008</v>
      </c>
      <c r="CK98" s="38"/>
    </row>
    <row r="99" spans="1:89" x14ac:dyDescent="0.25">
      <c r="C99" s="1">
        <f>SUM(C91:C98)</f>
        <v>288</v>
      </c>
      <c r="D99" s="6">
        <f>SUM(D91:D98)/C99</f>
        <v>0</v>
      </c>
      <c r="E99" s="6">
        <f>SUM(E91:E98)/C99</f>
        <v>0</v>
      </c>
      <c r="BC99">
        <v>1.6929693744345016</v>
      </c>
      <c r="BD99">
        <v>-118.4453405514508</v>
      </c>
      <c r="BE99">
        <v>74.064181750243677</v>
      </c>
      <c r="BF99" s="6">
        <f t="shared" si="96"/>
        <v>2.5827757536029781</v>
      </c>
      <c r="BG99" s="6">
        <f t="shared" si="97"/>
        <v>0.88980637916847649</v>
      </c>
      <c r="BH99" s="6">
        <f t="shared" si="75"/>
        <v>-1.7973775902055298</v>
      </c>
      <c r="BI99" s="6">
        <f t="shared" si="76"/>
        <v>1.7973775902055298</v>
      </c>
      <c r="BV99" s="38"/>
      <c r="BW99" s="6">
        <f t="shared" si="77"/>
        <v>1.4660765716752384</v>
      </c>
      <c r="BX99" s="9">
        <f t="shared" ca="1" si="78"/>
        <v>-13.657359680795039</v>
      </c>
      <c r="BY99" s="9">
        <f t="shared" ca="1" si="79"/>
        <v>-47.874255209325156</v>
      </c>
      <c r="BZ99">
        <f t="shared" ca="1" si="80"/>
        <v>49.784212209275772</v>
      </c>
      <c r="CA99" s="6">
        <f t="shared" ca="1" si="81"/>
        <v>-0.27433113982770641</v>
      </c>
      <c r="CB99" s="6">
        <f t="shared" ca="1" si="82"/>
        <v>-0.96163528726894765</v>
      </c>
      <c r="CC99" s="6">
        <f t="shared" ca="1" si="83"/>
        <v>-1.8486904155723878</v>
      </c>
      <c r="CD99" s="6">
        <f t="shared" ca="1" si="84"/>
        <v>-60.436445503657808</v>
      </c>
      <c r="CE99" s="9">
        <f t="shared" ca="1" si="85"/>
        <v>59.2388569374761</v>
      </c>
      <c r="CF99">
        <f t="shared" ca="1" si="86"/>
        <v>84.627454861737164</v>
      </c>
      <c r="CG99" s="6">
        <f t="shared" ca="1" si="87"/>
        <v>-0.71414702950003406</v>
      </c>
      <c r="CH99" s="6">
        <f t="shared" ca="1" si="88"/>
        <v>0.69999572874145266</v>
      </c>
      <c r="CI99" s="6">
        <f t="shared" ca="1" si="89"/>
        <v>2.366201137919786</v>
      </c>
      <c r="CJ99" s="1">
        <f t="shared" ca="1" si="90"/>
        <v>-1.5808029745223375</v>
      </c>
      <c r="CK99" s="38"/>
    </row>
    <row r="100" spans="1:89" x14ac:dyDescent="0.25">
      <c r="A100" s="8" t="s">
        <v>124</v>
      </c>
      <c r="B100" s="1">
        <f>B31*C99*0.65</f>
        <v>795.6</v>
      </c>
      <c r="C100" t="s">
        <v>68</v>
      </c>
      <c r="BC100">
        <v>1.7104226669544449</v>
      </c>
      <c r="BD100">
        <v>-123.14779734914421</v>
      </c>
      <c r="BE100">
        <v>73.445096712554488</v>
      </c>
      <c r="BF100" s="6">
        <f t="shared" si="96"/>
        <v>2.6038259119836145</v>
      </c>
      <c r="BG100" s="6">
        <f t="shared" si="97"/>
        <v>0.89340324502916957</v>
      </c>
      <c r="BH100" s="6">
        <f t="shared" si="75"/>
        <v>-1.8184277485861662</v>
      </c>
      <c r="BI100" s="6">
        <f t="shared" si="76"/>
        <v>1.8184277485861662</v>
      </c>
      <c r="BV100" s="38"/>
      <c r="BW100" s="6">
        <f t="shared" si="77"/>
        <v>1.4835298641951817</v>
      </c>
      <c r="BX100" s="9">
        <f t="shared" ca="1" si="78"/>
        <v>-7.8321384417029947</v>
      </c>
      <c r="BY100" s="9">
        <f t="shared" ca="1" si="79"/>
        <v>-49.148772587572395</v>
      </c>
      <c r="BZ100">
        <f t="shared" ca="1" si="80"/>
        <v>49.768908360892439</v>
      </c>
      <c r="CA100" s="6">
        <f t="shared" ca="1" si="81"/>
        <v>-0.15737010715423599</v>
      </c>
      <c r="CB100" s="6">
        <f t="shared" ca="1" si="82"/>
        <v>-0.98753969508788064</v>
      </c>
      <c r="CC100" s="6">
        <f t="shared" ca="1" si="83"/>
        <v>-1.7288233357034823</v>
      </c>
      <c r="CD100" s="6">
        <f t="shared" ca="1" si="84"/>
        <v>-66.261666742749853</v>
      </c>
      <c r="CE100" s="9">
        <f t="shared" ca="1" si="85"/>
        <v>60.51337431572334</v>
      </c>
      <c r="CF100">
        <f t="shared" ca="1" si="86"/>
        <v>89.735594669016862</v>
      </c>
      <c r="CG100" s="6">
        <f t="shared" ca="1" si="87"/>
        <v>-0.73841007001905024</v>
      </c>
      <c r="CH100" s="6">
        <f t="shared" ca="1" si="88"/>
        <v>0.67435196188226609</v>
      </c>
      <c r="CI100" s="6">
        <f t="shared" ca="1" si="89"/>
        <v>2.4015059162603549</v>
      </c>
      <c r="CJ100" s="1">
        <f t="shared" ca="1" si="90"/>
        <v>-1.6161077528629064</v>
      </c>
      <c r="CK100" s="38"/>
    </row>
    <row r="101" spans="1:89" x14ac:dyDescent="0.25">
      <c r="A101" s="8" t="s">
        <v>77</v>
      </c>
      <c r="B101" s="1">
        <f>B100*E99</f>
        <v>0</v>
      </c>
      <c r="C101" t="s">
        <v>69</v>
      </c>
      <c r="BC101">
        <v>1.7278759594743882</v>
      </c>
      <c r="BD101">
        <v>-127.37377238646896</v>
      </c>
      <c r="BE101">
        <v>72.814597644574079</v>
      </c>
      <c r="BF101" s="6">
        <f t="shared" si="96"/>
        <v>2.6222714625181469</v>
      </c>
      <c r="BG101" s="6">
        <f t="shared" si="97"/>
        <v>0.8943955030437587</v>
      </c>
      <c r="BH101" s="6">
        <f t="shared" si="75"/>
        <v>-1.8368732991206986</v>
      </c>
      <c r="BI101" s="6">
        <f t="shared" si="76"/>
        <v>1.8368732991206986</v>
      </c>
      <c r="BV101" s="38"/>
      <c r="BW101" s="6">
        <f t="shared" si="77"/>
        <v>1.5009831567151251</v>
      </c>
      <c r="BX101" s="9">
        <f t="shared" ca="1" si="78"/>
        <v>-1.9790681521960849</v>
      </c>
      <c r="BY101" s="9">
        <f t="shared" ca="1" si="79"/>
        <v>-50.366990193215528</v>
      </c>
      <c r="BZ101">
        <f t="shared" ca="1" si="80"/>
        <v>50.405856920347127</v>
      </c>
      <c r="CA101" s="6">
        <f t="shared" ca="1" si="81"/>
        <v>-3.9262662577554605E-2</v>
      </c>
      <c r="CB101" s="6">
        <f t="shared" ca="1" si="82"/>
        <v>-0.99922892438485833</v>
      </c>
      <c r="CC101" s="6">
        <f t="shared" ca="1" si="83"/>
        <v>-1.6100690839799017</v>
      </c>
      <c r="CD101" s="6">
        <f t="shared" ca="1" si="84"/>
        <v>-72.114737032256755</v>
      </c>
      <c r="CE101" s="9">
        <f t="shared" ca="1" si="85"/>
        <v>61.731591921366473</v>
      </c>
      <c r="CF101">
        <f t="shared" ca="1" si="86"/>
        <v>94.927997652840347</v>
      </c>
      <c r="CG101" s="6">
        <f t="shared" ca="1" si="87"/>
        <v>-0.75967827000824772</v>
      </c>
      <c r="CH101" s="6">
        <f t="shared" ca="1" si="88"/>
        <v>0.6502991050872482</v>
      </c>
      <c r="CI101" s="6">
        <f t="shared" ca="1" si="89"/>
        <v>2.4336145571810941</v>
      </c>
      <c r="CJ101" s="1">
        <f t="shared" ca="1" si="90"/>
        <v>-1.6482163937836456</v>
      </c>
      <c r="CK101" s="38"/>
    </row>
    <row r="102" spans="1:89" x14ac:dyDescent="0.25">
      <c r="A102" s="8" t="s">
        <v>125</v>
      </c>
      <c r="B102" s="1">
        <f>B100*D99*-1</f>
        <v>0</v>
      </c>
      <c r="C102" t="s">
        <v>69</v>
      </c>
      <c r="J102" t="s">
        <v>127</v>
      </c>
      <c r="BC102">
        <v>1.7453292519943315</v>
      </c>
      <c r="BD102">
        <v>-130.95868562188622</v>
      </c>
      <c r="BE102">
        <v>72.215504580965145</v>
      </c>
      <c r="BF102" s="6">
        <f t="shared" si="96"/>
        <v>2.6376466158161329</v>
      </c>
      <c r="BG102" s="6">
        <f t="shared" si="97"/>
        <v>0.89231736382180138</v>
      </c>
      <c r="BH102" s="6">
        <f t="shared" si="75"/>
        <v>-1.8522484524186844</v>
      </c>
      <c r="BI102" s="6">
        <f t="shared" si="76"/>
        <v>1.8522484524186844</v>
      </c>
      <c r="BV102" s="38"/>
      <c r="BW102" s="6">
        <f t="shared" si="77"/>
        <v>1.5184364492350684</v>
      </c>
      <c r="BX102" s="9">
        <f t="shared" ca="1" si="78"/>
        <v>3.908158090963525</v>
      </c>
      <c r="BY102" s="9">
        <f t="shared" ca="1" si="79"/>
        <v>-51.531895732555171</v>
      </c>
      <c r="BZ102">
        <f t="shared" ca="1" si="80"/>
        <v>51.679879812697912</v>
      </c>
      <c r="CA102" s="6">
        <f t="shared" ca="1" si="81"/>
        <v>7.5622429950064976E-2</v>
      </c>
      <c r="CB102" s="6">
        <f t="shared" ca="1" si="82"/>
        <v>-0.99713652429767496</v>
      </c>
      <c r="CC102" s="6">
        <f t="shared" ca="1" si="83"/>
        <v>-1.4951016330709261</v>
      </c>
      <c r="CD102" s="6">
        <f t="shared" ca="1" si="84"/>
        <v>-78.001963275416372</v>
      </c>
      <c r="CE102" s="9">
        <f t="shared" ca="1" si="85"/>
        <v>62.896497460706115</v>
      </c>
      <c r="CF102">
        <f t="shared" ca="1" si="86"/>
        <v>100.20117597934674</v>
      </c>
      <c r="CG102" s="6">
        <f t="shared" ca="1" si="87"/>
        <v>-0.77845357115862568</v>
      </c>
      <c r="CH102" s="6">
        <f t="shared" ca="1" si="88"/>
        <v>0.62770218858180082</v>
      </c>
      <c r="CI102" s="6">
        <f t="shared" ca="1" si="89"/>
        <v>2.4629947317745158</v>
      </c>
      <c r="CJ102" s="1">
        <f t="shared" ca="1" si="90"/>
        <v>-1.6775965683770673</v>
      </c>
      <c r="CK102" s="38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-134.05235944417518</v>
      </c>
      <c r="BE103">
        <v>71.64276124793922</v>
      </c>
      <c r="BF103" s="6">
        <f t="shared" si="96"/>
        <v>2.6507751860846702</v>
      </c>
      <c r="BG103" s="6">
        <f t="shared" si="97"/>
        <v>0.88799264157039537</v>
      </c>
      <c r="BH103" s="6">
        <f t="shared" si="75"/>
        <v>-1.8653770226872217</v>
      </c>
      <c r="BI103" s="6">
        <f t="shared" si="76"/>
        <v>1.8653770226872217</v>
      </c>
      <c r="BV103" s="38"/>
      <c r="BW103" s="6">
        <f t="shared" si="77"/>
        <v>1.5358897417550117</v>
      </c>
      <c r="BX103" s="9">
        <f t="shared" ca="1" si="78"/>
        <v>9.8361914427077011</v>
      </c>
      <c r="BY103" s="9">
        <f t="shared" ca="1" si="79"/>
        <v>-52.646483574515656</v>
      </c>
      <c r="BZ103">
        <f t="shared" ca="1" si="80"/>
        <v>53.557472819946824</v>
      </c>
      <c r="CA103" s="6">
        <f t="shared" ca="1" si="81"/>
        <v>0.18365675086604036</v>
      </c>
      <c r="CB103" s="6">
        <f t="shared" ca="1" si="82"/>
        <v>-0.98299043630206762</v>
      </c>
      <c r="CC103" s="6">
        <f t="shared" ca="1" si="83"/>
        <v>-1.3860911319489528</v>
      </c>
      <c r="CD103" s="6">
        <f t="shared" ca="1" si="84"/>
        <v>-83.929996627160548</v>
      </c>
      <c r="CE103" s="9">
        <f t="shared" ca="1" si="85"/>
        <v>64.011085302666601</v>
      </c>
      <c r="CF103">
        <f t="shared" ca="1" si="86"/>
        <v>105.55407796698545</v>
      </c>
      <c r="CG103" s="6">
        <f t="shared" ca="1" si="87"/>
        <v>-0.79513741433477969</v>
      </c>
      <c r="CH103" s="6">
        <f t="shared" ca="1" si="88"/>
        <v>0.60642929705366377</v>
      </c>
      <c r="CI103" s="6">
        <f t="shared" ca="1" si="89"/>
        <v>2.4900304684519936</v>
      </c>
      <c r="CJ103" s="1">
        <f t="shared" ca="1" si="90"/>
        <v>-1.7046323050545451</v>
      </c>
      <c r="CK103" s="38"/>
    </row>
    <row r="104" spans="1:89" x14ac:dyDescent="0.25">
      <c r="A104">
        <f t="shared" ref="A104:C113" si="98">A15</f>
        <v>1</v>
      </c>
      <c r="B104">
        <f t="shared" si="98"/>
        <v>8</v>
      </c>
      <c r="C104">
        <f t="shared" ca="1" si="98"/>
        <v>0.79</v>
      </c>
      <c r="D104" s="9">
        <f t="shared" ref="D104:D113" si="99">D15-$I$2</f>
        <v>-4</v>
      </c>
      <c r="E104" s="5">
        <f t="shared" ref="E104:E113" si="100">E15-$I$3</f>
        <v>-10</v>
      </c>
      <c r="F104" s="5">
        <f t="shared" ref="F104:F113" ca="1" si="101">($B$12-$B$31)*C104*0.65</f>
        <v>28.627625000000002</v>
      </c>
      <c r="G104">
        <f t="shared" ref="G104:G113" ca="1" si="102">E104*F104</f>
        <v>-286.27625</v>
      </c>
      <c r="H104">
        <f t="shared" ref="H104:H113" ca="1" si="103">D104*F104*-1</f>
        <v>114.51050000000001</v>
      </c>
      <c r="J104">
        <f t="shared" ref="J104:J113" ca="1" si="104">-1*C104*$B$12*0.9</f>
        <v>-42.660000000000004</v>
      </c>
      <c r="K104">
        <f t="shared" ref="K104:K113" ca="1" si="105">E104*J104</f>
        <v>426.6</v>
      </c>
      <c r="L104">
        <f t="shared" ref="L104:L113" ca="1" si="106">D104*J104*-1</f>
        <v>-170.64000000000001</v>
      </c>
      <c r="BC104">
        <v>1.7802358370342182</v>
      </c>
      <c r="BD104">
        <v>-136.75990192404294</v>
      </c>
      <c r="BE104">
        <v>71.092411627356313</v>
      </c>
      <c r="BF104" s="6">
        <f t="shared" si="96"/>
        <v>2.6622042407806261</v>
      </c>
      <c r="BG104" s="6">
        <f t="shared" si="97"/>
        <v>0.88196840374640795</v>
      </c>
      <c r="BH104" s="6">
        <f t="shared" si="75"/>
        <v>-1.8768060773831776</v>
      </c>
      <c r="BI104" s="6">
        <f t="shared" si="76"/>
        <v>1.8768060773831776</v>
      </c>
      <c r="BV104" s="38"/>
      <c r="BW104" s="6">
        <f t="shared" si="77"/>
        <v>1.553343034274955</v>
      </c>
      <c r="BX104" s="9">
        <f t="shared" ca="1" si="78"/>
        <v>15.812090261296632</v>
      </c>
      <c r="BY104" s="9">
        <f t="shared" ca="1" si="79"/>
        <v>-53.713788535487794</v>
      </c>
      <c r="BZ104">
        <f t="shared" ca="1" si="80"/>
        <v>55.992796655163524</v>
      </c>
      <c r="CA104" s="6">
        <f t="shared" ca="1" si="81"/>
        <v>0.28239507947203918</v>
      </c>
      <c r="CB104" s="6">
        <f t="shared" ca="1" si="82"/>
        <v>-0.95929819091353485</v>
      </c>
      <c r="CC104" s="6">
        <f t="shared" ca="1" si="83"/>
        <v>-1.2845064321581834</v>
      </c>
      <c r="CD104" s="6">
        <f t="shared" ca="1" si="84"/>
        <v>-89.905895445749479</v>
      </c>
      <c r="CE104" s="9">
        <f t="shared" ca="1" si="85"/>
        <v>65.078390263638738</v>
      </c>
      <c r="CF104">
        <f t="shared" ca="1" si="86"/>
        <v>110.98768812444246</v>
      </c>
      <c r="CG104" s="6">
        <f t="shared" ca="1" si="87"/>
        <v>-0.81005287131437953</v>
      </c>
      <c r="CH104" s="6">
        <f t="shared" ca="1" si="88"/>
        <v>0.58635684158652857</v>
      </c>
      <c r="CI104" s="6">
        <f t="shared" ca="1" si="89"/>
        <v>2.5150386055116685</v>
      </c>
      <c r="CJ104" s="1">
        <f t="shared" ca="1" si="90"/>
        <v>-1.7296404421142202</v>
      </c>
      <c r="CK104" s="38"/>
    </row>
    <row r="105" spans="1:89" x14ac:dyDescent="0.25">
      <c r="A105">
        <f t="shared" si="98"/>
        <v>2</v>
      </c>
      <c r="B105">
        <f t="shared" si="98"/>
        <v>8</v>
      </c>
      <c r="C105">
        <f t="shared" ca="1" si="98"/>
        <v>0.79</v>
      </c>
      <c r="D105" s="9">
        <f t="shared" si="99"/>
        <v>-4</v>
      </c>
      <c r="E105" s="5">
        <f t="shared" si="100"/>
        <v>-8</v>
      </c>
      <c r="F105" s="5">
        <f t="shared" ca="1" si="101"/>
        <v>28.627625000000002</v>
      </c>
      <c r="G105">
        <f t="shared" ca="1" si="102"/>
        <v>-229.02100000000002</v>
      </c>
      <c r="H105">
        <f t="shared" ca="1" si="103"/>
        <v>114.51050000000001</v>
      </c>
      <c r="J105">
        <f t="shared" ca="1" si="104"/>
        <v>-42.660000000000004</v>
      </c>
      <c r="K105">
        <f t="shared" ca="1" si="105"/>
        <v>341.28000000000003</v>
      </c>
      <c r="L105">
        <f t="shared" ca="1" si="106"/>
        <v>-170.64000000000001</v>
      </c>
      <c r="BC105">
        <v>1.7976891295541615</v>
      </c>
      <c r="BD105">
        <v>-139.15751894139845</v>
      </c>
      <c r="BE105">
        <v>70.561283720577833</v>
      </c>
      <c r="BF105" s="6">
        <f t="shared" si="96"/>
        <v>2.6723125966468575</v>
      </c>
      <c r="BG105" s="6">
        <f t="shared" si="97"/>
        <v>0.87462346709269601</v>
      </c>
      <c r="BH105" s="6">
        <f t="shared" si="75"/>
        <v>-1.886914433249409</v>
      </c>
      <c r="BI105" s="6">
        <f t="shared" si="76"/>
        <v>1.886914433249409</v>
      </c>
      <c r="BV105" s="38"/>
      <c r="BW105" s="6">
        <f t="shared" si="77"/>
        <v>1.5707963267948983</v>
      </c>
      <c r="BX105" s="9">
        <f t="shared" ca="1" si="78"/>
        <v>21.789069815547691</v>
      </c>
      <c r="BY105" s="9">
        <f t="shared" ca="1" si="79"/>
        <v>-54.698664039729294</v>
      </c>
      <c r="BZ105">
        <f t="shared" ca="1" si="80"/>
        <v>58.878751779890727</v>
      </c>
      <c r="CA105" s="6">
        <f t="shared" ca="1" si="81"/>
        <v>0.37006677548129452</v>
      </c>
      <c r="CB105" s="6">
        <f t="shared" ca="1" si="82"/>
        <v>-0.92900515697431807</v>
      </c>
      <c r="CC105" s="6">
        <f t="shared" ca="1" si="83"/>
        <v>-1.1917154286449834</v>
      </c>
      <c r="CD105" s="6">
        <f t="shared" ca="1" si="84"/>
        <v>-95.882875000000539</v>
      </c>
      <c r="CE105" s="9">
        <f t="shared" ca="1" si="85"/>
        <v>66.063265767880239</v>
      </c>
      <c r="CF105">
        <f t="shared" ca="1" si="86"/>
        <v>116.43831329155925</v>
      </c>
      <c r="CG105" s="6">
        <f t="shared" ca="1" si="87"/>
        <v>-0.82346499437785314</v>
      </c>
      <c r="CH105" s="6">
        <f t="shared" ca="1" si="88"/>
        <v>0.56736707961802157</v>
      </c>
      <c r="CI105" s="6">
        <f t="shared" ca="1" si="89"/>
        <v>2.5382877012169818</v>
      </c>
      <c r="CJ105" s="1">
        <f t="shared" ca="1" si="90"/>
        <v>-1.7528895378195333</v>
      </c>
      <c r="CK105" s="38"/>
    </row>
    <row r="106" spans="1:89" x14ac:dyDescent="0.25">
      <c r="A106">
        <f t="shared" si="98"/>
        <v>3</v>
      </c>
      <c r="B106">
        <f t="shared" si="98"/>
        <v>8</v>
      </c>
      <c r="C106">
        <f t="shared" ca="1" si="98"/>
        <v>0.79</v>
      </c>
      <c r="D106" s="9">
        <f t="shared" si="99"/>
        <v>-2</v>
      </c>
      <c r="E106" s="5">
        <f t="shared" si="100"/>
        <v>-10</v>
      </c>
      <c r="F106" s="5">
        <f t="shared" ca="1" si="101"/>
        <v>28.627625000000002</v>
      </c>
      <c r="G106">
        <f t="shared" ca="1" si="102"/>
        <v>-286.27625</v>
      </c>
      <c r="H106">
        <f t="shared" ca="1" si="103"/>
        <v>57.255250000000004</v>
      </c>
      <c r="J106">
        <f t="shared" ca="1" si="104"/>
        <v>-42.660000000000004</v>
      </c>
      <c r="K106">
        <f t="shared" ca="1" si="105"/>
        <v>426.6</v>
      </c>
      <c r="L106">
        <f t="shared" ca="1" si="106"/>
        <v>-85.320000000000007</v>
      </c>
      <c r="BC106">
        <v>1.8151424220741048</v>
      </c>
      <c r="BD106">
        <v>-141.30198935536004</v>
      </c>
      <c r="BE106">
        <v>70.046781044572526</v>
      </c>
      <c r="BF106" s="6">
        <f t="shared" si="96"/>
        <v>2.681371728079478</v>
      </c>
      <c r="BG106" s="6">
        <f t="shared" si="97"/>
        <v>0.86622930600537318</v>
      </c>
      <c r="BH106" s="6">
        <f t="shared" si="75"/>
        <v>-1.8959735646820295</v>
      </c>
      <c r="BI106" s="6">
        <f t="shared" si="76"/>
        <v>1.8959735646820295</v>
      </c>
      <c r="BV106" s="38"/>
      <c r="BW106" s="6">
        <f t="shared" si="77"/>
        <v>1.5882496193148417</v>
      </c>
      <c r="BX106" s="9">
        <f t="shared" ca="1" si="78"/>
        <v>26.418153034510922</v>
      </c>
      <c r="BY106" s="9">
        <f t="shared" ca="1" si="79"/>
        <v>-54.658263565490813</v>
      </c>
      <c r="BZ106">
        <f t="shared" ca="1" si="80"/>
        <v>60.707862635325078</v>
      </c>
      <c r="CA106" s="6">
        <f t="shared" ca="1" si="81"/>
        <v>0.43516855787208292</v>
      </c>
      <c r="CB106" s="6">
        <f t="shared" ca="1" si="82"/>
        <v>-0.90034900246489513</v>
      </c>
      <c r="CC106" s="6">
        <f t="shared" ca="1" si="83"/>
        <v>-1.1205708445657321</v>
      </c>
      <c r="CD106" s="6">
        <f t="shared" ca="1" si="84"/>
        <v>-100.51195821896377</v>
      </c>
      <c r="CE106" s="9">
        <f t="shared" ca="1" si="85"/>
        <v>66.022865293641757</v>
      </c>
      <c r="CF106">
        <f t="shared" ca="1" si="86"/>
        <v>120.25669414462168</v>
      </c>
      <c r="CG106" s="6">
        <f t="shared" ca="1" si="87"/>
        <v>-0.83581175196856217</v>
      </c>
      <c r="CH106" s="6">
        <f t="shared" ca="1" si="88"/>
        <v>0.54901613388974524</v>
      </c>
      <c r="CI106" s="6">
        <f t="shared" ca="1" si="89"/>
        <v>2.5604060098424202</v>
      </c>
      <c r="CJ106" s="1">
        <f t="shared" ca="1" si="90"/>
        <v>-1.7750078464449717</v>
      </c>
      <c r="CK106" s="38"/>
    </row>
    <row r="107" spans="1:89" x14ac:dyDescent="0.25">
      <c r="A107">
        <f t="shared" si="98"/>
        <v>4</v>
      </c>
      <c r="B107">
        <f t="shared" si="98"/>
        <v>8</v>
      </c>
      <c r="C107">
        <f t="shared" ca="1" si="98"/>
        <v>0.79</v>
      </c>
      <c r="D107" s="9">
        <f t="shared" si="99"/>
        <v>-2</v>
      </c>
      <c r="E107" s="5">
        <f t="shared" si="100"/>
        <v>-8</v>
      </c>
      <c r="F107" s="5">
        <f t="shared" ca="1" si="101"/>
        <v>28.627625000000002</v>
      </c>
      <c r="G107">
        <f t="shared" ca="1" si="102"/>
        <v>-229.02100000000002</v>
      </c>
      <c r="H107">
        <f t="shared" ca="1" si="103"/>
        <v>57.255250000000004</v>
      </c>
      <c r="J107">
        <f t="shared" ca="1" si="104"/>
        <v>-42.660000000000004</v>
      </c>
      <c r="K107">
        <f t="shared" ca="1" si="105"/>
        <v>341.28000000000003</v>
      </c>
      <c r="L107">
        <f t="shared" ca="1" si="106"/>
        <v>-85.320000000000007</v>
      </c>
      <c r="BC107">
        <v>1.8325957145940481</v>
      </c>
      <c r="BD107">
        <v>-143.23660119868291</v>
      </c>
      <c r="BE107">
        <v>69.546740064689899</v>
      </c>
      <c r="BF107" s="6">
        <f t="shared" si="96"/>
        <v>2.6895818479239897</v>
      </c>
      <c r="BG107" s="6">
        <f t="shared" si="97"/>
        <v>0.85698613332994156</v>
      </c>
      <c r="BH107" s="6">
        <f t="shared" si="75"/>
        <v>-1.9041836845265412</v>
      </c>
      <c r="BI107" s="6">
        <f t="shared" si="76"/>
        <v>1.9041836845265412</v>
      </c>
      <c r="BV107" s="38"/>
      <c r="BW107" s="6">
        <f t="shared" si="77"/>
        <v>1.605702911834785</v>
      </c>
      <c r="BX107" s="9">
        <f t="shared" ca="1" si="78"/>
        <v>31.050057884759099</v>
      </c>
      <c r="BY107" s="9">
        <f t="shared" ca="1" si="79"/>
        <v>-54.536963624793955</v>
      </c>
      <c r="BZ107">
        <f t="shared" ca="1" si="80"/>
        <v>62.756565362191303</v>
      </c>
      <c r="CA107" s="6">
        <f t="shared" ca="1" si="81"/>
        <v>0.4947698731687713</v>
      </c>
      <c r="CB107" s="6">
        <f t="shared" ca="1" si="82"/>
        <v>-0.86902403453791655</v>
      </c>
      <c r="CC107" s="6">
        <f t="shared" ca="1" si="83"/>
        <v>-1.0532263257945595</v>
      </c>
      <c r="CD107" s="6">
        <f t="shared" ca="1" si="84"/>
        <v>-105.14386306921195</v>
      </c>
      <c r="CE107" s="9">
        <f t="shared" ca="1" si="85"/>
        <v>65.9015653529449</v>
      </c>
      <c r="CF107">
        <f t="shared" ca="1" si="86"/>
        <v>124.08967828584962</v>
      </c>
      <c r="CG107" s="6">
        <f t="shared" ca="1" si="87"/>
        <v>-0.84732158646592182</v>
      </c>
      <c r="CH107" s="6">
        <f t="shared" ca="1" si="88"/>
        <v>0.53108015318676094</v>
      </c>
      <c r="CI107" s="6">
        <f t="shared" ca="1" si="89"/>
        <v>2.5817178113759729</v>
      </c>
      <c r="CJ107" s="1">
        <f t="shared" ca="1" si="90"/>
        <v>-1.7963196479785246</v>
      </c>
      <c r="CK107" s="38"/>
    </row>
    <row r="108" spans="1:89" x14ac:dyDescent="0.25">
      <c r="A108">
        <f t="shared" si="98"/>
        <v>5</v>
      </c>
      <c r="B108">
        <f t="shared" si="98"/>
        <v>0</v>
      </c>
      <c r="C108">
        <f t="shared" ca="1" si="98"/>
        <v>0</v>
      </c>
      <c r="D108" s="9">
        <f t="shared" si="99"/>
        <v>-4</v>
      </c>
      <c r="E108" s="5">
        <f t="shared" si="100"/>
        <v>-3.34</v>
      </c>
      <c r="F108" s="5">
        <f t="shared" ca="1" si="101"/>
        <v>0</v>
      </c>
      <c r="G108">
        <f t="shared" ca="1" si="102"/>
        <v>0</v>
      </c>
      <c r="H108">
        <f t="shared" ca="1" si="103"/>
        <v>0</v>
      </c>
      <c r="J108">
        <f t="shared" ca="1" si="104"/>
        <v>0</v>
      </c>
      <c r="K108">
        <f t="shared" ca="1" si="105"/>
        <v>0</v>
      </c>
      <c r="L108">
        <f t="shared" ca="1" si="106"/>
        <v>0</v>
      </c>
      <c r="BC108">
        <v>1.8500490071139915</v>
      </c>
      <c r="BD108">
        <v>-144.99501189365159</v>
      </c>
      <c r="BE108">
        <v>69.059329697900822</v>
      </c>
      <c r="BF108" s="6">
        <f t="shared" si="96"/>
        <v>2.6970942559960855</v>
      </c>
      <c r="BG108" s="6">
        <f t="shared" si="97"/>
        <v>0.84704524888209409</v>
      </c>
      <c r="BH108" s="6">
        <f t="shared" si="75"/>
        <v>-1.911696092598637</v>
      </c>
      <c r="BI108" s="6">
        <f t="shared" si="76"/>
        <v>1.911696092598637</v>
      </c>
      <c r="BV108" s="38"/>
      <c r="BW108" s="6">
        <f t="shared" si="77"/>
        <v>1.6231562043547283</v>
      </c>
      <c r="BX108" s="9">
        <f t="shared" ca="1" si="78"/>
        <v>35.687612881410161</v>
      </c>
      <c r="BY108" s="9">
        <f t="shared" ca="1" si="79"/>
        <v>-54.334468151237175</v>
      </c>
      <c r="BZ108">
        <f t="shared" ca="1" si="80"/>
        <v>65.006462312997769</v>
      </c>
      <c r="CA108" s="6">
        <f t="shared" ca="1" si="81"/>
        <v>0.5489856179156295</v>
      </c>
      <c r="CB108" s="6">
        <f t="shared" ca="1" si="82"/>
        <v>-0.83583179607011515</v>
      </c>
      <c r="CC108" s="6">
        <f t="shared" ca="1" si="83"/>
        <v>-0.98964619319246228</v>
      </c>
      <c r="CD108" s="6">
        <f t="shared" ca="1" si="84"/>
        <v>-109.78141806586301</v>
      </c>
      <c r="CE108" s="9">
        <f t="shared" ca="1" si="85"/>
        <v>65.699069879388119</v>
      </c>
      <c r="CF108">
        <f t="shared" ca="1" si="86"/>
        <v>127.9387647883491</v>
      </c>
      <c r="CG108" s="6">
        <f t="shared" ca="1" si="87"/>
        <v>-0.85807783315303965</v>
      </c>
      <c r="CH108" s="6">
        <f t="shared" ca="1" si="88"/>
        <v>0.51351965128063426</v>
      </c>
      <c r="CI108" s="6">
        <f t="shared" ca="1" si="89"/>
        <v>2.602311088360965</v>
      </c>
      <c r="CJ108" s="1">
        <f t="shared" ca="1" si="90"/>
        <v>-1.8169129249635165</v>
      </c>
      <c r="CK108" s="38"/>
    </row>
    <row r="109" spans="1:89" x14ac:dyDescent="0.25">
      <c r="A109">
        <f t="shared" si="98"/>
        <v>6</v>
      </c>
      <c r="B109">
        <f t="shared" si="98"/>
        <v>0</v>
      </c>
      <c r="C109">
        <f t="shared" ca="1" si="98"/>
        <v>0</v>
      </c>
      <c r="D109" s="9">
        <f t="shared" si="99"/>
        <v>4</v>
      </c>
      <c r="E109" s="5">
        <f t="shared" si="100"/>
        <v>-3.34</v>
      </c>
      <c r="F109" s="5">
        <f t="shared" ca="1" si="101"/>
        <v>0</v>
      </c>
      <c r="G109">
        <f t="shared" ca="1" si="102"/>
        <v>0</v>
      </c>
      <c r="H109">
        <f t="shared" ca="1" si="103"/>
        <v>0</v>
      </c>
      <c r="J109">
        <f t="shared" ca="1" si="104"/>
        <v>0</v>
      </c>
      <c r="K109">
        <f t="shared" ca="1" si="105"/>
        <v>0</v>
      </c>
      <c r="L109">
        <f t="shared" ca="1" si="106"/>
        <v>0</v>
      </c>
      <c r="BC109">
        <v>1.8675022996339348</v>
      </c>
      <c r="BD109">
        <v>-146.60383928102129</v>
      </c>
      <c r="BE109">
        <v>68.582978587738666</v>
      </c>
      <c r="BF109" s="6">
        <f t="shared" si="96"/>
        <v>2.7040257128859708</v>
      </c>
      <c r="BG109" s="6">
        <f t="shared" si="97"/>
        <v>0.83652341325203605</v>
      </c>
      <c r="BH109" s="6">
        <f t="shared" si="75"/>
        <v>-1.9186275494885223</v>
      </c>
      <c r="BI109" s="6">
        <f t="shared" si="76"/>
        <v>1.9186275494885223</v>
      </c>
      <c r="BV109" s="38"/>
      <c r="BW109" s="6">
        <f t="shared" si="77"/>
        <v>1.6406094968746716</v>
      </c>
      <c r="BX109" s="9">
        <f t="shared" ca="1" si="78"/>
        <v>40.333660342966624</v>
      </c>
      <c r="BY109" s="9">
        <f t="shared" ca="1" si="79"/>
        <v>-54.050281992634396</v>
      </c>
      <c r="BZ109">
        <f t="shared" ca="1" si="80"/>
        <v>67.440619363593456</v>
      </c>
      <c r="CA109" s="6">
        <f t="shared" ca="1" si="81"/>
        <v>0.59806183163169446</v>
      </c>
      <c r="CB109" s="6">
        <f t="shared" ca="1" si="82"/>
        <v>-0.80144996446774064</v>
      </c>
      <c r="CC109" s="6">
        <f t="shared" ca="1" si="83"/>
        <v>-0.92971573374049221</v>
      </c>
      <c r="CD109" s="6">
        <f t="shared" ca="1" si="84"/>
        <v>-114.42746552741947</v>
      </c>
      <c r="CE109" s="9">
        <f t="shared" ca="1" si="85"/>
        <v>65.41488372078534</v>
      </c>
      <c r="CF109">
        <f t="shared" ca="1" si="86"/>
        <v>131.8057353806451</v>
      </c>
      <c r="CG109" s="6">
        <f t="shared" ca="1" si="87"/>
        <v>-0.868152400174101</v>
      </c>
      <c r="CH109" s="6">
        <f t="shared" ca="1" si="88"/>
        <v>0.49629770306938503</v>
      </c>
      <c r="CI109" s="6">
        <f t="shared" ca="1" si="89"/>
        <v>2.6222636723544519</v>
      </c>
      <c r="CJ109" s="1">
        <f t="shared" ca="1" si="90"/>
        <v>-1.8368655089570036</v>
      </c>
      <c r="CK109" s="38"/>
    </row>
    <row r="110" spans="1:89" x14ac:dyDescent="0.25">
      <c r="A110">
        <f t="shared" si="98"/>
        <v>7</v>
      </c>
      <c r="B110">
        <f t="shared" si="98"/>
        <v>0</v>
      </c>
      <c r="C110">
        <f t="shared" ca="1" si="98"/>
        <v>0</v>
      </c>
      <c r="D110" s="9">
        <f t="shared" si="99"/>
        <v>-4</v>
      </c>
      <c r="E110" s="5">
        <f t="shared" si="100"/>
        <v>3.33</v>
      </c>
      <c r="F110" s="5">
        <f t="shared" ca="1" si="101"/>
        <v>0</v>
      </c>
      <c r="G110">
        <f t="shared" ca="1" si="102"/>
        <v>0</v>
      </c>
      <c r="H110">
        <f t="shared" ca="1" si="103"/>
        <v>0</v>
      </c>
      <c r="J110">
        <f t="shared" ca="1" si="104"/>
        <v>0</v>
      </c>
      <c r="K110">
        <f t="shared" ca="1" si="105"/>
        <v>0</v>
      </c>
      <c r="L110">
        <f t="shared" ca="1" si="106"/>
        <v>0</v>
      </c>
      <c r="BC110">
        <v>1.8849555921538781</v>
      </c>
      <c r="BD110">
        <v>-148.08444884764231</v>
      </c>
      <c r="BE110">
        <v>68.116321267782666</v>
      </c>
      <c r="BF110" s="6">
        <f t="shared" si="96"/>
        <v>2.7104679872824025</v>
      </c>
      <c r="BG110" s="6">
        <f t="shared" si="97"/>
        <v>0.82551239512852437</v>
      </c>
      <c r="BH110" s="6">
        <f t="shared" si="75"/>
        <v>-1.925069823884954</v>
      </c>
      <c r="BI110" s="6">
        <f t="shared" si="76"/>
        <v>1.925069823884954</v>
      </c>
      <c r="BV110" s="38"/>
      <c r="BW110" s="6">
        <f t="shared" si="77"/>
        <v>1.6580627893946149</v>
      </c>
      <c r="BX110" s="9">
        <f t="shared" ca="1" si="78"/>
        <v>44.991063382622684</v>
      </c>
      <c r="BY110" s="9">
        <f t="shared" ca="1" si="79"/>
        <v>-53.683708335553675</v>
      </c>
      <c r="BZ110">
        <f t="shared" ca="1" si="80"/>
        <v>70.043817178648737</v>
      </c>
      <c r="CA110" s="6">
        <f t="shared" ca="1" si="81"/>
        <v>0.64232740582757941</v>
      </c>
      <c r="CB110" s="6">
        <f t="shared" ca="1" si="82"/>
        <v>-0.766430364562112</v>
      </c>
      <c r="CC110" s="6">
        <f t="shared" ca="1" si="83"/>
        <v>-0.87326522816409025</v>
      </c>
      <c r="CD110" s="6">
        <f t="shared" ca="1" si="84"/>
        <v>-119.08486856707553</v>
      </c>
      <c r="CE110" s="9">
        <f t="shared" ca="1" si="85"/>
        <v>65.048310063704619</v>
      </c>
      <c r="CF110">
        <f t="shared" ca="1" si="86"/>
        <v>135.69262531096342</v>
      </c>
      <c r="CG110" s="6">
        <f t="shared" ca="1" si="87"/>
        <v>-0.87760752136803077</v>
      </c>
      <c r="CH110" s="6">
        <f t="shared" ca="1" si="88"/>
        <v>0.47937984775985448</v>
      </c>
      <c r="CI110" s="6">
        <f t="shared" ca="1" si="89"/>
        <v>2.6416447172890742</v>
      </c>
      <c r="CJ110" s="1">
        <f t="shared" ca="1" si="90"/>
        <v>-1.8562465538916257</v>
      </c>
      <c r="CK110" s="38"/>
    </row>
    <row r="111" spans="1:89" x14ac:dyDescent="0.25">
      <c r="A111">
        <f t="shared" si="98"/>
        <v>8</v>
      </c>
      <c r="B111">
        <f t="shared" si="98"/>
        <v>0</v>
      </c>
      <c r="C111">
        <f t="shared" ca="1" si="98"/>
        <v>0</v>
      </c>
      <c r="D111" s="9">
        <f t="shared" si="99"/>
        <v>4</v>
      </c>
      <c r="E111" s="5">
        <f t="shared" si="100"/>
        <v>3.33</v>
      </c>
      <c r="F111" s="5">
        <f t="shared" ca="1" si="101"/>
        <v>0</v>
      </c>
      <c r="G111">
        <f t="shared" ca="1" si="102"/>
        <v>0</v>
      </c>
      <c r="H111">
        <f t="shared" ca="1" si="103"/>
        <v>0</v>
      </c>
      <c r="J111">
        <f t="shared" ca="1" si="104"/>
        <v>0</v>
      </c>
      <c r="K111">
        <f t="shared" ca="1" si="105"/>
        <v>0</v>
      </c>
      <c r="L111">
        <f t="shared" ca="1" si="106"/>
        <v>0</v>
      </c>
      <c r="BC111">
        <v>1.9024088846738214</v>
      </c>
      <c r="BD111">
        <v>-149.45421613921675</v>
      </c>
      <c r="BE111">
        <v>67.658157505066967</v>
      </c>
      <c r="BF111" s="6">
        <f t="shared" si="96"/>
        <v>2.7164943767292806</v>
      </c>
      <c r="BG111" s="6">
        <f t="shared" si="97"/>
        <v>0.81408549205545921</v>
      </c>
      <c r="BH111" s="6">
        <f t="shared" si="75"/>
        <v>-1.9310962133318321</v>
      </c>
      <c r="BI111" s="6">
        <f t="shared" si="76"/>
        <v>1.9310962133318321</v>
      </c>
      <c r="BV111" s="38"/>
      <c r="BW111" s="6">
        <f t="shared" si="77"/>
        <v>1.6755160819145583</v>
      </c>
      <c r="BX111" s="9">
        <f t="shared" ca="1" si="78"/>
        <v>49.662713008005085</v>
      </c>
      <c r="BY111" s="9">
        <f t="shared" ca="1" si="79"/>
        <v>-53.233845063980041</v>
      </c>
      <c r="BZ111">
        <f t="shared" ca="1" si="80"/>
        <v>72.80266014103681</v>
      </c>
      <c r="CA111" s="6">
        <f t="shared" ca="1" si="81"/>
        <v>0.68215519751333387</v>
      </c>
      <c r="CB111" s="6">
        <f t="shared" ca="1" si="82"/>
        <v>-0.73120741688357105</v>
      </c>
      <c r="CC111" s="6">
        <f t="shared" ca="1" si="83"/>
        <v>-0.82009027883568875</v>
      </c>
      <c r="CD111" s="6">
        <f t="shared" ca="1" si="84"/>
        <v>-123.75651819245793</v>
      </c>
      <c r="CE111" s="9">
        <f t="shared" ca="1" si="85"/>
        <v>64.598446792130986</v>
      </c>
      <c r="CF111">
        <f t="shared" ca="1" si="86"/>
        <v>139.60170171984277</v>
      </c>
      <c r="CG111" s="6">
        <f t="shared" ca="1" si="87"/>
        <v>-0.88649720360011464</v>
      </c>
      <c r="CH111" s="6">
        <f t="shared" ca="1" si="88"/>
        <v>0.46273394948844715</v>
      </c>
      <c r="CI111" s="6">
        <f t="shared" ca="1" si="89"/>
        <v>2.6605159373861831</v>
      </c>
      <c r="CJ111" s="1">
        <f t="shared" ca="1" si="90"/>
        <v>-1.8751177739887346</v>
      </c>
      <c r="CK111" s="38"/>
    </row>
    <row r="112" spans="1:89" x14ac:dyDescent="0.25">
      <c r="A112">
        <f t="shared" si="98"/>
        <v>9</v>
      </c>
      <c r="B112">
        <f t="shared" si="98"/>
        <v>0</v>
      </c>
      <c r="C112">
        <f t="shared" ca="1" si="98"/>
        <v>0</v>
      </c>
      <c r="D112" s="9">
        <f t="shared" si="99"/>
        <v>2</v>
      </c>
      <c r="E112" s="5">
        <f t="shared" si="100"/>
        <v>-10</v>
      </c>
      <c r="F112" s="5">
        <f t="shared" ca="1" si="101"/>
        <v>0</v>
      </c>
      <c r="G112">
        <f t="shared" ca="1" si="102"/>
        <v>0</v>
      </c>
      <c r="H112">
        <f t="shared" ca="1" si="103"/>
        <v>0</v>
      </c>
      <c r="J112">
        <f t="shared" ca="1" si="104"/>
        <v>0</v>
      </c>
      <c r="K112">
        <f t="shared" ca="1" si="105"/>
        <v>0</v>
      </c>
      <c r="L112">
        <f t="shared" ca="1" si="106"/>
        <v>0</v>
      </c>
      <c r="BC112">
        <v>1.9198621771937647</v>
      </c>
      <c r="BD112">
        <v>-150.72743726419901</v>
      </c>
      <c r="BE112">
        <v>67.20742103799067</v>
      </c>
      <c r="BF112" s="6">
        <f t="shared" si="96"/>
        <v>2.7221642711677521</v>
      </c>
      <c r="BG112" s="6">
        <f t="shared" si="97"/>
        <v>0.80230209397398733</v>
      </c>
      <c r="BH112" s="6">
        <f t="shared" si="75"/>
        <v>-1.9367661077703038</v>
      </c>
      <c r="BI112" s="6">
        <f t="shared" si="76"/>
        <v>1.9367661077703038</v>
      </c>
      <c r="BV112" s="38"/>
      <c r="BW112" s="6">
        <f t="shared" si="77"/>
        <v>1.6929693744345016</v>
      </c>
      <c r="BX112" s="9">
        <f t="shared" ca="1" si="78"/>
        <v>54.35153536699795</v>
      </c>
      <c r="BY112" s="9">
        <f t="shared" ca="1" si="79"/>
        <v>-52.699580022092732</v>
      </c>
      <c r="BZ112">
        <f t="shared" ca="1" si="80"/>
        <v>75.705581902888667</v>
      </c>
      <c r="CA112" s="6">
        <f t="shared" ca="1" si="81"/>
        <v>0.71793299781669173</v>
      </c>
      <c r="CB112" s="6">
        <f t="shared" ca="1" si="82"/>
        <v>-0.69611221124610223</v>
      </c>
      <c r="CC112" s="6">
        <f t="shared" ca="1" si="83"/>
        <v>-0.76996792494646193</v>
      </c>
      <c r="CD112" s="6">
        <f t="shared" ca="1" si="84"/>
        <v>-128.44534055145078</v>
      </c>
      <c r="CE112" s="9">
        <f t="shared" ca="1" si="85"/>
        <v>64.064181750243677</v>
      </c>
      <c r="CF112">
        <f t="shared" ca="1" si="86"/>
        <v>143.53544820951521</v>
      </c>
      <c r="CG112" s="6">
        <f t="shared" ca="1" si="87"/>
        <v>-0.89486842556106583</v>
      </c>
      <c r="CH112" s="6">
        <f t="shared" ca="1" si="88"/>
        <v>0.44633003588584436</v>
      </c>
      <c r="CI112" s="6">
        <f t="shared" ca="1" si="89"/>
        <v>2.6789326505878166</v>
      </c>
      <c r="CJ112" s="1">
        <f t="shared" ca="1" si="90"/>
        <v>-1.8935344871903681</v>
      </c>
      <c r="CK112" s="38"/>
    </row>
    <row r="113" spans="1:89" x14ac:dyDescent="0.25">
      <c r="A113">
        <f t="shared" si="98"/>
        <v>10</v>
      </c>
      <c r="B113">
        <f t="shared" si="98"/>
        <v>0</v>
      </c>
      <c r="C113">
        <f t="shared" ca="1" si="98"/>
        <v>0</v>
      </c>
      <c r="D113" s="9">
        <f t="shared" si="99"/>
        <v>4</v>
      </c>
      <c r="E113" s="5">
        <f t="shared" si="100"/>
        <v>-10</v>
      </c>
      <c r="F113" s="5">
        <f t="shared" ca="1" si="101"/>
        <v>0</v>
      </c>
      <c r="G113">
        <f t="shared" ca="1" si="102"/>
        <v>0</v>
      </c>
      <c r="H113">
        <f t="shared" ca="1" si="103"/>
        <v>0</v>
      </c>
      <c r="J113">
        <f t="shared" ca="1" si="104"/>
        <v>0</v>
      </c>
      <c r="K113">
        <f t="shared" ca="1" si="105"/>
        <v>0</v>
      </c>
      <c r="L113">
        <f t="shared" ca="1" si="106"/>
        <v>0</v>
      </c>
      <c r="BC113">
        <v>1.937315469713708</v>
      </c>
      <c r="BD113">
        <v>-151.91599784270943</v>
      </c>
      <c r="BE113">
        <v>66.763155150732288</v>
      </c>
      <c r="BF113" s="6">
        <f t="shared" si="96"/>
        <v>2.7275264161491615</v>
      </c>
      <c r="BG113" s="6">
        <f t="shared" si="97"/>
        <v>0.79021094643545342</v>
      </c>
      <c r="BH113" s="6">
        <f t="shared" si="75"/>
        <v>-1.9421282527517132</v>
      </c>
      <c r="BI113" s="6">
        <f t="shared" si="76"/>
        <v>1.9421282527517132</v>
      </c>
      <c r="BV113" s="38"/>
      <c r="BW113" s="6">
        <f t="shared" si="77"/>
        <v>1.7104226669544449</v>
      </c>
      <c r="BX113" s="9">
        <f t="shared" ca="1" si="78"/>
        <v>59.053992164691365</v>
      </c>
      <c r="BY113" s="9">
        <f t="shared" ca="1" si="79"/>
        <v>-52.080494984403543</v>
      </c>
      <c r="BZ113">
        <f t="shared" ca="1" si="80"/>
        <v>78.738503595178329</v>
      </c>
      <c r="CA113" s="6">
        <f t="shared" ca="1" si="81"/>
        <v>0.75000145377804239</v>
      </c>
      <c r="CB113" s="6">
        <f t="shared" ca="1" si="82"/>
        <v>-0.66143617933314103</v>
      </c>
      <c r="CC113" s="6">
        <f t="shared" ca="1" si="83"/>
        <v>-0.72273204990487028</v>
      </c>
      <c r="CD113" s="6">
        <f t="shared" ca="1" si="84"/>
        <v>-133.14779734914421</v>
      </c>
      <c r="CE113" s="9">
        <f t="shared" ca="1" si="85"/>
        <v>63.445096712554488</v>
      </c>
      <c r="CF113">
        <f t="shared" ca="1" si="86"/>
        <v>147.49107171552509</v>
      </c>
      <c r="CG113" s="6">
        <f t="shared" ca="1" si="87"/>
        <v>-0.90275157540352258</v>
      </c>
      <c r="CH113" s="6">
        <f t="shared" ca="1" si="88"/>
        <v>0.43016228694117065</v>
      </c>
      <c r="CI113" s="6">
        <f t="shared" ca="1" si="89"/>
        <v>2.6969201151378597</v>
      </c>
      <c r="CJ113" s="1">
        <f t="shared" ca="1" si="90"/>
        <v>-1.9115219517404112</v>
      </c>
      <c r="CK113" s="38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-153.02987264643721</v>
      </c>
      <c r="BE114">
        <v>66.324493295368868</v>
      </c>
      <c r="BF114" s="6">
        <f t="shared" si="96"/>
        <v>2.7326212913220713</v>
      </c>
      <c r="BG114" s="6">
        <f t="shared" si="97"/>
        <v>0.77785252908841995</v>
      </c>
      <c r="BH114" s="6">
        <f t="shared" si="75"/>
        <v>-1.947223127924623</v>
      </c>
      <c r="BI114" s="6">
        <f t="shared" si="76"/>
        <v>1.947223127924623</v>
      </c>
      <c r="BV114" s="38"/>
      <c r="BW114" s="6">
        <f t="shared" si="77"/>
        <v>1.7278759594743882</v>
      </c>
      <c r="BX114" s="9">
        <f t="shared" ca="1" si="78"/>
        <v>63.27996720201611</v>
      </c>
      <c r="BY114" s="9">
        <f t="shared" ca="1" si="79"/>
        <v>-51.449995916423134</v>
      </c>
      <c r="BZ114">
        <f t="shared" ca="1" si="80"/>
        <v>81.556460988006293</v>
      </c>
      <c r="CA114" s="6">
        <f t="shared" ca="1" si="81"/>
        <v>0.77590379027508405</v>
      </c>
      <c r="CB114" s="6">
        <f t="shared" ca="1" si="82"/>
        <v>-0.63085125682426779</v>
      </c>
      <c r="CC114" s="6">
        <f t="shared" ca="1" si="83"/>
        <v>-0.68264983936286316</v>
      </c>
      <c r="CD114" s="6">
        <f t="shared" ca="1" si="84"/>
        <v>-137.37377238646894</v>
      </c>
      <c r="CE114" s="9">
        <f t="shared" ca="1" si="85"/>
        <v>62.814597644574079</v>
      </c>
      <c r="CF114">
        <f t="shared" ca="1" si="86"/>
        <v>151.05372228759907</v>
      </c>
      <c r="CG114" s="6">
        <f t="shared" ca="1" si="87"/>
        <v>-0.90943652566810529</v>
      </c>
      <c r="CH114" s="6">
        <f t="shared" ca="1" si="88"/>
        <v>0.41584276569483064</v>
      </c>
      <c r="CI114" s="6">
        <f t="shared" ca="1" si="89"/>
        <v>2.7127233567777425</v>
      </c>
      <c r="CJ114" s="1">
        <f t="shared" ca="1" si="90"/>
        <v>-1.9273251933802942</v>
      </c>
      <c r="CK114" s="38"/>
    </row>
    <row r="115" spans="1:89" x14ac:dyDescent="0.25">
      <c r="A115" s="8" t="s">
        <v>99</v>
      </c>
      <c r="B115" s="5">
        <f ca="1">B100+F114</f>
        <v>910.1105</v>
      </c>
      <c r="J115">
        <f ca="1">J114</f>
        <v>-170.64000000000001</v>
      </c>
      <c r="BC115">
        <v>1.9722220547535947</v>
      </c>
      <c r="BD115">
        <v>-154.07750436459307</v>
      </c>
      <c r="BE115">
        <v>65.890643515774741</v>
      </c>
      <c r="BF115" s="6">
        <f t="shared" si="96"/>
        <v>2.7374828740209298</v>
      </c>
      <c r="BG115" s="6">
        <f t="shared" si="97"/>
        <v>0.76526081926733514</v>
      </c>
      <c r="BH115" s="6">
        <f t="shared" si="75"/>
        <v>-1.9520847106234815</v>
      </c>
      <c r="BI115" s="6">
        <f t="shared" si="76"/>
        <v>1.9520847106234815</v>
      </c>
      <c r="BV115" s="38"/>
      <c r="BW115" s="6">
        <f t="shared" si="77"/>
        <v>1.7453292519943315</v>
      </c>
      <c r="BX115" s="9">
        <f t="shared" ca="1" si="78"/>
        <v>66.864880437433371</v>
      </c>
      <c r="BY115" s="9">
        <f t="shared" ca="1" si="79"/>
        <v>-50.850902852814201</v>
      </c>
      <c r="BZ115">
        <f t="shared" ca="1" si="80"/>
        <v>84.004324631881943</v>
      </c>
      <c r="CA115" s="6">
        <f t="shared" ca="1" si="81"/>
        <v>0.79596950193271732</v>
      </c>
      <c r="CB115" s="6">
        <f t="shared" ca="1" si="82"/>
        <v>-0.60533672612272738</v>
      </c>
      <c r="CC115" s="6">
        <f t="shared" ca="1" si="83"/>
        <v>-0.65018883838398589</v>
      </c>
      <c r="CD115" s="6">
        <f t="shared" ca="1" si="84"/>
        <v>-140.95868562188622</v>
      </c>
      <c r="CE115" s="9">
        <f t="shared" ca="1" si="85"/>
        <v>62.215504580965145</v>
      </c>
      <c r="CF115">
        <f t="shared" ca="1" si="86"/>
        <v>154.0782919898642</v>
      </c>
      <c r="CG115" s="6">
        <f t="shared" ca="1" si="87"/>
        <v>-0.9148510396984344</v>
      </c>
      <c r="CH115" s="6">
        <f t="shared" ca="1" si="88"/>
        <v>0.4037914996166877</v>
      </c>
      <c r="CI115" s="6">
        <f t="shared" ca="1" si="89"/>
        <v>2.7259351891754244</v>
      </c>
      <c r="CJ115" s="1">
        <f t="shared" ca="1" si="90"/>
        <v>-1.9405370257779759</v>
      </c>
      <c r="CK115" s="38"/>
    </row>
    <row r="116" spans="1:89" x14ac:dyDescent="0.25">
      <c r="A116" s="8" t="s">
        <v>100</v>
      </c>
      <c r="B116" s="5">
        <f ca="1">B101+G114</f>
        <v>-1030.5945000000002</v>
      </c>
      <c r="C116">
        <f ca="1">B116/12</f>
        <v>-85.882875000000013</v>
      </c>
      <c r="J116">
        <f ca="1">K114</f>
        <v>1535.76</v>
      </c>
      <c r="K116">
        <f ca="1">J116/12</f>
        <v>127.98</v>
      </c>
      <c r="BC116">
        <v>1.989675347273538</v>
      </c>
      <c r="BD116">
        <v>-155.06609458306536</v>
      </c>
      <c r="BE116">
        <v>65.460875746757623</v>
      </c>
      <c r="BF116" s="6">
        <f t="shared" si="96"/>
        <v>2.7421399673470868</v>
      </c>
      <c r="BG116" s="6">
        <f t="shared" si="97"/>
        <v>0.75246462007354875</v>
      </c>
      <c r="BH116" s="6">
        <f t="shared" si="75"/>
        <v>-1.9567418039496383</v>
      </c>
      <c r="BI116" s="6">
        <f t="shared" si="76"/>
        <v>1.9567418039496383</v>
      </c>
      <c r="BV116" s="38"/>
      <c r="BW116" s="6">
        <f t="shared" si="77"/>
        <v>1.7627825445142749</v>
      </c>
      <c r="BX116" s="9">
        <f t="shared" ca="1" si="78"/>
        <v>69.958554259722334</v>
      </c>
      <c r="BY116" s="9">
        <f t="shared" ca="1" si="79"/>
        <v>-50.278159519788275</v>
      </c>
      <c r="BZ116">
        <f t="shared" ca="1" si="80"/>
        <v>86.151567825593233</v>
      </c>
      <c r="CA116" s="6">
        <f t="shared" ca="1" si="81"/>
        <v>0.81204040768413732</v>
      </c>
      <c r="CB116" s="6">
        <f t="shared" ca="1" si="82"/>
        <v>-0.58360121340533555</v>
      </c>
      <c r="CC116" s="6">
        <f t="shared" ca="1" si="83"/>
        <v>-0.62315643147246846</v>
      </c>
      <c r="CD116" s="6">
        <f t="shared" ca="1" si="84"/>
        <v>-144.05235944417518</v>
      </c>
      <c r="CE116" s="9">
        <f t="shared" ca="1" si="85"/>
        <v>61.64276124793922</v>
      </c>
      <c r="CF116">
        <f t="shared" ca="1" si="86"/>
        <v>156.68730732163434</v>
      </c>
      <c r="CG116" s="6">
        <f t="shared" ca="1" si="87"/>
        <v>-0.91936202048885041</v>
      </c>
      <c r="CH116" s="6">
        <f t="shared" ca="1" si="88"/>
        <v>0.39341260183509452</v>
      </c>
      <c r="CI116" s="6">
        <f t="shared" ca="1" si="89"/>
        <v>2.7372520718607154</v>
      </c>
      <c r="CJ116" s="1">
        <f t="shared" ca="1" si="90"/>
        <v>-1.9518539084632669</v>
      </c>
      <c r="CK116" s="38"/>
    </row>
    <row r="117" spans="1:89" x14ac:dyDescent="0.25">
      <c r="A117" s="8" t="s">
        <v>101</v>
      </c>
      <c r="B117" s="5">
        <f ca="1">B102+H114</f>
        <v>343.53149999999999</v>
      </c>
      <c r="C117">
        <f ca="1">B117/12</f>
        <v>28.627624999999998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-156.00183007130343</v>
      </c>
      <c r="BE117">
        <v>65.034511338270434</v>
      </c>
      <c r="BF117" s="6">
        <f t="shared" si="96"/>
        <v>2.7466172144340582</v>
      </c>
      <c r="BG117" s="6">
        <f t="shared" si="97"/>
        <v>0.73948857464057705</v>
      </c>
      <c r="BH117" s="6">
        <f t="shared" si="75"/>
        <v>-1.9612190510366099</v>
      </c>
      <c r="BI117" s="6">
        <f t="shared" si="76"/>
        <v>1.9612190510366099</v>
      </c>
      <c r="BV117" s="38"/>
      <c r="BW117" s="6">
        <f t="shared" si="77"/>
        <v>1.7802358370342182</v>
      </c>
      <c r="BX117" s="9">
        <f t="shared" ca="1" si="78"/>
        <v>72.666096739590088</v>
      </c>
      <c r="BY117" s="9">
        <f t="shared" ca="1" si="79"/>
        <v>-49.727809899205369</v>
      </c>
      <c r="BZ117">
        <f t="shared" ca="1" si="80"/>
        <v>88.052352000040145</v>
      </c>
      <c r="CA117" s="6">
        <f t="shared" ca="1" si="81"/>
        <v>0.825260144550789</v>
      </c>
      <c r="CB117" s="6">
        <f t="shared" ca="1" si="82"/>
        <v>-0.56475277229599385</v>
      </c>
      <c r="CC117" s="6">
        <f t="shared" ca="1" si="83"/>
        <v>-0.60013364738175556</v>
      </c>
      <c r="CD117" s="6">
        <f t="shared" ca="1" si="84"/>
        <v>-146.75990192404294</v>
      </c>
      <c r="CE117" s="9">
        <f t="shared" ca="1" si="85"/>
        <v>61.092411627356313</v>
      </c>
      <c r="CF117">
        <f t="shared" ca="1" si="86"/>
        <v>158.96776896969098</v>
      </c>
      <c r="CG117" s="6">
        <f t="shared" ca="1" si="87"/>
        <v>-0.92320539487488429</v>
      </c>
      <c r="CH117" s="6">
        <f t="shared" ca="1" si="88"/>
        <v>0.38430690713791349</v>
      </c>
      <c r="CI117" s="6">
        <f t="shared" ca="1" si="89"/>
        <v>2.7471356945669783</v>
      </c>
      <c r="CJ117" s="1">
        <f t="shared" ca="1" si="90"/>
        <v>-1.96173753116953</v>
      </c>
      <c r="CK117" s="38"/>
    </row>
    <row r="118" spans="1:89" x14ac:dyDescent="0.25">
      <c r="BC118">
        <v>2.0245819323134242</v>
      </c>
      <c r="BD118">
        <v>-156.89006071440951</v>
      </c>
      <c r="BE118">
        <v>64.610914301979093</v>
      </c>
      <c r="BF118" s="6">
        <f t="shared" si="96"/>
        <v>2.7509358830975086</v>
      </c>
      <c r="BG118" s="6">
        <f t="shared" si="97"/>
        <v>0.72635395078408438</v>
      </c>
      <c r="BH118" s="6">
        <f t="shared" si="75"/>
        <v>-1.9655377197000601</v>
      </c>
      <c r="BI118" s="6">
        <f t="shared" si="76"/>
        <v>1.9655377197000601</v>
      </c>
      <c r="BV118" s="38"/>
      <c r="BW118" s="6">
        <f t="shared" si="77"/>
        <v>1.7976891295541615</v>
      </c>
      <c r="BX118" s="9">
        <f t="shared" ca="1" si="78"/>
        <v>75.063713756945603</v>
      </c>
      <c r="BY118" s="9">
        <f t="shared" ca="1" si="79"/>
        <v>-49.196681992426889</v>
      </c>
      <c r="BZ118">
        <f t="shared" ca="1" si="80"/>
        <v>89.748953431494925</v>
      </c>
      <c r="CA118" s="6">
        <f t="shared" ca="1" si="81"/>
        <v>0.83637425158658241</v>
      </c>
      <c r="CB118" s="6">
        <f t="shared" ca="1" si="82"/>
        <v>-0.54815883764013529</v>
      </c>
      <c r="CC118" s="6">
        <f t="shared" ca="1" si="83"/>
        <v>-0.5801612839217597</v>
      </c>
      <c r="CD118" s="6">
        <f t="shared" ca="1" si="84"/>
        <v>-149.15751894139845</v>
      </c>
      <c r="CE118" s="9">
        <f t="shared" ca="1" si="85"/>
        <v>60.561283720577833</v>
      </c>
      <c r="CF118">
        <f t="shared" ca="1" si="86"/>
        <v>160.98333622657336</v>
      </c>
      <c r="CG118" s="6">
        <f t="shared" ca="1" si="87"/>
        <v>-0.92654011550281912</v>
      </c>
      <c r="CH118" s="6">
        <f t="shared" ca="1" si="88"/>
        <v>0.37619597866540577</v>
      </c>
      <c r="CI118" s="6">
        <f t="shared" ca="1" si="89"/>
        <v>2.7559054160708127</v>
      </c>
      <c r="CJ118" s="1">
        <f t="shared" ca="1" si="90"/>
        <v>-1.9705072526733645</v>
      </c>
      <c r="CK118" s="38"/>
    </row>
    <row r="119" spans="1:89" x14ac:dyDescent="0.25">
      <c r="A119" s="8" t="s">
        <v>8</v>
      </c>
      <c r="B119">
        <f ca="1">B117/B115</f>
        <v>0.37746130826971008</v>
      </c>
      <c r="J119">
        <f ca="1">J117/J115</f>
        <v>3</v>
      </c>
      <c r="BC119">
        <v>2.0420352248333673</v>
      </c>
      <c r="BD119">
        <v>-157.73544084072887</v>
      </c>
      <c r="BE119">
        <v>64.189483900772174</v>
      </c>
      <c r="BF119" s="6">
        <f t="shared" si="96"/>
        <v>2.7551144801062195</v>
      </c>
      <c r="BG119" s="6">
        <f t="shared" si="97"/>
        <v>0.71307925527285221</v>
      </c>
      <c r="BH119" s="6">
        <f t="shared" si="75"/>
        <v>-1.9697163167087712</v>
      </c>
      <c r="BI119" s="6">
        <f t="shared" si="76"/>
        <v>1.9697163167087712</v>
      </c>
      <c r="BV119" s="38"/>
      <c r="BW119" s="6">
        <f t="shared" si="77"/>
        <v>1.8151424220741048</v>
      </c>
      <c r="BX119" s="9">
        <f t="shared" ca="1" si="78"/>
        <v>77.208184170907188</v>
      </c>
      <c r="BY119" s="9">
        <f t="shared" ca="1" si="79"/>
        <v>-48.682179316421582</v>
      </c>
      <c r="BZ119">
        <f t="shared" ca="1" si="80"/>
        <v>91.274631119303606</v>
      </c>
      <c r="CA119" s="6">
        <f t="shared" ca="1" si="81"/>
        <v>0.84588875598948854</v>
      </c>
      <c r="CB119" s="6">
        <f t="shared" ca="1" si="82"/>
        <v>-0.53335936524125616</v>
      </c>
      <c r="CC119" s="6">
        <f t="shared" ca="1" si="83"/>
        <v>-0.56256701886870764</v>
      </c>
      <c r="CD119" s="6">
        <f t="shared" ca="1" si="84"/>
        <v>-151.30198935536004</v>
      </c>
      <c r="CE119" s="9">
        <f t="shared" ca="1" si="85"/>
        <v>60.046781044572526</v>
      </c>
      <c r="CF119">
        <f t="shared" ca="1" si="86"/>
        <v>162.78177998997404</v>
      </c>
      <c r="CG119" s="6">
        <f t="shared" ca="1" si="87"/>
        <v>-0.92947742287053836</v>
      </c>
      <c r="CH119" s="6">
        <f t="shared" ca="1" si="88"/>
        <v>0.36887900505984694</v>
      </c>
      <c r="CI119" s="6">
        <f t="shared" ca="1" si="89"/>
        <v>2.7637899705521551</v>
      </c>
      <c r="CJ119" s="1">
        <f t="shared" ca="1" si="90"/>
        <v>-1.9783918071547066</v>
      </c>
      <c r="CK119" s="38"/>
    </row>
    <row r="120" spans="1:89" x14ac:dyDescent="0.25">
      <c r="A120" s="8" t="s">
        <v>9</v>
      </c>
      <c r="B120">
        <f ca="1">B116/B115</f>
        <v>-1.1323839248091305</v>
      </c>
      <c r="J120">
        <f ca="1">J116/J115</f>
        <v>-9</v>
      </c>
      <c r="BC120">
        <v>2.0594885173533104</v>
      </c>
      <c r="BD120">
        <v>-158.54204254408012</v>
      </c>
      <c r="BE120">
        <v>63.769648304928886</v>
      </c>
      <c r="BF120" s="6">
        <f t="shared" si="96"/>
        <v>2.759169237394568</v>
      </c>
      <c r="BG120" s="6">
        <f t="shared" si="97"/>
        <v>0.69968072004125759</v>
      </c>
      <c r="BH120" s="6">
        <f t="shared" si="75"/>
        <v>-1.9737710739971195</v>
      </c>
      <c r="BI120" s="6">
        <f t="shared" si="76"/>
        <v>1.9737710739971195</v>
      </c>
      <c r="BV120" s="38"/>
      <c r="BW120" s="6">
        <f t="shared" si="77"/>
        <v>1.8325957145940481</v>
      </c>
      <c r="BX120" s="9">
        <f t="shared" ca="1" si="78"/>
        <v>79.142796014230058</v>
      </c>
      <c r="BY120" s="9">
        <f t="shared" ca="1" si="79"/>
        <v>-48.182138336538955</v>
      </c>
      <c r="BZ120">
        <f t="shared" ca="1" si="80"/>
        <v>92.655818034440813</v>
      </c>
      <c r="CA120" s="6">
        <f t="shared" ca="1" si="81"/>
        <v>0.85415894752353416</v>
      </c>
      <c r="CB120" s="6">
        <f t="shared" ca="1" si="82"/>
        <v>-0.52001201175115974</v>
      </c>
      <c r="CC120" s="6">
        <f t="shared" ca="1" si="83"/>
        <v>-0.54686501330077553</v>
      </c>
      <c r="CD120" s="6">
        <f t="shared" ca="1" si="84"/>
        <v>-153.23660119868291</v>
      </c>
      <c r="CE120" s="9">
        <f t="shared" ca="1" si="85"/>
        <v>59.546740064689899</v>
      </c>
      <c r="CF120">
        <f t="shared" ca="1" si="86"/>
        <v>164.39972688315493</v>
      </c>
      <c r="CG120" s="6">
        <f t="shared" ca="1" si="87"/>
        <v>-0.93209766283610629</v>
      </c>
      <c r="CH120" s="6">
        <f t="shared" ca="1" si="88"/>
        <v>0.36220704981469959</v>
      </c>
      <c r="CI120" s="6">
        <f t="shared" ca="1" si="89"/>
        <v>2.7709580152136697</v>
      </c>
      <c r="CJ120" s="1">
        <f t="shared" ca="1" si="90"/>
        <v>-1.9855598518162212</v>
      </c>
      <c r="CK120" s="38"/>
    </row>
    <row r="121" spans="1:89" x14ac:dyDescent="0.25">
      <c r="BC121">
        <v>2.0769418098732535</v>
      </c>
      <c r="BD121">
        <v>-159.31344732815703</v>
      </c>
      <c r="BE121">
        <v>63.350859084813123</v>
      </c>
      <c r="BF121" s="6">
        <f t="shared" si="96"/>
        <v>2.7631145009235381</v>
      </c>
      <c r="BG121" s="6">
        <f t="shared" si="97"/>
        <v>0.68617269105028456</v>
      </c>
      <c r="BH121" s="6">
        <f t="shared" si="75"/>
        <v>-1.9777163375260896</v>
      </c>
      <c r="BI121" s="6">
        <f t="shared" si="76"/>
        <v>1.9777163375260896</v>
      </c>
      <c r="BV121" s="38"/>
      <c r="BW121" s="6">
        <f t="shared" si="77"/>
        <v>1.8500490071139915</v>
      </c>
      <c r="BX121" s="9">
        <f t="shared" ca="1" si="78"/>
        <v>80.901206709198746</v>
      </c>
      <c r="BY121" s="9">
        <f t="shared" ca="1" si="79"/>
        <v>-47.694727969749877</v>
      </c>
      <c r="BZ121">
        <f t="shared" ca="1" si="80"/>
        <v>93.913749382680635</v>
      </c>
      <c r="CA121" s="6">
        <f t="shared" ca="1" si="81"/>
        <v>0.86144155931355426</v>
      </c>
      <c r="CB121" s="6">
        <f t="shared" ca="1" si="82"/>
        <v>-0.5078567119645383</v>
      </c>
      <c r="CC121" s="6">
        <f t="shared" ca="1" si="83"/>
        <v>-0.53269493542096069</v>
      </c>
      <c r="CD121" s="6">
        <f t="shared" ca="1" si="84"/>
        <v>-154.99501189365159</v>
      </c>
      <c r="CE121" s="9">
        <f t="shared" ca="1" si="85"/>
        <v>59.059329697900822</v>
      </c>
      <c r="CF121">
        <f t="shared" ca="1" si="86"/>
        <v>165.86578350063206</v>
      </c>
      <c r="CG121" s="6">
        <f t="shared" ca="1" si="87"/>
        <v>-0.93446043314328875</v>
      </c>
      <c r="CH121" s="6">
        <f t="shared" ca="1" si="88"/>
        <v>0.35606698652031366</v>
      </c>
      <c r="CI121" s="6">
        <f t="shared" ca="1" si="89"/>
        <v>2.7775370133823185</v>
      </c>
      <c r="CJ121" s="1">
        <f t="shared" ca="1" si="90"/>
        <v>-1.99213884998487</v>
      </c>
      <c r="CK121" s="38"/>
    </row>
    <row r="122" spans="1:89" x14ac:dyDescent="0.25">
      <c r="BC122">
        <v>2.0943951023931966</v>
      </c>
      <c r="BD122">
        <v>-160.05282080951139</v>
      </c>
      <c r="BE122">
        <v>62.932586363320873</v>
      </c>
      <c r="BF122" s="6">
        <f t="shared" si="96"/>
        <v>2.7669630447446196</v>
      </c>
      <c r="BG122" s="6">
        <f t="shared" si="97"/>
        <v>0.67256794235142303</v>
      </c>
      <c r="BH122" s="6">
        <f t="shared" si="75"/>
        <v>-1.9815648813471711</v>
      </c>
      <c r="BI122" s="6">
        <f t="shared" si="76"/>
        <v>1.9815648813471711</v>
      </c>
      <c r="BV122" s="38"/>
      <c r="BW122" s="6">
        <f t="shared" si="77"/>
        <v>1.8675022996339348</v>
      </c>
      <c r="BX122" s="9">
        <f t="shared" ca="1" si="78"/>
        <v>82.510034096568447</v>
      </c>
      <c r="BY122" s="9">
        <f t="shared" ca="1" si="79"/>
        <v>-47.218376859587721</v>
      </c>
      <c r="BZ122">
        <f t="shared" ca="1" si="80"/>
        <v>95.065665936083022</v>
      </c>
      <c r="CA122" s="6">
        <f t="shared" ca="1" si="81"/>
        <v>0.86792674604566178</v>
      </c>
      <c r="CB122" s="6">
        <f t="shared" ca="1" si="82"/>
        <v>-0.49669222210398006</v>
      </c>
      <c r="CC122" s="6">
        <f t="shared" ca="1" si="83"/>
        <v>-0.51978347552341886</v>
      </c>
      <c r="CD122" s="6">
        <f t="shared" ca="1" si="84"/>
        <v>-156.60383928102129</v>
      </c>
      <c r="CE122" s="9">
        <f t="shared" ca="1" si="85"/>
        <v>58.582978587738666</v>
      </c>
      <c r="CF122">
        <f t="shared" ca="1" si="86"/>
        <v>167.2026550559751</v>
      </c>
      <c r="CG122" s="6">
        <f t="shared" ca="1" si="87"/>
        <v>-0.93661096008669475</v>
      </c>
      <c r="CH122" s="6">
        <f t="shared" ca="1" si="88"/>
        <v>0.35037110246919589</v>
      </c>
      <c r="CI122" s="6">
        <f t="shared" ca="1" si="89"/>
        <v>2.7836253609217461</v>
      </c>
      <c r="CJ122" s="1">
        <f t="shared" ca="1" si="90"/>
        <v>-1.9982271975242976</v>
      </c>
      <c r="CK122" s="38"/>
    </row>
    <row r="123" spans="1:89" x14ac:dyDescent="0.25">
      <c r="A123" t="s">
        <v>128</v>
      </c>
      <c r="BC123">
        <v>2.1118483949131397</v>
      </c>
      <c r="BD123">
        <v>-160.76297408697181</v>
      </c>
      <c r="BE123">
        <v>62.514314498806407</v>
      </c>
      <c r="BF123" s="6">
        <f t="shared" si="96"/>
        <v>2.7707263270405615</v>
      </c>
      <c r="BG123" s="6">
        <f t="shared" si="97"/>
        <v>0.65887793212742185</v>
      </c>
      <c r="BH123" s="6">
        <f t="shared" si="75"/>
        <v>-1.985328163643113</v>
      </c>
      <c r="BI123" s="6">
        <f t="shared" si="76"/>
        <v>1.985328163643113</v>
      </c>
      <c r="BV123" s="38"/>
      <c r="BW123" s="6">
        <f t="shared" si="77"/>
        <v>1.8849555921538781</v>
      </c>
      <c r="BX123" s="9">
        <f t="shared" ca="1" si="78"/>
        <v>83.990643663189459</v>
      </c>
      <c r="BY123" s="9">
        <f t="shared" ca="1" si="79"/>
        <v>-46.751719539631722</v>
      </c>
      <c r="BZ123">
        <f t="shared" ca="1" si="80"/>
        <v>96.125706774354853</v>
      </c>
      <c r="CA123" s="6">
        <f t="shared" ca="1" si="81"/>
        <v>0.87375839909659969</v>
      </c>
      <c r="CB123" s="6">
        <f t="shared" ca="1" si="82"/>
        <v>-0.48636021630901027</v>
      </c>
      <c r="CC123" s="6">
        <f t="shared" ca="1" si="83"/>
        <v>-0.50791923630782254</v>
      </c>
      <c r="CD123" s="6">
        <f t="shared" ca="1" si="84"/>
        <v>-158.08444884764231</v>
      </c>
      <c r="CE123" s="9">
        <f t="shared" ca="1" si="85"/>
        <v>58.116321267782666</v>
      </c>
      <c r="CF123">
        <f t="shared" ca="1" si="86"/>
        <v>168.42861919864737</v>
      </c>
      <c r="CG123" s="6">
        <f t="shared" ca="1" si="87"/>
        <v>-0.93858424773520832</v>
      </c>
      <c r="CH123" s="6">
        <f t="shared" ca="1" si="88"/>
        <v>0.34505015563441366</v>
      </c>
      <c r="CI123" s="6">
        <f t="shared" ca="1" si="89"/>
        <v>2.7893004314763812</v>
      </c>
      <c r="CJ123" s="1">
        <f t="shared" ca="1" si="90"/>
        <v>-2.0039022680789325</v>
      </c>
      <c r="CK123" s="38"/>
    </row>
    <row r="124" spans="1:89" x14ac:dyDescent="0.25">
      <c r="BC124">
        <v>2.1293016874330828</v>
      </c>
      <c r="BD124">
        <v>-161.44641447996645</v>
      </c>
      <c r="BE124">
        <v>62.095538169463573</v>
      </c>
      <c r="BF124" s="6">
        <f t="shared" si="96"/>
        <v>2.7744147007821871</v>
      </c>
      <c r="BG124" s="6">
        <f t="shared" si="97"/>
        <v>0.64511301334910431</v>
      </c>
      <c r="BH124" s="6">
        <f t="shared" si="75"/>
        <v>-1.9890165373847386</v>
      </c>
      <c r="BI124" s="6">
        <f t="shared" si="76"/>
        <v>1.9890165373847386</v>
      </c>
      <c r="BV124" s="38"/>
      <c r="BW124" s="6">
        <f t="shared" si="77"/>
        <v>1.9024088846738214</v>
      </c>
      <c r="BX124" s="9">
        <f t="shared" ca="1" si="78"/>
        <v>85.360410954763907</v>
      </c>
      <c r="BY124" s="9">
        <f t="shared" ca="1" si="79"/>
        <v>-46.293555776916023</v>
      </c>
      <c r="BZ124">
        <f t="shared" ca="1" si="80"/>
        <v>97.105576898737453</v>
      </c>
      <c r="CA124" s="6">
        <f t="shared" ca="1" si="81"/>
        <v>0.8790474623695248</v>
      </c>
      <c r="CB124" s="6">
        <f t="shared" ca="1" si="82"/>
        <v>-0.47673426445106598</v>
      </c>
      <c r="CC124" s="6">
        <f t="shared" ca="1" si="83"/>
        <v>-0.49693586923792232</v>
      </c>
      <c r="CD124" s="6">
        <f t="shared" ca="1" si="84"/>
        <v>-159.45421613921675</v>
      </c>
      <c r="CE124" s="9">
        <f t="shared" ca="1" si="85"/>
        <v>57.658157505066967</v>
      </c>
      <c r="CF124">
        <f t="shared" ca="1" si="86"/>
        <v>169.55857445570589</v>
      </c>
      <c r="CG124" s="6">
        <f t="shared" ca="1" si="87"/>
        <v>-0.94040785994500842</v>
      </c>
      <c r="CH124" s="6">
        <f t="shared" ca="1" si="88"/>
        <v>0.34004860969227552</v>
      </c>
      <c r="CI124" s="6">
        <f t="shared" ca="1" si="89"/>
        <v>2.7946240665350386</v>
      </c>
      <c r="CJ124" s="1">
        <f t="shared" ca="1" si="90"/>
        <v>-2.0092259031375903</v>
      </c>
      <c r="CK124" s="38"/>
    </row>
    <row r="125" spans="1:89" x14ac:dyDescent="0.25">
      <c r="A125" s="8" t="s">
        <v>77</v>
      </c>
      <c r="B125" s="3">
        <f ca="1">B116</f>
        <v>-1030.5945000000002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-1030.5945000000002</v>
      </c>
      <c r="G125" s="1" t="s">
        <v>130</v>
      </c>
      <c r="BC125">
        <v>2.1467549799530259</v>
      </c>
      <c r="BD125">
        <v>-162.10538777911793</v>
      </c>
      <c r="BE125">
        <v>61.675758780598095</v>
      </c>
      <c r="BF125" s="6">
        <f t="shared" si="96"/>
        <v>2.7780375886023529</v>
      </c>
      <c r="BG125" s="6">
        <f t="shared" si="97"/>
        <v>0.63128260864932706</v>
      </c>
      <c r="BH125" s="6">
        <f t="shared" si="75"/>
        <v>-1.9926394252049044</v>
      </c>
      <c r="BI125" s="6">
        <f t="shared" si="76"/>
        <v>1.9926394252049044</v>
      </c>
      <c r="BV125" s="38"/>
      <c r="BW125" s="6">
        <f t="shared" si="77"/>
        <v>1.9198621771937647</v>
      </c>
      <c r="BX125" s="9">
        <f t="shared" ca="1" si="78"/>
        <v>86.633632079746164</v>
      </c>
      <c r="BY125" s="9">
        <f t="shared" ca="1" si="79"/>
        <v>-45.842819309839726</v>
      </c>
      <c r="BZ125">
        <f t="shared" ca="1" si="80"/>
        <v>98.015051342145597</v>
      </c>
      <c r="CA125" s="6">
        <f t="shared" ca="1" si="81"/>
        <v>0.88388090291694288</v>
      </c>
      <c r="CB125" s="6">
        <f t="shared" ca="1" si="82"/>
        <v>-0.46771203689741603</v>
      </c>
      <c r="CC125" s="6">
        <f t="shared" ca="1" si="83"/>
        <v>-0.48670045756224273</v>
      </c>
      <c r="CD125" s="6">
        <f t="shared" ca="1" si="84"/>
        <v>-160.72743726419901</v>
      </c>
      <c r="CE125" s="9">
        <f t="shared" ca="1" si="85"/>
        <v>57.20742103799067</v>
      </c>
      <c r="CF125">
        <f t="shared" ca="1" si="86"/>
        <v>170.60480096215042</v>
      </c>
      <c r="CG125" s="6">
        <f t="shared" ca="1" si="87"/>
        <v>-0.94210383504891659</v>
      </c>
      <c r="CH125" s="6">
        <f t="shared" ca="1" si="88"/>
        <v>0.33532128471978018</v>
      </c>
      <c r="CI125" s="6">
        <f t="shared" ca="1" si="89"/>
        <v>2.7996464151857596</v>
      </c>
      <c r="CJ125" s="1">
        <f t="shared" ca="1" si="90"/>
        <v>-2.0142482517883114</v>
      </c>
      <c r="CK125" s="38"/>
    </row>
    <row r="126" spans="1:89" x14ac:dyDescent="0.25">
      <c r="A126" s="8" t="s">
        <v>125</v>
      </c>
      <c r="B126" s="3">
        <f ca="1">B117</f>
        <v>343.53149999999999</v>
      </c>
      <c r="D126" s="1">
        <f ca="1">J117</f>
        <v>-511.92</v>
      </c>
      <c r="F126" s="3">
        <f ca="1">B117</f>
        <v>343.53149999999999</v>
      </c>
      <c r="BC126">
        <v>2.164208272472969</v>
      </c>
      <c r="BD126">
        <v>-162.74191362723099</v>
      </c>
      <c r="BE126">
        <v>61.254481106540105</v>
      </c>
      <c r="BF126" s="6">
        <f t="shared" si="96"/>
        <v>2.7816036292806605</v>
      </c>
      <c r="BG126" s="6">
        <f t="shared" si="97"/>
        <v>0.61739535680769153</v>
      </c>
      <c r="BH126" s="6">
        <f t="shared" si="75"/>
        <v>-1.9962054658832122</v>
      </c>
      <c r="BI126" s="6">
        <f t="shared" si="76"/>
        <v>1.9962054658832122</v>
      </c>
      <c r="BV126" s="38"/>
      <c r="BW126" s="6">
        <f t="shared" si="77"/>
        <v>1.937315469713708</v>
      </c>
      <c r="BX126" s="9">
        <f t="shared" ca="1" si="78"/>
        <v>87.822192658256583</v>
      </c>
      <c r="BY126" s="9">
        <f t="shared" ca="1" si="79"/>
        <v>-45.398553422581344</v>
      </c>
      <c r="BZ126">
        <f t="shared" ca="1" si="80"/>
        <v>98.862359754190109</v>
      </c>
      <c r="CA126" s="6">
        <f t="shared" ca="1" si="81"/>
        <v>0.88832790231404923</v>
      </c>
      <c r="CB126" s="6">
        <f t="shared" ca="1" si="82"/>
        <v>-0.45920968845432808</v>
      </c>
      <c r="CC126" s="6">
        <f t="shared" ca="1" si="83"/>
        <v>-0.47710533176651654</v>
      </c>
      <c r="CD126" s="6">
        <f t="shared" ca="1" si="84"/>
        <v>-161.91599784270943</v>
      </c>
      <c r="CE126" s="9">
        <f t="shared" ca="1" si="85"/>
        <v>56.763155150732288</v>
      </c>
      <c r="CF126">
        <f t="shared" ca="1" si="86"/>
        <v>171.57752224597019</v>
      </c>
      <c r="CG126" s="6">
        <f t="shared" ca="1" si="87"/>
        <v>-0.94369003423764231</v>
      </c>
      <c r="CH126" s="6">
        <f t="shared" ca="1" si="88"/>
        <v>0.33083095272443519</v>
      </c>
      <c r="CI126" s="6">
        <f t="shared" ca="1" si="89"/>
        <v>2.804408678529664</v>
      </c>
      <c r="CJ126" s="1">
        <f t="shared" ca="1" si="90"/>
        <v>-2.0190105151322157</v>
      </c>
      <c r="CK126" s="38"/>
    </row>
    <row r="127" spans="1:89" x14ac:dyDescent="0.25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BC127">
        <v>2.1816615649929121</v>
      </c>
      <c r="BD127">
        <v>-163.35781533052176</v>
      </c>
      <c r="BE127">
        <v>60.831210105694545</v>
      </c>
      <c r="BF127" s="6">
        <f t="shared" si="96"/>
        <v>2.785120801575796</v>
      </c>
      <c r="BG127" s="6">
        <f t="shared" si="97"/>
        <v>0.60345923658288392</v>
      </c>
      <c r="BH127" s="6">
        <f t="shared" si="75"/>
        <v>-1.9997226381783475</v>
      </c>
      <c r="BI127" s="6">
        <f t="shared" si="76"/>
        <v>1.9997226381783475</v>
      </c>
      <c r="BV127" s="38"/>
      <c r="BW127" s="6">
        <f t="shared" si="77"/>
        <v>1.9547687622336514</v>
      </c>
      <c r="BX127" s="9">
        <f t="shared" ca="1" si="78"/>
        <v>88.936067461984365</v>
      </c>
      <c r="BY127" s="9">
        <f t="shared" ca="1" si="79"/>
        <v>-44.959891567217923</v>
      </c>
      <c r="BZ127">
        <f t="shared" ca="1" si="80"/>
        <v>99.654482816071194</v>
      </c>
      <c r="CA127" s="6">
        <f t="shared" ca="1" si="81"/>
        <v>0.89244422276648172</v>
      </c>
      <c r="CB127" s="6">
        <f t="shared" ca="1" si="82"/>
        <v>-0.45115774320156604</v>
      </c>
      <c r="CC127" s="6">
        <f t="shared" ca="1" si="83"/>
        <v>-0.46806218664277954</v>
      </c>
      <c r="CD127" s="6">
        <f t="shared" ca="1" si="84"/>
        <v>-163.02987264643721</v>
      </c>
      <c r="CE127" s="9">
        <f t="shared" ca="1" si="85"/>
        <v>56.324493295368868</v>
      </c>
      <c r="CF127">
        <f t="shared" ca="1" si="86"/>
        <v>172.48532668054284</v>
      </c>
      <c r="CG127" s="6">
        <f t="shared" ca="1" si="87"/>
        <v>-0.9451811106714143</v>
      </c>
      <c r="CH127" s="6">
        <f t="shared" ca="1" si="88"/>
        <v>0.326546578652957</v>
      </c>
      <c r="CI127" s="6">
        <f t="shared" ca="1" si="89"/>
        <v>2.8089451094403755</v>
      </c>
      <c r="CJ127" s="1">
        <f t="shared" ca="1" si="90"/>
        <v>-2.0235469460429272</v>
      </c>
      <c r="CK127" s="38"/>
    </row>
    <row r="128" spans="1:89" x14ac:dyDescent="0.25">
      <c r="BC128">
        <v>2.1991148575128552</v>
      </c>
      <c r="BD128">
        <v>-163.95474511386951</v>
      </c>
      <c r="BE128">
        <v>60.405447848638879</v>
      </c>
      <c r="BF128" s="6">
        <f t="shared" si="96"/>
        <v>2.7885965299088507</v>
      </c>
      <c r="BG128" s="6">
        <f t="shared" si="97"/>
        <v>0.58948167239599547</v>
      </c>
      <c r="BH128" s="6">
        <f t="shared" si="75"/>
        <v>-2.0031983665114019</v>
      </c>
      <c r="BI128" s="6">
        <f t="shared" si="76"/>
        <v>2.0031983665114019</v>
      </c>
      <c r="BV128" s="38"/>
      <c r="BW128" s="6">
        <f t="shared" si="77"/>
        <v>1.9722220547535947</v>
      </c>
      <c r="BX128" s="9">
        <f t="shared" ca="1" si="78"/>
        <v>89.983699180140221</v>
      </c>
      <c r="BY128" s="9">
        <f t="shared" ca="1" si="79"/>
        <v>-44.526041787623797</v>
      </c>
      <c r="BZ128">
        <f t="shared" ca="1" si="80"/>
        <v>100.39738301078962</v>
      </c>
      <c r="CA128" s="6">
        <f t="shared" ca="1" si="81"/>
        <v>0.89627534584710988</v>
      </c>
      <c r="CB128" s="6">
        <f t="shared" ca="1" si="82"/>
        <v>-0.44349803204370991</v>
      </c>
      <c r="CC128" s="6">
        <f t="shared" ca="1" si="83"/>
        <v>-0.45949777613061821</v>
      </c>
      <c r="CD128" s="6">
        <f t="shared" ca="1" si="84"/>
        <v>-164.07750436459307</v>
      </c>
      <c r="CE128" s="9">
        <f t="shared" ca="1" si="85"/>
        <v>55.890643515774741</v>
      </c>
      <c r="CF128">
        <f t="shared" ca="1" si="86"/>
        <v>173.33548820458108</v>
      </c>
      <c r="CG128" s="6">
        <f t="shared" ca="1" si="87"/>
        <v>-0.94658921876943525</v>
      </c>
      <c r="CH128" s="6">
        <f t="shared" ca="1" si="88"/>
        <v>0.32244201170050768</v>
      </c>
      <c r="CI128" s="6">
        <f t="shared" ca="1" si="89"/>
        <v>2.8132844950917182</v>
      </c>
      <c r="CJ128" s="1">
        <f t="shared" ca="1" si="90"/>
        <v>-2.0278863316942699</v>
      </c>
      <c r="CK128" s="38"/>
    </row>
    <row r="129" spans="1:89" x14ac:dyDescent="0.25">
      <c r="A129" s="14" t="s">
        <v>131</v>
      </c>
      <c r="BC129">
        <v>2.2165681500327983</v>
      </c>
      <c r="BD129">
        <v>-164.53420562693961</v>
      </c>
      <c r="BE129">
        <v>59.976690505823733</v>
      </c>
      <c r="BF129" s="6">
        <f t="shared" si="96"/>
        <v>2.7920377754647987</v>
      </c>
      <c r="BG129" s="6">
        <f t="shared" si="97"/>
        <v>0.57546962543200042</v>
      </c>
      <c r="BH129" s="6">
        <f t="shared" si="75"/>
        <v>-2.0066396120673504</v>
      </c>
      <c r="BI129" s="6">
        <f t="shared" si="76"/>
        <v>2.0066396120673504</v>
      </c>
      <c r="BV129" s="38"/>
      <c r="BW129" s="6">
        <f t="shared" si="77"/>
        <v>1.989675347273538</v>
      </c>
      <c r="BX129" s="9">
        <f t="shared" ca="1" si="78"/>
        <v>90.972289398612517</v>
      </c>
      <c r="BY129" s="9">
        <f t="shared" ca="1" si="79"/>
        <v>-44.096274018606678</v>
      </c>
      <c r="BZ129">
        <f t="shared" ca="1" si="80"/>
        <v>101.0961859851743</v>
      </c>
      <c r="CA129" s="6">
        <f t="shared" ca="1" si="81"/>
        <v>0.8998587682818574</v>
      </c>
      <c r="CB129" s="6">
        <f t="shared" ca="1" si="82"/>
        <v>-0.43618138101741416</v>
      </c>
      <c r="CC129" s="6">
        <f t="shared" ca="1" si="83"/>
        <v>-0.45135071127763859</v>
      </c>
      <c r="CD129" s="6">
        <f t="shared" ca="1" si="84"/>
        <v>-165.06609458306536</v>
      </c>
      <c r="CE129" s="9">
        <f t="shared" ca="1" si="85"/>
        <v>55.460875746757623</v>
      </c>
      <c r="CF129">
        <f t="shared" ca="1" si="86"/>
        <v>174.13421352365756</v>
      </c>
      <c r="CG129" s="6">
        <f t="shared" ca="1" si="87"/>
        <v>-0.94792454189733244</v>
      </c>
      <c r="CH129" s="6">
        <f t="shared" ca="1" si="88"/>
        <v>0.31849499661491165</v>
      </c>
      <c r="CI129" s="6">
        <f t="shared" ca="1" si="89"/>
        <v>2.8174512733509784</v>
      </c>
      <c r="CJ129" s="1">
        <f t="shared" ca="1" si="90"/>
        <v>-2.0320531099535302</v>
      </c>
      <c r="CK129" s="38"/>
    </row>
    <row r="130" spans="1:89" x14ac:dyDescent="0.25">
      <c r="A130" s="8" t="s">
        <v>133</v>
      </c>
      <c r="B130" s="1">
        <f>U10</f>
        <v>800</v>
      </c>
      <c r="BC130">
        <v>2.2340214425527414</v>
      </c>
      <c r="BD130">
        <v>-165.09756835336501</v>
      </c>
      <c r="BE130">
        <v>59.544425347646019</v>
      </c>
      <c r="BF130" s="6">
        <f t="shared" ref="BF130:BF155" si="107">IF(BC130&lt;&gt;"",IF(AND(BD130=0,BE130=0),0,MOD(ATAN2(BD130,BE130),2*PI())),NA())</f>
        <v>2.7954511155693287</v>
      </c>
      <c r="BG130" s="6">
        <f t="shared" ref="BG130:BG155" si="108">ABS(BC130-BF130)</f>
        <v>0.56142967301658731</v>
      </c>
      <c r="BH130" s="6">
        <f t="shared" si="75"/>
        <v>-2.01005295217188</v>
      </c>
      <c r="BI130" s="6">
        <f t="shared" si="76"/>
        <v>2.01005295217188</v>
      </c>
      <c r="BV130" s="38"/>
      <c r="BW130" s="6">
        <f t="shared" si="77"/>
        <v>2.0071286397934811</v>
      </c>
      <c r="BX130" s="9">
        <f t="shared" ca="1" si="78"/>
        <v>91.908024886850583</v>
      </c>
      <c r="BY130" s="9">
        <f t="shared" ca="1" si="79"/>
        <v>-43.66990961011949</v>
      </c>
      <c r="BZ130">
        <f t="shared" ca="1" si="80"/>
        <v>101.75532440102559</v>
      </c>
      <c r="CA130" s="6">
        <f t="shared" ca="1" si="81"/>
        <v>0.90322570762620702</v>
      </c>
      <c r="CB130" s="6">
        <f t="shared" ca="1" si="82"/>
        <v>-0.4291658433323155</v>
      </c>
      <c r="CC130" s="6">
        <f t="shared" ca="1" si="83"/>
        <v>-0.4435690433890615</v>
      </c>
      <c r="CD130" s="6">
        <f t="shared" ca="1" si="84"/>
        <v>-166.00183007130343</v>
      </c>
      <c r="CE130" s="9">
        <f t="shared" ca="1" si="85"/>
        <v>55.034511338270434</v>
      </c>
      <c r="CF130">
        <f t="shared" ca="1" si="86"/>
        <v>174.88683491121944</v>
      </c>
      <c r="CG130" s="6">
        <f t="shared" ca="1" si="87"/>
        <v>-0.94919569077668742</v>
      </c>
      <c r="CH130" s="6">
        <f t="shared" ca="1" si="88"/>
        <v>0.31468641631148775</v>
      </c>
      <c r="CI130" s="6">
        <f t="shared" ca="1" si="89"/>
        <v>2.8214663854364201</v>
      </c>
      <c r="CJ130" s="1">
        <f t="shared" ca="1" si="90"/>
        <v>-2.0360682220389714</v>
      </c>
      <c r="CK130" s="38"/>
    </row>
    <row r="131" spans="1:89" x14ac:dyDescent="0.25">
      <c r="A131" s="8" t="s">
        <v>132</v>
      </c>
      <c r="B131">
        <f ca="1">(U10-B127)/(D127-F127)</f>
        <v>0.10188336716013548</v>
      </c>
      <c r="BC131">
        <v>2.2514747350726845</v>
      </c>
      <c r="BD131">
        <v>-165.6460894520207</v>
      </c>
      <c r="BE131">
        <v>59.10812771239322</v>
      </c>
      <c r="BF131" s="6">
        <f t="shared" si="107"/>
        <v>2.7988428136571049</v>
      </c>
      <c r="BG131" s="6">
        <f t="shared" si="108"/>
        <v>0.54736807858442038</v>
      </c>
      <c r="BH131" s="6">
        <f t="shared" ref="BH131:BH155" si="109">ATAN2(COS($U$13-BF131),SIN($U$13-BF131))</f>
        <v>-2.0134446502596566</v>
      </c>
      <c r="BI131" s="6">
        <f t="shared" ref="BI131:BI155" si="110">ABS(BH131)</f>
        <v>2.0134446502596566</v>
      </c>
      <c r="BV131" s="38"/>
      <c r="BW131" s="6">
        <f t="shared" si="77"/>
        <v>2.0245819323134242</v>
      </c>
      <c r="BX131" s="9">
        <f t="shared" ca="1" si="78"/>
        <v>92.796255529956667</v>
      </c>
      <c r="BY131" s="9">
        <f t="shared" ca="1" si="79"/>
        <v>-43.246312573828149</v>
      </c>
      <c r="BZ131">
        <f t="shared" ca="1" si="80"/>
        <v>102.3786530074227</v>
      </c>
      <c r="CA131" s="6">
        <f t="shared" ca="1" si="81"/>
        <v>0.90640238764646297</v>
      </c>
      <c r="CB131" s="6">
        <f t="shared" ca="1" si="82"/>
        <v>-0.42241533076912713</v>
      </c>
      <c r="CC131" s="6">
        <f t="shared" ca="1" si="83"/>
        <v>-0.43610841513166604</v>
      </c>
      <c r="CD131" s="6">
        <f t="shared" ca="1" si="84"/>
        <v>-166.89006071440951</v>
      </c>
      <c r="CE131" s="9">
        <f t="shared" ca="1" si="85"/>
        <v>54.610914301979093</v>
      </c>
      <c r="CF131">
        <f t="shared" ca="1" si="86"/>
        <v>175.5979621924964</v>
      </c>
      <c r="CG131" s="6">
        <f t="shared" ca="1" si="87"/>
        <v>-0.95041000835453326</v>
      </c>
      <c r="CH131" s="6">
        <f t="shared" ca="1" si="88"/>
        <v>0.31099970421133233</v>
      </c>
      <c r="CI131" s="6">
        <f t="shared" ca="1" si="89"/>
        <v>2.8253479356687032</v>
      </c>
      <c r="CJ131" s="1">
        <f t="shared" ca="1" si="90"/>
        <v>-2.039949772271255</v>
      </c>
      <c r="CK131" s="38"/>
    </row>
    <row r="132" spans="1:89" x14ac:dyDescent="0.25">
      <c r="A132" s="8" t="s">
        <v>77</v>
      </c>
      <c r="B132">
        <f ca="1">(B125+(B131*(D125-F125)))/12</f>
        <v>-64.093805184452847</v>
      </c>
      <c r="BC132">
        <v>2.2689280275926276</v>
      </c>
      <c r="BD132">
        <v>-166.18092344213528</v>
      </c>
      <c r="BE132">
        <v>58.667257893011453</v>
      </c>
      <c r="BF132" s="6">
        <f t="shared" si="107"/>
        <v>2.8022188817242197</v>
      </c>
      <c r="BG132" s="6">
        <f t="shared" si="108"/>
        <v>0.53329085413159216</v>
      </c>
      <c r="BH132" s="6">
        <f t="shared" si="109"/>
        <v>-2.0168207183267715</v>
      </c>
      <c r="BI132" s="6">
        <f t="shared" si="110"/>
        <v>2.0168207183267715</v>
      </c>
      <c r="BV132" s="38"/>
      <c r="BW132" s="6">
        <f t="shared" si="77"/>
        <v>2.0420352248333673</v>
      </c>
      <c r="BX132" s="9">
        <f t="shared" ca="1" si="78"/>
        <v>93.641635656276023</v>
      </c>
      <c r="BY132" s="9">
        <f t="shared" ca="1" si="79"/>
        <v>-42.82488217262123</v>
      </c>
      <c r="BZ132">
        <f t="shared" ca="1" si="80"/>
        <v>102.9695414260044</v>
      </c>
      <c r="CA132" s="6">
        <f t="shared" ca="1" si="81"/>
        <v>0.90941101960300019</v>
      </c>
      <c r="CB132" s="6">
        <f t="shared" ca="1" si="82"/>
        <v>-0.41589854222470141</v>
      </c>
      <c r="CC132" s="6">
        <f t="shared" ca="1" si="83"/>
        <v>-0.42893062853828395</v>
      </c>
      <c r="CD132" s="6">
        <f t="shared" ca="1" si="84"/>
        <v>-167.73544084072887</v>
      </c>
      <c r="CE132" s="9">
        <f t="shared" ca="1" si="85"/>
        <v>54.189483900772174</v>
      </c>
      <c r="CF132">
        <f t="shared" ca="1" si="86"/>
        <v>176.27160372409875</v>
      </c>
      <c r="CG132" s="6">
        <f t="shared" ca="1" si="87"/>
        <v>-0.9515738059731349</v>
      </c>
      <c r="CH132" s="6">
        <f t="shared" ca="1" si="88"/>
        <v>0.30742038284050471</v>
      </c>
      <c r="CI132" s="6">
        <f t="shared" ca="1" si="89"/>
        <v>2.829111708124052</v>
      </c>
      <c r="CJ132" s="1">
        <f t="shared" ca="1" si="90"/>
        <v>-2.0437135447266037</v>
      </c>
      <c r="CK132" s="38"/>
    </row>
    <row r="133" spans="1:89" x14ac:dyDescent="0.25">
      <c r="A133" s="8" t="s">
        <v>125</v>
      </c>
      <c r="B133">
        <f ca="1">(B126+(B131*(D126-F126)))/12</f>
        <v>21.364601728150944</v>
      </c>
      <c r="BC133">
        <v>2.2863813201125707</v>
      </c>
      <c r="BD133">
        <v>-166.70313509331078</v>
      </c>
      <c r="BE133">
        <v>58.22125790182222</v>
      </c>
      <c r="BF133" s="6">
        <f t="shared" si="107"/>
        <v>2.8055851368456146</v>
      </c>
      <c r="BG133" s="6">
        <f t="shared" si="108"/>
        <v>0.51920381673304394</v>
      </c>
      <c r="BH133" s="6">
        <f t="shared" si="109"/>
        <v>-2.0201869734481663</v>
      </c>
      <c r="BI133" s="6">
        <f t="shared" si="110"/>
        <v>2.0201869734481663</v>
      </c>
      <c r="BV133" s="38"/>
      <c r="BW133" s="6">
        <f t="shared" si="77"/>
        <v>2.0594885173533104</v>
      </c>
      <c r="BX133" s="9">
        <f t="shared" ca="1" si="78"/>
        <v>94.448237359627271</v>
      </c>
      <c r="BY133" s="9">
        <f t="shared" ca="1" si="79"/>
        <v>-42.405046576777941</v>
      </c>
      <c r="BZ133">
        <f t="shared" ca="1" si="80"/>
        <v>103.53094955383729</v>
      </c>
      <c r="CA133" s="6">
        <f t="shared" ca="1" si="81"/>
        <v>0.91227056031697162</v>
      </c>
      <c r="CB133" s="6">
        <f t="shared" ca="1" si="82"/>
        <v>-0.409588116012853</v>
      </c>
      <c r="CC133" s="6">
        <f t="shared" ca="1" si="83"/>
        <v>-0.42200252316532016</v>
      </c>
      <c r="CD133" s="6">
        <f t="shared" ca="1" si="84"/>
        <v>-168.54204254408012</v>
      </c>
      <c r="CE133" s="9">
        <f t="shared" ca="1" si="85"/>
        <v>53.769648304928886</v>
      </c>
      <c r="CF133">
        <f t="shared" ca="1" si="86"/>
        <v>176.91126358648353</v>
      </c>
      <c r="CG133" s="6">
        <f t="shared" ca="1" si="87"/>
        <v>-0.95269254838422379</v>
      </c>
      <c r="CH133" s="6">
        <f t="shared" ca="1" si="88"/>
        <v>0.30393569756310884</v>
      </c>
      <c r="CI133" s="6">
        <f t="shared" ca="1" si="89"/>
        <v>2.8327715757468228</v>
      </c>
      <c r="CJ133" s="1">
        <f t="shared" ca="1" si="90"/>
        <v>-2.0473734123493745</v>
      </c>
      <c r="CK133" s="38"/>
    </row>
    <row r="134" spans="1:89" x14ac:dyDescent="0.25">
      <c r="BC134">
        <v>2.3038346126325138</v>
      </c>
      <c r="BD134">
        <v>-167.21370980689855</v>
      </c>
      <c r="BE134">
        <v>57.769548066258757</v>
      </c>
      <c r="BF134" s="6">
        <f t="shared" si="107"/>
        <v>2.808947253092176</v>
      </c>
      <c r="BG134" s="6">
        <f t="shared" si="108"/>
        <v>0.5051126404596622</v>
      </c>
      <c r="BH134" s="6">
        <f t="shared" si="109"/>
        <v>-2.0235490896947277</v>
      </c>
      <c r="BI134" s="6">
        <f t="shared" si="110"/>
        <v>2.0235490896947277</v>
      </c>
      <c r="BV134" s="38"/>
      <c r="BW134" s="6">
        <f t="shared" si="77"/>
        <v>2.0769418098732535</v>
      </c>
      <c r="BX134" s="9">
        <f t="shared" ca="1" si="78"/>
        <v>95.219642143704178</v>
      </c>
      <c r="BY134" s="9">
        <f t="shared" ca="1" si="79"/>
        <v>-41.986257356662179</v>
      </c>
      <c r="BZ134">
        <f t="shared" ca="1" si="80"/>
        <v>104.06548926899328</v>
      </c>
      <c r="CA134" s="6">
        <f t="shared" ca="1" si="81"/>
        <v>0.91499730422230618</v>
      </c>
      <c r="CB134" s="6">
        <f t="shared" ca="1" si="82"/>
        <v>-0.40345995249332051</v>
      </c>
      <c r="CC134" s="6">
        <f t="shared" ca="1" si="83"/>
        <v>-0.41529508780448127</v>
      </c>
      <c r="CD134" s="6">
        <f t="shared" ca="1" si="84"/>
        <v>-169.31344732815703</v>
      </c>
      <c r="CE134" s="9">
        <f t="shared" ca="1" si="85"/>
        <v>53.350859084813123</v>
      </c>
      <c r="CF134">
        <f t="shared" ca="1" si="86"/>
        <v>177.52002031104038</v>
      </c>
      <c r="CG134" s="6">
        <f t="shared" ca="1" si="87"/>
        <v>-0.95377100020322059</v>
      </c>
      <c r="CH134" s="6">
        <f t="shared" ca="1" si="88"/>
        <v>0.30053432278418407</v>
      </c>
      <c r="CI134" s="6">
        <f t="shared" ca="1" si="89"/>
        <v>2.8363398277309386</v>
      </c>
      <c r="CJ134" s="1">
        <f t="shared" ca="1" si="90"/>
        <v>-2.0509416643334903</v>
      </c>
      <c r="CK134" s="38"/>
    </row>
    <row r="135" spans="1:89" x14ac:dyDescent="0.25">
      <c r="A135" s="8"/>
      <c r="BC135">
        <v>2.3212879051524569</v>
      </c>
      <c r="BD135">
        <v>-167.71356270473115</v>
      </c>
      <c r="BE135">
        <v>57.31152340109859</v>
      </c>
      <c r="BF135" s="6">
        <f t="shared" si="107"/>
        <v>2.8123108099843481</v>
      </c>
      <c r="BG135" s="6">
        <f t="shared" si="108"/>
        <v>0.49102290483189126</v>
      </c>
      <c r="BH135" s="6">
        <f t="shared" si="109"/>
        <v>-2.0269126465868998</v>
      </c>
      <c r="BI135" s="6">
        <f t="shared" si="110"/>
        <v>2.0269126465868998</v>
      </c>
      <c r="BV135" s="38"/>
      <c r="BW135" s="6">
        <f t="shared" si="77"/>
        <v>2.0943951023931966</v>
      </c>
      <c r="BX135" s="9">
        <f t="shared" ca="1" si="78"/>
        <v>95.959015625058541</v>
      </c>
      <c r="BY135" s="9">
        <f t="shared" ca="1" si="79"/>
        <v>-41.567984635169928</v>
      </c>
      <c r="BZ135">
        <f t="shared" ca="1" si="80"/>
        <v>104.57547526241491</v>
      </c>
      <c r="CA135" s="6">
        <f t="shared" ca="1" si="81"/>
        <v>0.91760535043484348</v>
      </c>
      <c r="CB135" s="6">
        <f t="shared" ca="1" si="82"/>
        <v>-0.39749266767243396</v>
      </c>
      <c r="CC135" s="6">
        <f t="shared" ca="1" si="83"/>
        <v>-0.40878275004696685</v>
      </c>
      <c r="CD135" s="6">
        <f t="shared" ca="1" si="84"/>
        <v>-170.05282080951139</v>
      </c>
      <c r="CE135" s="9">
        <f t="shared" ca="1" si="85"/>
        <v>52.932586363320873</v>
      </c>
      <c r="CF135">
        <f t="shared" ca="1" si="86"/>
        <v>178.1005911399011</v>
      </c>
      <c r="CG135" s="6">
        <f t="shared" ca="1" si="87"/>
        <v>-0.95481334296039455</v>
      </c>
      <c r="CH135" s="6">
        <f t="shared" ca="1" si="88"/>
        <v>0.29720612393555396</v>
      </c>
      <c r="CI135" s="6">
        <f t="shared" ca="1" si="89"/>
        <v>2.8398274341204943</v>
      </c>
      <c r="CJ135" s="1">
        <f t="shared" ca="1" si="90"/>
        <v>-2.0544292707230456</v>
      </c>
      <c r="CK135" s="38"/>
    </row>
    <row r="136" spans="1:89" x14ac:dyDescent="0.25">
      <c r="A136" s="51" t="s">
        <v>159</v>
      </c>
      <c r="BC136">
        <v>2.3387411976724</v>
      </c>
      <c r="BD136">
        <v>-168.20354665362984</v>
      </c>
      <c r="BE136">
        <v>56.84654971194233</v>
      </c>
      <c r="BF136" s="6">
        <f t="shared" si="107"/>
        <v>2.8156813385076762</v>
      </c>
      <c r="BG136" s="6">
        <f t="shared" si="108"/>
        <v>0.47694014083527625</v>
      </c>
      <c r="BH136" s="6">
        <f t="shared" si="109"/>
        <v>-2.0302831751102275</v>
      </c>
      <c r="BI136" s="6">
        <f t="shared" si="110"/>
        <v>2.0302831751102275</v>
      </c>
      <c r="BV136" s="38"/>
      <c r="BW136" s="6">
        <f t="shared" si="77"/>
        <v>2.1118483949131397</v>
      </c>
      <c r="BX136" s="9">
        <f t="shared" ca="1" si="78"/>
        <v>96.669168902518962</v>
      </c>
      <c r="BY136" s="9">
        <f t="shared" ca="1" si="79"/>
        <v>-41.149712770655462</v>
      </c>
      <c r="BZ136">
        <f t="shared" ca="1" si="80"/>
        <v>105.06296720258372</v>
      </c>
      <c r="CA136" s="6">
        <f t="shared" ca="1" si="81"/>
        <v>0.92010697466901226</v>
      </c>
      <c r="CB136" s="6">
        <f t="shared" ca="1" si="82"/>
        <v>-0.39166714843785133</v>
      </c>
      <c r="CC136" s="6">
        <f t="shared" ca="1" si="83"/>
        <v>-0.40244280266569121</v>
      </c>
      <c r="CD136" s="6">
        <f t="shared" ca="1" si="84"/>
        <v>-170.76297408697181</v>
      </c>
      <c r="CE136" s="9">
        <f t="shared" ca="1" si="85"/>
        <v>52.514314498806407</v>
      </c>
      <c r="CF136">
        <f t="shared" ca="1" si="86"/>
        <v>178.65538487912238</v>
      </c>
      <c r="CG136" s="6">
        <f t="shared" ca="1" si="87"/>
        <v>-0.95582326948896312</v>
      </c>
      <c r="CH136" s="6">
        <f t="shared" ca="1" si="88"/>
        <v>0.29394196281482032</v>
      </c>
      <c r="CI136" s="6">
        <f t="shared" ca="1" si="89"/>
        <v>2.8432442617095672</v>
      </c>
      <c r="CJ136" s="1">
        <f t="shared" ca="1" si="90"/>
        <v>-2.057846098312119</v>
      </c>
      <c r="CK136" s="38"/>
    </row>
    <row r="137" spans="1:89" x14ac:dyDescent="0.25">
      <c r="A137" t="s">
        <v>160</v>
      </c>
      <c r="BC137">
        <v>2.3561944901923431</v>
      </c>
      <c r="BD137">
        <v>-168.68445936419218</v>
      </c>
      <c r="BE137">
        <v>56.373959364112082</v>
      </c>
      <c r="BF137" s="6">
        <f t="shared" si="107"/>
        <v>2.8190643655895031</v>
      </c>
      <c r="BG137" s="6">
        <f t="shared" si="108"/>
        <v>0.46286987539716007</v>
      </c>
      <c r="BH137" s="6">
        <f t="shared" si="109"/>
        <v>-2.0336662021920544</v>
      </c>
      <c r="BI137" s="6">
        <f t="shared" si="110"/>
        <v>2.0336662021920544</v>
      </c>
      <c r="BV137" s="38"/>
      <c r="BW137" s="6">
        <f t="shared" si="77"/>
        <v>2.1293016874330828</v>
      </c>
      <c r="BX137" s="9">
        <f t="shared" ca="1" si="78"/>
        <v>97.352609295513602</v>
      </c>
      <c r="BY137" s="9">
        <f t="shared" ca="1" si="79"/>
        <v>-40.730936441312629</v>
      </c>
      <c r="BZ137">
        <f t="shared" ca="1" si="80"/>
        <v>105.52980488957218</v>
      </c>
      <c r="CA137" s="6">
        <f t="shared" ca="1" si="81"/>
        <v>0.92251292795798023</v>
      </c>
      <c r="CB137" s="6">
        <f t="shared" ca="1" si="82"/>
        <v>-0.38596618731489207</v>
      </c>
      <c r="CC137" s="6">
        <f t="shared" ca="1" si="83"/>
        <v>-0.3962549362216678</v>
      </c>
      <c r="CD137" s="6">
        <f t="shared" ca="1" si="84"/>
        <v>-171.44641447996645</v>
      </c>
      <c r="CE137" s="9">
        <f t="shared" ca="1" si="85"/>
        <v>52.095538169463573</v>
      </c>
      <c r="CF137">
        <f t="shared" ca="1" si="86"/>
        <v>179.18654563108942</v>
      </c>
      <c r="CG137" s="6">
        <f t="shared" ca="1" si="87"/>
        <v>-0.95680406068512303</v>
      </c>
      <c r="CH137" s="6">
        <f t="shared" ca="1" si="88"/>
        <v>0.29073353686229464</v>
      </c>
      <c r="CI137" s="6">
        <f t="shared" ca="1" si="89"/>
        <v>2.8465992518766696</v>
      </c>
      <c r="CJ137" s="1">
        <f t="shared" ca="1" si="90"/>
        <v>-2.0612010884792209</v>
      </c>
      <c r="CK137" s="38"/>
    </row>
    <row r="138" spans="1:89" ht="18" x14ac:dyDescent="0.35">
      <c r="A138" t="s">
        <v>161</v>
      </c>
      <c r="B138" t="s">
        <v>162</v>
      </c>
      <c r="BC138">
        <v>2.3736477827122862</v>
      </c>
      <c r="BD138">
        <v>-169.15704971180321</v>
      </c>
      <c r="BE138">
        <v>55.893046653408</v>
      </c>
      <c r="BF138" s="6">
        <f t="shared" si="107"/>
        <v>2.8224654578877479</v>
      </c>
      <c r="BG138" s="6">
        <f t="shared" si="108"/>
        <v>0.44881767517546178</v>
      </c>
      <c r="BH138" s="6">
        <f t="shared" si="109"/>
        <v>-2.0370672944902992</v>
      </c>
      <c r="BI138" s="6">
        <f t="shared" si="110"/>
        <v>2.0370672944902992</v>
      </c>
      <c r="BV138" s="38"/>
      <c r="BW138" s="6">
        <f t="shared" si="77"/>
        <v>2.1467549799530259</v>
      </c>
      <c r="BX138" s="9">
        <f t="shared" ca="1" si="78"/>
        <v>98.011582594665086</v>
      </c>
      <c r="BY138" s="9">
        <f t="shared" ca="1" si="79"/>
        <v>-40.31115705244715</v>
      </c>
      <c r="BZ138">
        <f t="shared" ca="1" si="80"/>
        <v>105.97763776201994</v>
      </c>
      <c r="CA138" s="6">
        <f t="shared" ca="1" si="81"/>
        <v>0.92483267851994233</v>
      </c>
      <c r="CB138" s="6">
        <f t="shared" ca="1" si="82"/>
        <v>-0.38037417990924294</v>
      </c>
      <c r="CC138" s="6">
        <f t="shared" ca="1" si="83"/>
        <v>-0.39020085483459971</v>
      </c>
      <c r="CD138" s="6">
        <f t="shared" ca="1" si="84"/>
        <v>-172.10538777911793</v>
      </c>
      <c r="CE138" s="9">
        <f t="shared" ca="1" si="85"/>
        <v>51.675758780598095</v>
      </c>
      <c r="CF138">
        <f t="shared" ca="1" si="86"/>
        <v>179.69598923779884</v>
      </c>
      <c r="CG138" s="6">
        <f t="shared" ca="1" si="87"/>
        <v>-0.95775864842127356</v>
      </c>
      <c r="CH138" s="6">
        <f t="shared" ca="1" si="88"/>
        <v>0.28757324523372368</v>
      </c>
      <c r="CI138" s="6">
        <f t="shared" ca="1" si="89"/>
        <v>2.8499005684052801</v>
      </c>
      <c r="CJ138" s="1">
        <f t="shared" ca="1" si="90"/>
        <v>-2.0645024050078318</v>
      </c>
      <c r="CK138" s="38"/>
    </row>
    <row r="139" spans="1:89" ht="18" x14ac:dyDescent="0.35">
      <c r="A139" t="s">
        <v>163</v>
      </c>
      <c r="B139" t="s">
        <v>164</v>
      </c>
      <c r="BC139">
        <v>2.3911010752322293</v>
      </c>
      <c r="BD139">
        <v>-169.62202340157572</v>
      </c>
      <c r="BE139">
        <v>55.403062704241542</v>
      </c>
      <c r="BF139" s="6">
        <f t="shared" si="107"/>
        <v>2.8258902657071605</v>
      </c>
      <c r="BG139" s="6">
        <f t="shared" si="108"/>
        <v>0.43478919047493125</v>
      </c>
      <c r="BH139" s="6">
        <f t="shared" si="109"/>
        <v>-2.0404921023097122</v>
      </c>
      <c r="BI139" s="6">
        <f t="shared" si="110"/>
        <v>2.0404921023097122</v>
      </c>
      <c r="BV139" s="38"/>
      <c r="BW139" s="6">
        <f t="shared" si="77"/>
        <v>2.164208272472969</v>
      </c>
      <c r="BX139" s="9">
        <f t="shared" ca="1" si="78"/>
        <v>98.648108442778138</v>
      </c>
      <c r="BY139" s="9">
        <f t="shared" ca="1" si="79"/>
        <v>-39.889879378389161</v>
      </c>
      <c r="BZ139">
        <f t="shared" ca="1" si="80"/>
        <v>106.40794977895473</v>
      </c>
      <c r="CA139" s="6">
        <f t="shared" ca="1" si="81"/>
        <v>0.92707460906542782</v>
      </c>
      <c r="CB139" s="6">
        <f t="shared" ca="1" si="82"/>
        <v>-0.37487687208760173</v>
      </c>
      <c r="CC139" s="6">
        <f t="shared" ca="1" si="83"/>
        <v>-0.38426395754861642</v>
      </c>
      <c r="CD139" s="6">
        <f t="shared" ca="1" si="84"/>
        <v>-172.74191362723099</v>
      </c>
      <c r="CE139" s="9">
        <f t="shared" ca="1" si="85"/>
        <v>51.254481106540105</v>
      </c>
      <c r="CF139">
        <f t="shared" ca="1" si="86"/>
        <v>180.18543380944644</v>
      </c>
      <c r="CG139" s="6">
        <f t="shared" ca="1" si="87"/>
        <v>-0.9586896675006078</v>
      </c>
      <c r="CH139" s="6">
        <f t="shared" ca="1" si="88"/>
        <v>0.28445407613105866</v>
      </c>
      <c r="CI139" s="6">
        <f t="shared" ca="1" si="89"/>
        <v>2.8531557215158738</v>
      </c>
      <c r="CJ139" s="1">
        <f t="shared" ca="1" si="90"/>
        <v>-2.0677575581184255</v>
      </c>
      <c r="CK139" s="38"/>
    </row>
    <row r="140" spans="1:89" ht="18" x14ac:dyDescent="0.35">
      <c r="A140" t="s">
        <v>165</v>
      </c>
      <c r="BC140">
        <v>2.4085543677521724</v>
      </c>
      <c r="BD140">
        <v>-170.08004806626116</v>
      </c>
      <c r="BE140">
        <v>54.903209806410956</v>
      </c>
      <c r="BF140" s="6">
        <f t="shared" si="107"/>
        <v>2.8293445678392484</v>
      </c>
      <c r="BG140" s="6">
        <f t="shared" si="108"/>
        <v>0.42079020008707602</v>
      </c>
      <c r="BH140" s="6">
        <f t="shared" si="109"/>
        <v>-2.0439464044418001</v>
      </c>
      <c r="BI140" s="6">
        <f t="shared" si="110"/>
        <v>2.0439464044418001</v>
      </c>
      <c r="BV140" s="38"/>
      <c r="BW140" s="6">
        <f t="shared" si="77"/>
        <v>2.1816615649929121</v>
      </c>
      <c r="BX140" s="9">
        <f t="shared" ca="1" si="78"/>
        <v>99.264010146068912</v>
      </c>
      <c r="BY140" s="9">
        <f t="shared" ca="1" si="79"/>
        <v>-39.466608377543601</v>
      </c>
      <c r="BZ140">
        <f t="shared" ca="1" si="80"/>
        <v>106.822080522265</v>
      </c>
      <c r="CA140" s="6">
        <f t="shared" ca="1" si="81"/>
        <v>0.92924617888695071</v>
      </c>
      <c r="CB140" s="6">
        <f t="shared" ca="1" si="82"/>
        <v>-0.36946114683955766</v>
      </c>
      <c r="CC140" s="6">
        <f t="shared" ca="1" si="83"/>
        <v>-0.37842907177034241</v>
      </c>
      <c r="CD140" s="6">
        <f t="shared" ca="1" si="84"/>
        <v>-173.35781533052176</v>
      </c>
      <c r="CE140" s="9">
        <f t="shared" ca="1" si="85"/>
        <v>50.831210105694545</v>
      </c>
      <c r="CF140">
        <f t="shared" ca="1" si="86"/>
        <v>180.65642545168592</v>
      </c>
      <c r="CG140" s="6">
        <f t="shared" ca="1" si="87"/>
        <v>-0.95959949886689155</v>
      </c>
      <c r="CH140" s="6">
        <f t="shared" ca="1" si="88"/>
        <v>0.28136951109601499</v>
      </c>
      <c r="CI140" s="6">
        <f t="shared" ca="1" si="89"/>
        <v>2.8563716729278443</v>
      </c>
      <c r="CJ140" s="1">
        <f t="shared" ca="1" si="90"/>
        <v>-2.0709735095303961</v>
      </c>
      <c r="CK140" s="38"/>
    </row>
    <row r="141" spans="1:89" ht="18.75" x14ac:dyDescent="0.35">
      <c r="A141" t="s">
        <v>166</v>
      </c>
      <c r="B141" t="s">
        <v>167</v>
      </c>
      <c r="BC141">
        <v>2.4260076602721155</v>
      </c>
      <c r="BD141">
        <v>-170.53175790211637</v>
      </c>
      <c r="BE141">
        <v>54.392635093610743</v>
      </c>
      <c r="BF141" s="6">
        <f t="shared" si="107"/>
        <v>2.8328343181629005</v>
      </c>
      <c r="BG141" s="6">
        <f t="shared" si="108"/>
        <v>0.40682665789078509</v>
      </c>
      <c r="BH141" s="6">
        <f t="shared" si="109"/>
        <v>-2.0474361547654523</v>
      </c>
      <c r="BI141" s="6">
        <f t="shared" si="110"/>
        <v>2.0474361547654523</v>
      </c>
      <c r="BV141" s="38"/>
      <c r="BW141" s="6">
        <f t="shared" si="77"/>
        <v>2.1991148575128552</v>
      </c>
      <c r="BX141" s="9">
        <f t="shared" ca="1" si="78"/>
        <v>99.860939929416659</v>
      </c>
      <c r="BY141" s="9">
        <f t="shared" ca="1" si="79"/>
        <v>-39.040846120487934</v>
      </c>
      <c r="BZ141">
        <f t="shared" ca="1" si="80"/>
        <v>107.22124318151782</v>
      </c>
      <c r="CA141" s="6">
        <f t="shared" ca="1" si="81"/>
        <v>0.93135405789279369</v>
      </c>
      <c r="CB141" s="6">
        <f t="shared" ca="1" si="82"/>
        <v>-0.36411484293643753</v>
      </c>
      <c r="CC141" s="6">
        <f t="shared" ca="1" si="83"/>
        <v>-0.3726822282696105</v>
      </c>
      <c r="CD141" s="6">
        <f t="shared" ca="1" si="84"/>
        <v>-173.95474511386951</v>
      </c>
      <c r="CE141" s="9">
        <f t="shared" ca="1" si="85"/>
        <v>50.405447848638879</v>
      </c>
      <c r="CF141">
        <f t="shared" ca="1" si="86"/>
        <v>181.11036005831681</v>
      </c>
      <c r="CG141" s="6">
        <f t="shared" ca="1" si="87"/>
        <v>-0.96049030578845285</v>
      </c>
      <c r="CH141" s="6">
        <f t="shared" ca="1" si="88"/>
        <v>0.27831344287763837</v>
      </c>
      <c r="CI141" s="6">
        <f t="shared" ca="1" si="89"/>
        <v>2.8595549257427355</v>
      </c>
      <c r="CJ141" s="1">
        <f t="shared" ca="1" si="90"/>
        <v>-2.0741567623452872</v>
      </c>
      <c r="CK141" s="38"/>
    </row>
    <row r="142" spans="1:89" x14ac:dyDescent="0.25">
      <c r="BC142">
        <v>2.4434609527920585</v>
      </c>
      <c r="BD142">
        <v>-170.97775789260461</v>
      </c>
      <c r="BE142">
        <v>53.870423441582638</v>
      </c>
      <c r="BF142" s="6">
        <f t="shared" si="107"/>
        <v>2.8363656948548588</v>
      </c>
      <c r="BG142" s="6">
        <f t="shared" si="108"/>
        <v>0.39290474206280024</v>
      </c>
      <c r="BH142" s="6">
        <f t="shared" si="109"/>
        <v>-2.0509675314574105</v>
      </c>
      <c r="BI142" s="6">
        <f t="shared" si="110"/>
        <v>2.0509675314574105</v>
      </c>
      <c r="BV142" s="38"/>
      <c r="BW142" s="6">
        <f t="shared" si="77"/>
        <v>2.2165681500327983</v>
      </c>
      <c r="BX142" s="9">
        <f t="shared" ca="1" si="78"/>
        <v>100.44040044248676</v>
      </c>
      <c r="BY142" s="9">
        <f t="shared" ca="1" si="79"/>
        <v>-38.612088777672788</v>
      </c>
      <c r="BZ142">
        <f t="shared" ca="1" si="80"/>
        <v>107.6065399537685</v>
      </c>
      <c r="CA142" s="6">
        <f t="shared" ca="1" si="81"/>
        <v>0.93340423812195283</v>
      </c>
      <c r="CB142" s="6">
        <f t="shared" ca="1" si="82"/>
        <v>-0.35882659914780163</v>
      </c>
      <c r="CC142" s="6">
        <f t="shared" ca="1" si="83"/>
        <v>-0.36701046949686472</v>
      </c>
      <c r="CD142" s="6">
        <f t="shared" ca="1" si="84"/>
        <v>-174.53420562693961</v>
      </c>
      <c r="CE142" s="9">
        <f t="shared" ca="1" si="85"/>
        <v>49.976690505823733</v>
      </c>
      <c r="CF142">
        <f t="shared" ca="1" si="86"/>
        <v>181.54850186036163</v>
      </c>
      <c r="CG142" s="6">
        <f t="shared" ca="1" si="87"/>
        <v>-0.96136406435996324</v>
      </c>
      <c r="CH142" s="6">
        <f t="shared" ca="1" si="88"/>
        <v>0.27528010417989235</v>
      </c>
      <c r="CI142" s="6">
        <f t="shared" ca="1" si="89"/>
        <v>2.862711602154878</v>
      </c>
      <c r="CJ142" s="1">
        <f t="shared" ca="1" si="90"/>
        <v>-2.0773134387574297</v>
      </c>
      <c r="CK142" s="38"/>
    </row>
    <row r="143" spans="1:89" x14ac:dyDescent="0.25">
      <c r="A143" t="s">
        <v>168</v>
      </c>
      <c r="B143" s="3">
        <f>B2*1000</f>
        <v>5000</v>
      </c>
      <c r="C143" t="s">
        <v>169</v>
      </c>
      <c r="BC143">
        <v>2.4609142453120016</v>
      </c>
      <c r="BD143">
        <v>-171.41862771234423</v>
      </c>
      <c r="BE143">
        <v>53.335589451934929</v>
      </c>
      <c r="BF143" s="6">
        <f t="shared" si="107"/>
        <v>2.8399451531747881</v>
      </c>
      <c r="BG143" s="6">
        <f t="shared" si="108"/>
        <v>0.37903090786278648</v>
      </c>
      <c r="BH143" s="6">
        <f t="shared" si="109"/>
        <v>-2.0545469897773394</v>
      </c>
      <c r="BI143" s="6">
        <f t="shared" si="110"/>
        <v>2.0545469897773394</v>
      </c>
      <c r="BV143" s="38"/>
      <c r="BW143" s="6">
        <f t="shared" ref="BW143:BW206" si="111">BC130</f>
        <v>2.2340214425527414</v>
      </c>
      <c r="BX143" s="9">
        <f t="shared" ca="1" si="78"/>
        <v>101.00376316891216</v>
      </c>
      <c r="BY143" s="9">
        <f t="shared" ca="1" si="79"/>
        <v>-38.179823619495075</v>
      </c>
      <c r="BZ143">
        <f t="shared" ca="1" si="80"/>
        <v>107.97897529564472</v>
      </c>
      <c r="CA143" s="6">
        <f t="shared" ca="1" si="81"/>
        <v>0.9354021270563595</v>
      </c>
      <c r="CB143" s="6">
        <f t="shared" ca="1" si="82"/>
        <v>-0.3535857190250169</v>
      </c>
      <c r="CC143" s="6">
        <f t="shared" ca="1" si="83"/>
        <v>-0.36140168467971101</v>
      </c>
      <c r="CD143" s="6">
        <f t="shared" ca="1" si="84"/>
        <v>-175.09756835336501</v>
      </c>
      <c r="CE143" s="9">
        <f t="shared" ca="1" si="85"/>
        <v>49.544425347646019</v>
      </c>
      <c r="CF143">
        <f t="shared" ca="1" si="86"/>
        <v>181.971999291896</v>
      </c>
      <c r="CG143" s="6">
        <f t="shared" ca="1" si="87"/>
        <v>-0.96222258938033689</v>
      </c>
      <c r="CH143" s="6">
        <f t="shared" ca="1" si="88"/>
        <v>0.2722640051240699</v>
      </c>
      <c r="CI143" s="6">
        <f t="shared" ca="1" si="89"/>
        <v>2.8658475113984596</v>
      </c>
      <c r="CJ143" s="1">
        <f t="shared" ca="1" si="90"/>
        <v>-2.0804493480010109</v>
      </c>
      <c r="CK143" s="38"/>
    </row>
    <row r="144" spans="1:89" x14ac:dyDescent="0.25">
      <c r="A144" t="s">
        <v>2</v>
      </c>
      <c r="B144" s="3">
        <f>B3*1000</f>
        <v>4074280.688047891</v>
      </c>
      <c r="C144" t="s">
        <v>169</v>
      </c>
      <c r="BC144">
        <v>2.4783675378319447</v>
      </c>
      <c r="BD144">
        <v>-171.85492534700259</v>
      </c>
      <c r="BE144">
        <v>52.787068353274591</v>
      </c>
      <c r="BF144" s="6">
        <f t="shared" si="107"/>
        <v>2.8435794828565881</v>
      </c>
      <c r="BG144" s="6">
        <f t="shared" si="108"/>
        <v>0.36521194502464338</v>
      </c>
      <c r="BH144" s="6">
        <f t="shared" si="109"/>
        <v>-2.0581813194591398</v>
      </c>
      <c r="BI144" s="6">
        <f t="shared" si="110"/>
        <v>2.0581813194591398</v>
      </c>
      <c r="BV144" s="38"/>
      <c r="BW144" s="6">
        <f t="shared" si="111"/>
        <v>2.2514747350726845</v>
      </c>
      <c r="BX144" s="9">
        <f t="shared" ref="BX144:BX207" ca="1" si="112">$BW$5-BD131</f>
        <v>101.55228426756786</v>
      </c>
      <c r="BY144" s="9">
        <f t="shared" ref="BY144:BY207" ca="1" si="113">$BX$5-BE131</f>
        <v>-37.743525984242275</v>
      </c>
      <c r="BZ144">
        <f t="shared" ref="BZ144:BZ207" ca="1" si="114">SQRT(POWER(BX144,2)+POWER(BY144,2))</f>
        <v>108.3394673869319</v>
      </c>
      <c r="CA144" s="6">
        <f t="shared" ref="CA144:CA207" ca="1" si="115">BX144/BZ144</f>
        <v>0.93735262611986292</v>
      </c>
      <c r="CB144" s="6">
        <f t="shared" ref="CB144:CB207" ca="1" si="116">BY144/BZ144</f>
        <v>-0.34838205221594959</v>
      </c>
      <c r="CC144" s="6">
        <f t="shared" ref="CC144:CC207" ca="1" si="117">ATAN2(CA144,CB144)</f>
        <v>-0.3558444664606078</v>
      </c>
      <c r="CD144" s="6">
        <f t="shared" ref="CD144:CD207" ca="1" si="118">$BW$9-BX144</f>
        <v>-175.6460894520207</v>
      </c>
      <c r="CE144" s="9">
        <f t="shared" ref="CE144:CE207" ca="1" si="119">$BX$9-BY144</f>
        <v>49.10812771239322</v>
      </c>
      <c r="CF144">
        <f t="shared" ref="CF144:CF207" ca="1" si="120">SQRT(POWER(CD144,2)+POWER(CE144,2))</f>
        <v>182.38189862813684</v>
      </c>
      <c r="CG144" s="6">
        <f t="shared" ref="CG144:CG207" ca="1" si="121">CD144/CF144</f>
        <v>-0.96306755644730979</v>
      </c>
      <c r="CH144" s="6">
        <f t="shared" ref="CH144:CH207" ca="1" si="122">CE144/CF144</f>
        <v>0.26925987766209764</v>
      </c>
      <c r="CI144" s="6">
        <f t="shared" ref="CI144:CI207" ca="1" si="123">ATAN2(CG144,CH144)</f>
        <v>2.8689682098868849</v>
      </c>
      <c r="CJ144" s="1">
        <f t="shared" ref="CJ144:CJ207" ca="1" si="124">ATAN2(COS($U$13-CI144),SIN($U$13-CI144))</f>
        <v>-2.0835700464894362</v>
      </c>
      <c r="CK144" s="38"/>
    </row>
    <row r="145" spans="1:89" ht="18" x14ac:dyDescent="0.35">
      <c r="A145" t="s">
        <v>161</v>
      </c>
      <c r="B145" s="1">
        <f>(2*0.85*B143)/B144</f>
        <v>2.0862578331765852E-3</v>
      </c>
      <c r="C145" t="s">
        <v>170</v>
      </c>
      <c r="BC145">
        <v>2.4958208303518878</v>
      </c>
      <c r="BD145">
        <v>-172.28719050562984</v>
      </c>
      <c r="BE145">
        <v>52.223705626402861</v>
      </c>
      <c r="BF145" s="6">
        <f t="shared" si="107"/>
        <v>2.8472758713233612</v>
      </c>
      <c r="BG145" s="6">
        <f t="shared" si="108"/>
        <v>0.3514550409714734</v>
      </c>
      <c r="BH145" s="6">
        <f t="shared" si="109"/>
        <v>-2.061877707925913</v>
      </c>
      <c r="BI145" s="6">
        <f t="shared" si="110"/>
        <v>2.061877707925913</v>
      </c>
      <c r="BV145" s="38"/>
      <c r="BW145" s="6">
        <f t="shared" si="111"/>
        <v>2.2689280275926276</v>
      </c>
      <c r="BX145" s="9">
        <f t="shared" ca="1" si="112"/>
        <v>102.08711825768243</v>
      </c>
      <c r="BY145" s="9">
        <f t="shared" ca="1" si="113"/>
        <v>-37.302656164860508</v>
      </c>
      <c r="BZ145">
        <f t="shared" ca="1" si="114"/>
        <v>108.68885808173643</v>
      </c>
      <c r="CA145" s="6">
        <f t="shared" ca="1" si="115"/>
        <v>0.93926019703795827</v>
      </c>
      <c r="CB145" s="6">
        <f t="shared" ca="1" si="116"/>
        <v>-0.34320588902321603</v>
      </c>
      <c r="CC145" s="6">
        <f t="shared" ca="1" si="117"/>
        <v>-0.35032798484832423</v>
      </c>
      <c r="CD145" s="6">
        <f t="shared" ca="1" si="118"/>
        <v>-176.18092344213528</v>
      </c>
      <c r="CE145" s="9">
        <f t="shared" ca="1" si="119"/>
        <v>48.667257893011453</v>
      </c>
      <c r="CF145">
        <f t="shared" ca="1" si="120"/>
        <v>182.77915574744407</v>
      </c>
      <c r="CG145" s="6">
        <f t="shared" ca="1" si="121"/>
        <v>-0.96390052094109724</v>
      </c>
      <c r="CH145" s="6">
        <f t="shared" ca="1" si="122"/>
        <v>0.26626262548371576</v>
      </c>
      <c r="CI145" s="6">
        <f t="shared" ca="1" si="123"/>
        <v>2.8720790551535278</v>
      </c>
      <c r="CJ145" s="1">
        <f t="shared" ca="1" si="124"/>
        <v>-2.0866808917560791</v>
      </c>
      <c r="CK145" s="38"/>
    </row>
    <row r="146" spans="1:89" ht="18" x14ac:dyDescent="0.35">
      <c r="A146" t="s">
        <v>171</v>
      </c>
      <c r="B146" s="1">
        <v>3.0000000000000001E-3</v>
      </c>
      <c r="C146" t="s">
        <v>170</v>
      </c>
      <c r="BC146">
        <v>2.5132741228718309</v>
      </c>
      <c r="BD146">
        <v>-172.71594784918454</v>
      </c>
      <c r="BE146">
        <v>51.644245113766551</v>
      </c>
      <c r="BF146" s="6">
        <f t="shared" si="107"/>
        <v>2.8510419740889814</v>
      </c>
      <c r="BG146" s="6">
        <f t="shared" si="108"/>
        <v>0.33776785121715047</v>
      </c>
      <c r="BH146" s="6">
        <f t="shared" si="109"/>
        <v>-2.0656438106915331</v>
      </c>
      <c r="BI146" s="6">
        <f t="shared" si="110"/>
        <v>2.0656438106915331</v>
      </c>
      <c r="BV146" s="38"/>
      <c r="BW146" s="6">
        <f t="shared" si="111"/>
        <v>2.2863813201125707</v>
      </c>
      <c r="BX146" s="9">
        <f t="shared" ca="1" si="112"/>
        <v>102.60932990885793</v>
      </c>
      <c r="BY146" s="9">
        <f t="shared" ca="1" si="113"/>
        <v>-36.856656173671276</v>
      </c>
      <c r="BZ146">
        <f t="shared" ca="1" si="114"/>
        <v>109.02792160107001</v>
      </c>
      <c r="CA146" s="6">
        <f t="shared" ca="1" si="115"/>
        <v>0.94112891818943856</v>
      </c>
      <c r="CB146" s="6">
        <f t="shared" ca="1" si="116"/>
        <v>-0.33804786546815696</v>
      </c>
      <c r="CC146" s="6">
        <f t="shared" ca="1" si="117"/>
        <v>-0.34484187500397595</v>
      </c>
      <c r="CD146" s="6">
        <f t="shared" ca="1" si="118"/>
        <v>-176.70313509331078</v>
      </c>
      <c r="CE146" s="9">
        <f t="shared" ca="1" si="119"/>
        <v>48.22125790182222</v>
      </c>
      <c r="CF146">
        <f t="shared" ca="1" si="120"/>
        <v>183.16464633066855</v>
      </c>
      <c r="CG146" s="6">
        <f t="shared" ca="1" si="121"/>
        <v>-0.96472293443739821</v>
      </c>
      <c r="CH146" s="6">
        <f t="shared" ca="1" si="122"/>
        <v>0.26326727819935303</v>
      </c>
      <c r="CI146" s="6">
        <f t="shared" ca="1" si="123"/>
        <v>2.875185254933097</v>
      </c>
      <c r="CJ146" s="1">
        <f t="shared" ca="1" si="124"/>
        <v>-2.0897870915356487</v>
      </c>
      <c r="CK146" s="38"/>
    </row>
    <row r="147" spans="1:89" ht="18" x14ac:dyDescent="0.35">
      <c r="A147" t="s">
        <v>172</v>
      </c>
      <c r="B147" s="1">
        <f>B146/B145</f>
        <v>1.4379814193110203</v>
      </c>
      <c r="C147" t="s">
        <v>173</v>
      </c>
      <c r="BC147">
        <v>2.530727415391774</v>
      </c>
      <c r="BD147">
        <v>-173.14171010521619</v>
      </c>
      <c r="BE147">
        <v>51.047315330364675</v>
      </c>
      <c r="BF147" s="6">
        <f t="shared" si="107"/>
        <v>2.8548859940019922</v>
      </c>
      <c r="BG147" s="6">
        <f t="shared" si="108"/>
        <v>0.32415857861021813</v>
      </c>
      <c r="BH147" s="6">
        <f t="shared" si="109"/>
        <v>-2.0694878306045439</v>
      </c>
      <c r="BI147" s="6">
        <f t="shared" si="110"/>
        <v>2.0694878306045439</v>
      </c>
      <c r="BV147" s="38"/>
      <c r="BW147" s="6">
        <f t="shared" si="111"/>
        <v>2.3038346126325138</v>
      </c>
      <c r="BX147" s="9">
        <f t="shared" ca="1" si="112"/>
        <v>103.1199046224457</v>
      </c>
      <c r="BY147" s="9">
        <f t="shared" ca="1" si="113"/>
        <v>-36.404946338107813</v>
      </c>
      <c r="BZ147">
        <f t="shared" ca="1" si="114"/>
        <v>109.35737216677624</v>
      </c>
      <c r="CA147" s="6">
        <f t="shared" ca="1" si="115"/>
        <v>0.94296253265104024</v>
      </c>
      <c r="CB147" s="6">
        <f t="shared" ca="1" si="116"/>
        <v>-0.33289887656214151</v>
      </c>
      <c r="CC147" s="6">
        <f t="shared" ca="1" si="117"/>
        <v>-0.33937613597610217</v>
      </c>
      <c r="CD147" s="6">
        <f t="shared" ca="1" si="118"/>
        <v>-177.21370980689855</v>
      </c>
      <c r="CE147" s="9">
        <f t="shared" ca="1" si="119"/>
        <v>47.769548066258757</v>
      </c>
      <c r="CF147">
        <f t="shared" ca="1" si="120"/>
        <v>183.53917474473468</v>
      </c>
      <c r="CG147" s="6">
        <f t="shared" ca="1" si="121"/>
        <v>-0.96553615898821843</v>
      </c>
      <c r="CH147" s="6">
        <f t="shared" ca="1" si="122"/>
        <v>0.26026894875547085</v>
      </c>
      <c r="CI147" s="6">
        <f t="shared" ca="1" si="123"/>
        <v>2.878291912523891</v>
      </c>
      <c r="CJ147" s="1">
        <f t="shared" ca="1" si="124"/>
        <v>-2.0928937491264428</v>
      </c>
      <c r="CK147" s="38"/>
    </row>
    <row r="148" spans="1:89" ht="18" x14ac:dyDescent="0.35">
      <c r="A148" t="s">
        <v>174</v>
      </c>
      <c r="B148" s="6">
        <f>G38</f>
        <v>12.827699556745026</v>
      </c>
      <c r="C148" t="s">
        <v>4</v>
      </c>
      <c r="BC148">
        <v>2.5481807079117171</v>
      </c>
      <c r="BD148">
        <v>-173.56498110692269</v>
      </c>
      <c r="BE148">
        <v>50.431413627042211</v>
      </c>
      <c r="BF148" s="6">
        <f t="shared" si="107"/>
        <v>2.8588167712752233</v>
      </c>
      <c r="BG148" s="6">
        <f t="shared" si="108"/>
        <v>0.31063606336350613</v>
      </c>
      <c r="BH148" s="6">
        <f t="shared" si="109"/>
        <v>-2.073418607877775</v>
      </c>
      <c r="BI148" s="6">
        <f t="shared" si="110"/>
        <v>2.073418607877775</v>
      </c>
      <c r="BV148" s="38"/>
      <c r="BW148" s="6">
        <f t="shared" si="111"/>
        <v>2.3212879051524569</v>
      </c>
      <c r="BX148" s="9">
        <f t="shared" ca="1" si="112"/>
        <v>103.6197575202783</v>
      </c>
      <c r="BY148" s="9">
        <f t="shared" ca="1" si="113"/>
        <v>-35.946921672947646</v>
      </c>
      <c r="BZ148">
        <f t="shared" ca="1" si="114"/>
        <v>109.6778707229599</v>
      </c>
      <c r="CA148" s="6">
        <f t="shared" ca="1" si="115"/>
        <v>0.9447644892926117</v>
      </c>
      <c r="CB148" s="6">
        <f t="shared" ca="1" si="116"/>
        <v>-0.3277499958377888</v>
      </c>
      <c r="CC148" s="6">
        <f t="shared" ca="1" si="117"/>
        <v>-0.33392103797084238</v>
      </c>
      <c r="CD148" s="6">
        <f t="shared" ca="1" si="118"/>
        <v>-177.71356270473115</v>
      </c>
      <c r="CE148" s="9">
        <f t="shared" ca="1" si="119"/>
        <v>47.31152340109859</v>
      </c>
      <c r="CF148">
        <f t="shared" ca="1" si="120"/>
        <v>183.90348179341552</v>
      </c>
      <c r="CG148" s="6">
        <f t="shared" ca="1" si="121"/>
        <v>-0.96634147962659178</v>
      </c>
      <c r="CH148" s="6">
        <f t="shared" ca="1" si="122"/>
        <v>0.2572627931767224</v>
      </c>
      <c r="CI148" s="6">
        <f t="shared" ca="1" si="123"/>
        <v>2.8814040694144847</v>
      </c>
      <c r="CJ148" s="1">
        <f t="shared" ca="1" si="124"/>
        <v>-2.0960059060170364</v>
      </c>
      <c r="CK148" s="38"/>
    </row>
    <row r="149" spans="1:89" x14ac:dyDescent="0.25">
      <c r="B149" s="1"/>
      <c r="BC149">
        <v>2.5656340004316602</v>
      </c>
      <c r="BD149">
        <v>-173.98625878042557</v>
      </c>
      <c r="BE149">
        <v>49.79488777917625</v>
      </c>
      <c r="BF149" s="6">
        <f t="shared" si="107"/>
        <v>2.8628438866273984</v>
      </c>
      <c r="BG149" s="6">
        <f t="shared" si="108"/>
        <v>0.29720988619573818</v>
      </c>
      <c r="BH149" s="6">
        <f t="shared" si="109"/>
        <v>-2.0774457232299501</v>
      </c>
      <c r="BI149" s="6">
        <f t="shared" si="110"/>
        <v>2.0774457232299501</v>
      </c>
      <c r="BV149" s="38"/>
      <c r="BW149" s="6">
        <f t="shared" si="111"/>
        <v>2.3387411976724</v>
      </c>
      <c r="BX149" s="9">
        <f t="shared" ca="1" si="112"/>
        <v>104.109741469177</v>
      </c>
      <c r="BY149" s="9">
        <f t="shared" ca="1" si="113"/>
        <v>-35.481947983791386</v>
      </c>
      <c r="BZ149">
        <f t="shared" ca="1" si="114"/>
        <v>109.99003091873077</v>
      </c>
      <c r="CA149" s="6">
        <f t="shared" ca="1" si="115"/>
        <v>0.94653797802913076</v>
      </c>
      <c r="CB149" s="6">
        <f t="shared" ca="1" si="116"/>
        <v>-0.32259239939670736</v>
      </c>
      <c r="CC149" s="6">
        <f t="shared" ca="1" si="117"/>
        <v>-0.32846703603798627</v>
      </c>
      <c r="CD149" s="6">
        <f t="shared" ca="1" si="118"/>
        <v>-178.20354665362984</v>
      </c>
      <c r="CE149" s="9">
        <f t="shared" ca="1" si="119"/>
        <v>46.84654971194233</v>
      </c>
      <c r="CF149">
        <f t="shared" ca="1" si="120"/>
        <v>184.25825153801367</v>
      </c>
      <c r="CG149" s="6">
        <f t="shared" ca="1" si="121"/>
        <v>-0.96714011538780553</v>
      </c>
      <c r="CH149" s="6">
        <f t="shared" ca="1" si="122"/>
        <v>0.25424397182167763</v>
      </c>
      <c r="CI149" s="6">
        <f t="shared" ca="1" si="123"/>
        <v>2.8845267460510322</v>
      </c>
      <c r="CJ149" s="1">
        <f t="shared" ca="1" si="124"/>
        <v>-2.0991285826535835</v>
      </c>
      <c r="CK149" s="38"/>
    </row>
    <row r="150" spans="1:89" x14ac:dyDescent="0.25">
      <c r="A150" t="s">
        <v>175</v>
      </c>
      <c r="B150" s="50">
        <f>B28</f>
        <v>29.647411446502637</v>
      </c>
      <c r="C150" t="s">
        <v>4</v>
      </c>
      <c r="D150" t="s">
        <v>176</v>
      </c>
      <c r="BC150">
        <v>2.5830872929516033</v>
      </c>
      <c r="BD150">
        <v>-174.40603816950528</v>
      </c>
      <c r="BE150">
        <v>49.13591448019411</v>
      </c>
      <c r="BF150" s="6">
        <f t="shared" si="107"/>
        <v>2.8669777804519443</v>
      </c>
      <c r="BG150" s="6">
        <f t="shared" si="108"/>
        <v>0.28389048750034096</v>
      </c>
      <c r="BH150" s="6">
        <f t="shared" si="109"/>
        <v>-2.081579617054496</v>
      </c>
      <c r="BI150" s="6">
        <f t="shared" si="110"/>
        <v>2.081579617054496</v>
      </c>
      <c r="BV150" s="38"/>
      <c r="BW150" s="6">
        <f t="shared" si="111"/>
        <v>2.3561944901923431</v>
      </c>
      <c r="BX150" s="9">
        <f t="shared" ca="1" si="112"/>
        <v>104.59065417973933</v>
      </c>
      <c r="BY150" s="9">
        <f t="shared" ca="1" si="113"/>
        <v>-35.009357635961138</v>
      </c>
      <c r="BZ150">
        <f t="shared" ca="1" si="114"/>
        <v>110.29442444579171</v>
      </c>
      <c r="CA150" s="6">
        <f t="shared" ca="1" si="115"/>
        <v>0.94828596010439581</v>
      </c>
      <c r="CB150" s="6">
        <f t="shared" ca="1" si="116"/>
        <v>-0.31741729295815663</v>
      </c>
      <c r="CC150" s="6">
        <f t="shared" ca="1" si="117"/>
        <v>-0.32300468835826812</v>
      </c>
      <c r="CD150" s="6">
        <f t="shared" ca="1" si="118"/>
        <v>-178.68445936419218</v>
      </c>
      <c r="CE150" s="9">
        <f t="shared" ca="1" si="119"/>
        <v>46.373959364112082</v>
      </c>
      <c r="CF150">
        <f t="shared" ca="1" si="120"/>
        <v>184.60411730342844</v>
      </c>
      <c r="CG150" s="6">
        <f t="shared" ca="1" si="121"/>
        <v>-0.96793322908661739</v>
      </c>
      <c r="CH150" s="6">
        <f t="shared" ca="1" si="122"/>
        <v>0.25120761140927617</v>
      </c>
      <c r="CI150" s="6">
        <f t="shared" ca="1" si="123"/>
        <v>2.8876649815386939</v>
      </c>
      <c r="CJ150" s="1">
        <f t="shared" ca="1" si="124"/>
        <v>-2.1022668181412456</v>
      </c>
      <c r="CK150" s="38"/>
    </row>
    <row r="151" spans="1:89" ht="18" x14ac:dyDescent="0.35">
      <c r="A151" t="s">
        <v>177</v>
      </c>
      <c r="B151" s="1">
        <f>(((B145/B146)*B150)-B150)*-1</f>
        <v>9.0300299919442111</v>
      </c>
      <c r="C151" t="s">
        <v>4</v>
      </c>
      <c r="D151" t="s">
        <v>178</v>
      </c>
      <c r="BC151">
        <v>2.6005405854715464</v>
      </c>
      <c r="BD151">
        <v>-174.82481449850167</v>
      </c>
      <c r="BE151">
        <v>48.452474086951582</v>
      </c>
      <c r="BF151" s="6">
        <f t="shared" si="107"/>
        <v>2.8712298914833894</v>
      </c>
      <c r="BG151" s="6">
        <f t="shared" si="108"/>
        <v>0.27068930601184293</v>
      </c>
      <c r="BH151" s="6">
        <f t="shared" si="109"/>
        <v>-2.0858317280859411</v>
      </c>
      <c r="BI151" s="6">
        <f t="shared" si="110"/>
        <v>2.0858317280859411</v>
      </c>
      <c r="BV151" s="38"/>
      <c r="BW151" s="6">
        <f t="shared" si="111"/>
        <v>2.3736477827122862</v>
      </c>
      <c r="BX151" s="9">
        <f t="shared" ca="1" si="112"/>
        <v>105.06324452735036</v>
      </c>
      <c r="BY151" s="9">
        <f t="shared" ca="1" si="113"/>
        <v>-34.528444925257055</v>
      </c>
      <c r="BZ151">
        <f t="shared" ca="1" si="114"/>
        <v>110.59158584435944</v>
      </c>
      <c r="CA151" s="6">
        <f t="shared" ca="1" si="115"/>
        <v>0.95001119411752211</v>
      </c>
      <c r="CB151" s="6">
        <f t="shared" ca="1" si="116"/>
        <v>-0.3122158404876344</v>
      </c>
      <c r="CC151" s="6">
        <f t="shared" ca="1" si="117"/>
        <v>-0.3175245774687665</v>
      </c>
      <c r="CD151" s="6">
        <f t="shared" ca="1" si="118"/>
        <v>-179.15704971180321</v>
      </c>
      <c r="CE151" s="9">
        <f t="shared" ca="1" si="119"/>
        <v>45.893046653408</v>
      </c>
      <c r="CF151">
        <f t="shared" ca="1" si="120"/>
        <v>184.94166699954181</v>
      </c>
      <c r="CG151" s="6">
        <f t="shared" ca="1" si="121"/>
        <v>-0.96872193604833823</v>
      </c>
      <c r="CH151" s="6">
        <f t="shared" ca="1" si="122"/>
        <v>0.24814876711110048</v>
      </c>
      <c r="CI151" s="6">
        <f t="shared" ca="1" si="123"/>
        <v>2.8908238730230038</v>
      </c>
      <c r="CJ151" s="1">
        <f t="shared" ca="1" si="124"/>
        <v>-2.1054257096255555</v>
      </c>
      <c r="CK151" s="38"/>
    </row>
    <row r="152" spans="1:89" x14ac:dyDescent="0.25">
      <c r="A152" t="s">
        <v>179</v>
      </c>
      <c r="B152" s="1">
        <f>B148-B151</f>
        <v>3.797669564800815</v>
      </c>
      <c r="C152" t="s">
        <v>4</v>
      </c>
      <c r="D152" t="s">
        <v>180</v>
      </c>
      <c r="BC152">
        <v>2.6179938779914895</v>
      </c>
      <c r="BD152">
        <v>-175.24308636365393</v>
      </c>
      <c r="BE152">
        <v>47.742320809672869</v>
      </c>
      <c r="BF152" s="6">
        <f t="shared" si="107"/>
        <v>2.8756128193803225</v>
      </c>
      <c r="BG152" s="6">
        <f t="shared" si="108"/>
        <v>0.25761894138883301</v>
      </c>
      <c r="BH152" s="6">
        <f t="shared" si="109"/>
        <v>-2.0902146559828738</v>
      </c>
      <c r="BI152" s="6">
        <f t="shared" si="110"/>
        <v>2.0902146559828738</v>
      </c>
      <c r="BV152" s="38"/>
      <c r="BW152" s="6">
        <f t="shared" si="111"/>
        <v>2.3911010752322293</v>
      </c>
      <c r="BX152" s="9">
        <f t="shared" ca="1" si="112"/>
        <v>105.52821821712287</v>
      </c>
      <c r="BY152" s="9">
        <f t="shared" ca="1" si="113"/>
        <v>-34.038460976090597</v>
      </c>
      <c r="BZ152">
        <f t="shared" ca="1" si="114"/>
        <v>110.88201687244666</v>
      </c>
      <c r="CA152" s="6">
        <f t="shared" ca="1" si="115"/>
        <v>0.95171625835880547</v>
      </c>
      <c r="CB152" s="6">
        <f t="shared" ca="1" si="116"/>
        <v>-0.30697909305930832</v>
      </c>
      <c r="CC152" s="6">
        <f t="shared" ca="1" si="117"/>
        <v>-0.31201723288555316</v>
      </c>
      <c r="CD152" s="6">
        <f t="shared" ca="1" si="118"/>
        <v>-179.62202340157572</v>
      </c>
      <c r="CE152" s="9">
        <f t="shared" ca="1" si="119"/>
        <v>45.403062704241542</v>
      </c>
      <c r="CF152">
        <f t="shared" ca="1" si="120"/>
        <v>185.2714478644821</v>
      </c>
      <c r="CG152" s="6">
        <f t="shared" ca="1" si="121"/>
        <v>-0.96950731195754092</v>
      </c>
      <c r="CH152" s="6">
        <f t="shared" ca="1" si="122"/>
        <v>0.24506238401856653</v>
      </c>
      <c r="CI152" s="6">
        <f t="shared" ca="1" si="123"/>
        <v>2.8940086154749611</v>
      </c>
      <c r="CJ152" s="1">
        <f t="shared" ca="1" si="124"/>
        <v>-2.1086104520775129</v>
      </c>
      <c r="CK152" s="38"/>
    </row>
    <row r="153" spans="1:89" x14ac:dyDescent="0.25">
      <c r="A153" t="s">
        <v>181</v>
      </c>
      <c r="B153" s="1">
        <f>B148-B150</f>
        <v>-16.819711889757613</v>
      </c>
      <c r="C153" t="s">
        <v>4</v>
      </c>
      <c r="D153" t="s">
        <v>182</v>
      </c>
      <c r="BC153">
        <v>2.6354471705114326</v>
      </c>
      <c r="BD153">
        <v>-175.66135908462539</v>
      </c>
      <c r="BE153">
        <v>47.002947327684083</v>
      </c>
      <c r="BF153" s="6">
        <f t="shared" si="107"/>
        <v>2.8801405166660885</v>
      </c>
      <c r="BG153" s="6">
        <f t="shared" si="108"/>
        <v>0.24469334615465588</v>
      </c>
      <c r="BH153" s="6">
        <f t="shared" si="109"/>
        <v>-2.0947423532686402</v>
      </c>
      <c r="BI153" s="6">
        <f t="shared" si="110"/>
        <v>2.0947423532686402</v>
      </c>
      <c r="BV153" s="38"/>
      <c r="BW153" s="6">
        <f t="shared" si="111"/>
        <v>2.4085543677521724</v>
      </c>
      <c r="BX153" s="9">
        <f t="shared" ca="1" si="112"/>
        <v>105.98624288180831</v>
      </c>
      <c r="BY153" s="9">
        <f t="shared" ca="1" si="113"/>
        <v>-33.538608078260012</v>
      </c>
      <c r="BZ153">
        <f t="shared" ca="1" si="114"/>
        <v>111.16619050785535</v>
      </c>
      <c r="CA153" s="6">
        <f t="shared" ca="1" si="115"/>
        <v>0.95340356989492225</v>
      </c>
      <c r="CB153" s="6">
        <f t="shared" ca="1" si="116"/>
        <v>-0.3016979166511069</v>
      </c>
      <c r="CC153" s="6">
        <f t="shared" ca="1" si="117"/>
        <v>-0.30647305366682576</v>
      </c>
      <c r="CD153" s="6">
        <f t="shared" ca="1" si="118"/>
        <v>-180.08004806626116</v>
      </c>
      <c r="CE153" s="9">
        <f t="shared" ca="1" si="119"/>
        <v>44.903209806410956</v>
      </c>
      <c r="CF153">
        <f t="shared" ca="1" si="120"/>
        <v>185.59397070612368</v>
      </c>
      <c r="CG153" s="6">
        <f t="shared" ca="1" si="121"/>
        <v>-0.97029039995812427</v>
      </c>
      <c r="CH153" s="6">
        <f t="shared" ca="1" si="122"/>
        <v>0.24194325729208277</v>
      </c>
      <c r="CI153" s="6">
        <f t="shared" ca="1" si="123"/>
        <v>2.8972245425988126</v>
      </c>
      <c r="CJ153" s="1">
        <f t="shared" ca="1" si="124"/>
        <v>-2.1118263792013643</v>
      </c>
      <c r="CK153" s="38"/>
    </row>
    <row r="154" spans="1:89" x14ac:dyDescent="0.25">
      <c r="BC154">
        <v>2.6529004630313757</v>
      </c>
      <c r="BD154">
        <v>-176.06815674097638</v>
      </c>
      <c r="BE154">
        <v>46.253792659578217</v>
      </c>
      <c r="BF154" s="6">
        <f t="shared" si="107"/>
        <v>2.8846935705018493</v>
      </c>
      <c r="BG154" s="6">
        <f t="shared" si="108"/>
        <v>0.23179310747047355</v>
      </c>
      <c r="BH154" s="6">
        <f t="shared" si="109"/>
        <v>-2.0992954071044005</v>
      </c>
      <c r="BI154" s="6">
        <f t="shared" si="110"/>
        <v>2.0992954071044005</v>
      </c>
      <c r="BV154" s="38"/>
      <c r="BW154" s="6">
        <f t="shared" si="111"/>
        <v>2.4260076602721155</v>
      </c>
      <c r="BX154" s="9">
        <f t="shared" ca="1" si="112"/>
        <v>106.43795271766352</v>
      </c>
      <c r="BY154" s="9">
        <f t="shared" ca="1" si="113"/>
        <v>-33.028033365459798</v>
      </c>
      <c r="BZ154">
        <f t="shared" ca="1" si="114"/>
        <v>111.44455467503785</v>
      </c>
      <c r="CA154" s="6">
        <f t="shared" ca="1" si="115"/>
        <v>0.95507540074996822</v>
      </c>
      <c r="CB154" s="6">
        <f t="shared" ca="1" si="116"/>
        <v>-0.29636291752222915</v>
      </c>
      <c r="CC154" s="6">
        <f t="shared" ca="1" si="117"/>
        <v>-0.30088222944035969</v>
      </c>
      <c r="CD154" s="6">
        <f t="shared" ca="1" si="118"/>
        <v>-180.53175790211637</v>
      </c>
      <c r="CE154" s="9">
        <f t="shared" ca="1" si="119"/>
        <v>44.392635093610743</v>
      </c>
      <c r="CF154">
        <f t="shared" ca="1" si="120"/>
        <v>185.90971373702567</v>
      </c>
      <c r="CG154" s="6">
        <f t="shared" ca="1" si="121"/>
        <v>-0.97107221711654845</v>
      </c>
      <c r="CH154" s="6">
        <f t="shared" ca="1" si="122"/>
        <v>0.2387859902597953</v>
      </c>
      <c r="CI154" s="6">
        <f t="shared" ca="1" si="123"/>
        <v>2.9004771696154976</v>
      </c>
      <c r="CJ154" s="1">
        <f t="shared" ca="1" si="124"/>
        <v>-2.1150790062180489</v>
      </c>
      <c r="CK154" s="38"/>
    </row>
    <row r="155" spans="1:89" x14ac:dyDescent="0.25">
      <c r="A155" t="s">
        <v>183</v>
      </c>
      <c r="BC155">
        <v>2.6703537555513188</v>
      </c>
      <c r="BD155">
        <v>-176.45101829110087</v>
      </c>
      <c r="BE155">
        <v>45.518393650740499</v>
      </c>
      <c r="BF155" s="6">
        <f t="shared" si="107"/>
        <v>2.8891305840657422</v>
      </c>
      <c r="BG155" s="6">
        <f t="shared" si="108"/>
        <v>0.21877682851442337</v>
      </c>
      <c r="BH155" s="6">
        <f t="shared" si="109"/>
        <v>-2.1037324206682939</v>
      </c>
      <c r="BI155" s="6">
        <f t="shared" si="110"/>
        <v>2.1037324206682939</v>
      </c>
      <c r="BV155" s="38"/>
      <c r="BW155" s="6">
        <f t="shared" si="111"/>
        <v>2.4434609527920585</v>
      </c>
      <c r="BX155" s="9">
        <f t="shared" ca="1" si="112"/>
        <v>106.88395270815177</v>
      </c>
      <c r="BY155" s="9">
        <f t="shared" ca="1" si="113"/>
        <v>-32.505821713431693</v>
      </c>
      <c r="BZ155">
        <f t="shared" ca="1" si="114"/>
        <v>111.71753573984628</v>
      </c>
      <c r="CA155" s="6">
        <f t="shared" ca="1" si="115"/>
        <v>0.95673389141924547</v>
      </c>
      <c r="CB155" s="6">
        <f t="shared" ca="1" si="116"/>
        <v>-0.29096436381417468</v>
      </c>
      <c r="CC155" s="6">
        <f t="shared" ca="1" si="117"/>
        <v>-0.29523465843918584</v>
      </c>
      <c r="CD155" s="6">
        <f t="shared" ca="1" si="118"/>
        <v>-180.97775789260461</v>
      </c>
      <c r="CE155" s="9">
        <f t="shared" ca="1" si="119"/>
        <v>43.870423441582638</v>
      </c>
      <c r="CF155">
        <f t="shared" ca="1" si="120"/>
        <v>186.21912604450159</v>
      </c>
      <c r="CG155" s="6">
        <f t="shared" ca="1" si="121"/>
        <v>-0.97185376033477666</v>
      </c>
      <c r="CH155" s="6">
        <f t="shared" ca="1" si="122"/>
        <v>0.23558494969576182</v>
      </c>
      <c r="CI155" s="6">
        <f t="shared" ca="1" si="123"/>
        <v>2.9037722387070772</v>
      </c>
      <c r="CJ155" s="1">
        <f t="shared" ca="1" si="124"/>
        <v>-2.118374075309629</v>
      </c>
      <c r="CK155" s="38"/>
    </row>
    <row r="156" spans="1:89" x14ac:dyDescent="0.25">
      <c r="B156" t="str">
        <f>B48</f>
        <v>xi (in)</v>
      </c>
      <c r="C156" t="str">
        <f t="shared" ref="C156:E156" si="125">C48</f>
        <v>yi (in)</v>
      </c>
      <c r="D156" t="str">
        <f t="shared" si="125"/>
        <v>xj (in)</v>
      </c>
      <c r="E156" t="str">
        <f t="shared" si="125"/>
        <v>yj (in)</v>
      </c>
      <c r="F156" s="1" t="s">
        <v>189</v>
      </c>
      <c r="G156" s="1" t="s">
        <v>190</v>
      </c>
      <c r="H156" s="1" t="s">
        <v>184</v>
      </c>
      <c r="I156" s="1" t="s">
        <v>185</v>
      </c>
      <c r="J156" s="1" t="s">
        <v>186</v>
      </c>
      <c r="K156" s="1" t="s">
        <v>187</v>
      </c>
      <c r="M156" s="1" t="s">
        <v>99</v>
      </c>
      <c r="N156" s="1" t="s">
        <v>100</v>
      </c>
      <c r="O156" s="1" t="s">
        <v>101</v>
      </c>
      <c r="P156" t="s">
        <v>191</v>
      </c>
      <c r="AB156" t="s">
        <v>192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-176.81124451864699</v>
      </c>
      <c r="BE156">
        <v>44.795960310958499</v>
      </c>
      <c r="BF156" s="6">
        <f t="shared" ref="BF156:BF157" si="126">IF(BC156&lt;&gt;"",IF(AND(BD156=0,BE156=0),0,MOD(ATAN2(BD156,BE156),2*PI())),NA())</f>
        <v>2.8934591238427085</v>
      </c>
      <c r="BG156" s="6">
        <f t="shared" ref="BG156:BG157" si="127">ABS(BC156-BF156)</f>
        <v>0.20565207577144662</v>
      </c>
      <c r="BH156" s="6">
        <f t="shared" ref="BH156:BH157" si="128">ATAN2(COS($U$13-BF156),SIN($U$13-BF156))</f>
        <v>-2.1080609604452603</v>
      </c>
      <c r="BI156" s="6">
        <f t="shared" ref="BI156:BI157" si="129">ABS(BH156)</f>
        <v>2.1080609604452603</v>
      </c>
      <c r="BV156" s="38"/>
      <c r="BW156" s="6">
        <f t="shared" si="111"/>
        <v>2.4609142453120016</v>
      </c>
      <c r="BX156" s="9">
        <f t="shared" ca="1" si="112"/>
        <v>107.32482252789138</v>
      </c>
      <c r="BY156" s="9">
        <f t="shared" ca="1" si="113"/>
        <v>-31.970987723783985</v>
      </c>
      <c r="BZ156">
        <f t="shared" ca="1" si="114"/>
        <v>111.98554186446448</v>
      </c>
      <c r="CA156" s="6">
        <f t="shared" ca="1" si="115"/>
        <v>0.95838106188552497</v>
      </c>
      <c r="CB156" s="6">
        <f t="shared" ca="1" si="116"/>
        <v>-0.28549210185077556</v>
      </c>
      <c r="CC156" s="6">
        <f t="shared" ca="1" si="117"/>
        <v>-0.28951986094280385</v>
      </c>
      <c r="CD156" s="6">
        <f t="shared" ca="1" si="118"/>
        <v>-181.41862771234423</v>
      </c>
      <c r="CE156" s="9">
        <f t="shared" ca="1" si="119"/>
        <v>43.335589451934929</v>
      </c>
      <c r="CF156">
        <f t="shared" ca="1" si="120"/>
        <v>186.52263078290744</v>
      </c>
      <c r="CG156" s="6">
        <f t="shared" ca="1" si="121"/>
        <v>-0.97263601178505932</v>
      </c>
      <c r="CH156" s="6">
        <f t="shared" ca="1" si="122"/>
        <v>0.23233421740857257</v>
      </c>
      <c r="CI156" s="6">
        <f t="shared" ca="1" si="123"/>
        <v>2.9071157680024418</v>
      </c>
      <c r="CJ156" s="1">
        <f t="shared" ca="1" si="124"/>
        <v>-2.1217176046049935</v>
      </c>
      <c r="CK156" s="38"/>
    </row>
    <row r="157" spans="1:89" x14ac:dyDescent="0.25">
      <c r="A157" s="1" t="s">
        <v>43</v>
      </c>
      <c r="B157" s="1">
        <f t="shared" ref="B157:E157" si="130">B49</f>
        <v>-3.9306645852684303</v>
      </c>
      <c r="C157" s="1">
        <f t="shared" si="130"/>
        <v>-12.827699556745026</v>
      </c>
      <c r="D157" s="1">
        <f t="shared" si="130"/>
        <v>7.9037608942349626</v>
      </c>
      <c r="E157" s="1">
        <f t="shared" si="130"/>
        <v>-10.84115140226176</v>
      </c>
      <c r="F157" s="6">
        <f>IF(E157-C157=0,0,MIN(MAX(($B$152-C157)/(E157-C157),0),1))</f>
        <v>1</v>
      </c>
      <c r="G157" s="6">
        <f>IF(E157-C157=0,0,MIN(MAX(($B$153-C157)/(E157-C157),0),1))</f>
        <v>0</v>
      </c>
      <c r="H157" s="1">
        <f>IF(AND(F157=0,G157=0),0,IF(C157&gt;E157,B157+(F157*(D157-B157)),B157+(G157*(D157-B157))))</f>
        <v>-3.9306645852684303</v>
      </c>
      <c r="I157" s="1">
        <f>IF(AND(F157=0,G157=0),0,IF(C157&gt;E157,C157+(F157*(E157-C157)),C157+(G157*(E157-C157))))</f>
        <v>-12.827699556745026</v>
      </c>
      <c r="J157">
        <f>IF(AND(F157=0,G157=0),0,IF(C157&gt;E157,B157+(G157*(D157-B157)),B157+(F157*(D157-B157))))</f>
        <v>7.9037608942349626</v>
      </c>
      <c r="K157">
        <f>IF(AND(F157=0,G157=0),0,IF(C157&gt;E157,C157+(G157*(E157-C157)),C157+(F157*(E157-C157))))</f>
        <v>-10.84115140226176</v>
      </c>
      <c r="M157" s="9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8333.9515899606959</v>
      </c>
      <c r="N157" s="9">
        <f>((1/(1200*$B$150*$B$150))*17*$B$143*$B$147*(I157-K157))*Z157</f>
        <v>-91212.898374866461</v>
      </c>
      <c r="O157" s="9">
        <f>((1/(1200*$B$150*$B$150))*17*$B$143*$B$147*(I157-K157))*AW157</f>
        <v>30363.417089893708</v>
      </c>
      <c r="P157">
        <f t="shared" ref="P157:P164" si="131">((2*I157*I157)*((5*$B$150*($B$147-1))+(3*$B$147*K157)-(5*$B$147*$B$148)))</f>
        <v>-24377.410589501731</v>
      </c>
      <c r="Q157">
        <f>(I157)*((20*K157)*(($B$150*($B$147-1))-($B$147*$B$148))+((10*($B$150-$B$148))*(($B$150*($B$147-2))-($B$147*$B$148)))+(9*$B$147*K157*K157))</f>
        <v>41048.680313351069</v>
      </c>
      <c r="R157">
        <f t="shared" ref="R157:R164" si="132">(2*K157)*((15*K157)*(($B$150*($B$147-1))-($B$147*$B$148))+((10*($B$150-$B$148))*(($B$150*($B$147-2))-($B$147*$B$148)))+(6*$B$147*K157*K157))</f>
        <v>86795.125743192926</v>
      </c>
      <c r="S157">
        <f t="shared" ref="S157:S164" si="133">3*$B$147*I157*I157*I157</f>
        <v>-9105.8578816549816</v>
      </c>
      <c r="T157" s="54">
        <f>J157*(SUM(P157:S157))</f>
        <v>745803.12692637241</v>
      </c>
      <c r="U157" s="55">
        <f t="shared" ref="U157:U164" si="134">(I157*I157)*((30*$B$150*($B$147-1))+(9*$B$147*K157)-(30*$B$147*$B$148))</f>
        <v>-50045.165337191909</v>
      </c>
      <c r="V157" s="55">
        <f t="shared" ref="V157:V164" si="135">I157*(((20*K157)*(($B$150*($B$147-1))-($B$147*$B$148)))+(20*($B$150-$B$148)*(($B$150*($B$147-2))-($B$147*$B$148)))+(6*$B$147*K157*K157))</f>
        <v>123301.81787592494</v>
      </c>
      <c r="W157" s="55">
        <f t="shared" ref="W157:W164" si="136">K157*(((10*K157)*(($B$150*($B$147-1))-($B$147*$B$148)))+(10*($B$150-$B$148)*(($B$150*($B$147-2))-($B$147*$B$148)))+(3*$B$147*K157*K157))</f>
        <v>52103.405986934347</v>
      </c>
      <c r="X157" s="55">
        <f t="shared" ref="X157:X164" si="137">12*$B$147*I157*I157*I157</f>
        <v>-36423.431526619926</v>
      </c>
      <c r="Y157" s="54">
        <f t="shared" ref="Y157:Y164" si="138">H157*SUM(U157:X157)</f>
        <v>-349580.05007838394</v>
      </c>
      <c r="Z157" s="54">
        <f t="shared" ref="Z157:Z164" si="139">T157+Y157</f>
        <v>396223.07684798847</v>
      </c>
      <c r="AB157">
        <f>(3*I157)*(((5*$B$150)*($B$147-1))+($B$147*K157)-(5*$B$147*$B$148))</f>
        <v>1650.7042568083089</v>
      </c>
      <c r="AC157">
        <f>(10*($B$150-$B$148))*(($B$150*($B$147-2))-($B$147*$B$148))</f>
        <v>-5905.1299995947829</v>
      </c>
      <c r="AD157">
        <f>(5*K157)*(($B$150*($B$147-1))-($B$147*$B$148))</f>
        <v>296.01646119462907</v>
      </c>
      <c r="AE157">
        <f>6*$B$147*I157*I157</f>
        <v>1419.717984721113</v>
      </c>
      <c r="AF157">
        <f>$B$147*K157*K157</f>
        <v>169.00676684023372</v>
      </c>
      <c r="AG157">
        <f>SUM(AB157:AF157)</f>
        <v>-2369.6845300304981</v>
      </c>
      <c r="AH157" s="52">
        <f>AG157*H157*H157</f>
        <v>-36611.920023890845</v>
      </c>
      <c r="AI157">
        <f>(2*I157)*(((5*$B$150)*($B$147-1))+(2*$B$147*K157)-(5*$B$147*$B$148))</f>
        <v>1500.4211236318554</v>
      </c>
      <c r="AJ157">
        <f>(10*($B$150-$B$148))*(($B$150*($B$147-2))-($B$147*$B$148))</f>
        <v>-5905.1299995947829</v>
      </c>
      <c r="AK157">
        <f>(10*K157)*(($B$150*($B$147-1))-($B$147*$B$148))</f>
        <v>592.03292238925815</v>
      </c>
      <c r="AL157">
        <f>3*$B$147*I157*I157</f>
        <v>709.8589923605565</v>
      </c>
      <c r="AM157">
        <f>3*$B$147*K157*K157</f>
        <v>507.02030052070114</v>
      </c>
      <c r="AN157">
        <f>SUM(AI157:AM157)</f>
        <v>-2595.7966606924119</v>
      </c>
      <c r="AO157" s="52">
        <f>(H157*J157)*AN157</f>
        <v>80643.700616100919</v>
      </c>
      <c r="AP157">
        <f>(I157)*(((5*$B$150)*($B$147-1))+(3*$B$147*K157)-(5*$B$147*$B$148))</f>
        <v>950.18637136241898</v>
      </c>
      <c r="AQ157">
        <f>(10*($B$150-$B$148))*(($B$150*($B$147-2))-($B$147*$B$148))</f>
        <v>-5905.1299995947829</v>
      </c>
      <c r="AR157">
        <f>(15*K157)*(($B$150*($B$147-1))-($B$147*$B$148))</f>
        <v>888.04938358388722</v>
      </c>
      <c r="AS157">
        <f>$B$147*I157*I157</f>
        <v>236.61966412018549</v>
      </c>
      <c r="AT157">
        <f>6*$B$147*K157*K157</f>
        <v>1014.0406010414023</v>
      </c>
      <c r="AU157">
        <f>SUM(AP157:AT157)</f>
        <v>-2816.2339794868894</v>
      </c>
      <c r="AV157" s="52">
        <f>(J157*J157)*AU157</f>
        <v>-175928.54911208327</v>
      </c>
      <c r="AW157" s="52">
        <f>AH157+AO157+AV157</f>
        <v>-131896.76851987321</v>
      </c>
      <c r="BA157"/>
      <c r="BC157">
        <v>2.705260340591205</v>
      </c>
      <c r="BD157">
        <v>-177.15004159445775</v>
      </c>
      <c r="BE157">
        <v>44.085723867838439</v>
      </c>
      <c r="BF157" s="6">
        <f t="shared" si="126"/>
        <v>2.8976863445805936</v>
      </c>
      <c r="BG157" s="6">
        <f t="shared" si="127"/>
        <v>0.19242600398938858</v>
      </c>
      <c r="BH157" s="6">
        <f t="shared" si="128"/>
        <v>-2.1122881811831453</v>
      </c>
      <c r="BI157" s="6">
        <f t="shared" si="129"/>
        <v>2.1122881811831453</v>
      </c>
      <c r="BV157" s="38"/>
      <c r="BW157" s="6">
        <f t="shared" si="111"/>
        <v>2.4783675378319447</v>
      </c>
      <c r="BX157" s="9">
        <f t="shared" ca="1" si="112"/>
        <v>107.76112016254974</v>
      </c>
      <c r="BY157" s="9">
        <f t="shared" ca="1" si="113"/>
        <v>-31.422466625123647</v>
      </c>
      <c r="BZ157">
        <f t="shared" ca="1" si="114"/>
        <v>112.24896626470328</v>
      </c>
      <c r="CA157" s="6">
        <f t="shared" ca="1" si="115"/>
        <v>0.96001882020391716</v>
      </c>
      <c r="CB157" s="6">
        <f t="shared" ca="1" si="116"/>
        <v>-0.27993546551710607</v>
      </c>
      <c r="CC157" s="6">
        <f t="shared" ca="1" si="117"/>
        <v>-0.28372688644760224</v>
      </c>
      <c r="CD157" s="6">
        <f t="shared" ca="1" si="118"/>
        <v>-181.85492534700259</v>
      </c>
      <c r="CE157" s="9">
        <f t="shared" ca="1" si="119"/>
        <v>42.787068353274591</v>
      </c>
      <c r="CF157">
        <f t="shared" ca="1" si="120"/>
        <v>186.82062812021502</v>
      </c>
      <c r="CG157" s="6">
        <f t="shared" ca="1" si="121"/>
        <v>-0.9734199439153095</v>
      </c>
      <c r="CH157" s="6">
        <f t="shared" ca="1" si="122"/>
        <v>0.22902753718257515</v>
      </c>
      <c r="CI157" s="6">
        <f t="shared" ca="1" si="123"/>
        <v>2.9105141050687435</v>
      </c>
      <c r="CJ157" s="1">
        <f t="shared" ca="1" si="124"/>
        <v>-2.1251159416712948</v>
      </c>
      <c r="CK157" s="38"/>
    </row>
    <row r="158" spans="1:89" x14ac:dyDescent="0.25">
      <c r="A158" s="1" t="s">
        <v>44</v>
      </c>
      <c r="B158" s="1">
        <f t="shared" ref="B158:E158" si="140">B50</f>
        <v>7.9037608942349626</v>
      </c>
      <c r="C158" s="1">
        <f t="shared" si="140"/>
        <v>-10.84115140226176</v>
      </c>
      <c r="D158" s="1">
        <f t="shared" si="140"/>
        <v>5.2550300215906081</v>
      </c>
      <c r="E158" s="1">
        <f t="shared" si="140"/>
        <v>4.9380825704094313</v>
      </c>
      <c r="F158" s="6">
        <f t="shared" ref="F158:F164" si="141">IF(E158-C158=0,0,MIN(MAX(($B$152-C158)/(E158-C158),0),1))</f>
        <v>0.9277269728312697</v>
      </c>
      <c r="G158" s="6">
        <f t="shared" ref="G158:G164" si="142">IF(E158-C158=0,0,MIN(MAX(($B$153-C158)/(E158-C158),0),1))</f>
        <v>0</v>
      </c>
      <c r="H158" s="1">
        <f t="shared" ref="H158:H164" si="143">IF(AND(F158=0,G158=0),0,IF(C158&gt;E158,B158+(F158*(D158-B158)),B158+(G158*(D158-B158))))</f>
        <v>7.9037608942349626</v>
      </c>
      <c r="I158" s="1">
        <f t="shared" ref="I158:I164" si="144">IF(AND(F158=0,G158=0),0,IF(C158&gt;E158,C158+(F158*(E158-C158)),C158+(G158*(E158-C158))))</f>
        <v>-10.84115140226176</v>
      </c>
      <c r="J158">
        <f t="shared" ref="J158:J164" si="145">IF(AND(F158=0,G158=0),0,IF(C158&gt;E158,B158+(G158*(D158-B158)),B158+(F158*(D158-B158))))</f>
        <v>5.4464618199118888</v>
      </c>
      <c r="K158">
        <f t="shared" ref="K158:K164" si="146">IF(AND(F158=0,G158=0),0,IF(C158&gt;E158,C158+(G158*(E158-C158)),C158+(F158*(E158-C158))))</f>
        <v>3.797669564800815</v>
      </c>
      <c r="M158" s="9">
        <f t="shared" ref="M158:M164" si="147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339081.81642704504</v>
      </c>
      <c r="N158" s="9">
        <f t="shared" ref="N158:N164" si="148">((1/(1200*$B$150*$B$150))*17*$B$143*$B$147*(I158-K158))*Z158</f>
        <v>-1087648.0768955229</v>
      </c>
      <c r="O158" s="9">
        <f t="shared" ref="O158:O164" si="149">((1/(1200*$B$150*$B$150))*17*$B$143*$B$147*(I158-K158))*AW158</f>
        <v>1122764.9415114012</v>
      </c>
      <c r="P158">
        <f t="shared" si="131"/>
        <v>-2567.3274186981726</v>
      </c>
      <c r="Q158">
        <f t="shared" ref="Q158:Q164" si="150">(I158)*((20*K158)*(($B$150*($B$147-1))-($B$147*$B$148))+((10*($B$150-$B$148))*(($B$150*($B$147-2))-($B$147*$B$148)))+(9*$B$147*K158*K158))</f>
        <v>66491.588327434511</v>
      </c>
      <c r="R158">
        <f t="shared" si="132"/>
        <v>-46269.141978138934</v>
      </c>
      <c r="S158">
        <f t="shared" si="133"/>
        <v>-5496.6838419651776</v>
      </c>
      <c r="T158" s="54">
        <f t="shared" ref="T158:T164" si="151">J158*(SUM(P158:S158))</f>
        <v>66220.452500112442</v>
      </c>
      <c r="U158" s="55">
        <f t="shared" si="134"/>
        <v>-13478.46894816542</v>
      </c>
      <c r="V158" s="55">
        <f t="shared" si="135"/>
        <v>131184.5003262948</v>
      </c>
      <c r="W158" s="55">
        <f t="shared" si="136"/>
        <v>-22977.051319421444</v>
      </c>
      <c r="X158" s="55">
        <f t="shared" si="137"/>
        <v>-21986.735367860711</v>
      </c>
      <c r="Y158" s="54">
        <f t="shared" si="138"/>
        <v>574937.30894638924</v>
      </c>
      <c r="Z158" s="54">
        <f t="shared" si="139"/>
        <v>641157.76144650171</v>
      </c>
      <c r="AB158">
        <f t="shared" ref="AB158:AB164" si="152">(3*I158)*(((5*$B$150)*($B$147-1))+($B$147*K158)-(5*$B$147*$B$148))</f>
        <v>710.43950686711003</v>
      </c>
      <c r="AC158">
        <f t="shared" ref="AC158:AC164" si="153">(10*($B$150-$B$148))*(($B$150*($B$147-2))-($B$147*$B$148))</f>
        <v>-5905.1299995947829</v>
      </c>
      <c r="AD158">
        <f t="shared" ref="AD158:AD164" si="154">(5*K158)*(($B$150*($B$147-1))-($B$147*$B$148))</f>
        <v>-103.69495486654223</v>
      </c>
      <c r="AE158">
        <f t="shared" ref="AE158:AE164" si="155">6*$B$147*I158*I158</f>
        <v>1014.0406010414023</v>
      </c>
      <c r="AF158">
        <f t="shared" ref="AF158:AF164" si="156">$B$147*K158*K158</f>
        <v>20.738990973308443</v>
      </c>
      <c r="AG158">
        <f t="shared" ref="AG158:AG164" si="157">SUM(AB158:AF158)</f>
        <v>-4263.6058555795044</v>
      </c>
      <c r="AH158" s="52">
        <f t="shared" ref="AH158:AH164" si="158">AG158*H158*H158</f>
        <v>-266345.05428932764</v>
      </c>
      <c r="AI158">
        <f t="shared" ref="AI158:AI164" si="159">(2*I158)*(((5*$B$150)*($B$147-1))+(2*$B$147*K158)-(5*$B$147*$B$148))</f>
        <v>355.21975343355496</v>
      </c>
      <c r="AJ158">
        <f t="shared" ref="AJ158:AJ164" si="160">(10*($B$150-$B$148))*(($B$150*($B$147-2))-($B$147*$B$148))</f>
        <v>-5905.1299995947829</v>
      </c>
      <c r="AK158">
        <f t="shared" ref="AK158:AK164" si="161">(10*K158)*(($B$150*($B$147-1))-($B$147*$B$148))</f>
        <v>-207.38990973308447</v>
      </c>
      <c r="AL158">
        <f t="shared" ref="AL158:AL164" si="162">3*$B$147*I158*I158</f>
        <v>507.02030052070114</v>
      </c>
      <c r="AM158">
        <f t="shared" ref="AM158:AM164" si="163">3*$B$147*K158*K158</f>
        <v>62.216972919925325</v>
      </c>
      <c r="AN158">
        <f t="shared" ref="AN158:AN164" si="164">SUM(AI158:AM158)</f>
        <v>-5188.0628824536861</v>
      </c>
      <c r="AO158" s="52">
        <f t="shared" ref="AO158:AO164" si="165">(H158*J158)*AN158</f>
        <v>-223333.30266075337</v>
      </c>
      <c r="AP158">
        <f t="shared" ref="AP158:AP164" si="166">(I158)*(((5*$B$150)*($B$147-1))+(3*$B$147*K158)-(5*$B$147*$B$148))</f>
        <v>118.4065844778516</v>
      </c>
      <c r="AQ158">
        <f t="shared" ref="AQ158:AQ164" si="167">(10*($B$150-$B$148))*(($B$150*($B$147-2))-($B$147*$B$148))</f>
        <v>-5905.1299995947829</v>
      </c>
      <c r="AR158">
        <f t="shared" ref="AR158:AR164" si="168">(15*K158)*(($B$150*($B$147-1))-($B$147*$B$148))</f>
        <v>-311.08486459962677</v>
      </c>
      <c r="AS158">
        <f t="shared" ref="AS158:AS164" si="169">$B$147*I158*I158</f>
        <v>169.00676684023372</v>
      </c>
      <c r="AT158">
        <f t="shared" ref="AT158:AT164" si="170">6*$B$147*K158*K158</f>
        <v>124.43394583985065</v>
      </c>
      <c r="AU158">
        <f t="shared" ref="AU158:AU164" si="171">SUM(AP158:AT158)</f>
        <v>-5804.3675670364737</v>
      </c>
      <c r="AV158" s="52">
        <f t="shared" ref="AV158:AV164" si="172">(J158*J158)*AU158</f>
        <v>-172180.4481376711</v>
      </c>
      <c r="AW158" s="52">
        <f t="shared" ref="AW158:AW164" si="173">AH158+AO158+AV158</f>
        <v>-661858.80508775217</v>
      </c>
      <c r="BC158">
        <v>2.7227136331111481</v>
      </c>
      <c r="BD158">
        <v>-177.46851778590985</v>
      </c>
      <c r="BE158">
        <v>43.386955917978256</v>
      </c>
      <c r="BF158" s="6">
        <f t="shared" ref="BF158:BF194" si="174">IF(BC158&lt;&gt;"",IF(AND(BD158=0,BE158=0),0,MOD(ATAN2(BD158,BE158),2*PI())),NA())</f>
        <v>2.9018189042547462</v>
      </c>
      <c r="BG158" s="6">
        <f t="shared" ref="BG158:BG194" si="175">ABS(BC158-BF158)</f>
        <v>0.17910527114359809</v>
      </c>
      <c r="BH158" s="6">
        <f t="shared" ref="BH158:BH194" si="176">ATAN2(COS($U$13-BF158),SIN($U$13-BF158))</f>
        <v>-2.1164207408572979</v>
      </c>
      <c r="BI158" s="6">
        <f t="shared" ref="BI158:BI194" si="177">ABS(BH158)</f>
        <v>2.1164207408572979</v>
      </c>
      <c r="BV158" s="38"/>
      <c r="BW158" s="6">
        <f t="shared" si="111"/>
        <v>2.4958208303518878</v>
      </c>
      <c r="BX158" s="9">
        <f t="shared" ca="1" si="112"/>
        <v>108.19338532117699</v>
      </c>
      <c r="BY158" s="9">
        <f t="shared" ca="1" si="113"/>
        <v>-30.859103898251917</v>
      </c>
      <c r="BZ158">
        <f t="shared" ca="1" si="114"/>
        <v>112.50819046033841</v>
      </c>
      <c r="CA158" s="6">
        <f t="shared" ca="1" si="115"/>
        <v>0.96164896865279792</v>
      </c>
      <c r="CB158" s="6">
        <f t="shared" ca="1" si="116"/>
        <v>-0.27428317682462794</v>
      </c>
      <c r="CC158" s="6">
        <f t="shared" ca="1" si="117"/>
        <v>-0.27784421263160092</v>
      </c>
      <c r="CD158" s="6">
        <f t="shared" ca="1" si="118"/>
        <v>-182.28719050562984</v>
      </c>
      <c r="CE158" s="9">
        <f t="shared" ca="1" si="119"/>
        <v>42.223705626402861</v>
      </c>
      <c r="CF158">
        <f t="shared" ca="1" si="120"/>
        <v>187.11349801460318</v>
      </c>
      <c r="CG158" s="6">
        <f t="shared" ca="1" si="121"/>
        <v>-0.97420652406061758</v>
      </c>
      <c r="CH158" s="6">
        <f t="shared" ca="1" si="122"/>
        <v>0.22565825594852346</v>
      </c>
      <c r="CI158" s="6">
        <f t="shared" ca="1" si="123"/>
        <v>2.9139739860350113</v>
      </c>
      <c r="CJ158" s="1">
        <f t="shared" ca="1" si="124"/>
        <v>-2.1285758226375631</v>
      </c>
      <c r="CK158" s="38"/>
    </row>
    <row r="159" spans="1:89" x14ac:dyDescent="0.25">
      <c r="A159" s="1" t="s">
        <v>45</v>
      </c>
      <c r="B159" s="1">
        <f t="shared" ref="B159:E159" si="178">B51</f>
        <v>5.2550300215906081</v>
      </c>
      <c r="C159" s="1">
        <f t="shared" si="178"/>
        <v>4.9380825704094313</v>
      </c>
      <c r="D159" s="1">
        <f t="shared" si="178"/>
        <v>5.2550300215906081</v>
      </c>
      <c r="E159" s="1">
        <f t="shared" si="178"/>
        <v>4.9380825704094313</v>
      </c>
      <c r="F159" s="6">
        <f t="shared" si="141"/>
        <v>0</v>
      </c>
      <c r="G159" s="6">
        <f t="shared" si="142"/>
        <v>0</v>
      </c>
      <c r="H159" s="1">
        <f t="shared" si="143"/>
        <v>0</v>
      </c>
      <c r="I159" s="1">
        <f t="shared" si="144"/>
        <v>0</v>
      </c>
      <c r="J159">
        <f t="shared" si="145"/>
        <v>0</v>
      </c>
      <c r="K159">
        <f t="shared" si="146"/>
        <v>0</v>
      </c>
      <c r="M159" s="9">
        <f t="shared" si="147"/>
        <v>0</v>
      </c>
      <c r="N159" s="9">
        <f t="shared" si="148"/>
        <v>0</v>
      </c>
      <c r="O159" s="9">
        <f t="shared" si="149"/>
        <v>0</v>
      </c>
      <c r="P159">
        <f t="shared" si="131"/>
        <v>0</v>
      </c>
      <c r="Q159">
        <f t="shared" si="150"/>
        <v>0</v>
      </c>
      <c r="R159">
        <f t="shared" si="132"/>
        <v>0</v>
      </c>
      <c r="S159">
        <f t="shared" si="133"/>
        <v>0</v>
      </c>
      <c r="T159" s="54">
        <f t="shared" si="151"/>
        <v>0</v>
      </c>
      <c r="U159" s="55">
        <f t="shared" si="134"/>
        <v>0</v>
      </c>
      <c r="V159" s="55">
        <f t="shared" si="135"/>
        <v>0</v>
      </c>
      <c r="W159" s="55">
        <f t="shared" si="136"/>
        <v>0</v>
      </c>
      <c r="X159" s="55">
        <f t="shared" si="137"/>
        <v>0</v>
      </c>
      <c r="Y159" s="54">
        <f t="shared" si="138"/>
        <v>0</v>
      </c>
      <c r="Z159" s="54">
        <f t="shared" si="139"/>
        <v>0</v>
      </c>
      <c r="AB159">
        <f t="shared" si="152"/>
        <v>0</v>
      </c>
      <c r="AC159">
        <f t="shared" si="153"/>
        <v>-5905.1299995947829</v>
      </c>
      <c r="AD159">
        <f t="shared" si="154"/>
        <v>0</v>
      </c>
      <c r="AE159">
        <f t="shared" si="155"/>
        <v>0</v>
      </c>
      <c r="AF159">
        <f t="shared" si="156"/>
        <v>0</v>
      </c>
      <c r="AG159">
        <f t="shared" si="157"/>
        <v>-5905.1299995947829</v>
      </c>
      <c r="AH159" s="52">
        <f t="shared" si="158"/>
        <v>0</v>
      </c>
      <c r="AI159">
        <f t="shared" si="159"/>
        <v>0</v>
      </c>
      <c r="AJ159">
        <f t="shared" si="160"/>
        <v>-5905.1299995947829</v>
      </c>
      <c r="AK159">
        <f t="shared" si="161"/>
        <v>0</v>
      </c>
      <c r="AL159">
        <f t="shared" si="162"/>
        <v>0</v>
      </c>
      <c r="AM159">
        <f t="shared" si="163"/>
        <v>0</v>
      </c>
      <c r="AN159">
        <f t="shared" si="164"/>
        <v>-5905.1299995947829</v>
      </c>
      <c r="AO159" s="52">
        <f t="shared" si="165"/>
        <v>0</v>
      </c>
      <c r="AP159">
        <f t="shared" si="166"/>
        <v>0</v>
      </c>
      <c r="AQ159">
        <f t="shared" si="167"/>
        <v>-5905.1299995947829</v>
      </c>
      <c r="AR159">
        <f t="shared" si="168"/>
        <v>0</v>
      </c>
      <c r="AS159">
        <f t="shared" si="169"/>
        <v>0</v>
      </c>
      <c r="AT159">
        <f t="shared" si="170"/>
        <v>0</v>
      </c>
      <c r="AU159">
        <f t="shared" si="171"/>
        <v>-5905.1299995947829</v>
      </c>
      <c r="AV159" s="52">
        <f t="shared" si="172"/>
        <v>0</v>
      </c>
      <c r="AW159" s="52">
        <f t="shared" si="173"/>
        <v>0</v>
      </c>
      <c r="BC159">
        <v>2.7401669256310912</v>
      </c>
      <c r="BD159">
        <v>-177.76769177142756</v>
      </c>
      <c r="BE159">
        <v>42.698965157348653</v>
      </c>
      <c r="BF159" s="6">
        <f t="shared" si="174"/>
        <v>2.9058630118050202</v>
      </c>
      <c r="BG159" s="6">
        <f t="shared" si="175"/>
        <v>0.16569608617392895</v>
      </c>
      <c r="BH159" s="6">
        <f t="shared" si="176"/>
        <v>-2.1204648484075719</v>
      </c>
      <c r="BI159" s="6">
        <f t="shared" si="177"/>
        <v>2.1204648484075719</v>
      </c>
      <c r="BV159" s="38"/>
      <c r="BW159" s="6">
        <f t="shared" si="111"/>
        <v>2.5132741228718309</v>
      </c>
      <c r="BX159" s="9">
        <f t="shared" ca="1" si="112"/>
        <v>108.6221426647317</v>
      </c>
      <c r="BY159" s="9">
        <f t="shared" ca="1" si="113"/>
        <v>-30.279643385615607</v>
      </c>
      <c r="BZ159">
        <f t="shared" ca="1" si="114"/>
        <v>112.76358756547869</v>
      </c>
      <c r="CA159" s="6">
        <f t="shared" ca="1" si="115"/>
        <v>0.96327320733439625</v>
      </c>
      <c r="CB159" s="6">
        <f t="shared" ca="1" si="116"/>
        <v>-0.26852323555272717</v>
      </c>
      <c r="CC159" s="6">
        <f t="shared" ca="1" si="117"/>
        <v>-0.27185963397940199</v>
      </c>
      <c r="CD159" s="6">
        <f t="shared" ca="1" si="118"/>
        <v>-182.71594784918454</v>
      </c>
      <c r="CE159" s="9">
        <f t="shared" ca="1" si="119"/>
        <v>41.644245113766551</v>
      </c>
      <c r="CF159">
        <f t="shared" ca="1" si="120"/>
        <v>187.40160284672433</v>
      </c>
      <c r="CG159" s="6">
        <f t="shared" ca="1" si="121"/>
        <v>-0.9749967186706926</v>
      </c>
      <c r="CH159" s="6">
        <f t="shared" ca="1" si="122"/>
        <v>0.22221925789945007</v>
      </c>
      <c r="CI159" s="6">
        <f t="shared" ca="1" si="123"/>
        <v>2.9175026016307561</v>
      </c>
      <c r="CJ159" s="1">
        <f t="shared" ca="1" si="124"/>
        <v>-2.1321044382333074</v>
      </c>
      <c r="CK159" s="38"/>
    </row>
    <row r="160" spans="1:89" x14ac:dyDescent="0.25">
      <c r="A160" s="1" t="s">
        <v>46</v>
      </c>
      <c r="B160" s="1">
        <f t="shared" ref="B160:E160" si="179">B52</f>
        <v>5.2550300215906081</v>
      </c>
      <c r="C160" s="1">
        <f t="shared" si="179"/>
        <v>4.9380825704094313</v>
      </c>
      <c r="D160" s="1">
        <f t="shared" si="179"/>
        <v>3.9306645852684303</v>
      </c>
      <c r="E160" s="1">
        <f t="shared" si="179"/>
        <v>12.827699556745026</v>
      </c>
      <c r="F160" s="6">
        <f t="shared" si="141"/>
        <v>0</v>
      </c>
      <c r="G160" s="6">
        <f t="shared" si="142"/>
        <v>0</v>
      </c>
      <c r="H160" s="1">
        <f t="shared" si="143"/>
        <v>0</v>
      </c>
      <c r="I160" s="1">
        <f t="shared" si="144"/>
        <v>0</v>
      </c>
      <c r="J160">
        <f t="shared" si="145"/>
        <v>0</v>
      </c>
      <c r="K160">
        <f t="shared" si="146"/>
        <v>0</v>
      </c>
      <c r="M160" s="9">
        <f t="shared" si="147"/>
        <v>0</v>
      </c>
      <c r="N160" s="9">
        <f t="shared" si="148"/>
        <v>0</v>
      </c>
      <c r="O160" s="9">
        <f t="shared" si="149"/>
        <v>0</v>
      </c>
      <c r="P160">
        <f t="shared" si="131"/>
        <v>0</v>
      </c>
      <c r="Q160">
        <f t="shared" si="150"/>
        <v>0</v>
      </c>
      <c r="R160">
        <f t="shared" si="132"/>
        <v>0</v>
      </c>
      <c r="S160">
        <f t="shared" si="133"/>
        <v>0</v>
      </c>
      <c r="T160" s="54">
        <f t="shared" si="151"/>
        <v>0</v>
      </c>
      <c r="U160" s="55">
        <f t="shared" si="134"/>
        <v>0</v>
      </c>
      <c r="V160" s="55">
        <f t="shared" si="135"/>
        <v>0</v>
      </c>
      <c r="W160" s="55">
        <f t="shared" si="136"/>
        <v>0</v>
      </c>
      <c r="X160" s="55">
        <f t="shared" si="137"/>
        <v>0</v>
      </c>
      <c r="Y160" s="54">
        <f t="shared" si="138"/>
        <v>0</v>
      </c>
      <c r="Z160" s="54">
        <f t="shared" si="139"/>
        <v>0</v>
      </c>
      <c r="AB160">
        <f t="shared" si="152"/>
        <v>0</v>
      </c>
      <c r="AC160">
        <f t="shared" si="153"/>
        <v>-5905.1299995947829</v>
      </c>
      <c r="AD160">
        <f t="shared" si="154"/>
        <v>0</v>
      </c>
      <c r="AE160">
        <f t="shared" si="155"/>
        <v>0</v>
      </c>
      <c r="AF160">
        <f t="shared" si="156"/>
        <v>0</v>
      </c>
      <c r="AG160">
        <f t="shared" si="157"/>
        <v>-5905.1299995947829</v>
      </c>
      <c r="AH160" s="52">
        <f t="shared" si="158"/>
        <v>0</v>
      </c>
      <c r="AI160">
        <f t="shared" si="159"/>
        <v>0</v>
      </c>
      <c r="AJ160">
        <f t="shared" si="160"/>
        <v>-5905.1299995947829</v>
      </c>
      <c r="AK160">
        <f t="shared" si="161"/>
        <v>0</v>
      </c>
      <c r="AL160">
        <f t="shared" si="162"/>
        <v>0</v>
      </c>
      <c r="AM160">
        <f t="shared" si="163"/>
        <v>0</v>
      </c>
      <c r="AN160">
        <f t="shared" si="164"/>
        <v>-5905.1299995947829</v>
      </c>
      <c r="AO160" s="52">
        <f t="shared" si="165"/>
        <v>0</v>
      </c>
      <c r="AP160">
        <f t="shared" si="166"/>
        <v>0</v>
      </c>
      <c r="AQ160">
        <f t="shared" si="167"/>
        <v>-5905.1299995947829</v>
      </c>
      <c r="AR160">
        <f t="shared" si="168"/>
        <v>0</v>
      </c>
      <c r="AS160">
        <f t="shared" si="169"/>
        <v>0</v>
      </c>
      <c r="AT160">
        <f t="shared" si="170"/>
        <v>0</v>
      </c>
      <c r="AU160">
        <f t="shared" si="171"/>
        <v>-5905.1299995947829</v>
      </c>
      <c r="AV160" s="52">
        <f t="shared" si="172"/>
        <v>0</v>
      </c>
      <c r="AW160" s="52">
        <f t="shared" si="173"/>
        <v>0</v>
      </c>
      <c r="BC160">
        <v>2.7576202181510343</v>
      </c>
      <c r="BD160">
        <v>-178.0485000914733</v>
      </c>
      <c r="BE160">
        <v>42.021094386435692</v>
      </c>
      <c r="BF160" s="6">
        <f t="shared" si="174"/>
        <v>2.9098244697716011</v>
      </c>
      <c r="BG160" s="6">
        <f t="shared" si="175"/>
        <v>0.15220425162056683</v>
      </c>
      <c r="BH160" s="6">
        <f t="shared" si="176"/>
        <v>-2.1244263063741529</v>
      </c>
      <c r="BI160" s="6">
        <f t="shared" si="177"/>
        <v>2.1244263063741529</v>
      </c>
      <c r="BV160" s="38"/>
      <c r="BW160" s="6">
        <f t="shared" si="111"/>
        <v>2.530727415391774</v>
      </c>
      <c r="BX160" s="9">
        <f t="shared" ca="1" si="112"/>
        <v>109.04790492076334</v>
      </c>
      <c r="BY160" s="9">
        <f t="shared" ca="1" si="113"/>
        <v>-29.682713602213731</v>
      </c>
      <c r="BZ160">
        <f t="shared" ca="1" si="114"/>
        <v>113.01552572279122</v>
      </c>
      <c r="CA160" s="6">
        <f t="shared" ca="1" si="115"/>
        <v>0.96489313502146767</v>
      </c>
      <c r="CB160" s="6">
        <f t="shared" ca="1" si="116"/>
        <v>-0.26264279542459162</v>
      </c>
      <c r="CC160" s="6">
        <f t="shared" ca="1" si="117"/>
        <v>-0.26576013751201227</v>
      </c>
      <c r="CD160" s="6">
        <f t="shared" ca="1" si="118"/>
        <v>-183.14171010521619</v>
      </c>
      <c r="CE160" s="9">
        <f t="shared" ca="1" si="119"/>
        <v>41.047315330364675</v>
      </c>
      <c r="CF160">
        <f t="shared" ca="1" si="120"/>
        <v>187.68528998324146</v>
      </c>
      <c r="CG160" s="6">
        <f t="shared" ca="1" si="121"/>
        <v>-0.97579149714700086</v>
      </c>
      <c r="CH160" s="6">
        <f t="shared" ca="1" si="122"/>
        <v>0.21870289000288631</v>
      </c>
      <c r="CI160" s="6">
        <f t="shared" ca="1" si="123"/>
        <v>2.9211076716836395</v>
      </c>
      <c r="CJ160" s="1">
        <f t="shared" ca="1" si="124"/>
        <v>-2.1357095082861912</v>
      </c>
      <c r="CK160" s="38"/>
    </row>
    <row r="161" spans="1:89" x14ac:dyDescent="0.25">
      <c r="A161" s="1" t="s">
        <v>47</v>
      </c>
      <c r="B161" s="1">
        <f t="shared" ref="B161:E161" si="180">B53</f>
        <v>3.9306645852684303</v>
      </c>
      <c r="C161" s="1">
        <f t="shared" si="180"/>
        <v>12.827699556745026</v>
      </c>
      <c r="D161" s="1">
        <f t="shared" si="180"/>
        <v>-7.9037608942349626</v>
      </c>
      <c r="E161" s="1">
        <f t="shared" si="180"/>
        <v>10.84115140226176</v>
      </c>
      <c r="F161" s="6">
        <f t="shared" si="141"/>
        <v>1</v>
      </c>
      <c r="G161" s="6">
        <f t="shared" si="142"/>
        <v>1</v>
      </c>
      <c r="H161" s="1">
        <f>IF(AND(F161=0,G161=0),0,IF(C161&gt;E161,B161+(F161*(D161-B161)),B161+(G161*(D161-B161))))</f>
        <v>-7.9037608942349626</v>
      </c>
      <c r="I161" s="1">
        <f t="shared" si="144"/>
        <v>10.84115140226176</v>
      </c>
      <c r="J161">
        <f t="shared" si="145"/>
        <v>-7.9037608942349626</v>
      </c>
      <c r="K161">
        <f t="shared" si="146"/>
        <v>10.84115140226176</v>
      </c>
      <c r="M161" s="9">
        <f t="shared" si="147"/>
        <v>0</v>
      </c>
      <c r="N161" s="9">
        <f t="shared" si="148"/>
        <v>0</v>
      </c>
      <c r="O161" s="9">
        <f t="shared" si="149"/>
        <v>0</v>
      </c>
      <c r="P161">
        <f t="shared" si="131"/>
        <v>4575.049137184923</v>
      </c>
      <c r="Q161">
        <f t="shared" si="150"/>
        <v>-60364.993943240297</v>
      </c>
      <c r="R161">
        <f t="shared" si="132"/>
        <v>-125305.03702366551</v>
      </c>
      <c r="S161">
        <f t="shared" si="133"/>
        <v>5496.6838419651776</v>
      </c>
      <c r="T161" s="54">
        <f t="shared" si="151"/>
        <v>1387886.9607298416</v>
      </c>
      <c r="U161" s="55">
        <f t="shared" si="134"/>
        <v>-2764.9041143407781</v>
      </c>
      <c r="V161" s="55">
        <f t="shared" si="135"/>
        <v>-129880.08616085045</v>
      </c>
      <c r="W161" s="55">
        <f t="shared" si="136"/>
        <v>-64940.043080425225</v>
      </c>
      <c r="X161" s="55">
        <f t="shared" si="137"/>
        <v>21986.735367860711</v>
      </c>
      <c r="Y161" s="54">
        <f t="shared" si="138"/>
        <v>1387886.9607298418</v>
      </c>
      <c r="Z161" s="54">
        <f t="shared" si="139"/>
        <v>2775773.9214596832</v>
      </c>
      <c r="AB161">
        <f t="shared" si="152"/>
        <v>-381.02908306318625</v>
      </c>
      <c r="AC161">
        <f t="shared" si="153"/>
        <v>-5905.1299995947829</v>
      </c>
      <c r="AD161">
        <f t="shared" si="154"/>
        <v>-296.01646119462907</v>
      </c>
      <c r="AE161">
        <f t="shared" si="155"/>
        <v>1014.0406010414023</v>
      </c>
      <c r="AF161">
        <f t="shared" si="156"/>
        <v>169.00676684023372</v>
      </c>
      <c r="AG161">
        <f t="shared" si="157"/>
        <v>-5399.1281759709627</v>
      </c>
      <c r="AH161" s="52">
        <f t="shared" si="158"/>
        <v>-337280.49351986096</v>
      </c>
      <c r="AI161">
        <f t="shared" si="159"/>
        <v>83.994144971676818</v>
      </c>
      <c r="AJ161">
        <f t="shared" si="160"/>
        <v>-5905.1299995947829</v>
      </c>
      <c r="AK161">
        <f t="shared" si="161"/>
        <v>-592.03292238925815</v>
      </c>
      <c r="AL161">
        <f t="shared" si="162"/>
        <v>507.02030052070114</v>
      </c>
      <c r="AM161">
        <f t="shared" si="163"/>
        <v>507.02030052070114</v>
      </c>
      <c r="AN161">
        <f t="shared" si="164"/>
        <v>-5399.1281759709618</v>
      </c>
      <c r="AO161" s="52">
        <f t="shared" si="165"/>
        <v>-337280.49351986096</v>
      </c>
      <c r="AP161">
        <f t="shared" si="166"/>
        <v>211.00383932607207</v>
      </c>
      <c r="AQ161">
        <f t="shared" si="167"/>
        <v>-5905.1299995947829</v>
      </c>
      <c r="AR161">
        <f t="shared" si="168"/>
        <v>-888.04938358388722</v>
      </c>
      <c r="AS161">
        <f t="shared" si="169"/>
        <v>169.00676684023372</v>
      </c>
      <c r="AT161">
        <f t="shared" si="170"/>
        <v>1014.0406010414023</v>
      </c>
      <c r="AU161">
        <f t="shared" si="171"/>
        <v>-5399.1281759709618</v>
      </c>
      <c r="AV161" s="52">
        <f t="shared" si="172"/>
        <v>-337280.49351986096</v>
      </c>
      <c r="AW161" s="52">
        <f t="shared" si="173"/>
        <v>-1011841.4805595828</v>
      </c>
      <c r="BC161">
        <v>2.7750735106709774</v>
      </c>
      <c r="BD161">
        <v>-178.31180380907239</v>
      </c>
      <c r="BE161">
        <v>41.352717761424287</v>
      </c>
      <c r="BF161" s="6">
        <f t="shared" si="174"/>
        <v>2.9137087124434258</v>
      </c>
      <c r="BG161" s="6">
        <f t="shared" si="175"/>
        <v>0.13863520177244837</v>
      </c>
      <c r="BH161" s="6">
        <f t="shared" si="176"/>
        <v>-2.1283105490459775</v>
      </c>
      <c r="BI161" s="6">
        <f t="shared" si="177"/>
        <v>2.1283105490459775</v>
      </c>
      <c r="BV161" s="38"/>
      <c r="BW161" s="6">
        <f t="shared" si="111"/>
        <v>2.5481807079117171</v>
      </c>
      <c r="BX161" s="9">
        <f t="shared" ca="1" si="112"/>
        <v>109.47117592246984</v>
      </c>
      <c r="BY161" s="9">
        <f t="shared" ca="1" si="113"/>
        <v>-29.066811898891267</v>
      </c>
      <c r="BZ161">
        <f t="shared" ca="1" si="114"/>
        <v>113.26437176717958</v>
      </c>
      <c r="CA161" s="6">
        <f t="shared" ca="1" si="115"/>
        <v>0.96651024690706056</v>
      </c>
      <c r="CB161" s="6">
        <f t="shared" ca="1" si="116"/>
        <v>-0.2566280238470709</v>
      </c>
      <c r="CC161" s="6">
        <f t="shared" ca="1" si="117"/>
        <v>-0.25953176265287409</v>
      </c>
      <c r="CD161" s="6">
        <f t="shared" ca="1" si="118"/>
        <v>-183.56498110692269</v>
      </c>
      <c r="CE161" s="9">
        <f t="shared" ca="1" si="119"/>
        <v>40.431413627042211</v>
      </c>
      <c r="CF161">
        <f t="shared" ca="1" si="120"/>
        <v>187.96489431983267</v>
      </c>
      <c r="CG161" s="6">
        <f t="shared" ca="1" si="121"/>
        <v>-0.9765918352528995</v>
      </c>
      <c r="CH161" s="6">
        <f t="shared" ca="1" si="122"/>
        <v>0.21510087707253422</v>
      </c>
      <c r="CI161" s="6">
        <f t="shared" ca="1" si="123"/>
        <v>2.9247975299033611</v>
      </c>
      <c r="CJ161" s="1">
        <f t="shared" ca="1" si="124"/>
        <v>-2.1393993665059128</v>
      </c>
      <c r="CK161" s="38"/>
    </row>
    <row r="162" spans="1:89" x14ac:dyDescent="0.25">
      <c r="A162" s="1" t="s">
        <v>48</v>
      </c>
      <c r="B162" s="1">
        <f t="shared" ref="B162:E162" si="181">B54</f>
        <v>-7.9037608942349626</v>
      </c>
      <c r="C162" s="1">
        <f t="shared" si="181"/>
        <v>10.84115140226176</v>
      </c>
      <c r="D162" s="1">
        <f t="shared" si="181"/>
        <v>-6.5793954579127849</v>
      </c>
      <c r="E162" s="1">
        <f t="shared" si="181"/>
        <v>2.9515344159261647</v>
      </c>
      <c r="F162" s="6">
        <f t="shared" si="141"/>
        <v>0.89275333006150848</v>
      </c>
      <c r="G162" s="6">
        <f t="shared" si="142"/>
        <v>1</v>
      </c>
      <c r="H162" s="1">
        <f t="shared" si="143"/>
        <v>-6.7214292407399761</v>
      </c>
      <c r="I162" s="1">
        <f t="shared" si="144"/>
        <v>3.797669564800815</v>
      </c>
      <c r="J162">
        <f t="shared" si="145"/>
        <v>-6.5793954579127849</v>
      </c>
      <c r="K162">
        <f t="shared" si="146"/>
        <v>2.9515344159261652</v>
      </c>
      <c r="M162" s="9">
        <f t="shared" si="147"/>
        <v>23902.022498714949</v>
      </c>
      <c r="N162" s="9">
        <f t="shared" si="148"/>
        <v>80698.643247517699</v>
      </c>
      <c r="O162" s="9">
        <f t="shared" si="149"/>
        <v>-79482.411882958564</v>
      </c>
      <c r="P162">
        <f t="shared" si="131"/>
        <v>-420.32727458431162</v>
      </c>
      <c r="Q162">
        <f t="shared" si="150"/>
        <v>-23221.806854723061</v>
      </c>
      <c r="R162">
        <f t="shared" si="132"/>
        <v>-35841.908891522056</v>
      </c>
      <c r="S162">
        <f t="shared" si="133"/>
        <v>236.2795044720369</v>
      </c>
      <c r="T162" s="54">
        <f t="shared" si="151"/>
        <v>389814.46617101267</v>
      </c>
      <c r="U162" s="55">
        <f t="shared" si="134"/>
        <v>-1811.8884342366534</v>
      </c>
      <c r="V162" s="55">
        <f t="shared" si="135"/>
        <v>-45790.260174748524</v>
      </c>
      <c r="W162" s="55">
        <f t="shared" si="136"/>
        <v>-17794.008472018304</v>
      </c>
      <c r="X162" s="55">
        <f t="shared" si="137"/>
        <v>945.11801788814762</v>
      </c>
      <c r="Y162" s="54">
        <f t="shared" si="138"/>
        <v>433203.09855489782</v>
      </c>
      <c r="Z162" s="54">
        <f t="shared" si="139"/>
        <v>823017.56472591055</v>
      </c>
      <c r="AB162">
        <f t="shared" si="152"/>
        <v>-262.73006866636405</v>
      </c>
      <c r="AC162">
        <f t="shared" si="153"/>
        <v>-5905.1299995947829</v>
      </c>
      <c r="AD162">
        <f t="shared" si="154"/>
        <v>-80.591326555437803</v>
      </c>
      <c r="AE162">
        <f t="shared" si="155"/>
        <v>124.43394583985065</v>
      </c>
      <c r="AF162">
        <f t="shared" si="156"/>
        <v>12.52705481057275</v>
      </c>
      <c r="AG162">
        <f t="shared" si="157"/>
        <v>-6111.4903941661614</v>
      </c>
      <c r="AH162" s="52">
        <f t="shared" si="158"/>
        <v>-276102.53589178895</v>
      </c>
      <c r="AI162">
        <f t="shared" si="159"/>
        <v>-142.91684848873427</v>
      </c>
      <c r="AJ162">
        <f t="shared" si="160"/>
        <v>-5905.1299995947829</v>
      </c>
      <c r="AK162">
        <f t="shared" si="161"/>
        <v>-161.18265311087561</v>
      </c>
      <c r="AL162">
        <f t="shared" si="162"/>
        <v>62.216972919925325</v>
      </c>
      <c r="AM162">
        <f t="shared" si="163"/>
        <v>37.581164431718257</v>
      </c>
      <c r="AN162">
        <f t="shared" si="164"/>
        <v>-6109.4313638427493</v>
      </c>
      <c r="AO162" s="52">
        <f t="shared" si="165"/>
        <v>-270177.02285189106</v>
      </c>
      <c r="AP162">
        <f t="shared" si="166"/>
        <v>-55.340158933279582</v>
      </c>
      <c r="AQ162">
        <f t="shared" si="167"/>
        <v>-5905.1299995947829</v>
      </c>
      <c r="AR162">
        <f t="shared" si="168"/>
        <v>-241.77397966631341</v>
      </c>
      <c r="AS162">
        <f t="shared" si="169"/>
        <v>20.738990973308443</v>
      </c>
      <c r="AT162">
        <f t="shared" si="170"/>
        <v>75.162328863436514</v>
      </c>
      <c r="AU162">
        <f t="shared" si="171"/>
        <v>-6106.3428183576316</v>
      </c>
      <c r="AV162" s="52">
        <f t="shared" si="172"/>
        <v>-264334.0827498096</v>
      </c>
      <c r="AW162" s="52">
        <f t="shared" si="173"/>
        <v>-810613.64149348962</v>
      </c>
      <c r="BC162">
        <v>2.7925268031909205</v>
      </c>
      <c r="BD162">
        <v>-178.55839449231831</v>
      </c>
      <c r="BE162">
        <v>40.693238265924847</v>
      </c>
      <c r="BF162" s="6">
        <f t="shared" si="174"/>
        <v>2.9175208401104649</v>
      </c>
      <c r="BG162" s="6">
        <f t="shared" si="175"/>
        <v>0.12499403691954436</v>
      </c>
      <c r="BH162" s="6">
        <f t="shared" si="176"/>
        <v>-2.1321226767130161</v>
      </c>
      <c r="BI162" s="6">
        <f t="shared" si="177"/>
        <v>2.1321226767130161</v>
      </c>
      <c r="BV162" s="38"/>
      <c r="BW162" s="6">
        <f t="shared" si="111"/>
        <v>2.5656340004316602</v>
      </c>
      <c r="BX162" s="9">
        <f t="shared" ca="1" si="112"/>
        <v>109.89245359597273</v>
      </c>
      <c r="BY162" s="9">
        <f t="shared" ca="1" si="113"/>
        <v>-28.430286051025305</v>
      </c>
      <c r="BZ162">
        <f t="shared" ca="1" si="114"/>
        <v>113.51049520765092</v>
      </c>
      <c r="CA162" s="6">
        <f t="shared" ca="1" si="115"/>
        <v>0.96812592875170256</v>
      </c>
      <c r="CB162" s="6">
        <f t="shared" ca="1" si="116"/>
        <v>-0.25046394167355396</v>
      </c>
      <c r="CC162" s="6">
        <f t="shared" ca="1" si="117"/>
        <v>-0.25315944170427657</v>
      </c>
      <c r="CD162" s="6">
        <f t="shared" ca="1" si="118"/>
        <v>-183.98625878042557</v>
      </c>
      <c r="CE162" s="9">
        <f t="shared" ca="1" si="119"/>
        <v>39.79488777917625</v>
      </c>
      <c r="CF162">
        <f t="shared" ca="1" si="120"/>
        <v>188.24074084367325</v>
      </c>
      <c r="CG162" s="6">
        <f t="shared" ca="1" si="121"/>
        <v>-0.9773987180236352</v>
      </c>
      <c r="CH162" s="6">
        <f t="shared" ca="1" si="122"/>
        <v>0.21140422419089597</v>
      </c>
      <c r="CI162" s="6">
        <f t="shared" ca="1" si="123"/>
        <v>2.928581221145095</v>
      </c>
      <c r="CJ162" s="1">
        <f t="shared" ca="1" si="124"/>
        <v>-2.1431830577476467</v>
      </c>
      <c r="CK162" s="38"/>
    </row>
    <row r="163" spans="1:89" x14ac:dyDescent="0.25">
      <c r="A163" s="1" t="s">
        <v>93</v>
      </c>
      <c r="B163" s="1">
        <f t="shared" ref="B163:E163" si="182">B55</f>
        <v>-6.5793954579127849</v>
      </c>
      <c r="C163" s="1">
        <f t="shared" si="182"/>
        <v>2.9515344159261647</v>
      </c>
      <c r="D163" s="1">
        <f t="shared" si="182"/>
        <v>-6.5793954579127849</v>
      </c>
      <c r="E163" s="1">
        <f t="shared" si="182"/>
        <v>2.9515344159261647</v>
      </c>
      <c r="F163" s="6">
        <f t="shared" si="141"/>
        <v>0</v>
      </c>
      <c r="G163" s="6">
        <f t="shared" si="142"/>
        <v>0</v>
      </c>
      <c r="H163" s="1">
        <f t="shared" si="143"/>
        <v>0</v>
      </c>
      <c r="I163" s="1">
        <f t="shared" si="144"/>
        <v>0</v>
      </c>
      <c r="J163">
        <f t="shared" si="145"/>
        <v>0</v>
      </c>
      <c r="K163">
        <f t="shared" si="146"/>
        <v>0</v>
      </c>
      <c r="M163" s="9">
        <f t="shared" si="147"/>
        <v>0</v>
      </c>
      <c r="N163" s="9">
        <f t="shared" si="148"/>
        <v>0</v>
      </c>
      <c r="O163" s="9">
        <f t="shared" si="149"/>
        <v>0</v>
      </c>
      <c r="P163">
        <f t="shared" si="131"/>
        <v>0</v>
      </c>
      <c r="Q163">
        <f t="shared" si="150"/>
        <v>0</v>
      </c>
      <c r="R163">
        <f t="shared" si="132"/>
        <v>0</v>
      </c>
      <c r="S163">
        <f t="shared" si="133"/>
        <v>0</v>
      </c>
      <c r="T163" s="54">
        <f t="shared" si="151"/>
        <v>0</v>
      </c>
      <c r="U163" s="55">
        <f t="shared" si="134"/>
        <v>0</v>
      </c>
      <c r="V163" s="55">
        <f t="shared" si="135"/>
        <v>0</v>
      </c>
      <c r="W163" s="55">
        <f t="shared" si="136"/>
        <v>0</v>
      </c>
      <c r="X163" s="55">
        <f t="shared" si="137"/>
        <v>0</v>
      </c>
      <c r="Y163" s="54">
        <f t="shared" si="138"/>
        <v>0</v>
      </c>
      <c r="Z163" s="54">
        <f t="shared" si="139"/>
        <v>0</v>
      </c>
      <c r="AB163">
        <f t="shared" si="152"/>
        <v>0</v>
      </c>
      <c r="AC163">
        <f t="shared" si="153"/>
        <v>-5905.1299995947829</v>
      </c>
      <c r="AD163">
        <f t="shared" si="154"/>
        <v>0</v>
      </c>
      <c r="AE163">
        <f t="shared" si="155"/>
        <v>0</v>
      </c>
      <c r="AF163">
        <f t="shared" si="156"/>
        <v>0</v>
      </c>
      <c r="AG163">
        <f t="shared" si="157"/>
        <v>-5905.1299995947829</v>
      </c>
      <c r="AH163" s="52">
        <f t="shared" si="158"/>
        <v>0</v>
      </c>
      <c r="AI163">
        <f t="shared" si="159"/>
        <v>0</v>
      </c>
      <c r="AJ163">
        <f t="shared" si="160"/>
        <v>-5905.1299995947829</v>
      </c>
      <c r="AK163">
        <f t="shared" si="161"/>
        <v>0</v>
      </c>
      <c r="AL163">
        <f t="shared" si="162"/>
        <v>0</v>
      </c>
      <c r="AM163">
        <f t="shared" si="163"/>
        <v>0</v>
      </c>
      <c r="AN163">
        <f t="shared" si="164"/>
        <v>-5905.1299995947829</v>
      </c>
      <c r="AO163" s="52">
        <f t="shared" si="165"/>
        <v>0</v>
      </c>
      <c r="AP163">
        <f t="shared" si="166"/>
        <v>0</v>
      </c>
      <c r="AQ163">
        <f t="shared" si="167"/>
        <v>-5905.1299995947829</v>
      </c>
      <c r="AR163">
        <f t="shared" si="168"/>
        <v>0</v>
      </c>
      <c r="AS163">
        <f t="shared" si="169"/>
        <v>0</v>
      </c>
      <c r="AT163">
        <f t="shared" si="170"/>
        <v>0</v>
      </c>
      <c r="AU163">
        <f t="shared" si="171"/>
        <v>-5905.1299995947829</v>
      </c>
      <c r="AV163" s="52">
        <f t="shared" si="172"/>
        <v>0</v>
      </c>
      <c r="AW163" s="52">
        <f t="shared" si="173"/>
        <v>0</v>
      </c>
      <c r="BC163">
        <v>2.8099800957108636</v>
      </c>
      <c r="BD163">
        <v>-178.7889995857025</v>
      </c>
      <c r="BE163">
        <v>40.042085380552663</v>
      </c>
      <c r="BF163" s="6">
        <f t="shared" si="174"/>
        <v>2.921265649889127</v>
      </c>
      <c r="BG163" s="6">
        <f t="shared" si="175"/>
        <v>0.11128555417826336</v>
      </c>
      <c r="BH163" s="6">
        <f t="shared" si="176"/>
        <v>-2.1358674864916782</v>
      </c>
      <c r="BI163" s="6">
        <f t="shared" si="177"/>
        <v>2.1358674864916782</v>
      </c>
      <c r="BV163" s="38"/>
      <c r="BW163" s="6">
        <f t="shared" si="111"/>
        <v>2.5830872929516033</v>
      </c>
      <c r="BX163" s="9">
        <f t="shared" ca="1" si="112"/>
        <v>110.31223298505243</v>
      </c>
      <c r="BY163" s="9">
        <f t="shared" ca="1" si="113"/>
        <v>-27.771312752043166</v>
      </c>
      <c r="BZ163">
        <f t="shared" ca="1" si="114"/>
        <v>113.75427270270021</v>
      </c>
      <c r="CA163" s="6">
        <f t="shared" ca="1" si="115"/>
        <v>0.96974144675300566</v>
      </c>
      <c r="CB163" s="6">
        <f t="shared" ca="1" si="116"/>
        <v>-0.24413423858481539</v>
      </c>
      <c r="CC163" s="6">
        <f t="shared" ca="1" si="117"/>
        <v>-0.24662681655291244</v>
      </c>
      <c r="CD163" s="6">
        <f t="shared" ca="1" si="118"/>
        <v>-184.40603816950528</v>
      </c>
      <c r="CE163" s="9">
        <f t="shared" ca="1" si="119"/>
        <v>39.13591448019411</v>
      </c>
      <c r="CF163">
        <f t="shared" ca="1" si="120"/>
        <v>188.51314732817471</v>
      </c>
      <c r="CG163" s="6">
        <f t="shared" ca="1" si="121"/>
        <v>-0.97821314207056587</v>
      </c>
      <c r="CH163" s="6">
        <f t="shared" ca="1" si="122"/>
        <v>0.20760310373506216</v>
      </c>
      <c r="CI163" s="6">
        <f t="shared" ca="1" si="123"/>
        <v>2.9324686138804084</v>
      </c>
      <c r="CJ163" s="1">
        <f t="shared" ca="1" si="124"/>
        <v>-2.1470704504829601</v>
      </c>
      <c r="CK163" s="38"/>
    </row>
    <row r="164" spans="1:89" ht="15.75" thickBot="1" x14ac:dyDescent="0.3">
      <c r="A164" s="1" t="s">
        <v>94</v>
      </c>
      <c r="B164" s="1">
        <f t="shared" ref="B164:E164" si="183">B56</f>
        <v>-6.5793954579127849</v>
      </c>
      <c r="C164" s="1">
        <f t="shared" si="183"/>
        <v>2.9515344159261647</v>
      </c>
      <c r="D164" s="1">
        <f t="shared" si="183"/>
        <v>-3.9306645852684303</v>
      </c>
      <c r="E164" s="1">
        <f t="shared" si="183"/>
        <v>-12.827699556745026</v>
      </c>
      <c r="F164" s="6">
        <f t="shared" si="141"/>
        <v>0</v>
      </c>
      <c r="G164" s="6">
        <f t="shared" si="142"/>
        <v>1</v>
      </c>
      <c r="H164" s="1">
        <f t="shared" si="143"/>
        <v>-6.5793954579127849</v>
      </c>
      <c r="I164" s="1">
        <f t="shared" si="144"/>
        <v>2.9515344159261647</v>
      </c>
      <c r="J164">
        <f t="shared" si="145"/>
        <v>-3.9306645852684303</v>
      </c>
      <c r="K164">
        <f t="shared" si="146"/>
        <v>-12.827699556745026</v>
      </c>
      <c r="M164" s="53">
        <f t="shared" si="147"/>
        <v>281541.9664094795</v>
      </c>
      <c r="N164" s="53">
        <f t="shared" si="148"/>
        <v>-918620.41131054424</v>
      </c>
      <c r="O164" s="53">
        <f t="shared" si="149"/>
        <v>-779342.34875493718</v>
      </c>
      <c r="P164">
        <f t="shared" si="131"/>
        <v>-1439.8959205524659</v>
      </c>
      <c r="Q164">
        <f t="shared" si="150"/>
        <v>-7008.4693893707781</v>
      </c>
      <c r="R164">
        <f t="shared" si="132"/>
        <v>88116.936524148972</v>
      </c>
      <c r="S164">
        <f t="shared" si="133"/>
        <v>110.92210021079666</v>
      </c>
      <c r="T164" s="54">
        <f t="shared" si="151"/>
        <v>-313586.42900171515</v>
      </c>
      <c r="U164" s="55">
        <f t="shared" si="134"/>
        <v>-2873.4481026892554</v>
      </c>
      <c r="V164" s="55">
        <f t="shared" si="135"/>
        <v>-26532.837060099686</v>
      </c>
      <c r="W164" s="55">
        <f t="shared" si="136"/>
        <v>57657.342628042563</v>
      </c>
      <c r="X164" s="55">
        <f t="shared" si="137"/>
        <v>443.68840084318663</v>
      </c>
      <c r="Y164" s="54">
        <f t="shared" si="138"/>
        <v>-188794.08061735902</v>
      </c>
      <c r="Z164" s="54">
        <f t="shared" si="139"/>
        <v>-502380.50961907418</v>
      </c>
      <c r="AB164">
        <f t="shared" si="152"/>
        <v>-405.10593463911067</v>
      </c>
      <c r="AC164">
        <f t="shared" si="153"/>
        <v>-5905.1299995947829</v>
      </c>
      <c r="AD164">
        <f t="shared" si="154"/>
        <v>350.25894272294482</v>
      </c>
      <c r="AE164">
        <f t="shared" si="155"/>
        <v>75.162328863436485</v>
      </c>
      <c r="AF164">
        <f t="shared" si="156"/>
        <v>236.61966412018549</v>
      </c>
      <c r="AG164">
        <f t="shared" si="157"/>
        <v>-5648.1949985273259</v>
      </c>
      <c r="AH164" s="52">
        <f t="shared" si="158"/>
        <v>-244501.5762363215</v>
      </c>
      <c r="AI164">
        <f t="shared" si="159"/>
        <v>-378.95859307460535</v>
      </c>
      <c r="AJ164">
        <f t="shared" si="160"/>
        <v>-5905.1299995947829</v>
      </c>
      <c r="AK164">
        <f t="shared" si="161"/>
        <v>700.51788544588965</v>
      </c>
      <c r="AL164">
        <f t="shared" si="162"/>
        <v>37.581164431718243</v>
      </c>
      <c r="AM164">
        <f t="shared" si="163"/>
        <v>709.8589923605565</v>
      </c>
      <c r="AN164">
        <f t="shared" si="164"/>
        <v>-4836.1305504312231</v>
      </c>
      <c r="AO164" s="52">
        <f t="shared" si="165"/>
        <v>-125069.09074906386</v>
      </c>
      <c r="AP164">
        <f t="shared" si="166"/>
        <v>-243.92328152823512</v>
      </c>
      <c r="AQ164">
        <f t="shared" si="167"/>
        <v>-5905.1299995947829</v>
      </c>
      <c r="AR164">
        <f t="shared" si="168"/>
        <v>1050.7768281688345</v>
      </c>
      <c r="AS164">
        <f t="shared" si="169"/>
        <v>12.527054810572748</v>
      </c>
      <c r="AT164">
        <f t="shared" si="170"/>
        <v>1419.717984721113</v>
      </c>
      <c r="AU164">
        <f t="shared" si="171"/>
        <v>-3666.0314134224982</v>
      </c>
      <c r="AV164" s="52">
        <f t="shared" si="172"/>
        <v>-56640.640225460127</v>
      </c>
      <c r="AW164" s="52">
        <f t="shared" si="173"/>
        <v>-426211.30721084547</v>
      </c>
      <c r="BC164">
        <v>2.8274333882308067</v>
      </c>
      <c r="BD164">
        <v>-179.00428722680013</v>
      </c>
      <c r="BE164">
        <v>39.398712930121135</v>
      </c>
      <c r="BF164" s="6">
        <f t="shared" si="174"/>
        <v>2.924947663525963</v>
      </c>
      <c r="BG164" s="6">
        <f t="shared" si="175"/>
        <v>9.7514275295156327E-2</v>
      </c>
      <c r="BH164" s="6">
        <f t="shared" si="176"/>
        <v>-2.1395495001285143</v>
      </c>
      <c r="BI164" s="6">
        <f t="shared" si="177"/>
        <v>2.1395495001285143</v>
      </c>
      <c r="BV164" s="38"/>
      <c r="BW164" s="6">
        <f t="shared" si="111"/>
        <v>2.6005405854715464</v>
      </c>
      <c r="BX164" s="9">
        <f t="shared" ca="1" si="112"/>
        <v>110.73100931404882</v>
      </c>
      <c r="BY164" s="9">
        <f t="shared" ca="1" si="113"/>
        <v>-27.087872358800638</v>
      </c>
      <c r="BZ164">
        <f t="shared" ca="1" si="114"/>
        <v>113.99609314636463</v>
      </c>
      <c r="CA164" s="6">
        <f t="shared" ca="1" si="115"/>
        <v>0.97135793216945054</v>
      </c>
      <c r="CB164" s="6">
        <f t="shared" ca="1" si="116"/>
        <v>-0.23762105885524795</v>
      </c>
      <c r="CC164" s="6">
        <f t="shared" ca="1" si="117"/>
        <v>-0.23991602641304396</v>
      </c>
      <c r="CD164" s="6">
        <f t="shared" ca="1" si="118"/>
        <v>-184.82481449850167</v>
      </c>
      <c r="CE164" s="9">
        <f t="shared" ca="1" si="119"/>
        <v>38.452474086951582</v>
      </c>
      <c r="CF164">
        <f t="shared" ca="1" si="120"/>
        <v>188.7824271954708</v>
      </c>
      <c r="CG164" s="6">
        <f t="shared" ca="1" si="121"/>
        <v>-0.97903611710177185</v>
      </c>
      <c r="CH164" s="6">
        <f t="shared" ca="1" si="122"/>
        <v>0.20368672369667529</v>
      </c>
      <c r="CI164" s="6">
        <f t="shared" ca="1" si="123"/>
        <v>2.9364705311560795</v>
      </c>
      <c r="CJ164" s="1">
        <f t="shared" ca="1" si="124"/>
        <v>-2.1510723677586312</v>
      </c>
      <c r="CK164" s="38"/>
    </row>
    <row r="165" spans="1:89" ht="15.75" thickTop="1" x14ac:dyDescent="0.25">
      <c r="M165" s="9">
        <f>SUM(M157:M164)</f>
        <v>652859.75692520023</v>
      </c>
      <c r="N165" s="9">
        <f t="shared" ref="N165:O165" si="184">SUM(N157:N164)</f>
        <v>-2016782.7433334158</v>
      </c>
      <c r="O165" s="9">
        <f t="shared" si="184"/>
        <v>294303.59796339914</v>
      </c>
      <c r="AA165" s="52"/>
      <c r="AC165" s="52"/>
      <c r="BC165">
        <v>2.8448866807507498</v>
      </c>
      <c r="BD165">
        <v>-179.20487057385176</v>
      </c>
      <c r="BE165">
        <v>38.762597090354873</v>
      </c>
      <c r="BF165" s="6">
        <f t="shared" si="174"/>
        <v>2.9285711525513407</v>
      </c>
      <c r="BG165" s="6">
        <f t="shared" si="175"/>
        <v>8.3684471800590909E-2</v>
      </c>
      <c r="BH165" s="6">
        <f t="shared" si="176"/>
        <v>-2.1431729891538924</v>
      </c>
      <c r="BI165" s="6">
        <f t="shared" si="177"/>
        <v>2.1431729891538924</v>
      </c>
      <c r="BV165" s="38"/>
      <c r="BW165" s="6">
        <f t="shared" si="111"/>
        <v>2.6179938779914895</v>
      </c>
      <c r="BX165" s="9">
        <f t="shared" ca="1" si="112"/>
        <v>111.14928117920108</v>
      </c>
      <c r="BY165" s="9">
        <f t="shared" ca="1" si="113"/>
        <v>-26.377719081521924</v>
      </c>
      <c r="BZ165">
        <f t="shared" ca="1" si="114"/>
        <v>114.23636360895242</v>
      </c>
      <c r="CA165" s="6">
        <f t="shared" ca="1" si="115"/>
        <v>0.97297635943385885</v>
      </c>
      <c r="CB165" s="6">
        <f t="shared" ca="1" si="116"/>
        <v>-0.23090475088840073</v>
      </c>
      <c r="CC165" s="6">
        <f t="shared" ca="1" si="117"/>
        <v>-0.23300746003876044</v>
      </c>
      <c r="CD165" s="6">
        <f t="shared" ca="1" si="118"/>
        <v>-185.24308636365393</v>
      </c>
      <c r="CE165" s="9">
        <f t="shared" ca="1" si="119"/>
        <v>37.742320809672869</v>
      </c>
      <c r="CF165">
        <f t="shared" ca="1" si="120"/>
        <v>189.0488926855495</v>
      </c>
      <c r="CG165" s="6">
        <f t="shared" ca="1" si="121"/>
        <v>-0.97986866641834347</v>
      </c>
      <c r="CH165" s="6">
        <f t="shared" ca="1" si="122"/>
        <v>0.19964317311527852</v>
      </c>
      <c r="CI165" s="6">
        <f t="shared" ca="1" si="123"/>
        <v>2.9405989041861562</v>
      </c>
      <c r="CJ165" s="1">
        <f t="shared" ca="1" si="124"/>
        <v>-2.1552007407887079</v>
      </c>
      <c r="CK165" s="38"/>
    </row>
    <row r="166" spans="1:89" x14ac:dyDescent="0.25">
      <c r="A166" t="s">
        <v>188</v>
      </c>
      <c r="M166" s="9"/>
      <c r="BC166">
        <v>2.8623399732706929</v>
      </c>
      <c r="BD166">
        <v>-179.39131169930013</v>
      </c>
      <c r="BE166">
        <v>38.133234537904762</v>
      </c>
      <c r="BF166" s="6">
        <f t="shared" si="174"/>
        <v>2.9321401611029159</v>
      </c>
      <c r="BG166" s="6">
        <f t="shared" si="175"/>
        <v>6.9800187832222971E-2</v>
      </c>
      <c r="BH166" s="6">
        <f t="shared" si="176"/>
        <v>-2.1467419977054676</v>
      </c>
      <c r="BI166" s="6">
        <f t="shared" si="177"/>
        <v>2.1467419977054676</v>
      </c>
      <c r="BV166" s="38"/>
      <c r="BW166" s="6">
        <f t="shared" si="111"/>
        <v>2.6354471705114326</v>
      </c>
      <c r="BX166" s="9">
        <f t="shared" ca="1" si="112"/>
        <v>111.56755390017254</v>
      </c>
      <c r="BY166" s="9">
        <f t="shared" ca="1" si="113"/>
        <v>-25.638345599533139</v>
      </c>
      <c r="BZ166">
        <f t="shared" ca="1" si="114"/>
        <v>114.47551637074631</v>
      </c>
      <c r="CA166" s="6">
        <f t="shared" ca="1" si="115"/>
        <v>0.97459751602119105</v>
      </c>
      <c r="CB166" s="6">
        <f t="shared" ca="1" si="116"/>
        <v>-0.22396357240704179</v>
      </c>
      <c r="CC166" s="6">
        <f t="shared" ca="1" si="117"/>
        <v>-0.22587946435174089</v>
      </c>
      <c r="CD166" s="6">
        <f t="shared" ca="1" si="118"/>
        <v>-185.66135908462539</v>
      </c>
      <c r="CE166" s="9">
        <f t="shared" ca="1" si="119"/>
        <v>37.002947327684083</v>
      </c>
      <c r="CF166">
        <f t="shared" ca="1" si="120"/>
        <v>189.31285843303294</v>
      </c>
      <c r="CG166" s="6">
        <f t="shared" ca="1" si="121"/>
        <v>-0.98071182602897933</v>
      </c>
      <c r="CH166" s="6">
        <f t="shared" ca="1" si="122"/>
        <v>0.19545923945136254</v>
      </c>
      <c r="CI166" s="6">
        <f t="shared" ca="1" si="123"/>
        <v>2.9448669537038721</v>
      </c>
      <c r="CJ166" s="1">
        <f t="shared" ca="1" si="124"/>
        <v>-2.1594687903064238</v>
      </c>
      <c r="CK166" s="38"/>
    </row>
    <row r="167" spans="1:89" x14ac:dyDescent="0.25">
      <c r="B167" t="str">
        <f t="shared" ref="B167:E167" si="185">B156</f>
        <v>xi (in)</v>
      </c>
      <c r="C167" t="str">
        <f t="shared" si="185"/>
        <v>yi (in)</v>
      </c>
      <c r="D167" t="str">
        <f t="shared" si="185"/>
        <v>xj (in)</v>
      </c>
      <c r="E167" t="str">
        <f t="shared" si="185"/>
        <v>yj (in)</v>
      </c>
      <c r="F167" s="1" t="s">
        <v>189</v>
      </c>
      <c r="G167" s="1" t="s">
        <v>190</v>
      </c>
      <c r="H167" s="1" t="s">
        <v>184</v>
      </c>
      <c r="I167" s="1" t="s">
        <v>185</v>
      </c>
      <c r="J167" s="1" t="s">
        <v>186</v>
      </c>
      <c r="K167" s="1" t="s">
        <v>187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-179.56412507735138</v>
      </c>
      <c r="BE167">
        <v>37.510140729092008</v>
      </c>
      <c r="BF167" s="6">
        <f t="shared" si="174"/>
        <v>2.9356585266750264</v>
      </c>
      <c r="BG167" s="6">
        <f t="shared" si="175"/>
        <v>5.5865260884390366E-2</v>
      </c>
      <c r="BH167" s="6">
        <f t="shared" si="176"/>
        <v>-2.1502603632775781</v>
      </c>
      <c r="BI167" s="6">
        <f t="shared" si="177"/>
        <v>2.1502603632775781</v>
      </c>
      <c r="BV167" s="38"/>
      <c r="BW167" s="6">
        <f t="shared" si="111"/>
        <v>2.6529004630313757</v>
      </c>
      <c r="BX167" s="9">
        <f t="shared" ca="1" si="112"/>
        <v>111.97435155652353</v>
      </c>
      <c r="BY167" s="9">
        <f t="shared" ca="1" si="113"/>
        <v>-24.889190931427272</v>
      </c>
      <c r="BZ167">
        <f t="shared" ca="1" si="114"/>
        <v>114.70713679507899</v>
      </c>
      <c r="CA167" s="6">
        <f t="shared" ca="1" si="115"/>
        <v>0.97617597897646502</v>
      </c>
      <c r="CB167" s="6">
        <f t="shared" ca="1" si="116"/>
        <v>-0.21698031723946781</v>
      </c>
      <c r="CC167" s="6">
        <f t="shared" ca="1" si="117"/>
        <v>-0.21872002184680225</v>
      </c>
      <c r="CD167" s="6">
        <f t="shared" ca="1" si="118"/>
        <v>-186.06815674097638</v>
      </c>
      <c r="CE167" s="9">
        <f t="shared" ca="1" si="119"/>
        <v>36.253792659578217</v>
      </c>
      <c r="CF167">
        <f t="shared" ca="1" si="120"/>
        <v>189.5671290999266</v>
      </c>
      <c r="CG167" s="6">
        <f t="shared" ca="1" si="121"/>
        <v>-0.98154230443029067</v>
      </c>
      <c r="CH167" s="6">
        <f t="shared" ca="1" si="122"/>
        <v>0.19124514271916698</v>
      </c>
      <c r="CI167" s="6">
        <f t="shared" ca="1" si="123"/>
        <v>2.9491621060882562</v>
      </c>
      <c r="CJ167" s="1">
        <f t="shared" ca="1" si="124"/>
        <v>-2.163763942690808</v>
      </c>
      <c r="CK167" s="38"/>
    </row>
    <row r="168" spans="1:89" x14ac:dyDescent="0.25">
      <c r="A168" s="1" t="str">
        <f t="shared" ref="A168:E175" si="186">A157</f>
        <v>Segment 1</v>
      </c>
      <c r="B168" s="1">
        <f t="shared" si="186"/>
        <v>-3.9306645852684303</v>
      </c>
      <c r="C168" s="1">
        <f t="shared" si="186"/>
        <v>-12.827699556745026</v>
      </c>
      <c r="D168" s="1">
        <f t="shared" si="186"/>
        <v>7.9037608942349626</v>
      </c>
      <c r="E168" s="1">
        <f t="shared" si="186"/>
        <v>-10.84115140226176</v>
      </c>
      <c r="F168" s="6">
        <f>IF(E168-C168=0,0,MIN(MAX(($B$148-C168)/(E168-C168),0),1))</f>
        <v>1</v>
      </c>
      <c r="G168" s="6">
        <f>IF(E168-C168=0,0,MIN(MAX(($B$152-C168)/(E168-C168),0),1))</f>
        <v>1</v>
      </c>
      <c r="H168" s="1">
        <f>IF(AND(F168=0,G168=0),0,IF(C168&gt;E168,B168+(F168*(D168-B168)),B168+(G168*(D168-B168))))</f>
        <v>7.9037608942349626</v>
      </c>
      <c r="I168" s="1">
        <f>IF(AND(F168=0,G168=0),0,IF(C168&gt;E168,C168+(F168*(E168-C168)),C168+(G168*(E168-C168))))</f>
        <v>-10.84115140226176</v>
      </c>
      <c r="J168">
        <f>IF(AND(F168=0,G168=0),0,IF(C168&gt;E168,B168+(G168*(D168-B168)),B168+(F168*(D168-B168))))</f>
        <v>7.9037608942349626</v>
      </c>
      <c r="K168">
        <f>IF(AND(F168=0,G168=0),0,IF(C168&gt;E168,C168+(G168*(E168-C168)),C168+(F168*(E168-C168))))</f>
        <v>-10.84115140226176</v>
      </c>
      <c r="L168" s="6">
        <f>0.85*$B$143</f>
        <v>4250</v>
      </c>
      <c r="M168" s="6">
        <f>L168</f>
        <v>4250</v>
      </c>
      <c r="N168" s="10">
        <f t="shared" ref="N168" si="187">(1/6)*(K168-I168)*((L168*((2*H168)+J168))+(M168*(H168+(2*J168))))</f>
        <v>0</v>
      </c>
      <c r="O168" s="10">
        <f t="shared" ref="O168" si="188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>
        <v>2.8972465583105791</v>
      </c>
      <c r="BD168">
        <v>-179.72378072696057</v>
      </c>
      <c r="BE168">
        <v>36.892848294251728</v>
      </c>
      <c r="BF168" s="6">
        <f t="shared" si="174"/>
        <v>2.9391298990609567</v>
      </c>
      <c r="BG168" s="6">
        <f t="shared" si="175"/>
        <v>4.1883340750377585E-2</v>
      </c>
      <c r="BH168" s="6">
        <f t="shared" si="176"/>
        <v>-2.1537317356635084</v>
      </c>
      <c r="BI168" s="6">
        <f t="shared" si="177"/>
        <v>2.1537317356635084</v>
      </c>
      <c r="BV168" s="38"/>
      <c r="BW168" s="6">
        <f t="shared" si="111"/>
        <v>2.6703537555513188</v>
      </c>
      <c r="BX168" s="9">
        <f t="shared" ca="1" si="112"/>
        <v>112.35721310664802</v>
      </c>
      <c r="BY168" s="9">
        <f t="shared" ca="1" si="113"/>
        <v>-24.153791922589555</v>
      </c>
      <c r="BZ168">
        <f t="shared" ca="1" si="114"/>
        <v>114.92410104644051</v>
      </c>
      <c r="CA168" s="6">
        <f t="shared" ca="1" si="115"/>
        <v>0.97766449407548361</v>
      </c>
      <c r="CB168" s="6">
        <f t="shared" ca="1" si="116"/>
        <v>-0.21017168463931751</v>
      </c>
      <c r="CC168" s="6">
        <f t="shared" ca="1" si="117"/>
        <v>-0.21175056335293593</v>
      </c>
      <c r="CD168" s="6">
        <f t="shared" ca="1" si="118"/>
        <v>-186.45101829110087</v>
      </c>
      <c r="CE168" s="9">
        <f t="shared" ca="1" si="119"/>
        <v>35.518393650740499</v>
      </c>
      <c r="CF168">
        <f t="shared" ca="1" si="120"/>
        <v>189.80394755988979</v>
      </c>
      <c r="CG168" s="6">
        <f t="shared" ca="1" si="121"/>
        <v>-0.98233477589958473</v>
      </c>
      <c r="CH168" s="6">
        <f t="shared" ca="1" si="122"/>
        <v>0.18713200703864813</v>
      </c>
      <c r="CI168" s="6">
        <f t="shared" ca="1" si="123"/>
        <v>2.9533508913311324</v>
      </c>
      <c r="CJ168" s="1">
        <f t="shared" ca="1" si="124"/>
        <v>-2.1679527279336841</v>
      </c>
      <c r="CK168" s="38"/>
    </row>
    <row r="169" spans="1:89" x14ac:dyDescent="0.25">
      <c r="A169" s="1" t="str">
        <f t="shared" si="186"/>
        <v>Segment 2</v>
      </c>
      <c r="B169" s="1">
        <f t="shared" si="186"/>
        <v>7.9037608942349626</v>
      </c>
      <c r="C169" s="1">
        <f t="shared" si="186"/>
        <v>-10.84115140226176</v>
      </c>
      <c r="D169" s="1">
        <f t="shared" si="186"/>
        <v>5.2550300215906081</v>
      </c>
      <c r="E169" s="1">
        <f t="shared" si="186"/>
        <v>4.9380825704094313</v>
      </c>
      <c r="F169" s="6">
        <f t="shared" ref="F169:F175" si="189">IF(E169-C169=0,0,MIN(MAX(($B$148-C169)/(E169-C169),0),1))</f>
        <v>1</v>
      </c>
      <c r="G169" s="6">
        <f t="shared" ref="G169:G175" si="190">IF(E169-C169=0,0,MIN(MAX(($B$152-C169)/(E169-C169),0),1))</f>
        <v>0.9277269728312697</v>
      </c>
      <c r="H169" s="1">
        <f t="shared" ref="H169:H175" si="191">IF(AND(F169=0,G169=0),0,IF(C169&gt;E169,B169+(F169*(D169-B169)),B169+(G169*(D169-B169))))</f>
        <v>5.4464618199118888</v>
      </c>
      <c r="I169" s="1">
        <f t="shared" ref="I169:I175" si="192">IF(AND(F169=0,G169=0),0,IF(C169&gt;E169,C169+(F169*(E169-C169)),C169+(G169*(E169-C169))))</f>
        <v>3.797669564800815</v>
      </c>
      <c r="J169">
        <f t="shared" ref="J169:J175" si="193">IF(AND(F169=0,G169=0),0,IF(C169&gt;E169,B169+(G169*(D169-B169)),B169+(F169*(D169-B169))))</f>
        <v>5.2550300215906081</v>
      </c>
      <c r="K169">
        <f t="shared" ref="K169:K175" si="194">IF(AND(F169=0,G169=0),0,IF(C169&gt;E169,C169+(G169*(E169-C169)),C169+(F169*(E169-C169))))</f>
        <v>4.9380825704094313</v>
      </c>
      <c r="L169" s="6">
        <f t="shared" ref="L169:L175" si="195">0.85*$B$143</f>
        <v>4250</v>
      </c>
      <c r="M169" s="6">
        <f t="shared" ref="M169:M175" si="196">L169</f>
        <v>4250</v>
      </c>
      <c r="N169" s="10">
        <f t="shared" ref="N169:N175" si="197">(1/6)*(K169-I169)*((L169*((2*H169)+J169))+(M169*(H169+(2*J169))))</f>
        <v>25933.756010360892</v>
      </c>
      <c r="O169" s="10">
        <f t="shared" ref="O169:O175" si="198">((1/12)*(K169-I169)*(L169*H169*((3*I169)+K169)+L169*J169*(I169+K169)+M169*H169*(I169+K169)+M169*J169*(I169+(3*K169))))</f>
        <v>113187.25709533571</v>
      </c>
      <c r="P169" s="10">
        <f t="shared" ref="P169:P175" si="199">((1/24)*(K169-I169)*(H169*H169*((3*L169)+M169)+2*H169*J169*(L169+M169)+J169*J169*(L169+(3*M169))))</f>
        <v>69389.870209446832</v>
      </c>
      <c r="BC169">
        <v>2.9146998508305222</v>
      </c>
      <c r="BD169">
        <v>-179.87070701943824</v>
      </c>
      <c r="BE169">
        <v>36.280905535812671</v>
      </c>
      <c r="BF169" s="6">
        <f t="shared" si="174"/>
        <v>2.9425577576712456</v>
      </c>
      <c r="BG169" s="6">
        <f t="shared" si="175"/>
        <v>2.7857906840723423E-2</v>
      </c>
      <c r="BH169" s="6">
        <f t="shared" si="176"/>
        <v>-2.1571595942737973</v>
      </c>
      <c r="BI169" s="6">
        <f t="shared" si="177"/>
        <v>2.1571595942737973</v>
      </c>
      <c r="BV169" s="38"/>
      <c r="BW169" s="6">
        <f t="shared" si="111"/>
        <v>2.6878070480712619</v>
      </c>
      <c r="BX169" s="9">
        <f t="shared" ca="1" si="112"/>
        <v>112.71743933419414</v>
      </c>
      <c r="BY169" s="9">
        <f t="shared" ca="1" si="113"/>
        <v>-23.431358582807555</v>
      </c>
      <c r="BZ169">
        <f t="shared" ca="1" si="114"/>
        <v>115.12710234820403</v>
      </c>
      <c r="CA169" s="6">
        <f t="shared" ca="1" si="115"/>
        <v>0.97906954170772209</v>
      </c>
      <c r="CB169" s="6">
        <f t="shared" ca="1" si="116"/>
        <v>-0.20352599956819012</v>
      </c>
      <c r="CC169" s="6">
        <f t="shared" ca="1" si="117"/>
        <v>-0.20495795955782262</v>
      </c>
      <c r="CD169" s="6">
        <f t="shared" ca="1" si="118"/>
        <v>-186.81124451864699</v>
      </c>
      <c r="CE169" s="9">
        <f t="shared" ca="1" si="119"/>
        <v>34.795960310958499</v>
      </c>
      <c r="CF169">
        <f t="shared" ca="1" si="120"/>
        <v>190.0242088065821</v>
      </c>
      <c r="CG169" s="6">
        <f t="shared" ca="1" si="121"/>
        <v>-0.98309181599484807</v>
      </c>
      <c r="CH169" s="6">
        <f t="shared" ca="1" si="122"/>
        <v>0.18311330187605671</v>
      </c>
      <c r="CI169" s="6">
        <f t="shared" ca="1" si="123"/>
        <v>2.9574402829967594</v>
      </c>
      <c r="CJ169" s="1">
        <f t="shared" ca="1" si="124"/>
        <v>-2.1720421195993111</v>
      </c>
      <c r="CK169" s="38"/>
    </row>
    <row r="170" spans="1:89" x14ac:dyDescent="0.25">
      <c r="A170" s="1" t="str">
        <f t="shared" si="186"/>
        <v>Segment 3</v>
      </c>
      <c r="B170" s="1">
        <f t="shared" si="186"/>
        <v>5.2550300215906081</v>
      </c>
      <c r="C170" s="1">
        <f t="shared" si="186"/>
        <v>4.9380825704094313</v>
      </c>
      <c r="D170" s="1">
        <f t="shared" si="186"/>
        <v>5.2550300215906081</v>
      </c>
      <c r="E170" s="1">
        <f t="shared" si="186"/>
        <v>4.9380825704094313</v>
      </c>
      <c r="F170" s="6">
        <f t="shared" si="189"/>
        <v>0</v>
      </c>
      <c r="G170" s="6">
        <f t="shared" si="190"/>
        <v>0</v>
      </c>
      <c r="H170" s="1">
        <f t="shared" si="191"/>
        <v>0</v>
      </c>
      <c r="I170" s="1">
        <f t="shared" si="192"/>
        <v>0</v>
      </c>
      <c r="J170">
        <f t="shared" si="193"/>
        <v>0</v>
      </c>
      <c r="K170">
        <f t="shared" si="194"/>
        <v>0</v>
      </c>
      <c r="L170" s="6">
        <f t="shared" si="195"/>
        <v>4250</v>
      </c>
      <c r="M170" s="6">
        <f t="shared" si="196"/>
        <v>4250</v>
      </c>
      <c r="N170" s="10">
        <f t="shared" si="197"/>
        <v>0</v>
      </c>
      <c r="O170" s="10">
        <f t="shared" si="198"/>
        <v>0</v>
      </c>
      <c r="P170" s="10">
        <f t="shared" si="199"/>
        <v>0</v>
      </c>
      <c r="BC170">
        <v>2.9321531433504653</v>
      </c>
      <c r="BD170">
        <v>-180.00529319667106</v>
      </c>
      <c r="BE170">
        <v>35.673875019361553</v>
      </c>
      <c r="BF170" s="6">
        <f t="shared" si="174"/>
        <v>2.9459454274332493</v>
      </c>
      <c r="BG170" s="6">
        <f t="shared" si="175"/>
        <v>1.379228408278399E-2</v>
      </c>
      <c r="BH170" s="6">
        <f t="shared" si="176"/>
        <v>-2.160547264035801</v>
      </c>
      <c r="BI170" s="6">
        <f t="shared" si="177"/>
        <v>2.160547264035801</v>
      </c>
      <c r="BV170" s="38"/>
      <c r="BW170" s="6">
        <f t="shared" si="111"/>
        <v>2.705260340591205</v>
      </c>
      <c r="BX170" s="9">
        <f t="shared" ca="1" si="112"/>
        <v>113.0562364100049</v>
      </c>
      <c r="BY170" s="9">
        <f t="shared" ca="1" si="113"/>
        <v>-22.721122139687495</v>
      </c>
      <c r="BZ170">
        <f t="shared" ca="1" si="114"/>
        <v>115.31678968164833</v>
      </c>
      <c r="CA170" s="6">
        <f t="shared" ca="1" si="115"/>
        <v>0.98039701523183165</v>
      </c>
      <c r="CB170" s="6">
        <f t="shared" ca="1" si="116"/>
        <v>-0.19703221189570944</v>
      </c>
      <c r="CC170" s="6">
        <f t="shared" ca="1" si="117"/>
        <v>-0.19832986593110419</v>
      </c>
      <c r="CD170" s="6">
        <f t="shared" ca="1" si="118"/>
        <v>-187.15004159445775</v>
      </c>
      <c r="CE170" s="9">
        <f t="shared" ca="1" si="119"/>
        <v>34.085723867838439</v>
      </c>
      <c r="CF170">
        <f t="shared" ca="1" si="120"/>
        <v>190.2287429396562</v>
      </c>
      <c r="CG170" s="6">
        <f t="shared" ca="1" si="121"/>
        <v>-0.98381579304145916</v>
      </c>
      <c r="CH170" s="6">
        <f t="shared" ca="1" si="122"/>
        <v>0.17918282663861693</v>
      </c>
      <c r="CI170" s="6">
        <f t="shared" ca="1" si="123"/>
        <v>2.961436881502614</v>
      </c>
      <c r="CJ170" s="1">
        <f t="shared" ca="1" si="124"/>
        <v>-2.1760387181051657</v>
      </c>
      <c r="CK170" s="38"/>
    </row>
    <row r="171" spans="1:89" x14ac:dyDescent="0.25">
      <c r="A171" s="1" t="str">
        <f t="shared" si="186"/>
        <v>Segment 4</v>
      </c>
      <c r="B171" s="1">
        <f t="shared" si="186"/>
        <v>5.2550300215906081</v>
      </c>
      <c r="C171" s="1">
        <f t="shared" si="186"/>
        <v>4.9380825704094313</v>
      </c>
      <c r="D171" s="1">
        <f t="shared" si="186"/>
        <v>3.9306645852684303</v>
      </c>
      <c r="E171" s="1">
        <f t="shared" si="186"/>
        <v>12.827699556745026</v>
      </c>
      <c r="F171" s="6">
        <f t="shared" si="189"/>
        <v>1</v>
      </c>
      <c r="G171" s="6">
        <f t="shared" si="190"/>
        <v>0</v>
      </c>
      <c r="H171" s="1">
        <f t="shared" si="191"/>
        <v>5.2550300215906081</v>
      </c>
      <c r="I171" s="1">
        <f t="shared" si="192"/>
        <v>4.9380825704094313</v>
      </c>
      <c r="J171">
        <f t="shared" si="193"/>
        <v>3.9306645852684303</v>
      </c>
      <c r="K171">
        <f t="shared" si="194"/>
        <v>12.827699556745026</v>
      </c>
      <c r="L171" s="6">
        <f t="shared" si="195"/>
        <v>4250</v>
      </c>
      <c r="M171" s="6">
        <f t="shared" si="196"/>
        <v>4250</v>
      </c>
      <c r="N171" s="10">
        <f t="shared" si="197"/>
        <v>154002.17592832845</v>
      </c>
      <c r="O171" s="10">
        <f t="shared" si="198"/>
        <v>1338788.2829244456</v>
      </c>
      <c r="P171" s="10">
        <f t="shared" si="199"/>
        <v>356104.70862105413</v>
      </c>
      <c r="BC171">
        <v>2.9496064358704084</v>
      </c>
      <c r="BD171">
        <v>-180.12789163269113</v>
      </c>
      <c r="BE171">
        <v>35.071332247915663</v>
      </c>
      <c r="BF171" s="6">
        <f t="shared" si="174"/>
        <v>2.9492960934432304</v>
      </c>
      <c r="BG171" s="6">
        <f t="shared" si="175"/>
        <v>3.1034242717797866E-4</v>
      </c>
      <c r="BH171" s="6">
        <f t="shared" si="176"/>
        <v>-2.1638979300457821</v>
      </c>
      <c r="BI171" s="6">
        <f t="shared" si="177"/>
        <v>2.1638979300457821</v>
      </c>
      <c r="BV171" s="38"/>
      <c r="BW171" s="6">
        <f t="shared" si="111"/>
        <v>2.7227136331111481</v>
      </c>
      <c r="BX171" s="9">
        <f t="shared" ca="1" si="112"/>
        <v>113.37471260145701</v>
      </c>
      <c r="BY171" s="9">
        <f t="shared" ca="1" si="113"/>
        <v>-22.022354189827311</v>
      </c>
      <c r="BZ171">
        <f t="shared" ca="1" si="114"/>
        <v>115.49376408068609</v>
      </c>
      <c r="CA171" s="6">
        <f t="shared" ca="1" si="115"/>
        <v>0.98165224333888124</v>
      </c>
      <c r="CB171" s="6">
        <f t="shared" ca="1" si="116"/>
        <v>-0.19068002818266522</v>
      </c>
      <c r="CC171" s="6">
        <f t="shared" ca="1" si="117"/>
        <v>-0.19185483836304573</v>
      </c>
      <c r="CD171" s="6">
        <f t="shared" ca="1" si="118"/>
        <v>-187.46851778590985</v>
      </c>
      <c r="CE171" s="9">
        <f t="shared" ca="1" si="119"/>
        <v>33.386955917978256</v>
      </c>
      <c r="CF171">
        <f t="shared" ca="1" si="120"/>
        <v>190.41831315898958</v>
      </c>
      <c r="CG171" s="6">
        <f t="shared" ca="1" si="121"/>
        <v>-0.98450886721900122</v>
      </c>
      <c r="CH171" s="6">
        <f t="shared" ca="1" si="122"/>
        <v>0.17533479508403085</v>
      </c>
      <c r="CI171" s="6">
        <f t="shared" ca="1" si="123"/>
        <v>2.9653468326707042</v>
      </c>
      <c r="CJ171" s="1">
        <f t="shared" ca="1" si="124"/>
        <v>-2.1799486692732559</v>
      </c>
      <c r="CK171" s="38"/>
    </row>
    <row r="172" spans="1:89" x14ac:dyDescent="0.25">
      <c r="A172" s="1" t="str">
        <f t="shared" si="186"/>
        <v>Segment 5</v>
      </c>
      <c r="B172" s="1">
        <f t="shared" si="186"/>
        <v>3.9306645852684303</v>
      </c>
      <c r="C172" s="1">
        <f t="shared" si="186"/>
        <v>12.827699556745026</v>
      </c>
      <c r="D172" s="1">
        <f t="shared" si="186"/>
        <v>-7.9037608942349626</v>
      </c>
      <c r="E172" s="1">
        <f t="shared" si="186"/>
        <v>10.84115140226176</v>
      </c>
      <c r="F172" s="6">
        <f t="shared" si="189"/>
        <v>0</v>
      </c>
      <c r="G172" s="6">
        <f t="shared" si="190"/>
        <v>1</v>
      </c>
      <c r="H172" s="1">
        <f t="shared" si="191"/>
        <v>3.9306645852684303</v>
      </c>
      <c r="I172" s="1">
        <f t="shared" si="192"/>
        <v>12.827699556745026</v>
      </c>
      <c r="J172">
        <f t="shared" si="193"/>
        <v>-7.9037608942349626</v>
      </c>
      <c r="K172">
        <f t="shared" si="194"/>
        <v>10.84115140226176</v>
      </c>
      <c r="L172" s="6">
        <f t="shared" si="195"/>
        <v>4250</v>
      </c>
      <c r="M172" s="6">
        <f t="shared" si="196"/>
        <v>4250</v>
      </c>
      <c r="N172" s="10">
        <f t="shared" si="197"/>
        <v>16772.0876728437</v>
      </c>
      <c r="O172" s="10">
        <f t="shared" si="198"/>
        <v>181947.35322496906</v>
      </c>
      <c r="P172" s="10">
        <f t="shared" si="199"/>
        <v>-65927.984520427897</v>
      </c>
      <c r="BC172">
        <v>2.9670597283903515</v>
      </c>
      <c r="BD172">
        <v>-180.23881982659455</v>
      </c>
      <c r="BE172">
        <v>34.472864410485904</v>
      </c>
      <c r="BF172" s="6">
        <f t="shared" si="174"/>
        <v>2.9526128144803239</v>
      </c>
      <c r="BG172" s="6">
        <f t="shared" si="175"/>
        <v>1.4446913910027614E-2</v>
      </c>
      <c r="BH172" s="6">
        <f t="shared" si="176"/>
        <v>-2.1672146510828756</v>
      </c>
      <c r="BI172" s="6">
        <f t="shared" si="177"/>
        <v>2.1672146510828756</v>
      </c>
      <c r="BV172" s="38"/>
      <c r="BW172" s="6">
        <f t="shared" si="111"/>
        <v>2.7401669256310912</v>
      </c>
      <c r="BX172" s="9">
        <f t="shared" ca="1" si="112"/>
        <v>113.67388658697472</v>
      </c>
      <c r="BY172" s="9">
        <f t="shared" ca="1" si="113"/>
        <v>-21.334363429197708</v>
      </c>
      <c r="BZ172">
        <f t="shared" ca="1" si="114"/>
        <v>115.65858184638735</v>
      </c>
      <c r="CA172" s="6">
        <f t="shared" ca="1" si="115"/>
        <v>0.9828400519206727</v>
      </c>
      <c r="CB172" s="6">
        <f t="shared" ca="1" si="116"/>
        <v>-0.1844598393704418</v>
      </c>
      <c r="CC172" s="6">
        <f t="shared" ca="1" si="117"/>
        <v>-0.18552224236304818</v>
      </c>
      <c r="CD172" s="6">
        <f t="shared" ca="1" si="118"/>
        <v>-187.76769177142756</v>
      </c>
      <c r="CE172" s="9">
        <f t="shared" ca="1" si="119"/>
        <v>32.698965157348653</v>
      </c>
      <c r="CF172">
        <f t="shared" ca="1" si="120"/>
        <v>190.59362107775624</v>
      </c>
      <c r="CG172" s="6">
        <f t="shared" ca="1" si="121"/>
        <v>-0.98517301213782082</v>
      </c>
      <c r="CH172" s="6">
        <f t="shared" ca="1" si="122"/>
        <v>0.17156379616717862</v>
      </c>
      <c r="CI172" s="6">
        <f t="shared" ca="1" si="123"/>
        <v>2.9691758716124594</v>
      </c>
      <c r="CJ172" s="1">
        <f t="shared" ca="1" si="124"/>
        <v>-2.1837777082150112</v>
      </c>
      <c r="CK172" s="38"/>
    </row>
    <row r="173" spans="1:89" x14ac:dyDescent="0.25">
      <c r="A173" s="1" t="str">
        <f t="shared" si="186"/>
        <v>Segment 6</v>
      </c>
      <c r="B173" s="1">
        <f t="shared" si="186"/>
        <v>-7.9037608942349626</v>
      </c>
      <c r="C173" s="1">
        <f t="shared" si="186"/>
        <v>10.84115140226176</v>
      </c>
      <c r="D173" s="1">
        <f t="shared" si="186"/>
        <v>-6.5793954579127849</v>
      </c>
      <c r="E173" s="1">
        <f t="shared" si="186"/>
        <v>2.9515344159261647</v>
      </c>
      <c r="F173" s="6">
        <f t="shared" si="189"/>
        <v>0</v>
      </c>
      <c r="G173" s="6">
        <f t="shared" si="190"/>
        <v>0.89275333006150848</v>
      </c>
      <c r="H173" s="1">
        <f t="shared" si="191"/>
        <v>-7.9037608942349626</v>
      </c>
      <c r="I173" s="1">
        <f t="shared" si="192"/>
        <v>10.84115140226176</v>
      </c>
      <c r="J173">
        <f t="shared" si="193"/>
        <v>-6.7214292407399761</v>
      </c>
      <c r="K173">
        <f t="shared" si="194"/>
        <v>3.797669564800815</v>
      </c>
      <c r="L173" s="6">
        <f t="shared" si="195"/>
        <v>4250</v>
      </c>
      <c r="M173" s="6">
        <f t="shared" si="196"/>
        <v>4250</v>
      </c>
      <c r="N173" s="10">
        <f t="shared" si="197"/>
        <v>218901.05480585655</v>
      </c>
      <c r="O173" s="10">
        <f t="shared" si="198"/>
        <v>1623000.7553585032</v>
      </c>
      <c r="P173" s="10">
        <f t="shared" si="199"/>
        <v>-802110.97421607655</v>
      </c>
      <c r="BC173">
        <v>2.9845130209102946</v>
      </c>
      <c r="BD173">
        <v>-180.33836220267023</v>
      </c>
      <c r="BE173">
        <v>33.878069196758695</v>
      </c>
      <c r="BF173" s="6">
        <f t="shared" si="174"/>
        <v>2.9558985355720764</v>
      </c>
      <c r="BG173" s="6">
        <f t="shared" si="175"/>
        <v>2.8614485338218199E-2</v>
      </c>
      <c r="BH173" s="6">
        <f t="shared" si="176"/>
        <v>-2.1705003721746277</v>
      </c>
      <c r="BI173" s="6">
        <f t="shared" si="177"/>
        <v>2.1705003721746277</v>
      </c>
      <c r="BV173" s="38"/>
      <c r="BW173" s="6">
        <f t="shared" si="111"/>
        <v>2.7576202181510343</v>
      </c>
      <c r="BX173" s="9">
        <f t="shared" ca="1" si="112"/>
        <v>113.95469490702045</v>
      </c>
      <c r="BY173" s="9">
        <f t="shared" ca="1" si="113"/>
        <v>-20.656492658284748</v>
      </c>
      <c r="BZ173">
        <f t="shared" ca="1" si="114"/>
        <v>115.81175752182455</v>
      </c>
      <c r="CA173" s="6">
        <f t="shared" ca="1" si="115"/>
        <v>0.98396481795508428</v>
      </c>
      <c r="CB173" s="6">
        <f t="shared" ca="1" si="116"/>
        <v>-0.17836265591938766</v>
      </c>
      <c r="CC173" s="6">
        <f t="shared" ca="1" si="117"/>
        <v>-0.17932217237880527</v>
      </c>
      <c r="CD173" s="6">
        <f t="shared" ca="1" si="118"/>
        <v>-188.0485000914733</v>
      </c>
      <c r="CE173" s="9">
        <f t="shared" ca="1" si="119"/>
        <v>32.021094386435692</v>
      </c>
      <c r="CF173">
        <f t="shared" ca="1" si="120"/>
        <v>190.75531151807505</v>
      </c>
      <c r="CG173" s="6">
        <f t="shared" ca="1" si="121"/>
        <v>-0.9858100337806569</v>
      </c>
      <c r="CH173" s="6">
        <f t="shared" ca="1" si="122"/>
        <v>0.16786475895011463</v>
      </c>
      <c r="CI173" s="6">
        <f t="shared" ca="1" si="123"/>
        <v>2.9729293619145105</v>
      </c>
      <c r="CJ173" s="1">
        <f t="shared" ca="1" si="124"/>
        <v>-2.1875311985170622</v>
      </c>
      <c r="CK173" s="38"/>
    </row>
    <row r="174" spans="1:89" x14ac:dyDescent="0.25">
      <c r="A174" s="1" t="str">
        <f t="shared" si="186"/>
        <v>Segment 7</v>
      </c>
      <c r="B174" s="1">
        <f t="shared" si="186"/>
        <v>-6.5793954579127849</v>
      </c>
      <c r="C174" s="1">
        <f t="shared" si="186"/>
        <v>2.9515344159261647</v>
      </c>
      <c r="D174" s="1">
        <f t="shared" si="186"/>
        <v>-6.5793954579127849</v>
      </c>
      <c r="E174" s="1">
        <f t="shared" si="186"/>
        <v>2.9515344159261647</v>
      </c>
      <c r="F174" s="6">
        <f t="shared" si="189"/>
        <v>0</v>
      </c>
      <c r="G174" s="6">
        <f t="shared" si="190"/>
        <v>0</v>
      </c>
      <c r="H174" s="1">
        <f t="shared" si="191"/>
        <v>0</v>
      </c>
      <c r="I174" s="1">
        <f t="shared" si="192"/>
        <v>0</v>
      </c>
      <c r="J174">
        <f t="shared" si="193"/>
        <v>0</v>
      </c>
      <c r="K174">
        <f t="shared" si="194"/>
        <v>0</v>
      </c>
      <c r="L174" s="6">
        <f t="shared" si="195"/>
        <v>4250</v>
      </c>
      <c r="M174" s="6">
        <f t="shared" si="196"/>
        <v>4250</v>
      </c>
      <c r="N174" s="10">
        <f t="shared" si="197"/>
        <v>0</v>
      </c>
      <c r="O174" s="10">
        <f t="shared" si="198"/>
        <v>0</v>
      </c>
      <c r="P174" s="10">
        <f t="shared" si="199"/>
        <v>0</v>
      </c>
      <c r="BC174">
        <v>3.0019663134302377</v>
      </c>
      <c r="BD174">
        <v>-180.42677167322032</v>
      </c>
      <c r="BE174">
        <v>33.286553670384578</v>
      </c>
      <c r="BF174" s="6">
        <f t="shared" si="174"/>
        <v>2.9591560996631268</v>
      </c>
      <c r="BG174" s="6">
        <f t="shared" si="175"/>
        <v>4.2810213767110916E-2</v>
      </c>
      <c r="BH174" s="6">
        <f t="shared" si="176"/>
        <v>-2.1737579362656785</v>
      </c>
      <c r="BI174" s="6">
        <f t="shared" si="177"/>
        <v>2.1737579362656785</v>
      </c>
      <c r="BV174" s="38"/>
      <c r="BW174" s="6">
        <f t="shared" si="111"/>
        <v>2.7750735106709774</v>
      </c>
      <c r="BX174" s="9">
        <f t="shared" ca="1" si="112"/>
        <v>114.21799862461954</v>
      </c>
      <c r="BY174" s="9">
        <f t="shared" ca="1" si="113"/>
        <v>-19.988116033273343</v>
      </c>
      <c r="BZ174">
        <f t="shared" ca="1" si="114"/>
        <v>115.95376661572142</v>
      </c>
      <c r="CA174" s="6">
        <f t="shared" ca="1" si="115"/>
        <v>0.98503051654325013</v>
      </c>
      <c r="CB174" s="6">
        <f t="shared" ca="1" si="116"/>
        <v>-0.1723800495374618</v>
      </c>
      <c r="CC174" s="6">
        <f t="shared" ca="1" si="117"/>
        <v>-0.17324537994876046</v>
      </c>
      <c r="CD174" s="6">
        <f t="shared" ca="1" si="118"/>
        <v>-188.31180380907239</v>
      </c>
      <c r="CE174" s="9">
        <f t="shared" ca="1" si="119"/>
        <v>31.352717761424287</v>
      </c>
      <c r="CF174">
        <f t="shared" ca="1" si="120"/>
        <v>190.9039768178078</v>
      </c>
      <c r="CG174" s="6">
        <f t="shared" ca="1" si="121"/>
        <v>-0.9864215871667813</v>
      </c>
      <c r="CH174" s="6">
        <f t="shared" ca="1" si="122"/>
        <v>0.16423292109491383</v>
      </c>
      <c r="CI174" s="6">
        <f t="shared" ca="1" si="123"/>
        <v>2.9766123307010965</v>
      </c>
      <c r="CJ174" s="1">
        <f t="shared" ca="1" si="124"/>
        <v>-2.1912141673036483</v>
      </c>
      <c r="CK174" s="38"/>
    </row>
    <row r="175" spans="1:89" ht="15.75" thickBot="1" x14ac:dyDescent="0.3">
      <c r="A175" s="1" t="str">
        <f t="shared" si="186"/>
        <v>Segment 8</v>
      </c>
      <c r="B175" s="1">
        <f t="shared" si="186"/>
        <v>-6.5793954579127849</v>
      </c>
      <c r="C175" s="1">
        <f t="shared" si="186"/>
        <v>2.9515344159261647</v>
      </c>
      <c r="D175" s="1">
        <f t="shared" si="186"/>
        <v>-3.9306645852684303</v>
      </c>
      <c r="E175" s="1">
        <f t="shared" si="186"/>
        <v>-12.827699556745026</v>
      </c>
      <c r="F175" s="6">
        <f t="shared" si="189"/>
        <v>0</v>
      </c>
      <c r="G175" s="6">
        <f t="shared" si="190"/>
        <v>0</v>
      </c>
      <c r="H175" s="1">
        <f t="shared" si="191"/>
        <v>0</v>
      </c>
      <c r="I175" s="1">
        <f t="shared" si="192"/>
        <v>0</v>
      </c>
      <c r="J175">
        <f t="shared" si="193"/>
        <v>0</v>
      </c>
      <c r="K175">
        <f t="shared" si="194"/>
        <v>0</v>
      </c>
      <c r="L175" s="6">
        <f t="shared" si="195"/>
        <v>4250</v>
      </c>
      <c r="M175" s="6">
        <f t="shared" si="196"/>
        <v>4250</v>
      </c>
      <c r="N175" s="11">
        <f t="shared" si="197"/>
        <v>0</v>
      </c>
      <c r="O175" s="11">
        <f t="shared" si="198"/>
        <v>0</v>
      </c>
      <c r="P175" s="11">
        <f t="shared" si="199"/>
        <v>0</v>
      </c>
      <c r="BC175">
        <v>3.0194196059501808</v>
      </c>
      <c r="BD175">
        <v>-180.50427103311762</v>
      </c>
      <c r="BE175">
        <v>32.697933193931611</v>
      </c>
      <c r="BF175" s="6">
        <f t="shared" si="174"/>
        <v>2.9623882585480761</v>
      </c>
      <c r="BG175" s="6">
        <f t="shared" si="175"/>
        <v>5.7031347402104693E-2</v>
      </c>
      <c r="BH175" s="6">
        <f t="shared" si="176"/>
        <v>-2.1769900951506278</v>
      </c>
      <c r="BI175" s="6">
        <f t="shared" si="177"/>
        <v>2.1769900951506278</v>
      </c>
      <c r="BV175" s="38"/>
      <c r="BW175" s="6">
        <f t="shared" si="111"/>
        <v>2.7925268031909205</v>
      </c>
      <c r="BX175" s="9">
        <f t="shared" ca="1" si="112"/>
        <v>114.46458930786547</v>
      </c>
      <c r="BY175" s="9">
        <f t="shared" ca="1" si="113"/>
        <v>-19.328636537773903</v>
      </c>
      <c r="BZ175">
        <f t="shared" ca="1" si="114"/>
        <v>116.08504811485274</v>
      </c>
      <c r="CA175" s="6">
        <f t="shared" ca="1" si="115"/>
        <v>0.98604076206796232</v>
      </c>
      <c r="CB175" s="6">
        <f t="shared" ca="1" si="116"/>
        <v>-0.16650410067152188</v>
      </c>
      <c r="CC175" s="6">
        <f t="shared" ca="1" si="117"/>
        <v>-0.16728320950527764</v>
      </c>
      <c r="CD175" s="6">
        <f t="shared" ca="1" si="118"/>
        <v>-188.55839449231831</v>
      </c>
      <c r="CE175" s="9">
        <f t="shared" ca="1" si="119"/>
        <v>30.693238265924847</v>
      </c>
      <c r="CF175">
        <f t="shared" ca="1" si="120"/>
        <v>191.04016072221458</v>
      </c>
      <c r="CG175" s="6">
        <f t="shared" ca="1" si="121"/>
        <v>-0.98700919104907514</v>
      </c>
      <c r="CH175" s="6">
        <f t="shared" ca="1" si="122"/>
        <v>0.16066380047991535</v>
      </c>
      <c r="CI175" s="6">
        <f t="shared" ca="1" si="123"/>
        <v>2.980229500112753</v>
      </c>
      <c r="CJ175" s="1">
        <f t="shared" ca="1" si="124"/>
        <v>-2.1948313367153047</v>
      </c>
      <c r="CK175" s="38"/>
    </row>
    <row r="176" spans="1:89" ht="15.75" thickTop="1" x14ac:dyDescent="0.25">
      <c r="M176" s="9"/>
      <c r="N176" s="9">
        <f>SUM(N168:N175)</f>
        <v>415609.07441738958</v>
      </c>
      <c r="O176" s="9">
        <f t="shared" ref="O176:P176" si="200">SUM(O168:O175)</f>
        <v>3256923.6486032535</v>
      </c>
      <c r="P176" s="9">
        <f t="shared" si="200"/>
        <v>-442544.37990600348</v>
      </c>
      <c r="BC176">
        <v>3.0368728984701239</v>
      </c>
      <c r="BD176">
        <v>-180.5710541635643</v>
      </c>
      <c r="BE176">
        <v>32.111830399057489</v>
      </c>
      <c r="BF176" s="6">
        <f t="shared" si="174"/>
        <v>2.9655976831265405</v>
      </c>
      <c r="BG176" s="6">
        <f t="shared" si="175"/>
        <v>7.1275215343583387E-2</v>
      </c>
      <c r="BH176" s="6">
        <f t="shared" si="176"/>
        <v>-2.1801995197290922</v>
      </c>
      <c r="BI176" s="6">
        <f t="shared" si="177"/>
        <v>2.1801995197290922</v>
      </c>
      <c r="BV176" s="38"/>
      <c r="BW176" s="6">
        <f t="shared" si="111"/>
        <v>2.8099800957108636</v>
      </c>
      <c r="BX176" s="9">
        <f t="shared" ca="1" si="112"/>
        <v>114.69519440124965</v>
      </c>
      <c r="BY176" s="9">
        <f t="shared" ca="1" si="113"/>
        <v>-18.677483652401719</v>
      </c>
      <c r="BZ176">
        <f t="shared" ca="1" si="114"/>
        <v>116.2060067910699</v>
      </c>
      <c r="CA176" s="6">
        <f t="shared" ca="1" si="115"/>
        <v>0.98699884428060092</v>
      </c>
      <c r="CB176" s="6">
        <f t="shared" ca="1" si="116"/>
        <v>-0.16072735109108863</v>
      </c>
      <c r="CC176" s="6">
        <f t="shared" ca="1" si="117"/>
        <v>-0.16142754086555502</v>
      </c>
      <c r="CD176" s="6">
        <f t="shared" ca="1" si="118"/>
        <v>-188.7889995857025</v>
      </c>
      <c r="CE176" s="9">
        <f t="shared" ca="1" si="119"/>
        <v>30.042085380552663</v>
      </c>
      <c r="CF176">
        <f t="shared" ca="1" si="120"/>
        <v>191.16436189463451</v>
      </c>
      <c r="CG176" s="6">
        <f t="shared" ca="1" si="121"/>
        <v>-0.98757424090248969</v>
      </c>
      <c r="CH176" s="6">
        <f t="shared" ca="1" si="122"/>
        <v>0.15715316956991798</v>
      </c>
      <c r="CI176" s="6">
        <f t="shared" ca="1" si="123"/>
        <v>2.9837853156373915</v>
      </c>
      <c r="CJ176" s="1">
        <f t="shared" ca="1" si="124"/>
        <v>-2.1983871522399427</v>
      </c>
      <c r="CK176" s="38"/>
    </row>
    <row r="177" spans="1:89" x14ac:dyDescent="0.25">
      <c r="BC177">
        <v>3.054326190990067</v>
      </c>
      <c r="BD177">
        <v>-180.62728707321568</v>
      </c>
      <c r="BE177">
        <v>31.527874195884721</v>
      </c>
      <c r="BF177" s="6">
        <f t="shared" si="174"/>
        <v>2.9687869730839376</v>
      </c>
      <c r="BG177" s="6">
        <f t="shared" si="175"/>
        <v>8.5539217906129394E-2</v>
      </c>
      <c r="BH177" s="6">
        <f t="shared" si="176"/>
        <v>-2.1833888096864893</v>
      </c>
      <c r="BI177" s="6">
        <f t="shared" si="177"/>
        <v>2.1833888096864893</v>
      </c>
      <c r="BV177" s="38"/>
      <c r="BW177" s="6">
        <f t="shared" si="111"/>
        <v>2.8274333882308067</v>
      </c>
      <c r="BX177" s="9">
        <f t="shared" ca="1" si="112"/>
        <v>114.91048204234728</v>
      </c>
      <c r="BY177" s="9">
        <f t="shared" ca="1" si="113"/>
        <v>-18.034111201970191</v>
      </c>
      <c r="BZ177">
        <f t="shared" ca="1" si="114"/>
        <v>116.31701530751914</v>
      </c>
      <c r="CA177" s="6">
        <f t="shared" ca="1" si="115"/>
        <v>0.98790776000008884</v>
      </c>
      <c r="CB177" s="6">
        <f t="shared" ca="1" si="116"/>
        <v>-0.15504276097776043</v>
      </c>
      <c r="CC177" s="6">
        <f t="shared" ca="1" si="117"/>
        <v>-0.15567073758008979</v>
      </c>
      <c r="CD177" s="6">
        <f t="shared" ca="1" si="118"/>
        <v>-189.00428722680013</v>
      </c>
      <c r="CE177" s="9">
        <f t="shared" ca="1" si="119"/>
        <v>29.398712930121135</v>
      </c>
      <c r="CF177">
        <f t="shared" ca="1" si="120"/>
        <v>191.27703707465366</v>
      </c>
      <c r="CG177" s="6">
        <f t="shared" ca="1" si="121"/>
        <v>-0.98811802042413222</v>
      </c>
      <c r="CH177" s="6">
        <f t="shared" ca="1" si="122"/>
        <v>0.1536970322195397</v>
      </c>
      <c r="CI177" s="6">
        <f t="shared" ca="1" si="123"/>
        <v>2.9872839716706197</v>
      </c>
      <c r="CJ177" s="1">
        <f t="shared" ca="1" si="124"/>
        <v>-2.2018858082731714</v>
      </c>
      <c r="CK177" s="38"/>
    </row>
    <row r="178" spans="1:89" x14ac:dyDescent="0.25">
      <c r="A178" t="s">
        <v>193</v>
      </c>
      <c r="B178">
        <f>(N176+M165)/1000</f>
        <v>1068.4688313425897</v>
      </c>
      <c r="C178" t="s">
        <v>68</v>
      </c>
      <c r="BC178">
        <v>3.0717794835100101</v>
      </c>
      <c r="BD178">
        <v>-180.67310877974276</v>
      </c>
      <c r="BE178">
        <v>30.945698815927692</v>
      </c>
      <c r="BF178" s="6">
        <f t="shared" si="174"/>
        <v>2.9719586660703254</v>
      </c>
      <c r="BG178" s="6">
        <f t="shared" si="175"/>
        <v>9.9820817439684628E-2</v>
      </c>
      <c r="BH178" s="6">
        <f t="shared" si="176"/>
        <v>-2.1865605026728772</v>
      </c>
      <c r="BI178" s="6">
        <f t="shared" si="177"/>
        <v>2.1865605026728772</v>
      </c>
      <c r="BV178" s="38"/>
      <c r="BW178" s="6">
        <f t="shared" si="111"/>
        <v>2.8448866807507498</v>
      </c>
      <c r="BX178" s="9">
        <f t="shared" ca="1" si="112"/>
        <v>115.11106538939892</v>
      </c>
      <c r="BY178" s="9">
        <f t="shared" ca="1" si="113"/>
        <v>-17.397995362203929</v>
      </c>
      <c r="BZ178">
        <f t="shared" ca="1" si="114"/>
        <v>116.41841614498001</v>
      </c>
      <c r="CA178" s="6">
        <f t="shared" ca="1" si="115"/>
        <v>0.988770241007634</v>
      </c>
      <c r="CB178" s="6">
        <f t="shared" ca="1" si="116"/>
        <v>-0.14944366998205494</v>
      </c>
      <c r="CC178" s="6">
        <f t="shared" ca="1" si="117"/>
        <v>-0.15000560039722322</v>
      </c>
      <c r="CD178" s="6">
        <f t="shared" ca="1" si="118"/>
        <v>-189.20487057385176</v>
      </c>
      <c r="CE178" s="9">
        <f t="shared" ca="1" si="119"/>
        <v>28.762597090354873</v>
      </c>
      <c r="CF178">
        <f t="shared" ca="1" si="120"/>
        <v>191.37860392491655</v>
      </c>
      <c r="CG178" s="6">
        <f t="shared" ca="1" si="121"/>
        <v>-0.98864171173535365</v>
      </c>
      <c r="CH178" s="6">
        <f t="shared" ca="1" si="122"/>
        <v>0.15029160261634725</v>
      </c>
      <c r="CI178" s="6">
        <f t="shared" ca="1" si="123"/>
        <v>2.9907294346461217</v>
      </c>
      <c r="CJ178" s="1">
        <f t="shared" ca="1" si="124"/>
        <v>-2.2053312712486735</v>
      </c>
      <c r="CK178" s="38"/>
    </row>
    <row r="179" spans="1:89" x14ac:dyDescent="0.25">
      <c r="A179" t="s">
        <v>100</v>
      </c>
      <c r="B179">
        <f>(N165+O176)/1000</f>
        <v>1240.1409052698377</v>
      </c>
      <c r="C179" t="s">
        <v>69</v>
      </c>
      <c r="BC179">
        <v>3.0892327760299532</v>
      </c>
      <c r="BD179">
        <v>-180.70863204918575</v>
      </c>
      <c r="BE179">
        <v>30.364942883233166</v>
      </c>
      <c r="BF179" s="6">
        <f t="shared" si="174"/>
        <v>2.9751152464585955</v>
      </c>
      <c r="BG179" s="6">
        <f t="shared" si="175"/>
        <v>0.11411752957135768</v>
      </c>
      <c r="BH179" s="6">
        <f t="shared" si="176"/>
        <v>-2.1897170830611472</v>
      </c>
      <c r="BI179" s="6">
        <f t="shared" si="177"/>
        <v>2.1897170830611472</v>
      </c>
      <c r="BV179" s="38"/>
      <c r="BW179" s="6">
        <f t="shared" si="111"/>
        <v>2.8623399732706929</v>
      </c>
      <c r="BX179" s="9">
        <f t="shared" ca="1" si="112"/>
        <v>115.29750651484729</v>
      </c>
      <c r="BY179" s="9">
        <f t="shared" ca="1" si="113"/>
        <v>-16.768632809753818</v>
      </c>
      <c r="BZ179">
        <f t="shared" ca="1" si="114"/>
        <v>116.51052336527205</v>
      </c>
      <c r="CA179" s="6">
        <f t="shared" ca="1" si="115"/>
        <v>0.98958877863228001</v>
      </c>
      <c r="CB179" s="6">
        <f t="shared" ca="1" si="116"/>
        <v>-0.14392376178057745</v>
      </c>
      <c r="CC179" s="6">
        <f t="shared" ca="1" si="117"/>
        <v>-0.14442532520677145</v>
      </c>
      <c r="CD179" s="6">
        <f t="shared" ca="1" si="118"/>
        <v>-189.39131169930013</v>
      </c>
      <c r="CE179" s="9">
        <f t="shared" ca="1" si="119"/>
        <v>28.133234537904762</v>
      </c>
      <c r="CF179">
        <f t="shared" ca="1" si="120"/>
        <v>191.46944360065973</v>
      </c>
      <c r="CG179" s="6">
        <f t="shared" ca="1" si="121"/>
        <v>-0.98914640444825297</v>
      </c>
      <c r="CH179" s="6">
        <f t="shared" ca="1" si="122"/>
        <v>0.14693328611003403</v>
      </c>
      <c r="CI179" s="6">
        <f t="shared" ca="1" si="123"/>
        <v>2.994125464029862</v>
      </c>
      <c r="CJ179" s="1">
        <f t="shared" ca="1" si="124"/>
        <v>-2.2087273006324137</v>
      </c>
      <c r="CK179" s="38"/>
    </row>
    <row r="180" spans="1:89" x14ac:dyDescent="0.25">
      <c r="A180" t="s">
        <v>101</v>
      </c>
      <c r="B180">
        <f>-1*(O165+P176)/1000</f>
        <v>148.24078194260434</v>
      </c>
      <c r="C180" t="s">
        <v>69</v>
      </c>
      <c r="BC180">
        <v>3.1066860685498963</v>
      </c>
      <c r="BD180">
        <v>-180.73394398356385</v>
      </c>
      <c r="BE180">
        <v>29.785248508651783</v>
      </c>
      <c r="BF180" s="6">
        <f t="shared" si="174"/>
        <v>2.9782591537342737</v>
      </c>
      <c r="BG180" s="6">
        <f t="shared" si="175"/>
        <v>0.12842691481562252</v>
      </c>
      <c r="BH180" s="6">
        <f t="shared" si="176"/>
        <v>-2.1928609903368255</v>
      </c>
      <c r="BI180" s="6">
        <f t="shared" si="177"/>
        <v>2.1928609903368255</v>
      </c>
      <c r="BV180" s="38"/>
      <c r="BW180" s="6">
        <f t="shared" si="111"/>
        <v>2.879793265790636</v>
      </c>
      <c r="BX180" s="9">
        <f t="shared" ca="1" si="112"/>
        <v>115.47031989289853</v>
      </c>
      <c r="BY180" s="9">
        <f t="shared" ca="1" si="113"/>
        <v>-16.145539000941064</v>
      </c>
      <c r="BZ180">
        <f t="shared" ca="1" si="114"/>
        <v>116.5936242073263</v>
      </c>
      <c r="CA180" s="6">
        <f t="shared" ca="1" si="115"/>
        <v>0.99036564544532624</v>
      </c>
      <c r="CB180" s="6">
        <f t="shared" ca="1" si="116"/>
        <v>-0.13847703174773204</v>
      </c>
      <c r="CC180" s="6">
        <f t="shared" ca="1" si="117"/>
        <v>-0.13892346493462135</v>
      </c>
      <c r="CD180" s="6">
        <f t="shared" ca="1" si="118"/>
        <v>-189.56412507735138</v>
      </c>
      <c r="CE180" s="9">
        <f t="shared" ca="1" si="119"/>
        <v>27.510140729092008</v>
      </c>
      <c r="CF180">
        <f t="shared" ca="1" si="120"/>
        <v>191.54990305211894</v>
      </c>
      <c r="CG180" s="6">
        <f t="shared" ca="1" si="121"/>
        <v>-0.98963310373366653</v>
      </c>
      <c r="CH180" s="6">
        <f t="shared" ca="1" si="122"/>
        <v>0.14361866172078802</v>
      </c>
      <c r="CI180" s="6">
        <f t="shared" ca="1" si="123"/>
        <v>2.9974756314187663</v>
      </c>
      <c r="CJ180" s="1">
        <f t="shared" ca="1" si="124"/>
        <v>-2.212077468021318</v>
      </c>
      <c r="CK180" s="38"/>
    </row>
    <row r="181" spans="1:89" x14ac:dyDescent="0.25">
      <c r="BC181">
        <v>3.1241393610698394</v>
      </c>
      <c r="BD181">
        <v>-180.74910647648085</v>
      </c>
      <c r="BE181">
        <v>29.206260402370766</v>
      </c>
      <c r="BF181" s="6">
        <f t="shared" si="174"/>
        <v>2.9813927905937083</v>
      </c>
      <c r="BG181" s="6">
        <f t="shared" si="175"/>
        <v>0.14274657047613104</v>
      </c>
      <c r="BH181" s="6">
        <f t="shared" si="176"/>
        <v>-2.19599462719626</v>
      </c>
      <c r="BI181" s="6">
        <f t="shared" si="177"/>
        <v>2.19599462719626</v>
      </c>
      <c r="BV181" s="38"/>
      <c r="BW181" s="6">
        <f t="shared" si="111"/>
        <v>2.8972465583105791</v>
      </c>
      <c r="BX181" s="9">
        <f t="shared" ca="1" si="112"/>
        <v>115.62997554250772</v>
      </c>
      <c r="BY181" s="9">
        <f t="shared" ca="1" si="113"/>
        <v>-15.528246566100783</v>
      </c>
      <c r="BZ181">
        <f t="shared" ca="1" si="114"/>
        <v>116.66798054898591</v>
      </c>
      <c r="CA181" s="6">
        <f t="shared" ca="1" si="115"/>
        <v>0.99110291442781628</v>
      </c>
      <c r="CB181" s="6">
        <f t="shared" ca="1" si="116"/>
        <v>-0.13309775735409141</v>
      </c>
      <c r="CC181" s="6">
        <f t="shared" ca="1" si="117"/>
        <v>-0.13349389487998378</v>
      </c>
      <c r="CD181" s="6">
        <f t="shared" ca="1" si="118"/>
        <v>-189.72378072696057</v>
      </c>
      <c r="CE181" s="9">
        <f t="shared" ca="1" si="119"/>
        <v>26.892848294251728</v>
      </c>
      <c r="CF181">
        <f t="shared" ca="1" si="120"/>
        <v>191.62029710526349</v>
      </c>
      <c r="CG181" s="6">
        <f t="shared" ca="1" si="121"/>
        <v>-0.99010273751292066</v>
      </c>
      <c r="CH181" s="6">
        <f t="shared" ca="1" si="122"/>
        <v>0.14034446611612642</v>
      </c>
      <c r="CI181" s="6">
        <f t="shared" ca="1" si="123"/>
        <v>3.000783337983671</v>
      </c>
      <c r="CJ181" s="1">
        <f t="shared" ca="1" si="124"/>
        <v>-2.2153851745862223</v>
      </c>
      <c r="CK181" s="38"/>
    </row>
    <row r="182" spans="1:89" x14ac:dyDescent="0.25">
      <c r="A182" t="s">
        <v>54</v>
      </c>
      <c r="BC182">
        <v>3.1415926535897825</v>
      </c>
      <c r="BD182">
        <v>-180.75415653632419</v>
      </c>
      <c r="BE182">
        <v>28.627625000000354</v>
      </c>
      <c r="BF182" s="6">
        <f t="shared" si="174"/>
        <v>2.9845185308059134</v>
      </c>
      <c r="BG182" s="6">
        <f t="shared" si="175"/>
        <v>0.15707412278386901</v>
      </c>
      <c r="BH182" s="6">
        <f t="shared" si="176"/>
        <v>-2.1991203674084652</v>
      </c>
      <c r="BI182" s="6">
        <f t="shared" si="177"/>
        <v>2.1991203674084652</v>
      </c>
      <c r="BV182" s="38"/>
      <c r="BW182" s="6">
        <f t="shared" si="111"/>
        <v>2.9146998508305222</v>
      </c>
      <c r="BX182" s="9">
        <f t="shared" ca="1" si="112"/>
        <v>115.7769018349854</v>
      </c>
      <c r="BY182" s="9">
        <f t="shared" ca="1" si="113"/>
        <v>-14.916303807661727</v>
      </c>
      <c r="BZ182">
        <f t="shared" ca="1" si="114"/>
        <v>116.73383021982234</v>
      </c>
      <c r="CA182" s="6">
        <f t="shared" ca="1" si="115"/>
        <v>0.991802475914352</v>
      </c>
      <c r="CB182" s="6">
        <f t="shared" ca="1" si="116"/>
        <v>-0.12778047100461559</v>
      </c>
      <c r="CC182" s="6">
        <f t="shared" ca="1" si="117"/>
        <v>-0.12813078110735482</v>
      </c>
      <c r="CD182" s="6">
        <f t="shared" ca="1" si="118"/>
        <v>-189.87070701943824</v>
      </c>
      <c r="CE182" s="9">
        <f t="shared" ca="1" si="119"/>
        <v>26.280905535812671</v>
      </c>
      <c r="CF182">
        <f t="shared" ca="1" si="120"/>
        <v>191.68091031671273</v>
      </c>
      <c r="CG182" s="6">
        <f t="shared" ca="1" si="121"/>
        <v>-0.9905561628735825</v>
      </c>
      <c r="CH182" s="6">
        <f t="shared" ca="1" si="122"/>
        <v>0.1371075789049048</v>
      </c>
      <c r="CI182" s="6">
        <f t="shared" ca="1" si="123"/>
        <v>3.0040518304322585</v>
      </c>
      <c r="CJ182" s="1">
        <f t="shared" ca="1" si="124"/>
        <v>-2.2186536670348103</v>
      </c>
      <c r="CK182" s="38"/>
    </row>
    <row r="183" spans="1:89" x14ac:dyDescent="0.25">
      <c r="BC183">
        <v>3.1590459461097256</v>
      </c>
      <c r="BD183">
        <v>-180.7491064764846</v>
      </c>
      <c r="BE183">
        <v>28.048989597629983</v>
      </c>
      <c r="BF183" s="6">
        <f t="shared" si="174"/>
        <v>2.9876387268921061</v>
      </c>
      <c r="BG183" s="6">
        <f t="shared" si="175"/>
        <v>0.17140721921761948</v>
      </c>
      <c r="BH183" s="6">
        <f t="shared" si="176"/>
        <v>-2.2022405634946578</v>
      </c>
      <c r="BI183" s="6">
        <f t="shared" si="177"/>
        <v>2.2022405634946578</v>
      </c>
      <c r="BV183" s="38"/>
      <c r="BW183" s="6">
        <f t="shared" si="111"/>
        <v>2.9321531433504653</v>
      </c>
      <c r="BX183" s="9">
        <f t="shared" ca="1" si="112"/>
        <v>115.91148801221821</v>
      </c>
      <c r="BY183" s="9">
        <f t="shared" ca="1" si="113"/>
        <v>-14.309273291210609</v>
      </c>
      <c r="BZ183">
        <f t="shared" ca="1" si="114"/>
        <v>116.79138818992246</v>
      </c>
      <c r="CA183" s="6">
        <f t="shared" ca="1" si="115"/>
        <v>0.99246605258023501</v>
      </c>
      <c r="CB183" s="6">
        <f t="shared" ca="1" si="116"/>
        <v>-0.12251993501388408</v>
      </c>
      <c r="CC183" s="6">
        <f t="shared" ca="1" si="117"/>
        <v>-0.12282855150407017</v>
      </c>
      <c r="CD183" s="6">
        <f t="shared" ca="1" si="118"/>
        <v>-190.00529319667106</v>
      </c>
      <c r="CE183" s="9">
        <f t="shared" ca="1" si="119"/>
        <v>25.673875019361553</v>
      </c>
      <c r="CF183">
        <f t="shared" ca="1" si="120"/>
        <v>191.73199863680222</v>
      </c>
      <c r="CG183" s="6">
        <f t="shared" ca="1" si="121"/>
        <v>-0.99099417180018001</v>
      </c>
      <c r="CH183" s="6">
        <f t="shared" ca="1" si="122"/>
        <v>0.13390500908508002</v>
      </c>
      <c r="CI183" s="6">
        <f t="shared" ca="1" si="123"/>
        <v>3.0072842156766102</v>
      </c>
      <c r="CJ183" s="1">
        <f t="shared" ca="1" si="124"/>
        <v>-2.2218860522791619</v>
      </c>
      <c r="CK183" s="38"/>
    </row>
    <row r="184" spans="1:89" x14ac:dyDescent="0.25">
      <c r="A184">
        <f>A14</f>
        <v>0</v>
      </c>
      <c r="B184" t="str">
        <f t="shared" ref="B184:E184" si="201">B14</f>
        <v>Bar #</v>
      </c>
      <c r="C184" t="str">
        <f t="shared" si="201"/>
        <v>As (in^2)</v>
      </c>
      <c r="D184" t="str">
        <f t="shared" si="201"/>
        <v>x</v>
      </c>
      <c r="E184" t="str">
        <f t="shared" si="201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194</v>
      </c>
      <c r="M184" s="1" t="s">
        <v>59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-180.73394398356777</v>
      </c>
      <c r="BE184">
        <v>27.470001491348921</v>
      </c>
      <c r="BF184" s="6">
        <f t="shared" si="174"/>
        <v>2.9907557176859147</v>
      </c>
      <c r="BG184" s="6">
        <f t="shared" si="175"/>
        <v>0.1857435209437539</v>
      </c>
      <c r="BH184" s="6">
        <f t="shared" si="176"/>
        <v>-2.2053575542884665</v>
      </c>
      <c r="BI184" s="6">
        <f t="shared" si="177"/>
        <v>2.2053575542884665</v>
      </c>
      <c r="BV184" s="38"/>
      <c r="BW184" s="6">
        <f t="shared" si="111"/>
        <v>2.9496064358704084</v>
      </c>
      <c r="BX184" s="9">
        <f t="shared" ca="1" si="112"/>
        <v>116.03408644823828</v>
      </c>
      <c r="BY184" s="9">
        <f t="shared" ca="1" si="113"/>
        <v>-13.706730519764719</v>
      </c>
      <c r="BZ184">
        <f t="shared" ca="1" si="114"/>
        <v>116.84084764935028</v>
      </c>
      <c r="CA184" s="6">
        <f t="shared" ca="1" si="115"/>
        <v>0.99309521269878875</v>
      </c>
      <c r="CB184" s="6">
        <f t="shared" ca="1" si="116"/>
        <v>-0.11731111846175431</v>
      </c>
      <c r="CC184" s="6">
        <f t="shared" ca="1" si="117"/>
        <v>-0.11758186917366319</v>
      </c>
      <c r="CD184" s="6">
        <f t="shared" ca="1" si="118"/>
        <v>-190.12789163269113</v>
      </c>
      <c r="CE184" s="9">
        <f t="shared" ca="1" si="119"/>
        <v>25.071332247915663</v>
      </c>
      <c r="CF184">
        <f t="shared" ca="1" si="120"/>
        <v>191.77379090318291</v>
      </c>
      <c r="CG184" s="6">
        <f t="shared" ca="1" si="121"/>
        <v>-0.99141749629738141</v>
      </c>
      <c r="CH184" s="6">
        <f t="shared" ca="1" si="122"/>
        <v>0.13073388250729703</v>
      </c>
      <c r="CI184" s="6">
        <f t="shared" ca="1" si="123"/>
        <v>3.0104834743614135</v>
      </c>
      <c r="CJ184" s="1">
        <f t="shared" ca="1" si="124"/>
        <v>-2.2250853109639652</v>
      </c>
      <c r="CK184" s="38"/>
    </row>
    <row r="185" spans="1:89" x14ac:dyDescent="0.25">
      <c r="A185">
        <f t="shared" ref="A185:E194" si="202">A15</f>
        <v>1</v>
      </c>
      <c r="B185">
        <f t="shared" si="202"/>
        <v>8</v>
      </c>
      <c r="C185">
        <f t="shared" ca="1" si="202"/>
        <v>0.79</v>
      </c>
      <c r="D185">
        <f t="shared" si="202"/>
        <v>2</v>
      </c>
      <c r="E185">
        <f t="shared" si="202"/>
        <v>2</v>
      </c>
      <c r="F185" s="1">
        <f t="shared" ref="F185:F194" si="203">D185-$I$2</f>
        <v>-4</v>
      </c>
      <c r="G185" s="1">
        <f t="shared" ref="G185:G194" si="204">E185-$I$3</f>
        <v>-10</v>
      </c>
      <c r="H185" s="6">
        <f t="shared" ref="H185:H194" si="205">F185*COS($B$27)+G185*SIN($B$27)</f>
        <v>-2.2893516977650759</v>
      </c>
      <c r="I185" s="6">
        <f t="shared" ref="I185:I194" si="206">-1*F185*SIN($B$27)+G185*COS($B$27)</f>
        <v>-10.524203951080583</v>
      </c>
      <c r="J185" s="6">
        <f t="shared" ref="J185:J194" si="207">$G$38-I185</f>
        <v>23.351903507825611</v>
      </c>
      <c r="K185">
        <f t="shared" ref="K185:K194" ca="1" si="208">IF($B$28=0,-1,IF(C185=0,0,(($B$28-J185)/$B$28)*$B$30)*IF($B$28&lt;0,-1,1))</f>
        <v>6.370378692288507E-4</v>
      </c>
      <c r="L185">
        <f ca="1">IF(K185&lt;0,0,IF(K185&lt;=$B$145,0.85*$B$143*((2*K185/$B$145)-POWER(K185/$B$145,2)),0.85*$B$143))/1000</f>
        <v>2.1992081370104732</v>
      </c>
      <c r="M185">
        <f ca="1">IF(K185&gt;0,MIN((K185*B$13),B$12)-L185,MAX(K185*B$13,-1*B$12))</f>
        <v>16.274890070626199</v>
      </c>
      <c r="N185" s="6">
        <f t="shared" ref="N185:N194" ca="1" si="209">M185*C185</f>
        <v>12.857163155794698</v>
      </c>
      <c r="O185" s="6">
        <f t="shared" ref="O185:O194" ca="1" si="210">N185*I185</f>
        <v>-135.31140728390227</v>
      </c>
      <c r="P185" s="6">
        <f t="shared" ref="P185:P194" ca="1" si="211">N185*H185*-1</f>
        <v>29.434568299161171</v>
      </c>
      <c r="BC185">
        <v>3.1939525311496118</v>
      </c>
      <c r="BD185">
        <v>-180.70863204918959</v>
      </c>
      <c r="BE185">
        <v>26.890307116767552</v>
      </c>
      <c r="BF185" s="6">
        <f t="shared" si="174"/>
        <v>2.9938718358152046</v>
      </c>
      <c r="BG185" s="6">
        <f t="shared" si="175"/>
        <v>0.2000806953344072</v>
      </c>
      <c r="BH185" s="6">
        <f t="shared" si="176"/>
        <v>-2.2084736724177563</v>
      </c>
      <c r="BI185" s="6">
        <f t="shared" si="177"/>
        <v>2.2084736724177563</v>
      </c>
      <c r="BV185" s="38"/>
      <c r="BW185" s="6">
        <f t="shared" si="111"/>
        <v>2.9670597283903515</v>
      </c>
      <c r="BX185" s="9">
        <f t="shared" ca="1" si="112"/>
        <v>116.1450146421417</v>
      </c>
      <c r="BY185" s="9">
        <f t="shared" ca="1" si="113"/>
        <v>-13.10826268233496</v>
      </c>
      <c r="BZ185">
        <f t="shared" ca="1" si="114"/>
        <v>116.88238095099024</v>
      </c>
      <c r="CA185" s="6">
        <f t="shared" ca="1" si="115"/>
        <v>0.99369138185884731</v>
      </c>
      <c r="CB185" s="6">
        <f t="shared" ca="1" si="116"/>
        <v>-0.11214917574130667</v>
      </c>
      <c r="CC185" s="6">
        <f t="shared" ca="1" si="117"/>
        <v>-0.11238560791467875</v>
      </c>
      <c r="CD185" s="6">
        <f t="shared" ca="1" si="118"/>
        <v>-190.23881982659455</v>
      </c>
      <c r="CE185" s="9">
        <f t="shared" ca="1" si="119"/>
        <v>24.472864410485904</v>
      </c>
      <c r="CF185">
        <f t="shared" ca="1" si="120"/>
        <v>191.80649014428457</v>
      </c>
      <c r="CG185" s="6">
        <f t="shared" ca="1" si="121"/>
        <v>-0.99182681296909847</v>
      </c>
      <c r="CH185" s="6">
        <f t="shared" ca="1" si="122"/>
        <v>0.12759143025909306</v>
      </c>
      <c r="CI185" s="6">
        <f t="shared" ca="1" si="123"/>
        <v>3.0136524733633685</v>
      </c>
      <c r="CJ185" s="1">
        <f t="shared" ca="1" si="124"/>
        <v>-2.2282543099659202</v>
      </c>
      <c r="CK185" s="38"/>
    </row>
    <row r="186" spans="1:89" x14ac:dyDescent="0.25">
      <c r="A186">
        <f t="shared" si="202"/>
        <v>2</v>
      </c>
      <c r="B186">
        <f t="shared" si="202"/>
        <v>8</v>
      </c>
      <c r="C186">
        <f t="shared" ca="1" si="202"/>
        <v>0.79</v>
      </c>
      <c r="D186">
        <f t="shared" si="202"/>
        <v>2</v>
      </c>
      <c r="E186">
        <f t="shared" si="202"/>
        <v>4</v>
      </c>
      <c r="F186" s="1">
        <f t="shared" si="203"/>
        <v>-4</v>
      </c>
      <c r="G186" s="1">
        <f t="shared" si="204"/>
        <v>-8</v>
      </c>
      <c r="H186" s="6">
        <f t="shared" si="205"/>
        <v>-2.6204430568456205</v>
      </c>
      <c r="I186" s="6">
        <f t="shared" si="206"/>
        <v>-8.551799704496684</v>
      </c>
      <c r="J186" s="6">
        <f t="shared" si="207"/>
        <v>21.379499261241712</v>
      </c>
      <c r="K186">
        <f t="shared" ca="1" si="208"/>
        <v>8.3662402029735235E-4</v>
      </c>
      <c r="L186">
        <f t="shared" ref="L186:L194" ca="1" si="212">IF(K186&lt;0,0,IF(K186&lt;=$B$145,0.85*$B$143*((2*K186/$B$145)-POWER(K186/$B$145,2)),0.85*$B$143))/1000</f>
        <v>2.7251802611726914</v>
      </c>
      <c r="M186">
        <f t="shared" ref="M186:M194" ca="1" si="213">IF(K186&gt;0,MIN((K186*B$13),B$12)-L186,MAX(K186*B$13,-1*B$12))</f>
        <v>21.536916327450527</v>
      </c>
      <c r="N186" s="6">
        <f t="shared" ca="1" si="209"/>
        <v>17.014163898685918</v>
      </c>
      <c r="O186" s="6">
        <f t="shared" ca="1" si="210"/>
        <v>-145.50172180104039</v>
      </c>
      <c r="P186" s="6">
        <f t="shared" ca="1" si="211"/>
        <v>44.584647656344927</v>
      </c>
      <c r="BC186">
        <v>3.2114058236695548</v>
      </c>
      <c r="BD186">
        <v>-180.67310877974657</v>
      </c>
      <c r="BE186">
        <v>26.309551184073051</v>
      </c>
      <c r="BF186" s="6">
        <f t="shared" si="174"/>
        <v>2.9969894151714627</v>
      </c>
      <c r="BG186" s="6">
        <f t="shared" si="175"/>
        <v>0.21441640849809218</v>
      </c>
      <c r="BH186" s="6">
        <f t="shared" si="176"/>
        <v>-2.2115912517740144</v>
      </c>
      <c r="BI186" s="6">
        <f t="shared" si="177"/>
        <v>2.2115912517740144</v>
      </c>
      <c r="BV186" s="38"/>
      <c r="BW186" s="6">
        <f t="shared" si="111"/>
        <v>2.9845130209102946</v>
      </c>
      <c r="BX186" s="9">
        <f t="shared" ca="1" si="112"/>
        <v>116.24455701821738</v>
      </c>
      <c r="BY186" s="9">
        <f t="shared" ca="1" si="113"/>
        <v>-12.51346746860775</v>
      </c>
      <c r="BZ186">
        <f t="shared" ca="1" si="114"/>
        <v>116.91614047876151</v>
      </c>
      <c r="CA186" s="6">
        <f t="shared" ca="1" si="115"/>
        <v>0.99425585331679567</v>
      </c>
      <c r="CB186" s="6">
        <f t="shared" ca="1" si="116"/>
        <v>-0.10702942653910898</v>
      </c>
      <c r="CC186" s="6">
        <f t="shared" ca="1" si="117"/>
        <v>-0.10723482947099747</v>
      </c>
      <c r="CD186" s="6">
        <f t="shared" ca="1" si="118"/>
        <v>-190.33836220267023</v>
      </c>
      <c r="CE186" s="9">
        <f t="shared" ca="1" si="119"/>
        <v>23.878069196758695</v>
      </c>
      <c r="CF186">
        <f t="shared" ca="1" si="120"/>
        <v>191.83027476016417</v>
      </c>
      <c r="CG186" s="6">
        <f t="shared" ca="1" si="121"/>
        <v>-0.99222274711664149</v>
      </c>
      <c r="CH186" s="6">
        <f t="shared" ca="1" si="122"/>
        <v>0.12447497782408044</v>
      </c>
      <c r="CI186" s="6">
        <f t="shared" ca="1" si="123"/>
        <v>3.0167939774212034</v>
      </c>
      <c r="CJ186" s="1">
        <f t="shared" ca="1" si="124"/>
        <v>-2.2313958140237551</v>
      </c>
      <c r="CK186" s="38"/>
    </row>
    <row r="187" spans="1:89" x14ac:dyDescent="0.25">
      <c r="A187">
        <f t="shared" si="202"/>
        <v>3</v>
      </c>
      <c r="B187">
        <f t="shared" si="202"/>
        <v>8</v>
      </c>
      <c r="C187">
        <f t="shared" ca="1" si="202"/>
        <v>0.79</v>
      </c>
      <c r="D187">
        <f t="shared" si="202"/>
        <v>4</v>
      </c>
      <c r="E187">
        <f t="shared" si="202"/>
        <v>2</v>
      </c>
      <c r="F187" s="1">
        <f t="shared" si="203"/>
        <v>-2</v>
      </c>
      <c r="G187" s="1">
        <f t="shared" si="204"/>
        <v>-10</v>
      </c>
      <c r="H187" s="6">
        <f t="shared" si="205"/>
        <v>-0.31694745118117695</v>
      </c>
      <c r="I187" s="6">
        <f t="shared" si="206"/>
        <v>-10.193112592000038</v>
      </c>
      <c r="J187" s="6">
        <f t="shared" si="207"/>
        <v>23.020812148745065</v>
      </c>
      <c r="K187">
        <f t="shared" ca="1" si="208"/>
        <v>6.7054076303237737E-4</v>
      </c>
      <c r="L187">
        <f t="shared" ca="1" si="212"/>
        <v>2.2929320412399599</v>
      </c>
      <c r="M187">
        <f t="shared" ca="1" si="213"/>
        <v>17.152750086698983</v>
      </c>
      <c r="N187" s="6">
        <f t="shared" ca="1" si="209"/>
        <v>13.550672568492198</v>
      </c>
      <c r="O187" s="6">
        <f t="shared" ca="1" si="210"/>
        <v>-138.1235311879673</v>
      </c>
      <c r="P187" s="6">
        <f t="shared" ca="1" si="211"/>
        <v>4.2948511323742942</v>
      </c>
      <c r="BC187">
        <v>3.2288591161894979</v>
      </c>
      <c r="BD187">
        <v>-180.62728707321938</v>
      </c>
      <c r="BE187">
        <v>25.727375804116019</v>
      </c>
      <c r="BF187" s="6">
        <f t="shared" si="174"/>
        <v>3.0001107984120718</v>
      </c>
      <c r="BG187" s="6">
        <f t="shared" si="175"/>
        <v>0.2287483177774261</v>
      </c>
      <c r="BH187" s="6">
        <f t="shared" si="176"/>
        <v>-2.2147126350146236</v>
      </c>
      <c r="BI187" s="6">
        <f t="shared" si="177"/>
        <v>2.2147126350146236</v>
      </c>
      <c r="BV187" s="38"/>
      <c r="BW187" s="6">
        <f t="shared" si="111"/>
        <v>3.0019663134302377</v>
      </c>
      <c r="BX187" s="9">
        <f t="shared" ca="1" si="112"/>
        <v>116.33296648876747</v>
      </c>
      <c r="BY187" s="9">
        <f t="shared" ca="1" si="113"/>
        <v>-11.921951942233633</v>
      </c>
      <c r="BZ187">
        <f t="shared" ca="1" si="114"/>
        <v>116.94225938551736</v>
      </c>
      <c r="CA187" s="6">
        <f t="shared" ca="1" si="115"/>
        <v>0.99478979711909565</v>
      </c>
      <c r="CB187" s="6">
        <f t="shared" ca="1" si="116"/>
        <v>-0.10194733712926791</v>
      </c>
      <c r="CC187" s="6">
        <f t="shared" ca="1" si="117"/>
        <v>-0.10212476238956746</v>
      </c>
      <c r="CD187" s="6">
        <f t="shared" ca="1" si="118"/>
        <v>-190.42677167322032</v>
      </c>
      <c r="CE187" s="9">
        <f t="shared" ca="1" si="119"/>
        <v>23.286553670384578</v>
      </c>
      <c r="CF187">
        <f t="shared" ca="1" si="120"/>
        <v>191.8452995299298</v>
      </c>
      <c r="CG187" s="6">
        <f t="shared" ca="1" si="121"/>
        <v>-0.99260587640048914</v>
      </c>
      <c r="CH187" s="6">
        <f t="shared" ca="1" si="122"/>
        <v>0.12138193496240256</v>
      </c>
      <c r="CI187" s="6">
        <f t="shared" ca="1" si="123"/>
        <v>3.0199106599612335</v>
      </c>
      <c r="CJ187" s="1">
        <f t="shared" ca="1" si="124"/>
        <v>-2.2345124965637853</v>
      </c>
      <c r="CK187" s="38"/>
    </row>
    <row r="188" spans="1:89" x14ac:dyDescent="0.25">
      <c r="A188">
        <f t="shared" si="202"/>
        <v>4</v>
      </c>
      <c r="B188">
        <f t="shared" si="202"/>
        <v>8</v>
      </c>
      <c r="C188">
        <f t="shared" ca="1" si="202"/>
        <v>0.79</v>
      </c>
      <c r="D188">
        <f t="shared" si="202"/>
        <v>4</v>
      </c>
      <c r="E188">
        <f t="shared" si="202"/>
        <v>4</v>
      </c>
      <c r="F188" s="1">
        <f t="shared" si="203"/>
        <v>-2</v>
      </c>
      <c r="G188" s="1">
        <f t="shared" si="204"/>
        <v>-8</v>
      </c>
      <c r="H188" s="6">
        <f t="shared" si="205"/>
        <v>-0.64803881026172139</v>
      </c>
      <c r="I188" s="6">
        <f t="shared" si="206"/>
        <v>-8.2207083454161403</v>
      </c>
      <c r="J188" s="6">
        <f t="shared" si="207"/>
        <v>21.048407902161166</v>
      </c>
      <c r="K188">
        <f t="shared" ca="1" si="208"/>
        <v>8.701269141008789E-4</v>
      </c>
      <c r="L188">
        <f t="shared" ca="1" si="212"/>
        <v>2.8058455933737654</v>
      </c>
      <c r="M188">
        <f t="shared" ca="1" si="213"/>
        <v>22.427834915551724</v>
      </c>
      <c r="N188" s="6">
        <f t="shared" ca="1" si="209"/>
        <v>17.717989583285863</v>
      </c>
      <c r="O188" s="6">
        <f t="shared" ca="1" si="210"/>
        <v>-145.65442483131434</v>
      </c>
      <c r="P188" s="6">
        <f t="shared" ca="1" si="211"/>
        <v>11.481944889782143</v>
      </c>
      <c r="BC188">
        <v>3.246312408709441</v>
      </c>
      <c r="BD188">
        <v>-180.57105416356814</v>
      </c>
      <c r="BE188">
        <v>25.143419600943229</v>
      </c>
      <c r="BF188" s="6">
        <f t="shared" si="174"/>
        <v>3.0032383445523099</v>
      </c>
      <c r="BG188" s="6">
        <f t="shared" si="175"/>
        <v>0.24307406415713118</v>
      </c>
      <c r="BH188" s="6">
        <f t="shared" si="176"/>
        <v>-2.2178401811548616</v>
      </c>
      <c r="BI188" s="6">
        <f t="shared" si="177"/>
        <v>2.2178401811548616</v>
      </c>
      <c r="BV188" s="38"/>
      <c r="BW188" s="6">
        <f t="shared" si="111"/>
        <v>3.0194196059501808</v>
      </c>
      <c r="BX188" s="9">
        <f t="shared" ca="1" si="112"/>
        <v>116.41046584866477</v>
      </c>
      <c r="BY188" s="9">
        <f t="shared" ca="1" si="113"/>
        <v>-11.333331465780667</v>
      </c>
      <c r="BZ188">
        <f t="shared" ca="1" si="114"/>
        <v>116.96085225927692</v>
      </c>
      <c r="CA188" s="6">
        <f t="shared" ca="1" si="115"/>
        <v>0.99529426812492727</v>
      </c>
      <c r="CB188" s="6">
        <f t="shared" ca="1" si="116"/>
        <v>-9.6898502762763059E-2</v>
      </c>
      <c r="CC188" s="6">
        <f t="shared" ca="1" si="117"/>
        <v>-9.7050782226913226E-2</v>
      </c>
      <c r="CD188" s="6">
        <f t="shared" ca="1" si="118"/>
        <v>-190.50427103311762</v>
      </c>
      <c r="CE188" s="9">
        <f t="shared" ca="1" si="119"/>
        <v>22.697933193931611</v>
      </c>
      <c r="CF188">
        <f t="shared" ca="1" si="120"/>
        <v>191.85169650835962</v>
      </c>
      <c r="CG188" s="6">
        <f t="shared" ca="1" si="121"/>
        <v>-0.99297673411408538</v>
      </c>
      <c r="CH188" s="6">
        <f t="shared" ca="1" si="122"/>
        <v>0.11830978618915984</v>
      </c>
      <c r="CI188" s="6">
        <f t="shared" ca="1" si="123"/>
        <v>3.0230051132521631</v>
      </c>
      <c r="CJ188" s="1">
        <f t="shared" ca="1" si="124"/>
        <v>-2.2376069498547149</v>
      </c>
      <c r="CK188" s="38"/>
    </row>
    <row r="189" spans="1:89" x14ac:dyDescent="0.25">
      <c r="A189">
        <f t="shared" si="202"/>
        <v>5</v>
      </c>
      <c r="B189">
        <f t="shared" si="202"/>
        <v>0</v>
      </c>
      <c r="C189">
        <f t="shared" ca="1" si="202"/>
        <v>0</v>
      </c>
      <c r="D189">
        <f t="shared" si="202"/>
        <v>2</v>
      </c>
      <c r="E189">
        <f t="shared" si="202"/>
        <v>8.66</v>
      </c>
      <c r="F189" s="1">
        <f t="shared" si="203"/>
        <v>-4</v>
      </c>
      <c r="G189" s="1">
        <f t="shared" si="204"/>
        <v>-3.34</v>
      </c>
      <c r="H189" s="6">
        <f t="shared" si="205"/>
        <v>-3.3918859235032888</v>
      </c>
      <c r="I189" s="6">
        <f t="shared" si="206"/>
        <v>-3.9560978099562001</v>
      </c>
      <c r="J189" s="6">
        <f t="shared" si="207"/>
        <v>16.783797366701226</v>
      </c>
      <c r="K189">
        <f t="shared" ca="1" si="208"/>
        <v>0</v>
      </c>
      <c r="L189">
        <f t="shared" ca="1" si="212"/>
        <v>0</v>
      </c>
      <c r="M189">
        <f t="shared" ca="1" si="213"/>
        <v>0</v>
      </c>
      <c r="N189" s="6">
        <f t="shared" ca="1" si="209"/>
        <v>0</v>
      </c>
      <c r="O189" s="6">
        <f t="shared" ca="1" si="210"/>
        <v>0</v>
      </c>
      <c r="P189" s="6">
        <f t="shared" ca="1" si="211"/>
        <v>0</v>
      </c>
      <c r="BC189">
        <v>3.2637657012293841</v>
      </c>
      <c r="BD189">
        <v>-180.50427103312117</v>
      </c>
      <c r="BE189">
        <v>24.557316806069107</v>
      </c>
      <c r="BF189" s="6">
        <f t="shared" si="174"/>
        <v>3.0063744367056708</v>
      </c>
      <c r="BG189" s="6">
        <f t="shared" si="175"/>
        <v>0.2573912645237133</v>
      </c>
      <c r="BH189" s="6">
        <f t="shared" si="176"/>
        <v>-2.2209762733082226</v>
      </c>
      <c r="BI189" s="6">
        <f t="shared" si="177"/>
        <v>2.2209762733082226</v>
      </c>
      <c r="BV189" s="38"/>
      <c r="BW189" s="6">
        <f t="shared" si="111"/>
        <v>3.0368728984701239</v>
      </c>
      <c r="BX189" s="9">
        <f t="shared" ca="1" si="112"/>
        <v>116.47724897911145</v>
      </c>
      <c r="BY189" s="9">
        <f t="shared" ca="1" si="113"/>
        <v>-10.747228670906544</v>
      </c>
      <c r="BZ189">
        <f t="shared" ca="1" si="114"/>
        <v>116.97201568685853</v>
      </c>
      <c r="CA189" s="6">
        <f t="shared" ca="1" si="115"/>
        <v>0.9957702130305115</v>
      </c>
      <c r="CB189" s="6">
        <f t="shared" ca="1" si="116"/>
        <v>-9.187863103665371E-2</v>
      </c>
      <c r="CC189" s="6">
        <f t="shared" ca="1" si="117"/>
        <v>-9.2008392954768634E-2</v>
      </c>
      <c r="CD189" s="6">
        <f t="shared" ca="1" si="118"/>
        <v>-190.5710541635643</v>
      </c>
      <c r="CE189" s="9">
        <f t="shared" ca="1" si="119"/>
        <v>22.111830399057489</v>
      </c>
      <c r="CF189">
        <f t="shared" ca="1" si="120"/>
        <v>191.84957578428168</v>
      </c>
      <c r="CG189" s="6">
        <f t="shared" ca="1" si="121"/>
        <v>-0.99333581210440114</v>
      </c>
      <c r="CH189" s="6">
        <f t="shared" ca="1" si="122"/>
        <v>0.11525608179566858</v>
      </c>
      <c r="CI189" s="6">
        <f t="shared" ca="1" si="123"/>
        <v>3.0260798579528201</v>
      </c>
      <c r="CJ189" s="1">
        <f t="shared" ca="1" si="124"/>
        <v>-2.2406816945553718</v>
      </c>
      <c r="CK189" s="38"/>
    </row>
    <row r="190" spans="1:89" x14ac:dyDescent="0.25">
      <c r="A190">
        <f t="shared" si="202"/>
        <v>6</v>
      </c>
      <c r="B190">
        <f t="shared" si="202"/>
        <v>0</v>
      </c>
      <c r="C190">
        <f t="shared" ca="1" si="202"/>
        <v>0</v>
      </c>
      <c r="D190">
        <f t="shared" si="202"/>
        <v>10</v>
      </c>
      <c r="E190">
        <f t="shared" si="202"/>
        <v>8.66</v>
      </c>
      <c r="F190" s="1">
        <f t="shared" si="203"/>
        <v>4</v>
      </c>
      <c r="G190" s="1">
        <f t="shared" si="204"/>
        <v>-3.34</v>
      </c>
      <c r="H190" s="6">
        <f t="shared" si="205"/>
        <v>4.4977310628323064</v>
      </c>
      <c r="I190" s="6">
        <f t="shared" si="206"/>
        <v>-2.6317323736340223</v>
      </c>
      <c r="J190" s="6">
        <f t="shared" si="207"/>
        <v>15.459431930379049</v>
      </c>
      <c r="K190">
        <f t="shared" ca="1" si="208"/>
        <v>0</v>
      </c>
      <c r="L190">
        <f t="shared" ca="1" si="212"/>
        <v>0</v>
      </c>
      <c r="M190">
        <f t="shared" ca="1" si="213"/>
        <v>0</v>
      </c>
      <c r="N190" s="6">
        <f t="shared" ca="1" si="209"/>
        <v>0</v>
      </c>
      <c r="O190" s="6">
        <f t="shared" ca="1" si="210"/>
        <v>0</v>
      </c>
      <c r="P190" s="6">
        <f t="shared" ca="1" si="211"/>
        <v>0</v>
      </c>
      <c r="BC190">
        <v>3.2812189937493272</v>
      </c>
      <c r="BD190">
        <v>-180.42677167322412</v>
      </c>
      <c r="BE190">
        <v>23.968696329616151</v>
      </c>
      <c r="BF190" s="6">
        <f t="shared" si="174"/>
        <v>3.0095214900189458</v>
      </c>
      <c r="BG190" s="6">
        <f t="shared" si="175"/>
        <v>0.27169750373038148</v>
      </c>
      <c r="BH190" s="6">
        <f t="shared" si="176"/>
        <v>-2.2241233266214975</v>
      </c>
      <c r="BI190" s="6">
        <f t="shared" si="177"/>
        <v>2.2241233266214975</v>
      </c>
      <c r="BV190" s="38"/>
      <c r="BW190" s="6">
        <f t="shared" si="111"/>
        <v>3.054326190990067</v>
      </c>
      <c r="BX190" s="9">
        <f t="shared" ca="1" si="112"/>
        <v>116.53348188876284</v>
      </c>
      <c r="BY190" s="9">
        <f t="shared" ca="1" si="113"/>
        <v>-10.163272467733776</v>
      </c>
      <c r="BZ190">
        <f t="shared" ca="1" si="114"/>
        <v>116.97582873556405</v>
      </c>
      <c r="CA190" s="6">
        <f t="shared" ca="1" si="115"/>
        <v>0.99621847648712802</v>
      </c>
      <c r="CB190" s="6">
        <f t="shared" ca="1" si="116"/>
        <v>-8.6883526089042748E-2</v>
      </c>
      <c r="CC190" s="6">
        <f t="shared" ca="1" si="117"/>
        <v>-8.6993209380560113E-2</v>
      </c>
      <c r="CD190" s="6">
        <f t="shared" ca="1" si="118"/>
        <v>-190.62728707321568</v>
      </c>
      <c r="CE190" s="9">
        <f t="shared" ca="1" si="119"/>
        <v>21.527874195884721</v>
      </c>
      <c r="CF190">
        <f t="shared" ca="1" si="120"/>
        <v>191.83902612421701</v>
      </c>
      <c r="CG190" s="6">
        <f t="shared" ca="1" si="121"/>
        <v>-0.99368356337350916</v>
      </c>
      <c r="CH190" s="6">
        <f t="shared" ca="1" si="122"/>
        <v>0.11221842933014725</v>
      </c>
      <c r="CI190" s="6">
        <f t="shared" ca="1" si="123"/>
        <v>3.0291373521439779</v>
      </c>
      <c r="CJ190" s="1">
        <f t="shared" ca="1" si="124"/>
        <v>-2.2437391887465297</v>
      </c>
      <c r="CK190" s="38"/>
    </row>
    <row r="191" spans="1:89" x14ac:dyDescent="0.25">
      <c r="A191">
        <f t="shared" si="202"/>
        <v>7</v>
      </c>
      <c r="B191">
        <f t="shared" si="202"/>
        <v>0</v>
      </c>
      <c r="C191">
        <f t="shared" ca="1" si="202"/>
        <v>0</v>
      </c>
      <c r="D191">
        <f t="shared" si="202"/>
        <v>2</v>
      </c>
      <c r="E191">
        <f t="shared" si="202"/>
        <v>15.33</v>
      </c>
      <c r="F191" s="1">
        <f t="shared" si="203"/>
        <v>-4</v>
      </c>
      <c r="G191" s="1">
        <f t="shared" si="204"/>
        <v>3.33</v>
      </c>
      <c r="H191" s="6">
        <f t="shared" si="205"/>
        <v>-4.4960756060369045</v>
      </c>
      <c r="I191" s="6">
        <f t="shared" si="206"/>
        <v>2.6218703524011029</v>
      </c>
      <c r="J191" s="6">
        <f t="shared" si="207"/>
        <v>10.205829204343923</v>
      </c>
      <c r="K191">
        <f t="shared" ca="1" si="208"/>
        <v>0</v>
      </c>
      <c r="L191">
        <f t="shared" ca="1" si="212"/>
        <v>0</v>
      </c>
      <c r="M191">
        <f t="shared" ca="1" si="213"/>
        <v>0</v>
      </c>
      <c r="N191" s="6">
        <f t="shared" ca="1" si="209"/>
        <v>0</v>
      </c>
      <c r="O191" s="6">
        <f t="shared" ca="1" si="210"/>
        <v>0</v>
      </c>
      <c r="P191" s="6">
        <f t="shared" ca="1" si="211"/>
        <v>0</v>
      </c>
      <c r="BC191">
        <v>3.2986722862692703</v>
      </c>
      <c r="BD191">
        <v>-180.33836220267403</v>
      </c>
      <c r="BE191">
        <v>23.377180803242066</v>
      </c>
      <c r="BF191" s="6">
        <f t="shared" si="174"/>
        <v>3.0126819598749517</v>
      </c>
      <c r="BG191" s="6">
        <f t="shared" si="175"/>
        <v>0.28599032639431865</v>
      </c>
      <c r="BH191" s="6">
        <f t="shared" si="176"/>
        <v>-2.2272837964775034</v>
      </c>
      <c r="BI191" s="6">
        <f t="shared" si="177"/>
        <v>2.2272837964775034</v>
      </c>
      <c r="BV191" s="38"/>
      <c r="BW191" s="6">
        <f t="shared" si="111"/>
        <v>3.0717794835100101</v>
      </c>
      <c r="BX191" s="9">
        <f t="shared" ca="1" si="112"/>
        <v>116.57930359528991</v>
      </c>
      <c r="BY191" s="9">
        <f t="shared" ca="1" si="113"/>
        <v>-9.5810970877767474</v>
      </c>
      <c r="BZ191">
        <f t="shared" ca="1" si="114"/>
        <v>116.97235334970473</v>
      </c>
      <c r="CA191" s="6">
        <f t="shared" ca="1" si="115"/>
        <v>0.99663980638878191</v>
      </c>
      <c r="CB191" s="6">
        <f t="shared" ca="1" si="116"/>
        <v>-8.1909073498185991E-2</v>
      </c>
      <c r="CC191" s="6">
        <f t="shared" ca="1" si="117"/>
        <v>-8.2000940434818245E-2</v>
      </c>
      <c r="CD191" s="6">
        <f t="shared" ca="1" si="118"/>
        <v>-190.67310877974276</v>
      </c>
      <c r="CE191" s="9">
        <f t="shared" ca="1" si="119"/>
        <v>20.945698815927692</v>
      </c>
      <c r="CF191">
        <f t="shared" ca="1" si="120"/>
        <v>191.82011550048441</v>
      </c>
      <c r="CG191" s="6">
        <f t="shared" ca="1" si="121"/>
        <v>-0.99402040438903427</v>
      </c>
      <c r="CH191" s="6">
        <f t="shared" ca="1" si="122"/>
        <v>0.10919448547550685</v>
      </c>
      <c r="CI191" s="6">
        <f t="shared" ca="1" si="123"/>
        <v>3.0321799999132488</v>
      </c>
      <c r="CJ191" s="1">
        <f t="shared" ca="1" si="124"/>
        <v>-2.2467818365158005</v>
      </c>
      <c r="CK191" s="38"/>
    </row>
    <row r="192" spans="1:89" x14ac:dyDescent="0.25">
      <c r="A192">
        <f t="shared" si="202"/>
        <v>8</v>
      </c>
      <c r="B192">
        <f t="shared" si="202"/>
        <v>0</v>
      </c>
      <c r="C192">
        <f t="shared" ca="1" si="202"/>
        <v>0</v>
      </c>
      <c r="D192">
        <f t="shared" si="202"/>
        <v>10</v>
      </c>
      <c r="E192">
        <f t="shared" si="202"/>
        <v>15.33</v>
      </c>
      <c r="F192" s="1">
        <f t="shared" si="203"/>
        <v>4</v>
      </c>
      <c r="G192" s="1">
        <f t="shared" si="204"/>
        <v>3.33</v>
      </c>
      <c r="H192" s="6">
        <f t="shared" si="205"/>
        <v>3.3935413802986911</v>
      </c>
      <c r="I192" s="6">
        <f t="shared" si="206"/>
        <v>3.9462357887232806</v>
      </c>
      <c r="J192" s="6">
        <f t="shared" si="207"/>
        <v>8.8814637680217459</v>
      </c>
      <c r="K192">
        <f t="shared" ca="1" si="208"/>
        <v>0</v>
      </c>
      <c r="L192">
        <f t="shared" ca="1" si="212"/>
        <v>0</v>
      </c>
      <c r="M192">
        <f t="shared" ca="1" si="213"/>
        <v>0</v>
      </c>
      <c r="N192" s="6">
        <f t="shared" ca="1" si="209"/>
        <v>0</v>
      </c>
      <c r="O192" s="6">
        <f t="shared" ca="1" si="210"/>
        <v>0</v>
      </c>
      <c r="P192" s="6">
        <f t="shared" ca="1" si="211"/>
        <v>0</v>
      </c>
      <c r="BC192">
        <v>3.3161255787892134</v>
      </c>
      <c r="BD192">
        <v>-180.23881982659827</v>
      </c>
      <c r="BE192">
        <v>22.782385589514824</v>
      </c>
      <c r="BF192" s="6">
        <f t="shared" si="174"/>
        <v>3.0158583504197893</v>
      </c>
      <c r="BG192" s="6">
        <f t="shared" si="175"/>
        <v>0.3002672283694241</v>
      </c>
      <c r="BH192" s="6">
        <f t="shared" si="176"/>
        <v>-2.2304601870223411</v>
      </c>
      <c r="BI192" s="6">
        <f t="shared" si="177"/>
        <v>2.2304601870223411</v>
      </c>
      <c r="BV192" s="38"/>
      <c r="BW192" s="6">
        <f t="shared" si="111"/>
        <v>3.0892327760299532</v>
      </c>
      <c r="BX192" s="9">
        <f t="shared" ca="1" si="112"/>
        <v>116.6148268647329</v>
      </c>
      <c r="BY192" s="9">
        <f t="shared" ca="1" si="113"/>
        <v>-9.0003411550822214</v>
      </c>
      <c r="BZ192">
        <f t="shared" ca="1" si="114"/>
        <v>116.96163467393698</v>
      </c>
      <c r="CA192" s="6">
        <f t="shared" ca="1" si="115"/>
        <v>0.99703485839462747</v>
      </c>
      <c r="CB192" s="6">
        <f t="shared" ca="1" si="116"/>
        <v>-7.6951225760251818E-2</v>
      </c>
      <c r="CC192" s="6">
        <f t="shared" ca="1" si="117"/>
        <v>-7.7027373176753733E-2</v>
      </c>
      <c r="CD192" s="6">
        <f t="shared" ca="1" si="118"/>
        <v>-190.70863204918575</v>
      </c>
      <c r="CE192" s="9">
        <f t="shared" ca="1" si="119"/>
        <v>20.364942883233166</v>
      </c>
      <c r="CF192">
        <f t="shared" ca="1" si="120"/>
        <v>191.79289151767085</v>
      </c>
      <c r="CG192" s="6">
        <f t="shared" ca="1" si="121"/>
        <v>-0.99434671712853762</v>
      </c>
      <c r="CH192" s="6">
        <f t="shared" ca="1" si="122"/>
        <v>0.10618194825722642</v>
      </c>
      <c r="CI192" s="6">
        <f t="shared" ca="1" si="123"/>
        <v>3.0352101595659802</v>
      </c>
      <c r="CJ192" s="1">
        <f t="shared" ca="1" si="124"/>
        <v>-2.2498119961685319</v>
      </c>
      <c r="CK192" s="38"/>
    </row>
    <row r="193" spans="1:89" x14ac:dyDescent="0.25">
      <c r="A193">
        <f t="shared" si="202"/>
        <v>9</v>
      </c>
      <c r="B193">
        <f t="shared" si="202"/>
        <v>0</v>
      </c>
      <c r="C193">
        <f t="shared" ca="1" si="202"/>
        <v>0</v>
      </c>
      <c r="D193">
        <f t="shared" si="202"/>
        <v>8</v>
      </c>
      <c r="E193">
        <f t="shared" si="202"/>
        <v>2</v>
      </c>
      <c r="F193" s="1">
        <f t="shared" si="203"/>
        <v>2</v>
      </c>
      <c r="G193" s="1">
        <f t="shared" si="204"/>
        <v>-10</v>
      </c>
      <c r="H193" s="6">
        <f t="shared" si="205"/>
        <v>3.6278610419866206</v>
      </c>
      <c r="I193" s="6">
        <f t="shared" si="206"/>
        <v>-9.5309298738389501</v>
      </c>
      <c r="J193" s="6">
        <f t="shared" si="207"/>
        <v>22.358629430583974</v>
      </c>
      <c r="K193">
        <f t="shared" ca="1" si="208"/>
        <v>0</v>
      </c>
      <c r="L193">
        <f t="shared" ca="1" si="212"/>
        <v>0</v>
      </c>
      <c r="M193">
        <f t="shared" ca="1" si="213"/>
        <v>0</v>
      </c>
      <c r="N193" s="6">
        <f t="shared" ca="1" si="209"/>
        <v>0</v>
      </c>
      <c r="O193" s="6">
        <f t="shared" ca="1" si="210"/>
        <v>0</v>
      </c>
      <c r="P193" s="6">
        <f t="shared" ca="1" si="211"/>
        <v>0</v>
      </c>
      <c r="BC193">
        <v>3.3335788713091565</v>
      </c>
      <c r="BD193">
        <v>-180.12789163269488</v>
      </c>
      <c r="BE193">
        <v>22.183917752085073</v>
      </c>
      <c r="BF193" s="6">
        <f t="shared" si="174"/>
        <v>3.0190532234880165</v>
      </c>
      <c r="BG193" s="6">
        <f t="shared" si="175"/>
        <v>0.31452564782114001</v>
      </c>
      <c r="BH193" s="6">
        <f t="shared" si="176"/>
        <v>-2.2336550600905682</v>
      </c>
      <c r="BI193" s="6">
        <f t="shared" si="177"/>
        <v>2.2336550600905682</v>
      </c>
      <c r="BV193" s="38"/>
      <c r="BW193" s="6">
        <f t="shared" si="111"/>
        <v>3.1066860685498963</v>
      </c>
      <c r="BX193" s="9">
        <f t="shared" ca="1" si="112"/>
        <v>116.640138799111</v>
      </c>
      <c r="BY193" s="9">
        <f t="shared" ca="1" si="113"/>
        <v>-8.4206467805008387</v>
      </c>
      <c r="BZ193">
        <f t="shared" ca="1" si="114"/>
        <v>116.94370128945739</v>
      </c>
      <c r="CA193" s="6">
        <f t="shared" ca="1" si="115"/>
        <v>0.99740419973885541</v>
      </c>
      <c r="CB193" s="6">
        <f t="shared" ca="1" si="116"/>
        <v>-7.2005988246072128E-2</v>
      </c>
      <c r="CC193" s="6">
        <f t="shared" ca="1" si="117"/>
        <v>-7.2068357397720134E-2</v>
      </c>
      <c r="CD193" s="6">
        <f t="shared" ca="1" si="118"/>
        <v>-190.73394398356385</v>
      </c>
      <c r="CE193" s="9">
        <f t="shared" ca="1" si="119"/>
        <v>19.785248508651783</v>
      </c>
      <c r="CF193">
        <f t="shared" ca="1" si="120"/>
        <v>191.75738172512257</v>
      </c>
      <c r="CG193" s="6">
        <f t="shared" ca="1" si="121"/>
        <v>-0.99466285087775241</v>
      </c>
      <c r="CH193" s="6">
        <f t="shared" ca="1" si="122"/>
        <v>0.10317854953304086</v>
      </c>
      <c r="CI193" s="6">
        <f t="shared" ca="1" si="123"/>
        <v>3.0382301515155663</v>
      </c>
      <c r="CJ193" s="1">
        <f t="shared" ca="1" si="124"/>
        <v>-2.252831988118118</v>
      </c>
      <c r="CK193" s="38"/>
    </row>
    <row r="194" spans="1:89" ht="15.75" thickBot="1" x14ac:dyDescent="0.3">
      <c r="A194">
        <f t="shared" si="202"/>
        <v>10</v>
      </c>
      <c r="B194">
        <f t="shared" si="202"/>
        <v>0</v>
      </c>
      <c r="C194">
        <f t="shared" ca="1" si="202"/>
        <v>0</v>
      </c>
      <c r="D194">
        <f t="shared" si="202"/>
        <v>10</v>
      </c>
      <c r="E194">
        <f t="shared" si="202"/>
        <v>2</v>
      </c>
      <c r="F194" s="1">
        <f t="shared" si="203"/>
        <v>4</v>
      </c>
      <c r="G194" s="1">
        <f t="shared" si="204"/>
        <v>-10</v>
      </c>
      <c r="H194" s="6">
        <f t="shared" si="205"/>
        <v>5.6002652885705198</v>
      </c>
      <c r="I194" s="6">
        <f t="shared" si="206"/>
        <v>-9.1998385147584045</v>
      </c>
      <c r="J194" s="6">
        <f t="shared" si="207"/>
        <v>22.027538071503429</v>
      </c>
      <c r="K194" s="12">
        <f t="shared" ca="1" si="208"/>
        <v>0</v>
      </c>
      <c r="L194">
        <f t="shared" ca="1" si="212"/>
        <v>0</v>
      </c>
      <c r="M194">
        <f t="shared" ca="1" si="213"/>
        <v>0</v>
      </c>
      <c r="N194" s="11">
        <f t="shared" ca="1" si="209"/>
        <v>0</v>
      </c>
      <c r="O194" s="11">
        <f t="shared" ca="1" si="210"/>
        <v>0</v>
      </c>
      <c r="P194" s="11">
        <f t="shared" ca="1" si="211"/>
        <v>0</v>
      </c>
      <c r="BC194">
        <v>3.3510321638290996</v>
      </c>
      <c r="BD194">
        <v>-180.00529319667481</v>
      </c>
      <c r="BE194">
        <v>21.581374980639215</v>
      </c>
      <c r="BF194" s="6">
        <f t="shared" si="174"/>
        <v>3.0222692079885087</v>
      </c>
      <c r="BG194" s="6">
        <f t="shared" si="175"/>
        <v>0.3287629558405909</v>
      </c>
      <c r="BH194" s="6">
        <f t="shared" si="176"/>
        <v>-2.2368710445910605</v>
      </c>
      <c r="BI194" s="6">
        <f t="shared" si="177"/>
        <v>2.2368710445910605</v>
      </c>
      <c r="BV194" s="38"/>
      <c r="BW194" s="6">
        <f t="shared" si="111"/>
        <v>3.1241393610698394</v>
      </c>
      <c r="BX194" s="9">
        <f t="shared" ca="1" si="112"/>
        <v>116.655301292028</v>
      </c>
      <c r="BY194" s="9">
        <f t="shared" ca="1" si="113"/>
        <v>-7.841658674219822</v>
      </c>
      <c r="BZ194">
        <f t="shared" ca="1" si="114"/>
        <v>116.91856537905687</v>
      </c>
      <c r="CA194" s="6">
        <f t="shared" ca="1" si="115"/>
        <v>0.99774831237301487</v>
      </c>
      <c r="CB194" s="6">
        <f t="shared" ca="1" si="116"/>
        <v>-6.7069405519959158E-2</v>
      </c>
      <c r="CC194" s="6">
        <f t="shared" ca="1" si="117"/>
        <v>-6.7119790687062877E-2</v>
      </c>
      <c r="CD194" s="6">
        <f t="shared" ca="1" si="118"/>
        <v>-190.74910647648085</v>
      </c>
      <c r="CE194" s="9">
        <f t="shared" ca="1" si="119"/>
        <v>19.206260402370766</v>
      </c>
      <c r="CF194">
        <f t="shared" ca="1" si="120"/>
        <v>191.71359383262185</v>
      </c>
      <c r="CG194" s="6">
        <f t="shared" ca="1" si="121"/>
        <v>-0.99496912380150226</v>
      </c>
      <c r="CH194" s="6">
        <f t="shared" ca="1" si="122"/>
        <v>0.10018204770152633</v>
      </c>
      <c r="CI194" s="6">
        <f t="shared" ca="1" si="123"/>
        <v>3.0412422659207277</v>
      </c>
      <c r="CJ194" s="1">
        <f t="shared" ca="1" si="124"/>
        <v>-2.2558441025232794</v>
      </c>
      <c r="CK194" s="38"/>
    </row>
    <row r="195" spans="1:89" ht="15.75" thickTop="1" x14ac:dyDescent="0.25">
      <c r="K195" s="13">
        <f ca="1">MIN(K185:K194)</f>
        <v>0</v>
      </c>
      <c r="N195" s="9">
        <f ca="1">SUM(N185:N194)</f>
        <v>61.139989206258676</v>
      </c>
      <c r="O195" s="9">
        <f ca="1">SUM(O185:O194)</f>
        <v>-564.59108510422436</v>
      </c>
      <c r="P195" s="9">
        <f ca="1">SUM(P185:P194)</f>
        <v>89.796011977662531</v>
      </c>
      <c r="BC195">
        <v>3.3684854563490427</v>
      </c>
      <c r="BD195">
        <v>-179.87070701944197</v>
      </c>
      <c r="BE195">
        <v>20.974344464188039</v>
      </c>
      <c r="BF195" s="6">
        <f t="shared" ref="BF195:BF258" si="214">IF(BC195&lt;&gt;"",IF(AND(BD195=0,BE195=0),0,MOD(ATAN2(BD195,BE195),2*PI())),NA())</f>
        <v>3.0255090098564232</v>
      </c>
      <c r="BG195" s="6">
        <f t="shared" ref="BG195:BG258" si="215">ABS(BC195-BF195)</f>
        <v>0.34297644649261949</v>
      </c>
      <c r="BH195" s="6">
        <f t="shared" ref="BH195:BH258" si="216">ATAN2(COS($U$13-BF195),SIN($U$13-BF195))</f>
        <v>-2.2401108464589745</v>
      </c>
      <c r="BI195" s="6">
        <f t="shared" ref="BI195:BI258" si="217">ABS(BH195)</f>
        <v>2.2401108464589745</v>
      </c>
      <c r="BV195" s="38"/>
      <c r="BW195" s="6">
        <f t="shared" si="111"/>
        <v>3.1415926535897825</v>
      </c>
      <c r="BX195" s="9">
        <f t="shared" ca="1" si="112"/>
        <v>116.66035135187134</v>
      </c>
      <c r="BY195" s="9">
        <f t="shared" ca="1" si="113"/>
        <v>-7.2630232718494092</v>
      </c>
      <c r="BZ195">
        <f t="shared" ca="1" si="114"/>
        <v>116.88622281770206</v>
      </c>
      <c r="CA195" s="6">
        <f t="shared" ca="1" si="115"/>
        <v>0.99806759547544799</v>
      </c>
      <c r="CB195" s="6">
        <f t="shared" ca="1" si="116"/>
        <v>-6.2137547922794599E-2</v>
      </c>
      <c r="CC195" s="6">
        <f t="shared" ca="1" si="117"/>
        <v>-6.2177603845787181E-2</v>
      </c>
      <c r="CD195" s="6">
        <f t="shared" ca="1" si="118"/>
        <v>-190.75415653632419</v>
      </c>
      <c r="CE195" s="9">
        <f t="shared" ca="1" si="119"/>
        <v>18.627625000000354</v>
      </c>
      <c r="CF195">
        <f t="shared" ca="1" si="120"/>
        <v>191.66151582679583</v>
      </c>
      <c r="CG195" s="6">
        <f t="shared" ca="1" si="121"/>
        <v>-0.99526582430198651</v>
      </c>
      <c r="CH195" s="6">
        <f t="shared" ca="1" si="122"/>
        <v>9.719022058050561E-2</v>
      </c>
      <c r="CI195" s="6">
        <f t="shared" ca="1" si="123"/>
        <v>3.0442487701229184</v>
      </c>
      <c r="CJ195" s="1">
        <f t="shared" ca="1" si="124"/>
        <v>-2.2588506067254701</v>
      </c>
      <c r="CK195" s="38"/>
    </row>
    <row r="196" spans="1:89" x14ac:dyDescent="0.25">
      <c r="A196" t="s">
        <v>195</v>
      </c>
      <c r="B196" s="9">
        <f ca="1">N195</f>
        <v>61.139989206258676</v>
      </c>
      <c r="C196" t="s">
        <v>68</v>
      </c>
      <c r="BC196">
        <v>3.3859387488689858</v>
      </c>
      <c r="BD196">
        <v>-179.72378072696401</v>
      </c>
      <c r="BE196">
        <v>20.362401705749043</v>
      </c>
      <c r="BF196" s="6">
        <f t="shared" si="214"/>
        <v>3.0287754226241521</v>
      </c>
      <c r="BG196" s="6">
        <f t="shared" si="215"/>
        <v>0.35716332624483371</v>
      </c>
      <c r="BH196" s="6">
        <f t="shared" si="216"/>
        <v>-2.2433772592267038</v>
      </c>
      <c r="BI196" s="6">
        <f t="shared" si="217"/>
        <v>2.2433772592267038</v>
      </c>
      <c r="BV196" s="38"/>
      <c r="BW196" s="6">
        <f t="shared" si="111"/>
        <v>3.1590459461097256</v>
      </c>
      <c r="BX196" s="9">
        <f t="shared" ca="1" si="112"/>
        <v>116.65530129203175</v>
      </c>
      <c r="BY196" s="9">
        <f t="shared" ca="1" si="113"/>
        <v>-6.6843878694790391</v>
      </c>
      <c r="BZ196">
        <f t="shared" ca="1" si="114"/>
        <v>116.84665318580736</v>
      </c>
      <c r="CA196" s="6">
        <f t="shared" ca="1" si="115"/>
        <v>0.99836236735449047</v>
      </c>
      <c r="CB196" s="6">
        <f t="shared" ca="1" si="116"/>
        <v>-5.7206498322631895E-2</v>
      </c>
      <c r="CC196" s="6">
        <f t="shared" ca="1" si="117"/>
        <v>-5.7237746535890525E-2</v>
      </c>
      <c r="CD196" s="6">
        <f t="shared" ca="1" si="118"/>
        <v>-190.7491064764846</v>
      </c>
      <c r="CE196" s="9">
        <f t="shared" ca="1" si="119"/>
        <v>18.048989597629983</v>
      </c>
      <c r="CF196">
        <f t="shared" ca="1" si="120"/>
        <v>191.60111598597911</v>
      </c>
      <c r="CG196" s="6">
        <f t="shared" ca="1" si="121"/>
        <v>-0.99555321217671378</v>
      </c>
      <c r="CH196" s="6">
        <f t="shared" ca="1" si="122"/>
        <v>9.4200858407060439E-2</v>
      </c>
      <c r="CI196" s="6">
        <f t="shared" ca="1" si="123"/>
        <v>3.0472519159357154</v>
      </c>
      <c r="CJ196" s="1">
        <f t="shared" ca="1" si="124"/>
        <v>-2.2618537525382671</v>
      </c>
      <c r="CK196" s="38"/>
    </row>
    <row r="197" spans="1:89" x14ac:dyDescent="0.25">
      <c r="A197" t="s">
        <v>100</v>
      </c>
      <c r="B197" s="9">
        <f ca="1">O195</f>
        <v>-564.59108510422436</v>
      </c>
      <c r="C197" t="s">
        <v>69</v>
      </c>
      <c r="BC197">
        <v>3.4033920413889289</v>
      </c>
      <c r="BD197">
        <v>-179.56412507735499</v>
      </c>
      <c r="BE197">
        <v>19.745109270908763</v>
      </c>
      <c r="BF197" s="6">
        <f t="shared" si="214"/>
        <v>3.0320713387511216</v>
      </c>
      <c r="BG197" s="6">
        <f t="shared" si="215"/>
        <v>0.37132070263780736</v>
      </c>
      <c r="BH197" s="6">
        <f t="shared" si="216"/>
        <v>-2.2466731753536733</v>
      </c>
      <c r="BI197" s="6">
        <f t="shared" si="217"/>
        <v>2.2466731753536733</v>
      </c>
      <c r="BV197" s="38"/>
      <c r="BW197" s="6">
        <f t="shared" si="111"/>
        <v>3.1764992386296687</v>
      </c>
      <c r="BX197" s="9">
        <f t="shared" ca="1" si="112"/>
        <v>116.64013879911492</v>
      </c>
      <c r="BY197" s="9">
        <f t="shared" ca="1" si="113"/>
        <v>-6.1053997631979762</v>
      </c>
      <c r="BZ197">
        <f t="shared" ca="1" si="114"/>
        <v>116.79981971452376</v>
      </c>
      <c r="CA197" s="6">
        <f t="shared" ca="1" si="115"/>
        <v>0.99863286676469942</v>
      </c>
      <c r="CB197" s="6">
        <f t="shared" ca="1" si="116"/>
        <v>-5.2272338931005947E-2</v>
      </c>
      <c r="CC197" s="6">
        <f t="shared" ca="1" si="117"/>
        <v>-5.2296173049227797E-2</v>
      </c>
      <c r="CD197" s="6">
        <f t="shared" ca="1" si="118"/>
        <v>-190.73394398356777</v>
      </c>
      <c r="CE197" s="9">
        <f t="shared" ca="1" si="119"/>
        <v>17.470001491348921</v>
      </c>
      <c r="CF197">
        <f t="shared" ca="1" si="120"/>
        <v>191.53234280307467</v>
      </c>
      <c r="CG197" s="6">
        <f t="shared" ca="1" si="121"/>
        <v>-0.99583151958660177</v>
      </c>
      <c r="CH197" s="6">
        <f t="shared" ca="1" si="122"/>
        <v>9.1211756905781843E-2</v>
      </c>
      <c r="CI197" s="6">
        <f t="shared" ca="1" si="123"/>
        <v>3.0502539468428913</v>
      </c>
      <c r="CJ197" s="1">
        <f t="shared" ca="1" si="124"/>
        <v>-2.264855783445443</v>
      </c>
      <c r="CK197" s="38"/>
    </row>
    <row r="198" spans="1:89" x14ac:dyDescent="0.25">
      <c r="A198" t="s">
        <v>101</v>
      </c>
      <c r="B198" s="9">
        <f ca="1">P195</f>
        <v>89.796011977662531</v>
      </c>
      <c r="C198" t="s">
        <v>69</v>
      </c>
      <c r="BC198">
        <v>3.420845333908872</v>
      </c>
      <c r="BD198">
        <v>-179.39131169930369</v>
      </c>
      <c r="BE198">
        <v>19.12201546209603</v>
      </c>
      <c r="BF198" s="6">
        <f t="shared" si="214"/>
        <v>3.0353997617857162</v>
      </c>
      <c r="BG198" s="6">
        <f t="shared" si="215"/>
        <v>0.38544557212315578</v>
      </c>
      <c r="BH198" s="6">
        <f t="shared" si="216"/>
        <v>-2.250001598388268</v>
      </c>
      <c r="BI198" s="6">
        <f t="shared" si="217"/>
        <v>2.250001598388268</v>
      </c>
      <c r="BV198" s="38"/>
      <c r="BW198" s="6">
        <f t="shared" si="111"/>
        <v>3.1939525311496118</v>
      </c>
      <c r="BX198" s="9">
        <f t="shared" ca="1" si="112"/>
        <v>116.61482686473674</v>
      </c>
      <c r="BY198" s="9">
        <f t="shared" ca="1" si="113"/>
        <v>-5.5257053886166076</v>
      </c>
      <c r="BZ198">
        <f t="shared" ca="1" si="114"/>
        <v>116.74566914765752</v>
      </c>
      <c r="CA198" s="6">
        <f t="shared" ca="1" si="115"/>
        <v>0.99887925364704289</v>
      </c>
      <c r="CB198" s="6">
        <f t="shared" ca="1" si="116"/>
        <v>-4.733113809667585E-2</v>
      </c>
      <c r="CC198" s="6">
        <f t="shared" ca="1" si="117"/>
        <v>-4.7348828094130976E-2</v>
      </c>
      <c r="CD198" s="6">
        <f t="shared" ca="1" si="118"/>
        <v>-190.70863204918959</v>
      </c>
      <c r="CE198" s="9">
        <f t="shared" ca="1" si="119"/>
        <v>16.890307116767552</v>
      </c>
      <c r="CF198">
        <f t="shared" ca="1" si="120"/>
        <v>191.45512480101416</v>
      </c>
      <c r="CG198" s="6">
        <f t="shared" ca="1" si="121"/>
        <v>-0.99610095184132352</v>
      </c>
      <c r="CH198" s="6">
        <f t="shared" ca="1" si="122"/>
        <v>8.822071038486029E-2</v>
      </c>
      <c r="CI198" s="6">
        <f t="shared" ca="1" si="123"/>
        <v>3.0532571051485204</v>
      </c>
      <c r="CJ198" s="1">
        <f t="shared" ca="1" si="124"/>
        <v>-2.2678589417510722</v>
      </c>
      <c r="CK198" s="38"/>
    </row>
    <row r="199" spans="1:89" x14ac:dyDescent="0.25">
      <c r="BC199">
        <v>3.4382986264288151</v>
      </c>
      <c r="BD199">
        <v>-179.20487057385563</v>
      </c>
      <c r="BE199">
        <v>18.49265290964593</v>
      </c>
      <c r="BF199" s="6">
        <f t="shared" si="214"/>
        <v>3.0387638195052413</v>
      </c>
      <c r="BG199" s="6">
        <f t="shared" si="215"/>
        <v>0.39953480692357379</v>
      </c>
      <c r="BH199" s="6">
        <f t="shared" si="216"/>
        <v>-2.253365656107793</v>
      </c>
      <c r="BI199" s="6">
        <f t="shared" si="217"/>
        <v>2.253365656107793</v>
      </c>
      <c r="BV199" s="38"/>
      <c r="BW199" s="6">
        <f t="shared" si="111"/>
        <v>3.2114058236695548</v>
      </c>
      <c r="BX199" s="9">
        <f t="shared" ca="1" si="112"/>
        <v>116.57930359529372</v>
      </c>
      <c r="BY199" s="9">
        <f t="shared" ca="1" si="113"/>
        <v>-4.9449494559221066</v>
      </c>
      <c r="BZ199">
        <f t="shared" ca="1" si="114"/>
        <v>116.68413153417772</v>
      </c>
      <c r="CA199" s="6">
        <f t="shared" ca="1" si="115"/>
        <v>0.99910160929763359</v>
      </c>
      <c r="CB199" s="6">
        <f t="shared" ca="1" si="116"/>
        <v>-4.2378936972022552E-2</v>
      </c>
      <c r="CC199" s="6">
        <f t="shared" ca="1" si="117"/>
        <v>-4.2391632482001548E-2</v>
      </c>
      <c r="CD199" s="6">
        <f t="shared" ca="1" si="118"/>
        <v>-190.67310877974657</v>
      </c>
      <c r="CE199" s="9">
        <f t="shared" ca="1" si="119"/>
        <v>16.309551184073051</v>
      </c>
      <c r="CF199">
        <f t="shared" ca="1" si="120"/>
        <v>191.3693702543826</v>
      </c>
      <c r="CG199" s="6">
        <f t="shared" ca="1" si="121"/>
        <v>-0.99636168800832381</v>
      </c>
      <c r="CH199" s="6">
        <f t="shared" ca="1" si="122"/>
        <v>8.5225504804625554E-2</v>
      </c>
      <c r="CI199" s="6">
        <f t="shared" ca="1" si="123"/>
        <v>3.0562636391372933</v>
      </c>
      <c r="CJ199" s="1">
        <f t="shared" ca="1" si="124"/>
        <v>-2.270865475739845</v>
      </c>
      <c r="CK199" s="38"/>
    </row>
    <row r="200" spans="1:89" x14ac:dyDescent="0.25">
      <c r="A200" t="s">
        <v>99</v>
      </c>
      <c r="B200" s="9">
        <f ca="1">B178+B196</f>
        <v>1129.6088205488484</v>
      </c>
      <c r="C200" t="s">
        <v>68</v>
      </c>
      <c r="BC200">
        <v>3.4557519189487582</v>
      </c>
      <c r="BD200">
        <v>-179.00428722680402</v>
      </c>
      <c r="BE200">
        <v>17.85653706987965</v>
      </c>
      <c r="BF200" s="6">
        <f t="shared" si="214"/>
        <v>3.0421667781674864</v>
      </c>
      <c r="BG200" s="6">
        <f t="shared" si="215"/>
        <v>0.41358514078127184</v>
      </c>
      <c r="BH200" s="6">
        <f t="shared" si="216"/>
        <v>-2.2567686147700381</v>
      </c>
      <c r="BI200" s="6">
        <f t="shared" si="217"/>
        <v>2.2567686147700381</v>
      </c>
      <c r="BV200" s="38"/>
      <c r="BW200" s="6">
        <f t="shared" si="111"/>
        <v>3.2288591161894979</v>
      </c>
      <c r="BX200" s="9">
        <f t="shared" ca="1" si="112"/>
        <v>116.53348188876653</v>
      </c>
      <c r="BY200" s="9">
        <f t="shared" ca="1" si="113"/>
        <v>-4.3627740759650742</v>
      </c>
      <c r="BZ200">
        <f t="shared" ca="1" si="114"/>
        <v>116.61511994058657</v>
      </c>
      <c r="CA200" s="6">
        <f t="shared" ca="1" si="115"/>
        <v>0.99929993596146338</v>
      </c>
      <c r="CB200" s="6">
        <f t="shared" ca="1" si="116"/>
        <v>-3.7411735958320272E-2</v>
      </c>
      <c r="CC200" s="6">
        <f t="shared" ca="1" si="117"/>
        <v>-3.7420468607389172E-2</v>
      </c>
      <c r="CD200" s="6">
        <f t="shared" ca="1" si="118"/>
        <v>-190.62728707321938</v>
      </c>
      <c r="CE200" s="9">
        <f t="shared" ca="1" si="119"/>
        <v>15.727375804116019</v>
      </c>
      <c r="CF200">
        <f t="shared" ca="1" si="120"/>
        <v>191.27496680585122</v>
      </c>
      <c r="CG200" s="6">
        <f t="shared" ca="1" si="121"/>
        <v>-0.99661388134868034</v>
      </c>
      <c r="CH200" s="6">
        <f t="shared" ca="1" si="122"/>
        <v>8.2223910774898684E-2</v>
      </c>
      <c r="CI200" s="6">
        <f t="shared" ca="1" si="123"/>
        <v>3.0592758102911985</v>
      </c>
      <c r="CJ200" s="1">
        <f t="shared" ca="1" si="124"/>
        <v>-2.2738776468937498</v>
      </c>
      <c r="CK200" s="38"/>
    </row>
    <row r="201" spans="1:89" x14ac:dyDescent="0.25">
      <c r="A201" t="s">
        <v>100</v>
      </c>
      <c r="B201" s="9">
        <f ca="1">B197+B179</f>
        <v>675.54982016561337</v>
      </c>
      <c r="C201" t="s">
        <v>69</v>
      </c>
      <c r="BC201">
        <v>3.4732052114687013</v>
      </c>
      <c r="BD201">
        <v>-178.78899958570636</v>
      </c>
      <c r="BE201">
        <v>17.213164619448154</v>
      </c>
      <c r="BF201" s="6">
        <f t="shared" si="214"/>
        <v>3.0456120580213852</v>
      </c>
      <c r="BG201" s="6">
        <f t="shared" si="215"/>
        <v>0.42759315344731608</v>
      </c>
      <c r="BH201" s="6">
        <f t="shared" si="216"/>
        <v>-2.260213894623937</v>
      </c>
      <c r="BI201" s="6">
        <f t="shared" si="217"/>
        <v>2.260213894623937</v>
      </c>
      <c r="BV201" s="38"/>
      <c r="BW201" s="6">
        <f t="shared" si="111"/>
        <v>3.246312408709441</v>
      </c>
      <c r="BX201" s="9">
        <f t="shared" ca="1" si="112"/>
        <v>116.47724897911529</v>
      </c>
      <c r="BY201" s="9">
        <f t="shared" ca="1" si="113"/>
        <v>-3.7788178727922848</v>
      </c>
      <c r="BZ201">
        <f t="shared" ca="1" si="114"/>
        <v>116.53853008451131</v>
      </c>
      <c r="CA201" s="6">
        <f t="shared" ca="1" si="115"/>
        <v>0.99947415584054833</v>
      </c>
      <c r="CB201" s="6">
        <f t="shared" ca="1" si="116"/>
        <v>-3.2425480826401065E-2</v>
      </c>
      <c r="CC201" s="6">
        <f t="shared" ca="1" si="117"/>
        <v>-3.2431165605378814E-2</v>
      </c>
      <c r="CD201" s="6">
        <f t="shared" ca="1" si="118"/>
        <v>-190.57105416356814</v>
      </c>
      <c r="CE201" s="9">
        <f t="shared" ca="1" si="119"/>
        <v>15.143419600943229</v>
      </c>
      <c r="CF201">
        <f t="shared" ca="1" si="120"/>
        <v>191.17178097779978</v>
      </c>
      <c r="CG201" s="6">
        <f t="shared" ca="1" si="121"/>
        <v>-0.99685765958156025</v>
      </c>
      <c r="CH201" s="6">
        <f t="shared" ca="1" si="122"/>
        <v>7.9213676430109681E-2</v>
      </c>
      <c r="CI201" s="6">
        <f t="shared" ca="1" si="123"/>
        <v>3.0622959006160082</v>
      </c>
      <c r="CJ201" s="1">
        <f t="shared" ca="1" si="124"/>
        <v>-2.2768977372185599</v>
      </c>
      <c r="CK201" s="38"/>
    </row>
    <row r="202" spans="1:89" x14ac:dyDescent="0.25">
      <c r="A202" t="s">
        <v>101</v>
      </c>
      <c r="B202" s="9">
        <f ca="1">B198+B180</f>
        <v>238.03679392026686</v>
      </c>
      <c r="C202" t="s">
        <v>69</v>
      </c>
      <c r="BC202">
        <v>3.4906585039886444</v>
      </c>
      <c r="BD202">
        <v>-178.55839449232212</v>
      </c>
      <c r="BE202">
        <v>16.562011734075956</v>
      </c>
      <c r="BF202" s="6">
        <f t="shared" si="214"/>
        <v>3.0491032502690003</v>
      </c>
      <c r="BG202" s="6">
        <f t="shared" si="215"/>
        <v>0.4415552537196441</v>
      </c>
      <c r="BH202" s="6">
        <f t="shared" si="216"/>
        <v>-2.263705086871552</v>
      </c>
      <c r="BI202" s="6">
        <f t="shared" si="217"/>
        <v>2.263705086871552</v>
      </c>
      <c r="BV202" s="38"/>
      <c r="BW202" s="6">
        <f t="shared" si="111"/>
        <v>3.2637657012293841</v>
      </c>
      <c r="BX202" s="9">
        <f t="shared" ca="1" si="112"/>
        <v>116.41046584866832</v>
      </c>
      <c r="BY202" s="9">
        <f t="shared" ca="1" si="113"/>
        <v>-3.1927150779181623</v>
      </c>
      <c r="BZ202">
        <f t="shared" ca="1" si="114"/>
        <v>116.45423989135277</v>
      </c>
      <c r="CA202" s="6">
        <f t="shared" ca="1" si="115"/>
        <v>0.99962410949807168</v>
      </c>
      <c r="CB202" s="6">
        <f t="shared" ca="1" si="116"/>
        <v>-2.7416048405767279E-2</v>
      </c>
      <c r="CC202" s="6">
        <f t="shared" ca="1" si="117"/>
        <v>-2.7419484066411086E-2</v>
      </c>
      <c r="CD202" s="6">
        <f t="shared" ca="1" si="118"/>
        <v>-190.50427103312117</v>
      </c>
      <c r="CE202" s="9">
        <f t="shared" ca="1" si="119"/>
        <v>14.557316806069107</v>
      </c>
      <c r="CF202">
        <f t="shared" ca="1" si="120"/>
        <v>191.05965757965012</v>
      </c>
      <c r="CG202" s="6">
        <f t="shared" ca="1" si="121"/>
        <v>-0.99709312497695957</v>
      </c>
      <c r="CH202" s="6">
        <f t="shared" ca="1" si="122"/>
        <v>7.6192520129480301E-2</v>
      </c>
      <c r="CI202" s="6">
        <f t="shared" ca="1" si="123"/>
        <v>3.0653262201325444</v>
      </c>
      <c r="CJ202" s="1">
        <f t="shared" ca="1" si="124"/>
        <v>-2.2799280567350961</v>
      </c>
      <c r="CK202" s="38"/>
    </row>
    <row r="203" spans="1:89" x14ac:dyDescent="0.25">
      <c r="BC203">
        <v>3.5081117965085875</v>
      </c>
      <c r="BD203">
        <v>-178.31180380907614</v>
      </c>
      <c r="BE203">
        <v>15.902532238576535</v>
      </c>
      <c r="BF203" s="6">
        <f t="shared" si="214"/>
        <v>3.0526441356688783</v>
      </c>
      <c r="BG203" s="6">
        <f t="shared" si="215"/>
        <v>0.45546766083970924</v>
      </c>
      <c r="BH203" s="6">
        <f t="shared" si="216"/>
        <v>-2.26724597227143</v>
      </c>
      <c r="BI203" s="6">
        <f t="shared" si="217"/>
        <v>2.26724597227143</v>
      </c>
      <c r="BV203" s="38"/>
      <c r="BW203" s="6">
        <f t="shared" si="111"/>
        <v>3.2812189937493272</v>
      </c>
      <c r="BX203" s="9">
        <f t="shared" ca="1" si="112"/>
        <v>116.33296648877128</v>
      </c>
      <c r="BY203" s="9">
        <f t="shared" ca="1" si="113"/>
        <v>-2.6040946014652064</v>
      </c>
      <c r="BZ203">
        <f t="shared" ca="1" si="114"/>
        <v>116.36210895635641</v>
      </c>
      <c r="CA203" s="6">
        <f t="shared" ca="1" si="115"/>
        <v>0.99974955363179208</v>
      </c>
      <c r="CB203" s="6">
        <f t="shared" ca="1" si="116"/>
        <v>-2.2379231734635512E-2</v>
      </c>
      <c r="CC203" s="6">
        <f t="shared" ca="1" si="117"/>
        <v>-2.2381100187586159E-2</v>
      </c>
      <c r="CD203" s="6">
        <f t="shared" ca="1" si="118"/>
        <v>-190.42677167322412</v>
      </c>
      <c r="CE203" s="9">
        <f t="shared" ca="1" si="119"/>
        <v>13.968696329616151</v>
      </c>
      <c r="CF203">
        <f t="shared" ca="1" si="120"/>
        <v>190.93841899166145</v>
      </c>
      <c r="CG203" s="6">
        <f t="shared" ca="1" si="121"/>
        <v>-0.9973203542737008</v>
      </c>
      <c r="CH203" s="6">
        <f t="shared" ca="1" si="122"/>
        <v>7.3158122935050501E-2</v>
      </c>
      <c r="CI203" s="6">
        <f t="shared" ca="1" si="123"/>
        <v>3.0683691145821217</v>
      </c>
      <c r="CJ203" s="1">
        <f t="shared" ca="1" si="124"/>
        <v>-2.2829709511846734</v>
      </c>
      <c r="CK203" s="38"/>
    </row>
    <row r="204" spans="1:89" x14ac:dyDescent="0.25">
      <c r="A204" s="8" t="s">
        <v>64</v>
      </c>
      <c r="B204">
        <f ca="1">((B201*COS(-1*B27))+(B202*SIN(-1*B27)))</f>
        <v>705.63462984194086</v>
      </c>
      <c r="C204" t="s">
        <v>69</v>
      </c>
      <c r="BC204">
        <v>3.5255650890285306</v>
      </c>
      <c r="BD204">
        <v>-178.04850009147697</v>
      </c>
      <c r="BE204">
        <v>15.234155613565164</v>
      </c>
      <c r="BF204" s="6">
        <f t="shared" si="214"/>
        <v>3.0562387050221327</v>
      </c>
      <c r="BG204" s="6">
        <f t="shared" si="215"/>
        <v>0.46932638400639792</v>
      </c>
      <c r="BH204" s="6">
        <f t="shared" si="216"/>
        <v>-2.2708405416246844</v>
      </c>
      <c r="BI204" s="6">
        <f t="shared" si="217"/>
        <v>2.2708405416246844</v>
      </c>
      <c r="BV204" s="38"/>
      <c r="BW204" s="6">
        <f t="shared" si="111"/>
        <v>3.2986722862692703</v>
      </c>
      <c r="BX204" s="9">
        <f t="shared" ca="1" si="112"/>
        <v>116.24455701822119</v>
      </c>
      <c r="BY204" s="9">
        <f t="shared" ca="1" si="113"/>
        <v>-2.0125790750911214</v>
      </c>
      <c r="BZ204">
        <f t="shared" ca="1" si="114"/>
        <v>116.26197792440989</v>
      </c>
      <c r="CA204" s="6">
        <f t="shared" ca="1" si="115"/>
        <v>0.99985015818155076</v>
      </c>
      <c r="CB204" s="6">
        <f t="shared" ca="1" si="116"/>
        <v>-1.7310724546589436E-2</v>
      </c>
      <c r="CC204" s="6">
        <f t="shared" ca="1" si="117"/>
        <v>-1.7311589221897045E-2</v>
      </c>
      <c r="CD204" s="6">
        <f t="shared" ca="1" si="118"/>
        <v>-190.33836220267403</v>
      </c>
      <c r="CE204" s="9">
        <f t="shared" ca="1" si="119"/>
        <v>13.377180803242066</v>
      </c>
      <c r="CF204">
        <f t="shared" ca="1" si="120"/>
        <v>190.80786433540669</v>
      </c>
      <c r="CG204" s="6">
        <f t="shared" ca="1" si="121"/>
        <v>-0.99753939841857175</v>
      </c>
      <c r="CH204" s="6">
        <f t="shared" ca="1" si="122"/>
        <v>7.0108120804325616E-2</v>
      </c>
      <c r="CI204" s="6">
        <f t="shared" ca="1" si="123"/>
        <v>3.0714269734115667</v>
      </c>
      <c r="CJ204" s="1">
        <f t="shared" ca="1" si="124"/>
        <v>-2.2860288100141184</v>
      </c>
      <c r="CK204" s="38"/>
    </row>
    <row r="205" spans="1:89" x14ac:dyDescent="0.25">
      <c r="A205" s="8" t="s">
        <v>65</v>
      </c>
      <c r="B205">
        <f ca="1">(-1*(B201)*SIN(-1*B27))+((B202)*COS(-1*B27))</f>
        <v>122.91803754315023</v>
      </c>
      <c r="C205" t="s">
        <v>69</v>
      </c>
      <c r="BC205">
        <v>3.5430183815484737</v>
      </c>
      <c r="BD205">
        <v>-177.76769177143157</v>
      </c>
      <c r="BE205">
        <v>14.556284842652207</v>
      </c>
      <c r="BF205" s="6">
        <f t="shared" si="214"/>
        <v>3.0598911818053733</v>
      </c>
      <c r="BG205" s="6">
        <f t="shared" si="215"/>
        <v>0.48312719974310037</v>
      </c>
      <c r="BH205" s="6">
        <f t="shared" si="216"/>
        <v>-2.2744930184079251</v>
      </c>
      <c r="BI205" s="6">
        <f t="shared" si="217"/>
        <v>2.2744930184079251</v>
      </c>
      <c r="BV205" s="38"/>
      <c r="BW205" s="6">
        <f t="shared" si="111"/>
        <v>3.3161255787892134</v>
      </c>
      <c r="BX205" s="9">
        <f t="shared" ca="1" si="112"/>
        <v>116.14501464214543</v>
      </c>
      <c r="BY205" s="9">
        <f t="shared" ca="1" si="113"/>
        <v>-1.4177838613638798</v>
      </c>
      <c r="BZ205">
        <f t="shared" ca="1" si="114"/>
        <v>116.15366777378026</v>
      </c>
      <c r="CA205" s="6">
        <f t="shared" ca="1" si="115"/>
        <v>0.99992550272582281</v>
      </c>
      <c r="CB205" s="6">
        <f t="shared" ca="1" si="116"/>
        <v>-1.2206104968851623E-2</v>
      </c>
      <c r="CC205" s="6">
        <f t="shared" ca="1" si="117"/>
        <v>-1.2206408085067007E-2</v>
      </c>
      <c r="CD205" s="6">
        <f t="shared" ca="1" si="118"/>
        <v>-190.23881982659827</v>
      </c>
      <c r="CE205" s="9">
        <f t="shared" ca="1" si="119"/>
        <v>12.782385589514824</v>
      </c>
      <c r="CF205">
        <f t="shared" ca="1" si="120"/>
        <v>190.66776851470189</v>
      </c>
      <c r="CG205" s="6">
        <f t="shared" ca="1" si="121"/>
        <v>-0.99775028211928463</v>
      </c>
      <c r="CH205" s="6">
        <f t="shared" ca="1" si="122"/>
        <v>6.704009644151894E-2</v>
      </c>
      <c r="CI205" s="6">
        <f t="shared" ca="1" si="123"/>
        <v>3.0745022380959965</v>
      </c>
      <c r="CJ205" s="1">
        <f t="shared" ca="1" si="124"/>
        <v>-2.2891040746985483</v>
      </c>
      <c r="CK205" s="38"/>
    </row>
    <row r="206" spans="1:89" x14ac:dyDescent="0.25">
      <c r="BC206">
        <v>3.5604716740684168</v>
      </c>
      <c r="BD206">
        <v>-177.46851778591378</v>
      </c>
      <c r="BE206">
        <v>13.868294082022672</v>
      </c>
      <c r="BF206" s="6">
        <f t="shared" si="214"/>
        <v>3.0636060472548241</v>
      </c>
      <c r="BG206" s="6">
        <f t="shared" si="215"/>
        <v>0.4968656268135927</v>
      </c>
      <c r="BH206" s="6">
        <f t="shared" si="216"/>
        <v>-2.2782078838573758</v>
      </c>
      <c r="BI206" s="6">
        <f t="shared" si="217"/>
        <v>2.2782078838573758</v>
      </c>
      <c r="BV206" s="38"/>
      <c r="BW206" s="6">
        <f t="shared" si="111"/>
        <v>3.3335788713091565</v>
      </c>
      <c r="BX206" s="9">
        <f t="shared" ca="1" si="112"/>
        <v>116.03408644824204</v>
      </c>
      <c r="BY206" s="9">
        <f t="shared" ca="1" si="113"/>
        <v>-0.81931602393412817</v>
      </c>
      <c r="BZ206">
        <f t="shared" ca="1" si="114"/>
        <v>116.03697900507916</v>
      </c>
      <c r="CA206" s="6">
        <f t="shared" ca="1" si="115"/>
        <v>0.99997507211182224</v>
      </c>
      <c r="CB206" s="6">
        <f t="shared" ca="1" si="116"/>
        <v>-7.0608182922296276E-3</v>
      </c>
      <c r="CC206" s="6">
        <f t="shared" ca="1" si="117"/>
        <v>-7.0608769632442567E-3</v>
      </c>
      <c r="CD206" s="6">
        <f t="shared" ca="1" si="118"/>
        <v>-190.12789163269488</v>
      </c>
      <c r="CE206" s="9">
        <f t="shared" ca="1" si="119"/>
        <v>12.183917752085073</v>
      </c>
      <c r="CF206">
        <f t="shared" ca="1" si="120"/>
        <v>190.51788112532469</v>
      </c>
      <c r="CG206" s="6">
        <f t="shared" ca="1" si="121"/>
        <v>-0.99795300320197622</v>
      </c>
      <c r="CH206" s="6">
        <f t="shared" ca="1" si="122"/>
        <v>6.3951570740335709E-2</v>
      </c>
      <c r="CI206" s="6">
        <f t="shared" ca="1" si="123"/>
        <v>3.0775974108686248</v>
      </c>
      <c r="CJ206" s="1">
        <f t="shared" ca="1" si="124"/>
        <v>-2.2921992474711761</v>
      </c>
      <c r="CK206" s="38"/>
    </row>
    <row r="207" spans="1:89" x14ac:dyDescent="0.25">
      <c r="BC207">
        <v>3.5779249665883599</v>
      </c>
      <c r="BD207">
        <v>-177.15004159446153</v>
      </c>
      <c r="BE207">
        <v>13.169526132162449</v>
      </c>
      <c r="BF207" s="6">
        <f t="shared" si="214"/>
        <v>3.0673880682630443</v>
      </c>
      <c r="BG207" s="6">
        <f t="shared" si="215"/>
        <v>0.51053689832531557</v>
      </c>
      <c r="BH207" s="6">
        <f t="shared" si="216"/>
        <v>-2.2819899048655961</v>
      </c>
      <c r="BI207" s="6">
        <f t="shared" si="217"/>
        <v>2.2819899048655961</v>
      </c>
      <c r="BV207" s="38"/>
      <c r="BW207" s="6">
        <f t="shared" ref="BW207:BW270" si="218">BC194</f>
        <v>3.3510321638290996</v>
      </c>
      <c r="BX207" s="9">
        <f t="shared" ca="1" si="112"/>
        <v>115.91148801222197</v>
      </c>
      <c r="BY207" s="9">
        <f t="shared" ca="1" si="113"/>
        <v>-0.21677325248827017</v>
      </c>
      <c r="BZ207">
        <f t="shared" ca="1" si="114"/>
        <v>115.91169071258719</v>
      </c>
      <c r="CA207" s="6">
        <f t="shared" ca="1" si="115"/>
        <v>0.99999825125175923</v>
      </c>
      <c r="CB207" s="6">
        <f t="shared" ca="1" si="116"/>
        <v>-1.8701586626475644E-3</v>
      </c>
      <c r="CC207" s="6">
        <f t="shared" ca="1" si="117"/>
        <v>-1.870159752793884E-3</v>
      </c>
      <c r="CD207" s="6">
        <f t="shared" ca="1" si="118"/>
        <v>-190.00529319667481</v>
      </c>
      <c r="CE207" s="9">
        <f t="shared" ca="1" si="119"/>
        <v>11.581374980639215</v>
      </c>
      <c r="CF207">
        <f t="shared" ca="1" si="120"/>
        <v>190.35792520721731</v>
      </c>
      <c r="CG207" s="6">
        <f t="shared" ca="1" si="121"/>
        <v>-0.99814753176071536</v>
      </c>
      <c r="CH207" s="6">
        <f t="shared" ca="1" si="122"/>
        <v>6.0839993754040526E-2</v>
      </c>
      <c r="CI207" s="6">
        <f t="shared" ca="1" si="123"/>
        <v>3.0807150639241487</v>
      </c>
      <c r="CJ207" s="1">
        <f t="shared" ca="1" si="124"/>
        <v>-2.2953169005267005</v>
      </c>
      <c r="CK207" s="38"/>
    </row>
    <row r="208" spans="1:89" x14ac:dyDescent="0.25">
      <c r="BC208">
        <v>3.595378259108303</v>
      </c>
      <c r="BD208">
        <v>-176.81124451865105</v>
      </c>
      <c r="BE208">
        <v>12.459289689042363</v>
      </c>
      <c r="BF208" s="6">
        <f t="shared" si="214"/>
        <v>3.0712423285055563</v>
      </c>
      <c r="BG208" s="6">
        <f t="shared" si="215"/>
        <v>0.52413593060274666</v>
      </c>
      <c r="BH208" s="6">
        <f t="shared" si="216"/>
        <v>-2.2858441651081081</v>
      </c>
      <c r="BI208" s="6">
        <f t="shared" si="217"/>
        <v>2.2858441651081081</v>
      </c>
      <c r="BV208" s="38"/>
      <c r="BW208" s="6">
        <f t="shared" si="218"/>
        <v>3.3684854563490427</v>
      </c>
      <c r="BX208" s="9">
        <f t="shared" ref="BX208:BX271" ca="1" si="219">$BW$5-BD195</f>
        <v>115.77690183498912</v>
      </c>
      <c r="BY208" s="9">
        <f t="shared" ref="BY208:BY271" ca="1" si="220">$BX$5-BE195</f>
        <v>0.39025726396290494</v>
      </c>
      <c r="BZ208">
        <f t="shared" ref="BZ208:BZ271" ca="1" si="221">SQRT(POWER(BX208,2)+POWER(BY208,2))</f>
        <v>115.77755956678644</v>
      </c>
      <c r="CA208" s="6">
        <f t="shared" ref="CA208:CA271" ca="1" si="222">BX208/BZ208</f>
        <v>0.9999943190044791</v>
      </c>
      <c r="CB208" s="6">
        <f t="shared" ref="CB208:CB271" ca="1" si="223">BY208/BZ208</f>
        <v>3.3707504755080327E-3</v>
      </c>
      <c r="CC208" s="6">
        <f t="shared" ref="CC208:CC271" ca="1" si="224">ATAN2(CA208,CB208)</f>
        <v>3.3707568585953219E-3</v>
      </c>
      <c r="CD208" s="6">
        <f t="shared" ref="CD208:CD271" ca="1" si="225">$BW$9-BX208</f>
        <v>-189.87070701944197</v>
      </c>
      <c r="CE208" s="9">
        <f t="shared" ref="CE208:CE271" ca="1" si="226">$BX$9-BY208</f>
        <v>10.974344464188039</v>
      </c>
      <c r="CF208">
        <f t="shared" ref="CF208:CF271" ca="1" si="227">SQRT(POWER(CD208,2)+POWER(CE208,2))</f>
        <v>190.18759586387705</v>
      </c>
      <c r="CG208" s="6">
        <f t="shared" ref="CG208:CG271" ca="1" si="228">CD208/CF208</f>
        <v>-0.99833380908467928</v>
      </c>
      <c r="CH208" s="6">
        <f t="shared" ref="CH208:CH271" ca="1" si="229">CE208/CF208</f>
        <v>5.770273510393762E-2</v>
      </c>
      <c r="CI208" s="6">
        <f t="shared" ref="CI208:CI271" ca="1" si="230">ATAN2(CG208,CH208)</f>
        <v>3.0838578491870678</v>
      </c>
      <c r="CJ208" s="1">
        <f t="shared" ref="CJ208:CJ271" ca="1" si="231">ATAN2(COS($U$13-CI208),SIN($U$13-CI208))</f>
        <v>-2.2984596857896196</v>
      </c>
      <c r="CK208" s="38"/>
    </row>
    <row r="209" spans="55:89" x14ac:dyDescent="0.25">
      <c r="BC209">
        <v>3.6128315516282461</v>
      </c>
      <c r="BD209">
        <v>-176.45101829110496</v>
      </c>
      <c r="BE209">
        <v>11.736856349260362</v>
      </c>
      <c r="BF209" s="6">
        <f t="shared" si="214"/>
        <v>3.0751742632689618</v>
      </c>
      <c r="BG209" s="6">
        <f t="shared" si="215"/>
        <v>0.53765728835928428</v>
      </c>
      <c r="BH209" s="6">
        <f t="shared" si="216"/>
        <v>-2.2897760998715135</v>
      </c>
      <c r="BI209" s="6">
        <f t="shared" si="217"/>
        <v>2.2897760998715135</v>
      </c>
      <c r="BV209" s="38"/>
      <c r="BW209" s="6">
        <f t="shared" si="218"/>
        <v>3.3859387488689858</v>
      </c>
      <c r="BX209" s="9">
        <f t="shared" ca="1" si="219"/>
        <v>115.62997554251116</v>
      </c>
      <c r="BY209" s="9">
        <f t="shared" ca="1" si="220"/>
        <v>1.002200022401901</v>
      </c>
      <c r="BZ209">
        <f t="shared" ca="1" si="221"/>
        <v>115.63431864652739</v>
      </c>
      <c r="CA209" s="6">
        <f t="shared" ca="1" si="222"/>
        <v>0.99996244104633414</v>
      </c>
      <c r="CB209" s="6">
        <f t="shared" ca="1" si="223"/>
        <v>8.6669773656507642E-3</v>
      </c>
      <c r="CC209" s="6">
        <f t="shared" ca="1" si="224"/>
        <v>8.6670858748147291E-3</v>
      </c>
      <c r="CD209" s="6">
        <f t="shared" ca="1" si="225"/>
        <v>-189.72378072696401</v>
      </c>
      <c r="CE209" s="9">
        <f t="shared" ca="1" si="226"/>
        <v>10.362401705749043</v>
      </c>
      <c r="CF209">
        <f t="shared" ca="1" si="227"/>
        <v>190.00655868270556</v>
      </c>
      <c r="CG209" s="6">
        <f t="shared" ca="1" si="228"/>
        <v>-0.9985117463433788</v>
      </c>
      <c r="CH209" s="6">
        <f t="shared" ca="1" si="229"/>
        <v>5.4537073759929278E-2</v>
      </c>
      <c r="CI209" s="6">
        <f t="shared" ca="1" si="230"/>
        <v>3.0870285087138885</v>
      </c>
      <c r="CJ209" s="1">
        <f t="shared" ca="1" si="231"/>
        <v>-2.3016303453164402</v>
      </c>
      <c r="CK209" s="38"/>
    </row>
    <row r="210" spans="55:89" x14ac:dyDescent="0.25">
      <c r="BC210">
        <v>3.6302848441481892</v>
      </c>
      <c r="BD210">
        <v>-175.95015744483814</v>
      </c>
      <c r="BE210">
        <v>10.973159632543391</v>
      </c>
      <c r="BF210" s="6">
        <f t="shared" si="214"/>
        <v>3.0793081605525146</v>
      </c>
      <c r="BG210" s="6">
        <f t="shared" si="215"/>
        <v>0.55097668359567464</v>
      </c>
      <c r="BH210" s="6">
        <f t="shared" si="216"/>
        <v>-2.2939099971550663</v>
      </c>
      <c r="BI210" s="6">
        <f t="shared" si="217"/>
        <v>2.2939099971550663</v>
      </c>
      <c r="BV210" s="38"/>
      <c r="BW210" s="6">
        <f t="shared" si="218"/>
        <v>3.4033920413889289</v>
      </c>
      <c r="BX210" s="9">
        <f t="shared" ca="1" si="219"/>
        <v>115.47031989290214</v>
      </c>
      <c r="BY210" s="9">
        <f t="shared" ca="1" si="220"/>
        <v>1.6194924572421812</v>
      </c>
      <c r="BZ210">
        <f t="shared" ca="1" si="221"/>
        <v>115.48167617413689</v>
      </c>
      <c r="CA210" s="6">
        <f t="shared" ca="1" si="222"/>
        <v>0.99990166161757443</v>
      </c>
      <c r="CB210" s="6">
        <f t="shared" ca="1" si="223"/>
        <v>1.4023804562726639E-2</v>
      </c>
      <c r="CC210" s="6">
        <f t="shared" ca="1" si="224"/>
        <v>1.4024264273561628E-2</v>
      </c>
      <c r="CD210" s="6">
        <f t="shared" ca="1" si="225"/>
        <v>-189.56412507735499</v>
      </c>
      <c r="CE210" s="9">
        <f t="shared" ca="1" si="226"/>
        <v>9.7451092709087632</v>
      </c>
      <c r="CF210">
        <f t="shared" ca="1" si="227"/>
        <v>189.81444800395209</v>
      </c>
      <c r="CG210" s="6">
        <f t="shared" ca="1" si="228"/>
        <v>-0.99868122300894668</v>
      </c>
      <c r="CH210" s="6">
        <f t="shared" ca="1" si="229"/>
        <v>5.1340187079467532E-2</v>
      </c>
      <c r="CI210" s="6">
        <f t="shared" ca="1" si="230"/>
        <v>3.0902298858458535</v>
      </c>
      <c r="CJ210" s="1">
        <f t="shared" ca="1" si="231"/>
        <v>-2.3048317224484052</v>
      </c>
      <c r="CK210" s="38"/>
    </row>
    <row r="211" spans="55:89" x14ac:dyDescent="0.25">
      <c r="BC211">
        <v>3.6477381366681323</v>
      </c>
      <c r="BD211">
        <v>-175.19154060923475</v>
      </c>
      <c r="BE211">
        <v>10.139866731778769</v>
      </c>
      <c r="BF211" s="6">
        <f t="shared" si="214"/>
        <v>3.083778407988917</v>
      </c>
      <c r="BG211" s="6">
        <f t="shared" si="215"/>
        <v>0.56395972867921529</v>
      </c>
      <c r="BH211" s="6">
        <f t="shared" si="216"/>
        <v>-2.2983802445914687</v>
      </c>
      <c r="BI211" s="6">
        <f t="shared" si="217"/>
        <v>2.2983802445914687</v>
      </c>
      <c r="BV211" s="38"/>
      <c r="BW211" s="6">
        <f t="shared" si="218"/>
        <v>3.420845333908872</v>
      </c>
      <c r="BX211" s="9">
        <f t="shared" ca="1" si="219"/>
        <v>115.29750651485084</v>
      </c>
      <c r="BY211" s="9">
        <f t="shared" ca="1" si="220"/>
        <v>2.2425862660549143</v>
      </c>
      <c r="BZ211">
        <f t="shared" ca="1" si="221"/>
        <v>115.31931408789583</v>
      </c>
      <c r="CA211" s="6">
        <f t="shared" ca="1" si="222"/>
        <v>0.99981089401010159</v>
      </c>
      <c r="CB211" s="6">
        <f t="shared" ca="1" si="223"/>
        <v>1.9446753423677372E-2</v>
      </c>
      <c r="CC211" s="6">
        <f t="shared" ca="1" si="224"/>
        <v>1.9447979348928626E-2</v>
      </c>
      <c r="CD211" s="6">
        <f t="shared" ca="1" si="225"/>
        <v>-189.39131169930369</v>
      </c>
      <c r="CE211" s="9">
        <f t="shared" ca="1" si="226"/>
        <v>9.1220154620960301</v>
      </c>
      <c r="CF211">
        <f t="shared" ca="1" si="227"/>
        <v>189.61086496631339</v>
      </c>
      <c r="CG211" s="6">
        <f t="shared" ca="1" si="228"/>
        <v>-0.99884208498785809</v>
      </c>
      <c r="CH211" s="6">
        <f t="shared" ca="1" si="229"/>
        <v>4.8109139018571875E-2</v>
      </c>
      <c r="CI211" s="6">
        <f t="shared" ca="1" si="230"/>
        <v>3.0934649372017669</v>
      </c>
      <c r="CJ211" s="1">
        <f t="shared" ca="1" si="231"/>
        <v>-2.3080667738043186</v>
      </c>
      <c r="CK211" s="38"/>
    </row>
    <row r="212" spans="55:89" x14ac:dyDescent="0.25">
      <c r="BC212">
        <v>3.6651914291880754</v>
      </c>
      <c r="BD212">
        <v>-174.42358711003959</v>
      </c>
      <c r="BE212">
        <v>9.3221500972347311</v>
      </c>
      <c r="BF212" s="6">
        <f t="shared" si="214"/>
        <v>3.0881979869220877</v>
      </c>
      <c r="BG212" s="6">
        <f t="shared" si="215"/>
        <v>0.5769934422659877</v>
      </c>
      <c r="BH212" s="6">
        <f t="shared" si="216"/>
        <v>-2.3027998235246394</v>
      </c>
      <c r="BI212" s="6">
        <f t="shared" si="217"/>
        <v>2.3027998235246394</v>
      </c>
      <c r="BV212" s="38"/>
      <c r="BW212" s="6">
        <f t="shared" si="218"/>
        <v>3.4382986264288151</v>
      </c>
      <c r="BX212" s="9">
        <f t="shared" ca="1" si="219"/>
        <v>115.11106538940278</v>
      </c>
      <c r="BY212" s="9">
        <f t="shared" ca="1" si="220"/>
        <v>2.8719488185050146</v>
      </c>
      <c r="BZ212">
        <f t="shared" ca="1" si="221"/>
        <v>115.14688647592463</v>
      </c>
      <c r="CA212" s="6">
        <f t="shared" ca="1" si="222"/>
        <v>0.99968890963865242</v>
      </c>
      <c r="CB212" s="6">
        <f t="shared" ca="1" si="223"/>
        <v>2.4941610723495274E-2</v>
      </c>
      <c r="CC212" s="6">
        <f t="shared" ca="1" si="224"/>
        <v>2.4944197410272987E-2</v>
      </c>
      <c r="CD212" s="6">
        <f t="shared" ca="1" si="225"/>
        <v>-189.20487057385563</v>
      </c>
      <c r="CE212" s="9">
        <f t="shared" ca="1" si="226"/>
        <v>8.4926529096459298</v>
      </c>
      <c r="CF212">
        <f t="shared" ca="1" si="227"/>
        <v>189.39537534563291</v>
      </c>
      <c r="CG212" s="6">
        <f t="shared" ca="1" si="228"/>
        <v>-0.99899414243125195</v>
      </c>
      <c r="CH212" s="6">
        <f t="shared" ca="1" si="229"/>
        <v>4.4840867387323742E-2</v>
      </c>
      <c r="CI212" s="6">
        <f t="shared" ca="1" si="230"/>
        <v>3.0967367456422141</v>
      </c>
      <c r="CJ212" s="1">
        <f t="shared" ca="1" si="231"/>
        <v>-2.3113385822447658</v>
      </c>
      <c r="CK212" s="38"/>
    </row>
    <row r="213" spans="55:89" x14ac:dyDescent="0.25">
      <c r="BC213">
        <v>3.6826447217080185</v>
      </c>
      <c r="BD213">
        <v>-173.65815918999459</v>
      </c>
      <c r="BE213">
        <v>8.538500261227826</v>
      </c>
      <c r="BF213" s="6">
        <f t="shared" si="214"/>
        <v>3.0924637813494873</v>
      </c>
      <c r="BG213" s="6">
        <f t="shared" si="215"/>
        <v>0.59018094035853119</v>
      </c>
      <c r="BH213" s="6">
        <f t="shared" si="216"/>
        <v>-2.307065617952039</v>
      </c>
      <c r="BI213" s="6">
        <f t="shared" si="217"/>
        <v>2.307065617952039</v>
      </c>
      <c r="BV213" s="38"/>
      <c r="BW213" s="6">
        <f t="shared" si="218"/>
        <v>3.4557519189487582</v>
      </c>
      <c r="BX213" s="9">
        <f t="shared" ca="1" si="219"/>
        <v>114.91048204235118</v>
      </c>
      <c r="BY213" s="9">
        <f t="shared" ca="1" si="220"/>
        <v>3.5080646582712944</v>
      </c>
      <c r="BZ213">
        <f t="shared" ca="1" si="221"/>
        <v>114.96401785277045</v>
      </c>
      <c r="CA213" s="6">
        <f t="shared" ca="1" si="222"/>
        <v>0.99953432550967525</v>
      </c>
      <c r="CB213" s="6">
        <f t="shared" ca="1" si="223"/>
        <v>3.0514457686786175E-2</v>
      </c>
      <c r="CC213" s="6">
        <f t="shared" ca="1" si="224"/>
        <v>3.0519195170758365E-2</v>
      </c>
      <c r="CD213" s="6">
        <f t="shared" ca="1" si="225"/>
        <v>-189.00428722680402</v>
      </c>
      <c r="CE213" s="9">
        <f t="shared" ca="1" si="226"/>
        <v>7.8565370698796499</v>
      </c>
      <c r="CF213">
        <f t="shared" ca="1" si="227"/>
        <v>189.167507159244</v>
      </c>
      <c r="CG213" s="6">
        <f t="shared" ca="1" si="228"/>
        <v>-0.99913716718642076</v>
      </c>
      <c r="CH213" s="6">
        <f t="shared" ca="1" si="229"/>
        <v>4.1532170021492648E-2</v>
      </c>
      <c r="CI213" s="6">
        <f t="shared" ca="1" si="230"/>
        <v>3.1000485343377524</v>
      </c>
      <c r="CJ213" s="1">
        <f t="shared" ca="1" si="231"/>
        <v>-2.3146503709403041</v>
      </c>
      <c r="CK213" s="38"/>
    </row>
    <row r="214" spans="55:89" x14ac:dyDescent="0.25">
      <c r="BC214">
        <v>3.7000980142279616</v>
      </c>
      <c r="BD214">
        <v>-172.89459156632267</v>
      </c>
      <c r="BE214">
        <v>7.7861063498933394</v>
      </c>
      <c r="BF214" s="6">
        <f t="shared" si="214"/>
        <v>3.0965892260845305</v>
      </c>
      <c r="BG214" s="6">
        <f t="shared" si="215"/>
        <v>0.60350878814343112</v>
      </c>
      <c r="BH214" s="6">
        <f t="shared" si="216"/>
        <v>-2.3111910626870822</v>
      </c>
      <c r="BI214" s="6">
        <f t="shared" si="217"/>
        <v>2.3111910626870822</v>
      </c>
      <c r="BV214" s="38"/>
      <c r="BW214" s="6">
        <f t="shared" si="218"/>
        <v>3.4732052114687013</v>
      </c>
      <c r="BX214" s="9">
        <f t="shared" ca="1" si="219"/>
        <v>114.69519440125352</v>
      </c>
      <c r="BY214" s="9">
        <f t="shared" ca="1" si="220"/>
        <v>4.1514371087027904</v>
      </c>
      <c r="BZ214">
        <f t="shared" ca="1" si="221"/>
        <v>114.77030124909862</v>
      </c>
      <c r="CA214" s="6">
        <f t="shared" ca="1" si="222"/>
        <v>0.99934558986926336</v>
      </c>
      <c r="CB214" s="6">
        <f t="shared" ca="1" si="223"/>
        <v>3.6171701768844093E-2</v>
      </c>
      <c r="CC214" s="6">
        <f t="shared" ca="1" si="224"/>
        <v>3.6179594210868173E-2</v>
      </c>
      <c r="CD214" s="6">
        <f t="shared" ca="1" si="225"/>
        <v>-188.78899958570636</v>
      </c>
      <c r="CE214" s="9">
        <f t="shared" ca="1" si="226"/>
        <v>7.213164619448154</v>
      </c>
      <c r="CF214">
        <f t="shared" ca="1" si="227"/>
        <v>188.92674799614559</v>
      </c>
      <c r="CG214" s="6">
        <f t="shared" ca="1" si="228"/>
        <v>-0.99927088984540169</v>
      </c>
      <c r="CH214" s="6">
        <f t="shared" ca="1" si="229"/>
        <v>3.8179689726069464E-2</v>
      </c>
      <c r="CI214" s="6">
        <f t="shared" ca="1" si="230"/>
        <v>3.1034036820902</v>
      </c>
      <c r="CJ214" s="1">
        <f t="shared" ca="1" si="231"/>
        <v>-2.3180055186927513</v>
      </c>
      <c r="CK214" s="38"/>
    </row>
    <row r="215" spans="55:89" x14ac:dyDescent="0.25">
      <c r="BC215">
        <v>3.7175513067479047</v>
      </c>
      <c r="BD215">
        <v>-172.13223533836435</v>
      </c>
      <c r="BE215">
        <v>7.0624535959502284</v>
      </c>
      <c r="BF215" s="6">
        <f t="shared" si="214"/>
        <v>3.1005864201745794</v>
      </c>
      <c r="BG215" s="6">
        <f t="shared" si="215"/>
        <v>0.61696488657332527</v>
      </c>
      <c r="BH215" s="6">
        <f t="shared" si="216"/>
        <v>-2.3151882567771311</v>
      </c>
      <c r="BI215" s="6">
        <f t="shared" si="217"/>
        <v>2.3151882567771311</v>
      </c>
      <c r="BV215" s="38"/>
      <c r="BW215" s="6">
        <f t="shared" si="218"/>
        <v>3.4906585039886444</v>
      </c>
      <c r="BX215" s="9">
        <f t="shared" ca="1" si="219"/>
        <v>114.46458930786928</v>
      </c>
      <c r="BY215" s="9">
        <f t="shared" ca="1" si="220"/>
        <v>4.8025899940749888</v>
      </c>
      <c r="BZ215">
        <f t="shared" ca="1" si="221"/>
        <v>114.56529612439523</v>
      </c>
      <c r="CA215" s="6">
        <f t="shared" ca="1" si="222"/>
        <v>0.99912096577294573</v>
      </c>
      <c r="CB215" s="6">
        <f t="shared" ca="1" si="223"/>
        <v>4.1920111556821946E-2</v>
      </c>
      <c r="CC215" s="6">
        <f t="shared" ca="1" si="224"/>
        <v>4.1932398948299004E-2</v>
      </c>
      <c r="CD215" s="6">
        <f t="shared" ca="1" si="225"/>
        <v>-188.55839449232212</v>
      </c>
      <c r="CE215" s="9">
        <f t="shared" ca="1" si="226"/>
        <v>6.5620117340759556</v>
      </c>
      <c r="CF215">
        <f t="shared" ca="1" si="227"/>
        <v>188.6725420709657</v>
      </c>
      <c r="CG215" s="6">
        <f t="shared" ca="1" si="228"/>
        <v>-0.99939499633920947</v>
      </c>
      <c r="CH215" s="6">
        <f t="shared" ca="1" si="229"/>
        <v>3.4779897816862908E-2</v>
      </c>
      <c r="CI215" s="6">
        <f t="shared" ca="1" si="230"/>
        <v>3.1068057400865943</v>
      </c>
      <c r="CJ215" s="1">
        <f t="shared" ca="1" si="231"/>
        <v>-2.321407576689146</v>
      </c>
      <c r="CK215" s="38"/>
    </row>
    <row r="216" spans="55:89" x14ac:dyDescent="0.25">
      <c r="BC216">
        <v>3.7350045992678478</v>
      </c>
      <c r="BD216">
        <v>-171.37045426089406</v>
      </c>
      <c r="BE216">
        <v>6.3652837292139113</v>
      </c>
      <c r="BF216" s="6">
        <f t="shared" si="214"/>
        <v>3.1044663068975979</v>
      </c>
      <c r="BG216" s="6">
        <f t="shared" si="215"/>
        <v>0.63053829237024983</v>
      </c>
      <c r="BH216" s="6">
        <f t="shared" si="216"/>
        <v>-2.3190681435001497</v>
      </c>
      <c r="BI216" s="6">
        <f t="shared" si="217"/>
        <v>2.3190681435001497</v>
      </c>
      <c r="BV216" s="38"/>
      <c r="BW216" s="6">
        <f t="shared" si="218"/>
        <v>3.5081117965085875</v>
      </c>
      <c r="BX216" s="9">
        <f t="shared" ca="1" si="219"/>
        <v>114.21799862462329</v>
      </c>
      <c r="BY216" s="9">
        <f t="shared" ca="1" si="220"/>
        <v>5.4620694895744091</v>
      </c>
      <c r="BZ216">
        <f t="shared" ca="1" si="221"/>
        <v>114.3485260636244</v>
      </c>
      <c r="CA216" s="6">
        <f t="shared" ca="1" si="222"/>
        <v>0.99885851227388378</v>
      </c>
      <c r="CB216" s="6">
        <f t="shared" ca="1" si="223"/>
        <v>4.7766855224135304E-2</v>
      </c>
      <c r="CC216" s="6">
        <f t="shared" ca="1" si="224"/>
        <v>4.7785038619839876E-2</v>
      </c>
      <c r="CD216" s="6">
        <f t="shared" ca="1" si="225"/>
        <v>-188.31180380907614</v>
      </c>
      <c r="CE216" s="9">
        <f t="shared" ca="1" si="226"/>
        <v>5.9025322385765353</v>
      </c>
      <c r="CF216">
        <f t="shared" ca="1" si="227"/>
        <v>188.40428694871946</v>
      </c>
      <c r="CG216" s="6">
        <f t="shared" ca="1" si="228"/>
        <v>-0.99950912401654379</v>
      </c>
      <c r="CH216" s="6">
        <f t="shared" ca="1" si="229"/>
        <v>3.1329076074490321E-2</v>
      </c>
      <c r="CI216" s="6">
        <f t="shared" ca="1" si="230"/>
        <v>3.1102584502782107</v>
      </c>
      <c r="CJ216" s="1">
        <f t="shared" ca="1" si="231"/>
        <v>-2.3248602868807624</v>
      </c>
      <c r="CK216" s="38"/>
    </row>
    <row r="217" spans="55:89" x14ac:dyDescent="0.25">
      <c r="BC217">
        <v>3.7524578917877909</v>
      </c>
      <c r="BD217">
        <v>-170.60862131515199</v>
      </c>
      <c r="BE217">
        <v>5.6925616141867641</v>
      </c>
      <c r="BF217" s="6">
        <f t="shared" si="214"/>
        <v>3.108238826190755</v>
      </c>
      <c r="BG217" s="6">
        <f t="shared" si="215"/>
        <v>0.6442190655970359</v>
      </c>
      <c r="BH217" s="6">
        <f t="shared" si="216"/>
        <v>-2.3228406627933067</v>
      </c>
      <c r="BI217" s="6">
        <f t="shared" si="217"/>
        <v>2.3228406627933067</v>
      </c>
      <c r="BV217" s="38"/>
      <c r="BW217" s="6">
        <f t="shared" si="218"/>
        <v>3.5255650890285306</v>
      </c>
      <c r="BX217" s="9">
        <f t="shared" ca="1" si="219"/>
        <v>113.95469490702412</v>
      </c>
      <c r="BY217" s="9">
        <f t="shared" ca="1" si="220"/>
        <v>6.13044611458578</v>
      </c>
      <c r="BZ217">
        <f t="shared" ca="1" si="221"/>
        <v>114.11947625588188</v>
      </c>
      <c r="CA217" s="6">
        <f t="shared" ca="1" si="222"/>
        <v>0.99855606287143939</v>
      </c>
      <c r="CB217" s="6">
        <f t="shared" ca="1" si="223"/>
        <v>5.3719543023838655E-2</v>
      </c>
      <c r="CC217" s="6">
        <f t="shared" ca="1" si="224"/>
        <v>5.3745413847693067E-2</v>
      </c>
      <c r="CD217" s="6">
        <f t="shared" ca="1" si="225"/>
        <v>-188.04850009147697</v>
      </c>
      <c r="CE217" s="9">
        <f t="shared" ca="1" si="226"/>
        <v>5.2341556135651643</v>
      </c>
      <c r="CF217">
        <f t="shared" ca="1" si="227"/>
        <v>188.12132992205119</v>
      </c>
      <c r="CG217" s="6">
        <f t="shared" ca="1" si="228"/>
        <v>-0.99961285713531578</v>
      </c>
      <c r="CH217" s="6">
        <f t="shared" ca="1" si="229"/>
        <v>2.7823296888949047E-2</v>
      </c>
      <c r="CI217" s="6">
        <f t="shared" ca="1" si="230"/>
        <v>3.1137657656144451</v>
      </c>
      <c r="CJ217" s="1">
        <f t="shared" ca="1" si="231"/>
        <v>-2.3283676022169968</v>
      </c>
      <c r="CK217" s="38"/>
    </row>
    <row r="218" spans="55:89" x14ac:dyDescent="0.25">
      <c r="BC218">
        <v>3.769911184307734</v>
      </c>
      <c r="BD218">
        <v>-169.76589270422076</v>
      </c>
      <c r="BE218">
        <v>5.0368048111493247</v>
      </c>
      <c r="BF218" s="6">
        <f t="shared" si="214"/>
        <v>3.1119322334829569</v>
      </c>
      <c r="BG218" s="6">
        <f t="shared" si="215"/>
        <v>0.65797895082477709</v>
      </c>
      <c r="BH218" s="6">
        <f t="shared" si="216"/>
        <v>-2.3265340700855086</v>
      </c>
      <c r="BI218" s="6">
        <f t="shared" si="217"/>
        <v>2.3265340700855086</v>
      </c>
      <c r="BV218" s="38"/>
      <c r="BW218" s="6">
        <f t="shared" si="218"/>
        <v>3.5430183815484737</v>
      </c>
      <c r="BX218" s="9">
        <f t="shared" ca="1" si="219"/>
        <v>113.67388658697872</v>
      </c>
      <c r="BY218" s="9">
        <f t="shared" ca="1" si="220"/>
        <v>6.808316885498737</v>
      </c>
      <c r="BZ218">
        <f t="shared" ca="1" si="221"/>
        <v>113.87759073058523</v>
      </c>
      <c r="CA218" s="6">
        <f t="shared" ca="1" si="222"/>
        <v>0.99821120079640224</v>
      </c>
      <c r="CB218" s="6">
        <f t="shared" ca="1" si="223"/>
        <v>5.9786274383043833E-2</v>
      </c>
      <c r="CC218" s="6">
        <f t="shared" ca="1" si="224"/>
        <v>5.9821948456518205E-2</v>
      </c>
      <c r="CD218" s="6">
        <f t="shared" ca="1" si="225"/>
        <v>-187.76769177143157</v>
      </c>
      <c r="CE218" s="9">
        <f t="shared" ca="1" si="226"/>
        <v>4.5562848426522073</v>
      </c>
      <c r="CF218">
        <f t="shared" ca="1" si="227"/>
        <v>187.82296399732039</v>
      </c>
      <c r="CG218" s="6">
        <f t="shared" ca="1" si="228"/>
        <v>-0.99970572168220284</v>
      </c>
      <c r="CH218" s="6">
        <f t="shared" ca="1" si="229"/>
        <v>2.4258401346052713E-2</v>
      </c>
      <c r="CI218" s="6">
        <f t="shared" ca="1" si="230"/>
        <v>3.1173318723897556</v>
      </c>
      <c r="CJ218" s="1">
        <f t="shared" ca="1" si="231"/>
        <v>-2.3319337089923073</v>
      </c>
      <c r="CK218" s="38"/>
    </row>
    <row r="219" spans="55:89" x14ac:dyDescent="0.25">
      <c r="BC219">
        <v>3.7873644768276771</v>
      </c>
      <c r="BD219">
        <v>-168.74711179695078</v>
      </c>
      <c r="BE219">
        <v>4.3917458932298681</v>
      </c>
      <c r="BF219" s="6">
        <f t="shared" si="214"/>
        <v>3.1155729209122773</v>
      </c>
      <c r="BG219" s="6">
        <f t="shared" si="215"/>
        <v>0.67179155591539974</v>
      </c>
      <c r="BH219" s="6">
        <f t="shared" si="216"/>
        <v>-2.3301747575148291</v>
      </c>
      <c r="BI219" s="6">
        <f t="shared" si="217"/>
        <v>2.3301747575148291</v>
      </c>
      <c r="BV219" s="38"/>
      <c r="BW219" s="6">
        <f t="shared" si="218"/>
        <v>3.5604716740684168</v>
      </c>
      <c r="BX219" s="9">
        <f t="shared" ca="1" si="219"/>
        <v>113.37471260146093</v>
      </c>
      <c r="BY219" s="9">
        <f t="shared" ca="1" si="220"/>
        <v>7.4963076461282725</v>
      </c>
      <c r="BZ219">
        <f t="shared" ca="1" si="221"/>
        <v>113.62226932159587</v>
      </c>
      <c r="CA219" s="6">
        <f t="shared" ca="1" si="222"/>
        <v>0.99782123063011308</v>
      </c>
      <c r="CB219" s="6">
        <f t="shared" ca="1" si="223"/>
        <v>6.5975690248808214E-2</v>
      </c>
      <c r="CC219" s="6">
        <f t="shared" ca="1" si="224"/>
        <v>6.6023647317392076E-2</v>
      </c>
      <c r="CD219" s="6">
        <f t="shared" ca="1" si="225"/>
        <v>-187.46851778591378</v>
      </c>
      <c r="CE219" s="9">
        <f t="shared" ca="1" si="226"/>
        <v>3.8682940820226719</v>
      </c>
      <c r="CF219">
        <f t="shared" ca="1" si="227"/>
        <v>187.5084234373285</v>
      </c>
      <c r="CG219" s="6">
        <f t="shared" ca="1" si="228"/>
        <v>-0.99978717942008577</v>
      </c>
      <c r="CH219" s="6">
        <f t="shared" ca="1" si="229"/>
        <v>2.0629974969180963E-2</v>
      </c>
      <c r="CI219" s="6">
        <f t="shared" ca="1" si="230"/>
        <v>3.120961215001604</v>
      </c>
      <c r="CJ219" s="1">
        <f t="shared" ca="1" si="231"/>
        <v>-2.3355630516041552</v>
      </c>
      <c r="CK219" s="38"/>
    </row>
    <row r="220" spans="55:89" x14ac:dyDescent="0.25">
      <c r="BC220">
        <v>3.8048177693476202</v>
      </c>
      <c r="BD220">
        <v>-167.72817696859053</v>
      </c>
      <c r="BE220">
        <v>3.7692514209859143</v>
      </c>
      <c r="BF220" s="6">
        <f t="shared" si="214"/>
        <v>3.1191240548086037</v>
      </c>
      <c r="BG220" s="6">
        <f t="shared" si="215"/>
        <v>0.68569371453901651</v>
      </c>
      <c r="BH220" s="6">
        <f t="shared" si="216"/>
        <v>-2.3337258914111554</v>
      </c>
      <c r="BI220" s="6">
        <f t="shared" si="217"/>
        <v>2.3337258914111554</v>
      </c>
      <c r="BV220" s="38"/>
      <c r="BW220" s="6">
        <f t="shared" si="218"/>
        <v>3.5779249665883599</v>
      </c>
      <c r="BX220" s="9">
        <f t="shared" ca="1" si="219"/>
        <v>113.05623641000868</v>
      </c>
      <c r="BY220" s="9">
        <f t="shared" ca="1" si="220"/>
        <v>8.1950755959884951</v>
      </c>
      <c r="BZ220">
        <f t="shared" ca="1" si="221"/>
        <v>113.35286434501661</v>
      </c>
      <c r="CA220" s="6">
        <f t="shared" ca="1" si="222"/>
        <v>0.99738314566004194</v>
      </c>
      <c r="CB220" s="6">
        <f t="shared" ca="1" si="223"/>
        <v>7.22970314278501E-2</v>
      </c>
      <c r="CC220" s="6">
        <f t="shared" ca="1" si="224"/>
        <v>7.2360161113423555E-2</v>
      </c>
      <c r="CD220" s="6">
        <f t="shared" ca="1" si="225"/>
        <v>-187.15004159446153</v>
      </c>
      <c r="CE220" s="9">
        <f t="shared" ca="1" si="226"/>
        <v>3.1695261321624493</v>
      </c>
      <c r="CF220">
        <f t="shared" ca="1" si="227"/>
        <v>187.17687881977074</v>
      </c>
      <c r="CG220" s="6">
        <f t="shared" ca="1" si="228"/>
        <v>-0.9998566210448725</v>
      </c>
      <c r="CH220" s="6">
        <f t="shared" ca="1" si="229"/>
        <v>1.6933320782714457E-2</v>
      </c>
      <c r="CI220" s="6">
        <f t="shared" ca="1" si="230"/>
        <v>3.1246585234667146</v>
      </c>
      <c r="CJ220" s="1">
        <f t="shared" ca="1" si="231"/>
        <v>-2.3392603600692663</v>
      </c>
      <c r="CK220" s="38"/>
    </row>
    <row r="221" spans="55:89" x14ac:dyDescent="0.25">
      <c r="BC221">
        <v>3.8222710618675633</v>
      </c>
      <c r="BD221">
        <v>-166.54268868593721</v>
      </c>
      <c r="BE221">
        <v>3.1411258732471312</v>
      </c>
      <c r="BF221" s="6">
        <f t="shared" si="214"/>
        <v>3.1227341043848424</v>
      </c>
      <c r="BG221" s="6">
        <f t="shared" si="215"/>
        <v>0.69953695748272082</v>
      </c>
      <c r="BH221" s="6">
        <f t="shared" si="216"/>
        <v>-2.3373359409873942</v>
      </c>
      <c r="BI221" s="6">
        <f t="shared" si="217"/>
        <v>2.3373359409873942</v>
      </c>
      <c r="BV221" s="38"/>
      <c r="BW221" s="6">
        <f t="shared" si="218"/>
        <v>3.595378259108303</v>
      </c>
      <c r="BX221" s="9">
        <f t="shared" ca="1" si="219"/>
        <v>112.7174393341982</v>
      </c>
      <c r="BY221" s="9">
        <f t="shared" ca="1" si="220"/>
        <v>8.9053120391085816</v>
      </c>
      <c r="BZ221">
        <f t="shared" ca="1" si="221"/>
        <v>113.06867697365414</v>
      </c>
      <c r="CA221" s="6">
        <f t="shared" ca="1" si="222"/>
        <v>0.99689359025985802</v>
      </c>
      <c r="CB221" s="6">
        <f t="shared" ca="1" si="223"/>
        <v>7.8760203775830748E-2</v>
      </c>
      <c r="CC221" s="6">
        <f t="shared" ca="1" si="224"/>
        <v>7.8841859068143172E-2</v>
      </c>
      <c r="CD221" s="6">
        <f t="shared" ca="1" si="225"/>
        <v>-186.81124451865105</v>
      </c>
      <c r="CE221" s="9">
        <f t="shared" ca="1" si="226"/>
        <v>2.4592896890423628</v>
      </c>
      <c r="CF221">
        <f t="shared" ca="1" si="227"/>
        <v>186.82743156287799</v>
      </c>
      <c r="CG221" s="6">
        <f t="shared" ca="1" si="228"/>
        <v>-0.99991335831097428</v>
      </c>
      <c r="CH221" s="6">
        <f t="shared" ca="1" si="229"/>
        <v>1.3163429312652478E-2</v>
      </c>
      <c r="CI221" s="6">
        <f t="shared" ca="1" si="230"/>
        <v>3.1284288440967152</v>
      </c>
      <c r="CJ221" s="1">
        <f t="shared" ca="1" si="231"/>
        <v>-2.3430306806992669</v>
      </c>
      <c r="CK221" s="38"/>
    </row>
    <row r="222" spans="55:89" x14ac:dyDescent="0.25">
      <c r="BC222">
        <v>3.8397243543875064</v>
      </c>
      <c r="BD222">
        <v>-165.1259963072165</v>
      </c>
      <c r="BE222">
        <v>2.4984485680705348</v>
      </c>
      <c r="BF222" s="6">
        <f t="shared" si="214"/>
        <v>3.1264632494357145</v>
      </c>
      <c r="BG222" s="6">
        <f t="shared" si="215"/>
        <v>0.71326110495179185</v>
      </c>
      <c r="BH222" s="6">
        <f t="shared" si="216"/>
        <v>-2.3410650860382662</v>
      </c>
      <c r="BI222" s="6">
        <f t="shared" si="217"/>
        <v>2.3410650860382662</v>
      </c>
      <c r="BV222" s="38"/>
      <c r="BW222" s="6">
        <f t="shared" si="218"/>
        <v>3.6128315516282461</v>
      </c>
      <c r="BX222" s="9">
        <f t="shared" ca="1" si="219"/>
        <v>112.35721310665211</v>
      </c>
      <c r="BY222" s="9">
        <f t="shared" ca="1" si="220"/>
        <v>9.627745378890582</v>
      </c>
      <c r="BZ222">
        <f t="shared" ca="1" si="221"/>
        <v>112.76895325476062</v>
      </c>
      <c r="CA222" s="6">
        <f t="shared" ca="1" si="222"/>
        <v>0.99634881644083073</v>
      </c>
      <c r="CB222" s="6">
        <f t="shared" ca="1" si="223"/>
        <v>8.5375851251719759E-2</v>
      </c>
      <c r="CC222" s="6">
        <f t="shared" ca="1" si="224"/>
        <v>8.5479910878722476E-2</v>
      </c>
      <c r="CD222" s="6">
        <f t="shared" ca="1" si="225"/>
        <v>-186.45101829110496</v>
      </c>
      <c r="CE222" s="9">
        <f t="shared" ca="1" si="226"/>
        <v>1.7368563492603624</v>
      </c>
      <c r="CF222">
        <f t="shared" ca="1" si="227"/>
        <v>186.45910782734086</v>
      </c>
      <c r="CG222" s="6">
        <f t="shared" ca="1" si="228"/>
        <v>-0.99995661495793819</v>
      </c>
      <c r="CH222" s="6">
        <f t="shared" ca="1" si="229"/>
        <v>9.3149450809808278E-3</v>
      </c>
      <c r="CI222" s="6">
        <f t="shared" ca="1" si="230"/>
        <v>3.132277573796713</v>
      </c>
      <c r="CJ222" s="1">
        <f t="shared" ca="1" si="231"/>
        <v>-2.3468794103992647</v>
      </c>
      <c r="CK222" s="38"/>
    </row>
    <row r="223" spans="55:89" x14ac:dyDescent="0.25">
      <c r="BC223">
        <v>3.8571776469074495</v>
      </c>
      <c r="BD223">
        <v>-163.70844629190339</v>
      </c>
      <c r="BE223">
        <v>1.8781840518697066</v>
      </c>
      <c r="BF223" s="6">
        <f t="shared" si="214"/>
        <v>3.1301204192830103</v>
      </c>
      <c r="BG223" s="6">
        <f t="shared" si="215"/>
        <v>0.72705722762443914</v>
      </c>
      <c r="BH223" s="6">
        <f t="shared" si="216"/>
        <v>-2.3447222558855616</v>
      </c>
      <c r="BI223" s="6">
        <f t="shared" si="217"/>
        <v>2.3447222558855616</v>
      </c>
      <c r="BV223" s="38"/>
      <c r="BW223" s="6">
        <f t="shared" si="218"/>
        <v>3.6302848441481892</v>
      </c>
      <c r="BX223" s="9">
        <f t="shared" ca="1" si="219"/>
        <v>111.85635226038529</v>
      </c>
      <c r="BY223" s="9">
        <f t="shared" ca="1" si="220"/>
        <v>10.391442095607553</v>
      </c>
      <c r="BZ223">
        <f t="shared" ca="1" si="221"/>
        <v>112.33799717738324</v>
      </c>
      <c r="CA223" s="6">
        <f t="shared" ca="1" si="222"/>
        <v>0.99571253779576085</v>
      </c>
      <c r="CB223" s="6">
        <f t="shared" ca="1" si="223"/>
        <v>9.2501578777475654E-2</v>
      </c>
      <c r="CC223" s="6">
        <f t="shared" ca="1" si="224"/>
        <v>9.2634004921777133E-2</v>
      </c>
      <c r="CD223" s="6">
        <f t="shared" ca="1" si="225"/>
        <v>-185.95015744483814</v>
      </c>
      <c r="CE223" s="9">
        <f t="shared" ca="1" si="226"/>
        <v>0.97315963254339088</v>
      </c>
      <c r="CF223">
        <f t="shared" ca="1" si="227"/>
        <v>185.95270391535183</v>
      </c>
      <c r="CG223" s="6">
        <f t="shared" ca="1" si="228"/>
        <v>-0.99998630581615611</v>
      </c>
      <c r="CH223" s="6">
        <f t="shared" ca="1" si="229"/>
        <v>5.2333717770857808E-3</v>
      </c>
      <c r="CI223" s="6">
        <f t="shared" ca="1" si="230"/>
        <v>3.1363592579236581</v>
      </c>
      <c r="CJ223" s="1">
        <f t="shared" ca="1" si="231"/>
        <v>-2.3509610945262098</v>
      </c>
      <c r="CK223" s="38"/>
    </row>
    <row r="224" spans="55:89" x14ac:dyDescent="0.25">
      <c r="BC224">
        <v>3.8746309394273926</v>
      </c>
      <c r="BD224">
        <v>-162.28918524398571</v>
      </c>
      <c r="BE224">
        <v>1.2790225654708403</v>
      </c>
      <c r="BF224" s="6">
        <f t="shared" si="214"/>
        <v>3.1337116842969501</v>
      </c>
      <c r="BG224" s="6">
        <f t="shared" si="215"/>
        <v>0.74091925513044243</v>
      </c>
      <c r="BH224" s="6">
        <f t="shared" si="216"/>
        <v>-2.3483135208995018</v>
      </c>
      <c r="BI224" s="6">
        <f t="shared" si="217"/>
        <v>2.3483135208995018</v>
      </c>
      <c r="BV224" s="38"/>
      <c r="BW224" s="6">
        <f t="shared" si="218"/>
        <v>3.6477381366681323</v>
      </c>
      <c r="BX224" s="9">
        <f t="shared" ca="1" si="219"/>
        <v>111.0977354247819</v>
      </c>
      <c r="BY224" s="9">
        <f t="shared" ca="1" si="220"/>
        <v>11.224734996372176</v>
      </c>
      <c r="BZ224">
        <f t="shared" ca="1" si="221"/>
        <v>111.66333996551251</v>
      </c>
      <c r="CA224" s="6">
        <f t="shared" ca="1" si="222"/>
        <v>0.99493473380873887</v>
      </c>
      <c r="CB224" s="6">
        <f t="shared" ca="1" si="223"/>
        <v>0.10052300960941131</v>
      </c>
      <c r="CC224" s="6">
        <f t="shared" ca="1" si="224"/>
        <v>0.10069307950640623</v>
      </c>
      <c r="CD224" s="6">
        <f t="shared" ca="1" si="225"/>
        <v>-185.19154060923475</v>
      </c>
      <c r="CE224" s="9">
        <f t="shared" ca="1" si="226"/>
        <v>0.13986673177876874</v>
      </c>
      <c r="CF224">
        <f t="shared" ca="1" si="227"/>
        <v>185.19159342671173</v>
      </c>
      <c r="CG224" s="6">
        <f t="shared" ca="1" si="228"/>
        <v>-0.99999971479549365</v>
      </c>
      <c r="CH224" s="6">
        <f t="shared" ca="1" si="229"/>
        <v>7.5525421640761472E-4</v>
      </c>
      <c r="CI224" s="6">
        <f t="shared" ca="1" si="230"/>
        <v>3.140837399301585</v>
      </c>
      <c r="CJ224" s="1">
        <f t="shared" ca="1" si="231"/>
        <v>-2.3554392359041367</v>
      </c>
      <c r="CK224" s="38"/>
    </row>
    <row r="225" spans="55:89" x14ac:dyDescent="0.25">
      <c r="BC225">
        <v>3.8920842319473357</v>
      </c>
      <c r="BD225">
        <v>-160.86735895750394</v>
      </c>
      <c r="BE225">
        <v>0.69976491365368831</v>
      </c>
      <c r="BF225" s="6">
        <f t="shared" si="214"/>
        <v>3.1372427313645912</v>
      </c>
      <c r="BG225" s="6">
        <f t="shared" si="215"/>
        <v>0.75484150058274446</v>
      </c>
      <c r="BH225" s="6">
        <f t="shared" si="216"/>
        <v>-2.3518445679671425</v>
      </c>
      <c r="BI225" s="6">
        <f t="shared" si="217"/>
        <v>2.3518445679671425</v>
      </c>
      <c r="BV225" s="38"/>
      <c r="BW225" s="6">
        <f t="shared" si="218"/>
        <v>3.6651914291880754</v>
      </c>
      <c r="BX225" s="9">
        <f t="shared" ca="1" si="219"/>
        <v>110.32978192558674</v>
      </c>
      <c r="BY225" s="9">
        <f t="shared" ca="1" si="220"/>
        <v>12.042451630916213</v>
      </c>
      <c r="BZ225">
        <f t="shared" ca="1" si="221"/>
        <v>110.98505043937442</v>
      </c>
      <c r="CA225" s="6">
        <f t="shared" ca="1" si="222"/>
        <v>0.99409588488545475</v>
      </c>
      <c r="CB225" s="6">
        <f t="shared" ca="1" si="223"/>
        <v>0.10850516878842527</v>
      </c>
      <c r="CC225" s="6">
        <f t="shared" ca="1" si="224"/>
        <v>0.10871921671495564</v>
      </c>
      <c r="CD225" s="6">
        <f t="shared" ca="1" si="225"/>
        <v>-184.42358711003959</v>
      </c>
      <c r="CE225" s="9">
        <f t="shared" ca="1" si="226"/>
        <v>-0.67784990276526891</v>
      </c>
      <c r="CF225">
        <f t="shared" ca="1" si="227"/>
        <v>184.4248328263443</v>
      </c>
      <c r="CG225" s="6">
        <f t="shared" ca="1" si="228"/>
        <v>-0.99999324539821666</v>
      </c>
      <c r="CH225" s="6">
        <f t="shared" ca="1" si="229"/>
        <v>-3.6754806409586777E-3</v>
      </c>
      <c r="CI225" s="6">
        <f t="shared" ca="1" si="230"/>
        <v>-3.1379171646733428</v>
      </c>
      <c r="CJ225" s="1">
        <f t="shared" ca="1" si="231"/>
        <v>-2.3598699791087951</v>
      </c>
      <c r="CK225" s="38"/>
    </row>
    <row r="226" spans="55:89" x14ac:dyDescent="0.25">
      <c r="BC226">
        <v>3.9095375244672788</v>
      </c>
      <c r="BD226">
        <v>-159.44210974000487</v>
      </c>
      <c r="BE226">
        <v>0.13931146314542198</v>
      </c>
      <c r="BF226" s="6">
        <f t="shared" si="214"/>
        <v>3.1407189105872626</v>
      </c>
      <c r="BG226" s="6">
        <f t="shared" si="215"/>
        <v>0.76881861388001616</v>
      </c>
      <c r="BH226" s="6">
        <f t="shared" si="216"/>
        <v>-2.3553207471898139</v>
      </c>
      <c r="BI226" s="6">
        <f t="shared" si="217"/>
        <v>2.3553207471898139</v>
      </c>
      <c r="BV226" s="38"/>
      <c r="BW226" s="6">
        <f t="shared" si="218"/>
        <v>3.6826447217080185</v>
      </c>
      <c r="BX226" s="9">
        <f t="shared" ca="1" si="219"/>
        <v>109.56435400554174</v>
      </c>
      <c r="BY226" s="9">
        <f t="shared" ca="1" si="220"/>
        <v>12.826101466923118</v>
      </c>
      <c r="BZ226">
        <f t="shared" ca="1" si="221"/>
        <v>110.3125403002373</v>
      </c>
      <c r="CA226" s="6">
        <f t="shared" ca="1" si="222"/>
        <v>0.99321757714345782</v>
      </c>
      <c r="CB226" s="6">
        <f t="shared" ca="1" si="223"/>
        <v>0.11627056572185136</v>
      </c>
      <c r="CC226" s="6">
        <f t="shared" ca="1" si="224"/>
        <v>0.11653414632755596</v>
      </c>
      <c r="CD226" s="6">
        <f t="shared" ca="1" si="225"/>
        <v>-183.65815918999459</v>
      </c>
      <c r="CE226" s="9">
        <f t="shared" ca="1" si="226"/>
        <v>-1.461499738772174</v>
      </c>
      <c r="CF226">
        <f t="shared" ca="1" si="227"/>
        <v>183.66397419892621</v>
      </c>
      <c r="CG226" s="6">
        <f t="shared" ca="1" si="228"/>
        <v>-0.99996833887017322</v>
      </c>
      <c r="CH226" s="6">
        <f t="shared" ca="1" si="229"/>
        <v>-7.9574655026751484E-3</v>
      </c>
      <c r="CI226" s="6">
        <f t="shared" ca="1" si="230"/>
        <v>-3.1336351041052715</v>
      </c>
      <c r="CJ226" s="1">
        <f t="shared" ca="1" si="231"/>
        <v>-2.3641520396768665</v>
      </c>
      <c r="CK226" s="38"/>
    </row>
    <row r="227" spans="55:89" x14ac:dyDescent="0.25">
      <c r="BC227">
        <v>3.9269908169872219</v>
      </c>
      <c r="BD227">
        <v>-158.01257374042945</v>
      </c>
      <c r="BE227">
        <v>-0.40334750345549825</v>
      </c>
      <c r="BF227" s="6">
        <f t="shared" si="214"/>
        <v>3.1441452772060763</v>
      </c>
      <c r="BG227" s="6">
        <f t="shared" si="215"/>
        <v>0.78284553978114557</v>
      </c>
      <c r="BH227" s="6">
        <f t="shared" si="216"/>
        <v>-2.358747113808628</v>
      </c>
      <c r="BI227" s="6">
        <f t="shared" si="217"/>
        <v>2.358747113808628</v>
      </c>
      <c r="BV227" s="38"/>
      <c r="BW227" s="6">
        <f t="shared" si="218"/>
        <v>3.7000980142279616</v>
      </c>
      <c r="BX227" s="9">
        <f t="shared" ca="1" si="219"/>
        <v>108.80078638186983</v>
      </c>
      <c r="BY227" s="9">
        <f t="shared" ca="1" si="220"/>
        <v>13.578495378257605</v>
      </c>
      <c r="BZ227">
        <f t="shared" ca="1" si="221"/>
        <v>109.64482046157326</v>
      </c>
      <c r="CA227" s="6">
        <f t="shared" ca="1" si="222"/>
        <v>0.99230210714787714</v>
      </c>
      <c r="CB227" s="6">
        <f t="shared" ca="1" si="223"/>
        <v>0.12384073703706233</v>
      </c>
      <c r="CC227" s="6">
        <f t="shared" ca="1" si="224"/>
        <v>0.12415948965090863</v>
      </c>
      <c r="CD227" s="6">
        <f t="shared" ca="1" si="225"/>
        <v>-182.89459156632267</v>
      </c>
      <c r="CE227" s="9">
        <f t="shared" ca="1" si="226"/>
        <v>-2.2138936501066606</v>
      </c>
      <c r="CF227">
        <f t="shared" ca="1" si="227"/>
        <v>182.90799039218044</v>
      </c>
      <c r="CG227" s="6">
        <f t="shared" ca="1" si="228"/>
        <v>-0.9999267455411377</v>
      </c>
      <c r="CH227" s="6">
        <f t="shared" ca="1" si="229"/>
        <v>-1.2103865147497173E-2</v>
      </c>
      <c r="CI227" s="6">
        <f t="shared" ca="1" si="230"/>
        <v>-3.129488492879605</v>
      </c>
      <c r="CJ227" s="1">
        <f t="shared" ca="1" si="231"/>
        <v>-2.368298650902533</v>
      </c>
      <c r="CK227" s="38"/>
    </row>
    <row r="228" spans="55:89" x14ac:dyDescent="0.25">
      <c r="BC228">
        <v>3.944444109507165</v>
      </c>
      <c r="BD228">
        <v>-156.57787823752017</v>
      </c>
      <c r="BE228">
        <v>-0.92914026626190394</v>
      </c>
      <c r="BF228" s="6">
        <f t="shared" si="214"/>
        <v>3.1475266295194966</v>
      </c>
      <c r="BG228" s="6">
        <f t="shared" si="215"/>
        <v>0.79691747998766838</v>
      </c>
      <c r="BH228" s="6">
        <f t="shared" si="216"/>
        <v>-2.3621284661220483</v>
      </c>
      <c r="BI228" s="6">
        <f t="shared" si="217"/>
        <v>2.3621284661220483</v>
      </c>
      <c r="BV228" s="38"/>
      <c r="BW228" s="6">
        <f t="shared" si="218"/>
        <v>3.7175513067479047</v>
      </c>
      <c r="BX228" s="9">
        <f t="shared" ca="1" si="219"/>
        <v>108.03843015391151</v>
      </c>
      <c r="BY228" s="9">
        <f t="shared" ca="1" si="220"/>
        <v>14.302148132200717</v>
      </c>
      <c r="BZ228">
        <f t="shared" ca="1" si="221"/>
        <v>108.9809792180132</v>
      </c>
      <c r="CA228" s="6">
        <f t="shared" ca="1" si="222"/>
        <v>0.99135125165083937</v>
      </c>
      <c r="CB228" s="6">
        <f t="shared" ca="1" si="223"/>
        <v>0.13123526907929223</v>
      </c>
      <c r="CC228" s="6">
        <f t="shared" ca="1" si="224"/>
        <v>0.13161492308966169</v>
      </c>
      <c r="CD228" s="6">
        <f t="shared" ca="1" si="225"/>
        <v>-182.13223533836435</v>
      </c>
      <c r="CE228" s="9">
        <f t="shared" ca="1" si="226"/>
        <v>-2.9375464040497725</v>
      </c>
      <c r="CF228">
        <f t="shared" ca="1" si="227"/>
        <v>182.15592312144364</v>
      </c>
      <c r="CG228" s="6">
        <f t="shared" ca="1" si="228"/>
        <v>-0.99986995875471207</v>
      </c>
      <c r="CH228" s="6">
        <f t="shared" ca="1" si="229"/>
        <v>-1.6126548913214894E-2</v>
      </c>
      <c r="CI228" s="6">
        <f t="shared" ca="1" si="230"/>
        <v>-3.1254654056013802</v>
      </c>
      <c r="CJ228" s="1">
        <f t="shared" ca="1" si="231"/>
        <v>-2.3723217381807578</v>
      </c>
      <c r="CK228" s="38"/>
    </row>
    <row r="229" spans="55:89" x14ac:dyDescent="0.25">
      <c r="BC229">
        <v>3.9618974020271081</v>
      </c>
      <c r="BD229">
        <v>-155.13713887695312</v>
      </c>
      <c r="BE229">
        <v>-1.4389211454445558</v>
      </c>
      <c r="BF229" s="6">
        <f t="shared" si="214"/>
        <v>3.1508675435048703</v>
      </c>
      <c r="BG229" s="6">
        <f t="shared" si="215"/>
        <v>0.81102985852223775</v>
      </c>
      <c r="BH229" s="6">
        <f t="shared" si="216"/>
        <v>-2.365469380107422</v>
      </c>
      <c r="BI229" s="6">
        <f t="shared" si="217"/>
        <v>2.365469380107422</v>
      </c>
      <c r="BV229" s="38"/>
      <c r="BW229" s="6">
        <f t="shared" si="218"/>
        <v>3.7350045992678478</v>
      </c>
      <c r="BX229" s="9">
        <f t="shared" ca="1" si="219"/>
        <v>107.27664907644122</v>
      </c>
      <c r="BY229" s="9">
        <f t="shared" ca="1" si="220"/>
        <v>14.999317998937034</v>
      </c>
      <c r="BZ229">
        <f t="shared" ca="1" si="221"/>
        <v>108.32016883989404</v>
      </c>
      <c r="CA229" s="6">
        <f t="shared" ca="1" si="222"/>
        <v>0.99036633920876516</v>
      </c>
      <c r="CB229" s="6">
        <f t="shared" ca="1" si="223"/>
        <v>0.13847206997163417</v>
      </c>
      <c r="CC229" s="6">
        <f t="shared" ca="1" si="224"/>
        <v>0.13891845489173185</v>
      </c>
      <c r="CD229" s="6">
        <f t="shared" ca="1" si="225"/>
        <v>-181.37045426089406</v>
      </c>
      <c r="CE229" s="9">
        <f t="shared" ca="1" si="226"/>
        <v>-3.6347162707860896</v>
      </c>
      <c r="CF229">
        <f t="shared" ca="1" si="227"/>
        <v>181.40687098666407</v>
      </c>
      <c r="CG229" s="6">
        <f t="shared" ca="1" si="228"/>
        <v>-0.99979925387846702</v>
      </c>
      <c r="CH229" s="6">
        <f t="shared" ca="1" si="229"/>
        <v>-2.0036265721452701E-2</v>
      </c>
      <c r="CI229" s="6">
        <f t="shared" ca="1" si="230"/>
        <v>-3.1215550470264612</v>
      </c>
      <c r="CJ229" s="1">
        <f t="shared" ca="1" si="231"/>
        <v>-2.3762320967556767</v>
      </c>
      <c r="CK229" s="38"/>
    </row>
    <row r="230" spans="55:89" x14ac:dyDescent="0.25">
      <c r="BC230">
        <v>3.9793506945470511</v>
      </c>
      <c r="BD230">
        <v>-153.68945680555359</v>
      </c>
      <c r="BE230">
        <v>-1.9334771084925819</v>
      </c>
      <c r="BF230" s="6">
        <f t="shared" si="214"/>
        <v>3.1541724047099762</v>
      </c>
      <c r="BG230" s="6">
        <f t="shared" si="215"/>
        <v>0.82517828983707497</v>
      </c>
      <c r="BH230" s="6">
        <f t="shared" si="216"/>
        <v>-2.3687742413125275</v>
      </c>
      <c r="BI230" s="6">
        <f t="shared" si="217"/>
        <v>2.3687742413125275</v>
      </c>
      <c r="BV230" s="38"/>
      <c r="BW230" s="6">
        <f t="shared" si="218"/>
        <v>3.7524578917877909</v>
      </c>
      <c r="BX230" s="9">
        <f t="shared" ca="1" si="219"/>
        <v>106.51481613069915</v>
      </c>
      <c r="BY230" s="9">
        <f t="shared" ca="1" si="220"/>
        <v>15.672040113964179</v>
      </c>
      <c r="BZ230">
        <f t="shared" ca="1" si="221"/>
        <v>107.66159434399228</v>
      </c>
      <c r="CA230" s="6">
        <f t="shared" ca="1" si="222"/>
        <v>0.98934830734877444</v>
      </c>
      <c r="CB230" s="6">
        <f t="shared" ca="1" si="223"/>
        <v>0.14556760197968133</v>
      </c>
      <c r="CC230" s="6">
        <f t="shared" ca="1" si="224"/>
        <v>0.14608666131761658</v>
      </c>
      <c r="CD230" s="6">
        <f t="shared" ca="1" si="225"/>
        <v>-180.60862131515199</v>
      </c>
      <c r="CE230" s="9">
        <f t="shared" ca="1" si="226"/>
        <v>-4.307438385813235</v>
      </c>
      <c r="CF230">
        <f t="shared" ca="1" si="227"/>
        <v>180.65997929482765</v>
      </c>
      <c r="CG230" s="6">
        <f t="shared" ca="1" si="228"/>
        <v>-0.99971572021719401</v>
      </c>
      <c r="CH230" s="6">
        <f t="shared" ca="1" si="229"/>
        <v>-2.38427924248996E-2</v>
      </c>
      <c r="CI230" s="6">
        <f t="shared" ca="1" si="230"/>
        <v>-3.1177476015666641</v>
      </c>
      <c r="CJ230" s="1">
        <f t="shared" ca="1" si="231"/>
        <v>-2.3800395422154739</v>
      </c>
      <c r="CK230" s="38"/>
    </row>
    <row r="231" spans="55:89" x14ac:dyDescent="0.25">
      <c r="BC231">
        <v>3.9968039870669942</v>
      </c>
      <c r="BD231">
        <v>-152.13013090968954</v>
      </c>
      <c r="BE231">
        <v>-2.4125540392786604</v>
      </c>
      <c r="BF231" s="6">
        <f t="shared" si="214"/>
        <v>3.1574498135725646</v>
      </c>
      <c r="BG231" s="6">
        <f t="shared" si="215"/>
        <v>0.83935417349442965</v>
      </c>
      <c r="BH231" s="6">
        <f t="shared" si="216"/>
        <v>-2.3720516501751163</v>
      </c>
      <c r="BI231" s="6">
        <f t="shared" si="217"/>
        <v>2.3720516501751163</v>
      </c>
      <c r="BV231" s="38"/>
      <c r="BW231" s="6">
        <f t="shared" si="218"/>
        <v>3.769911184307734</v>
      </c>
      <c r="BX231" s="9">
        <f t="shared" ca="1" si="219"/>
        <v>105.67208751976791</v>
      </c>
      <c r="BY231" s="9">
        <f t="shared" ca="1" si="220"/>
        <v>16.327796917001621</v>
      </c>
      <c r="BZ231">
        <f t="shared" ca="1" si="221"/>
        <v>106.92608209856162</v>
      </c>
      <c r="CA231" s="6">
        <f t="shared" ca="1" si="222"/>
        <v>0.98827232276557364</v>
      </c>
      <c r="CB231" s="6">
        <f t="shared" ca="1" si="223"/>
        <v>0.15270172250350567</v>
      </c>
      <c r="CC231" s="6">
        <f t="shared" ca="1" si="224"/>
        <v>0.15330148247062073</v>
      </c>
      <c r="CD231" s="6">
        <f t="shared" ca="1" si="225"/>
        <v>-179.76589270422076</v>
      </c>
      <c r="CE231" s="9">
        <f t="shared" ca="1" si="226"/>
        <v>-4.9631951888506762</v>
      </c>
      <c r="CF231">
        <f t="shared" ca="1" si="227"/>
        <v>179.8343946141228</v>
      </c>
      <c r="CG231" s="6">
        <f t="shared" ca="1" si="228"/>
        <v>-0.99961908337918881</v>
      </c>
      <c r="CH231" s="6">
        <f t="shared" ca="1" si="229"/>
        <v>-2.7598698232895798E-2</v>
      </c>
      <c r="CI231" s="6">
        <f t="shared" ca="1" si="230"/>
        <v>-3.1139904505552534</v>
      </c>
      <c r="CJ231" s="1">
        <f t="shared" ca="1" si="231"/>
        <v>-2.3837966932268846</v>
      </c>
      <c r="CK231" s="38"/>
    </row>
    <row r="232" spans="55:89" x14ac:dyDescent="0.25">
      <c r="BC232">
        <v>4.0142572795869373</v>
      </c>
      <c r="BD232">
        <v>-150.36427007686325</v>
      </c>
      <c r="BE232">
        <v>-2.8738650607896439</v>
      </c>
      <c r="BF232" s="6">
        <f t="shared" si="214"/>
        <v>3.1607030127199782</v>
      </c>
      <c r="BG232" s="6">
        <f t="shared" si="215"/>
        <v>0.85355426686695912</v>
      </c>
      <c r="BH232" s="6">
        <f t="shared" si="216"/>
        <v>-2.3753048493225299</v>
      </c>
      <c r="BI232" s="6">
        <f t="shared" si="217"/>
        <v>2.3753048493225299</v>
      </c>
      <c r="BV232" s="38"/>
      <c r="BW232" s="6">
        <f t="shared" si="218"/>
        <v>3.7873644768276771</v>
      </c>
      <c r="BX232" s="9">
        <f t="shared" ca="1" si="219"/>
        <v>104.65330661249793</v>
      </c>
      <c r="BY232" s="9">
        <f t="shared" ca="1" si="220"/>
        <v>16.972855834921077</v>
      </c>
      <c r="BZ232">
        <f t="shared" ca="1" si="221"/>
        <v>106.0207169383537</v>
      </c>
      <c r="CA232" s="6">
        <f t="shared" ca="1" si="222"/>
        <v>0.9871024233249539</v>
      </c>
      <c r="CB232" s="6">
        <f t="shared" ca="1" si="223"/>
        <v>0.16008999302268473</v>
      </c>
      <c r="CC232" s="6">
        <f t="shared" ca="1" si="224"/>
        <v>0.16078182115834752</v>
      </c>
      <c r="CD232" s="6">
        <f t="shared" ca="1" si="225"/>
        <v>-178.74711179695078</v>
      </c>
      <c r="CE232" s="9">
        <f t="shared" ca="1" si="226"/>
        <v>-5.6082541067701328</v>
      </c>
      <c r="CF232">
        <f t="shared" ca="1" si="227"/>
        <v>178.83507063738287</v>
      </c>
      <c r="CG232" s="6">
        <f t="shared" ca="1" si="228"/>
        <v>-0.99950815664892456</v>
      </c>
      <c r="CH232" s="6">
        <f t="shared" ca="1" si="229"/>
        <v>-3.1359923346029696E-2</v>
      </c>
      <c r="CI232" s="6">
        <f t="shared" ca="1" si="230"/>
        <v>-3.1102275878421173</v>
      </c>
      <c r="CJ232" s="1">
        <f t="shared" ca="1" si="231"/>
        <v>-2.3875595559400207</v>
      </c>
      <c r="CK232" s="38"/>
    </row>
    <row r="233" spans="55:89" x14ac:dyDescent="0.25">
      <c r="BC233">
        <v>4.0317105721068804</v>
      </c>
      <c r="BD233">
        <v>-148.58937747588394</v>
      </c>
      <c r="BE233">
        <v>-3.3189212103489569</v>
      </c>
      <c r="BF233" s="6">
        <f t="shared" si="214"/>
        <v>3.1639251344784882</v>
      </c>
      <c r="BG233" s="6">
        <f t="shared" si="215"/>
        <v>0.86778543762839222</v>
      </c>
      <c r="BH233" s="6">
        <f t="shared" si="216"/>
        <v>-2.3785269710810399</v>
      </c>
      <c r="BI233" s="6">
        <f t="shared" si="217"/>
        <v>2.3785269710810399</v>
      </c>
      <c r="BV233" s="38"/>
      <c r="BW233" s="6">
        <f t="shared" si="218"/>
        <v>3.8048177693476202</v>
      </c>
      <c r="BX233" s="9">
        <f t="shared" ca="1" si="219"/>
        <v>103.63437178413768</v>
      </c>
      <c r="BY233" s="9">
        <f t="shared" ca="1" si="220"/>
        <v>17.595350307165031</v>
      </c>
      <c r="BZ233">
        <f t="shared" ca="1" si="221"/>
        <v>105.11745510392042</v>
      </c>
      <c r="CA233" s="6">
        <f t="shared" ca="1" si="222"/>
        <v>0.9858911793639169</v>
      </c>
      <c r="CB233" s="6">
        <f t="shared" ca="1" si="223"/>
        <v>0.16738752179426386</v>
      </c>
      <c r="CC233" s="6">
        <f t="shared" ca="1" si="224"/>
        <v>0.16817920499587158</v>
      </c>
      <c r="CD233" s="6">
        <f t="shared" ca="1" si="225"/>
        <v>-177.72817696859053</v>
      </c>
      <c r="CE233" s="9">
        <f t="shared" ca="1" si="226"/>
        <v>-6.2307485790140866</v>
      </c>
      <c r="CF233">
        <f t="shared" ca="1" si="227"/>
        <v>177.83736141889173</v>
      </c>
      <c r="CG233" s="6">
        <f t="shared" ca="1" si="228"/>
        <v>-0.99938604323956415</v>
      </c>
      <c r="CH233" s="6">
        <f t="shared" ca="1" si="229"/>
        <v>-3.503621808882839E-2</v>
      </c>
      <c r="CI233" s="6">
        <f t="shared" ca="1" si="230"/>
        <v>-3.1065492634986289</v>
      </c>
      <c r="CJ233" s="1">
        <f t="shared" ca="1" si="231"/>
        <v>-2.391237880283509</v>
      </c>
      <c r="CK233" s="38"/>
    </row>
    <row r="234" spans="55:89" x14ac:dyDescent="0.25">
      <c r="BC234">
        <v>4.0491638646268235</v>
      </c>
      <c r="BD234">
        <v>-146.80439930337764</v>
      </c>
      <c r="BE234">
        <v>-3.7483243752860886</v>
      </c>
      <c r="BF234" s="6">
        <f t="shared" si="214"/>
        <v>3.1671198869159918</v>
      </c>
      <c r="BG234" s="6">
        <f t="shared" si="215"/>
        <v>0.88204397771083176</v>
      </c>
      <c r="BH234" s="6">
        <f t="shared" si="216"/>
        <v>-2.3817217235185435</v>
      </c>
      <c r="BI234" s="6">
        <f t="shared" si="217"/>
        <v>2.3817217235185435</v>
      </c>
      <c r="BV234" s="38"/>
      <c r="BW234" s="6">
        <f t="shared" si="218"/>
        <v>3.8222710618675633</v>
      </c>
      <c r="BX234" s="9">
        <f t="shared" ca="1" si="219"/>
        <v>102.44888350148436</v>
      </c>
      <c r="BY234" s="9">
        <f t="shared" ca="1" si="220"/>
        <v>18.223475854903814</v>
      </c>
      <c r="BZ234">
        <f t="shared" ca="1" si="221"/>
        <v>104.05704590720887</v>
      </c>
      <c r="CA234" s="6">
        <f t="shared" ca="1" si="222"/>
        <v>0.98454537708903855</v>
      </c>
      <c r="CB234" s="6">
        <f t="shared" ca="1" si="223"/>
        <v>0.17512966753980594</v>
      </c>
      <c r="CC234" s="6">
        <f t="shared" ca="1" si="224"/>
        <v>0.17603746958079983</v>
      </c>
      <c r="CD234" s="6">
        <f t="shared" ca="1" si="225"/>
        <v>-176.54268868593721</v>
      </c>
      <c r="CE234" s="9">
        <f t="shared" ca="1" si="226"/>
        <v>-6.8588741267528697</v>
      </c>
      <c r="CF234">
        <f t="shared" ca="1" si="227"/>
        <v>176.67587578032939</v>
      </c>
      <c r="CG234" s="6">
        <f t="shared" ca="1" si="228"/>
        <v>-0.99924615008243811</v>
      </c>
      <c r="CH234" s="6">
        <f t="shared" ca="1" si="229"/>
        <v>-3.882179214597966E-2</v>
      </c>
      <c r="CI234" s="6">
        <f t="shared" ca="1" si="230"/>
        <v>-3.1027611032329898</v>
      </c>
      <c r="CJ234" s="1">
        <f t="shared" ca="1" si="231"/>
        <v>-2.3950260405491481</v>
      </c>
      <c r="CK234" s="38"/>
    </row>
    <row r="235" spans="55:89" x14ac:dyDescent="0.25">
      <c r="BC235">
        <v>4.0666171571467666</v>
      </c>
      <c r="BD235">
        <v>-145.00825770409025</v>
      </c>
      <c r="BE235">
        <v>-4.1626241152107282</v>
      </c>
      <c r="BF235" s="6">
        <f t="shared" si="214"/>
        <v>3.1702908901925815</v>
      </c>
      <c r="BG235" s="6">
        <f t="shared" si="215"/>
        <v>0.89632626695418516</v>
      </c>
      <c r="BH235" s="6">
        <f t="shared" si="216"/>
        <v>-2.3848927267951332</v>
      </c>
      <c r="BI235" s="6">
        <f t="shared" si="217"/>
        <v>2.3848927267951332</v>
      </c>
      <c r="BV235" s="38"/>
      <c r="BW235" s="6">
        <f t="shared" si="218"/>
        <v>3.8397243543875064</v>
      </c>
      <c r="BX235" s="9">
        <f t="shared" ca="1" si="219"/>
        <v>101.03219112276365</v>
      </c>
      <c r="BY235" s="9">
        <f t="shared" ca="1" si="220"/>
        <v>18.866153160080408</v>
      </c>
      <c r="BZ235">
        <f t="shared" ca="1" si="221"/>
        <v>102.77857450911768</v>
      </c>
      <c r="CA235" s="6">
        <f t="shared" ca="1" si="222"/>
        <v>0.98300829336566542</v>
      </c>
      <c r="CB235" s="6">
        <f t="shared" ca="1" si="223"/>
        <v>0.1835611483248073</v>
      </c>
      <c r="CC235" s="6">
        <f t="shared" ca="1" si="224"/>
        <v>0.18460793889179186</v>
      </c>
      <c r="CD235" s="6">
        <f t="shared" ca="1" si="225"/>
        <v>-175.1259963072165</v>
      </c>
      <c r="CE235" s="9">
        <f t="shared" ca="1" si="226"/>
        <v>-7.5015514319294638</v>
      </c>
      <c r="CF235">
        <f t="shared" ca="1" si="227"/>
        <v>175.2865877826398</v>
      </c>
      <c r="CG235" s="6">
        <f t="shared" ca="1" si="228"/>
        <v>-0.99908383477906226</v>
      </c>
      <c r="CH235" s="6">
        <f t="shared" ca="1" si="229"/>
        <v>-4.2795923674614482E-2</v>
      </c>
      <c r="CI235" s="6">
        <f t="shared" ca="1" si="230"/>
        <v>-3.0987836557448571</v>
      </c>
      <c r="CJ235" s="1">
        <f t="shared" ca="1" si="231"/>
        <v>-2.3990034880372808</v>
      </c>
      <c r="CK235" s="38"/>
    </row>
    <row r="236" spans="55:89" x14ac:dyDescent="0.25">
      <c r="BC236">
        <v>4.0840704496667097</v>
      </c>
      <c r="BD236">
        <v>-143.19984728031113</v>
      </c>
      <c r="BE236">
        <v>-4.5623212806907434</v>
      </c>
      <c r="BF236" s="6">
        <f t="shared" si="214"/>
        <v>3.1734416998580133</v>
      </c>
      <c r="BG236" s="6">
        <f t="shared" si="215"/>
        <v>0.91062874980869646</v>
      </c>
      <c r="BH236" s="6">
        <f t="shared" si="216"/>
        <v>-2.388043536460565</v>
      </c>
      <c r="BI236" s="6">
        <f t="shared" si="217"/>
        <v>2.388043536460565</v>
      </c>
      <c r="BV236" s="38"/>
      <c r="BW236" s="6">
        <f t="shared" si="218"/>
        <v>3.8571776469074495</v>
      </c>
      <c r="BX236" s="9">
        <f t="shared" ca="1" si="219"/>
        <v>99.614641107450538</v>
      </c>
      <c r="BY236" s="9">
        <f t="shared" ca="1" si="220"/>
        <v>19.486417676281238</v>
      </c>
      <c r="BZ236">
        <f t="shared" ca="1" si="221"/>
        <v>101.50269551504857</v>
      </c>
      <c r="CA236" s="6">
        <f t="shared" ca="1" si="222"/>
        <v>0.98139897272660981</v>
      </c>
      <c r="CB236" s="6">
        <f t="shared" ca="1" si="223"/>
        <v>0.19197931224784295</v>
      </c>
      <c r="CC236" s="6">
        <f t="shared" ca="1" si="224"/>
        <v>0.1931785775144424</v>
      </c>
      <c r="CD236" s="6">
        <f t="shared" ca="1" si="225"/>
        <v>-173.70844629190339</v>
      </c>
      <c r="CE236" s="9">
        <f t="shared" ca="1" si="226"/>
        <v>-8.1218159481302941</v>
      </c>
      <c r="CF236">
        <f t="shared" ca="1" si="227"/>
        <v>173.89821220312297</v>
      </c>
      <c r="CG236" s="6">
        <f t="shared" ca="1" si="228"/>
        <v>-0.99890875294912218</v>
      </c>
      <c r="CH236" s="6">
        <f t="shared" ca="1" si="229"/>
        <v>-4.6704424647238771E-2</v>
      </c>
      <c r="CI236" s="6">
        <f t="shared" ca="1" si="230"/>
        <v>-3.094871232834989</v>
      </c>
      <c r="CJ236" s="1">
        <f t="shared" ca="1" si="231"/>
        <v>-2.402915910947149</v>
      </c>
      <c r="CK236" s="38"/>
    </row>
    <row r="237" spans="55:89" x14ac:dyDescent="0.25">
      <c r="BC237">
        <v>4.1015237421866528</v>
      </c>
      <c r="BD237">
        <v>-141.37803131144034</v>
      </c>
      <c r="BE237">
        <v>-4.9478712465830377</v>
      </c>
      <c r="BF237" s="6">
        <f t="shared" si="214"/>
        <v>3.1765758302335825</v>
      </c>
      <c r="BG237" s="6">
        <f t="shared" si="215"/>
        <v>0.92494791195307036</v>
      </c>
      <c r="BH237" s="6">
        <f t="shared" si="216"/>
        <v>-2.3911776668361342</v>
      </c>
      <c r="BI237" s="6">
        <f t="shared" si="217"/>
        <v>2.3911776668361342</v>
      </c>
      <c r="BV237" s="38"/>
      <c r="BW237" s="6">
        <f t="shared" si="218"/>
        <v>3.8746309394273926</v>
      </c>
      <c r="BX237" s="9">
        <f t="shared" ca="1" si="219"/>
        <v>98.195380059532866</v>
      </c>
      <c r="BY237" s="9">
        <f t="shared" ca="1" si="220"/>
        <v>20.085579162680105</v>
      </c>
      <c r="BZ237">
        <f t="shared" ca="1" si="221"/>
        <v>100.22855459067738</v>
      </c>
      <c r="CA237" s="6">
        <f t="shared" ca="1" si="222"/>
        <v>0.97971461786067082</v>
      </c>
      <c r="CB237" s="6">
        <f t="shared" ca="1" si="223"/>
        <v>0.20039777331627148</v>
      </c>
      <c r="CC237" s="6">
        <f t="shared" ca="1" si="224"/>
        <v>0.20176391331526811</v>
      </c>
      <c r="CD237" s="6">
        <f t="shared" ca="1" si="225"/>
        <v>-172.28918524398571</v>
      </c>
      <c r="CE237" s="9">
        <f t="shared" ca="1" si="226"/>
        <v>-8.7209774345291606</v>
      </c>
      <c r="CF237">
        <f t="shared" ca="1" si="227"/>
        <v>172.50976435973124</v>
      </c>
      <c r="CG237" s="6">
        <f t="shared" ca="1" si="228"/>
        <v>-0.9987213528662322</v>
      </c>
      <c r="CH237" s="6">
        <f t="shared" ca="1" si="229"/>
        <v>-5.0553529343089688E-2</v>
      </c>
      <c r="CI237" s="6">
        <f t="shared" ca="1" si="230"/>
        <v>-3.0910175665119408</v>
      </c>
      <c r="CJ237" s="1">
        <f t="shared" ca="1" si="231"/>
        <v>-2.4067695772701971</v>
      </c>
      <c r="CK237" s="38"/>
    </row>
    <row r="238" spans="55:89" x14ac:dyDescent="0.25">
      <c r="BC238">
        <v>4.1189770347065959</v>
      </c>
      <c r="BD238">
        <v>-139.54163762243024</v>
      </c>
      <c r="BE238">
        <v>-5.3196868089985045</v>
      </c>
      <c r="BF238" s="6">
        <f t="shared" si="214"/>
        <v>3.1796967783236778</v>
      </c>
      <c r="BG238" s="6">
        <f t="shared" si="215"/>
        <v>0.93928025638291812</v>
      </c>
      <c r="BH238" s="6">
        <f t="shared" si="216"/>
        <v>-2.3942986149262291</v>
      </c>
      <c r="BI238" s="6">
        <f t="shared" si="217"/>
        <v>2.3942986149262291</v>
      </c>
      <c r="BV238" s="38"/>
      <c r="BW238" s="6">
        <f t="shared" si="218"/>
        <v>3.8920842319473357</v>
      </c>
      <c r="BX238" s="9">
        <f t="shared" ca="1" si="219"/>
        <v>96.773553773051091</v>
      </c>
      <c r="BY238" s="9">
        <f t="shared" ca="1" si="220"/>
        <v>20.664836814497257</v>
      </c>
      <c r="BZ238">
        <f t="shared" ca="1" si="221"/>
        <v>98.95532421469504</v>
      </c>
      <c r="CA238" s="6">
        <f t="shared" ca="1" si="222"/>
        <v>0.9779519651018439</v>
      </c>
      <c r="CB238" s="6">
        <f t="shared" ca="1" si="223"/>
        <v>0.20882996421357278</v>
      </c>
      <c r="CC238" s="6">
        <f t="shared" ca="1" si="224"/>
        <v>0.21037839223121482</v>
      </c>
      <c r="CD238" s="6">
        <f t="shared" ca="1" si="225"/>
        <v>-170.86735895750394</v>
      </c>
      <c r="CE238" s="9">
        <f t="shared" ca="1" si="226"/>
        <v>-9.3002350863463121</v>
      </c>
      <c r="CF238">
        <f t="shared" ca="1" si="227"/>
        <v>171.12027562440929</v>
      </c>
      <c r="CG238" s="6">
        <f t="shared" ca="1" si="228"/>
        <v>-0.99852199474327363</v>
      </c>
      <c r="CH238" s="6">
        <f t="shared" ca="1" si="229"/>
        <v>-5.43491123562665E-2</v>
      </c>
      <c r="CI238" s="6">
        <f t="shared" ca="1" si="230"/>
        <v>-3.0872167493021578</v>
      </c>
      <c r="CJ238" s="1">
        <f t="shared" ca="1" si="231"/>
        <v>-2.4105703944799801</v>
      </c>
      <c r="CK238" s="38"/>
    </row>
    <row r="239" spans="55:89" x14ac:dyDescent="0.25">
      <c r="BC239">
        <v>4.136430327226539</v>
      </c>
      <c r="BD239">
        <v>-137.68945403882137</v>
      </c>
      <c r="BE239">
        <v>-5.6781407971327429</v>
      </c>
      <c r="BF239" s="6">
        <f t="shared" si="214"/>
        <v>3.1828080487943859</v>
      </c>
      <c r="BG239" s="6">
        <f t="shared" si="215"/>
        <v>0.95362227843215308</v>
      </c>
      <c r="BH239" s="6">
        <f t="shared" si="216"/>
        <v>-2.3974098853969377</v>
      </c>
      <c r="BI239" s="6">
        <f t="shared" si="217"/>
        <v>2.3974098853969377</v>
      </c>
      <c r="BV239" s="38"/>
      <c r="BW239" s="6">
        <f t="shared" si="218"/>
        <v>3.9095375244672788</v>
      </c>
      <c r="BX239" s="9">
        <f t="shared" ca="1" si="219"/>
        <v>95.348304555552019</v>
      </c>
      <c r="BY239" s="9">
        <f t="shared" ca="1" si="220"/>
        <v>21.225290265005523</v>
      </c>
      <c r="BZ239">
        <f t="shared" ca="1" si="221"/>
        <v>97.682199649946668</v>
      </c>
      <c r="CA239" s="6">
        <f t="shared" ca="1" si="222"/>
        <v>0.97610726311694063</v>
      </c>
      <c r="CB239" s="6">
        <f t="shared" ca="1" si="223"/>
        <v>0.21728923325916433</v>
      </c>
      <c r="CC239" s="6">
        <f t="shared" ca="1" si="224"/>
        <v>0.21903648823903241</v>
      </c>
      <c r="CD239" s="6">
        <f t="shared" ca="1" si="225"/>
        <v>-169.44210974000487</v>
      </c>
      <c r="CE239" s="9">
        <f t="shared" ca="1" si="226"/>
        <v>-9.8606885368545782</v>
      </c>
      <c r="CF239">
        <f t="shared" ca="1" si="227"/>
        <v>169.7287887530124</v>
      </c>
      <c r="CG239" s="6">
        <f t="shared" ca="1" si="228"/>
        <v>-0.99831095823452376</v>
      </c>
      <c r="CH239" s="6">
        <f t="shared" ca="1" si="229"/>
        <v>-5.8096735440702117E-2</v>
      </c>
      <c r="CI239" s="6">
        <f t="shared" ca="1" si="230"/>
        <v>-3.0834631867632867</v>
      </c>
      <c r="CJ239" s="1">
        <f t="shared" ca="1" si="231"/>
        <v>-2.4143239570188513</v>
      </c>
      <c r="CK239" s="38"/>
    </row>
    <row r="240" spans="55:89" x14ac:dyDescent="0.25">
      <c r="BC240">
        <v>4.1538836197464821</v>
      </c>
      <c r="BD240">
        <v>-135.82022331769204</v>
      </c>
      <c r="BE240">
        <v>-6.0235684330232502</v>
      </c>
      <c r="BF240" s="6">
        <f t="shared" si="214"/>
        <v>3.1859131805281518</v>
      </c>
      <c r="BG240" s="6">
        <f t="shared" si="215"/>
        <v>0.96797043921833037</v>
      </c>
      <c r="BH240" s="6">
        <f t="shared" si="216"/>
        <v>-2.4005150171307035</v>
      </c>
      <c r="BI240" s="6">
        <f t="shared" si="217"/>
        <v>2.4005150171307035</v>
      </c>
      <c r="BV240" s="38"/>
      <c r="BW240" s="6">
        <f t="shared" si="218"/>
        <v>3.9269908169872219</v>
      </c>
      <c r="BX240" s="9">
        <f t="shared" ca="1" si="219"/>
        <v>93.918768555976598</v>
      </c>
      <c r="BY240" s="9">
        <f t="shared" ca="1" si="220"/>
        <v>21.767949231606444</v>
      </c>
      <c r="BZ240">
        <f t="shared" ca="1" si="221"/>
        <v>96.408395385572589</v>
      </c>
      <c r="CA240" s="6">
        <f t="shared" ca="1" si="222"/>
        <v>0.97417624451025187</v>
      </c>
      <c r="CB240" s="6">
        <f t="shared" ca="1" si="223"/>
        <v>0.22578893824078722</v>
      </c>
      <c r="CC240" s="6">
        <f t="shared" ca="1" si="224"/>
        <v>0.2277528119274129</v>
      </c>
      <c r="CD240" s="6">
        <f t="shared" ca="1" si="225"/>
        <v>-168.01257374042945</v>
      </c>
      <c r="CE240" s="9">
        <f t="shared" ca="1" si="226"/>
        <v>-10.4033475034555</v>
      </c>
      <c r="CF240">
        <f t="shared" ca="1" si="227"/>
        <v>168.33435351751851</v>
      </c>
      <c r="CG240" s="6">
        <f t="shared" ca="1" si="228"/>
        <v>-0.99808844855274548</v>
      </c>
      <c r="CH240" s="6">
        <f t="shared" ca="1" si="229"/>
        <v>-6.1801689827815365E-2</v>
      </c>
      <c r="CI240" s="6">
        <f t="shared" ca="1" si="230"/>
        <v>-3.0797515545907235</v>
      </c>
      <c r="CJ240" s="1">
        <f t="shared" ca="1" si="231"/>
        <v>-2.4180355891914145</v>
      </c>
      <c r="CK240" s="38"/>
    </row>
    <row r="241" spans="55:89" x14ac:dyDescent="0.25">
      <c r="BC241">
        <v>4.1713369122664252</v>
      </c>
      <c r="BD241">
        <v>-133.93263745184106</v>
      </c>
      <c r="BE241">
        <v>-6.3562694847151704</v>
      </c>
      <c r="BF241" s="6">
        <f t="shared" si="214"/>
        <v>3.1890157754538873</v>
      </c>
      <c r="BG241" s="6">
        <f t="shared" si="215"/>
        <v>0.98232113681253796</v>
      </c>
      <c r="BH241" s="6">
        <f t="shared" si="216"/>
        <v>-2.403617612056439</v>
      </c>
      <c r="BI241" s="6">
        <f t="shared" si="217"/>
        <v>2.403617612056439</v>
      </c>
      <c r="BV241" s="38"/>
      <c r="BW241" s="6">
        <f t="shared" si="218"/>
        <v>3.944444109507165</v>
      </c>
      <c r="BX241" s="9">
        <f t="shared" ca="1" si="219"/>
        <v>92.48407305306732</v>
      </c>
      <c r="BY241" s="9">
        <f t="shared" ca="1" si="220"/>
        <v>22.293741994412848</v>
      </c>
      <c r="BZ241">
        <f t="shared" ca="1" si="221"/>
        <v>95.133141967447614</v>
      </c>
      <c r="CA241" s="6">
        <f t="shared" ca="1" si="222"/>
        <v>0.9721540899459965</v>
      </c>
      <c r="CB241" s="6">
        <f t="shared" ca="1" si="223"/>
        <v>0.23434253860806212</v>
      </c>
      <c r="CC241" s="6">
        <f t="shared" ca="1" si="224"/>
        <v>0.23654221951085289</v>
      </c>
      <c r="CD241" s="6">
        <f t="shared" ca="1" si="225"/>
        <v>-166.57787823752017</v>
      </c>
      <c r="CE241" s="9">
        <f t="shared" ca="1" si="226"/>
        <v>-10.929140266261903</v>
      </c>
      <c r="CF241">
        <f t="shared" ca="1" si="227"/>
        <v>166.93602255077758</v>
      </c>
      <c r="CG241" s="6">
        <f t="shared" ca="1" si="228"/>
        <v>-0.99785460137491611</v>
      </c>
      <c r="CH241" s="6">
        <f t="shared" ca="1" si="229"/>
        <v>-6.5469034779102542E-2</v>
      </c>
      <c r="CI241" s="6">
        <f t="shared" ca="1" si="230"/>
        <v>-3.0760767595364285</v>
      </c>
      <c r="CJ241" s="1">
        <f t="shared" ca="1" si="231"/>
        <v>-2.4217103842457095</v>
      </c>
      <c r="CK241" s="38"/>
    </row>
    <row r="242" spans="55:89" x14ac:dyDescent="0.25">
      <c r="BC242">
        <v>4.1887902047863683</v>
      </c>
      <c r="BD242">
        <v>-132.02533119834041</v>
      </c>
      <c r="BE242">
        <v>-6.6765102496828517</v>
      </c>
      <c r="BF242" s="6">
        <f t="shared" si="214"/>
        <v>3.1921195304318197</v>
      </c>
      <c r="BG242" s="6">
        <f t="shared" si="215"/>
        <v>0.99667067435454859</v>
      </c>
      <c r="BH242" s="6">
        <f t="shared" si="216"/>
        <v>-2.4067213670343715</v>
      </c>
      <c r="BI242" s="6">
        <f t="shared" si="217"/>
        <v>2.4067213670343715</v>
      </c>
      <c r="BV242" s="38"/>
      <c r="BW242" s="6">
        <f t="shared" si="218"/>
        <v>3.9618974020271081</v>
      </c>
      <c r="BX242" s="9">
        <f t="shared" ca="1" si="219"/>
        <v>91.043333692500269</v>
      </c>
      <c r="BY242" s="9">
        <f t="shared" ca="1" si="220"/>
        <v>22.803522873595501</v>
      </c>
      <c r="BZ242">
        <f t="shared" ca="1" si="221"/>
        <v>93.855683180564768</v>
      </c>
      <c r="CA242" s="6">
        <f t="shared" ca="1" si="222"/>
        <v>0.97003538419027924</v>
      </c>
      <c r="CB242" s="6">
        <f t="shared" ca="1" si="223"/>
        <v>0.24296368744900423</v>
      </c>
      <c r="CC242" s="6">
        <f t="shared" ca="1" si="224"/>
        <v>0.24541992411554112</v>
      </c>
      <c r="CD242" s="6">
        <f t="shared" ca="1" si="225"/>
        <v>-165.13713887695312</v>
      </c>
      <c r="CE242" s="9">
        <f t="shared" ca="1" si="226"/>
        <v>-11.438921145444557</v>
      </c>
      <c r="CF242">
        <f t="shared" ca="1" si="227"/>
        <v>165.53284735495188</v>
      </c>
      <c r="CG242" s="6">
        <f t="shared" ca="1" si="228"/>
        <v>-0.99760948667094307</v>
      </c>
      <c r="CH242" s="6">
        <f t="shared" ca="1" si="229"/>
        <v>-6.9103633074806547E-2</v>
      </c>
      <c r="CI242" s="6">
        <f t="shared" ca="1" si="230"/>
        <v>-3.0724339034228101</v>
      </c>
      <c r="CJ242" s="1">
        <f t="shared" ca="1" si="231"/>
        <v>-2.4253532403593279</v>
      </c>
      <c r="CK242" s="38"/>
    </row>
    <row r="243" spans="55:89" x14ac:dyDescent="0.25">
      <c r="BC243">
        <v>4.2062434973063114</v>
      </c>
      <c r="BD243">
        <v>-130.09687464893108</v>
      </c>
      <c r="BE243">
        <v>-6.9845254083147683</v>
      </c>
      <c r="BF243" s="6">
        <f t="shared" si="214"/>
        <v>3.1952282731643797</v>
      </c>
      <c r="BG243" s="6">
        <f t="shared" si="215"/>
        <v>1.0110152241419317</v>
      </c>
      <c r="BH243" s="6">
        <f t="shared" si="216"/>
        <v>-2.4098301097669315</v>
      </c>
      <c r="BI243" s="6">
        <f t="shared" si="217"/>
        <v>2.4098301097669315</v>
      </c>
      <c r="BV243" s="38"/>
      <c r="BW243" s="6">
        <f t="shared" si="218"/>
        <v>3.9793506945470511</v>
      </c>
      <c r="BX243" s="9">
        <f t="shared" ca="1" si="219"/>
        <v>89.595651621100743</v>
      </c>
      <c r="BY243" s="9">
        <f t="shared" ca="1" si="220"/>
        <v>23.298078836643526</v>
      </c>
      <c r="BZ243">
        <f t="shared" ca="1" si="221"/>
        <v>92.575273517760181</v>
      </c>
      <c r="CA243" s="6">
        <f t="shared" ca="1" si="222"/>
        <v>0.9678140632650919</v>
      </c>
      <c r="CB243" s="6">
        <f t="shared" ca="1" si="223"/>
        <v>0.25166632461716559</v>
      </c>
      <c r="CC243" s="6">
        <f t="shared" ca="1" si="224"/>
        <v>0.25440161118676569</v>
      </c>
      <c r="CD243" s="6">
        <f t="shared" ca="1" si="225"/>
        <v>-163.68945680555359</v>
      </c>
      <c r="CE243" s="9">
        <f t="shared" ca="1" si="226"/>
        <v>-11.933477108492582</v>
      </c>
      <c r="CF243">
        <f t="shared" ca="1" si="227"/>
        <v>164.12387439125396</v>
      </c>
      <c r="CG243" s="6">
        <f t="shared" ca="1" si="228"/>
        <v>-0.99735311156093742</v>
      </c>
      <c r="CH243" s="6">
        <f t="shared" ca="1" si="229"/>
        <v>-7.2710184016521781E-2</v>
      </c>
      <c r="CI243" s="6">
        <f t="shared" ca="1" si="230"/>
        <v>-3.0688182496597887</v>
      </c>
      <c r="CJ243" s="1">
        <f t="shared" ca="1" si="231"/>
        <v>-2.4289688941223493</v>
      </c>
      <c r="CK243" s="38"/>
    </row>
    <row r="244" spans="55:89" x14ac:dyDescent="0.25">
      <c r="BC244">
        <v>4.2236967898262545</v>
      </c>
      <c r="BD244">
        <v>-128.14576461047426</v>
      </c>
      <c r="BE244">
        <v>-7.2805197909429342</v>
      </c>
      <c r="BF244" s="6">
        <f t="shared" si="214"/>
        <v>3.1983460033526647</v>
      </c>
      <c r="BG244" s="6">
        <f t="shared" si="215"/>
        <v>1.0253507864735898</v>
      </c>
      <c r="BH244" s="6">
        <f t="shared" si="216"/>
        <v>-2.4129478399552164</v>
      </c>
      <c r="BI244" s="6">
        <f t="shared" si="217"/>
        <v>2.4129478399552164</v>
      </c>
      <c r="BV244" s="38"/>
      <c r="BW244" s="6">
        <f t="shared" si="218"/>
        <v>3.9968039870669942</v>
      </c>
      <c r="BX244" s="9">
        <f t="shared" ca="1" si="219"/>
        <v>88.036325725236694</v>
      </c>
      <c r="BY244" s="9">
        <f t="shared" ca="1" si="220"/>
        <v>23.777155767429605</v>
      </c>
      <c r="BZ244">
        <f t="shared" ca="1" si="221"/>
        <v>91.190722025810175</v>
      </c>
      <c r="CA244" s="6">
        <f t="shared" ca="1" si="222"/>
        <v>0.96540880222792103</v>
      </c>
      <c r="CB244" s="6">
        <f t="shared" ca="1" si="223"/>
        <v>0.26074095301822303</v>
      </c>
      <c r="CC244" s="6">
        <f t="shared" ca="1" si="224"/>
        <v>0.26378962527838001</v>
      </c>
      <c r="CD244" s="6">
        <f t="shared" ca="1" si="225"/>
        <v>-162.13013090968954</v>
      </c>
      <c r="CE244" s="9">
        <f t="shared" ca="1" si="226"/>
        <v>-12.41255403927866</v>
      </c>
      <c r="CF244">
        <f t="shared" ca="1" si="227"/>
        <v>162.60458433442483</v>
      </c>
      <c r="CG244" s="6">
        <f t="shared" ca="1" si="228"/>
        <v>-0.99708216452397502</v>
      </c>
      <c r="CH244" s="6">
        <f t="shared" ca="1" si="229"/>
        <v>-7.6335818513886836E-2</v>
      </c>
      <c r="CI244" s="6">
        <f t="shared" ca="1" si="230"/>
        <v>-3.0651825031936033</v>
      </c>
      <c r="CJ244" s="1">
        <f t="shared" ca="1" si="231"/>
        <v>-2.4326046405885347</v>
      </c>
      <c r="CK244" s="38"/>
    </row>
    <row r="245" spans="55:89" x14ac:dyDescent="0.25">
      <c r="BC245">
        <v>4.2411500823461976</v>
      </c>
      <c r="BD245">
        <v>-126.17041449472566</v>
      </c>
      <c r="BE245">
        <v>-7.5646701064240194</v>
      </c>
      <c r="BF245" s="6">
        <f t="shared" si="214"/>
        <v>3.2014769406423254</v>
      </c>
      <c r="BG245" s="6">
        <f t="shared" si="215"/>
        <v>1.0396731417038723</v>
      </c>
      <c r="BH245" s="6">
        <f t="shared" si="216"/>
        <v>-2.4160787772448771</v>
      </c>
      <c r="BI245" s="6">
        <f t="shared" si="217"/>
        <v>2.4160787772448771</v>
      </c>
      <c r="BV245" s="38"/>
      <c r="BW245" s="6">
        <f t="shared" si="218"/>
        <v>4.0142572795869373</v>
      </c>
      <c r="BX245" s="9">
        <f t="shared" ca="1" si="219"/>
        <v>86.270464892410402</v>
      </c>
      <c r="BY245" s="9">
        <f t="shared" ca="1" si="220"/>
        <v>24.238466788940588</v>
      </c>
      <c r="BZ245">
        <f t="shared" ca="1" si="221"/>
        <v>89.610805068536195</v>
      </c>
      <c r="CA245" s="6">
        <f t="shared" ca="1" si="222"/>
        <v>0.96272391288560533</v>
      </c>
      <c r="CB245" s="6">
        <f t="shared" ca="1" si="223"/>
        <v>0.27048598403286866</v>
      </c>
      <c r="CC245" s="6">
        <f t="shared" ca="1" si="224"/>
        <v>0.27389779673684334</v>
      </c>
      <c r="CD245" s="6">
        <f t="shared" ca="1" si="225"/>
        <v>-160.36427007686325</v>
      </c>
      <c r="CE245" s="9">
        <f t="shared" ca="1" si="226"/>
        <v>-12.873865060789644</v>
      </c>
      <c r="CF245">
        <f t="shared" ca="1" si="227"/>
        <v>160.88018995167974</v>
      </c>
      <c r="CG245" s="6">
        <f t="shared" ca="1" si="228"/>
        <v>-0.99679314230688409</v>
      </c>
      <c r="CH245" s="6">
        <f t="shared" ca="1" si="229"/>
        <v>-8.0021443688351568E-2</v>
      </c>
      <c r="CI245" s="6">
        <f t="shared" ca="1" si="230"/>
        <v>-3.0614855608982654</v>
      </c>
      <c r="CJ245" s="1">
        <f t="shared" ca="1" si="231"/>
        <v>-2.4363015828838726</v>
      </c>
      <c r="CK245" s="38"/>
    </row>
    <row r="246" spans="55:89" x14ac:dyDescent="0.25">
      <c r="BC246">
        <v>4.2586033748661407</v>
      </c>
      <c r="BD246">
        <v>-124.16914231653547</v>
      </c>
      <c r="BE246">
        <v>-7.8371266820622552</v>
      </c>
      <c r="BF246" s="6">
        <f t="shared" si="214"/>
        <v>3.2046255813032065</v>
      </c>
      <c r="BG246" s="6">
        <f t="shared" si="215"/>
        <v>1.0539777935629342</v>
      </c>
      <c r="BH246" s="6">
        <f t="shared" si="216"/>
        <v>-2.4192274179057582</v>
      </c>
      <c r="BI246" s="6">
        <f t="shared" si="217"/>
        <v>2.4192274179057582</v>
      </c>
      <c r="BV246" s="38"/>
      <c r="BW246" s="6">
        <f t="shared" si="218"/>
        <v>4.0317105721068804</v>
      </c>
      <c r="BX246" s="9">
        <f t="shared" ca="1" si="219"/>
        <v>84.495572291431088</v>
      </c>
      <c r="BY246" s="9">
        <f t="shared" ca="1" si="220"/>
        <v>24.683522938499902</v>
      </c>
      <c r="BZ246">
        <f t="shared" ca="1" si="221"/>
        <v>88.027143776859575</v>
      </c>
      <c r="CA246" s="6">
        <f t="shared" ca="1" si="222"/>
        <v>0.9598808806703909</v>
      </c>
      <c r="CB246" s="6">
        <f t="shared" ca="1" si="223"/>
        <v>0.28040808640878184</v>
      </c>
      <c r="CC246" s="6">
        <f t="shared" ca="1" si="224"/>
        <v>0.28421922558585377</v>
      </c>
      <c r="CD246" s="6">
        <f t="shared" ca="1" si="225"/>
        <v>-158.58937747588394</v>
      </c>
      <c r="CE246" s="9">
        <f t="shared" ca="1" si="226"/>
        <v>-13.318921210348957</v>
      </c>
      <c r="CF246">
        <f t="shared" ca="1" si="227"/>
        <v>159.14768082003548</v>
      </c>
      <c r="CG246" s="6">
        <f t="shared" ca="1" si="228"/>
        <v>-0.99649191655652924</v>
      </c>
      <c r="CH246" s="6">
        <f t="shared" ca="1" si="229"/>
        <v>-8.368906880528168E-2</v>
      </c>
      <c r="CI246" s="6">
        <f t="shared" ca="1" si="230"/>
        <v>-3.0578055845078973</v>
      </c>
      <c r="CJ246" s="1">
        <f t="shared" ca="1" si="231"/>
        <v>-2.4399815592742407</v>
      </c>
      <c r="CK246" s="38"/>
    </row>
    <row r="247" spans="55:89" x14ac:dyDescent="0.25">
      <c r="BC247">
        <v>4.2760566673860838</v>
      </c>
      <c r="BD247">
        <v>-122.14015629431509</v>
      </c>
      <c r="BE247">
        <v>-8.0980152893814328</v>
      </c>
      <c r="BF247" s="6">
        <f t="shared" si="214"/>
        <v>3.2077967662879909</v>
      </c>
      <c r="BG247" s="6">
        <f t="shared" si="215"/>
        <v>1.0682599010980929</v>
      </c>
      <c r="BH247" s="6">
        <f t="shared" si="216"/>
        <v>-2.4223986028905427</v>
      </c>
      <c r="BI247" s="6">
        <f t="shared" si="217"/>
        <v>2.4223986028905427</v>
      </c>
      <c r="BV247" s="38"/>
      <c r="BW247" s="6">
        <f t="shared" si="218"/>
        <v>4.0491638646268235</v>
      </c>
      <c r="BX247" s="9">
        <f t="shared" ca="1" si="219"/>
        <v>82.710594118924789</v>
      </c>
      <c r="BY247" s="9">
        <f t="shared" ca="1" si="220"/>
        <v>25.112926103437033</v>
      </c>
      <c r="BZ247">
        <f t="shared" ca="1" si="221"/>
        <v>86.439004141545993</v>
      </c>
      <c r="CA247" s="6">
        <f t="shared" ca="1" si="222"/>
        <v>0.95686657823456822</v>
      </c>
      <c r="CB247" s="6">
        <f t="shared" ca="1" si="223"/>
        <v>0.29052771203048566</v>
      </c>
      <c r="CC247" s="6">
        <f t="shared" ca="1" si="224"/>
        <v>0.2947782917283337</v>
      </c>
      <c r="CD247" s="6">
        <f t="shared" ca="1" si="225"/>
        <v>-156.80439930337764</v>
      </c>
      <c r="CE247" s="9">
        <f t="shared" ca="1" si="226"/>
        <v>-13.748324375286089</v>
      </c>
      <c r="CF247">
        <f t="shared" ca="1" si="227"/>
        <v>157.40595942981696</v>
      </c>
      <c r="CG247" s="6">
        <f t="shared" ca="1" si="228"/>
        <v>-0.99617828874701819</v>
      </c>
      <c r="CH247" s="6">
        <f t="shared" ca="1" si="229"/>
        <v>-8.7343099493104592E-2</v>
      </c>
      <c r="CI247" s="6">
        <f t="shared" ca="1" si="230"/>
        <v>-3.0541381170238746</v>
      </c>
      <c r="CJ247" s="1">
        <f t="shared" ca="1" si="231"/>
        <v>-2.4436490267582633</v>
      </c>
      <c r="CK247" s="38"/>
    </row>
    <row r="248" spans="55:89" x14ac:dyDescent="0.25">
      <c r="BC248">
        <v>4.2935099599060269</v>
      </c>
      <c r="BD248">
        <v>-120.08153733879421</v>
      </c>
      <c r="BE248">
        <v>-8.3474391221407682</v>
      </c>
      <c r="BF248" s="6">
        <f t="shared" si="214"/>
        <v>3.210995763974382</v>
      </c>
      <c r="BG248" s="6">
        <f t="shared" si="215"/>
        <v>1.0825141959316449</v>
      </c>
      <c r="BH248" s="6">
        <f t="shared" si="216"/>
        <v>-2.4255976005769337</v>
      </c>
      <c r="BI248" s="6">
        <f t="shared" si="217"/>
        <v>2.4255976005769337</v>
      </c>
      <c r="BV248" s="38"/>
      <c r="BW248" s="6">
        <f t="shared" si="218"/>
        <v>4.0666171571467666</v>
      </c>
      <c r="BX248" s="9">
        <f t="shared" ca="1" si="219"/>
        <v>80.914452519637408</v>
      </c>
      <c r="BY248" s="9">
        <f t="shared" ca="1" si="220"/>
        <v>25.527225843361673</v>
      </c>
      <c r="BZ248">
        <f t="shared" ca="1" si="221"/>
        <v>84.845670990396727</v>
      </c>
      <c r="CA248" s="6">
        <f t="shared" ca="1" si="222"/>
        <v>0.9536662457274423</v>
      </c>
      <c r="CB248" s="6">
        <f t="shared" ca="1" si="223"/>
        <v>0.30086656803328221</v>
      </c>
      <c r="CC248" s="6">
        <f t="shared" ca="1" si="224"/>
        <v>0.30560119406488284</v>
      </c>
      <c r="CD248" s="6">
        <f t="shared" ca="1" si="225"/>
        <v>-155.00825770409025</v>
      </c>
      <c r="CE248" s="9">
        <f t="shared" ca="1" si="226"/>
        <v>-14.162624115210729</v>
      </c>
      <c r="CF248">
        <f t="shared" ca="1" si="227"/>
        <v>155.6539105782004</v>
      </c>
      <c r="CG248" s="6">
        <f t="shared" ca="1" si="228"/>
        <v>-0.99585199708949323</v>
      </c>
      <c r="CH248" s="6">
        <f t="shared" ca="1" si="229"/>
        <v>-9.0987910696245816E-2</v>
      </c>
      <c r="CI248" s="6">
        <f t="shared" ca="1" si="230"/>
        <v>-3.050478727744796</v>
      </c>
      <c r="CJ248" s="1">
        <f t="shared" ca="1" si="231"/>
        <v>-2.4473084160373419</v>
      </c>
      <c r="CK248" s="38"/>
    </row>
    <row r="249" spans="55:89" x14ac:dyDescent="0.25">
      <c r="BC249">
        <v>4.31096325242597</v>
      </c>
      <c r="BD249">
        <v>-117.99121751265709</v>
      </c>
      <c r="BE249">
        <v>-8.5854810419047016</v>
      </c>
      <c r="BF249" s="6">
        <f t="shared" si="214"/>
        <v>3.214228372245405</v>
      </c>
      <c r="BG249" s="6">
        <f t="shared" si="215"/>
        <v>1.096734880180565</v>
      </c>
      <c r="BH249" s="6">
        <f t="shared" si="216"/>
        <v>-2.4288302088479568</v>
      </c>
      <c r="BI249" s="6">
        <f t="shared" si="217"/>
        <v>2.4288302088479568</v>
      </c>
      <c r="BV249" s="38"/>
      <c r="BW249" s="6">
        <f t="shared" si="218"/>
        <v>4.0840704496667097</v>
      </c>
      <c r="BX249" s="9">
        <f t="shared" ca="1" si="219"/>
        <v>79.106042095858285</v>
      </c>
      <c r="BY249" s="9">
        <f t="shared" ca="1" si="220"/>
        <v>25.926923008841687</v>
      </c>
      <c r="BZ249">
        <f t="shared" ca="1" si="221"/>
        <v>83.246448769771007</v>
      </c>
      <c r="CA249" s="6">
        <f t="shared" ca="1" si="222"/>
        <v>0.9502632636574857</v>
      </c>
      <c r="CB249" s="6">
        <f t="shared" ca="1" si="223"/>
        <v>0.31144779617621887</v>
      </c>
      <c r="CC249" s="6">
        <f t="shared" ca="1" si="224"/>
        <v>0.31671622658402876</v>
      </c>
      <c r="CD249" s="6">
        <f t="shared" ca="1" si="225"/>
        <v>-153.19984728031113</v>
      </c>
      <c r="CE249" s="9">
        <f t="shared" ca="1" si="226"/>
        <v>-14.562321280690742</v>
      </c>
      <c r="CF249">
        <f t="shared" ca="1" si="227"/>
        <v>153.89039738655791</v>
      </c>
      <c r="CG249" s="6">
        <f t="shared" ca="1" si="228"/>
        <v>-0.99551271477639913</v>
      </c>
      <c r="CH249" s="6">
        <f t="shared" ca="1" si="229"/>
        <v>-9.4627874955131794E-2</v>
      </c>
      <c r="CI249" s="6">
        <f t="shared" ca="1" si="230"/>
        <v>-3.0468229833366047</v>
      </c>
      <c r="CJ249" s="1">
        <f t="shared" ca="1" si="231"/>
        <v>-2.4509641604455332</v>
      </c>
      <c r="CK249" s="38"/>
    </row>
    <row r="250" spans="55:89" x14ac:dyDescent="0.25">
      <c r="BC250">
        <v>4.3284165449459131</v>
      </c>
      <c r="BD250">
        <v>-115.86695316421643</v>
      </c>
      <c r="BE250">
        <v>-8.8122062107059076</v>
      </c>
      <c r="BF250" s="6">
        <f t="shared" si="214"/>
        <v>3.217501045996757</v>
      </c>
      <c r="BG250" s="6">
        <f t="shared" si="215"/>
        <v>1.1109154989491561</v>
      </c>
      <c r="BH250" s="6">
        <f t="shared" si="216"/>
        <v>-2.4321028825993087</v>
      </c>
      <c r="BI250" s="6">
        <f t="shared" si="217"/>
        <v>2.4321028825993087</v>
      </c>
      <c r="BV250" s="38"/>
      <c r="BW250" s="6">
        <f t="shared" si="218"/>
        <v>4.1015237421866528</v>
      </c>
      <c r="BX250" s="9">
        <f t="shared" ca="1" si="219"/>
        <v>77.284226126987491</v>
      </c>
      <c r="BY250" s="9">
        <f t="shared" ca="1" si="220"/>
        <v>26.312472974733982</v>
      </c>
      <c r="BZ250">
        <f t="shared" ca="1" si="221"/>
        <v>81.640662920467776</v>
      </c>
      <c r="CA250" s="6">
        <f t="shared" ca="1" si="222"/>
        <v>0.94663888511385297</v>
      </c>
      <c r="CB250" s="6">
        <f t="shared" ca="1" si="223"/>
        <v>0.32229616999027694</v>
      </c>
      <c r="CC250" s="6">
        <f t="shared" ca="1" si="224"/>
        <v>0.32815409179090615</v>
      </c>
      <c r="CD250" s="6">
        <f t="shared" ca="1" si="225"/>
        <v>-151.37803131144034</v>
      </c>
      <c r="CE250" s="9">
        <f t="shared" ca="1" si="226"/>
        <v>-14.947871246583038</v>
      </c>
      <c r="CF250">
        <f t="shared" ca="1" si="227"/>
        <v>152.11425711790409</v>
      </c>
      <c r="CG250" s="6">
        <f t="shared" ca="1" si="228"/>
        <v>-0.99516004731960728</v>
      </c>
      <c r="CH250" s="6">
        <f t="shared" ca="1" si="229"/>
        <v>-9.8267391431934678E-2</v>
      </c>
      <c r="CI250" s="6">
        <f t="shared" ca="1" si="230"/>
        <v>-3.0431664180879805</v>
      </c>
      <c r="CJ250" s="1">
        <f t="shared" ca="1" si="231"/>
        <v>-2.4546207256941575</v>
      </c>
      <c r="CK250" s="38"/>
    </row>
    <row r="251" spans="55:89" x14ac:dyDescent="0.25">
      <c r="BC251">
        <v>4.3458698374658562</v>
      </c>
      <c r="BD251">
        <v>-113.7062909670269</v>
      </c>
      <c r="BE251">
        <v>-9.0276652868738392</v>
      </c>
      <c r="BF251" s="6">
        <f t="shared" si="214"/>
        <v>3.2208210585798889</v>
      </c>
      <c r="BG251" s="6">
        <f t="shared" si="215"/>
        <v>1.1250487788859673</v>
      </c>
      <c r="BH251" s="6">
        <f t="shared" si="216"/>
        <v>-2.4354228951824406</v>
      </c>
      <c r="BI251" s="6">
        <f t="shared" si="217"/>
        <v>2.4354228951824406</v>
      </c>
      <c r="BV251" s="38"/>
      <c r="BW251" s="6">
        <f t="shared" si="218"/>
        <v>4.1189770347065959</v>
      </c>
      <c r="BX251" s="9">
        <f t="shared" ca="1" si="219"/>
        <v>75.447832437977397</v>
      </c>
      <c r="BY251" s="9">
        <f t="shared" ca="1" si="220"/>
        <v>26.684288537149449</v>
      </c>
      <c r="BZ251">
        <f t="shared" ca="1" si="221"/>
        <v>80.027661932127941</v>
      </c>
      <c r="CA251" s="6">
        <f t="shared" ca="1" si="222"/>
        <v>0.94277191931416504</v>
      </c>
      <c r="CB251" s="6">
        <f t="shared" ca="1" si="223"/>
        <v>0.33343831236479948</v>
      </c>
      <c r="CC251" s="6">
        <f t="shared" ca="1" si="224"/>
        <v>0.33994825872369433</v>
      </c>
      <c r="CD251" s="6">
        <f t="shared" ca="1" si="225"/>
        <v>-149.54163762243024</v>
      </c>
      <c r="CE251" s="9">
        <f t="shared" ca="1" si="226"/>
        <v>-15.319686808998505</v>
      </c>
      <c r="CF251">
        <f t="shared" ca="1" si="227"/>
        <v>150.32429672785449</v>
      </c>
      <c r="CG251" s="6">
        <f t="shared" ca="1" si="228"/>
        <v>-0.99479352890743167</v>
      </c>
      <c r="CH251" s="6">
        <f t="shared" ca="1" si="229"/>
        <v>-0.10191091621558092</v>
      </c>
      <c r="CI251" s="6">
        <f t="shared" ca="1" si="230"/>
        <v>-3.0395045027994549</v>
      </c>
      <c r="CJ251" s="1">
        <f t="shared" ca="1" si="231"/>
        <v>-2.458282640982683</v>
      </c>
      <c r="CK251" s="38"/>
    </row>
    <row r="252" spans="55:89" x14ac:dyDescent="0.25">
      <c r="BC252">
        <v>4.3633231299857993</v>
      </c>
      <c r="BD252">
        <v>-111.50652437631689</v>
      </c>
      <c r="BE252">
        <v>-9.2318984158486241</v>
      </c>
      <c r="BF252" s="6">
        <f t="shared" si="214"/>
        <v>3.2241967090199912</v>
      </c>
      <c r="BG252" s="6">
        <f t="shared" si="215"/>
        <v>1.1391264209658081</v>
      </c>
      <c r="BH252" s="6">
        <f t="shared" si="216"/>
        <v>-2.4387985456225429</v>
      </c>
      <c r="BI252" s="6">
        <f t="shared" si="217"/>
        <v>2.4387985456225429</v>
      </c>
      <c r="BV252" s="38"/>
      <c r="BW252" s="6">
        <f t="shared" si="218"/>
        <v>4.136430327226539</v>
      </c>
      <c r="BX252" s="9">
        <f t="shared" ca="1" si="219"/>
        <v>73.59564885436852</v>
      </c>
      <c r="BY252" s="9">
        <f t="shared" ca="1" si="220"/>
        <v>27.042742525283685</v>
      </c>
      <c r="BZ252">
        <f t="shared" ca="1" si="221"/>
        <v>78.406820198145397</v>
      </c>
      <c r="CA252" s="6">
        <f t="shared" ca="1" si="222"/>
        <v>0.93863835656619732</v>
      </c>
      <c r="CB252" s="6">
        <f t="shared" ca="1" si="223"/>
        <v>0.34490293646576609</v>
      </c>
      <c r="CC252" s="6">
        <f t="shared" ca="1" si="224"/>
        <v>0.35213537425955782</v>
      </c>
      <c r="CD252" s="6">
        <f t="shared" ca="1" si="225"/>
        <v>-147.68945403882137</v>
      </c>
      <c r="CE252" s="9">
        <f t="shared" ca="1" si="226"/>
        <v>-15.678140797132741</v>
      </c>
      <c r="CF252">
        <f t="shared" ca="1" si="227"/>
        <v>148.51928808454426</v>
      </c>
      <c r="CG252" s="6">
        <f t="shared" ca="1" si="228"/>
        <v>-0.99441261767124478</v>
      </c>
      <c r="CH252" s="6">
        <f t="shared" ca="1" si="229"/>
        <v>-0.10556299453986068</v>
      </c>
      <c r="CI252" s="6">
        <f t="shared" ca="1" si="230"/>
        <v>-3.0358326116511076</v>
      </c>
      <c r="CJ252" s="1">
        <f t="shared" ca="1" si="231"/>
        <v>-2.4619545321310303</v>
      </c>
      <c r="CK252" s="38"/>
    </row>
    <row r="253" spans="55:89" x14ac:dyDescent="0.25">
      <c r="BC253">
        <v>4.3807764225057424</v>
      </c>
      <c r="BD253">
        <v>-109.26463694496509</v>
      </c>
      <c r="BE253">
        <v>-9.4249403210205056</v>
      </c>
      <c r="BF253" s="6">
        <f t="shared" si="214"/>
        <v>3.2276375916990494</v>
      </c>
      <c r="BG253" s="6">
        <f t="shared" si="215"/>
        <v>1.153138830806693</v>
      </c>
      <c r="BH253" s="6">
        <f t="shared" si="216"/>
        <v>-2.4422394283016011</v>
      </c>
      <c r="BI253" s="6">
        <f t="shared" si="217"/>
        <v>2.4422394283016011</v>
      </c>
      <c r="BV253" s="38"/>
      <c r="BW253" s="6">
        <f t="shared" si="218"/>
        <v>4.1538836197464821</v>
      </c>
      <c r="BX253" s="9">
        <f t="shared" ca="1" si="219"/>
        <v>71.726418133239193</v>
      </c>
      <c r="BY253" s="9">
        <f t="shared" ca="1" si="220"/>
        <v>27.388170161174195</v>
      </c>
      <c r="BZ253">
        <f t="shared" ca="1" si="221"/>
        <v>76.777541787958384</v>
      </c>
      <c r="CA253" s="6">
        <f t="shared" ca="1" si="222"/>
        <v>0.93421092239877623</v>
      </c>
      <c r="CB253" s="6">
        <f t="shared" ca="1" si="223"/>
        <v>0.35672111301523451</v>
      </c>
      <c r="CC253" s="6">
        <f t="shared" ca="1" si="224"/>
        <v>0.36475573813134254</v>
      </c>
      <c r="CD253" s="6">
        <f t="shared" ca="1" si="225"/>
        <v>-145.82022331769204</v>
      </c>
      <c r="CE253" s="9">
        <f t="shared" ca="1" si="226"/>
        <v>-16.02356843302325</v>
      </c>
      <c r="CF253">
        <f t="shared" ca="1" si="227"/>
        <v>146.69796274573602</v>
      </c>
      <c r="CG253" s="6">
        <f t="shared" ca="1" si="228"/>
        <v>-0.99401668972346047</v>
      </c>
      <c r="CH253" s="6">
        <f t="shared" ca="1" si="229"/>
        <v>-0.10922829556124151</v>
      </c>
      <c r="CI253" s="6">
        <f t="shared" ca="1" si="230"/>
        <v>-3.0321459863771518</v>
      </c>
      <c r="CJ253" s="1">
        <f t="shared" ca="1" si="231"/>
        <v>-2.4656411574049861</v>
      </c>
      <c r="CK253" s="38"/>
    </row>
    <row r="254" spans="55:89" x14ac:dyDescent="0.25">
      <c r="BC254">
        <v>4.3982297150256855</v>
      </c>
      <c r="BD254">
        <v>-106.97722736901564</v>
      </c>
      <c r="BE254">
        <v>-9.6068269328443208</v>
      </c>
      <c r="BF254" s="6">
        <f t="shared" si="214"/>
        <v>3.2311549526931747</v>
      </c>
      <c r="BG254" s="6">
        <f t="shared" si="215"/>
        <v>1.1670747623325108</v>
      </c>
      <c r="BH254" s="6">
        <f t="shared" si="216"/>
        <v>-2.4457567892957264</v>
      </c>
      <c r="BI254" s="6">
        <f t="shared" si="217"/>
        <v>2.4457567892957264</v>
      </c>
      <c r="BV254" s="38"/>
      <c r="BW254" s="6">
        <f t="shared" si="218"/>
        <v>4.1713369122664252</v>
      </c>
      <c r="BX254" s="9">
        <f t="shared" ca="1" si="219"/>
        <v>69.838832267388213</v>
      </c>
      <c r="BY254" s="9">
        <f t="shared" ca="1" si="220"/>
        <v>27.720871212866115</v>
      </c>
      <c r="BZ254">
        <f t="shared" ca="1" si="221"/>
        <v>75.139265322950124</v>
      </c>
      <c r="CA254" s="6">
        <f t="shared" ca="1" si="222"/>
        <v>0.92945854563814889</v>
      </c>
      <c r="CB254" s="6">
        <f t="shared" ca="1" si="223"/>
        <v>0.3689265671379835</v>
      </c>
      <c r="CC254" s="6">
        <f t="shared" ca="1" si="224"/>
        <v>0.37785385433017493</v>
      </c>
      <c r="CD254" s="6">
        <f t="shared" ca="1" si="225"/>
        <v>-143.93263745184106</v>
      </c>
      <c r="CE254" s="9">
        <f t="shared" ca="1" si="226"/>
        <v>-16.35626948471517</v>
      </c>
      <c r="CF254">
        <f t="shared" ca="1" si="227"/>
        <v>144.85900619326279</v>
      </c>
      <c r="CG254" s="6">
        <f t="shared" ca="1" si="228"/>
        <v>-0.99360503177699688</v>
      </c>
      <c r="CH254" s="6">
        <f t="shared" ca="1" si="229"/>
        <v>-0.11291165053896304</v>
      </c>
      <c r="CI254" s="6">
        <f t="shared" ca="1" si="230"/>
        <v>-3.0284396968739884</v>
      </c>
      <c r="CJ254" s="1">
        <f t="shared" ca="1" si="231"/>
        <v>-2.4693474469081496</v>
      </c>
      <c r="CK254" s="38"/>
    </row>
    <row r="255" spans="55:89" x14ac:dyDescent="0.25">
      <c r="BC255">
        <v>4.4156830075456286</v>
      </c>
      <c r="BD255">
        <v>-104.64040868748738</v>
      </c>
      <c r="BE255">
        <v>-9.7776041556597892</v>
      </c>
      <c r="BF255" s="6">
        <f t="shared" si="214"/>
        <v>3.2347621681566929</v>
      </c>
      <c r="BG255" s="6">
        <f t="shared" si="215"/>
        <v>1.1809208393889357</v>
      </c>
      <c r="BH255" s="6">
        <f t="shared" si="216"/>
        <v>-2.4493640047592447</v>
      </c>
      <c r="BI255" s="6">
        <f t="shared" si="217"/>
        <v>2.4493640047592447</v>
      </c>
      <c r="BV255" s="38"/>
      <c r="BW255" s="6">
        <f t="shared" si="218"/>
        <v>4.1887902047863683</v>
      </c>
      <c r="BX255" s="9">
        <f t="shared" ca="1" si="219"/>
        <v>67.931526013887563</v>
      </c>
      <c r="BY255" s="9">
        <f t="shared" ca="1" si="220"/>
        <v>28.041111977833797</v>
      </c>
      <c r="BZ255">
        <f t="shared" ca="1" si="221"/>
        <v>73.491470168509338</v>
      </c>
      <c r="CA255" s="6">
        <f t="shared" ca="1" si="222"/>
        <v>0.92434572145756067</v>
      </c>
      <c r="CB255" s="6">
        <f t="shared" ca="1" si="223"/>
        <v>0.38155600797668149</v>
      </c>
      <c r="CC255" s="6">
        <f t="shared" ca="1" si="224"/>
        <v>0.3914790742930821</v>
      </c>
      <c r="CD255" s="6">
        <f t="shared" ca="1" si="225"/>
        <v>-142.02533119834041</v>
      </c>
      <c r="CE255" s="9">
        <f t="shared" ca="1" si="226"/>
        <v>-16.676510249682853</v>
      </c>
      <c r="CF255">
        <f t="shared" ca="1" si="227"/>
        <v>143.00105138112119</v>
      </c>
      <c r="CG255" s="6">
        <f t="shared" ca="1" si="228"/>
        <v>-0.99317683210467922</v>
      </c>
      <c r="CH255" s="6">
        <f t="shared" ca="1" si="229"/>
        <v>-0.11661809538195091</v>
      </c>
      <c r="CI255" s="6">
        <f t="shared" ca="1" si="230"/>
        <v>-3.0247085972393983</v>
      </c>
      <c r="CJ255" s="1">
        <f t="shared" ca="1" si="231"/>
        <v>-2.4730785465427396</v>
      </c>
      <c r="CK255" s="38"/>
    </row>
    <row r="256" spans="55:89" x14ac:dyDescent="0.25">
      <c r="BC256">
        <v>4.4331363000655717</v>
      </c>
      <c r="BD256">
        <v>-102.24967026660457</v>
      </c>
      <c r="BE256">
        <v>-9.9373396291219009</v>
      </c>
      <c r="BF256" s="6">
        <f t="shared" si="214"/>
        <v>3.2384753978133491</v>
      </c>
      <c r="BG256" s="6">
        <f t="shared" si="215"/>
        <v>1.1946609022522225</v>
      </c>
      <c r="BH256" s="6">
        <f t="shared" si="216"/>
        <v>-2.4530772344159004</v>
      </c>
      <c r="BI256" s="6">
        <f t="shared" si="217"/>
        <v>2.4530772344159004</v>
      </c>
      <c r="BV256" s="38"/>
      <c r="BW256" s="6">
        <f t="shared" si="218"/>
        <v>4.2062434973063114</v>
      </c>
      <c r="BX256" s="9">
        <f t="shared" ca="1" si="219"/>
        <v>66.00306946447823</v>
      </c>
      <c r="BY256" s="9">
        <f t="shared" ca="1" si="220"/>
        <v>28.349127136465711</v>
      </c>
      <c r="BZ256">
        <f t="shared" ca="1" si="221"/>
        <v>71.833684216614117</v>
      </c>
      <c r="CA256" s="6">
        <f t="shared" ca="1" si="222"/>
        <v>0.91883174563964032</v>
      </c>
      <c r="CB256" s="6">
        <f t="shared" ca="1" si="223"/>
        <v>0.39464949411447503</v>
      </c>
      <c r="CC256" s="6">
        <f t="shared" ca="1" si="224"/>
        <v>0.40568635072851039</v>
      </c>
      <c r="CD256" s="6">
        <f t="shared" ca="1" si="225"/>
        <v>-140.09687464893108</v>
      </c>
      <c r="CE256" s="9">
        <f t="shared" ca="1" si="226"/>
        <v>-16.984525408314767</v>
      </c>
      <c r="CF256">
        <f t="shared" ca="1" si="227"/>
        <v>141.12267142363766</v>
      </c>
      <c r="CG256" s="6">
        <f t="shared" ca="1" si="228"/>
        <v>-0.99273116952536122</v>
      </c>
      <c r="CH256" s="6">
        <f t="shared" ca="1" si="229"/>
        <v>-0.12035291875483804</v>
      </c>
      <c r="CI256" s="6">
        <f t="shared" ca="1" si="230"/>
        <v>-3.0209472760033611</v>
      </c>
      <c r="CJ256" s="1">
        <f t="shared" ca="1" si="231"/>
        <v>-2.4768398677787768</v>
      </c>
      <c r="CK256" s="38"/>
    </row>
    <row r="257" spans="55:89" x14ac:dyDescent="0.25">
      <c r="BC257">
        <v>4.4505895925855148</v>
      </c>
      <c r="BD257">
        <v>-99.799685141389403</v>
      </c>
      <c r="BE257">
        <v>-10.086138736944752</v>
      </c>
      <c r="BF257" s="6">
        <f t="shared" si="214"/>
        <v>3.242314495000798</v>
      </c>
      <c r="BG257" s="6">
        <f t="shared" si="215"/>
        <v>1.2082750975847167</v>
      </c>
      <c r="BH257" s="6">
        <f t="shared" si="216"/>
        <v>-2.4569163316033498</v>
      </c>
      <c r="BI257" s="6">
        <f t="shared" si="217"/>
        <v>2.4569163316033498</v>
      </c>
      <c r="BV257" s="38"/>
      <c r="BW257" s="6">
        <f t="shared" si="218"/>
        <v>4.2236967898262545</v>
      </c>
      <c r="BX257" s="9">
        <f t="shared" ca="1" si="219"/>
        <v>64.051959426021412</v>
      </c>
      <c r="BY257" s="9">
        <f t="shared" ca="1" si="220"/>
        <v>28.645121519093877</v>
      </c>
      <c r="BZ257">
        <f t="shared" ca="1" si="221"/>
        <v>70.165493607302068</v>
      </c>
      <c r="CA257" s="6">
        <f t="shared" ca="1" si="222"/>
        <v>0.91286979016357372</v>
      </c>
      <c r="CB257" s="6">
        <f t="shared" ca="1" si="223"/>
        <v>0.40825083736192519</v>
      </c>
      <c r="CC257" s="6">
        <f t="shared" ca="1" si="224"/>
        <v>0.42053712527274628</v>
      </c>
      <c r="CD257" s="6">
        <f t="shared" ca="1" si="225"/>
        <v>-138.14576461047426</v>
      </c>
      <c r="CE257" s="9">
        <f t="shared" ca="1" si="226"/>
        <v>-17.280519790942932</v>
      </c>
      <c r="CF257">
        <f t="shared" ca="1" si="227"/>
        <v>139.22237120541271</v>
      </c>
      <c r="CG257" s="6">
        <f t="shared" ca="1" si="228"/>
        <v>-0.99226700001144219</v>
      </c>
      <c r="CH257" s="6">
        <f t="shared" ca="1" si="229"/>
        <v>-0.1241217172306795</v>
      </c>
      <c r="CI257" s="6">
        <f t="shared" ca="1" si="230"/>
        <v>-3.017149999003256</v>
      </c>
      <c r="CJ257" s="1">
        <f t="shared" ca="1" si="231"/>
        <v>-2.480637144778882</v>
      </c>
      <c r="CK257" s="38"/>
    </row>
    <row r="258" spans="55:89" x14ac:dyDescent="0.25">
      <c r="BC258">
        <v>4.4680428851054579</v>
      </c>
      <c r="BD258">
        <v>-97.28403533898846</v>
      </c>
      <c r="BE258">
        <v>-10.224166694485714</v>
      </c>
      <c r="BF258" s="6">
        <f t="shared" si="214"/>
        <v>3.2463043012021777</v>
      </c>
      <c r="BG258" s="6">
        <f t="shared" si="215"/>
        <v>1.2217385839032802</v>
      </c>
      <c r="BH258" s="6">
        <f t="shared" si="216"/>
        <v>-2.4609061378047294</v>
      </c>
      <c r="BI258" s="6">
        <f t="shared" si="217"/>
        <v>2.4609061378047294</v>
      </c>
      <c r="BV258" s="38"/>
      <c r="BW258" s="6">
        <f t="shared" si="218"/>
        <v>4.2411500823461976</v>
      </c>
      <c r="BX258" s="9">
        <f t="shared" ca="1" si="219"/>
        <v>62.076609310272815</v>
      </c>
      <c r="BY258" s="9">
        <f t="shared" ca="1" si="220"/>
        <v>28.929271834574962</v>
      </c>
      <c r="BZ258">
        <f t="shared" ca="1" si="221"/>
        <v>68.486554828951512</v>
      </c>
      <c r="CA258" s="6">
        <f t="shared" ca="1" si="222"/>
        <v>0.90640578235118052</v>
      </c>
      <c r="CB258" s="6">
        <f t="shared" ca="1" si="223"/>
        <v>0.42240804646732805</v>
      </c>
      <c r="CC258" s="6">
        <f t="shared" ca="1" si="224"/>
        <v>0.43610037864780682</v>
      </c>
      <c r="CD258" s="6">
        <f t="shared" ca="1" si="225"/>
        <v>-136.17041449472566</v>
      </c>
      <c r="CE258" s="9">
        <f t="shared" ca="1" si="226"/>
        <v>-17.564670106424018</v>
      </c>
      <c r="CF258">
        <f t="shared" ca="1" si="227"/>
        <v>137.29857763142667</v>
      </c>
      <c r="CG258" s="6">
        <f t="shared" ca="1" si="228"/>
        <v>-0.99178314039254278</v>
      </c>
      <c r="CH258" s="6">
        <f t="shared" ca="1" si="229"/>
        <v>-0.12793045936408587</v>
      </c>
      <c r="CI258" s="6">
        <f t="shared" ca="1" si="230"/>
        <v>-3.0133106429534968</v>
      </c>
      <c r="CJ258" s="1">
        <f t="shared" ca="1" si="231"/>
        <v>-2.4844765008286411</v>
      </c>
      <c r="CK258" s="38"/>
    </row>
    <row r="259" spans="55:89" x14ac:dyDescent="0.25">
      <c r="BC259">
        <v>4.485496177625401</v>
      </c>
      <c r="BD259">
        <v>-94.694811086174482</v>
      </c>
      <c r="BE259">
        <v>-10.351679495485216</v>
      </c>
      <c r="BF259" s="6">
        <f t="shared" ref="BF259:BF322" si="232">IF(BC259&lt;&gt;"",IF(AND(BD259=0,BE259=0),0,MOD(ATAN2(BD259,BE259),2*PI())),NA())</f>
        <v>3.250476532318344</v>
      </c>
      <c r="BG259" s="6">
        <f t="shared" ref="BG259:BG322" si="233">ABS(BC259-BF259)</f>
        <v>1.235019645307057</v>
      </c>
      <c r="BH259" s="6">
        <f t="shared" ref="BH259:BH322" si="234">ATAN2(COS($U$13-BF259),SIN($U$13-BF259))</f>
        <v>-2.4650783689208957</v>
      </c>
      <c r="BI259" s="6">
        <f t="shared" ref="BI259:BI322" si="235">ABS(BH259)</f>
        <v>2.4650783689208957</v>
      </c>
      <c r="BV259" s="38"/>
      <c r="BW259" s="6">
        <f t="shared" si="218"/>
        <v>4.2586033748661407</v>
      </c>
      <c r="BX259" s="9">
        <f t="shared" ca="1" si="219"/>
        <v>60.075337132082623</v>
      </c>
      <c r="BY259" s="9">
        <f t="shared" ca="1" si="220"/>
        <v>29.2017284102132</v>
      </c>
      <c r="BZ259">
        <f t="shared" ca="1" si="221"/>
        <v>66.796609746881899</v>
      </c>
      <c r="CA259" s="6">
        <f t="shared" ca="1" si="222"/>
        <v>0.89937703963915583</v>
      </c>
      <c r="CB259" s="6">
        <f t="shared" ca="1" si="223"/>
        <v>0.43717381048034931</v>
      </c>
      <c r="CC259" s="6">
        <f t="shared" ca="1" si="224"/>
        <v>0.45245387892016653</v>
      </c>
      <c r="CD259" s="6">
        <f t="shared" ca="1" si="225"/>
        <v>-134.16914231653547</v>
      </c>
      <c r="CE259" s="9">
        <f t="shared" ca="1" si="226"/>
        <v>-17.837126682062255</v>
      </c>
      <c r="CF259">
        <f t="shared" ca="1" si="227"/>
        <v>135.34962814218105</v>
      </c>
      <c r="CG259" s="6">
        <f t="shared" ca="1" si="228"/>
        <v>-0.99127824847508628</v>
      </c>
      <c r="CH259" s="6">
        <f t="shared" ca="1" si="229"/>
        <v>-0.13178556104583344</v>
      </c>
      <c r="CI259" s="6">
        <f t="shared" ca="1" si="230"/>
        <v>-3.0094226172504039</v>
      </c>
      <c r="CJ259" s="1">
        <f t="shared" ca="1" si="231"/>
        <v>-2.488364526531734</v>
      </c>
      <c r="CK259" s="38"/>
    </row>
    <row r="260" spans="55:89" x14ac:dyDescent="0.25">
      <c r="BC260">
        <v>4.5029494701453441</v>
      </c>
      <c r="BD260">
        <v>-92.022010707866301</v>
      </c>
      <c r="BE260">
        <v>-10.469068010503303</v>
      </c>
      <c r="BF260" s="6">
        <f t="shared" si="232"/>
        <v>3.2548726033461461</v>
      </c>
      <c r="BG260" s="6">
        <f t="shared" si="233"/>
        <v>1.2480768667991979</v>
      </c>
      <c r="BH260" s="6">
        <f t="shared" si="234"/>
        <v>-2.4694744399486979</v>
      </c>
      <c r="BI260" s="6">
        <f t="shared" si="235"/>
        <v>2.4694744399486979</v>
      </c>
      <c r="BV260" s="38"/>
      <c r="BW260" s="6">
        <f t="shared" si="218"/>
        <v>4.2760566673860838</v>
      </c>
      <c r="BX260" s="9">
        <f t="shared" ca="1" si="219"/>
        <v>58.046351109862243</v>
      </c>
      <c r="BY260" s="9">
        <f t="shared" ca="1" si="220"/>
        <v>29.462617017532377</v>
      </c>
      <c r="BZ260">
        <f t="shared" ca="1" si="221"/>
        <v>65.09550428939923</v>
      </c>
      <c r="CA260" s="6">
        <f t="shared" ca="1" si="222"/>
        <v>0.89171059881189152</v>
      </c>
      <c r="CB260" s="6">
        <f t="shared" ca="1" si="223"/>
        <v>0.45260601848245224</v>
      </c>
      <c r="CC260" s="6">
        <f t="shared" ca="1" si="224"/>
        <v>0.46968567239106518</v>
      </c>
      <c r="CD260" s="6">
        <f t="shared" ca="1" si="225"/>
        <v>-132.14015629431509</v>
      </c>
      <c r="CE260" s="9">
        <f t="shared" ca="1" si="226"/>
        <v>-18.098015289381433</v>
      </c>
      <c r="CF260">
        <f t="shared" ca="1" si="227"/>
        <v>133.37375702476371</v>
      </c>
      <c r="CG260" s="6">
        <f t="shared" ca="1" si="228"/>
        <v>-0.99075079867308846</v>
      </c>
      <c r="CH260" s="6">
        <f t="shared" ca="1" si="229"/>
        <v>-0.13569397528496666</v>
      </c>
      <c r="CI260" s="6">
        <f t="shared" ca="1" si="230"/>
        <v>-3.0054787707373336</v>
      </c>
      <c r="CJ260" s="1">
        <f t="shared" ca="1" si="231"/>
        <v>-2.4923083730448043</v>
      </c>
      <c r="CK260" s="38"/>
    </row>
    <row r="261" spans="55:89" x14ac:dyDescent="0.25">
      <c r="BC261">
        <v>4.5204027626652872</v>
      </c>
      <c r="BD261">
        <v>-89.25261559417342</v>
      </c>
      <c r="BE261">
        <v>-10.576922062197065</v>
      </c>
      <c r="BF261" s="6">
        <f t="shared" si="232"/>
        <v>3.2595479937491314</v>
      </c>
      <c r="BG261" s="6">
        <f t="shared" si="233"/>
        <v>1.2608547689161558</v>
      </c>
      <c r="BH261" s="6">
        <f t="shared" si="234"/>
        <v>-2.4741498303516831</v>
      </c>
      <c r="BI261" s="6">
        <f t="shared" si="235"/>
        <v>2.4741498303516831</v>
      </c>
      <c r="BV261" s="38"/>
      <c r="BW261" s="6">
        <f t="shared" si="218"/>
        <v>4.2935099599060269</v>
      </c>
      <c r="BX261" s="9">
        <f t="shared" ca="1" si="219"/>
        <v>55.987732154341359</v>
      </c>
      <c r="BY261" s="9">
        <f t="shared" ca="1" si="220"/>
        <v>29.712040850291714</v>
      </c>
      <c r="BZ261">
        <f t="shared" ca="1" si="221"/>
        <v>63.383211683186843</v>
      </c>
      <c r="CA261" s="6">
        <f t="shared" ca="1" si="222"/>
        <v>0.88332116135403682</v>
      </c>
      <c r="CB261" s="6">
        <f t="shared" ca="1" si="223"/>
        <v>0.46876830727359925</v>
      </c>
      <c r="CC261" s="6">
        <f t="shared" ca="1" si="224"/>
        <v>0.48789587292730252</v>
      </c>
      <c r="CD261" s="6">
        <f t="shared" ca="1" si="225"/>
        <v>-130.08153733879419</v>
      </c>
      <c r="CE261" s="9">
        <f t="shared" ca="1" si="226"/>
        <v>-18.34743912214077</v>
      </c>
      <c r="CF261">
        <f t="shared" ca="1" si="227"/>
        <v>131.36907885330083</v>
      </c>
      <c r="CG261" s="6">
        <f t="shared" ca="1" si="228"/>
        <v>-0.99019905197063585</v>
      </c>
      <c r="CH261" s="6">
        <f t="shared" ca="1" si="229"/>
        <v>-0.13966330039224267</v>
      </c>
      <c r="CI261" s="6">
        <f t="shared" ca="1" si="230"/>
        <v>-3.0014712792869984</v>
      </c>
      <c r="CJ261" s="1">
        <f t="shared" ca="1" si="231"/>
        <v>-2.4963158644951395</v>
      </c>
      <c r="CK261" s="38"/>
    </row>
    <row r="262" spans="55:89" x14ac:dyDescent="0.25">
      <c r="BC262">
        <v>4.5378560551852303</v>
      </c>
      <c r="BD262">
        <v>-86.369116124766023</v>
      </c>
      <c r="BE262">
        <v>-10.67612567387406</v>
      </c>
      <c r="BF262" s="6">
        <f t="shared" si="232"/>
        <v>3.2645792468023966</v>
      </c>
      <c r="BG262" s="6">
        <f t="shared" si="233"/>
        <v>1.2732768083828336</v>
      </c>
      <c r="BH262" s="6">
        <f t="shared" si="234"/>
        <v>-2.4791810834049484</v>
      </c>
      <c r="BI262" s="6">
        <f t="shared" si="235"/>
        <v>2.4791810834049484</v>
      </c>
      <c r="BV262" s="38"/>
      <c r="BW262" s="6">
        <f t="shared" si="218"/>
        <v>4.31096325242597</v>
      </c>
      <c r="BX262" s="9">
        <f t="shared" ca="1" si="219"/>
        <v>53.89741232820424</v>
      </c>
      <c r="BY262" s="9">
        <f t="shared" ca="1" si="220"/>
        <v>29.950082770055644</v>
      </c>
      <c r="BZ262">
        <f t="shared" ca="1" si="221"/>
        <v>61.659861446565429</v>
      </c>
      <c r="CA262" s="6">
        <f t="shared" ca="1" si="222"/>
        <v>0.8741085539887542</v>
      </c>
      <c r="CB262" s="6">
        <f t="shared" ca="1" si="223"/>
        <v>0.48573062065685069</v>
      </c>
      <c r="CC262" s="6">
        <f t="shared" ca="1" si="224"/>
        <v>0.50719882034730757</v>
      </c>
      <c r="CD262" s="6">
        <f t="shared" ca="1" si="225"/>
        <v>-127.99121751265709</v>
      </c>
      <c r="CE262" s="9">
        <f t="shared" ca="1" si="226"/>
        <v>-18.5854810419047</v>
      </c>
      <c r="CF262">
        <f t="shared" ca="1" si="227"/>
        <v>129.33356821000223</v>
      </c>
      <c r="CG262" s="6">
        <f t="shared" ca="1" si="228"/>
        <v>-0.98962101861161422</v>
      </c>
      <c r="CH262" s="6">
        <f t="shared" ca="1" si="229"/>
        <v>-0.143701912033595</v>
      </c>
      <c r="CI262" s="6">
        <f t="shared" ca="1" si="230"/>
        <v>-2.9973915085041614</v>
      </c>
      <c r="CJ262" s="1">
        <f t="shared" ca="1" si="231"/>
        <v>-2.5003956352779766</v>
      </c>
      <c r="CK262" s="38"/>
    </row>
    <row r="263" spans="55:89" x14ac:dyDescent="0.25">
      <c r="BC263">
        <v>4.5553093477051734</v>
      </c>
      <c r="BD263">
        <v>-83.347070321624741</v>
      </c>
      <c r="BE263">
        <v>-10.768002575854657</v>
      </c>
      <c r="BF263" s="6">
        <f t="shared" si="232"/>
        <v>3.270075693052978</v>
      </c>
      <c r="BG263" s="6">
        <f t="shared" si="233"/>
        <v>1.2852336546521954</v>
      </c>
      <c r="BH263" s="6">
        <f t="shared" si="234"/>
        <v>-2.4846775296555297</v>
      </c>
      <c r="BI263" s="6">
        <f t="shared" si="235"/>
        <v>2.4846775296555297</v>
      </c>
      <c r="BV263" s="38"/>
      <c r="BW263" s="6">
        <f t="shared" si="218"/>
        <v>4.3284165449459131</v>
      </c>
      <c r="BX263" s="9">
        <f t="shared" ca="1" si="219"/>
        <v>51.773147979763579</v>
      </c>
      <c r="BY263" s="9">
        <f t="shared" ca="1" si="220"/>
        <v>30.176807938856854</v>
      </c>
      <c r="BZ263">
        <f t="shared" ca="1" si="221"/>
        <v>59.925775665511011</v>
      </c>
      <c r="CA263" s="6">
        <f t="shared" ca="1" si="222"/>
        <v>0.86395457388398056</v>
      </c>
      <c r="CB263" s="6">
        <f t="shared" ca="1" si="223"/>
        <v>0.50356975114173563</v>
      </c>
      <c r="CC263" s="6">
        <f t="shared" ca="1" si="224"/>
        <v>0.52772569743704989</v>
      </c>
      <c r="CD263" s="6">
        <f t="shared" ca="1" si="225"/>
        <v>-125.86695316421643</v>
      </c>
      <c r="CE263" s="9">
        <f t="shared" ca="1" si="226"/>
        <v>-18.812206210705909</v>
      </c>
      <c r="CF263">
        <f t="shared" ca="1" si="227"/>
        <v>127.26503448063484</v>
      </c>
      <c r="CG263" s="6">
        <f t="shared" ca="1" si="228"/>
        <v>-0.98901441136503876</v>
      </c>
      <c r="CH263" s="6">
        <f t="shared" ca="1" si="229"/>
        <v>-0.14781912634116678</v>
      </c>
      <c r="CI263" s="6">
        <f t="shared" ca="1" si="230"/>
        <v>-2.9932298440531264</v>
      </c>
      <c r="CJ263" s="1">
        <f t="shared" ca="1" si="231"/>
        <v>-2.5045572997290115</v>
      </c>
      <c r="CK263" s="38"/>
    </row>
    <row r="264" spans="55:89" x14ac:dyDescent="0.25">
      <c r="BC264">
        <v>4.5727626402251165</v>
      </c>
      <c r="BD264">
        <v>-80.150872008687259</v>
      </c>
      <c r="BE264">
        <v>-10.854545955069343</v>
      </c>
      <c r="BF264" s="6">
        <f t="shared" si="232"/>
        <v>3.2762001491023716</v>
      </c>
      <c r="BG264" s="6">
        <f t="shared" si="233"/>
        <v>1.2965624911227449</v>
      </c>
      <c r="BH264" s="6">
        <f t="shared" si="234"/>
        <v>-2.4908019857049233</v>
      </c>
      <c r="BI264" s="6">
        <f t="shared" si="235"/>
        <v>2.4908019857049233</v>
      </c>
      <c r="BV264" s="38"/>
      <c r="BW264" s="6">
        <f t="shared" si="218"/>
        <v>4.3458698374658562</v>
      </c>
      <c r="BX264" s="9">
        <f t="shared" ca="1" si="219"/>
        <v>49.612485782574055</v>
      </c>
      <c r="BY264" s="9">
        <f t="shared" ca="1" si="220"/>
        <v>30.392267015024785</v>
      </c>
      <c r="BZ264">
        <f t="shared" ca="1" si="221"/>
        <v>58.181514588730636</v>
      </c>
      <c r="CA264" s="6">
        <f t="shared" ca="1" si="222"/>
        <v>0.85271904888126882</v>
      </c>
      <c r="CB264" s="6">
        <f t="shared" ca="1" si="223"/>
        <v>0.52236981504966806</v>
      </c>
      <c r="CC264" s="6">
        <f t="shared" ca="1" si="224"/>
        <v>0.5496277201887938</v>
      </c>
      <c r="CD264" s="6">
        <f t="shared" ca="1" si="225"/>
        <v>-123.7062909670269</v>
      </c>
      <c r="CE264" s="9">
        <f t="shared" ca="1" si="226"/>
        <v>-19.027665286873841</v>
      </c>
      <c r="CF264">
        <f t="shared" ca="1" si="227"/>
        <v>125.16109008429108</v>
      </c>
      <c r="CG264" s="6">
        <f t="shared" ca="1" si="228"/>
        <v>-0.98837658639530523</v>
      </c>
      <c r="CH264" s="6">
        <f t="shared" ca="1" si="229"/>
        <v>-0.15202540401381498</v>
      </c>
      <c r="CI264" s="6">
        <f t="shared" ca="1" si="230"/>
        <v>-2.9889754792531704</v>
      </c>
      <c r="CJ264" s="1">
        <f t="shared" ca="1" si="231"/>
        <v>-2.5088116645289675</v>
      </c>
      <c r="CK264" s="38"/>
    </row>
    <row r="265" spans="55:89" x14ac:dyDescent="0.25">
      <c r="BC265">
        <v>4.5902159327450596</v>
      </c>
      <c r="BD265">
        <v>-76.726000708551581</v>
      </c>
      <c r="BE265">
        <v>-10.938796318878392</v>
      </c>
      <c r="BF265" s="6">
        <f t="shared" si="232"/>
        <v>3.2832079187583094</v>
      </c>
      <c r="BG265" s="6">
        <f t="shared" si="233"/>
        <v>1.3070080139867502</v>
      </c>
      <c r="BH265" s="6">
        <f t="shared" si="234"/>
        <v>-2.4978097553608611</v>
      </c>
      <c r="BI265" s="6">
        <f t="shared" si="235"/>
        <v>2.4978097553608611</v>
      </c>
      <c r="BV265" s="38"/>
      <c r="BW265" s="6">
        <f t="shared" si="218"/>
        <v>4.3633231299857993</v>
      </c>
      <c r="BX265" s="9">
        <f t="shared" ca="1" si="219"/>
        <v>47.412719191864042</v>
      </c>
      <c r="BY265" s="9">
        <f t="shared" ca="1" si="220"/>
        <v>30.59650014399957</v>
      </c>
      <c r="BZ265">
        <f t="shared" ca="1" si="221"/>
        <v>56.427934236761836</v>
      </c>
      <c r="CA265" s="6">
        <f t="shared" ca="1" si="222"/>
        <v>0.84023489133818874</v>
      </c>
      <c r="CB265" s="6">
        <f t="shared" ca="1" si="223"/>
        <v>0.54222258102913989</v>
      </c>
      <c r="CC265" s="6">
        <f t="shared" ca="1" si="224"/>
        <v>0.57308004876275864</v>
      </c>
      <c r="CD265" s="6">
        <f t="shared" ca="1" si="225"/>
        <v>-121.50652437631689</v>
      </c>
      <c r="CE265" s="9">
        <f t="shared" ca="1" si="226"/>
        <v>-19.231898415848626</v>
      </c>
      <c r="CF265">
        <f t="shared" ca="1" si="227"/>
        <v>123.01910982725411</v>
      </c>
      <c r="CG265" s="6">
        <f t="shared" ca="1" si="228"/>
        <v>-0.98770446759807295</v>
      </c>
      <c r="CH265" s="6">
        <f t="shared" ca="1" si="229"/>
        <v>-0.15633260916010888</v>
      </c>
      <c r="CI265" s="6">
        <f t="shared" ca="1" si="230"/>
        <v>-2.9846161455947806</v>
      </c>
      <c r="CJ265" s="1">
        <f t="shared" ca="1" si="231"/>
        <v>-2.5131709981873573</v>
      </c>
      <c r="CK265" s="38"/>
    </row>
    <row r="266" spans="55:89" x14ac:dyDescent="0.25">
      <c r="BC266">
        <v>4.6076692252650027</v>
      </c>
      <c r="BD266">
        <v>-72.983828836761788</v>
      </c>
      <c r="BE266">
        <v>-11.025495643445213</v>
      </c>
      <c r="BF266" s="6">
        <f t="shared" si="232"/>
        <v>3.2915265955680595</v>
      </c>
      <c r="BG266" s="6">
        <f t="shared" si="233"/>
        <v>1.3161426296969432</v>
      </c>
      <c r="BH266" s="6">
        <f t="shared" si="234"/>
        <v>-2.5061284321706112</v>
      </c>
      <c r="BI266" s="6">
        <f t="shared" si="235"/>
        <v>2.5061284321706112</v>
      </c>
      <c r="BV266" s="38"/>
      <c r="BW266" s="6">
        <f t="shared" si="218"/>
        <v>4.3807764225057424</v>
      </c>
      <c r="BX266" s="9">
        <f t="shared" ca="1" si="219"/>
        <v>45.170831760512243</v>
      </c>
      <c r="BY266" s="9">
        <f t="shared" ca="1" si="220"/>
        <v>30.789542049171452</v>
      </c>
      <c r="BZ266">
        <f t="shared" ca="1" si="221"/>
        <v>54.666259626338061</v>
      </c>
      <c r="CA266" s="6">
        <f t="shared" ca="1" si="222"/>
        <v>0.82630185546386015</v>
      </c>
      <c r="CB266" s="6">
        <f t="shared" ca="1" si="223"/>
        <v>0.56322752388087538</v>
      </c>
      <c r="CC266" s="6">
        <f t="shared" ca="1" si="224"/>
        <v>0.59828661047792298</v>
      </c>
      <c r="CD266" s="6">
        <f t="shared" ca="1" si="225"/>
        <v>-119.26463694496509</v>
      </c>
      <c r="CE266" s="9">
        <f t="shared" ca="1" si="226"/>
        <v>-19.424940321020507</v>
      </c>
      <c r="CF266">
        <f t="shared" ca="1" si="227"/>
        <v>120.83617807630934</v>
      </c>
      <c r="CG266" s="6">
        <f t="shared" ca="1" si="228"/>
        <v>-0.98699444854709162</v>
      </c>
      <c r="CH266" s="6">
        <f t="shared" ca="1" si="229"/>
        <v>-0.16075434220332135</v>
      </c>
      <c r="CI266" s="6">
        <f t="shared" ca="1" si="230"/>
        <v>-2.9801377660130521</v>
      </c>
      <c r="CJ266" s="1">
        <f t="shared" ca="1" si="231"/>
        <v>-2.5176493777690858</v>
      </c>
      <c r="CK266" s="38"/>
    </row>
    <row r="267" spans="55:89" x14ac:dyDescent="0.25">
      <c r="BC267">
        <v>4.6251225177849458</v>
      </c>
      <c r="BD267">
        <v>-68.769133145905073</v>
      </c>
      <c r="BE267">
        <v>-11.122297512201081</v>
      </c>
      <c r="BF267" s="6">
        <f t="shared" si="232"/>
        <v>3.3019380403859846</v>
      </c>
      <c r="BG267" s="6">
        <f t="shared" si="233"/>
        <v>1.3231844773989612</v>
      </c>
      <c r="BH267" s="6">
        <f t="shared" si="234"/>
        <v>-2.5165398769885363</v>
      </c>
      <c r="BI267" s="6">
        <f t="shared" si="235"/>
        <v>2.5165398769885363</v>
      </c>
      <c r="BV267" s="38"/>
      <c r="BW267" s="6">
        <f t="shared" si="218"/>
        <v>4.3982297150256855</v>
      </c>
      <c r="BX267" s="9">
        <f t="shared" ca="1" si="219"/>
        <v>42.883422184562789</v>
      </c>
      <c r="BY267" s="9">
        <f t="shared" ca="1" si="220"/>
        <v>30.971428660995265</v>
      </c>
      <c r="BZ267">
        <f t="shared" ca="1" si="221"/>
        <v>52.898178527833743</v>
      </c>
      <c r="CA267" s="6">
        <f t="shared" ca="1" si="222"/>
        <v>0.81067861650469819</v>
      </c>
      <c r="CB267" s="6">
        <f t="shared" ca="1" si="223"/>
        <v>0.58549140108290965</v>
      </c>
      <c r="CC267" s="6">
        <f t="shared" ca="1" si="224"/>
        <v>0.62548608533677341</v>
      </c>
      <c r="CD267" s="6">
        <f t="shared" ca="1" si="225"/>
        <v>-116.97722736901564</v>
      </c>
      <c r="CE267" s="9">
        <f t="shared" ca="1" si="226"/>
        <v>-19.606826932844321</v>
      </c>
      <c r="CF267">
        <f t="shared" ca="1" si="227"/>
        <v>118.60901898808915</v>
      </c>
      <c r="CG267" s="6">
        <f t="shared" ca="1" si="228"/>
        <v>-0.98624226359011213</v>
      </c>
      <c r="CH267" s="6">
        <f t="shared" ca="1" si="229"/>
        <v>-0.1653063746763917</v>
      </c>
      <c r="CI267" s="6">
        <f t="shared" ca="1" si="230"/>
        <v>-2.9755240018658409</v>
      </c>
      <c r="CJ267" s="1">
        <f t="shared" ca="1" si="231"/>
        <v>-2.5222631419162971</v>
      </c>
      <c r="CK267" s="38"/>
    </row>
    <row r="268" spans="55:89" x14ac:dyDescent="0.25">
      <c r="BC268">
        <v>4.6425758103048889</v>
      </c>
      <c r="BD268">
        <v>-63.782228393388344</v>
      </c>
      <c r="BE268">
        <v>-11.242199442066093</v>
      </c>
      <c r="BF268" s="6">
        <f t="shared" si="232"/>
        <v>3.3160597634736706</v>
      </c>
      <c r="BG268" s="6">
        <f t="shared" si="233"/>
        <v>1.3265160468312183</v>
      </c>
      <c r="BH268" s="6">
        <f t="shared" si="234"/>
        <v>-2.5306616000762223</v>
      </c>
      <c r="BI268" s="6">
        <f t="shared" si="235"/>
        <v>2.5306616000762223</v>
      </c>
      <c r="BV268" s="38"/>
      <c r="BW268" s="6">
        <f t="shared" si="218"/>
        <v>4.4156830075456286</v>
      </c>
      <c r="BX268" s="9">
        <f t="shared" ca="1" si="219"/>
        <v>40.546603503034532</v>
      </c>
      <c r="BY268" s="9">
        <f t="shared" ca="1" si="220"/>
        <v>31.142205883810732</v>
      </c>
      <c r="BZ268">
        <f t="shared" ca="1" si="221"/>
        <v>51.125962513599177</v>
      </c>
      <c r="CA268" s="6">
        <f t="shared" ca="1" si="222"/>
        <v>0.79307266816247024</v>
      </c>
      <c r="CB268" s="6">
        <f t="shared" ca="1" si="223"/>
        <v>0.60912703356004505</v>
      </c>
      <c r="CC268" s="6">
        <f t="shared" ca="1" si="224"/>
        <v>0.65495938547240207</v>
      </c>
      <c r="CD268" s="6">
        <f t="shared" ca="1" si="225"/>
        <v>-114.64040868748738</v>
      </c>
      <c r="CE268" s="9">
        <f t="shared" ca="1" si="226"/>
        <v>-19.777604155659787</v>
      </c>
      <c r="CF268">
        <f t="shared" ca="1" si="227"/>
        <v>116.33390275483799</v>
      </c>
      <c r="CG268" s="6">
        <f t="shared" ca="1" si="228"/>
        <v>-0.98544281566037129</v>
      </c>
      <c r="CH268" s="6">
        <f t="shared" ca="1" si="229"/>
        <v>-0.17000722650334443</v>
      </c>
      <c r="CI268" s="6">
        <f t="shared" ca="1" si="230"/>
        <v>-2.9707556512104398</v>
      </c>
      <c r="CJ268" s="1">
        <f t="shared" ca="1" si="231"/>
        <v>-2.5270314925716981</v>
      </c>
      <c r="CK268" s="38"/>
    </row>
    <row r="269" spans="55:89" x14ac:dyDescent="0.25">
      <c r="BC269">
        <v>4.660029102824832</v>
      </c>
      <c r="BD269">
        <v>-58.252713696333096</v>
      </c>
      <c r="BE269">
        <v>-11.333895347604455</v>
      </c>
      <c r="BF269" s="6">
        <f t="shared" si="232"/>
        <v>3.333756105770171</v>
      </c>
      <c r="BG269" s="6">
        <f t="shared" si="233"/>
        <v>1.326272997054661</v>
      </c>
      <c r="BH269" s="6">
        <f t="shared" si="234"/>
        <v>-2.5483579423727227</v>
      </c>
      <c r="BI269" s="6">
        <f t="shared" si="235"/>
        <v>2.5483579423727227</v>
      </c>
      <c r="BV269" s="38"/>
      <c r="BW269" s="6">
        <f t="shared" si="218"/>
        <v>4.4331363000655717</v>
      </c>
      <c r="BX269" s="9">
        <f t="shared" ca="1" si="219"/>
        <v>38.15586508215172</v>
      </c>
      <c r="BY269" s="9">
        <f t="shared" ca="1" si="220"/>
        <v>31.301941357272845</v>
      </c>
      <c r="BZ269">
        <f t="shared" ca="1" si="221"/>
        <v>49.352624782290086</v>
      </c>
      <c r="CA269" s="6">
        <f t="shared" ca="1" si="222"/>
        <v>0.7731273716538728</v>
      </c>
      <c r="CB269" s="6">
        <f t="shared" ca="1" si="223"/>
        <v>0.63425079203700985</v>
      </c>
      <c r="CC269" s="6">
        <f t="shared" ca="1" si="224"/>
        <v>0.68703907288961985</v>
      </c>
      <c r="CD269" s="6">
        <f t="shared" ca="1" si="225"/>
        <v>-112.24967026660457</v>
      </c>
      <c r="CE269" s="9">
        <f t="shared" ca="1" si="226"/>
        <v>-19.937339629121901</v>
      </c>
      <c r="CF269">
        <f t="shared" ca="1" si="227"/>
        <v>114.0065172981282</v>
      </c>
      <c r="CG269" s="6">
        <f t="shared" ca="1" si="228"/>
        <v>-0.98458994210892825</v>
      </c>
      <c r="CH269" s="6">
        <f t="shared" ca="1" si="229"/>
        <v>-0.1748789464113315</v>
      </c>
      <c r="CI269" s="6">
        <f t="shared" ca="1" si="230"/>
        <v>-2.9658098349968407</v>
      </c>
      <c r="CJ269" s="1">
        <f t="shared" ca="1" si="231"/>
        <v>-2.5319773087852973</v>
      </c>
      <c r="CK269" s="38"/>
    </row>
    <row r="270" spans="55:89" x14ac:dyDescent="0.25">
      <c r="BC270">
        <v>4.6774823953447751</v>
      </c>
      <c r="BD270">
        <v>-52.707697013810964</v>
      </c>
      <c r="BE270">
        <v>-11.336963709414315</v>
      </c>
      <c r="BF270" s="6">
        <f t="shared" si="232"/>
        <v>3.3534560171433356</v>
      </c>
      <c r="BG270" s="6">
        <f t="shared" si="233"/>
        <v>1.3240263782014394</v>
      </c>
      <c r="BH270" s="6">
        <f t="shared" si="234"/>
        <v>-2.5680578537458869</v>
      </c>
      <c r="BI270" s="6">
        <f t="shared" si="235"/>
        <v>2.5680578537458869</v>
      </c>
      <c r="BV270" s="38"/>
      <c r="BW270" s="6">
        <f t="shared" si="218"/>
        <v>4.4505895925855148</v>
      </c>
      <c r="BX270" s="9">
        <f t="shared" ca="1" si="219"/>
        <v>35.705879956936556</v>
      </c>
      <c r="BY270" s="9">
        <f t="shared" ca="1" si="220"/>
        <v>31.450740465095699</v>
      </c>
      <c r="BZ270">
        <f t="shared" ca="1" si="221"/>
        <v>47.582128360362063</v>
      </c>
      <c r="CA270" s="6">
        <f t="shared" ca="1" si="222"/>
        <v>0.7504052716288554</v>
      </c>
      <c r="CB270" s="6">
        <f t="shared" ca="1" si="223"/>
        <v>0.66097800894706304</v>
      </c>
      <c r="CC270" s="6">
        <f t="shared" ca="1" si="224"/>
        <v>0.72212132167487963</v>
      </c>
      <c r="CD270" s="6">
        <f t="shared" ca="1" si="225"/>
        <v>-109.7996851413894</v>
      </c>
      <c r="CE270" s="9">
        <f t="shared" ca="1" si="226"/>
        <v>-20.086138736944754</v>
      </c>
      <c r="CF270">
        <f t="shared" ca="1" si="227"/>
        <v>111.62178921029729</v>
      </c>
      <c r="CG270" s="6">
        <f t="shared" ca="1" si="228"/>
        <v>-0.98367608975094445</v>
      </c>
      <c r="CH270" s="6">
        <f t="shared" ca="1" si="229"/>
        <v>-0.17994818824398287</v>
      </c>
      <c r="CI270" s="6">
        <f t="shared" ca="1" si="230"/>
        <v>-2.9606588741588946</v>
      </c>
      <c r="CJ270" s="1">
        <f t="shared" ca="1" si="231"/>
        <v>-2.5371282696232433</v>
      </c>
      <c r="CK270" s="38"/>
    </row>
    <row r="271" spans="55:89" x14ac:dyDescent="0.25">
      <c r="BC271">
        <v>4.6949356878647182</v>
      </c>
      <c r="BD271">
        <v>-47.142877576341</v>
      </c>
      <c r="BE271">
        <v>-11.251438061003896</v>
      </c>
      <c r="BF271" s="6">
        <f t="shared" si="232"/>
        <v>3.375876629893511</v>
      </c>
      <c r="BG271" s="6">
        <f t="shared" si="233"/>
        <v>1.3190590579712071</v>
      </c>
      <c r="BH271" s="6">
        <f t="shared" si="234"/>
        <v>-2.5904784664960627</v>
      </c>
      <c r="BI271" s="6">
        <f t="shared" si="235"/>
        <v>2.5904784664960627</v>
      </c>
      <c r="BV271" s="38"/>
      <c r="BW271" s="6">
        <f t="shared" ref="BW271:BW334" si="236">BC258</f>
        <v>4.4680428851054579</v>
      </c>
      <c r="BX271" s="9">
        <f t="shared" ca="1" si="219"/>
        <v>33.190230154535612</v>
      </c>
      <c r="BY271" s="9">
        <f t="shared" ca="1" si="220"/>
        <v>31.588768422636658</v>
      </c>
      <c r="BZ271">
        <f t="shared" ca="1" si="221"/>
        <v>45.819664644888135</v>
      </c>
      <c r="CA271" s="6">
        <f t="shared" ca="1" si="222"/>
        <v>0.72436650097216448</v>
      </c>
      <c r="CB271" s="6">
        <f t="shared" ca="1" si="223"/>
        <v>0.6894150943149876</v>
      </c>
      <c r="CC271" s="6">
        <f t="shared" ca="1" si="224"/>
        <v>0.76068127012112297</v>
      </c>
      <c r="CD271" s="6">
        <f t="shared" ca="1" si="225"/>
        <v>-107.28403533898846</v>
      </c>
      <c r="CE271" s="9">
        <f t="shared" ca="1" si="226"/>
        <v>-20.224166694485714</v>
      </c>
      <c r="CF271">
        <f t="shared" ca="1" si="227"/>
        <v>109.17362848739465</v>
      </c>
      <c r="CG271" s="6">
        <f t="shared" ca="1" si="228"/>
        <v>-0.98269185356769229</v>
      </c>
      <c r="CH271" s="6">
        <f t="shared" ca="1" si="229"/>
        <v>-0.18524772854665011</v>
      </c>
      <c r="CI271" s="6">
        <f t="shared" ca="1" si="230"/>
        <v>-2.9552687054576268</v>
      </c>
      <c r="CJ271" s="1">
        <f t="shared" ca="1" si="231"/>
        <v>-2.5425184383245112</v>
      </c>
      <c r="CK271" s="38"/>
    </row>
    <row r="272" spans="55:89" x14ac:dyDescent="0.25">
      <c r="BC272">
        <v>4.7123889803846613</v>
      </c>
      <c r="BD272">
        <v>-41.553865231182478</v>
      </c>
      <c r="BE272">
        <v>-11.077114373243885</v>
      </c>
      <c r="BF272" s="6">
        <f t="shared" si="232"/>
        <v>3.4021070527073007</v>
      </c>
      <c r="BG272" s="6">
        <f t="shared" si="233"/>
        <v>1.3102819276773605</v>
      </c>
      <c r="BH272" s="6">
        <f t="shared" si="234"/>
        <v>-2.6167088893098525</v>
      </c>
      <c r="BI272" s="6">
        <f t="shared" si="235"/>
        <v>2.6167088893098525</v>
      </c>
      <c r="BV272" s="38"/>
      <c r="BW272" s="6">
        <f t="shared" si="236"/>
        <v>4.485496177625401</v>
      </c>
      <c r="BX272" s="9">
        <f t="shared" ref="BX272:BX335" ca="1" si="237">$BW$5-BD259</f>
        <v>30.601005901721635</v>
      </c>
      <c r="BY272" s="9">
        <f t="shared" ref="BY272:BY335" ca="1" si="238">$BX$5-BE259</f>
        <v>31.716281223636159</v>
      </c>
      <c r="BZ272">
        <f t="shared" ref="BZ272:BZ335" ca="1" si="239">SQRT(POWER(BX272,2)+POWER(BY272,2))</f>
        <v>44.072032592722316</v>
      </c>
      <c r="CA272" s="6">
        <f t="shared" ref="CA272:CA335" ca="1" si="240">BX272/BZ272</f>
        <v>0.69434069865828763</v>
      </c>
      <c r="CB272" s="6">
        <f t="shared" ref="CB272:CB335" ca="1" si="241">BY272/BZ272</f>
        <v>0.71964643693047003</v>
      </c>
      <c r="CC272" s="6">
        <f t="shared" ref="CC272:CC335" ca="1" si="242">ATAN2(CA272,CB272)</f>
        <v>0.80329297757662843</v>
      </c>
      <c r="CD272" s="6">
        <f t="shared" ref="CD272:CD335" ca="1" si="243">$BW$9-BX272</f>
        <v>-104.69481108617448</v>
      </c>
      <c r="CE272" s="9">
        <f t="shared" ref="CE272:CE335" ca="1" si="244">$BX$9-BY272</f>
        <v>-20.351679495485214</v>
      </c>
      <c r="CF272">
        <f t="shared" ref="CF272:CF335" ca="1" si="245">SQRT(POWER(CD272,2)+POWER(CE272,2))</f>
        <v>106.65455605203519</v>
      </c>
      <c r="CG272" s="6">
        <f t="shared" ref="CG272:CG335" ca="1" si="246">CD272/CF272</f>
        <v>-0.98162530473705623</v>
      </c>
      <c r="CH272" s="6">
        <f t="shared" ref="CH272:CH335" ca="1" si="247">CE272/CF272</f>
        <v>-0.19081866025072505</v>
      </c>
      <c r="CI272" s="6">
        <f t="shared" ref="CI272:CI335" ca="1" si="248">ATAN2(CG272,CH272)</f>
        <v>-2.9495965900923133</v>
      </c>
      <c r="CJ272" s="1">
        <f t="shared" ref="CJ272:CJ335" ca="1" si="249">ATAN2(COS($U$13-CI272),SIN($U$13-CI272))</f>
        <v>-2.5481905536898246</v>
      </c>
      <c r="CK272" s="38"/>
    </row>
    <row r="273" spans="55:89" x14ac:dyDescent="0.25">
      <c r="BC273">
        <v>4.7298422729046044</v>
      </c>
      <c r="BD273">
        <v>-35.29276043157536</v>
      </c>
      <c r="BE273">
        <v>-10.611424249390227</v>
      </c>
      <c r="BF273" s="6">
        <f t="shared" si="232"/>
        <v>3.4336627135278341</v>
      </c>
      <c r="BG273" s="6">
        <f t="shared" si="233"/>
        <v>1.2961795593767702</v>
      </c>
      <c r="BH273" s="6">
        <f t="shared" si="234"/>
        <v>-2.6482645501303859</v>
      </c>
      <c r="BI273" s="6">
        <f t="shared" si="235"/>
        <v>2.6482645501303859</v>
      </c>
      <c r="BV273" s="38"/>
      <c r="BW273" s="6">
        <f t="shared" si="236"/>
        <v>4.5029494701453441</v>
      </c>
      <c r="BX273" s="9">
        <f t="shared" ca="1" si="237"/>
        <v>27.928205523413453</v>
      </c>
      <c r="BY273" s="9">
        <f t="shared" ca="1" si="238"/>
        <v>31.833669738654248</v>
      </c>
      <c r="BZ273">
        <f t="shared" ca="1" si="239"/>
        <v>42.34816634504655</v>
      </c>
      <c r="CA273" s="6">
        <f t="shared" ca="1" si="240"/>
        <v>0.65949031407543357</v>
      </c>
      <c r="CB273" s="6">
        <f t="shared" ca="1" si="241"/>
        <v>0.75171306070912847</v>
      </c>
      <c r="CC273" s="6">
        <f t="shared" ca="1" si="242"/>
        <v>0.85065580031195565</v>
      </c>
      <c r="CD273" s="6">
        <f t="shared" ca="1" si="243"/>
        <v>-102.0220107078663</v>
      </c>
      <c r="CE273" s="9">
        <f t="shared" ca="1" si="244"/>
        <v>-20.469068010503303</v>
      </c>
      <c r="CF273">
        <f t="shared" ca="1" si="245"/>
        <v>104.05514602408952</v>
      </c>
      <c r="CG273" s="6">
        <f t="shared" ca="1" si="246"/>
        <v>-0.98046098252793246</v>
      </c>
      <c r="CH273" s="6">
        <f t="shared" ca="1" si="247"/>
        <v>-0.19671365417876177</v>
      </c>
      <c r="CI273" s="6">
        <f t="shared" ca="1" si="248"/>
        <v>-2.9435877043171201</v>
      </c>
      <c r="CJ273" s="1">
        <f t="shared" ca="1" si="249"/>
        <v>-2.5541994394650178</v>
      </c>
      <c r="CK273" s="38"/>
    </row>
    <row r="274" spans="55:89" x14ac:dyDescent="0.25">
      <c r="BC274">
        <v>4.7472955654245474</v>
      </c>
      <c r="BD274">
        <v>-29.086451826906352</v>
      </c>
      <c r="BE274">
        <v>-10.07453198745506</v>
      </c>
      <c r="BF274" s="6">
        <f t="shared" si="232"/>
        <v>3.4750255976737279</v>
      </c>
      <c r="BG274" s="6">
        <f t="shared" si="233"/>
        <v>1.2722699677508196</v>
      </c>
      <c r="BH274" s="6">
        <f t="shared" si="234"/>
        <v>-2.6896274342762796</v>
      </c>
      <c r="BI274" s="6">
        <f t="shared" si="235"/>
        <v>2.6896274342762796</v>
      </c>
      <c r="BV274" s="38"/>
      <c r="BW274" s="6">
        <f t="shared" si="236"/>
        <v>4.5204027626652872</v>
      </c>
      <c r="BX274" s="9">
        <f t="shared" ca="1" si="237"/>
        <v>25.158810409720573</v>
      </c>
      <c r="BY274" s="9">
        <f t="shared" ca="1" si="238"/>
        <v>31.941523790348008</v>
      </c>
      <c r="BZ274">
        <f t="shared" ca="1" si="239"/>
        <v>40.659890350093569</v>
      </c>
      <c r="CA274" s="6">
        <f t="shared" ca="1" si="240"/>
        <v>0.61876237720013127</v>
      </c>
      <c r="CB274" s="6">
        <f t="shared" ca="1" si="241"/>
        <v>0.78557820779451515</v>
      </c>
      <c r="CC274" s="6">
        <f t="shared" ca="1" si="242"/>
        <v>0.90363003206757053</v>
      </c>
      <c r="CD274" s="6">
        <f t="shared" ca="1" si="243"/>
        <v>-99.25261559417342</v>
      </c>
      <c r="CE274" s="9">
        <f t="shared" ca="1" si="244"/>
        <v>-20.576922062197063</v>
      </c>
      <c r="CF274">
        <f t="shared" ca="1" si="245"/>
        <v>101.36316601132036</v>
      </c>
      <c r="CG274" s="6">
        <f t="shared" ca="1" si="246"/>
        <v>-0.97917832976022834</v>
      </c>
      <c r="CH274" s="6">
        <f t="shared" ca="1" si="247"/>
        <v>-0.20300196680813037</v>
      </c>
      <c r="CI274" s="6">
        <f t="shared" ca="1" si="248"/>
        <v>-2.9371698997688807</v>
      </c>
      <c r="CJ274" s="1">
        <f t="shared" ca="1" si="249"/>
        <v>-2.5606172440132573</v>
      </c>
      <c r="CK274" s="38"/>
    </row>
    <row r="275" spans="55:89" x14ac:dyDescent="0.25">
      <c r="BC275">
        <v>4.7647488579444905</v>
      </c>
      <c r="BD275">
        <v>-22.92782190487948</v>
      </c>
      <c r="BE275">
        <v>-9.4655581269940079</v>
      </c>
      <c r="BF275" s="6">
        <f t="shared" si="232"/>
        <v>3.5331201037881965</v>
      </c>
      <c r="BG275" s="6">
        <f t="shared" si="233"/>
        <v>1.231628754156294</v>
      </c>
      <c r="BH275" s="6">
        <f t="shared" si="234"/>
        <v>-2.7477219403907482</v>
      </c>
      <c r="BI275" s="6">
        <f t="shared" si="235"/>
        <v>2.7477219403907482</v>
      </c>
      <c r="BV275" s="38"/>
      <c r="BW275" s="6">
        <f t="shared" si="236"/>
        <v>4.5378560551852303</v>
      </c>
      <c r="BX275" s="9">
        <f t="shared" ca="1" si="237"/>
        <v>22.275310940313176</v>
      </c>
      <c r="BY275" s="9">
        <f t="shared" ca="1" si="238"/>
        <v>32.040727402025006</v>
      </c>
      <c r="BZ275">
        <f t="shared" ca="1" si="239"/>
        <v>39.023040500946514</v>
      </c>
      <c r="CA275" s="6">
        <f t="shared" ca="1" si="240"/>
        <v>0.57082458604866737</v>
      </c>
      <c r="CB275" s="6">
        <f t="shared" ca="1" si="241"/>
        <v>0.82107203822951336</v>
      </c>
      <c r="CC275" s="6">
        <f t="shared" ca="1" si="242"/>
        <v>0.96328654197641439</v>
      </c>
      <c r="CD275" s="6">
        <f t="shared" ca="1" si="243"/>
        <v>-96.369116124766023</v>
      </c>
      <c r="CE275" s="9">
        <f t="shared" ca="1" si="244"/>
        <v>-20.676125673874061</v>
      </c>
      <c r="CF275">
        <f t="shared" ca="1" si="245"/>
        <v>98.562207339073282</v>
      </c>
      <c r="CG275" s="6">
        <f t="shared" ca="1" si="246"/>
        <v>-0.97774916701324888</v>
      </c>
      <c r="CH275" s="6">
        <f t="shared" ca="1" si="247"/>
        <v>-0.20977742110365022</v>
      </c>
      <c r="CI275" s="6">
        <f t="shared" ca="1" si="248"/>
        <v>-2.9302453435618903</v>
      </c>
      <c r="CJ275" s="1">
        <f t="shared" ca="1" si="249"/>
        <v>-2.5675418002202477</v>
      </c>
      <c r="CK275" s="38"/>
    </row>
    <row r="276" spans="55:89" x14ac:dyDescent="0.25">
      <c r="BC276">
        <v>4.7822021504644336</v>
      </c>
      <c r="BD276">
        <v>-17.645707761038558</v>
      </c>
      <c r="BE276">
        <v>-8.852331032773515</v>
      </c>
      <c r="BF276" s="6">
        <f t="shared" si="232"/>
        <v>3.606575769294484</v>
      </c>
      <c r="BG276" s="6">
        <f t="shared" si="233"/>
        <v>1.1756263811699497</v>
      </c>
      <c r="BH276" s="6">
        <f t="shared" si="234"/>
        <v>-2.8211776058970357</v>
      </c>
      <c r="BI276" s="6">
        <f t="shared" si="235"/>
        <v>2.8211776058970357</v>
      </c>
      <c r="BV276" s="38"/>
      <c r="BW276" s="6">
        <f t="shared" si="236"/>
        <v>4.5553093477051734</v>
      </c>
      <c r="BX276" s="9">
        <f t="shared" ca="1" si="237"/>
        <v>19.253265137171894</v>
      </c>
      <c r="BY276" s="9">
        <f t="shared" ca="1" si="238"/>
        <v>32.132604304005604</v>
      </c>
      <c r="BZ276">
        <f t="shared" ca="1" si="239"/>
        <v>37.459210853941357</v>
      </c>
      <c r="CA276" s="6">
        <f t="shared" ca="1" si="240"/>
        <v>0.51397946454993504</v>
      </c>
      <c r="CB276" s="6">
        <f t="shared" ca="1" si="241"/>
        <v>0.85780248893376509</v>
      </c>
      <c r="CC276" s="6">
        <f t="shared" ca="1" si="242"/>
        <v>1.0309788112991702</v>
      </c>
      <c r="CD276" s="6">
        <f t="shared" ca="1" si="243"/>
        <v>-93.347070321624741</v>
      </c>
      <c r="CE276" s="9">
        <f t="shared" ca="1" si="244"/>
        <v>-20.768002575854659</v>
      </c>
      <c r="CF276">
        <f t="shared" ca="1" si="245"/>
        <v>95.629417380955857</v>
      </c>
      <c r="CG276" s="6">
        <f t="shared" ca="1" si="246"/>
        <v>-0.97613342084644306</v>
      </c>
      <c r="CH276" s="6">
        <f t="shared" ca="1" si="247"/>
        <v>-0.21717169407319328</v>
      </c>
      <c r="CI276" s="6">
        <f t="shared" ca="1" si="248"/>
        <v>-2.9226765799971663</v>
      </c>
      <c r="CJ276" s="1">
        <f t="shared" ca="1" si="249"/>
        <v>-2.5751105637849716</v>
      </c>
      <c r="CK276" s="38"/>
    </row>
    <row r="277" spans="55:89" x14ac:dyDescent="0.25">
      <c r="BC277">
        <v>4.7996554429843767</v>
      </c>
      <c r="BD277">
        <v>-14.16581562399675</v>
      </c>
      <c r="BE277">
        <v>-8.3471505771000771</v>
      </c>
      <c r="BF277" s="6">
        <f t="shared" si="232"/>
        <v>3.6740672936269112</v>
      </c>
      <c r="BG277" s="6">
        <f t="shared" si="233"/>
        <v>1.1255881493574655</v>
      </c>
      <c r="BH277" s="6">
        <f t="shared" si="234"/>
        <v>-2.8886691302294629</v>
      </c>
      <c r="BI277" s="6">
        <f t="shared" si="235"/>
        <v>2.8886691302294629</v>
      </c>
      <c r="BV277" s="38"/>
      <c r="BW277" s="6">
        <f t="shared" si="236"/>
        <v>4.5727626402251165</v>
      </c>
      <c r="BX277" s="9">
        <f t="shared" ca="1" si="237"/>
        <v>16.057066824234411</v>
      </c>
      <c r="BY277" s="9">
        <f t="shared" ca="1" si="238"/>
        <v>32.219147683220285</v>
      </c>
      <c r="BZ277">
        <f t="shared" ca="1" si="239"/>
        <v>35.998650980711602</v>
      </c>
      <c r="CA277" s="6">
        <f t="shared" ca="1" si="240"/>
        <v>0.44604634859339398</v>
      </c>
      <c r="CB277" s="6">
        <f t="shared" ca="1" si="241"/>
        <v>0.89500986302191132</v>
      </c>
      <c r="CC277" s="6">
        <f t="shared" ca="1" si="242"/>
        <v>1.1084533143859501</v>
      </c>
      <c r="CD277" s="6">
        <f t="shared" ca="1" si="243"/>
        <v>-90.150872008687259</v>
      </c>
      <c r="CE277" s="9">
        <f t="shared" ca="1" si="244"/>
        <v>-20.854545955069341</v>
      </c>
      <c r="CF277">
        <f t="shared" ca="1" si="245"/>
        <v>92.531571968268281</v>
      </c>
      <c r="CG277" s="6">
        <f t="shared" ca="1" si="246"/>
        <v>-0.97427148475984571</v>
      </c>
      <c r="CH277" s="6">
        <f t="shared" ca="1" si="247"/>
        <v>-0.22537762529551492</v>
      </c>
      <c r="CI277" s="6">
        <f t="shared" ca="1" si="248"/>
        <v>-2.9142620371701002</v>
      </c>
      <c r="CJ277" s="1">
        <f t="shared" ca="1" si="249"/>
        <v>-2.5835251066120377</v>
      </c>
      <c r="CK277" s="38"/>
    </row>
    <row r="278" spans="55:89" x14ac:dyDescent="0.25">
      <c r="BC278">
        <v>4.8171087355043198</v>
      </c>
      <c r="BD278">
        <v>-11.712006151869593</v>
      </c>
      <c r="BE278">
        <v>-7.9207840338040265</v>
      </c>
      <c r="BF278" s="6">
        <f t="shared" si="232"/>
        <v>3.7362321902074354</v>
      </c>
      <c r="BG278" s="6">
        <f t="shared" si="233"/>
        <v>1.0808765452968845</v>
      </c>
      <c r="BH278" s="6">
        <f t="shared" si="234"/>
        <v>-2.9508340268099871</v>
      </c>
      <c r="BI278" s="6">
        <f t="shared" si="235"/>
        <v>2.9508340268099871</v>
      </c>
      <c r="BV278" s="38"/>
      <c r="BW278" s="6">
        <f t="shared" si="236"/>
        <v>4.5902159327450596</v>
      </c>
      <c r="BX278" s="9">
        <f t="shared" ca="1" si="237"/>
        <v>12.632195524098734</v>
      </c>
      <c r="BY278" s="9">
        <f t="shared" ca="1" si="238"/>
        <v>32.303398047029333</v>
      </c>
      <c r="BZ278">
        <f t="shared" ca="1" si="239"/>
        <v>34.685470865246714</v>
      </c>
      <c r="CA278" s="6">
        <f t="shared" ca="1" si="240"/>
        <v>0.3641927068879906</v>
      </c>
      <c r="CB278" s="6">
        <f t="shared" ca="1" si="241"/>
        <v>0.93132361306347111</v>
      </c>
      <c r="CC278" s="6">
        <f t="shared" ca="1" si="242"/>
        <v>1.1980304942036992</v>
      </c>
      <c r="CD278" s="6">
        <f t="shared" ca="1" si="243"/>
        <v>-86.726000708551581</v>
      </c>
      <c r="CE278" s="9">
        <f t="shared" ca="1" si="244"/>
        <v>-20.938796318878389</v>
      </c>
      <c r="CF278">
        <f t="shared" ca="1" si="245"/>
        <v>89.217892769237523</v>
      </c>
      <c r="CG278" s="6">
        <f t="shared" ca="1" si="246"/>
        <v>-0.972069592955628</v>
      </c>
      <c r="CH278" s="6">
        <f t="shared" ca="1" si="247"/>
        <v>-0.23469279164703744</v>
      </c>
      <c r="CI278" s="6">
        <f t="shared" ca="1" si="248"/>
        <v>-2.904690132907561</v>
      </c>
      <c r="CJ278" s="1">
        <f t="shared" ca="1" si="249"/>
        <v>-2.593097010874577</v>
      </c>
      <c r="CK278" s="38"/>
    </row>
    <row r="279" spans="55:89" x14ac:dyDescent="0.25">
      <c r="BC279">
        <v>4.8345620280242629</v>
      </c>
      <c r="BD279">
        <v>-9.8874540028075089</v>
      </c>
      <c r="BE279">
        <v>-7.5529964516547645</v>
      </c>
      <c r="BF279" s="6">
        <f t="shared" si="232"/>
        <v>3.7939286772228606</v>
      </c>
      <c r="BG279" s="6">
        <f t="shared" si="233"/>
        <v>1.0406333508014023</v>
      </c>
      <c r="BH279" s="6">
        <f t="shared" si="234"/>
        <v>-3.0085305138254124</v>
      </c>
      <c r="BI279" s="6">
        <f t="shared" si="235"/>
        <v>3.0085305138254124</v>
      </c>
      <c r="BV279" s="38"/>
      <c r="BW279" s="6">
        <f t="shared" si="236"/>
        <v>4.6076692252650027</v>
      </c>
      <c r="BX279" s="9">
        <f t="shared" ca="1" si="237"/>
        <v>8.8900236523089404</v>
      </c>
      <c r="BY279" s="9">
        <f t="shared" ca="1" si="238"/>
        <v>32.390097371596156</v>
      </c>
      <c r="BZ279">
        <f t="shared" ca="1" si="239"/>
        <v>33.58795808441014</v>
      </c>
      <c r="CA279" s="6">
        <f t="shared" ca="1" si="240"/>
        <v>0.26467889563180225</v>
      </c>
      <c r="CB279" s="6">
        <f t="shared" ca="1" si="241"/>
        <v>0.96433660212973848</v>
      </c>
      <c r="CC279" s="6">
        <f t="shared" ca="1" si="242"/>
        <v>1.3029253992488874</v>
      </c>
      <c r="CD279" s="6">
        <f t="shared" ca="1" si="243"/>
        <v>-82.983828836761788</v>
      </c>
      <c r="CE279" s="9">
        <f t="shared" ca="1" si="244"/>
        <v>-21.025495643445211</v>
      </c>
      <c r="CF279">
        <f t="shared" ca="1" si="245"/>
        <v>85.606000464111801</v>
      </c>
      <c r="CG279" s="6">
        <f t="shared" ca="1" si="246"/>
        <v>-0.96936930106378127</v>
      </c>
      <c r="CH279" s="6">
        <f t="shared" ca="1" si="247"/>
        <v>-0.24560773227876276</v>
      </c>
      <c r="CI279" s="6">
        <f t="shared" ca="1" si="248"/>
        <v>-2.8934460750408229</v>
      </c>
      <c r="CJ279" s="1">
        <f t="shared" ca="1" si="249"/>
        <v>-2.6043410687413151</v>
      </c>
      <c r="CK279" s="38"/>
    </row>
    <row r="280" spans="55:89" x14ac:dyDescent="0.25">
      <c r="BC280">
        <v>4.852015320544206</v>
      </c>
      <c r="BD280">
        <v>-8.4778685652030905</v>
      </c>
      <c r="BE280">
        <v>-7.2304992262210686</v>
      </c>
      <c r="BF280" s="6">
        <f t="shared" si="232"/>
        <v>3.8477491404029944</v>
      </c>
      <c r="BG280" s="6">
        <f t="shared" si="233"/>
        <v>1.0042661801412116</v>
      </c>
      <c r="BH280" s="6">
        <f t="shared" si="234"/>
        <v>-3.0623509770055461</v>
      </c>
      <c r="BI280" s="6">
        <f t="shared" si="235"/>
        <v>3.0623509770055461</v>
      </c>
      <c r="BV280" s="38"/>
      <c r="BW280" s="6">
        <f t="shared" si="236"/>
        <v>4.6251225177849458</v>
      </c>
      <c r="BX280" s="9">
        <f t="shared" ca="1" si="237"/>
        <v>4.6753279614522256</v>
      </c>
      <c r="BY280" s="9">
        <f t="shared" ca="1" si="238"/>
        <v>32.486899240352024</v>
      </c>
      <c r="BZ280">
        <f t="shared" ca="1" si="239"/>
        <v>32.821598282227541</v>
      </c>
      <c r="CA280" s="6">
        <f t="shared" ca="1" si="240"/>
        <v>0.14244668773439512</v>
      </c>
      <c r="CB280" s="6">
        <f t="shared" ca="1" si="241"/>
        <v>0.98980247582712166</v>
      </c>
      <c r="CC280" s="6">
        <f t="shared" ca="1" si="242"/>
        <v>1.4278634541476514</v>
      </c>
      <c r="CD280" s="6">
        <f t="shared" ca="1" si="243"/>
        <v>-78.769133145905073</v>
      </c>
      <c r="CE280" s="9">
        <f t="shared" ca="1" si="244"/>
        <v>-21.122297512201079</v>
      </c>
      <c r="CF280">
        <f t="shared" ca="1" si="245"/>
        <v>81.551994388557148</v>
      </c>
      <c r="CG280" s="6">
        <f t="shared" ca="1" si="246"/>
        <v>-0.96587623315019078</v>
      </c>
      <c r="CH280" s="6">
        <f t="shared" ca="1" si="247"/>
        <v>-0.25900405833808554</v>
      </c>
      <c r="CI280" s="6">
        <f t="shared" ca="1" si="248"/>
        <v>-2.879601721078187</v>
      </c>
      <c r="CJ280" s="1">
        <f t="shared" ca="1" si="249"/>
        <v>-2.6181854227039509</v>
      </c>
      <c r="CK280" s="38"/>
    </row>
    <row r="281" spans="55:89" x14ac:dyDescent="0.25">
      <c r="BC281">
        <v>4.8694686130641491</v>
      </c>
      <c r="BD281">
        <v>-7.3566668524389449</v>
      </c>
      <c r="BE281">
        <v>-6.9440332768693578</v>
      </c>
      <c r="BF281" s="6">
        <f t="shared" si="232"/>
        <v>3.898144738459127</v>
      </c>
      <c r="BG281" s="6">
        <f t="shared" si="233"/>
        <v>0.97132387460502212</v>
      </c>
      <c r="BH281" s="6">
        <f t="shared" si="234"/>
        <v>-3.1127465750616787</v>
      </c>
      <c r="BI281" s="6">
        <f t="shared" si="235"/>
        <v>3.1127465750616787</v>
      </c>
      <c r="BV281" s="38"/>
      <c r="BW281" s="6">
        <f t="shared" si="236"/>
        <v>4.6425758103048889</v>
      </c>
      <c r="BX281" s="9">
        <f t="shared" ca="1" si="237"/>
        <v>-0.31157679106450331</v>
      </c>
      <c r="BY281" s="9">
        <f t="shared" ca="1" si="238"/>
        <v>32.606801170217039</v>
      </c>
      <c r="BZ281">
        <f t="shared" ca="1" si="239"/>
        <v>32.608289784206676</v>
      </c>
      <c r="CA281" s="6">
        <f t="shared" ca="1" si="240"/>
        <v>-9.5551405218255499E-3</v>
      </c>
      <c r="CB281" s="6">
        <f t="shared" ca="1" si="241"/>
        <v>0.99995434860277899</v>
      </c>
      <c r="CC281" s="6">
        <f t="shared" ca="1" si="242"/>
        <v>1.5803516127212156</v>
      </c>
      <c r="CD281" s="6">
        <f t="shared" ca="1" si="243"/>
        <v>-73.782228393388351</v>
      </c>
      <c r="CE281" s="9">
        <f t="shared" ca="1" si="244"/>
        <v>-21.242199442066095</v>
      </c>
      <c r="CF281">
        <f t="shared" ca="1" si="245"/>
        <v>76.779217655760434</v>
      </c>
      <c r="CG281" s="6">
        <f t="shared" ca="1" si="246"/>
        <v>-0.9609661396159429</v>
      </c>
      <c r="CH281" s="6">
        <f t="shared" ca="1" si="247"/>
        <v>-0.27666600534151675</v>
      </c>
      <c r="CI281" s="6">
        <f t="shared" ca="1" si="248"/>
        <v>-2.8612697053167144</v>
      </c>
      <c r="CJ281" s="1">
        <f t="shared" ca="1" si="249"/>
        <v>-2.6365174384654235</v>
      </c>
      <c r="CK281" s="38"/>
    </row>
    <row r="282" spans="55:89" x14ac:dyDescent="0.25">
      <c r="BC282">
        <v>4.8869219055840922</v>
      </c>
      <c r="BD282">
        <v>-6.4440134422817694</v>
      </c>
      <c r="BE282">
        <v>-6.6868628621054382</v>
      </c>
      <c r="BF282" s="6">
        <f t="shared" si="232"/>
        <v>3.9454832413447529</v>
      </c>
      <c r="BG282" s="6">
        <f t="shared" si="233"/>
        <v>0.94143866423933931</v>
      </c>
      <c r="BH282" s="6">
        <f t="shared" si="234"/>
        <v>3.1231002292322816</v>
      </c>
      <c r="BI282" s="6">
        <f t="shared" si="235"/>
        <v>3.1231002292322816</v>
      </c>
      <c r="BV282" s="38"/>
      <c r="BW282" s="6">
        <f t="shared" si="236"/>
        <v>4.660029102824832</v>
      </c>
      <c r="BX282" s="9">
        <f t="shared" ca="1" si="237"/>
        <v>-5.8410914881197513</v>
      </c>
      <c r="BY282" s="9">
        <f t="shared" ca="1" si="238"/>
        <v>32.698497075755398</v>
      </c>
      <c r="BZ282">
        <f t="shared" ca="1" si="239"/>
        <v>33.21611146395329</v>
      </c>
      <c r="CA282" s="6">
        <f t="shared" ca="1" si="240"/>
        <v>-0.17585115266904758</v>
      </c>
      <c r="CB282" s="6">
        <f t="shared" ca="1" si="241"/>
        <v>0.98441676748467033</v>
      </c>
      <c r="CC282" s="6">
        <f t="shared" ca="1" si="242"/>
        <v>1.7475666546471857</v>
      </c>
      <c r="CD282" s="6">
        <f t="shared" ca="1" si="243"/>
        <v>-68.252713696333103</v>
      </c>
      <c r="CE282" s="9">
        <f t="shared" ca="1" si="244"/>
        <v>-21.333895347604454</v>
      </c>
      <c r="CF282">
        <f t="shared" ca="1" si="245"/>
        <v>71.509216312417763</v>
      </c>
      <c r="CG282" s="6">
        <f t="shared" ca="1" si="246"/>
        <v>-0.9544603788991719</v>
      </c>
      <c r="CH282" s="6">
        <f t="shared" ca="1" si="247"/>
        <v>-0.29833770313463448</v>
      </c>
      <c r="CI282" s="6">
        <f t="shared" ca="1" si="248"/>
        <v>-2.838642083844491</v>
      </c>
      <c r="CJ282" s="1">
        <f t="shared" ca="1" si="249"/>
        <v>-2.6591450599376469</v>
      </c>
      <c r="CK282" s="38"/>
    </row>
    <row r="283" spans="55:89" x14ac:dyDescent="0.25">
      <c r="BC283">
        <v>4.9043751981040353</v>
      </c>
      <c r="BD283">
        <v>-5.6869715691834193</v>
      </c>
      <c r="BE283">
        <v>-6.4539238862376225</v>
      </c>
      <c r="BF283" s="6">
        <f t="shared" si="232"/>
        <v>3.9900779725006918</v>
      </c>
      <c r="BG283" s="6">
        <f t="shared" si="233"/>
        <v>0.91429722560334348</v>
      </c>
      <c r="BH283" s="6">
        <f t="shared" si="234"/>
        <v>3.0785054980763427</v>
      </c>
      <c r="BI283" s="6">
        <f t="shared" si="235"/>
        <v>3.0785054980763427</v>
      </c>
      <c r="BV283" s="38"/>
      <c r="BW283" s="6">
        <f t="shared" si="236"/>
        <v>4.6774823953447751</v>
      </c>
      <c r="BX283" s="9">
        <f t="shared" ca="1" si="237"/>
        <v>-11.386108170641883</v>
      </c>
      <c r="BY283" s="9">
        <f t="shared" ca="1" si="238"/>
        <v>32.701565437565257</v>
      </c>
      <c r="BZ283">
        <f t="shared" ca="1" si="239"/>
        <v>34.627096923376648</v>
      </c>
      <c r="CA283" s="6">
        <f t="shared" ca="1" si="240"/>
        <v>-0.32882075548629536</v>
      </c>
      <c r="CB283" s="6">
        <f t="shared" ca="1" si="241"/>
        <v>0.94439235001212385</v>
      </c>
      <c r="CC283" s="6">
        <f t="shared" ca="1" si="242"/>
        <v>1.9058509493486249</v>
      </c>
      <c r="CD283" s="6">
        <f t="shared" ca="1" si="243"/>
        <v>-62.707697013810964</v>
      </c>
      <c r="CE283" s="9">
        <f t="shared" ca="1" si="244"/>
        <v>-21.336963709414313</v>
      </c>
      <c r="CF283">
        <f t="shared" ca="1" si="245"/>
        <v>66.238367168226446</v>
      </c>
      <c r="CG283" s="6">
        <f t="shared" ca="1" si="246"/>
        <v>-0.94669750621345194</v>
      </c>
      <c r="CH283" s="6">
        <f t="shared" ca="1" si="247"/>
        <v>-0.32212393846038728</v>
      </c>
      <c r="CI283" s="6">
        <f t="shared" ca="1" si="248"/>
        <v>-2.8136204962192082</v>
      </c>
      <c r="CJ283" s="1">
        <f t="shared" ca="1" si="249"/>
        <v>-2.6841666475629298</v>
      </c>
      <c r="CK283" s="38"/>
    </row>
    <row r="284" spans="55:89" x14ac:dyDescent="0.25">
      <c r="BC284">
        <v>4.9218284906239784</v>
      </c>
      <c r="BD284">
        <v>-5.049022748900664</v>
      </c>
      <c r="BE284">
        <v>-6.241308549209271</v>
      </c>
      <c r="BF284" s="6">
        <f t="shared" si="232"/>
        <v>4.0322032435749779</v>
      </c>
      <c r="BG284" s="6">
        <f t="shared" si="233"/>
        <v>0.88962524704900048</v>
      </c>
      <c r="BH284" s="6">
        <f t="shared" si="234"/>
        <v>3.0363802270020566</v>
      </c>
      <c r="BI284" s="6">
        <f t="shared" si="235"/>
        <v>3.0363802270020566</v>
      </c>
      <c r="BV284" s="38"/>
      <c r="BW284" s="6">
        <f t="shared" si="236"/>
        <v>4.6949356878647182</v>
      </c>
      <c r="BX284" s="9">
        <f t="shared" ca="1" si="237"/>
        <v>-16.950927608111847</v>
      </c>
      <c r="BY284" s="9">
        <f t="shared" ca="1" si="238"/>
        <v>32.61603978915484</v>
      </c>
      <c r="BZ284">
        <f t="shared" ca="1" si="239"/>
        <v>36.757856280027816</v>
      </c>
      <c r="CA284" s="6">
        <f t="shared" ca="1" si="240"/>
        <v>-0.46115114763430975</v>
      </c>
      <c r="CB284" s="6">
        <f t="shared" ca="1" si="241"/>
        <v>0.88732159842728886</v>
      </c>
      <c r="CC284" s="6">
        <f t="shared" ca="1" si="242"/>
        <v>2.0500884171593388</v>
      </c>
      <c r="CD284" s="6">
        <f t="shared" ca="1" si="243"/>
        <v>-57.142877576341</v>
      </c>
      <c r="CE284" s="9">
        <f t="shared" ca="1" si="244"/>
        <v>-21.251438061003896</v>
      </c>
      <c r="CF284">
        <f t="shared" ca="1" si="245"/>
        <v>60.966647253768024</v>
      </c>
      <c r="CG284" s="6">
        <f t="shared" ca="1" si="246"/>
        <v>-0.93728095852949012</v>
      </c>
      <c r="CH284" s="6">
        <f t="shared" ca="1" si="247"/>
        <v>-0.34857481948362279</v>
      </c>
      <c r="CI284" s="6">
        <f t="shared" ca="1" si="248"/>
        <v>-2.7855425285209408</v>
      </c>
      <c r="CJ284" s="1">
        <f t="shared" ca="1" si="249"/>
        <v>-2.7122446152611972</v>
      </c>
      <c r="CK284" s="38"/>
    </row>
    <row r="285" spans="55:89" x14ac:dyDescent="0.25">
      <c r="BC285">
        <v>4.9392817831439215</v>
      </c>
      <c r="BD285">
        <v>-4.5041515039058968</v>
      </c>
      <c r="BE285">
        <v>-6.0459366857997177</v>
      </c>
      <c r="BF285" s="6">
        <f t="shared" si="232"/>
        <v>4.0721031458119299</v>
      </c>
      <c r="BG285" s="6">
        <f t="shared" si="233"/>
        <v>0.86717863733199163</v>
      </c>
      <c r="BH285" s="6">
        <f t="shared" si="234"/>
        <v>2.9964803247651046</v>
      </c>
      <c r="BI285" s="6">
        <f t="shared" si="235"/>
        <v>2.9964803247651046</v>
      </c>
      <c r="BV285" s="38"/>
      <c r="BW285" s="6">
        <f t="shared" si="236"/>
        <v>4.7123889803846613</v>
      </c>
      <c r="BX285" s="9">
        <f t="shared" ca="1" si="237"/>
        <v>-22.53993995327037</v>
      </c>
      <c r="BY285" s="9">
        <f t="shared" ca="1" si="238"/>
        <v>32.441716101394832</v>
      </c>
      <c r="BZ285">
        <f t="shared" ca="1" si="239"/>
        <v>39.503339563896802</v>
      </c>
      <c r="CA285" s="6">
        <f t="shared" ca="1" si="240"/>
        <v>-0.57058315074379806</v>
      </c>
      <c r="CB285" s="6">
        <f t="shared" ca="1" si="241"/>
        <v>0.82123983591109384</v>
      </c>
      <c r="CC285" s="6">
        <f t="shared" ca="1" si="242"/>
        <v>2.1780120927891446</v>
      </c>
      <c r="CD285" s="6">
        <f t="shared" ca="1" si="243"/>
        <v>-51.553865231182478</v>
      </c>
      <c r="CE285" s="9">
        <f t="shared" ca="1" si="244"/>
        <v>-21.077114373243887</v>
      </c>
      <c r="CF285">
        <f t="shared" ca="1" si="245"/>
        <v>55.696012160456604</v>
      </c>
      <c r="CG285" s="6">
        <f t="shared" ca="1" si="246"/>
        <v>-0.92562938047806964</v>
      </c>
      <c r="CH285" s="6">
        <f t="shared" ca="1" si="247"/>
        <v>-0.37843130155390814</v>
      </c>
      <c r="CI285" s="6">
        <f t="shared" ca="1" si="248"/>
        <v>-2.7534916825457945</v>
      </c>
      <c r="CJ285" s="1">
        <f t="shared" ca="1" si="249"/>
        <v>-2.7442954612363435</v>
      </c>
      <c r="CK285" s="38"/>
    </row>
    <row r="286" spans="55:89" x14ac:dyDescent="0.25">
      <c r="BC286">
        <v>4.9567350756638646</v>
      </c>
      <c r="BD286">
        <v>-4.4996244601221136</v>
      </c>
      <c r="BE286">
        <v>-5.929170660409306</v>
      </c>
      <c r="BF286" s="6">
        <f t="shared" si="232"/>
        <v>4.0632186401883832</v>
      </c>
      <c r="BG286" s="6">
        <f t="shared" si="233"/>
        <v>0.89351643547548143</v>
      </c>
      <c r="BH286" s="6">
        <f t="shared" si="234"/>
        <v>3.0053648303886513</v>
      </c>
      <c r="BI286" s="6">
        <f t="shared" si="235"/>
        <v>3.0053648303886513</v>
      </c>
      <c r="BV286" s="38"/>
      <c r="BW286" s="6">
        <f t="shared" si="236"/>
        <v>4.7298422729046044</v>
      </c>
      <c r="BX286" s="9">
        <f t="shared" ca="1" si="237"/>
        <v>-28.801044752877488</v>
      </c>
      <c r="BY286" s="9">
        <f t="shared" ca="1" si="238"/>
        <v>31.97602597754117</v>
      </c>
      <c r="BZ286">
        <f t="shared" ca="1" si="239"/>
        <v>43.034479387737917</v>
      </c>
      <c r="CA286" s="6">
        <f t="shared" ca="1" si="240"/>
        <v>-0.66925509876352651</v>
      </c>
      <c r="CB286" s="6">
        <f t="shared" ca="1" si="241"/>
        <v>0.74303271312844787</v>
      </c>
      <c r="CC286" s="6">
        <f t="shared" ca="1" si="242"/>
        <v>2.3040021463236702</v>
      </c>
      <c r="CD286" s="6">
        <f t="shared" ca="1" si="243"/>
        <v>-45.29276043157536</v>
      </c>
      <c r="CE286" s="9">
        <f t="shared" ca="1" si="244"/>
        <v>-20.611424249390225</v>
      </c>
      <c r="CF286">
        <f t="shared" ca="1" si="245"/>
        <v>49.762083528530333</v>
      </c>
      <c r="CG286" s="6">
        <f t="shared" ca="1" si="246"/>
        <v>-0.91018617429086235</v>
      </c>
      <c r="CH286" s="6">
        <f t="shared" ca="1" si="247"/>
        <v>-0.41419938209727453</v>
      </c>
      <c r="CI286" s="6">
        <f t="shared" ca="1" si="248"/>
        <v>-2.7145296467858557</v>
      </c>
      <c r="CJ286" s="1">
        <f t="shared" ca="1" si="249"/>
        <v>-2.7832574969962822</v>
      </c>
      <c r="CK286" s="38"/>
    </row>
    <row r="287" spans="55:89" x14ac:dyDescent="0.25">
      <c r="BC287">
        <v>4.9741883681838077</v>
      </c>
      <c r="BD287">
        <v>-4.0580240208098566</v>
      </c>
      <c r="BE287">
        <v>-5.7547967577431978</v>
      </c>
      <c r="BF287" s="6">
        <f t="shared" si="232"/>
        <v>4.0982116203943617</v>
      </c>
      <c r="BG287" s="6">
        <f t="shared" si="233"/>
        <v>0.87597674778944601</v>
      </c>
      <c r="BH287" s="6">
        <f t="shared" si="234"/>
        <v>2.9703718501826728</v>
      </c>
      <c r="BI287" s="6">
        <f t="shared" si="235"/>
        <v>2.9703718501826728</v>
      </c>
      <c r="BV287" s="38"/>
      <c r="BW287" s="6">
        <f t="shared" si="236"/>
        <v>4.7472955654245474</v>
      </c>
      <c r="BX287" s="9">
        <f t="shared" ca="1" si="237"/>
        <v>-35.007353357546492</v>
      </c>
      <c r="BY287" s="9">
        <f t="shared" ca="1" si="238"/>
        <v>31.439133715606005</v>
      </c>
      <c r="BZ287">
        <f t="shared" ca="1" si="239"/>
        <v>47.052459211903852</v>
      </c>
      <c r="CA287" s="6">
        <f t="shared" ca="1" si="240"/>
        <v>-0.74400687963807732</v>
      </c>
      <c r="CB287" s="6">
        <f t="shared" ca="1" si="241"/>
        <v>0.66817195619930925</v>
      </c>
      <c r="CC287" s="6">
        <f t="shared" ca="1" si="242"/>
        <v>2.4098436108380907</v>
      </c>
      <c r="CD287" s="6">
        <f t="shared" ca="1" si="243"/>
        <v>-39.086451826906355</v>
      </c>
      <c r="CE287" s="9">
        <f t="shared" ca="1" si="244"/>
        <v>-20.07453198745506</v>
      </c>
      <c r="CF287">
        <f t="shared" ca="1" si="245"/>
        <v>43.940158749513266</v>
      </c>
      <c r="CG287" s="6">
        <f t="shared" ca="1" si="246"/>
        <v>-0.88953824790947811</v>
      </c>
      <c r="CH287" s="6">
        <f t="shared" ca="1" si="247"/>
        <v>-0.45686070689668207</v>
      </c>
      <c r="CI287" s="6">
        <f t="shared" ca="1" si="248"/>
        <v>-2.6671297931819966</v>
      </c>
      <c r="CJ287" s="1">
        <f t="shared" ca="1" si="249"/>
        <v>-2.8306573506001413</v>
      </c>
      <c r="CK287" s="38"/>
    </row>
    <row r="288" spans="55:89" x14ac:dyDescent="0.25">
      <c r="BC288">
        <v>4.9916416607037508</v>
      </c>
      <c r="BD288">
        <v>-3.6686655807252522</v>
      </c>
      <c r="BE288">
        <v>-5.5918532337723983</v>
      </c>
      <c r="BF288" s="6">
        <f t="shared" si="232"/>
        <v>4.1317561488408483</v>
      </c>
      <c r="BG288" s="6">
        <f t="shared" si="233"/>
        <v>0.85988551186290252</v>
      </c>
      <c r="BH288" s="6">
        <f t="shared" si="234"/>
        <v>2.9368273217361862</v>
      </c>
      <c r="BI288" s="6">
        <f t="shared" si="235"/>
        <v>2.9368273217361862</v>
      </c>
      <c r="BV288" s="38"/>
      <c r="BW288" s="6">
        <f t="shared" si="236"/>
        <v>4.7647488579444905</v>
      </c>
      <c r="BX288" s="9">
        <f t="shared" ca="1" si="237"/>
        <v>-41.165983279573368</v>
      </c>
      <c r="BY288" s="9">
        <f t="shared" ca="1" si="238"/>
        <v>30.830159855144952</v>
      </c>
      <c r="BZ288">
        <f t="shared" ca="1" si="239"/>
        <v>51.430894762466515</v>
      </c>
      <c r="CA288" s="6">
        <f t="shared" ca="1" si="240"/>
        <v>-0.80041351545016626</v>
      </c>
      <c r="CB288" s="6">
        <f t="shared" ca="1" si="241"/>
        <v>0.59944824988042666</v>
      </c>
      <c r="CC288" s="6">
        <f t="shared" ca="1" si="242"/>
        <v>2.4987810542169018</v>
      </c>
      <c r="CD288" s="6">
        <f t="shared" ca="1" si="243"/>
        <v>-32.92782190487948</v>
      </c>
      <c r="CE288" s="9">
        <f t="shared" ca="1" si="244"/>
        <v>-19.465558126994008</v>
      </c>
      <c r="CF288">
        <f t="shared" ca="1" si="245"/>
        <v>38.251136043192801</v>
      </c>
      <c r="CG288" s="6">
        <f t="shared" ca="1" si="246"/>
        <v>-0.86083252188112036</v>
      </c>
      <c r="CH288" s="6">
        <f t="shared" ca="1" si="247"/>
        <v>-0.50888836621776912</v>
      </c>
      <c r="CI288" s="6">
        <f t="shared" ca="1" si="248"/>
        <v>-2.6076997042857855</v>
      </c>
      <c r="CJ288" s="1">
        <f t="shared" ca="1" si="249"/>
        <v>-2.8900874394963525</v>
      </c>
      <c r="CK288" s="38"/>
    </row>
    <row r="289" spans="55:89" x14ac:dyDescent="0.25">
      <c r="BC289">
        <v>5.0090949532236939</v>
      </c>
      <c r="BD289">
        <v>-3.3225768460337441</v>
      </c>
      <c r="BE289">
        <v>-5.4389079452646998</v>
      </c>
      <c r="BF289" s="6">
        <f t="shared" si="232"/>
        <v>4.1640002650289052</v>
      </c>
      <c r="BG289" s="6">
        <f t="shared" si="233"/>
        <v>0.84509468819478872</v>
      </c>
      <c r="BH289" s="6">
        <f t="shared" si="234"/>
        <v>2.9045832055481293</v>
      </c>
      <c r="BI289" s="6">
        <f t="shared" si="235"/>
        <v>2.9045832055481293</v>
      </c>
      <c r="BV289" s="38"/>
      <c r="BW289" s="6">
        <f t="shared" si="236"/>
        <v>4.7822021504644336</v>
      </c>
      <c r="BX289" s="9">
        <f t="shared" ca="1" si="237"/>
        <v>-46.448097423414289</v>
      </c>
      <c r="BY289" s="9">
        <f t="shared" ca="1" si="238"/>
        <v>30.216932760924458</v>
      </c>
      <c r="BZ289">
        <f t="shared" ca="1" si="239"/>
        <v>55.411991299115165</v>
      </c>
      <c r="CA289" s="6">
        <f t="shared" ca="1" si="240"/>
        <v>-0.83823187606968363</v>
      </c>
      <c r="CB289" s="6">
        <f t="shared" ca="1" si="241"/>
        <v>0.545313966390646</v>
      </c>
      <c r="CC289" s="6">
        <f t="shared" ca="1" si="242"/>
        <v>2.5648290265447429</v>
      </c>
      <c r="CD289" s="6">
        <f t="shared" ca="1" si="243"/>
        <v>-27.645707761038558</v>
      </c>
      <c r="CE289" s="9">
        <f t="shared" ca="1" si="244"/>
        <v>-18.852331032773513</v>
      </c>
      <c r="CF289">
        <f t="shared" ca="1" si="245"/>
        <v>33.461852055408151</v>
      </c>
      <c r="CG289" s="6">
        <f t="shared" ca="1" si="246"/>
        <v>-0.82618582244823535</v>
      </c>
      <c r="CH289" s="6">
        <f t="shared" ca="1" si="247"/>
        <v>-0.56339771634746005</v>
      </c>
      <c r="CI289" s="6">
        <f t="shared" ca="1" si="248"/>
        <v>-2.54310005977141</v>
      </c>
      <c r="CJ289" s="1">
        <f t="shared" ca="1" si="249"/>
        <v>-2.954687084010728</v>
      </c>
      <c r="CK289" s="38"/>
    </row>
    <row r="290" spans="55:89" x14ac:dyDescent="0.25">
      <c r="BC290">
        <v>5.026548245743637</v>
      </c>
      <c r="BD290">
        <v>-3.0126902554184536</v>
      </c>
      <c r="BE290">
        <v>-5.2947535551989739</v>
      </c>
      <c r="BF290" s="6">
        <f t="shared" si="232"/>
        <v>4.1950790486030636</v>
      </c>
      <c r="BG290" s="6">
        <f t="shared" si="233"/>
        <v>0.83146919714057343</v>
      </c>
      <c r="BH290" s="6">
        <f t="shared" si="234"/>
        <v>2.8735044219739709</v>
      </c>
      <c r="BI290" s="6">
        <f t="shared" si="235"/>
        <v>2.8735044219739709</v>
      </c>
      <c r="BV290" s="38"/>
      <c r="BW290" s="6">
        <f t="shared" si="236"/>
        <v>4.7996554429843767</v>
      </c>
      <c r="BX290" s="9">
        <f t="shared" ca="1" si="237"/>
        <v>-49.927989560456098</v>
      </c>
      <c r="BY290" s="9">
        <f t="shared" ca="1" si="238"/>
        <v>29.711752305251022</v>
      </c>
      <c r="BZ290">
        <f t="shared" ca="1" si="239"/>
        <v>58.099848249350899</v>
      </c>
      <c r="CA290" s="6">
        <f t="shared" ca="1" si="240"/>
        <v>-0.85934802008736577</v>
      </c>
      <c r="CB290" s="6">
        <f t="shared" ca="1" si="241"/>
        <v>0.51139122046816987</v>
      </c>
      <c r="CC290" s="6">
        <f t="shared" ca="1" si="242"/>
        <v>2.6047897161500644</v>
      </c>
      <c r="CD290" s="6">
        <f t="shared" ca="1" si="243"/>
        <v>-24.16581562399675</v>
      </c>
      <c r="CE290" s="9">
        <f t="shared" ca="1" si="244"/>
        <v>-18.347150577100077</v>
      </c>
      <c r="CF290">
        <f t="shared" ca="1" si="245"/>
        <v>30.341466330284518</v>
      </c>
      <c r="CG290" s="6">
        <f t="shared" ca="1" si="246"/>
        <v>-0.79646169242243547</v>
      </c>
      <c r="CH290" s="6">
        <f t="shared" ca="1" si="247"/>
        <v>-0.60468898824403094</v>
      </c>
      <c r="CI290" s="6">
        <f t="shared" ca="1" si="248"/>
        <v>-2.4922173358719046</v>
      </c>
      <c r="CJ290" s="1">
        <f t="shared" ca="1" si="249"/>
        <v>-3.0055698079102333</v>
      </c>
      <c r="CK290" s="38"/>
    </row>
    <row r="291" spans="55:89" x14ac:dyDescent="0.25">
      <c r="BC291">
        <v>5.0440015382635801</v>
      </c>
      <c r="BD291">
        <v>-2.7333656793658752</v>
      </c>
      <c r="BE291">
        <v>-5.1583629067465671</v>
      </c>
      <c r="BF291" s="6">
        <f t="shared" si="232"/>
        <v>4.2251161670671324</v>
      </c>
      <c r="BG291" s="6">
        <f t="shared" si="233"/>
        <v>0.81888537119644766</v>
      </c>
      <c r="BH291" s="6">
        <f t="shared" si="234"/>
        <v>2.8434673035099021</v>
      </c>
      <c r="BI291" s="6">
        <f t="shared" si="235"/>
        <v>2.8434673035099021</v>
      </c>
      <c r="BV291" s="38"/>
      <c r="BW291" s="6">
        <f t="shared" si="236"/>
        <v>4.8171087355043198</v>
      </c>
      <c r="BX291" s="9">
        <f t="shared" ca="1" si="237"/>
        <v>-52.381799032583253</v>
      </c>
      <c r="BY291" s="9">
        <f t="shared" ca="1" si="238"/>
        <v>29.28538576195497</v>
      </c>
      <c r="BZ291">
        <f t="shared" ca="1" si="239"/>
        <v>60.0123877971578</v>
      </c>
      <c r="CA291" s="6">
        <f t="shared" ca="1" si="240"/>
        <v>-0.87284977244421635</v>
      </c>
      <c r="CB291" s="6">
        <f t="shared" ca="1" si="241"/>
        <v>0.48798901088454827</v>
      </c>
      <c r="CC291" s="6">
        <f t="shared" ca="1" si="242"/>
        <v>2.6318083234046825</v>
      </c>
      <c r="CD291" s="6">
        <f t="shared" ca="1" si="243"/>
        <v>-21.712006151869595</v>
      </c>
      <c r="CE291" s="9">
        <f t="shared" ca="1" si="244"/>
        <v>-17.920784033804026</v>
      </c>
      <c r="CF291">
        <f t="shared" ca="1" si="245"/>
        <v>28.152543606663119</v>
      </c>
      <c r="CG291" s="6">
        <f t="shared" ca="1" si="246"/>
        <v>-0.77122715642400486</v>
      </c>
      <c r="CH291" s="6">
        <f t="shared" ca="1" si="247"/>
        <v>-0.63656003110008685</v>
      </c>
      <c r="CI291" s="6">
        <f t="shared" ca="1" si="248"/>
        <v>-2.4515630273006095</v>
      </c>
      <c r="CJ291" s="1">
        <f t="shared" ca="1" si="249"/>
        <v>-3.0462241164815285</v>
      </c>
      <c r="CK291" s="38"/>
    </row>
    <row r="292" spans="55:89" x14ac:dyDescent="0.25">
      <c r="BC292">
        <v>5.0614548307835232</v>
      </c>
      <c r="BD292">
        <v>-2.4800494760587259</v>
      </c>
      <c r="BE292">
        <v>-5.0288548356542773</v>
      </c>
      <c r="BF292" s="6">
        <f t="shared" si="232"/>
        <v>4.2542252216879337</v>
      </c>
      <c r="BG292" s="6">
        <f t="shared" si="233"/>
        <v>0.8072296090955895</v>
      </c>
      <c r="BH292" s="6">
        <f t="shared" si="234"/>
        <v>2.8143582488891008</v>
      </c>
      <c r="BI292" s="6">
        <f t="shared" si="235"/>
        <v>2.8143582488891008</v>
      </c>
      <c r="BV292" s="38"/>
      <c r="BW292" s="6">
        <f t="shared" si="236"/>
        <v>4.8345620280242629</v>
      </c>
      <c r="BX292" s="9">
        <f t="shared" ca="1" si="237"/>
        <v>-54.206351181645338</v>
      </c>
      <c r="BY292" s="9">
        <f t="shared" ca="1" si="238"/>
        <v>28.917598179805708</v>
      </c>
      <c r="BZ292">
        <f t="shared" ca="1" si="239"/>
        <v>61.437415252568734</v>
      </c>
      <c r="CA292" s="6">
        <f t="shared" ca="1" si="240"/>
        <v>-0.88230194839420661</v>
      </c>
      <c r="CB292" s="6">
        <f t="shared" ca="1" si="241"/>
        <v>0.47068383428771682</v>
      </c>
      <c r="CC292" s="6">
        <f t="shared" ca="1" si="242"/>
        <v>2.6515269786792586</v>
      </c>
      <c r="CD292" s="6">
        <f t="shared" ca="1" si="243"/>
        <v>-19.887454002807509</v>
      </c>
      <c r="CE292" s="9">
        <f t="shared" ca="1" si="244"/>
        <v>-17.552996451654764</v>
      </c>
      <c r="CF292">
        <f t="shared" ca="1" si="245"/>
        <v>26.525808397588737</v>
      </c>
      <c r="CG292" s="6">
        <f t="shared" ca="1" si="246"/>
        <v>-0.74973978944277264</v>
      </c>
      <c r="CH292" s="6">
        <f t="shared" ca="1" si="247"/>
        <v>-0.66173276186562424</v>
      </c>
      <c r="CI292" s="6">
        <f t="shared" ca="1" si="248"/>
        <v>-2.4184650920858952</v>
      </c>
      <c r="CJ292" s="1">
        <f t="shared" ca="1" si="249"/>
        <v>-3.0793220516962427</v>
      </c>
      <c r="CK292" s="38"/>
    </row>
    <row r="293" spans="55:89" x14ac:dyDescent="0.25">
      <c r="BC293">
        <v>5.0789081233034663</v>
      </c>
      <c r="BD293">
        <v>-2.2490265140338583</v>
      </c>
      <c r="BE293">
        <v>-4.9054676062210554</v>
      </c>
      <c r="BF293" s="6">
        <f t="shared" si="232"/>
        <v>4.282510939311571</v>
      </c>
      <c r="BG293" s="6">
        <f t="shared" si="233"/>
        <v>0.7963971839918953</v>
      </c>
      <c r="BH293" s="6">
        <f t="shared" si="234"/>
        <v>2.7860725312654635</v>
      </c>
      <c r="BI293" s="6">
        <f t="shared" si="235"/>
        <v>2.7860725312654635</v>
      </c>
      <c r="BV293" s="38"/>
      <c r="BW293" s="6">
        <f t="shared" si="236"/>
        <v>4.852015320544206</v>
      </c>
      <c r="BX293" s="9">
        <f t="shared" ca="1" si="237"/>
        <v>-55.615936619249759</v>
      </c>
      <c r="BY293" s="9">
        <f t="shared" ca="1" si="238"/>
        <v>28.595100954372015</v>
      </c>
      <c r="BZ293">
        <f t="shared" ca="1" si="239"/>
        <v>62.536486986615529</v>
      </c>
      <c r="CA293" s="6">
        <f t="shared" ca="1" si="240"/>
        <v>-0.8893357989736943</v>
      </c>
      <c r="CB293" s="6">
        <f t="shared" ca="1" si="241"/>
        <v>0.45725467374737772</v>
      </c>
      <c r="CC293" s="6">
        <f t="shared" ca="1" si="242"/>
        <v>2.6666868536214983</v>
      </c>
      <c r="CD293" s="6">
        <f t="shared" ca="1" si="243"/>
        <v>-18.477868565203089</v>
      </c>
      <c r="CE293" s="9">
        <f t="shared" ca="1" si="244"/>
        <v>-17.23049922622107</v>
      </c>
      <c r="CF293">
        <f t="shared" ca="1" si="245"/>
        <v>25.265029790161048</v>
      </c>
      <c r="CG293" s="6">
        <f t="shared" ca="1" si="246"/>
        <v>-0.73136143985070301</v>
      </c>
      <c r="CH293" s="6">
        <f t="shared" ca="1" si="247"/>
        <v>-0.68199006173074606</v>
      </c>
      <c r="CI293" s="6">
        <f t="shared" ca="1" si="248"/>
        <v>-2.3911124217090909</v>
      </c>
      <c r="CJ293" s="1">
        <f t="shared" ca="1" si="249"/>
        <v>-3.1066747220730471</v>
      </c>
      <c r="CK293" s="38"/>
    </row>
    <row r="294" spans="55:89" x14ac:dyDescent="0.25">
      <c r="BC294">
        <v>5.0963614158234094</v>
      </c>
      <c r="BD294">
        <v>-2.0372368802639675</v>
      </c>
      <c r="BE294">
        <v>-4.7875380098315823</v>
      </c>
      <c r="BF294" s="6">
        <f t="shared" si="232"/>
        <v>4.3100702411430287</v>
      </c>
      <c r="BG294" s="6">
        <f t="shared" si="233"/>
        <v>0.78629117468038068</v>
      </c>
      <c r="BH294" s="6">
        <f t="shared" si="234"/>
        <v>2.7585132294340058</v>
      </c>
      <c r="BI294" s="6">
        <f t="shared" si="235"/>
        <v>2.7585132294340058</v>
      </c>
      <c r="BV294" s="38"/>
      <c r="BW294" s="6">
        <f t="shared" si="236"/>
        <v>4.8694686130641491</v>
      </c>
      <c r="BX294" s="9">
        <f t="shared" ca="1" si="237"/>
        <v>-56.737138332013899</v>
      </c>
      <c r="BY294" s="9">
        <f t="shared" ca="1" si="238"/>
        <v>28.308635005020303</v>
      </c>
      <c r="BZ294">
        <f t="shared" ca="1" si="239"/>
        <v>63.407268368488651</v>
      </c>
      <c r="CA294" s="6">
        <f t="shared" ca="1" si="240"/>
        <v>-0.89480496151148514</v>
      </c>
      <c r="CB294" s="6">
        <f t="shared" ca="1" si="241"/>
        <v>0.44645725534974745</v>
      </c>
      <c r="CC294" s="6">
        <f t="shared" ca="1" si="242"/>
        <v>2.6787904799944471</v>
      </c>
      <c r="CD294" s="6">
        <f t="shared" ca="1" si="243"/>
        <v>-17.356666852438948</v>
      </c>
      <c r="CE294" s="9">
        <f t="shared" ca="1" si="244"/>
        <v>-16.944033276869359</v>
      </c>
      <c r="CF294">
        <f t="shared" ca="1" si="245"/>
        <v>24.256012613663628</v>
      </c>
      <c r="CG294" s="6">
        <f t="shared" ca="1" si="246"/>
        <v>-0.71556142095101749</v>
      </c>
      <c r="CH294" s="6">
        <f t="shared" ca="1" si="247"/>
        <v>-0.69854982130594023</v>
      </c>
      <c r="CI294" s="6">
        <f t="shared" ca="1" si="248"/>
        <v>-2.368223797773414</v>
      </c>
      <c r="CJ294" s="1">
        <f t="shared" ca="1" si="249"/>
        <v>-3.129563346008724</v>
      </c>
      <c r="CK294" s="38"/>
    </row>
    <row r="295" spans="55:89" x14ac:dyDescent="0.25">
      <c r="BC295">
        <v>5.1138147083433525</v>
      </c>
      <c r="BD295">
        <v>-1.8421384196834061</v>
      </c>
      <c r="BE295">
        <v>-4.6744847326350909</v>
      </c>
      <c r="BF295" s="6">
        <f t="shared" si="232"/>
        <v>4.3369932102726612</v>
      </c>
      <c r="BG295" s="6">
        <f t="shared" si="233"/>
        <v>0.77682149807069134</v>
      </c>
      <c r="BH295" s="6">
        <f t="shared" si="234"/>
        <v>2.7315902603043734</v>
      </c>
      <c r="BI295" s="6">
        <f t="shared" si="235"/>
        <v>2.7315902603043734</v>
      </c>
      <c r="BV295" s="38"/>
      <c r="BW295" s="6">
        <f t="shared" si="236"/>
        <v>4.8869219055840922</v>
      </c>
      <c r="BX295" s="9">
        <f t="shared" ca="1" si="237"/>
        <v>-57.649791742171075</v>
      </c>
      <c r="BY295" s="9">
        <f t="shared" ca="1" si="238"/>
        <v>28.051464590256384</v>
      </c>
      <c r="BZ295">
        <f t="shared" ca="1" si="239"/>
        <v>64.112269914378359</v>
      </c>
      <c r="CA295" s="6">
        <f t="shared" ca="1" si="240"/>
        <v>-0.8992006026172854</v>
      </c>
      <c r="CB295" s="6">
        <f t="shared" ca="1" si="241"/>
        <v>0.437536599900752</v>
      </c>
      <c r="CC295" s="6">
        <f t="shared" ca="1" si="242"/>
        <v>2.6887353565385892</v>
      </c>
      <c r="CD295" s="6">
        <f t="shared" ca="1" si="243"/>
        <v>-16.444013442281772</v>
      </c>
      <c r="CE295" s="9">
        <f t="shared" ca="1" si="244"/>
        <v>-16.686862862105439</v>
      </c>
      <c r="CF295">
        <f t="shared" ca="1" si="245"/>
        <v>23.427696648809871</v>
      </c>
      <c r="CG295" s="6">
        <f t="shared" ca="1" si="246"/>
        <v>-0.7019048303716674</v>
      </c>
      <c r="CH295" s="6">
        <f t="shared" ca="1" si="247"/>
        <v>-0.71227074143258262</v>
      </c>
      <c r="CI295" s="6">
        <f t="shared" ca="1" si="248"/>
        <v>-2.3488646185528133</v>
      </c>
      <c r="CJ295" s="1">
        <f t="shared" ca="1" si="249"/>
        <v>3.1342627819502615</v>
      </c>
      <c r="CK295" s="38"/>
    </row>
    <row r="296" spans="55:89" x14ac:dyDescent="0.25">
      <c r="BC296">
        <v>5.1312680008632956</v>
      </c>
      <c r="BD296">
        <v>-1.6616022947677775</v>
      </c>
      <c r="BE296">
        <v>-4.5657949782537433</v>
      </c>
      <c r="BF296" s="6">
        <f t="shared" si="232"/>
        <v>4.3633639713494317</v>
      </c>
      <c r="BG296" s="6">
        <f t="shared" si="233"/>
        <v>0.76790402951386394</v>
      </c>
      <c r="BH296" s="6">
        <f t="shared" si="234"/>
        <v>2.7052194992276029</v>
      </c>
      <c r="BI296" s="6">
        <f t="shared" si="235"/>
        <v>2.7052194992276029</v>
      </c>
      <c r="BV296" s="38"/>
      <c r="BW296" s="6">
        <f t="shared" si="236"/>
        <v>4.9043751981040353</v>
      </c>
      <c r="BX296" s="9">
        <f t="shared" ca="1" si="237"/>
        <v>-58.406833615269427</v>
      </c>
      <c r="BY296" s="9">
        <f t="shared" ca="1" si="238"/>
        <v>27.818525614388566</v>
      </c>
      <c r="BZ296">
        <f t="shared" ca="1" si="239"/>
        <v>64.693342627508116</v>
      </c>
      <c r="CA296" s="6">
        <f t="shared" ca="1" si="240"/>
        <v>-0.90282602881667118</v>
      </c>
      <c r="CB296" s="6">
        <f t="shared" ca="1" si="241"/>
        <v>0.43000600192453048</v>
      </c>
      <c r="CC296" s="6">
        <f t="shared" ca="1" si="242"/>
        <v>2.6970932287341789</v>
      </c>
      <c r="CD296" s="6">
        <f t="shared" ca="1" si="243"/>
        <v>-15.68697156918342</v>
      </c>
      <c r="CE296" s="9">
        <f t="shared" ca="1" si="244"/>
        <v>-16.453923886237622</v>
      </c>
      <c r="CF296">
        <f t="shared" ca="1" si="245"/>
        <v>22.73351464834397</v>
      </c>
      <c r="CG296" s="6">
        <f t="shared" ca="1" si="246"/>
        <v>-0.69003723409420736</v>
      </c>
      <c r="CH296" s="6">
        <f t="shared" ca="1" si="247"/>
        <v>-0.72377387046204988</v>
      </c>
      <c r="CI296" s="6">
        <f t="shared" ca="1" si="248"/>
        <v>-2.3323368226557561</v>
      </c>
      <c r="CJ296" s="1">
        <f t="shared" ca="1" si="249"/>
        <v>3.1177349860532044</v>
      </c>
      <c r="CK296" s="38"/>
    </row>
    <row r="297" spans="55:89" x14ac:dyDescent="0.25">
      <c r="BC297">
        <v>5.1487212933832387</v>
      </c>
      <c r="BD297">
        <v>-1.4938326780706526</v>
      </c>
      <c r="BE297">
        <v>-4.4610136075407674</v>
      </c>
      <c r="BF297" s="6">
        <f t="shared" si="232"/>
        <v>4.3892614959681406</v>
      </c>
      <c r="BG297" s="6">
        <f t="shared" si="233"/>
        <v>0.75945979741509806</v>
      </c>
      <c r="BH297" s="6">
        <f t="shared" si="234"/>
        <v>2.6793219746088939</v>
      </c>
      <c r="BI297" s="6">
        <f t="shared" si="235"/>
        <v>2.6793219746088939</v>
      </c>
      <c r="BV297" s="38"/>
      <c r="BW297" s="6">
        <f t="shared" si="236"/>
        <v>4.9218284906239784</v>
      </c>
      <c r="BX297" s="9">
        <f t="shared" ca="1" si="237"/>
        <v>-59.044782435552186</v>
      </c>
      <c r="BY297" s="9">
        <f t="shared" ca="1" si="238"/>
        <v>27.605910277360216</v>
      </c>
      <c r="BZ297">
        <f t="shared" ca="1" si="239"/>
        <v>65.179541384573696</v>
      </c>
      <c r="CA297" s="6">
        <f t="shared" ca="1" si="240"/>
        <v>-0.90587907158129455</v>
      </c>
      <c r="CB297" s="6">
        <f t="shared" ca="1" si="241"/>
        <v>0.42353643015803449</v>
      </c>
      <c r="CC297" s="6">
        <f t="shared" ca="1" si="242"/>
        <v>2.7042470142508259</v>
      </c>
      <c r="CD297" s="6">
        <f t="shared" ca="1" si="243"/>
        <v>-15.049022748900661</v>
      </c>
      <c r="CE297" s="9">
        <f t="shared" ca="1" si="244"/>
        <v>-16.241308549209272</v>
      </c>
      <c r="CF297">
        <f t="shared" ca="1" si="245"/>
        <v>22.141661841143446</v>
      </c>
      <c r="CG297" s="6">
        <f t="shared" ca="1" si="246"/>
        <v>-0.67966997494906622</v>
      </c>
      <c r="CH297" s="6">
        <f t="shared" ca="1" si="247"/>
        <v>-0.73351804691686751</v>
      </c>
      <c r="CI297" s="6">
        <f t="shared" ca="1" si="248"/>
        <v>-2.318108946783012</v>
      </c>
      <c r="CJ297" s="1">
        <f t="shared" ca="1" si="249"/>
        <v>3.1035071101804603</v>
      </c>
      <c r="CK297" s="38"/>
    </row>
    <row r="298" spans="55:89" x14ac:dyDescent="0.25">
      <c r="BC298">
        <v>5.1661745859031818</v>
      </c>
      <c r="BD298">
        <v>-1.3373043213923843</v>
      </c>
      <c r="BE298">
        <v>-4.3597342445884077</v>
      </c>
      <c r="BF298" s="6">
        <f t="shared" si="232"/>
        <v>4.4147603450186379</v>
      </c>
      <c r="BG298" s="6">
        <f t="shared" si="233"/>
        <v>0.75141424088454389</v>
      </c>
      <c r="BH298" s="6">
        <f t="shared" si="234"/>
        <v>2.6538231255583966</v>
      </c>
      <c r="BI298" s="6">
        <f t="shared" si="235"/>
        <v>2.6538231255583966</v>
      </c>
      <c r="BV298" s="38"/>
      <c r="BW298" s="6">
        <f t="shared" si="236"/>
        <v>4.9392817831439215</v>
      </c>
      <c r="BX298" s="9">
        <f t="shared" ca="1" si="237"/>
        <v>-59.589653680546952</v>
      </c>
      <c r="BY298" s="9">
        <f t="shared" ca="1" si="238"/>
        <v>27.410538413950661</v>
      </c>
      <c r="BZ298">
        <f t="shared" ca="1" si="239"/>
        <v>65.591649178155208</v>
      </c>
      <c r="CA298" s="6">
        <f t="shared" ca="1" si="240"/>
        <v>-0.90849451762821087</v>
      </c>
      <c r="CB298" s="6">
        <f t="shared" ca="1" si="241"/>
        <v>0.4178967712719065</v>
      </c>
      <c r="CC298" s="6">
        <f t="shared" ca="1" si="242"/>
        <v>2.7104636399302682</v>
      </c>
      <c r="CD298" s="6">
        <f t="shared" ca="1" si="243"/>
        <v>-14.504151503905895</v>
      </c>
      <c r="CE298" s="9">
        <f t="shared" ca="1" si="244"/>
        <v>-16.045936685799717</v>
      </c>
      <c r="CF298">
        <f t="shared" ca="1" si="245"/>
        <v>21.629667010218832</v>
      </c>
      <c r="CG298" s="6">
        <f t="shared" ca="1" si="246"/>
        <v>-0.67056748941412181</v>
      </c>
      <c r="CH298" s="6">
        <f t="shared" ca="1" si="247"/>
        <v>-0.74184853045675148</v>
      </c>
      <c r="CI298" s="6">
        <f t="shared" ca="1" si="248"/>
        <v>-2.3057698167209275</v>
      </c>
      <c r="CJ298" s="1">
        <f t="shared" ca="1" si="249"/>
        <v>3.0911679801183758</v>
      </c>
      <c r="CK298" s="38"/>
    </row>
    <row r="299" spans="55:89" x14ac:dyDescent="0.25">
      <c r="BC299">
        <v>5.1836278784231249</v>
      </c>
      <c r="BD299">
        <v>-1.190713557059268</v>
      </c>
      <c r="BE299">
        <v>-4.2615919208765867</v>
      </c>
      <c r="BF299" s="6">
        <f t="shared" si="232"/>
        <v>4.4399313513120111</v>
      </c>
      <c r="BG299" s="6">
        <f t="shared" si="233"/>
        <v>0.74369652711111378</v>
      </c>
      <c r="BH299" s="6">
        <f t="shared" si="234"/>
        <v>2.6286521192650234</v>
      </c>
      <c r="BI299" s="6">
        <f t="shared" si="235"/>
        <v>2.6286521192650234</v>
      </c>
      <c r="BV299" s="38"/>
      <c r="BW299" s="6">
        <f t="shared" si="236"/>
        <v>4.9567350756638646</v>
      </c>
      <c r="BX299" s="9">
        <f t="shared" ca="1" si="237"/>
        <v>-59.594180724330734</v>
      </c>
      <c r="BY299" s="9">
        <f t="shared" ca="1" si="238"/>
        <v>27.293772388560249</v>
      </c>
      <c r="BZ299">
        <f t="shared" ca="1" si="239"/>
        <v>65.547054757652731</v>
      </c>
      <c r="CA299" s="6">
        <f t="shared" ca="1" si="240"/>
        <v>-0.90918167024694596</v>
      </c>
      <c r="CB299" s="6">
        <f t="shared" ca="1" si="241"/>
        <v>0.41639967637712438</v>
      </c>
      <c r="CC299" s="6">
        <f t="shared" ca="1" si="242"/>
        <v>2.7121109020402536</v>
      </c>
      <c r="CD299" s="6">
        <f t="shared" ca="1" si="243"/>
        <v>-14.499624460122114</v>
      </c>
      <c r="CE299" s="9">
        <f t="shared" ca="1" si="244"/>
        <v>-15.929170660409305</v>
      </c>
      <c r="CF299">
        <f t="shared" ca="1" si="245"/>
        <v>21.540138983140661</v>
      </c>
      <c r="CG299" s="6">
        <f t="shared" ca="1" si="246"/>
        <v>-0.67314442453091339</v>
      </c>
      <c r="CH299" s="6">
        <f t="shared" ca="1" si="247"/>
        <v>-0.73951104367882547</v>
      </c>
      <c r="CI299" s="6">
        <f t="shared" ca="1" si="248"/>
        <v>-2.3092489619094669</v>
      </c>
      <c r="CJ299" s="1">
        <f t="shared" ca="1" si="249"/>
        <v>3.0946471253069152</v>
      </c>
      <c r="CK299" s="38"/>
    </row>
    <row r="300" spans="55:89" x14ac:dyDescent="0.25">
      <c r="BC300">
        <v>5.201081170943068</v>
      </c>
      <c r="BD300">
        <v>-1.0529394499855418</v>
      </c>
      <c r="BE300">
        <v>-4.1662569595877441</v>
      </c>
      <c r="BF300" s="6">
        <f t="shared" si="232"/>
        <v>4.464842260799136</v>
      </c>
      <c r="BG300" s="6">
        <f t="shared" si="233"/>
        <v>0.73623891014393195</v>
      </c>
      <c r="BH300" s="6">
        <f t="shared" si="234"/>
        <v>2.6037412097778985</v>
      </c>
      <c r="BI300" s="6">
        <f t="shared" si="235"/>
        <v>2.6037412097778985</v>
      </c>
      <c r="BV300" s="38"/>
      <c r="BW300" s="6">
        <f t="shared" si="236"/>
        <v>4.9741883681838077</v>
      </c>
      <c r="BX300" s="9">
        <f t="shared" ca="1" si="237"/>
        <v>-60.035781163642994</v>
      </c>
      <c r="BY300" s="9">
        <f t="shared" ca="1" si="238"/>
        <v>27.119398485894141</v>
      </c>
      <c r="BZ300">
        <f t="shared" ca="1" si="239"/>
        <v>65.876830480568429</v>
      </c>
      <c r="CA300" s="6">
        <f t="shared" ca="1" si="240"/>
        <v>-0.91133378345140093</v>
      </c>
      <c r="CB300" s="6">
        <f t="shared" ca="1" si="241"/>
        <v>0.4116682343102937</v>
      </c>
      <c r="CC300" s="6">
        <f t="shared" ca="1" si="242"/>
        <v>2.7173088050894094</v>
      </c>
      <c r="CD300" s="6">
        <f t="shared" ca="1" si="243"/>
        <v>-14.058024020809853</v>
      </c>
      <c r="CE300" s="9">
        <f t="shared" ca="1" si="244"/>
        <v>-15.754796757743197</v>
      </c>
      <c r="CF300">
        <f t="shared" ca="1" si="245"/>
        <v>21.114962946864537</v>
      </c>
      <c r="CG300" s="6">
        <f t="shared" ca="1" si="246"/>
        <v>-0.66578492494571939</v>
      </c>
      <c r="CH300" s="6">
        <f t="shared" ca="1" si="247"/>
        <v>-0.74614370848719402</v>
      </c>
      <c r="CI300" s="6">
        <f t="shared" ca="1" si="248"/>
        <v>-2.2993416272793263</v>
      </c>
      <c r="CJ300" s="1">
        <f t="shared" ca="1" si="249"/>
        <v>3.0847397906767746</v>
      </c>
      <c r="CK300" s="38"/>
    </row>
    <row r="301" spans="55:89" x14ac:dyDescent="0.25">
      <c r="BC301">
        <v>5.2185344634630111</v>
      </c>
      <c r="BD301">
        <v>-0.92301277541688842</v>
      </c>
      <c r="BE301">
        <v>-4.0734298310540229</v>
      </c>
      <c r="BF301" s="6">
        <f t="shared" si="232"/>
        <v>4.4895583280038567</v>
      </c>
      <c r="BG301" s="6">
        <f t="shared" si="233"/>
        <v>0.72897613545915441</v>
      </c>
      <c r="BH301" s="6">
        <f t="shared" si="234"/>
        <v>2.5790251425731778</v>
      </c>
      <c r="BI301" s="6">
        <f t="shared" si="235"/>
        <v>2.5790251425731778</v>
      </c>
      <c r="BV301" s="38"/>
      <c r="BW301" s="6">
        <f t="shared" si="236"/>
        <v>4.9916416607037508</v>
      </c>
      <c r="BX301" s="9">
        <f t="shared" ca="1" si="237"/>
        <v>-60.425139603727594</v>
      </c>
      <c r="BY301" s="9">
        <f t="shared" ca="1" si="238"/>
        <v>26.956454961923342</v>
      </c>
      <c r="BZ301">
        <f t="shared" ca="1" si="239"/>
        <v>66.165307830041641</v>
      </c>
      <c r="CA301" s="6">
        <f t="shared" ca="1" si="240"/>
        <v>-0.91324504616439217</v>
      </c>
      <c r="CB301" s="6">
        <f t="shared" ca="1" si="241"/>
        <v>0.40741070881384239</v>
      </c>
      <c r="CC301" s="6">
        <f t="shared" ca="1" si="242"/>
        <v>2.7219756549948397</v>
      </c>
      <c r="CD301" s="6">
        <f t="shared" ca="1" si="243"/>
        <v>-13.668665580725254</v>
      </c>
      <c r="CE301" s="9">
        <f t="shared" ca="1" si="244"/>
        <v>-15.591853233772397</v>
      </c>
      <c r="CF301">
        <f t="shared" ca="1" si="245"/>
        <v>20.734953726044388</v>
      </c>
      <c r="CG301" s="6">
        <f t="shared" ca="1" si="246"/>
        <v>-0.6592088779805938</v>
      </c>
      <c r="CH301" s="6">
        <f t="shared" ca="1" si="247"/>
        <v>-0.75195987605161918</v>
      </c>
      <c r="CI301" s="6">
        <f t="shared" ca="1" si="248"/>
        <v>-2.2905625217531114</v>
      </c>
      <c r="CJ301" s="1">
        <f t="shared" ca="1" si="249"/>
        <v>3.0759606851505596</v>
      </c>
      <c r="CK301" s="38"/>
    </row>
    <row r="302" spans="55:89" x14ac:dyDescent="0.25">
      <c r="BC302">
        <v>5.2359877559829542</v>
      </c>
      <c r="BD302">
        <v>-0.80009101167554453</v>
      </c>
      <c r="BE302">
        <v>-3.9828368095758142</v>
      </c>
      <c r="BF302" s="6">
        <f t="shared" si="232"/>
        <v>4.51414288415336</v>
      </c>
      <c r="BG302" s="6">
        <f t="shared" si="233"/>
        <v>0.72184487182959423</v>
      </c>
      <c r="BH302" s="6">
        <f t="shared" si="234"/>
        <v>2.5544405864236746</v>
      </c>
      <c r="BI302" s="6">
        <f t="shared" si="235"/>
        <v>2.5544405864236746</v>
      </c>
      <c r="BV302" s="38"/>
      <c r="BW302" s="6">
        <f t="shared" si="236"/>
        <v>5.0090949532236939</v>
      </c>
      <c r="BX302" s="9">
        <f t="shared" ca="1" si="237"/>
        <v>-60.771228338419107</v>
      </c>
      <c r="BY302" s="9">
        <f t="shared" ca="1" si="238"/>
        <v>26.803509673415643</v>
      </c>
      <c r="BZ302">
        <f t="shared" ca="1" si="239"/>
        <v>66.419653150051602</v>
      </c>
      <c r="CA302" s="6">
        <f t="shared" ca="1" si="240"/>
        <v>-0.91495853194427423</v>
      </c>
      <c r="CB302" s="6">
        <f t="shared" ca="1" si="241"/>
        <v>0.4035478717852175</v>
      </c>
      <c r="CC302" s="6">
        <f t="shared" ca="1" si="242"/>
        <v>2.7262014768086362</v>
      </c>
      <c r="CD302" s="6">
        <f t="shared" ca="1" si="243"/>
        <v>-13.322576846033741</v>
      </c>
      <c r="CE302" s="9">
        <f t="shared" ca="1" si="244"/>
        <v>-15.438907945264699</v>
      </c>
      <c r="CF302">
        <f t="shared" ca="1" si="245"/>
        <v>20.392423405785586</v>
      </c>
      <c r="CG302" s="6">
        <f t="shared" ca="1" si="246"/>
        <v>-0.65331013293172202</v>
      </c>
      <c r="CH302" s="6">
        <f t="shared" ca="1" si="247"/>
        <v>-0.75709039764663222</v>
      </c>
      <c r="CI302" s="6">
        <f t="shared" ca="1" si="248"/>
        <v>-2.2827447371391987</v>
      </c>
      <c r="CJ302" s="1">
        <f t="shared" ca="1" si="249"/>
        <v>3.068142900536647</v>
      </c>
      <c r="CK302" s="38"/>
    </row>
    <row r="303" spans="55:89" x14ac:dyDescent="0.25">
      <c r="BC303">
        <v>5.2534410485028973</v>
      </c>
      <c r="BD303">
        <v>-0.6834380577003828</v>
      </c>
      <c r="BE303">
        <v>-3.8942262658946141</v>
      </c>
      <c r="BF303" s="6">
        <f t="shared" si="232"/>
        <v>4.5386578768254777</v>
      </c>
      <c r="BG303" s="6">
        <f t="shared" si="233"/>
        <v>0.71478317167741956</v>
      </c>
      <c r="BH303" s="6">
        <f t="shared" si="234"/>
        <v>2.5299255937515568</v>
      </c>
      <c r="BI303" s="6">
        <f t="shared" si="235"/>
        <v>2.5299255937515568</v>
      </c>
      <c r="BV303" s="38"/>
      <c r="BW303" s="6">
        <f t="shared" si="236"/>
        <v>5.026548245743637</v>
      </c>
      <c r="BX303" s="9">
        <f t="shared" ca="1" si="237"/>
        <v>-61.081114929034392</v>
      </c>
      <c r="BY303" s="9">
        <f t="shared" ca="1" si="238"/>
        <v>26.659355283349917</v>
      </c>
      <c r="BZ303">
        <f t="shared" ca="1" si="239"/>
        <v>66.645508664108689</v>
      </c>
      <c r="CA303" s="6">
        <f t="shared" ca="1" si="240"/>
        <v>-0.91650759598642018</v>
      </c>
      <c r="CB303" s="6">
        <f t="shared" ca="1" si="241"/>
        <v>0.40001728275062387</v>
      </c>
      <c r="CC303" s="6">
        <f t="shared" ca="1" si="242"/>
        <v>2.7300569504178145</v>
      </c>
      <c r="CD303" s="6">
        <f t="shared" ca="1" si="243"/>
        <v>-13.012690255418455</v>
      </c>
      <c r="CE303" s="9">
        <f t="shared" ca="1" si="244"/>
        <v>-15.294753555198973</v>
      </c>
      <c r="CF303">
        <f t="shared" ca="1" si="245"/>
        <v>20.0813245080531</v>
      </c>
      <c r="CG303" s="6">
        <f t="shared" ca="1" si="246"/>
        <v>-0.64799960033512971</v>
      </c>
      <c r="CH303" s="6">
        <f t="shared" ca="1" si="247"/>
        <v>-0.76164067509916511</v>
      </c>
      <c r="CI303" s="6">
        <f t="shared" ca="1" si="248"/>
        <v>-2.2757513845327182</v>
      </c>
      <c r="CJ303" s="1">
        <f t="shared" ca="1" si="249"/>
        <v>3.0611495479301665</v>
      </c>
      <c r="CK303" s="38"/>
    </row>
    <row r="304" spans="55:89" x14ac:dyDescent="0.25">
      <c r="BC304">
        <v>5.2708943410228404</v>
      </c>
      <c r="BD304">
        <v>-0.57240765499090096</v>
      </c>
      <c r="BE304">
        <v>-3.8073654836369926</v>
      </c>
      <c r="BF304" s="6">
        <f t="shared" si="232"/>
        <v>4.5631643919952154</v>
      </c>
      <c r="BG304" s="6">
        <f t="shared" si="233"/>
        <v>0.70772994902762498</v>
      </c>
      <c r="BH304" s="6">
        <f t="shared" si="234"/>
        <v>2.5054190785818191</v>
      </c>
      <c r="BI304" s="6">
        <f t="shared" si="235"/>
        <v>2.5054190785818191</v>
      </c>
      <c r="BV304" s="38"/>
      <c r="BW304" s="6">
        <f t="shared" si="236"/>
        <v>5.0440015382635801</v>
      </c>
      <c r="BX304" s="9">
        <f t="shared" ca="1" si="237"/>
        <v>-61.360439505086973</v>
      </c>
      <c r="BY304" s="9">
        <f t="shared" ca="1" si="238"/>
        <v>26.522964634897512</v>
      </c>
      <c r="BZ304">
        <f t="shared" ca="1" si="239"/>
        <v>66.847372343880977</v>
      </c>
      <c r="CA304" s="6">
        <f t="shared" ca="1" si="240"/>
        <v>-0.9179184963237188</v>
      </c>
      <c r="CB304" s="6">
        <f t="shared" ca="1" si="241"/>
        <v>0.39676899337877042</v>
      </c>
      <c r="CC304" s="6">
        <f t="shared" ca="1" si="242"/>
        <v>2.7335984242231164</v>
      </c>
      <c r="CD304" s="6">
        <f t="shared" ca="1" si="243"/>
        <v>-12.733365679365875</v>
      </c>
      <c r="CE304" s="9">
        <f t="shared" ca="1" si="244"/>
        <v>-15.158362906746568</v>
      </c>
      <c r="CF304">
        <f t="shared" ca="1" si="245"/>
        <v>19.796832260164326</v>
      </c>
      <c r="CG304" s="6">
        <f t="shared" ca="1" si="246"/>
        <v>-0.64320218063312418</v>
      </c>
      <c r="CH304" s="6">
        <f t="shared" ca="1" si="247"/>
        <v>-0.7656963855398522</v>
      </c>
      <c r="CI304" s="6">
        <f t="shared" ca="1" si="248"/>
        <v>-2.269469334488293</v>
      </c>
      <c r="CJ304" s="1">
        <f t="shared" ca="1" si="249"/>
        <v>3.0548674978857413</v>
      </c>
      <c r="CK304" s="38"/>
    </row>
    <row r="305" spans="55:89" x14ac:dyDescent="0.25">
      <c r="BC305">
        <v>5.2883476335427835</v>
      </c>
      <c r="BD305">
        <v>-0.46642975273873044</v>
      </c>
      <c r="BE305">
        <v>-3.7220379011455491</v>
      </c>
      <c r="BF305" s="6">
        <f t="shared" si="232"/>
        <v>4.5877231633843678</v>
      </c>
      <c r="BG305" s="6">
        <f t="shared" si="233"/>
        <v>0.70062447015841567</v>
      </c>
      <c r="BH305" s="6">
        <f t="shared" si="234"/>
        <v>2.4808603071926667</v>
      </c>
      <c r="BI305" s="6">
        <f t="shared" si="235"/>
        <v>2.4808603071926667</v>
      </c>
      <c r="BV305" s="38"/>
      <c r="BW305" s="6">
        <f t="shared" si="236"/>
        <v>5.0614548307835232</v>
      </c>
      <c r="BX305" s="9">
        <f t="shared" ca="1" si="237"/>
        <v>-61.613755708394123</v>
      </c>
      <c r="BY305" s="9">
        <f t="shared" ca="1" si="238"/>
        <v>26.393456563805223</v>
      </c>
      <c r="BZ305">
        <f t="shared" ca="1" si="239"/>
        <v>67.028870211865737</v>
      </c>
      <c r="CA305" s="6">
        <f t="shared" ca="1" si="240"/>
        <v>-0.9192122068243811</v>
      </c>
      <c r="CB305" s="6">
        <f t="shared" ca="1" si="241"/>
        <v>0.39376251576940557</v>
      </c>
      <c r="CC305" s="6">
        <f t="shared" ca="1" si="242"/>
        <v>2.7368714356863495</v>
      </c>
      <c r="CD305" s="6">
        <f t="shared" ca="1" si="243"/>
        <v>-12.480049476058724</v>
      </c>
      <c r="CE305" s="9">
        <f t="shared" ca="1" si="244"/>
        <v>-15.028854835654279</v>
      </c>
      <c r="CF305">
        <f t="shared" ca="1" si="245"/>
        <v>19.535048313122818</v>
      </c>
      <c r="CG305" s="6">
        <f t="shared" ca="1" si="246"/>
        <v>-0.6388542928596268</v>
      </c>
      <c r="CH305" s="6">
        <f t="shared" ca="1" si="247"/>
        <v>-0.76932775362313954</v>
      </c>
      <c r="CI305" s="6">
        <f t="shared" ca="1" si="248"/>
        <v>-2.2638044383668472</v>
      </c>
      <c r="CJ305" s="1">
        <f t="shared" ca="1" si="249"/>
        <v>3.0492026017642955</v>
      </c>
      <c r="CK305" s="38"/>
    </row>
    <row r="306" spans="55:89" x14ac:dyDescent="0.25">
      <c r="BC306">
        <v>5.3058009260627266</v>
      </c>
      <c r="BD306">
        <v>-0.36499922185326489</v>
      </c>
      <c r="BE306">
        <v>-3.6380407021169825</v>
      </c>
      <c r="BF306" s="6">
        <f t="shared" si="232"/>
        <v>4.6123950759173979</v>
      </c>
      <c r="BG306" s="6">
        <f t="shared" si="233"/>
        <v>0.69340585014532863</v>
      </c>
      <c r="BH306" s="6">
        <f t="shared" si="234"/>
        <v>2.4561883946596366</v>
      </c>
      <c r="BI306" s="6">
        <f t="shared" si="235"/>
        <v>2.4561883946596366</v>
      </c>
      <c r="BV306" s="38"/>
      <c r="BW306" s="6">
        <f t="shared" si="236"/>
        <v>5.0789081233034663</v>
      </c>
      <c r="BX306" s="9">
        <f t="shared" ca="1" si="237"/>
        <v>-61.844778670418989</v>
      </c>
      <c r="BY306" s="9">
        <f t="shared" ca="1" si="238"/>
        <v>26.270069334372</v>
      </c>
      <c r="BZ306">
        <f t="shared" ca="1" si="239"/>
        <v>67.192954925541287</v>
      </c>
      <c r="CA306" s="6">
        <f t="shared" ca="1" si="240"/>
        <v>-0.92040569936165506</v>
      </c>
      <c r="CB306" s="6">
        <f t="shared" ca="1" si="241"/>
        <v>0.39096463853216046</v>
      </c>
      <c r="CC306" s="6">
        <f t="shared" ca="1" si="242"/>
        <v>2.7399132359107821</v>
      </c>
      <c r="CD306" s="6">
        <f t="shared" ca="1" si="243"/>
        <v>-12.249026514033858</v>
      </c>
      <c r="CE306" s="9">
        <f t="shared" ca="1" si="244"/>
        <v>-14.905467606221055</v>
      </c>
      <c r="CF306">
        <f t="shared" ca="1" si="245"/>
        <v>19.292786607994444</v>
      </c>
      <c r="CG306" s="6">
        <f t="shared" ca="1" si="246"/>
        <v>-0.6349018813569508</v>
      </c>
      <c r="CH306" s="6">
        <f t="shared" ca="1" si="247"/>
        <v>-0.77259277827934958</v>
      </c>
      <c r="CI306" s="6">
        <f t="shared" ca="1" si="248"/>
        <v>-2.258677841030011</v>
      </c>
      <c r="CJ306" s="1">
        <f t="shared" ca="1" si="249"/>
        <v>3.0440760044274593</v>
      </c>
      <c r="CK306" s="38"/>
    </row>
    <row r="307" spans="55:89" x14ac:dyDescent="0.25">
      <c r="BC307">
        <v>5.3232542185826697</v>
      </c>
      <c r="BD307">
        <v>-0.26766646193080124</v>
      </c>
      <c r="BE307">
        <v>-3.5551826897314709</v>
      </c>
      <c r="BF307" s="6">
        <f t="shared" si="232"/>
        <v>4.637241668030466</v>
      </c>
      <c r="BG307" s="6">
        <f t="shared" si="233"/>
        <v>0.68601255055220367</v>
      </c>
      <c r="BH307" s="6">
        <f t="shared" si="234"/>
        <v>2.4313418025465685</v>
      </c>
      <c r="BI307" s="6">
        <f t="shared" si="235"/>
        <v>2.4313418025465685</v>
      </c>
      <c r="BV307" s="38"/>
      <c r="BW307" s="6">
        <f t="shared" si="236"/>
        <v>5.0963614158234094</v>
      </c>
      <c r="BX307" s="9">
        <f t="shared" ca="1" si="237"/>
        <v>-62.056568304188879</v>
      </c>
      <c r="BY307" s="9">
        <f t="shared" ca="1" si="238"/>
        <v>26.152139737982527</v>
      </c>
      <c r="BZ307">
        <f t="shared" ca="1" si="239"/>
        <v>67.342052853825479</v>
      </c>
      <c r="CA307" s="6">
        <f t="shared" ca="1" si="240"/>
        <v>-0.9215128686214924</v>
      </c>
      <c r="CB307" s="6">
        <f t="shared" ca="1" si="241"/>
        <v>0.388347824720299</v>
      </c>
      <c r="CC307" s="6">
        <f t="shared" ca="1" si="242"/>
        <v>2.7427546341102111</v>
      </c>
      <c r="CD307" s="6">
        <f t="shared" ca="1" si="243"/>
        <v>-12.037236880263968</v>
      </c>
      <c r="CE307" s="9">
        <f t="shared" ca="1" si="244"/>
        <v>-14.787538009831582</v>
      </c>
      <c r="CF307">
        <f t="shared" ca="1" si="245"/>
        <v>19.067415978674216</v>
      </c>
      <c r="CG307" s="6">
        <f t="shared" ca="1" si="246"/>
        <v>-0.63129880282293682</v>
      </c>
      <c r="CH307" s="6">
        <f t="shared" ca="1" si="247"/>
        <v>-0.77553969695582115</v>
      </c>
      <c r="CI307" s="6">
        <f t="shared" ca="1" si="248"/>
        <v>-2.2540231075545147</v>
      </c>
      <c r="CJ307" s="1">
        <f t="shared" ca="1" si="249"/>
        <v>3.039421270951963</v>
      </c>
      <c r="CK307" s="38"/>
    </row>
    <row r="308" spans="55:89" x14ac:dyDescent="0.25">
      <c r="BC308">
        <v>5.3407075111026128</v>
      </c>
      <c r="BD308">
        <v>-0.174029531391477</v>
      </c>
      <c r="BE308">
        <v>-3.4732823956120673</v>
      </c>
      <c r="BF308" s="6">
        <f t="shared" si="232"/>
        <v>4.662325641152683</v>
      </c>
      <c r="BG308" s="6">
        <f t="shared" si="233"/>
        <v>0.67838186994992977</v>
      </c>
      <c r="BH308" s="6">
        <f t="shared" si="234"/>
        <v>2.4062578294243515</v>
      </c>
      <c r="BI308" s="6">
        <f t="shared" si="235"/>
        <v>2.4062578294243515</v>
      </c>
      <c r="BV308" s="38"/>
      <c r="BW308" s="6">
        <f t="shared" si="236"/>
        <v>5.1138147083433525</v>
      </c>
      <c r="BX308" s="9">
        <f t="shared" ca="1" si="237"/>
        <v>-62.251666764769439</v>
      </c>
      <c r="BY308" s="9">
        <f t="shared" ca="1" si="238"/>
        <v>26.039086460786034</v>
      </c>
      <c r="BZ308">
        <f t="shared" ca="1" si="239"/>
        <v>67.478174535950444</v>
      </c>
      <c r="CA308" s="6">
        <f t="shared" ca="1" si="240"/>
        <v>-0.9225452109941642</v>
      </c>
      <c r="CB308" s="6">
        <f t="shared" ca="1" si="241"/>
        <v>0.3858890172986697</v>
      </c>
      <c r="CC308" s="6">
        <f t="shared" ca="1" si="242"/>
        <v>2.7454213678662294</v>
      </c>
      <c r="CD308" s="6">
        <f t="shared" ca="1" si="243"/>
        <v>-11.842138419683408</v>
      </c>
      <c r="CE308" s="9">
        <f t="shared" ca="1" si="244"/>
        <v>-14.67448473263509</v>
      </c>
      <c r="CF308">
        <f t="shared" ca="1" si="245"/>
        <v>18.856742680518344</v>
      </c>
      <c r="CG308" s="6">
        <f t="shared" ca="1" si="246"/>
        <v>-0.62800551613391831</v>
      </c>
      <c r="CH308" s="6">
        <f t="shared" ca="1" si="247"/>
        <v>-0.77820888693548795</v>
      </c>
      <c r="CI308" s="6">
        <f t="shared" ca="1" si="248"/>
        <v>-2.2497839638585901</v>
      </c>
      <c r="CJ308" s="1">
        <f t="shared" ca="1" si="249"/>
        <v>3.0351821272560384</v>
      </c>
      <c r="CK308" s="38"/>
    </row>
    <row r="309" spans="55:89" x14ac:dyDescent="0.25">
      <c r="BC309">
        <v>5.3581608036225559</v>
      </c>
      <c r="BD309">
        <v>-8.3727527818735339E-2</v>
      </c>
      <c r="BE309">
        <v>-3.3921663748452486</v>
      </c>
      <c r="BF309" s="6">
        <f t="shared" si="232"/>
        <v>4.6877113786293538</v>
      </c>
      <c r="BG309" s="6">
        <f t="shared" si="233"/>
        <v>0.67044942499320204</v>
      </c>
      <c r="BH309" s="6">
        <f t="shared" si="234"/>
        <v>2.3808720919476807</v>
      </c>
      <c r="BI309" s="6">
        <f t="shared" si="235"/>
        <v>2.3808720919476807</v>
      </c>
      <c r="BV309" s="38"/>
      <c r="BW309" s="6">
        <f t="shared" si="236"/>
        <v>5.1312680008632956</v>
      </c>
      <c r="BX309" s="9">
        <f t="shared" ca="1" si="237"/>
        <v>-62.432202889685072</v>
      </c>
      <c r="BY309" s="9">
        <f t="shared" ca="1" si="238"/>
        <v>25.930396706404686</v>
      </c>
      <c r="BZ309">
        <f t="shared" ca="1" si="239"/>
        <v>67.602998683566724</v>
      </c>
      <c r="CA309" s="6">
        <f t="shared" ca="1" si="240"/>
        <v>-0.9235123308940052</v>
      </c>
      <c r="CB309" s="6">
        <f t="shared" ca="1" si="241"/>
        <v>0.38356873528315805</v>
      </c>
      <c r="CC309" s="6">
        <f t="shared" ca="1" si="242"/>
        <v>2.7479351365229858</v>
      </c>
      <c r="CD309" s="6">
        <f t="shared" ca="1" si="243"/>
        <v>-11.661602294767775</v>
      </c>
      <c r="CE309" s="9">
        <f t="shared" ca="1" si="244"/>
        <v>-14.565794978253741</v>
      </c>
      <c r="CF309">
        <f t="shared" ca="1" si="245"/>
        <v>18.658921496963721</v>
      </c>
      <c r="CG309" s="6">
        <f t="shared" ca="1" si="246"/>
        <v>-0.62498801426788853</v>
      </c>
      <c r="CH309" s="6">
        <f t="shared" ca="1" si="247"/>
        <v>-0.78063434591457848</v>
      </c>
      <c r="CI309" s="6">
        <f t="shared" ca="1" si="248"/>
        <v>-2.2459125058010603</v>
      </c>
      <c r="CJ309" s="1">
        <f t="shared" ca="1" si="249"/>
        <v>3.0313106691985086</v>
      </c>
      <c r="CK309" s="38"/>
    </row>
    <row r="310" spans="55:89" x14ac:dyDescent="0.25">
      <c r="BC310">
        <v>5.375614096142499</v>
      </c>
      <c r="BD310">
        <v>3.5650213571092773E-3</v>
      </c>
      <c r="BE310">
        <v>-3.3116676555452691</v>
      </c>
      <c r="BF310" s="6">
        <f t="shared" si="232"/>
        <v>4.7134654833284619</v>
      </c>
      <c r="BG310" s="6">
        <f t="shared" si="233"/>
        <v>0.66214861281403703</v>
      </c>
      <c r="BH310" s="6">
        <f t="shared" si="234"/>
        <v>2.3551179872485726</v>
      </c>
      <c r="BI310" s="6">
        <f t="shared" si="235"/>
        <v>2.3551179872485726</v>
      </c>
      <c r="BV310" s="38"/>
      <c r="BW310" s="6">
        <f t="shared" si="236"/>
        <v>5.1487212933832387</v>
      </c>
      <c r="BX310" s="9">
        <f t="shared" ca="1" si="237"/>
        <v>-62.599972506382194</v>
      </c>
      <c r="BY310" s="9">
        <f t="shared" ca="1" si="238"/>
        <v>25.825615335691712</v>
      </c>
      <c r="BZ310">
        <f t="shared" ca="1" si="239"/>
        <v>67.717936806040697</v>
      </c>
      <c r="CA310" s="6">
        <f t="shared" ca="1" si="240"/>
        <v>-0.92442232381772804</v>
      </c>
      <c r="CB310" s="6">
        <f t="shared" ca="1" si="241"/>
        <v>0.38137038063729028</v>
      </c>
      <c r="CC310" s="6">
        <f t="shared" ca="1" si="242"/>
        <v>2.7503143912257597</v>
      </c>
      <c r="CD310" s="6">
        <f t="shared" ca="1" si="243"/>
        <v>-11.493832678070653</v>
      </c>
      <c r="CE310" s="9">
        <f t="shared" ca="1" si="244"/>
        <v>-14.461013607540767</v>
      </c>
      <c r="CF310">
        <f t="shared" ca="1" si="245"/>
        <v>18.47238761473362</v>
      </c>
      <c r="CG310" s="6">
        <f t="shared" ca="1" si="246"/>
        <v>-0.62221694984914377</v>
      </c>
      <c r="CH310" s="6">
        <f t="shared" ca="1" si="247"/>
        <v>-0.78284485520467473</v>
      </c>
      <c r="CI310" s="6">
        <f t="shared" ca="1" si="248"/>
        <v>-2.2423677685059462</v>
      </c>
      <c r="CJ310" s="1">
        <f t="shared" ca="1" si="249"/>
        <v>3.0277659319033945</v>
      </c>
      <c r="CK310" s="38"/>
    </row>
    <row r="311" spans="55:89" x14ac:dyDescent="0.25">
      <c r="BC311">
        <v>5.3930673886624421</v>
      </c>
      <c r="BD311">
        <v>8.8142923389305211E-2</v>
      </c>
      <c r="BE311">
        <v>-3.231624304742116</v>
      </c>
      <c r="BF311" s="6">
        <f t="shared" si="232"/>
        <v>4.7396573344342467</v>
      </c>
      <c r="BG311" s="6">
        <f t="shared" si="233"/>
        <v>0.65341005422819531</v>
      </c>
      <c r="BH311" s="6">
        <f t="shared" si="234"/>
        <v>2.3289261361427878</v>
      </c>
      <c r="BI311" s="6">
        <f t="shared" si="235"/>
        <v>2.3289261361427878</v>
      </c>
      <c r="BV311" s="38"/>
      <c r="BW311" s="6">
        <f t="shared" si="236"/>
        <v>5.1661745859031818</v>
      </c>
      <c r="BX311" s="9">
        <f t="shared" ca="1" si="237"/>
        <v>-62.756500863060467</v>
      </c>
      <c r="BY311" s="9">
        <f t="shared" ca="1" si="238"/>
        <v>25.724335972739354</v>
      </c>
      <c r="BZ311">
        <f t="shared" ca="1" si="239"/>
        <v>67.824183458510447</v>
      </c>
      <c r="CA311" s="6">
        <f t="shared" ca="1" si="240"/>
        <v>-0.92528206994854578</v>
      </c>
      <c r="CB311" s="6">
        <f t="shared" ca="1" si="241"/>
        <v>0.37927970026318858</v>
      </c>
      <c r="CC311" s="6">
        <f t="shared" ca="1" si="242"/>
        <v>2.7525749464699887</v>
      </c>
      <c r="CD311" s="6">
        <f t="shared" ca="1" si="243"/>
        <v>-11.337304321392381</v>
      </c>
      <c r="CE311" s="9">
        <f t="shared" ca="1" si="244"/>
        <v>-14.35973424458841</v>
      </c>
      <c r="CF311">
        <f t="shared" ca="1" si="245"/>
        <v>18.295803804453836</v>
      </c>
      <c r="CG311" s="6">
        <f t="shared" ca="1" si="246"/>
        <v>-0.6196669161172621</v>
      </c>
      <c r="CH311" s="6">
        <f t="shared" ca="1" si="247"/>
        <v>-0.78486490115797758</v>
      </c>
      <c r="CI311" s="6">
        <f t="shared" ca="1" si="248"/>
        <v>-2.2391145751484922</v>
      </c>
      <c r="CJ311" s="1">
        <f t="shared" ca="1" si="249"/>
        <v>3.0245127385459405</v>
      </c>
      <c r="CK311" s="38"/>
    </row>
    <row r="312" spans="55:89" x14ac:dyDescent="0.25">
      <c r="BC312">
        <v>5.4105206811823852</v>
      </c>
      <c r="BD312">
        <v>0.17027440788123058</v>
      </c>
      <c r="BE312">
        <v>-3.151878091615421</v>
      </c>
      <c r="BF312" s="6">
        <f t="shared" si="232"/>
        <v>4.766359674583784</v>
      </c>
      <c r="BG312" s="6">
        <f t="shared" si="233"/>
        <v>0.6441610065986012</v>
      </c>
      <c r="BH312" s="6">
        <f t="shared" si="234"/>
        <v>2.3022237959932506</v>
      </c>
      <c r="BI312" s="6">
        <f t="shared" si="235"/>
        <v>2.3022237959932506</v>
      </c>
      <c r="BV312" s="38"/>
      <c r="BW312" s="6">
        <f t="shared" si="236"/>
        <v>5.1836278784231249</v>
      </c>
      <c r="BX312" s="9">
        <f t="shared" ca="1" si="237"/>
        <v>-62.903091627393579</v>
      </c>
      <c r="BY312" s="9">
        <f t="shared" ca="1" si="238"/>
        <v>25.626193649027531</v>
      </c>
      <c r="BZ312">
        <f t="shared" ca="1" si="239"/>
        <v>67.92275566569522</v>
      </c>
      <c r="CA312" s="6">
        <f t="shared" ca="1" si="240"/>
        <v>-0.92609746190205222</v>
      </c>
      <c r="CB312" s="6">
        <f t="shared" ca="1" si="241"/>
        <v>0.37728436365502449</v>
      </c>
      <c r="CC312" s="6">
        <f t="shared" ca="1" si="242"/>
        <v>2.7547304589419266</v>
      </c>
      <c r="CD312" s="6">
        <f t="shared" ca="1" si="243"/>
        <v>-11.190713557059269</v>
      </c>
      <c r="CE312" s="9">
        <f t="shared" ca="1" si="244"/>
        <v>-14.261591920876587</v>
      </c>
      <c r="CF312">
        <f t="shared" ca="1" si="245"/>
        <v>18.128019032253977</v>
      </c>
      <c r="CG312" s="6">
        <f t="shared" ca="1" si="246"/>
        <v>-0.61731585437704894</v>
      </c>
      <c r="CH312" s="6">
        <f t="shared" ca="1" si="247"/>
        <v>-0.78671540974785414</v>
      </c>
      <c r="CI312" s="6">
        <f t="shared" ca="1" si="248"/>
        <v>-2.2361226058930503</v>
      </c>
      <c r="CJ312" s="1">
        <f t="shared" ca="1" si="249"/>
        <v>3.0215207692904986</v>
      </c>
      <c r="CK312" s="38"/>
    </row>
    <row r="313" spans="55:89" x14ac:dyDescent="0.25">
      <c r="BC313">
        <v>5.4279739737023283</v>
      </c>
      <c r="BD313">
        <v>0.25020462661716397</v>
      </c>
      <c r="BE313">
        <v>-3.0722732116219151</v>
      </c>
      <c r="BF313" s="6">
        <f t="shared" si="232"/>
        <v>4.7936492224020686</v>
      </c>
      <c r="BG313" s="6">
        <f t="shared" si="233"/>
        <v>0.63432475130025967</v>
      </c>
      <c r="BH313" s="6">
        <f t="shared" si="234"/>
        <v>2.2749342481749659</v>
      </c>
      <c r="BI313" s="6">
        <f t="shared" si="235"/>
        <v>2.2749342481749659</v>
      </c>
      <c r="BV313" s="38"/>
      <c r="BW313" s="6">
        <f t="shared" si="236"/>
        <v>5.201081170943068</v>
      </c>
      <c r="BX313" s="9">
        <f t="shared" ca="1" si="237"/>
        <v>-63.040865734467303</v>
      </c>
      <c r="BY313" s="9">
        <f t="shared" ca="1" si="238"/>
        <v>25.530858687738689</v>
      </c>
      <c r="BZ313">
        <f t="shared" ca="1" si="239"/>
        <v>68.014524168624575</v>
      </c>
      <c r="CA313" s="6">
        <f t="shared" ca="1" si="240"/>
        <v>-0.92687358332719694</v>
      </c>
      <c r="CB313" s="6">
        <f t="shared" ca="1" si="241"/>
        <v>0.37537362790984863</v>
      </c>
      <c r="CC313" s="6">
        <f t="shared" ca="1" si="242"/>
        <v>2.7567928064058598</v>
      </c>
      <c r="CD313" s="6">
        <f t="shared" ca="1" si="243"/>
        <v>-11.052939449985544</v>
      </c>
      <c r="CE313" s="9">
        <f t="shared" ca="1" si="244"/>
        <v>-14.166256959587745</v>
      </c>
      <c r="CF313">
        <f t="shared" ca="1" si="245"/>
        <v>17.968035694814137</v>
      </c>
      <c r="CG313" s="6">
        <f t="shared" ca="1" si="246"/>
        <v>-0.61514456213906565</v>
      </c>
      <c r="CH313" s="6">
        <f t="shared" ca="1" si="247"/>
        <v>-0.78841433756035739</v>
      </c>
      <c r="CI313" s="6">
        <f t="shared" ca="1" si="248"/>
        <v>-2.2333656382637046</v>
      </c>
      <c r="CJ313" s="1">
        <f t="shared" ca="1" si="249"/>
        <v>3.0187638016611529</v>
      </c>
      <c r="CK313" s="38"/>
    </row>
    <row r="314" spans="55:89" x14ac:dyDescent="0.25">
      <c r="BC314">
        <v>5.4454272662222714</v>
      </c>
      <c r="BD314">
        <v>0.32815869614725457</v>
      </c>
      <c r="BE314">
        <v>-2.9926550624211012</v>
      </c>
      <c r="BF314" s="6">
        <f t="shared" si="232"/>
        <v>4.8216073235615955</v>
      </c>
      <c r="BG314" s="6">
        <f t="shared" si="233"/>
        <v>0.62381994266067586</v>
      </c>
      <c r="BH314" s="6">
        <f t="shared" si="234"/>
        <v>2.246976147015439</v>
      </c>
      <c r="BI314" s="6">
        <f t="shared" si="235"/>
        <v>2.246976147015439</v>
      </c>
      <c r="BV314" s="38"/>
      <c r="BW314" s="6">
        <f t="shared" si="236"/>
        <v>5.2185344634630111</v>
      </c>
      <c r="BX314" s="9">
        <f t="shared" ca="1" si="237"/>
        <v>-63.170792409035961</v>
      </c>
      <c r="BY314" s="9">
        <f t="shared" ca="1" si="238"/>
        <v>25.438031559204966</v>
      </c>
      <c r="BZ314">
        <f t="shared" ca="1" si="239"/>
        <v>68.100238349014774</v>
      </c>
      <c r="CA314" s="6">
        <f t="shared" ca="1" si="240"/>
        <v>-0.9276148504104299</v>
      </c>
      <c r="CB314" s="6">
        <f t="shared" ca="1" si="241"/>
        <v>0.37353806940931189</v>
      </c>
      <c r="CC314" s="6">
        <f t="shared" ca="1" si="242"/>
        <v>2.7587723904978589</v>
      </c>
      <c r="CD314" s="6">
        <f t="shared" ca="1" si="243"/>
        <v>-10.923012775416886</v>
      </c>
      <c r="CE314" s="9">
        <f t="shared" ca="1" si="244"/>
        <v>-14.073429831054021</v>
      </c>
      <c r="CF314">
        <f t="shared" ca="1" si="245"/>
        <v>17.814983449375465</v>
      </c>
      <c r="CG314" s="6">
        <f t="shared" ca="1" si="246"/>
        <v>-0.61313628533288433</v>
      </c>
      <c r="CH314" s="6">
        <f t="shared" ca="1" si="247"/>
        <v>-0.78997714878861647</v>
      </c>
      <c r="CI314" s="6">
        <f t="shared" ca="1" si="248"/>
        <v>-2.2308209264608041</v>
      </c>
      <c r="CJ314" s="1">
        <f t="shared" ca="1" si="249"/>
        <v>3.0162190898582524</v>
      </c>
      <c r="CK314" s="38"/>
    </row>
    <row r="315" spans="55:89" x14ac:dyDescent="0.25">
      <c r="BC315">
        <v>5.4628805587422145</v>
      </c>
      <c r="BD315">
        <v>0.40434432852702673</v>
      </c>
      <c r="BE315">
        <v>-2.9128690372335169</v>
      </c>
      <c r="BF315" s="6">
        <f t="shared" si="232"/>
        <v>4.8503206310370111</v>
      </c>
      <c r="BG315" s="6">
        <f t="shared" si="233"/>
        <v>0.6125599277052034</v>
      </c>
      <c r="BH315" s="6">
        <f t="shared" si="234"/>
        <v>2.2182628395400235</v>
      </c>
      <c r="BI315" s="6">
        <f t="shared" si="235"/>
        <v>2.2182628395400235</v>
      </c>
      <c r="BV315" s="38"/>
      <c r="BW315" s="6">
        <f t="shared" si="236"/>
        <v>5.2359877559829542</v>
      </c>
      <c r="BX315" s="9">
        <f t="shared" ca="1" si="237"/>
        <v>-63.2937141727773</v>
      </c>
      <c r="BY315" s="9">
        <f t="shared" ca="1" si="238"/>
        <v>25.347438537726759</v>
      </c>
      <c r="BZ315">
        <f t="shared" ca="1" si="239"/>
        <v>68.180546303245961</v>
      </c>
      <c r="CA315" s="6">
        <f t="shared" ca="1" si="240"/>
        <v>-0.9283251250476412</v>
      </c>
      <c r="CB315" s="6">
        <f t="shared" ca="1" si="241"/>
        <v>0.37176936695386981</v>
      </c>
      <c r="CC315" s="6">
        <f t="shared" ca="1" si="242"/>
        <v>2.7606783809322319</v>
      </c>
      <c r="CD315" s="6">
        <f t="shared" ca="1" si="243"/>
        <v>-10.800091011675548</v>
      </c>
      <c r="CE315" s="9">
        <f t="shared" ca="1" si="244"/>
        <v>-13.982836809575815</v>
      </c>
      <c r="CF315">
        <f t="shared" ca="1" si="245"/>
        <v>17.668098117898918</v>
      </c>
      <c r="CG315" s="6">
        <f t="shared" ca="1" si="246"/>
        <v>-0.61127637732181039</v>
      </c>
      <c r="CH315" s="6">
        <f t="shared" ca="1" si="247"/>
        <v>-0.79141720383646186</v>
      </c>
      <c r="CI315" s="6">
        <f t="shared" ca="1" si="248"/>
        <v>-2.2284686894613346</v>
      </c>
      <c r="CJ315" s="1">
        <f t="shared" ca="1" si="249"/>
        <v>3.0138668528587829</v>
      </c>
      <c r="CK315" s="38"/>
    </row>
    <row r="316" spans="55:89" x14ac:dyDescent="0.25">
      <c r="BC316">
        <v>5.4803338512621576</v>
      </c>
      <c r="BD316">
        <v>0.47895414351845156</v>
      </c>
      <c r="BE316">
        <v>-2.8327593262163284</v>
      </c>
      <c r="BF316" s="6">
        <f t="shared" si="232"/>
        <v>4.8798818216961868</v>
      </c>
      <c r="BG316" s="6">
        <f t="shared" si="233"/>
        <v>0.60045202956597077</v>
      </c>
      <c r="BH316" s="6">
        <f t="shared" si="234"/>
        <v>2.1887016488808477</v>
      </c>
      <c r="BI316" s="6">
        <f t="shared" si="235"/>
        <v>2.1887016488808477</v>
      </c>
      <c r="BV316" s="38"/>
      <c r="BW316" s="6">
        <f t="shared" si="236"/>
        <v>5.2534410485028973</v>
      </c>
      <c r="BX316" s="9">
        <f t="shared" ca="1" si="237"/>
        <v>-63.410367126752462</v>
      </c>
      <c r="BY316" s="9">
        <f t="shared" ca="1" si="238"/>
        <v>25.258827994045557</v>
      </c>
      <c r="BZ316">
        <f t="shared" ca="1" si="239"/>
        <v>68.256011096329885</v>
      </c>
      <c r="CA316" s="6">
        <f t="shared" ca="1" si="240"/>
        <v>-0.92900780617345546</v>
      </c>
      <c r="CB316" s="6">
        <f t="shared" ca="1" si="241"/>
        <v>0.37006012493753421</v>
      </c>
      <c r="CC316" s="6">
        <f t="shared" ca="1" si="242"/>
        <v>2.7625189142099122</v>
      </c>
      <c r="CD316" s="6">
        <f t="shared" ca="1" si="243"/>
        <v>-10.683438057700386</v>
      </c>
      <c r="CE316" s="9">
        <f t="shared" ca="1" si="244"/>
        <v>-13.894226265894613</v>
      </c>
      <c r="CF316">
        <f t="shared" ca="1" si="245"/>
        <v>17.526704546508359</v>
      </c>
      <c r="CG316" s="6">
        <f t="shared" ca="1" si="246"/>
        <v>-0.60955201414796045</v>
      </c>
      <c r="CH316" s="6">
        <f t="shared" ca="1" si="247"/>
        <v>-0.79274607665264707</v>
      </c>
      <c r="CI316" s="6">
        <f t="shared" ca="1" si="248"/>
        <v>-2.2262916884993</v>
      </c>
      <c r="CJ316" s="1">
        <f t="shared" ca="1" si="249"/>
        <v>3.0116898518967483</v>
      </c>
      <c r="CK316" s="38"/>
    </row>
    <row r="317" spans="55:89" x14ac:dyDescent="0.25">
      <c r="BC317">
        <v>5.4977871437821006</v>
      </c>
      <c r="BD317">
        <v>0.55216769905921992</v>
      </c>
      <c r="BE317">
        <v>-2.752167698965982</v>
      </c>
      <c r="BF317" s="6">
        <f t="shared" si="232"/>
        <v>4.9103903385659589</v>
      </c>
      <c r="BG317" s="6">
        <f t="shared" si="233"/>
        <v>0.58739680521614179</v>
      </c>
      <c r="BH317" s="6">
        <f t="shared" si="234"/>
        <v>2.1581931320110757</v>
      </c>
      <c r="BI317" s="6">
        <f t="shared" si="235"/>
        <v>2.1581931320110757</v>
      </c>
      <c r="BV317" s="38"/>
      <c r="BW317" s="6">
        <f t="shared" si="236"/>
        <v>5.2708943410228404</v>
      </c>
      <c r="BX317" s="9">
        <f t="shared" ca="1" si="237"/>
        <v>-63.521397529461943</v>
      </c>
      <c r="BY317" s="9">
        <f t="shared" ca="1" si="238"/>
        <v>25.171967211787937</v>
      </c>
      <c r="BZ317">
        <f t="shared" ca="1" si="239"/>
        <v>68.327124024118419</v>
      </c>
      <c r="CA317" s="6">
        <f t="shared" ca="1" si="240"/>
        <v>-0.92966590408576055</v>
      </c>
      <c r="CB317" s="6">
        <f t="shared" ca="1" si="241"/>
        <v>0.36840372796757292</v>
      </c>
      <c r="CC317" s="6">
        <f t="shared" ca="1" si="242"/>
        <v>2.7643012566644516</v>
      </c>
      <c r="CD317" s="6">
        <f t="shared" ca="1" si="243"/>
        <v>-10.572407654990904</v>
      </c>
      <c r="CE317" s="9">
        <f t="shared" ca="1" si="244"/>
        <v>-13.807365483636993</v>
      </c>
      <c r="CF317">
        <f t="shared" ca="1" si="245"/>
        <v>17.390202564146296</v>
      </c>
      <c r="CG317" s="6">
        <f t="shared" ca="1" si="246"/>
        <v>-0.60795195547567882</v>
      </c>
      <c r="CH317" s="6">
        <f t="shared" ca="1" si="247"/>
        <v>-0.79397381558417812</v>
      </c>
      <c r="CI317" s="6">
        <f t="shared" ca="1" si="248"/>
        <v>-2.2242748761586308</v>
      </c>
      <c r="CJ317" s="1">
        <f t="shared" ca="1" si="249"/>
        <v>3.0096730395560791</v>
      </c>
      <c r="CK317" s="38"/>
    </row>
    <row r="318" spans="55:89" x14ac:dyDescent="0.25">
      <c r="BC318">
        <v>5.5152404363020437</v>
      </c>
      <c r="BD318">
        <v>0.62415329309584111</v>
      </c>
      <c r="BE318">
        <v>-2.6709322506239297</v>
      </c>
      <c r="BF318" s="6">
        <f t="shared" si="232"/>
        <v>4.9419531505931245</v>
      </c>
      <c r="BG318" s="6">
        <f t="shared" si="233"/>
        <v>0.57328728570891929</v>
      </c>
      <c r="BH318" s="6">
        <f t="shared" si="234"/>
        <v>2.1266303199839101</v>
      </c>
      <c r="BI318" s="6">
        <f t="shared" si="235"/>
        <v>2.1266303199839101</v>
      </c>
      <c r="BV318" s="38"/>
      <c r="BW318" s="6">
        <f t="shared" si="236"/>
        <v>5.2883476335427835</v>
      </c>
      <c r="BX318" s="9">
        <f t="shared" ca="1" si="237"/>
        <v>-63.627375431714114</v>
      </c>
      <c r="BY318" s="9">
        <f t="shared" ca="1" si="238"/>
        <v>25.086639629296492</v>
      </c>
      <c r="BZ318">
        <f t="shared" ca="1" si="239"/>
        <v>68.394315496380884</v>
      </c>
      <c r="CA318" s="6">
        <f t="shared" ca="1" si="240"/>
        <v>-0.93030210142363345</v>
      </c>
      <c r="CB318" s="6">
        <f t="shared" ca="1" si="241"/>
        <v>0.3667942203562804</v>
      </c>
      <c r="CC318" s="6">
        <f t="shared" ca="1" si="242"/>
        <v>2.7660319393480068</v>
      </c>
      <c r="CD318" s="6">
        <f t="shared" ca="1" si="243"/>
        <v>-10.466429752738733</v>
      </c>
      <c r="CE318" s="9">
        <f t="shared" ca="1" si="244"/>
        <v>-13.722037901145548</v>
      </c>
      <c r="CF318">
        <f t="shared" ca="1" si="245"/>
        <v>17.258055392467874</v>
      </c>
      <c r="CG318" s="6">
        <f t="shared" ca="1" si="246"/>
        <v>-0.6064663436708353</v>
      </c>
      <c r="CH318" s="6">
        <f t="shared" ca="1" si="247"/>
        <v>-0.7951091585402148</v>
      </c>
      <c r="CI318" s="6">
        <f t="shared" ca="1" si="248"/>
        <v>-2.2224051042257362</v>
      </c>
      <c r="CJ318" s="1">
        <f t="shared" ca="1" si="249"/>
        <v>3.0078032676231845</v>
      </c>
      <c r="CK318" s="38"/>
    </row>
    <row r="319" spans="55:89" x14ac:dyDescent="0.25">
      <c r="BC319">
        <v>5.5326937288219868</v>
      </c>
      <c r="BD319">
        <v>0.69506957255137902</v>
      </c>
      <c r="BE319">
        <v>-2.5888860891516181</v>
      </c>
      <c r="BF319" s="6">
        <f t="shared" si="232"/>
        <v>4.9746855109633907</v>
      </c>
      <c r="BG319" s="6">
        <f t="shared" si="233"/>
        <v>0.55800821785859611</v>
      </c>
      <c r="BH319" s="6">
        <f t="shared" si="234"/>
        <v>2.0938979596136438</v>
      </c>
      <c r="BI319" s="6">
        <f t="shared" si="235"/>
        <v>2.0938979596136438</v>
      </c>
      <c r="BV319" s="38"/>
      <c r="BW319" s="6">
        <f t="shared" si="236"/>
        <v>5.3058009260627266</v>
      </c>
      <c r="BX319" s="9">
        <f t="shared" ca="1" si="237"/>
        <v>-63.72880596259958</v>
      </c>
      <c r="BY319" s="9">
        <f t="shared" ca="1" si="238"/>
        <v>25.002642430267926</v>
      </c>
      <c r="BZ319">
        <f t="shared" ca="1" si="239"/>
        <v>68.457964021102043</v>
      </c>
      <c r="CA319" s="6">
        <f t="shared" ca="1" si="240"/>
        <v>-0.93091880358807177</v>
      </c>
      <c r="CB319" s="6">
        <f t="shared" ca="1" si="241"/>
        <v>0.36522620542090484</v>
      </c>
      <c r="CC319" s="6">
        <f t="shared" ca="1" si="242"/>
        <v>2.7677168705242985</v>
      </c>
      <c r="CD319" s="6">
        <f t="shared" ca="1" si="243"/>
        <v>-10.364999221853267</v>
      </c>
      <c r="CE319" s="9">
        <f t="shared" ca="1" si="244"/>
        <v>-13.638040702116982</v>
      </c>
      <c r="CF319">
        <f t="shared" ca="1" si="245"/>
        <v>17.129780006223616</v>
      </c>
      <c r="CG319" s="6">
        <f t="shared" ca="1" si="246"/>
        <v>-0.60508653456655259</v>
      </c>
      <c r="CH319" s="6">
        <f t="shared" ca="1" si="247"/>
        <v>-0.79615971116745166</v>
      </c>
      <c r="CI319" s="6">
        <f t="shared" ca="1" si="248"/>
        <v>-2.2206708796899197</v>
      </c>
      <c r="CJ319" s="1">
        <f t="shared" ca="1" si="249"/>
        <v>3.006069043087368</v>
      </c>
      <c r="CK319" s="38"/>
    </row>
    <row r="320" spans="55:89" x14ac:dyDescent="0.25">
      <c r="BC320">
        <v>5.5501470213419299</v>
      </c>
      <c r="BD320">
        <v>0.76506698459336342</v>
      </c>
      <c r="BE320">
        <v>-2.505855941620045</v>
      </c>
      <c r="BF320" s="6">
        <f t="shared" si="232"/>
        <v>5.0087116861223588</v>
      </c>
      <c r="BG320" s="6">
        <f t="shared" si="233"/>
        <v>0.5414353352195711</v>
      </c>
      <c r="BH320" s="6">
        <f t="shared" si="234"/>
        <v>2.0598717844546757</v>
      </c>
      <c r="BI320" s="6">
        <f t="shared" si="235"/>
        <v>2.0598717844546757</v>
      </c>
      <c r="BV320" s="38"/>
      <c r="BW320" s="6">
        <f t="shared" si="236"/>
        <v>5.3232542185826697</v>
      </c>
      <c r="BX320" s="9">
        <f t="shared" ca="1" si="237"/>
        <v>-63.826138722522046</v>
      </c>
      <c r="BY320" s="9">
        <f t="shared" ca="1" si="238"/>
        <v>24.919784417882415</v>
      </c>
      <c r="BZ320">
        <f t="shared" ca="1" si="239"/>
        <v>68.518403656684555</v>
      </c>
      <c r="CA320" s="6">
        <f t="shared" ca="1" si="240"/>
        <v>-0.93151818075515336</v>
      </c>
      <c r="CB320" s="6">
        <f t="shared" ca="1" si="241"/>
        <v>0.36369476064772965</v>
      </c>
      <c r="CC320" s="6">
        <f t="shared" ca="1" si="242"/>
        <v>2.7693614302499596</v>
      </c>
      <c r="CD320" s="6">
        <f t="shared" ca="1" si="243"/>
        <v>-10.267666461930801</v>
      </c>
      <c r="CE320" s="9">
        <f t="shared" ca="1" si="244"/>
        <v>-13.55518268973147</v>
      </c>
      <c r="CF320">
        <f t="shared" ca="1" si="245"/>
        <v>17.004939056799184</v>
      </c>
      <c r="CG320" s="6">
        <f t="shared" ca="1" si="246"/>
        <v>-0.60380495499779052</v>
      </c>
      <c r="CH320" s="6">
        <f t="shared" ca="1" si="247"/>
        <v>-0.79713209464938495</v>
      </c>
      <c r="CI320" s="6">
        <f t="shared" ca="1" si="248"/>
        <v>-2.2190621608253753</v>
      </c>
      <c r="CJ320" s="1">
        <f t="shared" ca="1" si="249"/>
        <v>3.0044603242228236</v>
      </c>
      <c r="CK320" s="38"/>
    </row>
    <row r="321" spans="55:89" x14ac:dyDescent="0.25">
      <c r="BC321">
        <v>5.567600313861873</v>
      </c>
      <c r="BD321">
        <v>0.83428909737554502</v>
      </c>
      <c r="BE321">
        <v>-2.4216606537469647</v>
      </c>
      <c r="BF321" s="6">
        <f t="shared" si="232"/>
        <v>5.0441656120356608</v>
      </c>
      <c r="BG321" s="6">
        <f t="shared" si="233"/>
        <v>0.52343470182621221</v>
      </c>
      <c r="BH321" s="6">
        <f t="shared" si="234"/>
        <v>2.0244178585413737</v>
      </c>
      <c r="BI321" s="6">
        <f t="shared" si="235"/>
        <v>2.0244178585413737</v>
      </c>
      <c r="BV321" s="38"/>
      <c r="BW321" s="6">
        <f t="shared" si="236"/>
        <v>5.3407075111026128</v>
      </c>
      <c r="BX321" s="9">
        <f t="shared" ca="1" si="237"/>
        <v>-63.919775653061372</v>
      </c>
      <c r="BY321" s="9">
        <f t="shared" ca="1" si="238"/>
        <v>24.837884123763011</v>
      </c>
      <c r="BZ321">
        <f t="shared" ca="1" si="239"/>
        <v>68.575930232722158</v>
      </c>
      <c r="CA321" s="6">
        <f t="shared" ca="1" si="240"/>
        <v>-0.93210220315117176</v>
      </c>
      <c r="CB321" s="6">
        <f t="shared" ca="1" si="241"/>
        <v>0.36219536562569582</v>
      </c>
      <c r="CC321" s="6">
        <f t="shared" ca="1" si="242"/>
        <v>2.770970550553058</v>
      </c>
      <c r="CD321" s="6">
        <f t="shared" ca="1" si="243"/>
        <v>-10.174029531391476</v>
      </c>
      <c r="CE321" s="9">
        <f t="shared" ca="1" si="244"/>
        <v>-13.473282395612067</v>
      </c>
      <c r="CF321">
        <f t="shared" ca="1" si="245"/>
        <v>16.883134051992119</v>
      </c>
      <c r="CG321" s="6">
        <f t="shared" ca="1" si="246"/>
        <v>-0.60261498250622458</v>
      </c>
      <c r="CH321" s="6">
        <f t="shared" ca="1" si="247"/>
        <v>-0.79803206881617406</v>
      </c>
      <c r="CI321" s="6">
        <f t="shared" ca="1" si="248"/>
        <v>-2.2175701861458017</v>
      </c>
      <c r="CJ321" s="1">
        <f t="shared" ca="1" si="249"/>
        <v>3.00296834954325</v>
      </c>
      <c r="CK321" s="38"/>
    </row>
    <row r="322" spans="55:89" x14ac:dyDescent="0.25">
      <c r="BC322">
        <v>5.5850536063818161</v>
      </c>
      <c r="BD322">
        <v>0.90287381129332223</v>
      </c>
      <c r="BE322">
        <v>-2.3361095529346496</v>
      </c>
      <c r="BF322" s="6">
        <f t="shared" si="232"/>
        <v>5.081191413808277</v>
      </c>
      <c r="BG322" s="6">
        <f t="shared" si="233"/>
        <v>0.50386219257353915</v>
      </c>
      <c r="BH322" s="6">
        <f t="shared" si="234"/>
        <v>1.9873920567687575</v>
      </c>
      <c r="BI322" s="6">
        <f t="shared" si="235"/>
        <v>1.9873920567687575</v>
      </c>
      <c r="BV322" s="38"/>
      <c r="BW322" s="6">
        <f t="shared" si="236"/>
        <v>5.3581608036225559</v>
      </c>
      <c r="BX322" s="9">
        <f t="shared" ca="1" si="237"/>
        <v>-64.01007765663411</v>
      </c>
      <c r="BY322" s="9">
        <f t="shared" ca="1" si="238"/>
        <v>24.756768102996194</v>
      </c>
      <c r="BZ322">
        <f t="shared" ca="1" si="239"/>
        <v>68.63080655590359</v>
      </c>
      <c r="CA322" s="6">
        <f t="shared" ca="1" si="240"/>
        <v>-0.93267267090172346</v>
      </c>
      <c r="CB322" s="6">
        <f t="shared" ca="1" si="241"/>
        <v>0.3607238402892794</v>
      </c>
      <c r="CC322" s="6">
        <f t="shared" ca="1" si="242"/>
        <v>2.7725487839917959</v>
      </c>
      <c r="CD322" s="6">
        <f t="shared" ca="1" si="243"/>
        <v>-10.083727527818738</v>
      </c>
      <c r="CE322" s="9">
        <f t="shared" ca="1" si="244"/>
        <v>-13.39216637484525</v>
      </c>
      <c r="CF322">
        <f t="shared" ca="1" si="245"/>
        <v>16.763999554605849</v>
      </c>
      <c r="CG322" s="6">
        <f t="shared" ca="1" si="246"/>
        <v>-0.60151084441232106</v>
      </c>
      <c r="CH322" s="6">
        <f t="shared" ca="1" si="247"/>
        <v>-0.79886463437454569</v>
      </c>
      <c r="CI322" s="6">
        <f t="shared" ca="1" si="248"/>
        <v>-2.216187331618336</v>
      </c>
      <c r="CJ322" s="1">
        <f t="shared" ca="1" si="249"/>
        <v>3.0015854950157843</v>
      </c>
      <c r="CK322" s="38"/>
    </row>
    <row r="323" spans="55:89" x14ac:dyDescent="0.25">
      <c r="BC323">
        <v>5.6025068989017592</v>
      </c>
      <c r="BD323">
        <v>0.97095449085678065</v>
      </c>
      <c r="BE323">
        <v>-2.2490006451507711</v>
      </c>
      <c r="BF323" s="6">
        <f t="shared" ref="BF323:BF362" si="250">IF(BC323&lt;&gt;"",IF(AND(BD323=0,BE323=0),0,MOD(ATAN2(BD323,BE323),2*PI())),NA())</f>
        <v>5.1199437027039378</v>
      </c>
      <c r="BG323" s="6">
        <f t="shared" ref="BG323:BG362" si="251">ABS(BC323-BF323)</f>
        <v>0.4825631961978214</v>
      </c>
      <c r="BH323" s="6">
        <f t="shared" ref="BH323:BH362" si="252">ATAN2(COS($U$13-BF323),SIN($U$13-BF323))</f>
        <v>1.9486397678730969</v>
      </c>
      <c r="BI323" s="6">
        <f t="shared" ref="BI323:BI362" si="253">ABS(BH323)</f>
        <v>1.9486397678730969</v>
      </c>
      <c r="BV323" s="38"/>
      <c r="BW323" s="6">
        <f t="shared" si="236"/>
        <v>5.375614096142499</v>
      </c>
      <c r="BX323" s="9">
        <f t="shared" ca="1" si="237"/>
        <v>-64.097370205809952</v>
      </c>
      <c r="BY323" s="9">
        <f t="shared" ca="1" si="238"/>
        <v>24.676269383696212</v>
      </c>
      <c r="BZ323">
        <f t="shared" ca="1" si="239"/>
        <v>68.68326679765164</v>
      </c>
      <c r="CA323" s="6">
        <f t="shared" ca="1" si="240"/>
        <v>-0.93323123949022058</v>
      </c>
      <c r="CB323" s="6">
        <f t="shared" ca="1" si="241"/>
        <v>0.35927629150772894</v>
      </c>
      <c r="CC323" s="6">
        <f t="shared" ca="1" si="242"/>
        <v>2.7741003628089969</v>
      </c>
      <c r="CD323" s="6">
        <f t="shared" ca="1" si="243"/>
        <v>-9.9964349786428954</v>
      </c>
      <c r="CE323" s="9">
        <f t="shared" ca="1" si="244"/>
        <v>-13.311667655545268</v>
      </c>
      <c r="CF323">
        <f t="shared" ca="1" si="245"/>
        <v>16.647198204320308</v>
      </c>
      <c r="CG323" s="6">
        <f t="shared" ca="1" si="246"/>
        <v>-0.60048753285394318</v>
      </c>
      <c r="CH323" s="6">
        <f t="shared" ca="1" si="247"/>
        <v>-0.79963411813590368</v>
      </c>
      <c r="CI323" s="6">
        <f t="shared" ca="1" si="248"/>
        <v>-2.214906991027541</v>
      </c>
      <c r="CJ323" s="1">
        <f t="shared" ca="1" si="249"/>
        <v>3.0003051544249892</v>
      </c>
      <c r="CK323" s="38"/>
    </row>
    <row r="324" spans="55:89" x14ac:dyDescent="0.25">
      <c r="BC324">
        <v>5.6199601914217023</v>
      </c>
      <c r="BD324">
        <v>1.0386610282402449</v>
      </c>
      <c r="BE324">
        <v>-2.1601186047577445</v>
      </c>
      <c r="BF324" s="6">
        <f t="shared" si="250"/>
        <v>5.1605875255325717</v>
      </c>
      <c r="BG324" s="6">
        <f t="shared" si="251"/>
        <v>0.45937266588913062</v>
      </c>
      <c r="BH324" s="6">
        <f t="shared" si="252"/>
        <v>1.907995945044463</v>
      </c>
      <c r="BI324" s="6">
        <f t="shared" si="253"/>
        <v>1.907995945044463</v>
      </c>
      <c r="BV324" s="38"/>
      <c r="BW324" s="6">
        <f t="shared" si="236"/>
        <v>5.3930673886624421</v>
      </c>
      <c r="BX324" s="9">
        <f t="shared" ca="1" si="237"/>
        <v>-64.181948107842146</v>
      </c>
      <c r="BY324" s="9">
        <f t="shared" ca="1" si="238"/>
        <v>24.59622603289306</v>
      </c>
      <c r="BZ324">
        <f t="shared" ca="1" si="239"/>
        <v>68.733520191962441</v>
      </c>
      <c r="CA324" s="6">
        <f t="shared" ca="1" si="240"/>
        <v>-0.93377944165512783</v>
      </c>
      <c r="CB324" s="6">
        <f t="shared" ca="1" si="241"/>
        <v>0.3578490664263882</v>
      </c>
      <c r="CC324" s="6">
        <f t="shared" ca="1" si="242"/>
        <v>2.7756292504771207</v>
      </c>
      <c r="CD324" s="6">
        <f t="shared" ca="1" si="243"/>
        <v>-9.9118570766107013</v>
      </c>
      <c r="CE324" s="9">
        <f t="shared" ca="1" si="244"/>
        <v>-13.231624304742116</v>
      </c>
      <c r="CF324">
        <f t="shared" ca="1" si="245"/>
        <v>16.53241641288411</v>
      </c>
      <c r="CG324" s="6">
        <f t="shared" ca="1" si="246"/>
        <v>-0.59954073434093713</v>
      </c>
      <c r="CH324" s="6">
        <f t="shared" ca="1" si="247"/>
        <v>-0.80034424335152798</v>
      </c>
      <c r="CI324" s="6">
        <f t="shared" ca="1" si="248"/>
        <v>-2.2137234770185006</v>
      </c>
      <c r="CJ324" s="1">
        <f t="shared" ca="1" si="249"/>
        <v>2.9991216404159489</v>
      </c>
      <c r="CK324" s="38"/>
    </row>
    <row r="325" spans="55:89" x14ac:dyDescent="0.25">
      <c r="BC325">
        <v>5.6374134839416454</v>
      </c>
      <c r="BD325">
        <v>1.1061208609122166</v>
      </c>
      <c r="BE325">
        <v>-2.069232514328823</v>
      </c>
      <c r="BF325" s="6">
        <f t="shared" si="250"/>
        <v>5.2032978034931974</v>
      </c>
      <c r="BG325" s="6">
        <f t="shared" si="251"/>
        <v>0.43411568044844806</v>
      </c>
      <c r="BH325" s="6">
        <f t="shared" si="252"/>
        <v>1.8652856670838374</v>
      </c>
      <c r="BI325" s="6">
        <f t="shared" si="253"/>
        <v>1.8652856670838374</v>
      </c>
      <c r="BV325" s="38"/>
      <c r="BW325" s="6">
        <f t="shared" si="236"/>
        <v>5.4105206811823852</v>
      </c>
      <c r="BX325" s="9">
        <f t="shared" ca="1" si="237"/>
        <v>-64.264079592334085</v>
      </c>
      <c r="BY325" s="9">
        <f t="shared" ca="1" si="238"/>
        <v>24.516479819766367</v>
      </c>
      <c r="BZ325">
        <f t="shared" ca="1" si="239"/>
        <v>68.781754183815792</v>
      </c>
      <c r="CA325" s="6">
        <f t="shared" ca="1" si="240"/>
        <v>-0.93431870639110992</v>
      </c>
      <c r="CB325" s="6">
        <f t="shared" ca="1" si="241"/>
        <v>0.35643871126414284</v>
      </c>
      <c r="CC325" s="6">
        <f t="shared" ca="1" si="242"/>
        <v>2.7771391870891384</v>
      </c>
      <c r="CD325" s="6">
        <f t="shared" ca="1" si="243"/>
        <v>-9.8297255921187627</v>
      </c>
      <c r="CE325" s="9">
        <f t="shared" ca="1" si="244"/>
        <v>-13.151878091615423</v>
      </c>
      <c r="CF325">
        <f t="shared" ca="1" si="245"/>
        <v>16.419360601225261</v>
      </c>
      <c r="CG325" s="6">
        <f t="shared" ca="1" si="246"/>
        <v>-0.59866677094510246</v>
      </c>
      <c r="CH325" s="6">
        <f t="shared" ca="1" si="247"/>
        <v>-0.80099818811665491</v>
      </c>
      <c r="CI325" s="6">
        <f t="shared" ca="1" si="248"/>
        <v>-2.2126319387042885</v>
      </c>
      <c r="CJ325" s="1">
        <f t="shared" ca="1" si="249"/>
        <v>2.9980301021017368</v>
      </c>
      <c r="CK325" s="38"/>
    </row>
    <row r="326" spans="55:89" x14ac:dyDescent="0.25">
      <c r="BC326">
        <v>5.6548667764615885</v>
      </c>
      <c r="BD326">
        <v>1.1734599626488624</v>
      </c>
      <c r="BE326">
        <v>-1.976093302236527</v>
      </c>
      <c r="BF326" s="6">
        <f t="shared" si="250"/>
        <v>5.2482580462457857</v>
      </c>
      <c r="BG326" s="6">
        <f t="shared" si="251"/>
        <v>0.40660873021580279</v>
      </c>
      <c r="BH326" s="6">
        <f t="shared" si="252"/>
        <v>1.8203254243312488</v>
      </c>
      <c r="BI326" s="6">
        <f t="shared" si="253"/>
        <v>1.8203254243312488</v>
      </c>
      <c r="BV326" s="38"/>
      <c r="BW326" s="6">
        <f t="shared" si="236"/>
        <v>5.4279739737023283</v>
      </c>
      <c r="BX326" s="9">
        <f t="shared" ca="1" si="237"/>
        <v>-64.344009811070009</v>
      </c>
      <c r="BY326" s="9">
        <f t="shared" ca="1" si="238"/>
        <v>24.43687493977286</v>
      </c>
      <c r="BZ326">
        <f t="shared" ca="1" si="239"/>
        <v>68.828137090794286</v>
      </c>
      <c r="CA326" s="6">
        <f t="shared" ca="1" si="240"/>
        <v>-0.93485037559844075</v>
      </c>
      <c r="CB326" s="6">
        <f t="shared" ca="1" si="241"/>
        <v>0.35504193448584959</v>
      </c>
      <c r="CC326" s="6">
        <f t="shared" ca="1" si="242"/>
        <v>2.7786337298052133</v>
      </c>
      <c r="CD326" s="6">
        <f t="shared" ca="1" si="243"/>
        <v>-9.7497953733828382</v>
      </c>
      <c r="CE326" s="9">
        <f t="shared" ca="1" si="244"/>
        <v>-13.072273211621916</v>
      </c>
      <c r="CF326">
        <f t="shared" ca="1" si="245"/>
        <v>16.307753884030912</v>
      </c>
      <c r="CG326" s="6">
        <f t="shared" ca="1" si="246"/>
        <v>-0.59786255315823456</v>
      </c>
      <c r="CH326" s="6">
        <f t="shared" ca="1" si="247"/>
        <v>-0.80159863244089757</v>
      </c>
      <c r="CI326" s="6">
        <f t="shared" ca="1" si="248"/>
        <v>-2.2116282954809345</v>
      </c>
      <c r="CJ326" s="1">
        <f t="shared" ca="1" si="249"/>
        <v>2.9970264588783828</v>
      </c>
      <c r="CK326" s="38"/>
    </row>
    <row r="327" spans="55:89" x14ac:dyDescent="0.25">
      <c r="BC327">
        <v>5.6723200689815316</v>
      </c>
      <c r="BD327">
        <v>1.2408038210972769</v>
      </c>
      <c r="BE327">
        <v>-1.8804308132831637</v>
      </c>
      <c r="BF327" s="6">
        <f t="shared" si="250"/>
        <v>5.2956580681051442</v>
      </c>
      <c r="BG327" s="6">
        <f t="shared" si="251"/>
        <v>0.37666200087638746</v>
      </c>
      <c r="BH327" s="6">
        <f t="shared" si="252"/>
        <v>1.7729254024718903</v>
      </c>
      <c r="BI327" s="6">
        <f t="shared" si="253"/>
        <v>1.7729254024718903</v>
      </c>
      <c r="BV327" s="38"/>
      <c r="BW327" s="6">
        <f t="shared" si="236"/>
        <v>5.4454272662222714</v>
      </c>
      <c r="BX327" s="9">
        <f t="shared" ca="1" si="237"/>
        <v>-64.421963880600103</v>
      </c>
      <c r="BY327" s="9">
        <f t="shared" ca="1" si="238"/>
        <v>24.357256790572045</v>
      </c>
      <c r="BZ327">
        <f t="shared" ca="1" si="239"/>
        <v>68.872820390885778</v>
      </c>
      <c r="CA327" s="6">
        <f t="shared" ca="1" si="240"/>
        <v>-0.93537571882456738</v>
      </c>
      <c r="CB327" s="6">
        <f t="shared" ca="1" si="241"/>
        <v>0.35365557345166221</v>
      </c>
      <c r="CC327" s="6">
        <f t="shared" ca="1" si="242"/>
        <v>2.7801162893571179</v>
      </c>
      <c r="CD327" s="6">
        <f t="shared" ca="1" si="243"/>
        <v>-9.6718413038527444</v>
      </c>
      <c r="CE327" s="9">
        <f t="shared" ca="1" si="244"/>
        <v>-12.9926550624211</v>
      </c>
      <c r="CF327">
        <f t="shared" ca="1" si="245"/>
        <v>16.197333106964511</v>
      </c>
      <c r="CG327" s="6">
        <f t="shared" ca="1" si="246"/>
        <v>-0.59712554159265008</v>
      </c>
      <c r="CH327" s="6">
        <f t="shared" ca="1" si="247"/>
        <v>-0.80214779659217683</v>
      </c>
      <c r="CI327" s="6">
        <f t="shared" ca="1" si="248"/>
        <v>-2.2107091832068759</v>
      </c>
      <c r="CJ327" s="1">
        <f t="shared" ca="1" si="249"/>
        <v>2.9961073466043242</v>
      </c>
      <c r="CK327" s="38"/>
    </row>
    <row r="328" spans="55:89" x14ac:dyDescent="0.25">
      <c r="BC328">
        <v>5.6897733615014747</v>
      </c>
      <c r="BD328">
        <v>1.3082784152020115</v>
      </c>
      <c r="BE328">
        <v>-1.7819504344054078</v>
      </c>
      <c r="BF328" s="6">
        <f t="shared" si="250"/>
        <v>5.345690375477961</v>
      </c>
      <c r="BG328" s="6">
        <f t="shared" si="251"/>
        <v>0.34408298602351373</v>
      </c>
      <c r="BH328" s="6">
        <f t="shared" si="252"/>
        <v>1.7228930950990737</v>
      </c>
      <c r="BI328" s="6">
        <f t="shared" si="253"/>
        <v>1.7228930950990737</v>
      </c>
      <c r="BV328" s="38"/>
      <c r="BW328" s="6">
        <f t="shared" si="236"/>
        <v>5.4628805587422145</v>
      </c>
      <c r="BX328" s="9">
        <f t="shared" ca="1" si="237"/>
        <v>-64.498149512979879</v>
      </c>
      <c r="BY328" s="9">
        <f t="shared" ca="1" si="238"/>
        <v>24.277470765384461</v>
      </c>
      <c r="BZ328">
        <f t="shared" ca="1" si="239"/>
        <v>68.915940662250293</v>
      </c>
      <c r="CA328" s="6">
        <f t="shared" ca="1" si="240"/>
        <v>-0.93589594647018548</v>
      </c>
      <c r="CB328" s="6">
        <f t="shared" ca="1" si="241"/>
        <v>0.35227656376868982</v>
      </c>
      <c r="CC328" s="6">
        <f t="shared" ca="1" si="242"/>
        <v>2.7815901634705482</v>
      </c>
      <c r="CD328" s="6">
        <f t="shared" ca="1" si="243"/>
        <v>-9.5956556714729686</v>
      </c>
      <c r="CE328" s="9">
        <f t="shared" ca="1" si="244"/>
        <v>-12.912869037233516</v>
      </c>
      <c r="CF328">
        <f t="shared" ca="1" si="245"/>
        <v>16.087846174619379</v>
      </c>
      <c r="CG328" s="6">
        <f t="shared" ca="1" si="246"/>
        <v>-0.5964537183735219</v>
      </c>
      <c r="CH328" s="6">
        <f t="shared" ca="1" si="247"/>
        <v>-0.80264747046159646</v>
      </c>
      <c r="CI328" s="6">
        <f t="shared" ca="1" si="248"/>
        <v>-2.2098719135642324</v>
      </c>
      <c r="CJ328" s="1">
        <f t="shared" ca="1" si="249"/>
        <v>2.9952700769616807</v>
      </c>
      <c r="CK328" s="38"/>
    </row>
    <row r="329" spans="55:89" x14ac:dyDescent="0.25">
      <c r="BC329">
        <v>5.7072266540214178</v>
      </c>
      <c r="BD329">
        <v>1.3760112181399111</v>
      </c>
      <c r="BE329">
        <v>-1.6803291842983343</v>
      </c>
      <c r="BF329" s="6">
        <f t="shared" si="250"/>
        <v>5.3985448505817777</v>
      </c>
      <c r="BG329" s="6">
        <f t="shared" si="251"/>
        <v>0.30868180343964013</v>
      </c>
      <c r="BH329" s="6">
        <f t="shared" si="252"/>
        <v>1.670038619995257</v>
      </c>
      <c r="BI329" s="6">
        <f t="shared" si="253"/>
        <v>1.670038619995257</v>
      </c>
      <c r="BV329" s="38"/>
      <c r="BW329" s="6">
        <f t="shared" si="236"/>
        <v>5.4803338512621576</v>
      </c>
      <c r="BX329" s="9">
        <f t="shared" ca="1" si="237"/>
        <v>-64.572759327971298</v>
      </c>
      <c r="BY329" s="9">
        <f t="shared" ca="1" si="238"/>
        <v>24.197361054367274</v>
      </c>
      <c r="BZ329">
        <f t="shared" ca="1" si="239"/>
        <v>68.957621255547338</v>
      </c>
      <c r="CA329" s="6">
        <f t="shared" ca="1" si="240"/>
        <v>-0.93641222177130568</v>
      </c>
      <c r="CB329" s="6">
        <f t="shared" ca="1" si="241"/>
        <v>0.35090191067779475</v>
      </c>
      <c r="CC329" s="6">
        <f t="shared" ca="1" si="242"/>
        <v>2.783058567942855</v>
      </c>
      <c r="CD329" s="6">
        <f t="shared" ca="1" si="243"/>
        <v>-9.5210458564815497</v>
      </c>
      <c r="CE329" s="9">
        <f t="shared" ca="1" si="244"/>
        <v>-12.83275932621633</v>
      </c>
      <c r="CF329">
        <f t="shared" ca="1" si="245"/>
        <v>15.97904960020516</v>
      </c>
      <c r="CG329" s="6">
        <f t="shared" ca="1" si="246"/>
        <v>-0.59584556620684792</v>
      </c>
      <c r="CH329" s="6">
        <f t="shared" ca="1" si="247"/>
        <v>-0.80309903575564134</v>
      </c>
      <c r="CI329" s="6">
        <f t="shared" ca="1" si="248"/>
        <v>-2.20911444389484</v>
      </c>
      <c r="CJ329" s="1">
        <f t="shared" ca="1" si="249"/>
        <v>2.9945126072922883</v>
      </c>
      <c r="CK329" s="38"/>
    </row>
    <row r="330" spans="55:89" x14ac:dyDescent="0.25">
      <c r="BC330">
        <v>5.7246799465413609</v>
      </c>
      <c r="BD330">
        <v>1.4441322454001104</v>
      </c>
      <c r="BE330">
        <v>-1.575211151637014</v>
      </c>
      <c r="BF330" s="6">
        <f t="shared" si="250"/>
        <v>5.4544013362812089</v>
      </c>
      <c r="BG330" s="6">
        <f t="shared" si="251"/>
        <v>0.27027861026015199</v>
      </c>
      <c r="BH330" s="6">
        <f t="shared" si="252"/>
        <v>1.6141821342958258</v>
      </c>
      <c r="BI330" s="6">
        <f t="shared" si="253"/>
        <v>1.6141821342958258</v>
      </c>
      <c r="BV330" s="38"/>
      <c r="BW330" s="6">
        <f t="shared" si="236"/>
        <v>5.4977871437821006</v>
      </c>
      <c r="BX330" s="9">
        <f t="shared" ca="1" si="237"/>
        <v>-64.645972883512073</v>
      </c>
      <c r="BY330" s="9">
        <f t="shared" ca="1" si="238"/>
        <v>24.116769427116928</v>
      </c>
      <c r="BZ330">
        <f t="shared" ca="1" si="239"/>
        <v>68.997973721381854</v>
      </c>
      <c r="CA330" s="6">
        <f t="shared" ca="1" si="240"/>
        <v>-0.93692567182561859</v>
      </c>
      <c r="CB330" s="6">
        <f t="shared" ca="1" si="241"/>
        <v>0.34952866187783943</v>
      </c>
      <c r="CC330" s="6">
        <f t="shared" ca="1" si="242"/>
        <v>2.7845246660329779</v>
      </c>
      <c r="CD330" s="6">
        <f t="shared" ca="1" si="243"/>
        <v>-9.4478323009407745</v>
      </c>
      <c r="CE330" s="9">
        <f t="shared" ca="1" si="244"/>
        <v>-12.752167698965984</v>
      </c>
      <c r="CF330">
        <f t="shared" ca="1" si="245"/>
        <v>15.870706229064011</v>
      </c>
      <c r="CG330" s="6">
        <f t="shared" ca="1" si="246"/>
        <v>-0.59530005562316868</v>
      </c>
      <c r="CH330" s="6">
        <f t="shared" ca="1" si="247"/>
        <v>-0.8035034808730156</v>
      </c>
      <c r="CI330" s="6">
        <f t="shared" ca="1" si="248"/>
        <v>-2.2084353579889369</v>
      </c>
      <c r="CJ330" s="1">
        <f t="shared" ca="1" si="249"/>
        <v>2.9938335213863851</v>
      </c>
      <c r="CK330" s="38"/>
    </row>
    <row r="331" spans="55:89" x14ac:dyDescent="0.25">
      <c r="BC331">
        <v>5.742133239061304</v>
      </c>
      <c r="BD331">
        <v>1.5127751482936853</v>
      </c>
      <c r="BE331">
        <v>-1.4662021324739891</v>
      </c>
      <c r="BF331" s="6">
        <f t="shared" si="250"/>
        <v>5.5134197644935572</v>
      </c>
      <c r="BG331" s="6">
        <f t="shared" si="251"/>
        <v>0.22871347456774682</v>
      </c>
      <c r="BH331" s="6">
        <f t="shared" si="252"/>
        <v>1.5551637060834775</v>
      </c>
      <c r="BI331" s="6">
        <f t="shared" si="253"/>
        <v>1.5551637060834775</v>
      </c>
      <c r="BV331" s="38"/>
      <c r="BW331" s="6">
        <f t="shared" si="236"/>
        <v>5.5152404363020437</v>
      </c>
      <c r="BX331" s="9">
        <f t="shared" ca="1" si="237"/>
        <v>-64.717958477548692</v>
      </c>
      <c r="BY331" s="9">
        <f t="shared" ca="1" si="238"/>
        <v>24.035533978774875</v>
      </c>
      <c r="BZ331">
        <f t="shared" ca="1" si="239"/>
        <v>69.03709903484183</v>
      </c>
      <c r="CA331" s="6">
        <f t="shared" ca="1" si="240"/>
        <v>-0.93743739789655212</v>
      </c>
      <c r="CB331" s="6">
        <f t="shared" ca="1" si="241"/>
        <v>0.34815388124354063</v>
      </c>
      <c r="CC331" s="6">
        <f t="shared" ca="1" si="242"/>
        <v>2.7859915967573139</v>
      </c>
      <c r="CD331" s="6">
        <f t="shared" ca="1" si="243"/>
        <v>-9.3758467069041558</v>
      </c>
      <c r="CE331" s="9">
        <f t="shared" ca="1" si="244"/>
        <v>-12.670932250623931</v>
      </c>
      <c r="CF331">
        <f t="shared" ca="1" si="245"/>
        <v>15.762583086894963</v>
      </c>
      <c r="CG331" s="6">
        <f t="shared" ca="1" si="246"/>
        <v>-0.59481663983736588</v>
      </c>
      <c r="CH331" s="6">
        <f t="shared" ca="1" si="247"/>
        <v>-0.80386140905792047</v>
      </c>
      <c r="CI331" s="6">
        <f t="shared" ca="1" si="248"/>
        <v>-2.2078338570176816</v>
      </c>
      <c r="CJ331" s="1">
        <f t="shared" ca="1" si="249"/>
        <v>2.9932320204151299</v>
      </c>
      <c r="CK331" s="38"/>
    </row>
    <row r="332" spans="55:89" x14ac:dyDescent="0.25">
      <c r="BC332">
        <v>5.7595865315812471</v>
      </c>
      <c r="BD332">
        <v>1.5820784026950843</v>
      </c>
      <c r="BE332">
        <v>-1.3528632964527039</v>
      </c>
      <c r="BF332" s="6">
        <f t="shared" si="250"/>
        <v>5.5757276286300579</v>
      </c>
      <c r="BG332" s="6">
        <f t="shared" si="251"/>
        <v>0.18385890295118923</v>
      </c>
      <c r="BH332" s="6">
        <f t="shared" si="252"/>
        <v>1.4928558419469768</v>
      </c>
      <c r="BI332" s="6">
        <f t="shared" si="253"/>
        <v>1.4928558419469768</v>
      </c>
      <c r="BV332" s="38"/>
      <c r="BW332" s="6">
        <f t="shared" si="236"/>
        <v>5.5326937288219868</v>
      </c>
      <c r="BX332" s="9">
        <f t="shared" ca="1" si="237"/>
        <v>-64.788874757004223</v>
      </c>
      <c r="BY332" s="9">
        <f t="shared" ca="1" si="238"/>
        <v>23.953487817302562</v>
      </c>
      <c r="BZ332">
        <f t="shared" ca="1" si="239"/>
        <v>69.075088641944149</v>
      </c>
      <c r="CA332" s="6">
        <f t="shared" ca="1" si="240"/>
        <v>-0.93794848520343077</v>
      </c>
      <c r="CB332" s="6">
        <f t="shared" ca="1" si="241"/>
        <v>0.34677462292473116</v>
      </c>
      <c r="CC332" s="6">
        <f t="shared" ca="1" si="242"/>
        <v>2.7874625026466697</v>
      </c>
      <c r="CD332" s="6">
        <f t="shared" ca="1" si="243"/>
        <v>-9.3049304274486246</v>
      </c>
      <c r="CE332" s="9">
        <f t="shared" ca="1" si="244"/>
        <v>-12.588886089151618</v>
      </c>
      <c r="CF332">
        <f t="shared" ca="1" si="245"/>
        <v>15.654449310828355</v>
      </c>
      <c r="CG332" s="6">
        <f t="shared" ca="1" si="246"/>
        <v>-0.59439525739256138</v>
      </c>
      <c r="CH332" s="6">
        <f t="shared" ca="1" si="247"/>
        <v>-0.80417303982988064</v>
      </c>
      <c r="CI332" s="6">
        <f t="shared" ca="1" si="248"/>
        <v>-2.2073097607392085</v>
      </c>
      <c r="CJ332" s="1">
        <f t="shared" ca="1" si="249"/>
        <v>2.9927079241366568</v>
      </c>
      <c r="CK332" s="38"/>
    </row>
    <row r="333" spans="55:89" x14ac:dyDescent="0.25">
      <c r="BC333">
        <v>5.7770398241011902</v>
      </c>
      <c r="BD333">
        <v>1.6521866019669686</v>
      </c>
      <c r="BE333">
        <v>-1.2347036512648901</v>
      </c>
      <c r="BF333" s="6">
        <f t="shared" si="250"/>
        <v>5.6414048838089688</v>
      </c>
      <c r="BG333" s="6">
        <f t="shared" si="251"/>
        <v>0.13563494029222145</v>
      </c>
      <c r="BH333" s="6">
        <f t="shared" si="252"/>
        <v>1.427178586768066</v>
      </c>
      <c r="BI333" s="6">
        <f t="shared" si="253"/>
        <v>1.427178586768066</v>
      </c>
      <c r="BV333" s="38"/>
      <c r="BW333" s="6">
        <f t="shared" si="236"/>
        <v>5.5501470213419299</v>
      </c>
      <c r="BX333" s="9">
        <f t="shared" ca="1" si="237"/>
        <v>-64.858872169046208</v>
      </c>
      <c r="BY333" s="9">
        <f t="shared" ca="1" si="238"/>
        <v>23.870457669770989</v>
      </c>
      <c r="BZ333">
        <f t="shared" ca="1" si="239"/>
        <v>69.112025353081691</v>
      </c>
      <c r="CA333" s="6">
        <f t="shared" ca="1" si="240"/>
        <v>-0.9384600123884832</v>
      </c>
      <c r="CB333" s="6">
        <f t="shared" ca="1" si="241"/>
        <v>0.34538790532936697</v>
      </c>
      <c r="CC333" s="6">
        <f t="shared" ca="1" si="242"/>
        <v>2.7889405574995298</v>
      </c>
      <c r="CD333" s="6">
        <f t="shared" ca="1" si="243"/>
        <v>-9.2349330154066394</v>
      </c>
      <c r="CE333" s="9">
        <f t="shared" ca="1" si="244"/>
        <v>-12.505855941620045</v>
      </c>
      <c r="CF333">
        <f t="shared" ca="1" si="245"/>
        <v>15.546074122800293</v>
      </c>
      <c r="CG333" s="6">
        <f t="shared" ca="1" si="246"/>
        <v>-0.59403634270998595</v>
      </c>
      <c r="CH333" s="6">
        <f t="shared" ca="1" si="247"/>
        <v>-0.80443820367989993</v>
      </c>
      <c r="CI333" s="6">
        <f t="shared" ca="1" si="248"/>
        <v>-2.2068635190781887</v>
      </c>
      <c r="CJ333" s="1">
        <f t="shared" ca="1" si="249"/>
        <v>2.992261682475637</v>
      </c>
      <c r="CK333" s="38"/>
    </row>
    <row r="334" spans="55:89" x14ac:dyDescent="0.25">
      <c r="BC334">
        <v>5.7944931166211333</v>
      </c>
      <c r="BD334">
        <v>1.7232518875210421</v>
      </c>
      <c r="BE334">
        <v>-1.1111710208159127</v>
      </c>
      <c r="BF334" s="6">
        <f t="shared" si="250"/>
        <v>5.7104668514576282</v>
      </c>
      <c r="BG334" s="6">
        <f t="shared" si="251"/>
        <v>8.4026265163505087E-2</v>
      </c>
      <c r="BH334" s="6">
        <f t="shared" si="252"/>
        <v>1.3581166191194065</v>
      </c>
      <c r="BI334" s="6">
        <f t="shared" si="253"/>
        <v>1.3581166191194065</v>
      </c>
      <c r="BV334" s="38"/>
      <c r="BW334" s="6">
        <f t="shared" si="236"/>
        <v>5.567600313861873</v>
      </c>
      <c r="BX334" s="9">
        <f t="shared" ca="1" si="237"/>
        <v>-64.928094281828393</v>
      </c>
      <c r="BY334" s="9">
        <f t="shared" ca="1" si="238"/>
        <v>23.78626238189791</v>
      </c>
      <c r="BZ334">
        <f t="shared" ca="1" si="239"/>
        <v>69.14798410055414</v>
      </c>
      <c r="CA334" s="6">
        <f t="shared" ca="1" si="240"/>
        <v>-0.93897306084022292</v>
      </c>
      <c r="CB334" s="6">
        <f t="shared" ca="1" si="241"/>
        <v>0.34399068449064579</v>
      </c>
      <c r="CC334" s="6">
        <f t="shared" ca="1" si="242"/>
        <v>2.7904289946648162</v>
      </c>
      <c r="CD334" s="6">
        <f t="shared" ca="1" si="243"/>
        <v>-9.1657109026244541</v>
      </c>
      <c r="CE334" s="9">
        <f t="shared" ca="1" si="244"/>
        <v>-12.421660653746965</v>
      </c>
      <c r="CF334">
        <f t="shared" ca="1" si="245"/>
        <v>15.437224807177431</v>
      </c>
      <c r="CG334" s="6">
        <f t="shared" ca="1" si="246"/>
        <v>-0.59374084507488156</v>
      </c>
      <c r="CH334" s="6">
        <f t="shared" ca="1" si="247"/>
        <v>-0.80465632967731349</v>
      </c>
      <c r="CI334" s="6">
        <f t="shared" ca="1" si="248"/>
        <v>-2.2064962347134025</v>
      </c>
      <c r="CJ334" s="1">
        <f t="shared" ca="1" si="249"/>
        <v>2.9918943981108508</v>
      </c>
      <c r="CK334" s="38"/>
    </row>
    <row r="335" spans="55:89" x14ac:dyDescent="0.25">
      <c r="BC335">
        <v>5.8119464091410764</v>
      </c>
      <c r="BD335">
        <v>1.7954355513033542</v>
      </c>
      <c r="BE335">
        <v>-0.98164117153148356</v>
      </c>
      <c r="BF335" s="6">
        <f t="shared" si="250"/>
        <v>5.7828463885509125</v>
      </c>
      <c r="BG335" s="6">
        <f t="shared" si="251"/>
        <v>2.9100020590163922E-2</v>
      </c>
      <c r="BH335" s="6">
        <f t="shared" si="252"/>
        <v>1.2857370820261222</v>
      </c>
      <c r="BI335" s="6">
        <f t="shared" si="253"/>
        <v>1.2857370820261222</v>
      </c>
      <c r="BV335" s="38"/>
      <c r="BW335" s="6">
        <f t="shared" ref="BW335:BW375" si="254">BC322</f>
        <v>5.5850536063818161</v>
      </c>
      <c r="BX335" s="9">
        <f t="shared" ca="1" si="237"/>
        <v>-64.996678995746166</v>
      </c>
      <c r="BY335" s="9">
        <f t="shared" ca="1" si="238"/>
        <v>23.700711281085596</v>
      </c>
      <c r="BZ335">
        <f t="shared" ca="1" si="239"/>
        <v>69.183032570894497</v>
      </c>
      <c r="CA335" s="6">
        <f t="shared" ca="1" si="240"/>
        <v>-0.93948872404720896</v>
      </c>
      <c r="CB335" s="6">
        <f t="shared" ca="1" si="241"/>
        <v>0.34257982630059719</v>
      </c>
      <c r="CC335" s="6">
        <f t="shared" ca="1" si="242"/>
        <v>2.791931136402388</v>
      </c>
      <c r="CD335" s="6">
        <f t="shared" ca="1" si="243"/>
        <v>-9.0971261887066817</v>
      </c>
      <c r="CE335" s="9">
        <f t="shared" ca="1" si="244"/>
        <v>-12.336109552934651</v>
      </c>
      <c r="CF335">
        <f t="shared" ca="1" si="245"/>
        <v>15.327664655623781</v>
      </c>
      <c r="CG335" s="6">
        <f t="shared" ca="1" si="246"/>
        <v>-0.59351025698288029</v>
      </c>
      <c r="CH335" s="6">
        <f t="shared" ca="1" si="247"/>
        <v>-0.80482642529685589</v>
      </c>
      <c r="CI335" s="6">
        <f t="shared" ca="1" si="248"/>
        <v>-2.2062096978248142</v>
      </c>
      <c r="CJ335" s="1">
        <f t="shared" ca="1" si="249"/>
        <v>2.9916078612222625</v>
      </c>
      <c r="CK335" s="38"/>
    </row>
    <row r="336" spans="55:89" x14ac:dyDescent="0.25">
      <c r="BC336">
        <v>5.8293997016610195</v>
      </c>
      <c r="BD336">
        <v>1.8689098624138085</v>
      </c>
      <c r="BE336">
        <v>-0.84540461849342574</v>
      </c>
      <c r="BF336" s="6">
        <f t="shared" si="250"/>
        <v>5.858377398535608</v>
      </c>
      <c r="BG336" s="6">
        <f t="shared" si="251"/>
        <v>2.897769687458851E-2</v>
      </c>
      <c r="BH336" s="6">
        <f t="shared" si="252"/>
        <v>1.2102060720414267</v>
      </c>
      <c r="BI336" s="6">
        <f t="shared" si="253"/>
        <v>1.2102060720414267</v>
      </c>
      <c r="BV336" s="38"/>
      <c r="BW336" s="6">
        <f t="shared" si="254"/>
        <v>5.6025068989017592</v>
      </c>
      <c r="BX336" s="9">
        <f t="shared" ref="BX336:BX375" ca="1" si="255">$BW$5-BD323</f>
        <v>-65.064759675309631</v>
      </c>
      <c r="BY336" s="9">
        <f t="shared" ref="BY336:BY375" ca="1" si="256">$BX$5-BE323</f>
        <v>23.613602373301717</v>
      </c>
      <c r="BZ336">
        <f t="shared" ref="BZ336:BZ375" ca="1" si="257">SQRT(POWER(BX336,2)+POWER(BY336,2))</f>
        <v>69.217231732063652</v>
      </c>
      <c r="CA336" s="6">
        <f t="shared" ref="CA336:CA375" ca="1" si="258">BX336/BZ336</f>
        <v>-0.94000811715747279</v>
      </c>
      <c r="CB336" s="6">
        <f t="shared" ref="CB336:CB375" ca="1" si="259">BY336/BZ336</f>
        <v>0.34115207705371342</v>
      </c>
      <c r="CC336" s="6">
        <f t="shared" ref="CC336:CC375" ca="1" si="260">ATAN2(CA336,CB336)</f>
        <v>2.7934504249065779</v>
      </c>
      <c r="CD336" s="6">
        <f t="shared" ref="CD336:CD375" ca="1" si="261">$BW$9-BX336</f>
        <v>-9.0290455091432165</v>
      </c>
      <c r="CE336" s="9">
        <f t="shared" ref="CE336:CE375" ca="1" si="262">$BX$9-BY336</f>
        <v>-12.249000645150772</v>
      </c>
      <c r="CF336">
        <f t="shared" ref="CF336:CF375" ca="1" si="263">SQRT(POWER(CD336,2)+POWER(CE336,2))</f>
        <v>15.21715083749528</v>
      </c>
      <c r="CG336" s="6">
        <f t="shared" ref="CG336:CG375" ca="1" si="264">CD336/CF336</f>
        <v>-0.59334665244268447</v>
      </c>
      <c r="CH336" s="6">
        <f t="shared" ref="CH336:CH375" ca="1" si="265">CE336/CF336</f>
        <v>-0.80494704796965388</v>
      </c>
      <c r="CI336" s="6">
        <f t="shared" ref="CI336:CI375" ca="1" si="266">ATAN2(CG336,CH336)</f>
        <v>-2.2060064337726359</v>
      </c>
      <c r="CJ336" s="1">
        <f t="shared" ref="CJ336:CJ375" ca="1" si="267">ATAN2(COS($U$13-CI336),SIN($U$13-CI336))</f>
        <v>2.9914045971700842</v>
      </c>
      <c r="CK336" s="38"/>
    </row>
    <row r="337" spans="55:89" x14ac:dyDescent="0.25">
      <c r="BC337">
        <v>5.8468529941809626</v>
      </c>
      <c r="BD337">
        <v>1.9438601679373997</v>
      </c>
      <c r="BE337">
        <v>-0.70165049785887412</v>
      </c>
      <c r="BF337" s="6">
        <f t="shared" si="250"/>
        <v>5.9367825262184963</v>
      </c>
      <c r="BG337" s="6">
        <f t="shared" si="251"/>
        <v>8.9929532037533733E-2</v>
      </c>
      <c r="BH337" s="6">
        <f t="shared" si="252"/>
        <v>1.1318009443585384</v>
      </c>
      <c r="BI337" s="6">
        <f t="shared" si="253"/>
        <v>1.1318009443585384</v>
      </c>
      <c r="BV337" s="38"/>
      <c r="BW337" s="6">
        <f t="shared" si="254"/>
        <v>5.6199601914217023</v>
      </c>
      <c r="BX337" s="9">
        <f t="shared" ca="1" si="255"/>
        <v>-65.132466212693089</v>
      </c>
      <c r="BY337" s="9">
        <f t="shared" ca="1" si="256"/>
        <v>23.524720332908689</v>
      </c>
      <c r="BZ337">
        <f t="shared" ca="1" si="257"/>
        <v>69.250636254760678</v>
      </c>
      <c r="CA337" s="6">
        <f t="shared" ca="1" si="258"/>
        <v>-0.94053238692396157</v>
      </c>
      <c r="CB337" s="6">
        <f t="shared" ca="1" si="259"/>
        <v>0.33970403169099356</v>
      </c>
      <c r="CC337" s="6">
        <f t="shared" ca="1" si="260"/>
        <v>2.7949904556300682</v>
      </c>
      <c r="CD337" s="6">
        <f t="shared" ca="1" si="261"/>
        <v>-8.9613389717597585</v>
      </c>
      <c r="CE337" s="9">
        <f t="shared" ca="1" si="262"/>
        <v>-12.160118604757745</v>
      </c>
      <c r="CF337">
        <f t="shared" ca="1" si="263"/>
        <v>15.105432156961141</v>
      </c>
      <c r="CG337" s="6">
        <f t="shared" ca="1" si="264"/>
        <v>-0.59325273707114978</v>
      </c>
      <c r="CH337" s="6">
        <f t="shared" ca="1" si="265"/>
        <v>-0.80501626689004813</v>
      </c>
      <c r="CI337" s="6">
        <f t="shared" ca="1" si="266"/>
        <v>-2.2058897660565937</v>
      </c>
      <c r="CJ337" s="1">
        <f t="shared" ca="1" si="267"/>
        <v>2.991287929454042</v>
      </c>
      <c r="CK337" s="38"/>
    </row>
    <row r="338" spans="55:89" x14ac:dyDescent="0.25">
      <c r="BC338">
        <v>5.8643062867009057</v>
      </c>
      <c r="BD338">
        <v>2.020487328110006</v>
      </c>
      <c r="BE338">
        <v>-0.54944669958911485</v>
      </c>
      <c r="BF338" s="6">
        <f t="shared" si="250"/>
        <v>6.0176683047607948</v>
      </c>
      <c r="BG338" s="6">
        <f t="shared" si="251"/>
        <v>0.15336201805988914</v>
      </c>
      <c r="BH338" s="6">
        <f t="shared" si="252"/>
        <v>1.0509151658162399</v>
      </c>
      <c r="BI338" s="6">
        <f t="shared" si="253"/>
        <v>1.0509151658162399</v>
      </c>
      <c r="BV338" s="38"/>
      <c r="BW338" s="6">
        <f t="shared" si="254"/>
        <v>5.6374134839416454</v>
      </c>
      <c r="BX338" s="9">
        <f t="shared" ca="1" si="255"/>
        <v>-65.199926045365061</v>
      </c>
      <c r="BY338" s="9">
        <f t="shared" ca="1" si="256"/>
        <v>23.433834242479769</v>
      </c>
      <c r="BZ338">
        <f t="shared" ca="1" si="257"/>
        <v>69.283294838114401</v>
      </c>
      <c r="CA338" s="6">
        <f t="shared" ca="1" si="258"/>
        <v>-0.94106272222921217</v>
      </c>
      <c r="CB338" s="6">
        <f t="shared" ca="1" si="259"/>
        <v>0.33823209905410351</v>
      </c>
      <c r="CC338" s="6">
        <f t="shared" ca="1" si="260"/>
        <v>2.7965550136260733</v>
      </c>
      <c r="CD338" s="6">
        <f t="shared" ca="1" si="261"/>
        <v>-8.8938791390877867</v>
      </c>
      <c r="CE338" s="9">
        <f t="shared" ca="1" si="262"/>
        <v>-12.069232514328824</v>
      </c>
      <c r="CF338">
        <f t="shared" ca="1" si="263"/>
        <v>14.992246650373419</v>
      </c>
      <c r="CG338" s="6">
        <f t="shared" ca="1" si="264"/>
        <v>-0.59323191156718746</v>
      </c>
      <c r="CH338" s="6">
        <f t="shared" ca="1" si="265"/>
        <v>-0.80503161372603282</v>
      </c>
      <c r="CI338" s="6">
        <f t="shared" ca="1" si="266"/>
        <v>-2.205863896634682</v>
      </c>
      <c r="CJ338" s="1">
        <f t="shared" ca="1" si="267"/>
        <v>2.9912620600321302</v>
      </c>
      <c r="CK338" s="38"/>
    </row>
    <row r="339" spans="55:89" x14ac:dyDescent="0.25">
      <c r="BC339">
        <v>5.8817595792208488</v>
      </c>
      <c r="BD339">
        <v>2.0990105802872812</v>
      </c>
      <c r="BE339">
        <v>-0.38771519636648094</v>
      </c>
      <c r="BF339" s="6">
        <f t="shared" si="250"/>
        <v>6.1005307558832911</v>
      </c>
      <c r="BG339" s="6">
        <f t="shared" si="251"/>
        <v>0.21877117666244228</v>
      </c>
      <c r="BH339" s="6">
        <f t="shared" si="252"/>
        <v>0.96805271469374365</v>
      </c>
      <c r="BI339" s="6">
        <f t="shared" si="253"/>
        <v>0.96805271469374365</v>
      </c>
      <c r="BV339" s="38"/>
      <c r="BW339" s="6">
        <f t="shared" si="254"/>
        <v>5.6548667764615885</v>
      </c>
      <c r="BX339" s="9">
        <f t="shared" ca="1" si="255"/>
        <v>-65.26726514710171</v>
      </c>
      <c r="BY339" s="9">
        <f t="shared" ca="1" si="256"/>
        <v>23.340695030387472</v>
      </c>
      <c r="BZ339">
        <f t="shared" ca="1" si="257"/>
        <v>69.315250445220443</v>
      </c>
      <c r="CA339" s="6">
        <f t="shared" ca="1" si="258"/>
        <v>-0.9416003654012931</v>
      </c>
      <c r="CB339" s="6">
        <f t="shared" ca="1" si="259"/>
        <v>0.336732463353552</v>
      </c>
      <c r="CC339" s="6">
        <f t="shared" ca="1" si="260"/>
        <v>2.7981481137332942</v>
      </c>
      <c r="CD339" s="6">
        <f t="shared" ca="1" si="261"/>
        <v>-8.8265400373511369</v>
      </c>
      <c r="CE339" s="9">
        <f t="shared" ca="1" si="262"/>
        <v>-11.976093302236528</v>
      </c>
      <c r="CF339">
        <f t="shared" ca="1" si="263"/>
        <v>14.877318972679092</v>
      </c>
      <c r="CG339" s="6">
        <f t="shared" ca="1" si="264"/>
        <v>-0.59328835078150255</v>
      </c>
      <c r="CH339" s="6">
        <f t="shared" ca="1" si="265"/>
        <v>-0.8049900203275594</v>
      </c>
      <c r="CI339" s="6">
        <f t="shared" ca="1" si="266"/>
        <v>-2.2059340065178015</v>
      </c>
      <c r="CJ339" s="1">
        <f t="shared" ca="1" si="267"/>
        <v>2.9913321699152498</v>
      </c>
      <c r="CK339" s="38"/>
    </row>
    <row r="340" spans="55:89" x14ac:dyDescent="0.25">
      <c r="BC340">
        <v>5.8992128717407919</v>
      </c>
      <c r="BD340">
        <v>2.1796709430282277</v>
      </c>
      <c r="BE340">
        <v>-0.21520113833092994</v>
      </c>
      <c r="BF340" s="6">
        <f t="shared" si="250"/>
        <v>6.184773226446465</v>
      </c>
      <c r="BG340" s="6">
        <f t="shared" si="251"/>
        <v>0.28556035470567309</v>
      </c>
      <c r="BH340" s="6">
        <f t="shared" si="252"/>
        <v>0.88381024413056974</v>
      </c>
      <c r="BI340" s="6">
        <f t="shared" si="253"/>
        <v>0.88381024413056974</v>
      </c>
      <c r="BV340" s="38"/>
      <c r="BW340" s="6">
        <f t="shared" si="254"/>
        <v>5.6723200689815316</v>
      </c>
      <c r="BX340" s="9">
        <f t="shared" ca="1" si="255"/>
        <v>-65.334609005550121</v>
      </c>
      <c r="BY340" s="9">
        <f t="shared" ca="1" si="256"/>
        <v>23.245032541434107</v>
      </c>
      <c r="BZ340">
        <f t="shared" ca="1" si="257"/>
        <v>69.346540445507742</v>
      </c>
      <c r="CA340" s="6">
        <f t="shared" ca="1" si="258"/>
        <v>-0.94214662455857934</v>
      </c>
      <c r="CB340" s="6">
        <f t="shared" ca="1" si="259"/>
        <v>0.33520104091854397</v>
      </c>
      <c r="CC340" s="6">
        <f t="shared" ca="1" si="260"/>
        <v>2.7997740455657443</v>
      </c>
      <c r="CD340" s="6">
        <f t="shared" ca="1" si="261"/>
        <v>-8.7591961789027266</v>
      </c>
      <c r="CE340" s="9">
        <f t="shared" ca="1" si="262"/>
        <v>-11.880430813283162</v>
      </c>
      <c r="CF340">
        <f t="shared" ca="1" si="263"/>
        <v>14.76035751632433</v>
      </c>
      <c r="CG340" s="6">
        <f t="shared" ca="1" si="264"/>
        <v>-0.59342710156006906</v>
      </c>
      <c r="CH340" s="6">
        <f t="shared" ca="1" si="265"/>
        <v>-0.80488774070302216</v>
      </c>
      <c r="CI340" s="6">
        <f t="shared" ca="1" si="266"/>
        <v>-2.2061063808204744</v>
      </c>
      <c r="CJ340" s="1">
        <f t="shared" ca="1" si="267"/>
        <v>2.9915045442179227</v>
      </c>
      <c r="CK340" s="38"/>
    </row>
    <row r="341" spans="55:89" x14ac:dyDescent="0.25">
      <c r="BC341">
        <v>5.916666164260735</v>
      </c>
      <c r="BD341">
        <v>2.2627352968534136</v>
      </c>
      <c r="BE341">
        <v>-3.0433770371135555E-2</v>
      </c>
      <c r="BF341" s="6">
        <f t="shared" si="250"/>
        <v>6.2697361266973433</v>
      </c>
      <c r="BG341" s="6">
        <f t="shared" si="251"/>
        <v>0.35306996243660826</v>
      </c>
      <c r="BH341" s="6">
        <f t="shared" si="252"/>
        <v>0.79884734387969147</v>
      </c>
      <c r="BI341" s="6">
        <f t="shared" si="253"/>
        <v>0.79884734387969147</v>
      </c>
      <c r="BV341" s="38"/>
      <c r="BW341" s="6">
        <f t="shared" si="254"/>
        <v>5.6897733615014747</v>
      </c>
      <c r="BX341" s="9">
        <f t="shared" ca="1" si="255"/>
        <v>-65.402083599654858</v>
      </c>
      <c r="BY341" s="9">
        <f t="shared" ca="1" si="256"/>
        <v>23.146552162556354</v>
      </c>
      <c r="BZ341">
        <f t="shared" ca="1" si="257"/>
        <v>69.377196658485602</v>
      </c>
      <c r="CA341" s="6">
        <f t="shared" ca="1" si="258"/>
        <v>-0.94270288725561324</v>
      </c>
      <c r="CB341" s="6">
        <f t="shared" ca="1" si="259"/>
        <v>0.33363343111854138</v>
      </c>
      <c r="CC341" s="6">
        <f t="shared" ca="1" si="260"/>
        <v>2.801437424449559</v>
      </c>
      <c r="CD341" s="6">
        <f t="shared" ca="1" si="261"/>
        <v>-8.691721584797989</v>
      </c>
      <c r="CE341" s="9">
        <f t="shared" ca="1" si="262"/>
        <v>-11.78195043440541</v>
      </c>
      <c r="CF341">
        <f t="shared" ca="1" si="263"/>
        <v>14.641051196769618</v>
      </c>
      <c r="CG341" s="6">
        <f t="shared" ca="1" si="264"/>
        <v>-0.59365420337548702</v>
      </c>
      <c r="CH341" s="6">
        <f t="shared" ca="1" si="265"/>
        <v>-0.80472025376189948</v>
      </c>
      <c r="CI341" s="6">
        <f t="shared" ca="1" si="266"/>
        <v>-2.2063885635813598</v>
      </c>
      <c r="CJ341" s="1">
        <f t="shared" ca="1" si="267"/>
        <v>2.9917867269788081</v>
      </c>
      <c r="CK341" s="38"/>
    </row>
    <row r="342" spans="55:89" x14ac:dyDescent="0.25">
      <c r="BC342">
        <v>5.9341194567806781</v>
      </c>
      <c r="BD342">
        <v>2.3485013245436308</v>
      </c>
      <c r="BE342">
        <v>0.16832349823696657</v>
      </c>
      <c r="BF342" s="6">
        <f t="shared" si="250"/>
        <v>7.1550378439460757E-2</v>
      </c>
      <c r="BG342" s="6">
        <f t="shared" si="251"/>
        <v>5.8625690783412177</v>
      </c>
      <c r="BH342" s="6">
        <f t="shared" si="252"/>
        <v>0.7138477849579874</v>
      </c>
      <c r="BI342" s="6">
        <f t="shared" si="253"/>
        <v>0.7138477849579874</v>
      </c>
      <c r="BV342" s="38"/>
      <c r="BW342" s="6">
        <f t="shared" si="254"/>
        <v>5.7072266540214178</v>
      </c>
      <c r="BX342" s="9">
        <f t="shared" ca="1" si="255"/>
        <v>-65.469816402592755</v>
      </c>
      <c r="BY342" s="9">
        <f t="shared" ca="1" si="256"/>
        <v>23.044930912449278</v>
      </c>
      <c r="BZ342">
        <f t="shared" ca="1" si="257"/>
        <v>69.407245302985217</v>
      </c>
      <c r="CA342" s="6">
        <f t="shared" ca="1" si="258"/>
        <v>-0.94327063574985148</v>
      </c>
      <c r="CB342" s="6">
        <f t="shared" ca="1" si="259"/>
        <v>0.33202486011151505</v>
      </c>
      <c r="CC342" s="6">
        <f t="shared" ca="1" si="260"/>
        <v>2.8031432496876634</v>
      </c>
      <c r="CD342" s="6">
        <f t="shared" ca="1" si="261"/>
        <v>-8.623988781860092</v>
      </c>
      <c r="CE342" s="9">
        <f t="shared" ca="1" si="262"/>
        <v>-11.680329184298333</v>
      </c>
      <c r="CF342">
        <f t="shared" ca="1" si="263"/>
        <v>14.519065822676749</v>
      </c>
      <c r="CG342" s="6">
        <f t="shared" ca="1" si="264"/>
        <v>-0.59397683619497255</v>
      </c>
      <c r="CH342" s="6">
        <f t="shared" ca="1" si="265"/>
        <v>-0.8044821427874026</v>
      </c>
      <c r="CI342" s="6">
        <f t="shared" ca="1" si="266"/>
        <v>-2.2067895483373539</v>
      </c>
      <c r="CJ342" s="1">
        <f t="shared" ca="1" si="267"/>
        <v>2.9921877117348021</v>
      </c>
      <c r="CK342" s="38"/>
    </row>
    <row r="343" spans="55:89" x14ac:dyDescent="0.25">
      <c r="BC343">
        <v>5.9515727493006212</v>
      </c>
      <c r="BD343">
        <v>2.4373035622962056</v>
      </c>
      <c r="BE343">
        <v>0.3831375923518972</v>
      </c>
      <c r="BF343" s="6">
        <f t="shared" si="250"/>
        <v>0.15592135305751101</v>
      </c>
      <c r="BG343" s="6">
        <f t="shared" si="251"/>
        <v>5.7956513962431098</v>
      </c>
      <c r="BH343" s="6">
        <f t="shared" si="252"/>
        <v>0.6294768103399373</v>
      </c>
      <c r="BI343" s="6">
        <f t="shared" si="253"/>
        <v>0.6294768103399373</v>
      </c>
      <c r="BV343" s="38"/>
      <c r="BW343" s="6">
        <f t="shared" si="254"/>
        <v>5.7246799465413609</v>
      </c>
      <c r="BX343" s="9">
        <f t="shared" ca="1" si="255"/>
        <v>-65.53793742985296</v>
      </c>
      <c r="BY343" s="9">
        <f t="shared" ca="1" si="256"/>
        <v>22.939812879787958</v>
      </c>
      <c r="BZ343">
        <f t="shared" ca="1" si="257"/>
        <v>69.436706845291894</v>
      </c>
      <c r="CA343" s="6">
        <f t="shared" ca="1" si="258"/>
        <v>-0.94385146426765931</v>
      </c>
      <c r="CB343" s="6">
        <f t="shared" ca="1" si="259"/>
        <v>0.33037011577894804</v>
      </c>
      <c r="CC343" s="6">
        <f t="shared" ca="1" si="260"/>
        <v>2.8048969718325618</v>
      </c>
      <c r="CD343" s="6">
        <f t="shared" ca="1" si="261"/>
        <v>-8.5558677545998876</v>
      </c>
      <c r="CE343" s="9">
        <f t="shared" ca="1" si="262"/>
        <v>-11.575211151637014</v>
      </c>
      <c r="CF343">
        <f t="shared" ca="1" si="263"/>
        <v>14.394039955453229</v>
      </c>
      <c r="CG343" s="6">
        <f t="shared" ca="1" si="264"/>
        <v>-0.5944035018020406</v>
      </c>
      <c r="CH343" s="6">
        <f t="shared" ca="1" si="265"/>
        <v>-0.80416694600404437</v>
      </c>
      <c r="CI343" s="6">
        <f t="shared" ca="1" si="266"/>
        <v>-2.2073200128122177</v>
      </c>
      <c r="CJ343" s="1">
        <f t="shared" ca="1" si="267"/>
        <v>2.992718176209666</v>
      </c>
      <c r="CK343" s="38"/>
    </row>
    <row r="344" spans="55:89" x14ac:dyDescent="0.25">
      <c r="BC344">
        <v>5.9690260418205643</v>
      </c>
      <c r="BD344">
        <v>2.5295209005820287</v>
      </c>
      <c r="BE344">
        <v>0.61649010462493847</v>
      </c>
      <c r="BF344" s="6">
        <f t="shared" si="250"/>
        <v>0.23905763253588738</v>
      </c>
      <c r="BG344" s="6">
        <f t="shared" si="251"/>
        <v>5.7299684092846768</v>
      </c>
      <c r="BH344" s="6">
        <f t="shared" si="252"/>
        <v>0.54634053086156098</v>
      </c>
      <c r="BI344" s="6">
        <f t="shared" si="253"/>
        <v>0.54634053086156098</v>
      </c>
      <c r="BV344" s="38"/>
      <c r="BW344" s="6">
        <f t="shared" si="254"/>
        <v>5.742133239061304</v>
      </c>
      <c r="BX344" s="9">
        <f t="shared" ca="1" si="255"/>
        <v>-65.606580332746532</v>
      </c>
      <c r="BY344" s="9">
        <f t="shared" ca="1" si="256"/>
        <v>22.830803860624933</v>
      </c>
      <c r="BZ344">
        <f t="shared" ca="1" si="257"/>
        <v>69.465595713845644</v>
      </c>
      <c r="CA344" s="6">
        <f t="shared" ca="1" si="258"/>
        <v>-0.94444709871925925</v>
      </c>
      <c r="CB344" s="6">
        <f t="shared" ca="1" si="259"/>
        <v>0.3286634718382524</v>
      </c>
      <c r="CC344" s="6">
        <f t="shared" ca="1" si="260"/>
        <v>2.8067045710220704</v>
      </c>
      <c r="CD344" s="6">
        <f t="shared" ca="1" si="261"/>
        <v>-8.4872248517063156</v>
      </c>
      <c r="CE344" s="9">
        <f t="shared" ca="1" si="262"/>
        <v>-11.466202132473988</v>
      </c>
      <c r="CF344">
        <f t="shared" ca="1" si="263"/>
        <v>14.265580150353939</v>
      </c>
      <c r="CG344" s="6">
        <f t="shared" ca="1" si="264"/>
        <v>-0.59494424778060928</v>
      </c>
      <c r="CH344" s="6">
        <f t="shared" ca="1" si="265"/>
        <v>-0.80376696998120356</v>
      </c>
      <c r="CI344" s="6">
        <f t="shared" ca="1" si="266"/>
        <v>-2.2079926100536929</v>
      </c>
      <c r="CJ344" s="1">
        <f t="shared" ca="1" si="267"/>
        <v>2.9933907734511411</v>
      </c>
      <c r="CK344" s="38"/>
    </row>
    <row r="345" spans="55:89" x14ac:dyDescent="0.25">
      <c r="BC345">
        <v>5.9864793343405074</v>
      </c>
      <c r="BD345">
        <v>2.6255859726732602</v>
      </c>
      <c r="BE345">
        <v>0.87138905129016642</v>
      </c>
      <c r="BF345" s="6">
        <f t="shared" si="250"/>
        <v>0.32044527084827196</v>
      </c>
      <c r="BG345" s="6">
        <f t="shared" si="251"/>
        <v>5.6660340634922353</v>
      </c>
      <c r="BH345" s="6">
        <f t="shared" si="252"/>
        <v>0.46495289254917632</v>
      </c>
      <c r="BI345" s="6">
        <f t="shared" si="253"/>
        <v>0.46495289254917632</v>
      </c>
      <c r="BV345" s="38"/>
      <c r="BW345" s="6">
        <f t="shared" si="254"/>
        <v>5.7595865315812471</v>
      </c>
      <c r="BX345" s="9">
        <f t="shared" ca="1" si="255"/>
        <v>-65.675883587147936</v>
      </c>
      <c r="BY345" s="9">
        <f t="shared" ca="1" si="256"/>
        <v>22.717465024603648</v>
      </c>
      <c r="BZ345">
        <f t="shared" ca="1" si="257"/>
        <v>69.493919893014365</v>
      </c>
      <c r="CA345" s="6">
        <f t="shared" ca="1" si="258"/>
        <v>-0.94505941941763705</v>
      </c>
      <c r="CB345" s="6">
        <f t="shared" ca="1" si="259"/>
        <v>0.32689859860513126</v>
      </c>
      <c r="CC345" s="6">
        <f t="shared" ca="1" si="260"/>
        <v>2.808572648959816</v>
      </c>
      <c r="CD345" s="6">
        <f t="shared" ca="1" si="261"/>
        <v>-8.4179215973049111</v>
      </c>
      <c r="CE345" s="9">
        <f t="shared" ca="1" si="262"/>
        <v>-11.352863296452703</v>
      </c>
      <c r="CF345">
        <f t="shared" ca="1" si="263"/>
        <v>14.133255429882933</v>
      </c>
      <c r="CG345" s="6">
        <f t="shared" ca="1" si="264"/>
        <v>-0.59561094321597763</v>
      </c>
      <c r="CH345" s="6">
        <f t="shared" ca="1" si="265"/>
        <v>-0.80327305713647179</v>
      </c>
      <c r="CI345" s="6">
        <f t="shared" ca="1" si="266"/>
        <v>-2.2088223285247581</v>
      </c>
      <c r="CJ345" s="1">
        <f t="shared" ca="1" si="267"/>
        <v>2.9942204919222064</v>
      </c>
      <c r="CK345" s="38"/>
    </row>
    <row r="346" spans="55:89" x14ac:dyDescent="0.25">
      <c r="BC346">
        <v>6.0039326268604505</v>
      </c>
      <c r="BD346">
        <v>2.6494372871887899</v>
      </c>
      <c r="BE346">
        <v>0.75558107034232591</v>
      </c>
      <c r="BF346" s="6">
        <f t="shared" si="250"/>
        <v>0.27781070392264989</v>
      </c>
      <c r="BG346" s="6">
        <f t="shared" si="251"/>
        <v>5.7261219229378009</v>
      </c>
      <c r="BH346" s="6">
        <f t="shared" si="252"/>
        <v>0.50758745947479844</v>
      </c>
      <c r="BI346" s="6">
        <f t="shared" si="253"/>
        <v>0.50758745947479844</v>
      </c>
      <c r="BV346" s="38"/>
      <c r="BW346" s="6">
        <f t="shared" si="254"/>
        <v>5.7770398241011902</v>
      </c>
      <c r="BX346" s="9">
        <f t="shared" ca="1" si="255"/>
        <v>-65.745991786419822</v>
      </c>
      <c r="BY346" s="9">
        <f t="shared" ca="1" si="256"/>
        <v>22.599305379415835</v>
      </c>
      <c r="BZ346">
        <f t="shared" ca="1" si="257"/>
        <v>69.521680356649014</v>
      </c>
      <c r="CA346" s="6">
        <f t="shared" ca="1" si="258"/>
        <v>-0.9456904874729759</v>
      </c>
      <c r="CB346" s="6">
        <f t="shared" ca="1" si="259"/>
        <v>0.32506845725650602</v>
      </c>
      <c r="CC346" s="6">
        <f t="shared" ca="1" si="260"/>
        <v>2.810508537752292</v>
      </c>
      <c r="CD346" s="6">
        <f t="shared" ca="1" si="261"/>
        <v>-8.3478133980330256</v>
      </c>
      <c r="CE346" s="9">
        <f t="shared" ca="1" si="262"/>
        <v>-11.234703651264891</v>
      </c>
      <c r="CF346">
        <f t="shared" ca="1" si="263"/>
        <v>13.996590822772678</v>
      </c>
      <c r="CG346" s="6">
        <f t="shared" ca="1" si="264"/>
        <v>-0.59641762081456284</v>
      </c>
      <c r="CH346" s="6">
        <f t="shared" ca="1" si="265"/>
        <v>-0.80267429358482401</v>
      </c>
      <c r="CI346" s="6">
        <f t="shared" ca="1" si="266"/>
        <v>-2.2098269411982416</v>
      </c>
      <c r="CJ346" s="1">
        <f t="shared" ca="1" si="267"/>
        <v>2.9952251045956899</v>
      </c>
      <c r="CK346" s="38"/>
    </row>
    <row r="347" spans="55:89" x14ac:dyDescent="0.25">
      <c r="BC347">
        <v>6.0213859193803936</v>
      </c>
      <c r="BD347">
        <v>2.7474736904441937</v>
      </c>
      <c r="BE347">
        <v>1.0394448235531792</v>
      </c>
      <c r="BF347" s="6">
        <f t="shared" si="250"/>
        <v>0.36168472512537325</v>
      </c>
      <c r="BG347" s="6">
        <f t="shared" si="251"/>
        <v>5.6597011942550202</v>
      </c>
      <c r="BH347" s="6">
        <f t="shared" si="252"/>
        <v>0.42371343827207503</v>
      </c>
      <c r="BI347" s="6">
        <f t="shared" si="253"/>
        <v>0.42371343827207503</v>
      </c>
      <c r="BV347" s="38"/>
      <c r="BW347" s="6">
        <f t="shared" si="254"/>
        <v>5.7944931166211333</v>
      </c>
      <c r="BX347" s="9">
        <f t="shared" ca="1" si="255"/>
        <v>-65.817057071973892</v>
      </c>
      <c r="BY347" s="9">
        <f t="shared" ca="1" si="256"/>
        <v>22.475772748966858</v>
      </c>
      <c r="BZ347">
        <f t="shared" ca="1" si="257"/>
        <v>69.548870316337059</v>
      </c>
      <c r="CA347" s="6">
        <f t="shared" ca="1" si="258"/>
        <v>-0.94634257569692604</v>
      </c>
      <c r="CB347" s="6">
        <f t="shared" ca="1" si="259"/>
        <v>0.32316517359286695</v>
      </c>
      <c r="CC347" s="6">
        <f t="shared" ca="1" si="260"/>
        <v>2.8125204296781714</v>
      </c>
      <c r="CD347" s="6">
        <f t="shared" ca="1" si="261"/>
        <v>-8.2767481124789555</v>
      </c>
      <c r="CE347" s="9">
        <f t="shared" ca="1" si="262"/>
        <v>-11.111171020815913</v>
      </c>
      <c r="CF347">
        <f t="shared" ca="1" si="263"/>
        <v>13.855059753434602</v>
      </c>
      <c r="CG347" s="6">
        <f t="shared" ca="1" si="264"/>
        <v>-0.59738090342246197</v>
      </c>
      <c r="CH347" s="6">
        <f t="shared" ca="1" si="265"/>
        <v>-0.80195763992006652</v>
      </c>
      <c r="CI347" s="6">
        <f t="shared" ca="1" si="266"/>
        <v>-2.2110275685471938</v>
      </c>
      <c r="CJ347" s="1">
        <f t="shared" ca="1" si="267"/>
        <v>2.9964257319446421</v>
      </c>
      <c r="CK347" s="38"/>
    </row>
    <row r="348" spans="55:89" x14ac:dyDescent="0.25">
      <c r="BC348">
        <v>6.0388392119003367</v>
      </c>
      <c r="BD348">
        <v>2.8508037819648671</v>
      </c>
      <c r="BE348">
        <v>1.3558451731281314</v>
      </c>
      <c r="BF348" s="6">
        <f t="shared" si="250"/>
        <v>0.44393859673004682</v>
      </c>
      <c r="BG348" s="6">
        <f t="shared" si="251"/>
        <v>5.5949006151702898</v>
      </c>
      <c r="BH348" s="6">
        <f t="shared" si="252"/>
        <v>0.3414595666674014</v>
      </c>
      <c r="BI348" s="6">
        <f t="shared" si="253"/>
        <v>0.3414595666674014</v>
      </c>
      <c r="BV348" s="38"/>
      <c r="BW348" s="6">
        <f t="shared" si="254"/>
        <v>5.8119464091410764</v>
      </c>
      <c r="BX348" s="9">
        <f t="shared" ca="1" si="255"/>
        <v>-65.889240735756204</v>
      </c>
      <c r="BY348" s="9">
        <f t="shared" ca="1" si="256"/>
        <v>22.346242899682426</v>
      </c>
      <c r="BZ348">
        <f t="shared" ca="1" si="257"/>
        <v>69.575474245354897</v>
      </c>
      <c r="CA348" s="6">
        <f t="shared" ca="1" si="258"/>
        <v>-0.94701820505600365</v>
      </c>
      <c r="CB348" s="6">
        <f t="shared" ca="1" si="259"/>
        <v>0.32117988618919607</v>
      </c>
      <c r="CC348" s="6">
        <f t="shared" ca="1" si="260"/>
        <v>2.8146175330894918</v>
      </c>
      <c r="CD348" s="6">
        <f t="shared" ca="1" si="261"/>
        <v>-8.2045644486966438</v>
      </c>
      <c r="CE348" s="9">
        <f t="shared" ca="1" si="262"/>
        <v>-10.981641171531482</v>
      </c>
      <c r="CF348">
        <f t="shared" ca="1" si="263"/>
        <v>13.708075014862304</v>
      </c>
      <c r="CG348" s="6">
        <f t="shared" ca="1" si="264"/>
        <v>-0.59852053915675607</v>
      </c>
      <c r="CH348" s="6">
        <f t="shared" ca="1" si="265"/>
        <v>-0.80110746108590591</v>
      </c>
      <c r="CI348" s="6">
        <f t="shared" ca="1" si="266"/>
        <v>-2.2124493892101111</v>
      </c>
      <c r="CJ348" s="1">
        <f t="shared" ca="1" si="267"/>
        <v>2.9978475526075594</v>
      </c>
      <c r="CK348" s="38"/>
    </row>
    <row r="349" spans="55:89" x14ac:dyDescent="0.25">
      <c r="BC349">
        <v>6.0562925044202798</v>
      </c>
      <c r="BD349">
        <v>2.960191491218251</v>
      </c>
      <c r="BE349">
        <v>1.7114990251866871</v>
      </c>
      <c r="BF349" s="6">
        <f t="shared" si="250"/>
        <v>0.52421464942037732</v>
      </c>
      <c r="BG349" s="6">
        <f t="shared" si="251"/>
        <v>5.5320778549999021</v>
      </c>
      <c r="BH349" s="6">
        <f t="shared" si="252"/>
        <v>0.26118351397707096</v>
      </c>
      <c r="BI349" s="6">
        <f t="shared" si="253"/>
        <v>0.26118351397707096</v>
      </c>
      <c r="BV349" s="38"/>
      <c r="BW349" s="6">
        <f t="shared" si="254"/>
        <v>5.8293997016610195</v>
      </c>
      <c r="BX349" s="9">
        <f t="shared" ca="1" si="255"/>
        <v>-65.962715046866663</v>
      </c>
      <c r="BY349" s="9">
        <f t="shared" ca="1" si="256"/>
        <v>22.21000634664437</v>
      </c>
      <c r="BZ349">
        <f t="shared" ca="1" si="257"/>
        <v>69.601466638800886</v>
      </c>
      <c r="CA349" s="6">
        <f t="shared" ca="1" si="258"/>
        <v>-0.94772018798371527</v>
      </c>
      <c r="CB349" s="6">
        <f t="shared" ca="1" si="259"/>
        <v>0.31910256233397971</v>
      </c>
      <c r="CC349" s="6">
        <f t="shared" ca="1" si="260"/>
        <v>2.8168102611521344</v>
      </c>
      <c r="CD349" s="6">
        <f t="shared" ca="1" si="261"/>
        <v>-8.1310901375861846</v>
      </c>
      <c r="CE349" s="9">
        <f t="shared" ca="1" si="262"/>
        <v>-10.845404618493426</v>
      </c>
      <c r="CF349">
        <f t="shared" ca="1" si="263"/>
        <v>13.554977984651611</v>
      </c>
      <c r="CG349" s="6">
        <f t="shared" ca="1" si="264"/>
        <v>-0.59986007699850719</v>
      </c>
      <c r="CH349" s="6">
        <f t="shared" ca="1" si="265"/>
        <v>-0.80010492313405057</v>
      </c>
      <c r="CI349" s="6">
        <f t="shared" ca="1" si="266"/>
        <v>-2.2141225433056646</v>
      </c>
      <c r="CJ349" s="1">
        <f t="shared" ca="1" si="267"/>
        <v>2.9995207067031129</v>
      </c>
      <c r="CK349" s="38"/>
    </row>
    <row r="350" spans="55:89" x14ac:dyDescent="0.25">
      <c r="BC350">
        <v>6.0737457969402229</v>
      </c>
      <c r="BD350">
        <v>3.0765560048277854</v>
      </c>
      <c r="BE350">
        <v>2.115118372693984</v>
      </c>
      <c r="BF350" s="6">
        <f t="shared" si="250"/>
        <v>0.60228428245264853</v>
      </c>
      <c r="BG350" s="6">
        <f t="shared" si="251"/>
        <v>5.471461514487574</v>
      </c>
      <c r="BH350" s="6">
        <f t="shared" si="252"/>
        <v>0.18311388094479975</v>
      </c>
      <c r="BI350" s="6">
        <f t="shared" si="253"/>
        <v>0.18311388094479975</v>
      </c>
      <c r="BV350" s="38"/>
      <c r="BW350" s="6">
        <f t="shared" si="254"/>
        <v>5.8468529941809626</v>
      </c>
      <c r="BX350" s="9">
        <f t="shared" ca="1" si="255"/>
        <v>-66.037665352390249</v>
      </c>
      <c r="BY350" s="9">
        <f t="shared" ca="1" si="256"/>
        <v>22.066252226009819</v>
      </c>
      <c r="BZ350">
        <f t="shared" ca="1" si="257"/>
        <v>69.626810443220549</v>
      </c>
      <c r="CA350" s="6">
        <f t="shared" ca="1" si="258"/>
        <v>-0.94845168020791093</v>
      </c>
      <c r="CB350" s="6">
        <f t="shared" ca="1" si="259"/>
        <v>0.3169217731724831</v>
      </c>
      <c r="CC350" s="6">
        <f t="shared" ca="1" si="260"/>
        <v>2.8191104621376537</v>
      </c>
      <c r="CD350" s="6">
        <f t="shared" ca="1" si="261"/>
        <v>-8.0561398320625983</v>
      </c>
      <c r="CE350" s="9">
        <f t="shared" ca="1" si="262"/>
        <v>-10.701650497858875</v>
      </c>
      <c r="CF350">
        <f t="shared" ca="1" si="263"/>
        <v>13.395025657760746</v>
      </c>
      <c r="CG350" s="6">
        <f t="shared" ca="1" si="264"/>
        <v>-0.60142772682149137</v>
      </c>
      <c r="CH350" s="6">
        <f t="shared" ca="1" si="265"/>
        <v>-0.79892721158459323</v>
      </c>
      <c r="CI350" s="6">
        <f t="shared" ca="1" si="266"/>
        <v>-2.2160832910438835</v>
      </c>
      <c r="CJ350" s="1">
        <f t="shared" ca="1" si="267"/>
        <v>3.0014814544413317</v>
      </c>
      <c r="CK350" s="38"/>
    </row>
    <row r="351" spans="55:89" x14ac:dyDescent="0.25">
      <c r="BC351">
        <v>6.091199089460166</v>
      </c>
      <c r="BD351">
        <v>3.201019220723555</v>
      </c>
      <c r="BE351">
        <v>2.5782270034485064</v>
      </c>
      <c r="BF351" s="6">
        <f t="shared" si="250"/>
        <v>0.67804886087954952</v>
      </c>
      <c r="BG351" s="6">
        <f t="shared" si="251"/>
        <v>5.4131502285806166</v>
      </c>
      <c r="BH351" s="6">
        <f t="shared" si="252"/>
        <v>0.10734930251789876</v>
      </c>
      <c r="BI351" s="6">
        <f t="shared" si="253"/>
        <v>0.10734930251789876</v>
      </c>
      <c r="BV351" s="38"/>
      <c r="BW351" s="6">
        <f t="shared" si="254"/>
        <v>5.8643062867009057</v>
      </c>
      <c r="BX351" s="9">
        <f t="shared" ca="1" si="255"/>
        <v>-66.114292512562855</v>
      </c>
      <c r="BY351" s="9">
        <f t="shared" ca="1" si="256"/>
        <v>21.91404842774006</v>
      </c>
      <c r="BZ351">
        <f t="shared" ca="1" si="257"/>
        <v>69.651455066854567</v>
      </c>
      <c r="CA351" s="6">
        <f t="shared" ca="1" si="258"/>
        <v>-0.94921624320846443</v>
      </c>
      <c r="CB351" s="6">
        <f t="shared" ca="1" si="259"/>
        <v>0.31462441677214037</v>
      </c>
      <c r="CC351" s="6">
        <f t="shared" ca="1" si="260"/>
        <v>2.8215317027031475</v>
      </c>
      <c r="CD351" s="6">
        <f t="shared" ca="1" si="261"/>
        <v>-7.9795126718899922</v>
      </c>
      <c r="CE351" s="9">
        <f t="shared" ca="1" si="262"/>
        <v>-10.549446699589115</v>
      </c>
      <c r="CF351">
        <f t="shared" ca="1" si="263"/>
        <v>13.227374953040556</v>
      </c>
      <c r="CG351" s="6">
        <f t="shared" ca="1" si="264"/>
        <v>-0.60325746417702886</v>
      </c>
      <c r="CH351" s="6">
        <f t="shared" ca="1" si="265"/>
        <v>-0.79754650768133928</v>
      </c>
      <c r="CI351" s="6">
        <f t="shared" ca="1" si="266"/>
        <v>-2.2183755136245535</v>
      </c>
      <c r="CJ351" s="1">
        <f t="shared" ca="1" si="267"/>
        <v>3.0037736770220018</v>
      </c>
      <c r="CK351" s="38"/>
    </row>
    <row r="352" spans="55:89" x14ac:dyDescent="0.25">
      <c r="BC352">
        <v>6.1086523819801091</v>
      </c>
      <c r="BD352">
        <v>3.3349732443648636</v>
      </c>
      <c r="BE352">
        <v>3.1164219849678934</v>
      </c>
      <c r="BF352" s="6">
        <f t="shared" si="250"/>
        <v>0.75153452548378274</v>
      </c>
      <c r="BG352" s="6">
        <f t="shared" si="251"/>
        <v>5.357117856496326</v>
      </c>
      <c r="BH352" s="6">
        <f t="shared" si="252"/>
        <v>3.3863637913665534E-2</v>
      </c>
      <c r="BI352" s="6">
        <f t="shared" si="253"/>
        <v>3.3863637913665534E-2</v>
      </c>
      <c r="BV352" s="38"/>
      <c r="BW352" s="6">
        <f t="shared" si="254"/>
        <v>5.8817595792208488</v>
      </c>
      <c r="BX352" s="9">
        <f t="shared" ca="1" si="255"/>
        <v>-66.192815764740132</v>
      </c>
      <c r="BY352" s="9">
        <f t="shared" ca="1" si="256"/>
        <v>21.752316924517427</v>
      </c>
      <c r="BZ352">
        <f t="shared" ca="1" si="257"/>
        <v>69.67533387397205</v>
      </c>
      <c r="CA352" s="6">
        <f t="shared" ca="1" si="258"/>
        <v>-0.95001792003564622</v>
      </c>
      <c r="CB352" s="6">
        <f t="shared" ca="1" si="259"/>
        <v>0.31219537410273152</v>
      </c>
      <c r="CC352" s="6">
        <f t="shared" ca="1" si="260"/>
        <v>2.8240896193539693</v>
      </c>
      <c r="CD352" s="6">
        <f t="shared" ca="1" si="261"/>
        <v>-7.9009894197127153</v>
      </c>
      <c r="CE352" s="9">
        <f t="shared" ca="1" si="262"/>
        <v>-10.387715196366482</v>
      </c>
      <c r="CF352">
        <f t="shared" ca="1" si="263"/>
        <v>13.051063589272539</v>
      </c>
      <c r="CG352" s="6">
        <f t="shared" ca="1" si="264"/>
        <v>-0.60539046229205551</v>
      </c>
      <c r="CH352" s="6">
        <f t="shared" ca="1" si="265"/>
        <v>-0.79592863258323066</v>
      </c>
      <c r="CI352" s="6">
        <f t="shared" ca="1" si="266"/>
        <v>-2.2210526772490864</v>
      </c>
      <c r="CJ352" s="1">
        <f t="shared" ca="1" si="267"/>
        <v>3.0064508406465347</v>
      </c>
      <c r="CK352" s="38"/>
    </row>
    <row r="353" spans="55:89" x14ac:dyDescent="0.25">
      <c r="BC353">
        <v>6.1261056745000522</v>
      </c>
      <c r="BD353">
        <v>3.4800373054015044</v>
      </c>
      <c r="BE353">
        <v>3.7506595532143141</v>
      </c>
      <c r="BF353" s="6">
        <f t="shared" si="250"/>
        <v>0.82280755828663332</v>
      </c>
      <c r="BG353" s="6">
        <f t="shared" si="251"/>
        <v>5.3032981162134192</v>
      </c>
      <c r="BH353" s="6">
        <f t="shared" si="252"/>
        <v>-3.7409394889185044E-2</v>
      </c>
      <c r="BI353" s="6">
        <f t="shared" si="253"/>
        <v>3.7409394889185044E-2</v>
      </c>
      <c r="BV353" s="38"/>
      <c r="BW353" s="6">
        <f t="shared" si="254"/>
        <v>5.8992128717407919</v>
      </c>
      <c r="BX353" s="9">
        <f t="shared" ca="1" si="255"/>
        <v>-66.273476127481075</v>
      </c>
      <c r="BY353" s="9">
        <f t="shared" ca="1" si="256"/>
        <v>21.579802866481874</v>
      </c>
      <c r="BZ353">
        <f t="shared" ca="1" si="257"/>
        <v>69.698361026469072</v>
      </c>
      <c r="CA353" s="6">
        <f t="shared" ca="1" si="258"/>
        <v>-0.95086132803485379</v>
      </c>
      <c r="CB353" s="6">
        <f t="shared" ca="1" si="259"/>
        <v>0.3096170777715504</v>
      </c>
      <c r="CC353" s="6">
        <f t="shared" ca="1" si="260"/>
        <v>2.8268023584747395</v>
      </c>
      <c r="CD353" s="6">
        <f t="shared" ca="1" si="261"/>
        <v>-7.8203290569717723</v>
      </c>
      <c r="CE353" s="9">
        <f t="shared" ca="1" si="262"/>
        <v>-10.215201138330929</v>
      </c>
      <c r="CF353">
        <f t="shared" ca="1" si="263"/>
        <v>12.864986624784128</v>
      </c>
      <c r="CG353" s="6">
        <f t="shared" ca="1" si="264"/>
        <v>-0.60787696754430132</v>
      </c>
      <c r="CH353" s="6">
        <f t="shared" ca="1" si="265"/>
        <v>-0.79403122881228316</v>
      </c>
      <c r="CI353" s="6">
        <f t="shared" ca="1" si="266"/>
        <v>-2.2241804332201953</v>
      </c>
      <c r="CJ353" s="1">
        <f t="shared" ca="1" si="267"/>
        <v>3.0095785966176436</v>
      </c>
      <c r="CK353" s="38"/>
    </row>
    <row r="354" spans="55:89" x14ac:dyDescent="0.25">
      <c r="BC354">
        <v>6.1435589670199953</v>
      </c>
      <c r="BD354">
        <v>3.6233707548257006</v>
      </c>
      <c r="BE354">
        <v>4.4281919383917812</v>
      </c>
      <c r="BF354" s="6">
        <f t="shared" si="250"/>
        <v>0.88502561029232518</v>
      </c>
      <c r="BG354" s="6">
        <f t="shared" si="251"/>
        <v>5.2585333567276704</v>
      </c>
      <c r="BH354" s="6">
        <f t="shared" si="252"/>
        <v>-9.9627446894876903E-2</v>
      </c>
      <c r="BI354" s="6">
        <f t="shared" si="253"/>
        <v>9.9627446894876903E-2</v>
      </c>
      <c r="BV354" s="38"/>
      <c r="BW354" s="6">
        <f t="shared" si="254"/>
        <v>5.916666164260735</v>
      </c>
      <c r="BX354" s="9">
        <f t="shared" ca="1" si="255"/>
        <v>-66.356540481306254</v>
      </c>
      <c r="BY354" s="9">
        <f t="shared" ca="1" si="256"/>
        <v>21.395035498522081</v>
      </c>
      <c r="BZ354">
        <f t="shared" ca="1" si="257"/>
        <v>69.720427484563345</v>
      </c>
      <c r="CA354" s="6">
        <f t="shared" ca="1" si="258"/>
        <v>-0.95175177312270665</v>
      </c>
      <c r="CB354" s="6">
        <f t="shared" ca="1" si="259"/>
        <v>0.30686896610407488</v>
      </c>
      <c r="CC354" s="6">
        <f t="shared" ca="1" si="260"/>
        <v>2.8296911326082901</v>
      </c>
      <c r="CD354" s="6">
        <f t="shared" ca="1" si="261"/>
        <v>-7.7372647031465931</v>
      </c>
      <c r="CE354" s="9">
        <f t="shared" ca="1" si="262"/>
        <v>-10.030433770371136</v>
      </c>
      <c r="CF354">
        <f t="shared" ca="1" si="263"/>
        <v>12.667867488585435</v>
      </c>
      <c r="CG354" s="6">
        <f t="shared" ca="1" si="264"/>
        <v>-0.61077878420486853</v>
      </c>
      <c r="CH354" s="6">
        <f t="shared" ca="1" si="265"/>
        <v>-0.79180128616037415</v>
      </c>
      <c r="CI354" s="6">
        <f t="shared" ca="1" si="266"/>
        <v>-2.2278401052151278</v>
      </c>
      <c r="CJ354" s="1">
        <f t="shared" ca="1" si="267"/>
        <v>3.013238268612576</v>
      </c>
      <c r="CK354" s="38"/>
    </row>
    <row r="355" spans="55:89" x14ac:dyDescent="0.25">
      <c r="BC355">
        <v>6.1610122595399384</v>
      </c>
      <c r="BD355">
        <v>3.7557446767673452</v>
      </c>
      <c r="BE355">
        <v>5.1031359940869656</v>
      </c>
      <c r="BF355" s="6">
        <f t="shared" si="250"/>
        <v>0.93633636313292523</v>
      </c>
      <c r="BG355" s="6">
        <f t="shared" si="251"/>
        <v>5.224675896407013</v>
      </c>
      <c r="BH355" s="6">
        <f t="shared" si="252"/>
        <v>-0.15093819973547695</v>
      </c>
      <c r="BI355" s="6">
        <f t="shared" si="253"/>
        <v>0.15093819973547695</v>
      </c>
      <c r="BV355" s="38"/>
      <c r="BW355" s="6">
        <f t="shared" si="254"/>
        <v>5.9341194567806781</v>
      </c>
      <c r="BX355" s="9">
        <f t="shared" ca="1" si="255"/>
        <v>-66.442306508996481</v>
      </c>
      <c r="BY355" s="9">
        <f t="shared" ca="1" si="256"/>
        <v>21.196278229913979</v>
      </c>
      <c r="BZ355">
        <f t="shared" ca="1" si="257"/>
        <v>69.74139592118415</v>
      </c>
      <c r="CA355" s="6">
        <f t="shared" ca="1" si="258"/>
        <v>-0.95269539175963691</v>
      </c>
      <c r="CB355" s="6">
        <f t="shared" ca="1" si="259"/>
        <v>0.30392678480178725</v>
      </c>
      <c r="CC355" s="6">
        <f t="shared" ca="1" si="260"/>
        <v>2.8327809310714089</v>
      </c>
      <c r="CD355" s="6">
        <f t="shared" ca="1" si="261"/>
        <v>-7.6514986754563665</v>
      </c>
      <c r="CE355" s="9">
        <f t="shared" ca="1" si="262"/>
        <v>-9.8316765017630345</v>
      </c>
      <c r="CF355">
        <f t="shared" ca="1" si="263"/>
        <v>12.458221976503307</v>
      </c>
      <c r="CG355" s="6">
        <f t="shared" ca="1" si="264"/>
        <v>-0.61417260744650337</v>
      </c>
      <c r="CH355" s="6">
        <f t="shared" ca="1" si="265"/>
        <v>-0.7891717229237013</v>
      </c>
      <c r="CI355" s="6">
        <f t="shared" ca="1" si="266"/>
        <v>-2.2321334334491096</v>
      </c>
      <c r="CJ355" s="1">
        <f t="shared" ca="1" si="267"/>
        <v>3.0175315968465579</v>
      </c>
      <c r="CK355" s="38"/>
    </row>
    <row r="356" spans="55:89" x14ac:dyDescent="0.25">
      <c r="BC356">
        <v>6.1784655520598815</v>
      </c>
      <c r="BD356">
        <v>3.8773853478565026</v>
      </c>
      <c r="BE356">
        <v>5.7759243993570344</v>
      </c>
      <c r="BF356" s="6">
        <f t="shared" si="250"/>
        <v>0.97959201568579513</v>
      </c>
      <c r="BG356" s="6">
        <f t="shared" si="251"/>
        <v>5.1988735363740863</v>
      </c>
      <c r="BH356" s="6">
        <f t="shared" si="252"/>
        <v>-0.19419385228834685</v>
      </c>
      <c r="BI356" s="6">
        <f t="shared" si="253"/>
        <v>0.19419385228834685</v>
      </c>
      <c r="BV356" s="38"/>
      <c r="BW356" s="6">
        <f t="shared" si="254"/>
        <v>5.9515727493006212</v>
      </c>
      <c r="BX356" s="9">
        <f t="shared" ca="1" si="255"/>
        <v>-66.531108746749055</v>
      </c>
      <c r="BY356" s="9">
        <f t="shared" ca="1" si="256"/>
        <v>20.981464135799047</v>
      </c>
      <c r="BZ356">
        <f t="shared" ca="1" si="257"/>
        <v>69.761094231337637</v>
      </c>
      <c r="CA356" s="6">
        <f t="shared" ca="1" si="258"/>
        <v>-0.95369932882822206</v>
      </c>
      <c r="CB356" s="6">
        <f t="shared" ca="1" si="259"/>
        <v>0.30076168338503334</v>
      </c>
      <c r="CC356" s="6">
        <f t="shared" ca="1" si="260"/>
        <v>2.8361014380728533</v>
      </c>
      <c r="CD356" s="6">
        <f t="shared" ca="1" si="261"/>
        <v>-7.5626964377037922</v>
      </c>
      <c r="CE356" s="9">
        <f t="shared" ca="1" si="262"/>
        <v>-9.6168624076481031</v>
      </c>
      <c r="CF356">
        <f t="shared" ca="1" si="263"/>
        <v>12.234313220466971</v>
      </c>
      <c r="CG356" s="6">
        <f t="shared" ca="1" si="264"/>
        <v>-0.61815455444217671</v>
      </c>
      <c r="CH356" s="6">
        <f t="shared" ca="1" si="265"/>
        <v>-0.78605657991164601</v>
      </c>
      <c r="CI356" s="6">
        <f t="shared" ca="1" si="266"/>
        <v>-2.2371891304638614</v>
      </c>
      <c r="CJ356" s="1">
        <f t="shared" ca="1" si="267"/>
        <v>3.0225872938613096</v>
      </c>
      <c r="CK356" s="38"/>
    </row>
    <row r="357" spans="55:89" x14ac:dyDescent="0.25">
      <c r="BC357">
        <v>6.1959188445798246</v>
      </c>
      <c r="BD357">
        <v>3.9884911153362581</v>
      </c>
      <c r="BE357">
        <v>6.4469844766906741</v>
      </c>
      <c r="BF357" s="6">
        <f t="shared" si="250"/>
        <v>1.0167691424822438</v>
      </c>
      <c r="BG357" s="6">
        <f t="shared" si="251"/>
        <v>5.1791497020975807</v>
      </c>
      <c r="BH357" s="6">
        <f t="shared" si="252"/>
        <v>-0.23137097908479556</v>
      </c>
      <c r="BI357" s="6">
        <f t="shared" si="253"/>
        <v>0.23137097908479556</v>
      </c>
      <c r="BV357" s="38"/>
      <c r="BW357" s="6">
        <f t="shared" si="254"/>
        <v>5.9690260418205643</v>
      </c>
      <c r="BX357" s="9">
        <f t="shared" ca="1" si="255"/>
        <v>-66.623326085034876</v>
      </c>
      <c r="BY357" s="9">
        <f t="shared" ca="1" si="256"/>
        <v>20.748111623526007</v>
      </c>
      <c r="BZ357">
        <f t="shared" ca="1" si="257"/>
        <v>69.779307209051481</v>
      </c>
      <c r="CA357" s="6">
        <f t="shared" ca="1" si="258"/>
        <v>-0.95477196248793905</v>
      </c>
      <c r="CB357" s="6">
        <f t="shared" ca="1" si="259"/>
        <v>0.29733903148918983</v>
      </c>
      <c r="CC357" s="6">
        <f t="shared" ca="1" si="260"/>
        <v>2.8396882336846279</v>
      </c>
      <c r="CD357" s="6">
        <f t="shared" ca="1" si="261"/>
        <v>-7.4704790994179717</v>
      </c>
      <c r="CE357" s="9">
        <f t="shared" ca="1" si="262"/>
        <v>-9.3835098953750631</v>
      </c>
      <c r="CF357">
        <f t="shared" ca="1" si="263"/>
        <v>11.994095044289189</v>
      </c>
      <c r="CG357" s="6">
        <f t="shared" ca="1" si="264"/>
        <v>-0.62284641499276183</v>
      </c>
      <c r="CH357" s="6">
        <f t="shared" ca="1" si="265"/>
        <v>-0.7823441335695337</v>
      </c>
      <c r="CI357" s="6">
        <f t="shared" ca="1" si="266"/>
        <v>-2.2431720996304261</v>
      </c>
      <c r="CJ357" s="1">
        <f t="shared" ca="1" si="267"/>
        <v>3.0285702630278744</v>
      </c>
      <c r="CK357" s="38"/>
    </row>
    <row r="358" spans="55:89" x14ac:dyDescent="0.25">
      <c r="BC358">
        <v>6.2133721370997677</v>
      </c>
      <c r="BD358">
        <v>4.0892333477056493</v>
      </c>
      <c r="BE358">
        <v>7.1167392998047383</v>
      </c>
      <c r="BF358" s="6">
        <f t="shared" si="250"/>
        <v>1.0492674689055932</v>
      </c>
      <c r="BG358" s="6">
        <f t="shared" si="251"/>
        <v>5.1641046681941747</v>
      </c>
      <c r="BH358" s="6">
        <f t="shared" si="252"/>
        <v>-0.26386930550814491</v>
      </c>
      <c r="BI358" s="6">
        <f t="shared" si="253"/>
        <v>0.26386930550814491</v>
      </c>
      <c r="BV358" s="38"/>
      <c r="BW358" s="6">
        <f t="shared" si="254"/>
        <v>5.9864793343405074</v>
      </c>
      <c r="BX358" s="9">
        <f t="shared" ca="1" si="255"/>
        <v>-66.719391157126111</v>
      </c>
      <c r="BY358" s="9">
        <f t="shared" ca="1" si="256"/>
        <v>20.493212676860779</v>
      </c>
      <c r="BZ358">
        <f t="shared" ca="1" si="257"/>
        <v>69.795765789886175</v>
      </c>
      <c r="CA358" s="6">
        <f t="shared" ca="1" si="258"/>
        <v>-0.95592319107120038</v>
      </c>
      <c r="CB358" s="6">
        <f t="shared" ca="1" si="259"/>
        <v>0.29361684688085143</v>
      </c>
      <c r="CC358" s="6">
        <f t="shared" ca="1" si="260"/>
        <v>2.8435843862371049</v>
      </c>
      <c r="CD358" s="6">
        <f t="shared" ca="1" si="261"/>
        <v>-7.3744140273267362</v>
      </c>
      <c r="CE358" s="9">
        <f t="shared" ca="1" si="262"/>
        <v>-9.1286109487098344</v>
      </c>
      <c r="CF358">
        <f t="shared" ca="1" si="263"/>
        <v>11.73514039538251</v>
      </c>
      <c r="CG358" s="6">
        <f t="shared" ca="1" si="264"/>
        <v>-0.62840441433733396</v>
      </c>
      <c r="CH358" s="6">
        <f t="shared" ca="1" si="265"/>
        <v>-0.7778868118443405</v>
      </c>
      <c r="CI358" s="6">
        <f t="shared" ca="1" si="266"/>
        <v>-2.2502966549417813</v>
      </c>
      <c r="CJ358" s="1">
        <f t="shared" ca="1" si="267"/>
        <v>3.0356948183392296</v>
      </c>
      <c r="CK358" s="38"/>
    </row>
    <row r="359" spans="55:89" x14ac:dyDescent="0.25">
      <c r="BC359">
        <v>6.2308254296197108</v>
      </c>
      <c r="BD359">
        <v>4.1797572457359253</v>
      </c>
      <c r="BE359">
        <v>7.7856087787980526</v>
      </c>
      <c r="BF359" s="6">
        <f t="shared" si="250"/>
        <v>1.0780998084986202</v>
      </c>
      <c r="BG359" s="6">
        <f t="shared" si="251"/>
        <v>5.1527256211210908</v>
      </c>
      <c r="BH359" s="6">
        <f t="shared" si="252"/>
        <v>-0.29270164510117191</v>
      </c>
      <c r="BI359" s="6">
        <f t="shared" si="253"/>
        <v>0.29270164510117191</v>
      </c>
      <c r="BV359" s="38"/>
      <c r="BW359" s="6">
        <f t="shared" si="254"/>
        <v>6.0039326268604505</v>
      </c>
      <c r="BX359" s="9">
        <f t="shared" ca="1" si="255"/>
        <v>-66.743242471641636</v>
      </c>
      <c r="BY359" s="9">
        <f t="shared" ca="1" si="256"/>
        <v>20.609020657808617</v>
      </c>
      <c r="BZ359">
        <f t="shared" ca="1" si="257"/>
        <v>69.852645963501843</v>
      </c>
      <c r="CA359" s="6">
        <f t="shared" ca="1" si="258"/>
        <v>-0.95548624609746524</v>
      </c>
      <c r="CB359" s="6">
        <f t="shared" ca="1" si="259"/>
        <v>0.29503564787763192</v>
      </c>
      <c r="CC359" s="6">
        <f t="shared" ca="1" si="260"/>
        <v>2.8420998265100108</v>
      </c>
      <c r="CD359" s="6">
        <f t="shared" ca="1" si="261"/>
        <v>-7.350562712811211</v>
      </c>
      <c r="CE359" s="9">
        <f t="shared" ca="1" si="262"/>
        <v>-9.2444189296576731</v>
      </c>
      <c r="CF359">
        <f t="shared" ca="1" si="263"/>
        <v>11.810590736368086</v>
      </c>
      <c r="CG359" s="6">
        <f t="shared" ca="1" si="264"/>
        <v>-0.62237045350972908</v>
      </c>
      <c r="CH359" s="6">
        <f t="shared" ca="1" si="265"/>
        <v>-0.78272282360877532</v>
      </c>
      <c r="CI359" s="6">
        <f t="shared" ca="1" si="266"/>
        <v>-2.2425638681855329</v>
      </c>
      <c r="CJ359" s="1">
        <f t="shared" ca="1" si="267"/>
        <v>3.0279620315829812</v>
      </c>
      <c r="CK359" s="38"/>
    </row>
    <row r="360" spans="55:89" x14ac:dyDescent="0.25">
      <c r="BC360">
        <v>6.2482787221396539</v>
      </c>
      <c r="BD360">
        <v>4.2601825072818365</v>
      </c>
      <c r="BE360">
        <v>8.4540107292336746</v>
      </c>
      <c r="BF360" s="6">
        <f t="shared" si="250"/>
        <v>1.1040141075971339</v>
      </c>
      <c r="BG360" s="6">
        <f t="shared" si="251"/>
        <v>5.1442646145425197</v>
      </c>
      <c r="BH360" s="6">
        <f t="shared" si="252"/>
        <v>-0.31861594419968559</v>
      </c>
      <c r="BI360" s="6">
        <f t="shared" si="253"/>
        <v>0.31861594419968559</v>
      </c>
      <c r="BV360" s="38"/>
      <c r="BW360" s="6">
        <f t="shared" si="254"/>
        <v>6.0213859193803936</v>
      </c>
      <c r="BX360" s="9">
        <f t="shared" ca="1" si="255"/>
        <v>-66.841278874897043</v>
      </c>
      <c r="BY360" s="9">
        <f t="shared" ca="1" si="256"/>
        <v>20.325156904597765</v>
      </c>
      <c r="BZ360">
        <f t="shared" ca="1" si="257"/>
        <v>69.863213244369717</v>
      </c>
      <c r="CA360" s="6">
        <f t="shared" ca="1" si="258"/>
        <v>-0.95674498453281187</v>
      </c>
      <c r="CB360" s="6">
        <f t="shared" ca="1" si="259"/>
        <v>0.29092788551685705</v>
      </c>
      <c r="CC360" s="6">
        <f t="shared" ca="1" si="260"/>
        <v>2.846396122874693</v>
      </c>
      <c r="CD360" s="6">
        <f t="shared" ca="1" si="261"/>
        <v>-7.2525263095558046</v>
      </c>
      <c r="CE360" s="9">
        <f t="shared" ca="1" si="262"/>
        <v>-8.960555176446821</v>
      </c>
      <c r="CF360">
        <f t="shared" ca="1" si="263"/>
        <v>11.527822298289779</v>
      </c>
      <c r="CG360" s="6">
        <f t="shared" ca="1" si="264"/>
        <v>-0.62913238267315763</v>
      </c>
      <c r="CH360" s="6">
        <f t="shared" ca="1" si="265"/>
        <v>-0.77729816999141044</v>
      </c>
      <c r="CI360" s="6">
        <f t="shared" ca="1" si="266"/>
        <v>-2.2512328371852544</v>
      </c>
      <c r="CJ360" s="1">
        <f t="shared" ca="1" si="267"/>
        <v>3.0366310005827026</v>
      </c>
      <c r="CK360" s="38"/>
    </row>
    <row r="361" spans="55:89" x14ac:dyDescent="0.25">
      <c r="BC361">
        <v>6.2657320146595969</v>
      </c>
      <c r="BD361">
        <v>4.3306038637282382</v>
      </c>
      <c r="BE361">
        <v>9.1223619305319819</v>
      </c>
      <c r="BF361" s="6">
        <f t="shared" si="250"/>
        <v>1.1275732308630075</v>
      </c>
      <c r="BG361" s="6">
        <f t="shared" si="251"/>
        <v>5.1381587837965892</v>
      </c>
      <c r="BH361" s="6">
        <f t="shared" si="252"/>
        <v>-0.3421750674655592</v>
      </c>
      <c r="BI361" s="6">
        <f t="shared" si="253"/>
        <v>0.3421750674655592</v>
      </c>
      <c r="BV361" s="38"/>
      <c r="BW361" s="6">
        <f t="shared" si="254"/>
        <v>6.0388392119003367</v>
      </c>
      <c r="BX361" s="9">
        <f t="shared" ca="1" si="255"/>
        <v>-66.944608966417718</v>
      </c>
      <c r="BY361" s="9">
        <f t="shared" ca="1" si="256"/>
        <v>20.008756555022813</v>
      </c>
      <c r="BZ361">
        <f t="shared" ca="1" si="257"/>
        <v>69.870816572763374</v>
      </c>
      <c r="CA361" s="6">
        <f t="shared" ca="1" si="258"/>
        <v>-0.95811974512565901</v>
      </c>
      <c r="CB361" s="6">
        <f t="shared" ca="1" si="259"/>
        <v>0.28636786481786314</v>
      </c>
      <c r="CC361" s="6">
        <f t="shared" ca="1" si="260"/>
        <v>2.851158874006384</v>
      </c>
      <c r="CD361" s="6">
        <f t="shared" ca="1" si="261"/>
        <v>-7.1491962180351294</v>
      </c>
      <c r="CE361" s="9">
        <f t="shared" ca="1" si="262"/>
        <v>-8.6441548268718691</v>
      </c>
      <c r="CF361">
        <f t="shared" ca="1" si="263"/>
        <v>11.217505036098716</v>
      </c>
      <c r="CG361" s="6">
        <f t="shared" ca="1" si="264"/>
        <v>-0.63732498403419613</v>
      </c>
      <c r="CH361" s="6">
        <f t="shared" ca="1" si="265"/>
        <v>-0.77059513671305468</v>
      </c>
      <c r="CI361" s="6">
        <f t="shared" ca="1" si="266"/>
        <v>-2.2618182242099416</v>
      </c>
      <c r="CJ361" s="1">
        <f t="shared" ca="1" si="267"/>
        <v>3.0472163876073899</v>
      </c>
      <c r="CK361" s="38"/>
    </row>
    <row r="362" spans="55:89" x14ac:dyDescent="0.25">
      <c r="BC362">
        <v>6.28318530717954</v>
      </c>
      <c r="BD362">
        <v>4.3910914686492681</v>
      </c>
      <c r="BE362">
        <v>9.7910791804451698</v>
      </c>
      <c r="BF362" s="6">
        <f t="shared" si="250"/>
        <v>1.1492081494137634</v>
      </c>
      <c r="BG362" s="6">
        <f t="shared" si="251"/>
        <v>5.1339771577657771</v>
      </c>
      <c r="BH362" s="6">
        <f t="shared" si="252"/>
        <v>-0.36380998601631509</v>
      </c>
      <c r="BI362" s="6">
        <f t="shared" si="253"/>
        <v>0.36380998601631509</v>
      </c>
      <c r="BV362" s="38"/>
      <c r="BW362" s="6">
        <f t="shared" si="254"/>
        <v>6.0562925044202798</v>
      </c>
      <c r="BX362" s="9">
        <f t="shared" ca="1" si="255"/>
        <v>-67.053996675671101</v>
      </c>
      <c r="BY362" s="9">
        <f t="shared" ca="1" si="256"/>
        <v>19.653102702964258</v>
      </c>
      <c r="BZ362">
        <f t="shared" ca="1" si="257"/>
        <v>69.874765946185263</v>
      </c>
      <c r="CA362" s="6">
        <f t="shared" ca="1" si="258"/>
        <v>-0.95963107378868928</v>
      </c>
      <c r="CB362" s="6">
        <f t="shared" ca="1" si="259"/>
        <v>0.28126180369749343</v>
      </c>
      <c r="CC362" s="6">
        <f t="shared" ca="1" si="260"/>
        <v>2.8564839131140349</v>
      </c>
      <c r="CD362" s="6">
        <f t="shared" ca="1" si="261"/>
        <v>-7.0398085087817464</v>
      </c>
      <c r="CE362" s="9">
        <f t="shared" ca="1" si="262"/>
        <v>-8.2885009748133136</v>
      </c>
      <c r="CF362">
        <f t="shared" ca="1" si="263"/>
        <v>10.874656419850567</v>
      </c>
      <c r="CG362" s="6">
        <f t="shared" ca="1" si="264"/>
        <v>-0.64735916584282149</v>
      </c>
      <c r="CH362" s="6">
        <f t="shared" ca="1" si="265"/>
        <v>-0.76218508933151286</v>
      </c>
      <c r="CI362" s="6">
        <f t="shared" ca="1" si="266"/>
        <v>-2.2749108232696793</v>
      </c>
      <c r="CJ362" s="1">
        <f t="shared" ca="1" si="267"/>
        <v>3.0603089866671276</v>
      </c>
      <c r="CK362" s="38"/>
    </row>
    <row r="363" spans="55:89" x14ac:dyDescent="0.25">
      <c r="BC363" s="6"/>
      <c r="BD363" s="6"/>
      <c r="BE363" s="6"/>
      <c r="BF363" s="6"/>
      <c r="BG363" s="6"/>
      <c r="BH363" s="6"/>
      <c r="BI363" s="6"/>
      <c r="BW363" s="6">
        <f t="shared" si="254"/>
        <v>6.0737457969402229</v>
      </c>
      <c r="BX363" s="9">
        <f t="shared" ca="1" si="255"/>
        <v>-67.170361189280626</v>
      </c>
      <c r="BY363" s="9">
        <f t="shared" ca="1" si="256"/>
        <v>19.24948335545696</v>
      </c>
      <c r="BZ363">
        <f t="shared" ca="1" si="257"/>
        <v>69.874172851994686</v>
      </c>
      <c r="CA363" s="6">
        <f t="shared" ca="1" si="258"/>
        <v>-0.96130456286844079</v>
      </c>
      <c r="CB363" s="6">
        <f t="shared" ca="1" si="259"/>
        <v>0.27548781716859277</v>
      </c>
      <c r="CC363" s="6">
        <f t="shared" ca="1" si="260"/>
        <v>2.862495534773374</v>
      </c>
      <c r="CD363" s="6">
        <f t="shared" ca="1" si="261"/>
        <v>-6.9234439951722209</v>
      </c>
      <c r="CE363" s="9">
        <f t="shared" ca="1" si="262"/>
        <v>-7.8848816273060152</v>
      </c>
      <c r="CF363">
        <f t="shared" ca="1" si="263"/>
        <v>10.493113695701302</v>
      </c>
      <c r="CG363" s="6">
        <f t="shared" ca="1" si="264"/>
        <v>-0.65980834630702012</v>
      </c>
      <c r="CH363" s="6">
        <f t="shared" ca="1" si="265"/>
        <v>-0.75143392666527598</v>
      </c>
      <c r="CI363" s="6">
        <f t="shared" ca="1" si="266"/>
        <v>-2.2913600084709254</v>
      </c>
      <c r="CJ363" s="1">
        <f t="shared" ca="1" si="267"/>
        <v>3.0767581718683736</v>
      </c>
      <c r="CK363" s="38"/>
    </row>
    <row r="364" spans="55:89" x14ac:dyDescent="0.25">
      <c r="BC364" s="6"/>
      <c r="BD364" s="6"/>
      <c r="BE364" s="6"/>
      <c r="BF364" s="6"/>
      <c r="BG364" s="6"/>
      <c r="BH364" s="6"/>
      <c r="BI364" s="6"/>
      <c r="BW364" s="6">
        <f t="shared" si="254"/>
        <v>6.091199089460166</v>
      </c>
      <c r="BX364" s="9">
        <f t="shared" ca="1" si="255"/>
        <v>-67.294824405176399</v>
      </c>
      <c r="BY364" s="9">
        <f t="shared" ca="1" si="256"/>
        <v>18.786374724702437</v>
      </c>
      <c r="BZ364">
        <f t="shared" ca="1" si="257"/>
        <v>69.867884374871863</v>
      </c>
      <c r="CA364" s="6">
        <f t="shared" ca="1" si="258"/>
        <v>-0.96317249344649014</v>
      </c>
      <c r="CB364" s="6">
        <f t="shared" ca="1" si="259"/>
        <v>0.26888426482051886</v>
      </c>
      <c r="CC364" s="6">
        <f t="shared" ca="1" si="260"/>
        <v>2.8693582057618423</v>
      </c>
      <c r="CD364" s="6">
        <f t="shared" ca="1" si="261"/>
        <v>-6.7989807792764481</v>
      </c>
      <c r="CE364" s="9">
        <f t="shared" ca="1" si="262"/>
        <v>-7.4217729965514927</v>
      </c>
      <c r="CF364">
        <f t="shared" ca="1" si="263"/>
        <v>10.06522995511337</v>
      </c>
      <c r="CG364" s="6">
        <f t="shared" ca="1" si="264"/>
        <v>-0.67549184763756021</v>
      </c>
      <c r="CH364" s="6">
        <f t="shared" ca="1" si="265"/>
        <v>-0.73736745505561552</v>
      </c>
      <c r="CI364" s="6">
        <f t="shared" ca="1" si="266"/>
        <v>-2.3124278573052068</v>
      </c>
      <c r="CJ364" s="1">
        <f t="shared" ca="1" si="267"/>
        <v>3.0978260207026551</v>
      </c>
      <c r="CK364" s="38"/>
    </row>
    <row r="365" spans="55:89" x14ac:dyDescent="0.25">
      <c r="BW365" s="6">
        <f t="shared" si="254"/>
        <v>6.1086523819801091</v>
      </c>
      <c r="BX365" s="9">
        <f t="shared" ca="1" si="255"/>
        <v>-67.428778428817708</v>
      </c>
      <c r="BY365" s="9">
        <f t="shared" ca="1" si="256"/>
        <v>18.248179743183051</v>
      </c>
      <c r="BZ365">
        <f t="shared" ca="1" si="257"/>
        <v>69.854393021069967</v>
      </c>
      <c r="CA365" s="6">
        <f t="shared" ca="1" si="258"/>
        <v>-0.96527613386432798</v>
      </c>
      <c r="CB365" s="6">
        <f t="shared" ca="1" si="259"/>
        <v>0.2612316699635327</v>
      </c>
      <c r="CC365" s="6">
        <f t="shared" ca="1" si="260"/>
        <v>2.8772946937555575</v>
      </c>
      <c r="CD365" s="6">
        <f t="shared" ca="1" si="261"/>
        <v>-6.6650267556351395</v>
      </c>
      <c r="CE365" s="9">
        <f t="shared" ca="1" si="262"/>
        <v>-6.8835780150321071</v>
      </c>
      <c r="CF365">
        <f t="shared" ca="1" si="263"/>
        <v>9.5815566554900489</v>
      </c>
      <c r="CG365" s="6">
        <f t="shared" ca="1" si="264"/>
        <v>-0.69561001362092933</v>
      </c>
      <c r="CH365" s="6">
        <f t="shared" ca="1" si="265"/>
        <v>-0.71841959115150134</v>
      </c>
      <c r="CI365" s="6">
        <f t="shared" ca="1" si="266"/>
        <v>-2.3400649838755623</v>
      </c>
      <c r="CJ365" s="1">
        <f t="shared" ca="1" si="267"/>
        <v>3.1254631472730106</v>
      </c>
      <c r="CK365" s="38"/>
    </row>
    <row r="366" spans="55:89" x14ac:dyDescent="0.25">
      <c r="BW366" s="6">
        <f t="shared" si="254"/>
        <v>6.1261056745000522</v>
      </c>
      <c r="BX366" s="9">
        <f t="shared" ca="1" si="255"/>
        <v>-67.573842489854357</v>
      </c>
      <c r="BY366" s="9">
        <f t="shared" ca="1" si="256"/>
        <v>17.613942174936632</v>
      </c>
      <c r="BZ366">
        <f t="shared" ca="1" si="257"/>
        <v>69.831763172539596</v>
      </c>
      <c r="CA366" s="6">
        <f t="shared" ca="1" si="258"/>
        <v>-0.9676662799261363</v>
      </c>
      <c r="CB366" s="6">
        <f t="shared" ca="1" si="259"/>
        <v>0.25223396023119576</v>
      </c>
      <c r="CC366" s="6">
        <f t="shared" ca="1" si="260"/>
        <v>2.88660448454957</v>
      </c>
      <c r="CD366" s="6">
        <f t="shared" ca="1" si="261"/>
        <v>-6.5199626945984903</v>
      </c>
      <c r="CE366" s="9">
        <f t="shared" ca="1" si="262"/>
        <v>-6.2493404467856877</v>
      </c>
      <c r="CF366">
        <f t="shared" ca="1" si="263"/>
        <v>9.0312883664949783</v>
      </c>
      <c r="CG366" s="6">
        <f t="shared" ca="1" si="264"/>
        <v>-0.72193051866074698</v>
      </c>
      <c r="CH366" s="6">
        <f t="shared" ca="1" si="265"/>
        <v>-0.69196555277428728</v>
      </c>
      <c r="CI366" s="6">
        <f t="shared" ca="1" si="266"/>
        <v>-2.3773845065119392</v>
      </c>
      <c r="CJ366" s="1">
        <f t="shared" ca="1" si="267"/>
        <v>-3.1204026372701987</v>
      </c>
      <c r="CK366" s="38"/>
    </row>
    <row r="367" spans="55:89" x14ac:dyDescent="0.25">
      <c r="BW367" s="6">
        <f t="shared" si="254"/>
        <v>6.1435589670199953</v>
      </c>
      <c r="BX367" s="9">
        <f t="shared" ca="1" si="255"/>
        <v>-67.717175939278548</v>
      </c>
      <c r="BY367" s="9">
        <f t="shared" ca="1" si="256"/>
        <v>16.936409789759164</v>
      </c>
      <c r="BZ367">
        <f t="shared" ca="1" si="257"/>
        <v>69.802993444105653</v>
      </c>
      <c r="CA367" s="6">
        <f t="shared" ca="1" si="258"/>
        <v>-0.97011850922271248</v>
      </c>
      <c r="CB367" s="6">
        <f t="shared" ca="1" si="259"/>
        <v>0.24263156856332957</v>
      </c>
      <c r="CC367" s="6">
        <f t="shared" ca="1" si="260"/>
        <v>2.8965150929162018</v>
      </c>
      <c r="CD367" s="6">
        <f t="shared" ca="1" si="261"/>
        <v>-6.3766292451742999</v>
      </c>
      <c r="CE367" s="9">
        <f t="shared" ca="1" si="262"/>
        <v>-5.5718080616082197</v>
      </c>
      <c r="CF367">
        <f t="shared" ca="1" si="263"/>
        <v>8.4679658481724225</v>
      </c>
      <c r="CG367" s="6">
        <f t="shared" ca="1" si="264"/>
        <v>-0.75302963657446964</v>
      </c>
      <c r="CH367" s="6">
        <f t="shared" ca="1" si="265"/>
        <v>-0.65798660050226132</v>
      </c>
      <c r="CI367" s="6">
        <f t="shared" ca="1" si="266"/>
        <v>-2.4234507586009073</v>
      </c>
      <c r="CJ367" s="1">
        <f t="shared" ca="1" si="267"/>
        <v>-3.0743363851812306</v>
      </c>
      <c r="CK367" s="38"/>
    </row>
    <row r="368" spans="55:89" x14ac:dyDescent="0.25">
      <c r="BW368" s="6">
        <f t="shared" si="254"/>
        <v>6.1610122595399384</v>
      </c>
      <c r="BX368" s="9">
        <f t="shared" ca="1" si="255"/>
        <v>-67.849549861220197</v>
      </c>
      <c r="BY368" s="9">
        <f t="shared" ca="1" si="256"/>
        <v>16.261465734063979</v>
      </c>
      <c r="BZ368">
        <f t="shared" ca="1" si="257"/>
        <v>69.771030407973356</v>
      </c>
      <c r="CA368" s="6">
        <f t="shared" ca="1" si="258"/>
        <v>-0.97246019536306616</v>
      </c>
      <c r="CB368" s="6">
        <f t="shared" ca="1" si="259"/>
        <v>0.23306902075228111</v>
      </c>
      <c r="CC368" s="6">
        <f t="shared" ca="1" si="260"/>
        <v>2.9063602235660762</v>
      </c>
      <c r="CD368" s="6">
        <f t="shared" ca="1" si="261"/>
        <v>-6.2442553232326503</v>
      </c>
      <c r="CE368" s="9">
        <f t="shared" ca="1" si="262"/>
        <v>-4.8968640059130344</v>
      </c>
      <c r="CF368">
        <f t="shared" ca="1" si="263"/>
        <v>7.9353639887610656</v>
      </c>
      <c r="CG368" s="6">
        <f t="shared" ca="1" si="264"/>
        <v>-0.78688959095971533</v>
      </c>
      <c r="CH368" s="6">
        <f t="shared" ca="1" si="265"/>
        <v>-0.6170938110524623</v>
      </c>
      <c r="CI368" s="6">
        <f t="shared" ca="1" si="266"/>
        <v>-2.4765485842240862</v>
      </c>
      <c r="CJ368" s="1">
        <f t="shared" ca="1" si="267"/>
        <v>-3.0212385595580518</v>
      </c>
      <c r="CK368" s="38"/>
    </row>
    <row r="369" spans="75:89" x14ac:dyDescent="0.25">
      <c r="BW369" s="6">
        <f t="shared" si="254"/>
        <v>6.1784655520598815</v>
      </c>
      <c r="BX369" s="9">
        <f t="shared" ca="1" si="255"/>
        <v>-67.97119053230935</v>
      </c>
      <c r="BY369" s="9">
        <f t="shared" ca="1" si="256"/>
        <v>15.58867732879391</v>
      </c>
      <c r="BZ369">
        <f t="shared" ca="1" si="257"/>
        <v>69.735855936818851</v>
      </c>
      <c r="CA369" s="6">
        <f t="shared" ca="1" si="258"/>
        <v>-0.97469500616571914</v>
      </c>
      <c r="CB369" s="6">
        <f t="shared" ca="1" si="259"/>
        <v>0.22353891150224578</v>
      </c>
      <c r="CC369" s="6">
        <f t="shared" ca="1" si="260"/>
        <v>2.9161488969558467</v>
      </c>
      <c r="CD369" s="6">
        <f t="shared" ca="1" si="261"/>
        <v>-6.122614652143497</v>
      </c>
      <c r="CE369" s="9">
        <f t="shared" ca="1" si="262"/>
        <v>-4.2240756006429656</v>
      </c>
      <c r="CF369">
        <f t="shared" ca="1" si="263"/>
        <v>7.4383617052809052</v>
      </c>
      <c r="CG369" s="6">
        <f t="shared" ca="1" si="264"/>
        <v>-0.82311332719901398</v>
      </c>
      <c r="CH369" s="6">
        <f t="shared" ca="1" si="265"/>
        <v>-0.56787714392055721</v>
      </c>
      <c r="CI369" s="6">
        <f t="shared" ca="1" si="266"/>
        <v>-2.5376681566990729</v>
      </c>
      <c r="CJ369" s="1">
        <f t="shared" ca="1" si="267"/>
        <v>-2.9601189870830651</v>
      </c>
      <c r="CK369" s="38"/>
    </row>
    <row r="370" spans="75:89" x14ac:dyDescent="0.25">
      <c r="BW370" s="6">
        <f t="shared" si="254"/>
        <v>6.1959188445798246</v>
      </c>
      <c r="BX370" s="9">
        <f t="shared" ca="1" si="255"/>
        <v>-68.082296299789107</v>
      </c>
      <c r="BY370" s="9">
        <f t="shared" ca="1" si="256"/>
        <v>14.917617251460271</v>
      </c>
      <c r="BZ370">
        <f t="shared" ca="1" si="257"/>
        <v>69.697448833607552</v>
      </c>
      <c r="CA370" s="6">
        <f t="shared" ca="1" si="258"/>
        <v>-0.97682623165053883</v>
      </c>
      <c r="CB370" s="6">
        <f t="shared" ca="1" si="259"/>
        <v>0.21403390656484281</v>
      </c>
      <c r="CC370" s="6">
        <f t="shared" ca="1" si="260"/>
        <v>2.925889943677618</v>
      </c>
      <c r="CD370" s="6">
        <f t="shared" ca="1" si="261"/>
        <v>-6.0115088846637406</v>
      </c>
      <c r="CE370" s="9">
        <f t="shared" ca="1" si="262"/>
        <v>-3.5530155233093268</v>
      </c>
      <c r="CF370">
        <f t="shared" ca="1" si="263"/>
        <v>6.9829906472276004</v>
      </c>
      <c r="CG370" s="6">
        <f t="shared" ca="1" si="264"/>
        <v>-0.86087883950559785</v>
      </c>
      <c r="CH370" s="6">
        <f t="shared" ca="1" si="265"/>
        <v>-0.5088100074600489</v>
      </c>
      <c r="CI370" s="6">
        <f t="shared" ca="1" si="266"/>
        <v>-2.6077907285531783</v>
      </c>
      <c r="CJ370" s="1">
        <f t="shared" ca="1" si="267"/>
        <v>-2.8899964152289597</v>
      </c>
      <c r="CK370" s="38"/>
    </row>
    <row r="371" spans="75:89" x14ac:dyDescent="0.25">
      <c r="BW371" s="6">
        <f t="shared" si="254"/>
        <v>6.2133721370997677</v>
      </c>
      <c r="BX371" s="9">
        <f t="shared" ca="1" si="255"/>
        <v>-68.183038532158491</v>
      </c>
      <c r="BY371" s="9">
        <f t="shared" ca="1" si="256"/>
        <v>14.247862428346206</v>
      </c>
      <c r="BZ371">
        <f t="shared" ca="1" si="257"/>
        <v>69.655784592917257</v>
      </c>
      <c r="CA371" s="6">
        <f t="shared" ca="1" si="258"/>
        <v>-0.97885680178084566</v>
      </c>
      <c r="CB371" s="6">
        <f t="shared" ca="1" si="259"/>
        <v>0.2045467223090465</v>
      </c>
      <c r="CC371" s="6">
        <f t="shared" ca="1" si="260"/>
        <v>2.9355920371906863</v>
      </c>
      <c r="CD371" s="6">
        <f t="shared" ca="1" si="261"/>
        <v>-5.910766652294356</v>
      </c>
      <c r="CE371" s="9">
        <f t="shared" ca="1" si="262"/>
        <v>-2.8832607001952617</v>
      </c>
      <c r="CF371">
        <f t="shared" ca="1" si="263"/>
        <v>6.5765001849893912</v>
      </c>
      <c r="CG371" s="6">
        <f t="shared" ca="1" si="264"/>
        <v>-0.89877084863244638</v>
      </c>
      <c r="CH371" s="6">
        <f t="shared" ca="1" si="265"/>
        <v>-0.43841870586063292</v>
      </c>
      <c r="CI371" s="6">
        <f t="shared" ca="1" si="266"/>
        <v>-2.6877541330731178</v>
      </c>
      <c r="CJ371" s="1">
        <f t="shared" ca="1" si="267"/>
        <v>-2.8100330107090201</v>
      </c>
      <c r="CK371" s="38"/>
    </row>
    <row r="372" spans="75:89" x14ac:dyDescent="0.25">
      <c r="BW372" s="6">
        <f t="shared" si="254"/>
        <v>6.2308254296197108</v>
      </c>
      <c r="BX372" s="9">
        <f t="shared" ca="1" si="255"/>
        <v>-68.273562430188775</v>
      </c>
      <c r="BY372" s="9">
        <f t="shared" ca="1" si="256"/>
        <v>13.578992949352891</v>
      </c>
      <c r="BZ372">
        <f t="shared" ca="1" si="257"/>
        <v>69.6108351941525</v>
      </c>
      <c r="CA372" s="6">
        <f t="shared" ca="1" si="258"/>
        <v>-0.98078930154718125</v>
      </c>
      <c r="CB372" s="6">
        <f t="shared" ca="1" si="259"/>
        <v>0.19507010527139262</v>
      </c>
      <c r="CC372" s="6">
        <f t="shared" ca="1" si="260"/>
        <v>2.9452637255123553</v>
      </c>
      <c r="CD372" s="6">
        <f t="shared" ca="1" si="261"/>
        <v>-5.820242754264072</v>
      </c>
      <c r="CE372" s="9">
        <f t="shared" ca="1" si="262"/>
        <v>-2.2143912212019465</v>
      </c>
      <c r="CF372">
        <f t="shared" ca="1" si="263"/>
        <v>6.2272589635488638</v>
      </c>
      <c r="CG372" s="6">
        <f t="shared" ca="1" si="264"/>
        <v>-0.93463958835384031</v>
      </c>
      <c r="CH372" s="6">
        <f t="shared" ca="1" si="265"/>
        <v>-0.35559645650901006</v>
      </c>
      <c r="CI372" s="6">
        <f t="shared" ca="1" si="266"/>
        <v>-2.7780404963377006</v>
      </c>
      <c r="CJ372" s="1">
        <f t="shared" ca="1" si="267"/>
        <v>-2.7197466474444374</v>
      </c>
      <c r="CK372" s="38"/>
    </row>
    <row r="373" spans="75:89" x14ac:dyDescent="0.25">
      <c r="BW373" s="6">
        <f t="shared" si="254"/>
        <v>6.2482787221396539</v>
      </c>
      <c r="BX373" s="9">
        <f t="shared" ca="1" si="255"/>
        <v>-68.353987691734687</v>
      </c>
      <c r="BY373" s="9">
        <f t="shared" ca="1" si="256"/>
        <v>12.91059099891727</v>
      </c>
      <c r="BZ373">
        <f t="shared" ca="1" si="257"/>
        <v>69.562568909602106</v>
      </c>
      <c r="CA373" s="6">
        <f t="shared" ca="1" si="258"/>
        <v>-0.98262598353091313</v>
      </c>
      <c r="CB373" s="6">
        <f t="shared" ca="1" si="259"/>
        <v>0.18559681163723021</v>
      </c>
      <c r="CC373" s="6">
        <f t="shared" ca="1" si="260"/>
        <v>2.9549134620661306</v>
      </c>
      <c r="CD373" s="6">
        <f t="shared" ca="1" si="261"/>
        <v>-5.73981749271816</v>
      </c>
      <c r="CE373" s="9">
        <f t="shared" ca="1" si="262"/>
        <v>-1.5459892707663254</v>
      </c>
      <c r="CF373">
        <f t="shared" ca="1" si="263"/>
        <v>5.9443744561592</v>
      </c>
      <c r="CG373" s="6">
        <f t="shared" ca="1" si="264"/>
        <v>-0.96558814305025986</v>
      </c>
      <c r="CH373" s="6">
        <f t="shared" ca="1" si="265"/>
        <v>-0.26007602350226527</v>
      </c>
      <c r="CI373" s="6">
        <f t="shared" ca="1" si="266"/>
        <v>-2.878491718670352</v>
      </c>
      <c r="CJ373" s="1">
        <f t="shared" ca="1" si="267"/>
        <v>-2.6192954251117859</v>
      </c>
      <c r="CK373" s="38"/>
    </row>
    <row r="374" spans="75:89" x14ac:dyDescent="0.25">
      <c r="BW374" s="6">
        <f t="shared" si="254"/>
        <v>6.2657320146595969</v>
      </c>
      <c r="BX374" s="9">
        <f t="shared" ca="1" si="255"/>
        <v>-68.42440904818109</v>
      </c>
      <c r="BY374" s="9">
        <f t="shared" ca="1" si="256"/>
        <v>12.242239797618963</v>
      </c>
      <c r="BZ374">
        <f t="shared" ca="1" si="257"/>
        <v>69.510950136328972</v>
      </c>
      <c r="CA374" s="6">
        <f t="shared" ca="1" si="258"/>
        <v>-0.98436877806997469</v>
      </c>
      <c r="CB374" s="6">
        <f t="shared" ca="1" si="259"/>
        <v>0.17611958653433396</v>
      </c>
      <c r="CC374" s="6">
        <f t="shared" ca="1" si="260"/>
        <v>2.9645496359422854</v>
      </c>
      <c r="CD374" s="6">
        <f t="shared" ca="1" si="261"/>
        <v>-5.6693961362717573</v>
      </c>
      <c r="CE374" s="9">
        <f t="shared" ca="1" si="262"/>
        <v>-0.87763806946801814</v>
      </c>
      <c r="CF374">
        <f t="shared" ca="1" si="263"/>
        <v>5.7369243616203169</v>
      </c>
      <c r="CG374" s="6">
        <f t="shared" ca="1" si="264"/>
        <v>-0.98822919371217099</v>
      </c>
      <c r="CH374" s="6">
        <f t="shared" ca="1" si="265"/>
        <v>-0.15298058927521593</v>
      </c>
      <c r="CI374" s="6">
        <f t="shared" ca="1" si="266"/>
        <v>-2.9880089889224628</v>
      </c>
      <c r="CJ374" s="1">
        <f t="shared" ca="1" si="267"/>
        <v>-2.5097781548596751</v>
      </c>
      <c r="CK374" s="38"/>
    </row>
    <row r="375" spans="75:89" x14ac:dyDescent="0.25">
      <c r="BW375" s="6">
        <f t="shared" si="254"/>
        <v>6.28318530717954</v>
      </c>
      <c r="BX375" s="9">
        <f t="shared" ca="1" si="255"/>
        <v>-68.484896653102112</v>
      </c>
      <c r="BY375" s="9">
        <f t="shared" ca="1" si="256"/>
        <v>11.573522547705775</v>
      </c>
      <c r="BZ375">
        <f t="shared" ca="1" si="257"/>
        <v>69.455939225874204</v>
      </c>
      <c r="CA375" s="6">
        <f t="shared" ca="1" si="258"/>
        <v>-0.98601930110520553</v>
      </c>
      <c r="CB375" s="6">
        <f t="shared" ca="1" si="259"/>
        <v>0.16663114309156626</v>
      </c>
      <c r="CC375" s="6">
        <f t="shared" ca="1" si="260"/>
        <v>2.97418060174118</v>
      </c>
      <c r="CD375" s="6">
        <f t="shared" ca="1" si="261"/>
        <v>-5.6089085313507354</v>
      </c>
      <c r="CE375" s="9">
        <f t="shared" ca="1" si="262"/>
        <v>-0.20892081955483022</v>
      </c>
      <c r="CF375">
        <f t="shared" ca="1" si="263"/>
        <v>5.6127981276634671</v>
      </c>
      <c r="CG375" s="6">
        <f t="shared" ca="1" si="264"/>
        <v>-0.99930701296852964</v>
      </c>
      <c r="CH375" s="6">
        <f t="shared" ca="1" si="265"/>
        <v>-3.7222222286088374E-2</v>
      </c>
      <c r="CI375" s="6">
        <f t="shared" ca="1" si="266"/>
        <v>-3.1043618307471856</v>
      </c>
      <c r="CJ375" s="1">
        <f t="shared" ca="1" si="267"/>
        <v>-2.3934253130349523</v>
      </c>
      <c r="CK375" s="38"/>
    </row>
    <row r="376" spans="75:89" x14ac:dyDescent="0.25">
      <c r="BW376" s="6"/>
    </row>
    <row r="377" spans="75:89" x14ac:dyDescent="0.25">
      <c r="BW377" s="6"/>
    </row>
    <row r="378" spans="75:89" x14ac:dyDescent="0.25">
      <c r="BW378" s="6"/>
    </row>
  </sheetData>
  <phoneticPr fontId="3" type="noConversion"/>
  <dataValidations disablePrompts="1"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2020-11-13T06:17:54Z</dcterms:modified>
</cp:coreProperties>
</file>