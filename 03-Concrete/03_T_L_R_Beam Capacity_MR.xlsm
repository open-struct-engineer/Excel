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312604" documentId="114_{9CBA3129-6F5E-4258-9A98-374E0C3800ED}" xr6:coauthVersionLast="47" xr6:coauthVersionMax="47" xr10:uidLastSave="{DE831200-41FB-4E2C-97D4-C02F2EA68E32}"/>
  <bookViews>
    <workbookView xWindow="28680" yWindow="-120" windowWidth="29040" windowHeight="17640" xr2:uid="{2AFCDE7C-57C4-4CF6-8D68-85BA7869C158}"/>
  </bookViews>
  <sheets>
    <sheet name="TLR_Section_Capacit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40" i="1" l="1"/>
  <c r="Z40" i="1" s="1"/>
  <c r="Y39" i="1"/>
  <c r="Z39" i="1" s="1"/>
  <c r="BT77" i="1"/>
  <c r="BT75" i="1"/>
  <c r="BT76" i="1"/>
  <c r="BT61" i="1"/>
  <c r="BT62" i="1"/>
  <c r="BT63" i="1"/>
  <c r="BT64" i="1"/>
  <c r="BT65" i="1"/>
  <c r="BT66" i="1"/>
  <c r="BT67" i="1"/>
  <c r="BT68" i="1"/>
  <c r="BT69" i="1"/>
  <c r="BT70" i="1"/>
  <c r="BT71" i="1"/>
  <c r="BT72" i="1"/>
  <c r="BT73" i="1"/>
  <c r="BT74" i="1"/>
  <c r="BT41" i="1"/>
  <c r="BT42" i="1"/>
  <c r="BT43" i="1"/>
  <c r="BT44" i="1"/>
  <c r="BT45" i="1"/>
  <c r="BT46" i="1"/>
  <c r="BT47" i="1"/>
  <c r="BT48" i="1"/>
  <c r="BT49" i="1"/>
  <c r="BT50" i="1"/>
  <c r="BT51" i="1"/>
  <c r="BT52" i="1"/>
  <c r="BT53" i="1"/>
  <c r="BT54" i="1"/>
  <c r="BT55" i="1"/>
  <c r="BT56" i="1"/>
  <c r="BT57" i="1"/>
  <c r="BT58" i="1"/>
  <c r="BT59" i="1"/>
  <c r="BT60" i="1"/>
  <c r="BT40" i="1"/>
  <c r="AY73" i="1"/>
  <c r="AY45" i="1"/>
  <c r="BL28" i="1"/>
  <c r="BM28" i="1" s="1"/>
  <c r="BL29" i="1"/>
  <c r="BM29" i="1" s="1"/>
  <c r="BL30" i="1"/>
  <c r="BM30" i="1" s="1"/>
  <c r="BL31" i="1"/>
  <c r="BM31" i="1" s="1"/>
  <c r="BL32" i="1"/>
  <c r="BM32" i="1" s="1"/>
  <c r="BL33" i="1"/>
  <c r="BN33" i="1" s="1"/>
  <c r="BL34" i="1"/>
  <c r="BM34" i="1" s="1"/>
  <c r="BL35" i="1"/>
  <c r="BM35" i="1" s="1"/>
  <c r="BL36" i="1"/>
  <c r="BN36" i="1" s="1"/>
  <c r="BL37" i="1"/>
  <c r="BN37" i="1" s="1"/>
  <c r="BL38" i="1"/>
  <c r="BM38" i="1" s="1"/>
  <c r="BL39" i="1"/>
  <c r="BM39" i="1" s="1"/>
  <c r="BL15" i="1"/>
  <c r="BN15" i="1" s="1"/>
  <c r="BL16" i="1"/>
  <c r="BM16" i="1" s="1"/>
  <c r="BL17" i="1"/>
  <c r="BN17" i="1" s="1"/>
  <c r="BL18" i="1"/>
  <c r="BM18" i="1" s="1"/>
  <c r="BL19" i="1"/>
  <c r="BN19" i="1" s="1"/>
  <c r="BL20" i="1"/>
  <c r="BM20" i="1" s="1"/>
  <c r="BL21" i="1"/>
  <c r="BM21" i="1" s="1"/>
  <c r="BL22" i="1"/>
  <c r="BM22" i="1" s="1"/>
  <c r="BL23" i="1"/>
  <c r="BM23" i="1" s="1"/>
  <c r="BL24" i="1"/>
  <c r="BM24" i="1" s="1"/>
  <c r="BL25" i="1"/>
  <c r="BN25" i="1" s="1"/>
  <c r="BL26" i="1"/>
  <c r="BM26" i="1" s="1"/>
  <c r="BL27" i="1"/>
  <c r="BM27" i="1" s="1"/>
  <c r="BL3" i="1"/>
  <c r="BM3" i="1" s="1"/>
  <c r="BL4" i="1"/>
  <c r="BM4" i="1" s="1"/>
  <c r="BL5" i="1"/>
  <c r="BM5" i="1" s="1"/>
  <c r="BL6" i="1"/>
  <c r="BM6" i="1" s="1"/>
  <c r="BL7" i="1"/>
  <c r="BM7" i="1" s="1"/>
  <c r="BL8" i="1"/>
  <c r="BN8" i="1" s="1"/>
  <c r="BL9" i="1"/>
  <c r="BM9" i="1" s="1"/>
  <c r="BL10" i="1"/>
  <c r="BM10" i="1" s="1"/>
  <c r="BL11" i="1"/>
  <c r="BM11" i="1" s="1"/>
  <c r="BL12" i="1"/>
  <c r="BM12" i="1" s="1"/>
  <c r="BL13" i="1"/>
  <c r="BM13" i="1" s="1"/>
  <c r="BL14" i="1"/>
  <c r="BN14" i="1" s="1"/>
  <c r="BL2" i="1"/>
  <c r="BN2" i="1" s="1"/>
  <c r="AB21" i="1"/>
  <c r="AD21" i="1" s="1"/>
  <c r="F13" i="1"/>
  <c r="AA41" i="1" l="1"/>
  <c r="BP33" i="1"/>
  <c r="BP37" i="1"/>
  <c r="BP36" i="1"/>
  <c r="BN38" i="1"/>
  <c r="BP38" i="1" s="1"/>
  <c r="BM36" i="1"/>
  <c r="BN34" i="1"/>
  <c r="BP34" i="1" s="1"/>
  <c r="BN30" i="1"/>
  <c r="BP30" i="1" s="1"/>
  <c r="BN28" i="1"/>
  <c r="BP28" i="1" s="1"/>
  <c r="BN32" i="1"/>
  <c r="BP32" i="1" s="1"/>
  <c r="BN29" i="1"/>
  <c r="BP29" i="1" s="1"/>
  <c r="BM37" i="1"/>
  <c r="BM33" i="1"/>
  <c r="BN39" i="1"/>
  <c r="BP39" i="1" s="1"/>
  <c r="BN35" i="1"/>
  <c r="BP35" i="1" s="1"/>
  <c r="BN31" i="1"/>
  <c r="BP31" i="1" s="1"/>
  <c r="BN24" i="1"/>
  <c r="BP24" i="1" s="1"/>
  <c r="BN20" i="1"/>
  <c r="BP20" i="1" s="1"/>
  <c r="BM19" i="1"/>
  <c r="BM17" i="1"/>
  <c r="BM15" i="1"/>
  <c r="BN21" i="1"/>
  <c r="BP21" i="1" s="1"/>
  <c r="BM25" i="1"/>
  <c r="BN16" i="1"/>
  <c r="BP16" i="1" s="1"/>
  <c r="BP25" i="1"/>
  <c r="BP19" i="1"/>
  <c r="BP17" i="1"/>
  <c r="BP15" i="1"/>
  <c r="BN22" i="1"/>
  <c r="BP22" i="1" s="1"/>
  <c r="BN26" i="1"/>
  <c r="BP26" i="1" s="1"/>
  <c r="BN18" i="1"/>
  <c r="BP18" i="1" s="1"/>
  <c r="BN27" i="1"/>
  <c r="BP27" i="1" s="1"/>
  <c r="BN23" i="1"/>
  <c r="BP23" i="1" s="1"/>
  <c r="BN10" i="1"/>
  <c r="BP10" i="1" s="1"/>
  <c r="BM8" i="1"/>
  <c r="BM2" i="1"/>
  <c r="BN6" i="1"/>
  <c r="BP6" i="1" s="1"/>
  <c r="BP2" i="1"/>
  <c r="BN4" i="1"/>
  <c r="BP4" i="1" s="1"/>
  <c r="BN12" i="1"/>
  <c r="BP12" i="1" s="1"/>
  <c r="AC21" i="1"/>
  <c r="BO22" i="1" s="1"/>
  <c r="BP14" i="1"/>
  <c r="BP8" i="1"/>
  <c r="BN9" i="1"/>
  <c r="BP9" i="1" s="1"/>
  <c r="BN13" i="1"/>
  <c r="BP13" i="1" s="1"/>
  <c r="BN5" i="1"/>
  <c r="BP5" i="1" s="1"/>
  <c r="BM14" i="1"/>
  <c r="BN11" i="1"/>
  <c r="BP11" i="1" s="1"/>
  <c r="BN3" i="1"/>
  <c r="BP3" i="1" s="1"/>
  <c r="BN7" i="1"/>
  <c r="BP7" i="1" s="1"/>
  <c r="U86" i="1"/>
  <c r="R85" i="1"/>
  <c r="Q86" i="1"/>
  <c r="I67" i="1"/>
  <c r="I68" i="1"/>
  <c r="I69" i="1"/>
  <c r="I70" i="1"/>
  <c r="I71" i="1"/>
  <c r="H67" i="1"/>
  <c r="H68" i="1"/>
  <c r="H69" i="1"/>
  <c r="H70" i="1"/>
  <c r="H71" i="1"/>
  <c r="R86" i="1"/>
  <c r="Q85" i="1"/>
  <c r="B3" i="1"/>
  <c r="BO30" i="1" l="1"/>
  <c r="BQ30" i="1" s="1"/>
  <c r="BO38" i="1"/>
  <c r="BQ38" i="1" s="1"/>
  <c r="BO33" i="1"/>
  <c r="BQ33" i="1" s="1"/>
  <c r="BO36" i="1"/>
  <c r="BQ36" i="1" s="1"/>
  <c r="BO31" i="1"/>
  <c r="BQ31" i="1" s="1"/>
  <c r="BO37" i="1"/>
  <c r="BQ37" i="1" s="1"/>
  <c r="BO39" i="1"/>
  <c r="BQ39" i="1" s="1"/>
  <c r="BO35" i="1"/>
  <c r="BQ35" i="1" s="1"/>
  <c r="BO28" i="1"/>
  <c r="BQ28" i="1" s="1"/>
  <c r="BO32" i="1"/>
  <c r="BQ32" i="1" s="1"/>
  <c r="BO29" i="1"/>
  <c r="BQ29" i="1" s="1"/>
  <c r="BO34" i="1"/>
  <c r="BQ34" i="1" s="1"/>
  <c r="BO18" i="1"/>
  <c r="BQ18" i="1" s="1"/>
  <c r="BO3" i="1"/>
  <c r="BQ3" i="1" s="1"/>
  <c r="BO17" i="1"/>
  <c r="BQ17" i="1" s="1"/>
  <c r="BO25" i="1"/>
  <c r="BQ25" i="1" s="1"/>
  <c r="BO21" i="1"/>
  <c r="BQ21" i="1" s="1"/>
  <c r="BO26" i="1"/>
  <c r="BQ26" i="1" s="1"/>
  <c r="BO23" i="1"/>
  <c r="BQ23" i="1" s="1"/>
  <c r="BO24" i="1"/>
  <c r="BQ24" i="1" s="1"/>
  <c r="BQ22" i="1"/>
  <c r="BO27" i="1"/>
  <c r="BQ27" i="1" s="1"/>
  <c r="BO16" i="1"/>
  <c r="BQ16" i="1" s="1"/>
  <c r="BO15" i="1"/>
  <c r="BQ15" i="1" s="1"/>
  <c r="BO19" i="1"/>
  <c r="BQ19" i="1" s="1"/>
  <c r="BO20" i="1"/>
  <c r="BQ20" i="1" s="1"/>
  <c r="BO7" i="1"/>
  <c r="BQ7" i="1" s="1"/>
  <c r="BO11" i="1"/>
  <c r="BQ11" i="1" s="1"/>
  <c r="BO8" i="1"/>
  <c r="BQ8" i="1" s="1"/>
  <c r="BO2" i="1"/>
  <c r="BQ2" i="1" s="1"/>
  <c r="BO9" i="1"/>
  <c r="BQ9" i="1" s="1"/>
  <c r="BO14" i="1"/>
  <c r="BQ14" i="1" s="1"/>
  <c r="BO13" i="1"/>
  <c r="BQ13" i="1" s="1"/>
  <c r="BO12" i="1"/>
  <c r="BQ12" i="1" s="1"/>
  <c r="BO4" i="1"/>
  <c r="BQ4" i="1" s="1"/>
  <c r="BO5" i="1"/>
  <c r="BQ5" i="1" s="1"/>
  <c r="BO6" i="1"/>
  <c r="BQ6" i="1" s="1"/>
  <c r="BO10" i="1"/>
  <c r="BQ10" i="1" s="1"/>
  <c r="U88" i="1" a="1"/>
  <c r="U88" i="1" s="1"/>
  <c r="AF10" i="1"/>
  <c r="AE10" i="1"/>
  <c r="BD364" i="1"/>
  <c r="BW376" i="1"/>
  <c r="BF363" i="1"/>
  <c r="BG363" i="1" s="1"/>
  <c r="BE364" i="1"/>
  <c r="BC364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32" i="1"/>
  <c r="BW33" i="1"/>
  <c r="BW34" i="1"/>
  <c r="BW35" i="1"/>
  <c r="BW36" i="1"/>
  <c r="BW37" i="1"/>
  <c r="BW38" i="1"/>
  <c r="BW39" i="1"/>
  <c r="BW40" i="1"/>
  <c r="BW41" i="1"/>
  <c r="BW42" i="1"/>
  <c r="BW43" i="1"/>
  <c r="BW44" i="1"/>
  <c r="BW45" i="1"/>
  <c r="BW46" i="1"/>
  <c r="BW47" i="1"/>
  <c r="BW48" i="1"/>
  <c r="BW49" i="1"/>
  <c r="BW50" i="1"/>
  <c r="BW51" i="1"/>
  <c r="BW52" i="1"/>
  <c r="BW53" i="1"/>
  <c r="BW54" i="1"/>
  <c r="BW55" i="1"/>
  <c r="BW56" i="1"/>
  <c r="BW57" i="1"/>
  <c r="BW58" i="1"/>
  <c r="BW59" i="1"/>
  <c r="BW60" i="1"/>
  <c r="BW61" i="1"/>
  <c r="BW62" i="1"/>
  <c r="BW63" i="1"/>
  <c r="BW64" i="1"/>
  <c r="BW65" i="1"/>
  <c r="BW66" i="1"/>
  <c r="BW67" i="1"/>
  <c r="BW68" i="1"/>
  <c r="BW69" i="1"/>
  <c r="BW70" i="1"/>
  <c r="BW71" i="1"/>
  <c r="BW72" i="1"/>
  <c r="BW73" i="1"/>
  <c r="BW74" i="1"/>
  <c r="BW75" i="1"/>
  <c r="BW76" i="1"/>
  <c r="BW77" i="1"/>
  <c r="BW78" i="1"/>
  <c r="BW79" i="1"/>
  <c r="BW80" i="1"/>
  <c r="BW81" i="1"/>
  <c r="BW82" i="1"/>
  <c r="BW83" i="1"/>
  <c r="BW84" i="1"/>
  <c r="BW85" i="1"/>
  <c r="BW86" i="1"/>
  <c r="BW87" i="1"/>
  <c r="BW88" i="1"/>
  <c r="BW89" i="1"/>
  <c r="BW90" i="1"/>
  <c r="BW91" i="1"/>
  <c r="BW92" i="1"/>
  <c r="BW93" i="1"/>
  <c r="BW94" i="1"/>
  <c r="BW95" i="1"/>
  <c r="BW96" i="1"/>
  <c r="BW97" i="1"/>
  <c r="BW98" i="1"/>
  <c r="BW99" i="1"/>
  <c r="BW100" i="1"/>
  <c r="BW101" i="1"/>
  <c r="BW102" i="1"/>
  <c r="BW103" i="1"/>
  <c r="BW104" i="1"/>
  <c r="BW105" i="1"/>
  <c r="BW106" i="1"/>
  <c r="BW107" i="1"/>
  <c r="BW108" i="1"/>
  <c r="BW109" i="1"/>
  <c r="BW110" i="1"/>
  <c r="BW111" i="1"/>
  <c r="BW112" i="1"/>
  <c r="BW113" i="1"/>
  <c r="BW114" i="1"/>
  <c r="BW115" i="1"/>
  <c r="BW116" i="1"/>
  <c r="BW117" i="1"/>
  <c r="BW118" i="1"/>
  <c r="BW119" i="1"/>
  <c r="BW120" i="1"/>
  <c r="BW121" i="1"/>
  <c r="BW122" i="1"/>
  <c r="BW123" i="1"/>
  <c r="BW124" i="1"/>
  <c r="BW125" i="1"/>
  <c r="BW126" i="1"/>
  <c r="BW127" i="1"/>
  <c r="BW128" i="1"/>
  <c r="BW129" i="1"/>
  <c r="BW130" i="1"/>
  <c r="BW131" i="1"/>
  <c r="BW132" i="1"/>
  <c r="BW133" i="1"/>
  <c r="BW134" i="1"/>
  <c r="BW135" i="1"/>
  <c r="BW136" i="1"/>
  <c r="BW137" i="1"/>
  <c r="BW138" i="1"/>
  <c r="BW139" i="1"/>
  <c r="BW140" i="1"/>
  <c r="BW141" i="1"/>
  <c r="BW142" i="1"/>
  <c r="BW143" i="1"/>
  <c r="BW144" i="1"/>
  <c r="BW145" i="1"/>
  <c r="BW146" i="1"/>
  <c r="BW147" i="1"/>
  <c r="BW148" i="1"/>
  <c r="BW149" i="1"/>
  <c r="BW150" i="1"/>
  <c r="BW151" i="1"/>
  <c r="BW152" i="1"/>
  <c r="BW153" i="1"/>
  <c r="BW154" i="1"/>
  <c r="BW155" i="1"/>
  <c r="BW156" i="1"/>
  <c r="BW157" i="1"/>
  <c r="BW158" i="1"/>
  <c r="BW159" i="1"/>
  <c r="BW160" i="1"/>
  <c r="BW161" i="1"/>
  <c r="BW162" i="1"/>
  <c r="BW163" i="1"/>
  <c r="BW164" i="1"/>
  <c r="BW165" i="1"/>
  <c r="BW166" i="1"/>
  <c r="BW167" i="1"/>
  <c r="BW168" i="1"/>
  <c r="BW169" i="1"/>
  <c r="BW170" i="1"/>
  <c r="BW171" i="1"/>
  <c r="BW172" i="1"/>
  <c r="BW173" i="1"/>
  <c r="BW174" i="1"/>
  <c r="BW175" i="1"/>
  <c r="BW176" i="1"/>
  <c r="BW177" i="1"/>
  <c r="BW178" i="1"/>
  <c r="BW179" i="1"/>
  <c r="BW180" i="1"/>
  <c r="BW181" i="1"/>
  <c r="BW182" i="1"/>
  <c r="BW183" i="1"/>
  <c r="BW184" i="1"/>
  <c r="BW185" i="1"/>
  <c r="BW186" i="1"/>
  <c r="BW187" i="1"/>
  <c r="BW188" i="1"/>
  <c r="BW189" i="1"/>
  <c r="BW190" i="1"/>
  <c r="BW191" i="1"/>
  <c r="BW192" i="1"/>
  <c r="BW193" i="1"/>
  <c r="BW194" i="1"/>
  <c r="BW195" i="1"/>
  <c r="BW196" i="1"/>
  <c r="BW197" i="1"/>
  <c r="BW198" i="1"/>
  <c r="BW199" i="1"/>
  <c r="BW200" i="1"/>
  <c r="BW201" i="1"/>
  <c r="BW202" i="1"/>
  <c r="BW203" i="1"/>
  <c r="BW204" i="1"/>
  <c r="BW205" i="1"/>
  <c r="BW206" i="1"/>
  <c r="BW207" i="1"/>
  <c r="BW208" i="1"/>
  <c r="BW209" i="1"/>
  <c r="BW210" i="1"/>
  <c r="BW211" i="1"/>
  <c r="BW212" i="1"/>
  <c r="BW213" i="1"/>
  <c r="BW214" i="1"/>
  <c r="BW215" i="1"/>
  <c r="BW216" i="1"/>
  <c r="BW217" i="1"/>
  <c r="BW218" i="1"/>
  <c r="BW219" i="1"/>
  <c r="BW220" i="1"/>
  <c r="BW221" i="1"/>
  <c r="BW222" i="1"/>
  <c r="BW223" i="1"/>
  <c r="BW224" i="1"/>
  <c r="BW225" i="1"/>
  <c r="BW226" i="1"/>
  <c r="BW227" i="1"/>
  <c r="BW228" i="1"/>
  <c r="BW229" i="1"/>
  <c r="BW230" i="1"/>
  <c r="BW231" i="1"/>
  <c r="BW232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75" i="1"/>
  <c r="BW276" i="1"/>
  <c r="BW277" i="1"/>
  <c r="BW278" i="1"/>
  <c r="BW279" i="1"/>
  <c r="BW280" i="1"/>
  <c r="BW281" i="1"/>
  <c r="BW282" i="1"/>
  <c r="BW283" i="1"/>
  <c r="BW284" i="1"/>
  <c r="BW285" i="1"/>
  <c r="BW286" i="1"/>
  <c r="BW287" i="1"/>
  <c r="BW288" i="1"/>
  <c r="BW289" i="1"/>
  <c r="BW290" i="1"/>
  <c r="BW291" i="1"/>
  <c r="BW292" i="1"/>
  <c r="BW293" i="1"/>
  <c r="BW294" i="1"/>
  <c r="BW295" i="1"/>
  <c r="BW296" i="1"/>
  <c r="BW297" i="1"/>
  <c r="BW298" i="1"/>
  <c r="BW299" i="1"/>
  <c r="BW300" i="1"/>
  <c r="BW301" i="1"/>
  <c r="BW302" i="1"/>
  <c r="BW303" i="1"/>
  <c r="BW304" i="1"/>
  <c r="BW305" i="1"/>
  <c r="BW306" i="1"/>
  <c r="BW307" i="1"/>
  <c r="BW308" i="1"/>
  <c r="BW309" i="1"/>
  <c r="BW310" i="1"/>
  <c r="BW311" i="1"/>
  <c r="BW312" i="1"/>
  <c r="BW313" i="1"/>
  <c r="BW314" i="1"/>
  <c r="BW315" i="1"/>
  <c r="BW316" i="1"/>
  <c r="BW317" i="1"/>
  <c r="BW318" i="1"/>
  <c r="BW319" i="1"/>
  <c r="BW320" i="1"/>
  <c r="BW321" i="1"/>
  <c r="BW322" i="1"/>
  <c r="BW323" i="1"/>
  <c r="BW324" i="1"/>
  <c r="BW325" i="1"/>
  <c r="BW326" i="1"/>
  <c r="BW327" i="1"/>
  <c r="BW328" i="1"/>
  <c r="BW329" i="1"/>
  <c r="BW330" i="1"/>
  <c r="BW331" i="1"/>
  <c r="BW332" i="1"/>
  <c r="BW333" i="1"/>
  <c r="BW334" i="1"/>
  <c r="BW335" i="1"/>
  <c r="BW336" i="1"/>
  <c r="BW337" i="1"/>
  <c r="BW338" i="1"/>
  <c r="BW339" i="1"/>
  <c r="BW340" i="1"/>
  <c r="BW341" i="1"/>
  <c r="BW342" i="1"/>
  <c r="BW343" i="1"/>
  <c r="BW344" i="1"/>
  <c r="BW345" i="1"/>
  <c r="BW346" i="1"/>
  <c r="BW347" i="1"/>
  <c r="BW348" i="1"/>
  <c r="BW349" i="1"/>
  <c r="BW350" i="1"/>
  <c r="BW351" i="1"/>
  <c r="BW352" i="1"/>
  <c r="BW353" i="1"/>
  <c r="BW354" i="1"/>
  <c r="BW355" i="1"/>
  <c r="BW356" i="1"/>
  <c r="BW357" i="1"/>
  <c r="BW358" i="1"/>
  <c r="BW359" i="1"/>
  <c r="BW360" i="1"/>
  <c r="BW361" i="1"/>
  <c r="BW362" i="1"/>
  <c r="BW363" i="1"/>
  <c r="BW364" i="1"/>
  <c r="BW365" i="1"/>
  <c r="BW366" i="1"/>
  <c r="BW367" i="1"/>
  <c r="BW368" i="1"/>
  <c r="BW369" i="1"/>
  <c r="BW370" i="1"/>
  <c r="BW371" i="1"/>
  <c r="BW372" i="1"/>
  <c r="BW373" i="1"/>
  <c r="BW374" i="1"/>
  <c r="BW375" i="1"/>
  <c r="BW15" i="1"/>
  <c r="BB2" i="1" l="1"/>
  <c r="BA2" i="1" s="1"/>
  <c r="U89" i="1"/>
  <c r="BE365" i="1"/>
  <c r="BD365" i="1"/>
  <c r="CD8" i="1" l="1"/>
  <c r="BX6" i="1"/>
  <c r="CE376" i="1" s="1"/>
  <c r="BW6" i="1"/>
  <c r="CD376" i="1" s="1"/>
  <c r="CF376" i="1" l="1"/>
  <c r="CE15" i="1"/>
  <c r="CE17" i="1"/>
  <c r="CE19" i="1"/>
  <c r="CE21" i="1"/>
  <c r="CE23" i="1"/>
  <c r="CE25" i="1"/>
  <c r="CE27" i="1"/>
  <c r="CE29" i="1"/>
  <c r="CE31" i="1"/>
  <c r="CE33" i="1"/>
  <c r="CE35" i="1"/>
  <c r="CE37" i="1"/>
  <c r="CE39" i="1"/>
  <c r="CE41" i="1"/>
  <c r="CE43" i="1"/>
  <c r="CE45" i="1"/>
  <c r="CE47" i="1"/>
  <c r="CE49" i="1"/>
  <c r="CE51" i="1"/>
  <c r="CE53" i="1"/>
  <c r="CE55" i="1"/>
  <c r="CE57" i="1"/>
  <c r="CE59" i="1"/>
  <c r="CE61" i="1"/>
  <c r="CE63" i="1"/>
  <c r="CE65" i="1"/>
  <c r="CE67" i="1"/>
  <c r="CE69" i="1"/>
  <c r="CE71" i="1"/>
  <c r="CE73" i="1"/>
  <c r="CE75" i="1"/>
  <c r="CE77" i="1"/>
  <c r="CE79" i="1"/>
  <c r="CE81" i="1"/>
  <c r="CE83" i="1"/>
  <c r="CE85" i="1"/>
  <c r="CE87" i="1"/>
  <c r="CE89" i="1"/>
  <c r="CE91" i="1"/>
  <c r="CE93" i="1"/>
  <c r="CE95" i="1"/>
  <c r="CE97" i="1"/>
  <c r="CE99" i="1"/>
  <c r="CE101" i="1"/>
  <c r="CE103" i="1"/>
  <c r="CE105" i="1"/>
  <c r="CE107" i="1"/>
  <c r="CE109" i="1"/>
  <c r="CE111" i="1"/>
  <c r="CE113" i="1"/>
  <c r="CE115" i="1"/>
  <c r="CE117" i="1"/>
  <c r="CE119" i="1"/>
  <c r="CE121" i="1"/>
  <c r="CE123" i="1"/>
  <c r="CE125" i="1"/>
  <c r="CE127" i="1"/>
  <c r="CE129" i="1"/>
  <c r="CE131" i="1"/>
  <c r="CE133" i="1"/>
  <c r="CE135" i="1"/>
  <c r="CE137" i="1"/>
  <c r="CE139" i="1"/>
  <c r="CE141" i="1"/>
  <c r="CE143" i="1"/>
  <c r="CE145" i="1"/>
  <c r="CE147" i="1"/>
  <c r="CE149" i="1"/>
  <c r="CE151" i="1"/>
  <c r="CE153" i="1"/>
  <c r="CE155" i="1"/>
  <c r="CE157" i="1"/>
  <c r="CE159" i="1"/>
  <c r="CE161" i="1"/>
  <c r="CE163" i="1"/>
  <c r="CE165" i="1"/>
  <c r="CE167" i="1"/>
  <c r="CE169" i="1"/>
  <c r="CE171" i="1"/>
  <c r="CE173" i="1"/>
  <c r="CE175" i="1"/>
  <c r="CE177" i="1"/>
  <c r="CE179" i="1"/>
  <c r="CE181" i="1"/>
  <c r="CE183" i="1"/>
  <c r="CE16" i="1"/>
  <c r="CE18" i="1"/>
  <c r="CE20" i="1"/>
  <c r="CE22" i="1"/>
  <c r="CE24" i="1"/>
  <c r="CE26" i="1"/>
  <c r="CE28" i="1"/>
  <c r="CE30" i="1"/>
  <c r="CE32" i="1"/>
  <c r="CE34" i="1"/>
  <c r="CE36" i="1"/>
  <c r="CE38" i="1"/>
  <c r="CE40" i="1"/>
  <c r="CE42" i="1"/>
  <c r="CE44" i="1"/>
  <c r="CE46" i="1"/>
  <c r="CE48" i="1"/>
  <c r="CE50" i="1"/>
  <c r="CE52" i="1"/>
  <c r="CE54" i="1"/>
  <c r="CE56" i="1"/>
  <c r="CE58" i="1"/>
  <c r="CE60" i="1"/>
  <c r="CE62" i="1"/>
  <c r="CE64" i="1"/>
  <c r="CE66" i="1"/>
  <c r="CE68" i="1"/>
  <c r="CE70" i="1"/>
  <c r="CE72" i="1"/>
  <c r="CE74" i="1"/>
  <c r="CE76" i="1"/>
  <c r="CE78" i="1"/>
  <c r="CE80" i="1"/>
  <c r="CE82" i="1"/>
  <c r="CE84" i="1"/>
  <c r="CE86" i="1"/>
  <c r="CE88" i="1"/>
  <c r="CE90" i="1"/>
  <c r="CE92" i="1"/>
  <c r="CE94" i="1"/>
  <c r="CE96" i="1"/>
  <c r="CE98" i="1"/>
  <c r="CE100" i="1"/>
  <c r="CE102" i="1"/>
  <c r="CE104" i="1"/>
  <c r="CE106" i="1"/>
  <c r="CE108" i="1"/>
  <c r="CE110" i="1"/>
  <c r="CE112" i="1"/>
  <c r="CE114" i="1"/>
  <c r="CE116" i="1"/>
  <c r="CE118" i="1"/>
  <c r="CE120" i="1"/>
  <c r="CE122" i="1"/>
  <c r="CE124" i="1"/>
  <c r="CE126" i="1"/>
  <c r="CE128" i="1"/>
  <c r="CE130" i="1"/>
  <c r="CE132" i="1"/>
  <c r="CE134" i="1"/>
  <c r="CE136" i="1"/>
  <c r="CE138" i="1"/>
  <c r="CE140" i="1"/>
  <c r="CE142" i="1"/>
  <c r="CE144" i="1"/>
  <c r="CE146" i="1"/>
  <c r="CE148" i="1"/>
  <c r="CE150" i="1"/>
  <c r="CE152" i="1"/>
  <c r="CE154" i="1"/>
  <c r="CE156" i="1"/>
  <c r="CE158" i="1"/>
  <c r="CE160" i="1"/>
  <c r="CE162" i="1"/>
  <c r="CE164" i="1"/>
  <c r="CE166" i="1"/>
  <c r="CE168" i="1"/>
  <c r="CE170" i="1"/>
  <c r="CE172" i="1"/>
  <c r="CE174" i="1"/>
  <c r="CE176" i="1"/>
  <c r="CE178" i="1"/>
  <c r="CE180" i="1"/>
  <c r="CE182" i="1"/>
  <c r="CE184" i="1"/>
  <c r="CE185" i="1"/>
  <c r="CE187" i="1"/>
  <c r="CE189" i="1"/>
  <c r="CE191" i="1"/>
  <c r="CE193" i="1"/>
  <c r="CE195" i="1"/>
  <c r="CE197" i="1"/>
  <c r="CE199" i="1"/>
  <c r="CE201" i="1"/>
  <c r="CE203" i="1"/>
  <c r="CE205" i="1"/>
  <c r="CE207" i="1"/>
  <c r="CE209" i="1"/>
  <c r="CE211" i="1"/>
  <c r="CE213" i="1"/>
  <c r="CE215" i="1"/>
  <c r="CE217" i="1"/>
  <c r="CE219" i="1"/>
  <c r="CE221" i="1"/>
  <c r="CE223" i="1"/>
  <c r="CE225" i="1"/>
  <c r="CE227" i="1"/>
  <c r="CE229" i="1"/>
  <c r="CE231" i="1"/>
  <c r="CE233" i="1"/>
  <c r="CE235" i="1"/>
  <c r="CE237" i="1"/>
  <c r="CE239" i="1"/>
  <c r="CE241" i="1"/>
  <c r="CE243" i="1"/>
  <c r="CE245" i="1"/>
  <c r="CE247" i="1"/>
  <c r="CE249" i="1"/>
  <c r="CE251" i="1"/>
  <c r="CE253" i="1"/>
  <c r="CE255" i="1"/>
  <c r="CE257" i="1"/>
  <c r="CE259" i="1"/>
  <c r="CE261" i="1"/>
  <c r="CE263" i="1"/>
  <c r="CE265" i="1"/>
  <c r="CE267" i="1"/>
  <c r="CE269" i="1"/>
  <c r="CE271" i="1"/>
  <c r="CE273" i="1"/>
  <c r="CE275" i="1"/>
  <c r="CE277" i="1"/>
  <c r="CE279" i="1"/>
  <c r="CE281" i="1"/>
  <c r="CE283" i="1"/>
  <c r="CE285" i="1"/>
  <c r="CE287" i="1"/>
  <c r="CE289" i="1"/>
  <c r="CE291" i="1"/>
  <c r="CE293" i="1"/>
  <c r="CE295" i="1"/>
  <c r="CE297" i="1"/>
  <c r="CE299" i="1"/>
  <c r="CE301" i="1"/>
  <c r="CE303" i="1"/>
  <c r="CE305" i="1"/>
  <c r="CE307" i="1"/>
  <c r="CE309" i="1"/>
  <c r="CE311" i="1"/>
  <c r="CE313" i="1"/>
  <c r="CE315" i="1"/>
  <c r="CE317" i="1"/>
  <c r="CE319" i="1"/>
  <c r="CE321" i="1"/>
  <c r="CE323" i="1"/>
  <c r="CE325" i="1"/>
  <c r="CE327" i="1"/>
  <c r="CE329" i="1"/>
  <c r="CE331" i="1"/>
  <c r="CE333" i="1"/>
  <c r="CE335" i="1"/>
  <c r="CE337" i="1"/>
  <c r="CE339" i="1"/>
  <c r="CE341" i="1"/>
  <c r="CE343" i="1"/>
  <c r="CE345" i="1"/>
  <c r="CE347" i="1"/>
  <c r="CE349" i="1"/>
  <c r="CE351" i="1"/>
  <c r="CE353" i="1"/>
  <c r="CE355" i="1"/>
  <c r="CE186" i="1"/>
  <c r="CE188" i="1"/>
  <c r="CE190" i="1"/>
  <c r="CE192" i="1"/>
  <c r="CE194" i="1"/>
  <c r="CE196" i="1"/>
  <c r="CE198" i="1"/>
  <c r="CE200" i="1"/>
  <c r="CE202" i="1"/>
  <c r="CE204" i="1"/>
  <c r="CE206" i="1"/>
  <c r="CE208" i="1"/>
  <c r="CE210" i="1"/>
  <c r="CE212" i="1"/>
  <c r="CE214" i="1"/>
  <c r="CE216" i="1"/>
  <c r="CE218" i="1"/>
  <c r="CE220" i="1"/>
  <c r="CE222" i="1"/>
  <c r="CE224" i="1"/>
  <c r="CE226" i="1"/>
  <c r="CE228" i="1"/>
  <c r="CE230" i="1"/>
  <c r="CE232" i="1"/>
  <c r="CE234" i="1"/>
  <c r="CE236" i="1"/>
  <c r="CE238" i="1"/>
  <c r="CE240" i="1"/>
  <c r="CE242" i="1"/>
  <c r="CE244" i="1"/>
  <c r="CE246" i="1"/>
  <c r="CE248" i="1"/>
  <c r="CE250" i="1"/>
  <c r="CE252" i="1"/>
  <c r="CE254" i="1"/>
  <c r="CE256" i="1"/>
  <c r="CE258" i="1"/>
  <c r="CE260" i="1"/>
  <c r="CE262" i="1"/>
  <c r="CE264" i="1"/>
  <c r="CE266" i="1"/>
  <c r="CE268" i="1"/>
  <c r="CE270" i="1"/>
  <c r="CE272" i="1"/>
  <c r="CE274" i="1"/>
  <c r="CE276" i="1"/>
  <c r="CE278" i="1"/>
  <c r="CE280" i="1"/>
  <c r="CE282" i="1"/>
  <c r="CE284" i="1"/>
  <c r="CE286" i="1"/>
  <c r="CE288" i="1"/>
  <c r="CE290" i="1"/>
  <c r="CE292" i="1"/>
  <c r="CE294" i="1"/>
  <c r="CE296" i="1"/>
  <c r="CE298" i="1"/>
  <c r="CE300" i="1"/>
  <c r="CE302" i="1"/>
  <c r="CE304" i="1"/>
  <c r="CE306" i="1"/>
  <c r="CE308" i="1"/>
  <c r="CE310" i="1"/>
  <c r="CE312" i="1"/>
  <c r="CE314" i="1"/>
  <c r="CE316" i="1"/>
  <c r="CE318" i="1"/>
  <c r="CE320" i="1"/>
  <c r="CE322" i="1"/>
  <c r="CE324" i="1"/>
  <c r="CE326" i="1"/>
  <c r="CE328" i="1"/>
  <c r="CE330" i="1"/>
  <c r="CE332" i="1"/>
  <c r="CE334" i="1"/>
  <c r="CE336" i="1"/>
  <c r="CE338" i="1"/>
  <c r="CE340" i="1"/>
  <c r="CE342" i="1"/>
  <c r="CE344" i="1"/>
  <c r="CE346" i="1"/>
  <c r="CE348" i="1"/>
  <c r="CE350" i="1"/>
  <c r="CE352" i="1"/>
  <c r="CE354" i="1"/>
  <c r="CE356" i="1"/>
  <c r="CE358" i="1"/>
  <c r="CE360" i="1"/>
  <c r="CE362" i="1"/>
  <c r="CE364" i="1"/>
  <c r="CE366" i="1"/>
  <c r="CE368" i="1"/>
  <c r="CE370" i="1"/>
  <c r="CE372" i="1"/>
  <c r="CE374" i="1"/>
  <c r="CE371" i="1"/>
  <c r="CE375" i="1"/>
  <c r="CE357" i="1"/>
  <c r="CE359" i="1"/>
  <c r="CE361" i="1"/>
  <c r="CE363" i="1"/>
  <c r="CE365" i="1"/>
  <c r="CE367" i="1"/>
  <c r="CE369" i="1"/>
  <c r="CE373" i="1"/>
  <c r="CD16" i="1"/>
  <c r="CD18" i="1"/>
  <c r="CD20" i="1"/>
  <c r="CD22" i="1"/>
  <c r="CD24" i="1"/>
  <c r="CD26" i="1"/>
  <c r="CD28" i="1"/>
  <c r="CD30" i="1"/>
  <c r="CD32" i="1"/>
  <c r="CD34" i="1"/>
  <c r="CD36" i="1"/>
  <c r="CD38" i="1"/>
  <c r="CD40" i="1"/>
  <c r="CD42" i="1"/>
  <c r="CD44" i="1"/>
  <c r="CD46" i="1"/>
  <c r="CD48" i="1"/>
  <c r="CD50" i="1"/>
  <c r="CD52" i="1"/>
  <c r="CD54" i="1"/>
  <c r="CD56" i="1"/>
  <c r="CD58" i="1"/>
  <c r="CD60" i="1"/>
  <c r="CD62" i="1"/>
  <c r="CD64" i="1"/>
  <c r="CD66" i="1"/>
  <c r="CD68" i="1"/>
  <c r="CD70" i="1"/>
  <c r="CD72" i="1"/>
  <c r="CD74" i="1"/>
  <c r="CD76" i="1"/>
  <c r="CD78" i="1"/>
  <c r="CD80" i="1"/>
  <c r="CD82" i="1"/>
  <c r="CD84" i="1"/>
  <c r="CD86" i="1"/>
  <c r="CD88" i="1"/>
  <c r="CD90" i="1"/>
  <c r="CD92" i="1"/>
  <c r="CD94" i="1"/>
  <c r="CD96" i="1"/>
  <c r="CD98" i="1"/>
  <c r="CD100" i="1"/>
  <c r="CD102" i="1"/>
  <c r="CD104" i="1"/>
  <c r="CD106" i="1"/>
  <c r="CD108" i="1"/>
  <c r="CD110" i="1"/>
  <c r="CD112" i="1"/>
  <c r="CD114" i="1"/>
  <c r="CD116" i="1"/>
  <c r="CD118" i="1"/>
  <c r="CD120" i="1"/>
  <c r="CD122" i="1"/>
  <c r="CD124" i="1"/>
  <c r="CD126" i="1"/>
  <c r="CD128" i="1"/>
  <c r="CD130" i="1"/>
  <c r="CD132" i="1"/>
  <c r="CD134" i="1"/>
  <c r="CD136" i="1"/>
  <c r="CD138" i="1"/>
  <c r="CD140" i="1"/>
  <c r="CD142" i="1"/>
  <c r="CD144" i="1"/>
  <c r="CD146" i="1"/>
  <c r="CD148" i="1"/>
  <c r="CD150" i="1"/>
  <c r="CD152" i="1"/>
  <c r="CD154" i="1"/>
  <c r="CD156" i="1"/>
  <c r="CD158" i="1"/>
  <c r="CD160" i="1"/>
  <c r="CD162" i="1"/>
  <c r="CD164" i="1"/>
  <c r="CD166" i="1"/>
  <c r="CD168" i="1"/>
  <c r="CD170" i="1"/>
  <c r="CD172" i="1"/>
  <c r="CD174" i="1"/>
  <c r="CD176" i="1"/>
  <c r="CD178" i="1"/>
  <c r="CD180" i="1"/>
  <c r="CD182" i="1"/>
  <c r="CD184" i="1"/>
  <c r="CD17" i="1"/>
  <c r="CD21" i="1"/>
  <c r="CD25" i="1"/>
  <c r="CD29" i="1"/>
  <c r="CD33" i="1"/>
  <c r="CD37" i="1"/>
  <c r="CD41" i="1"/>
  <c r="CD45" i="1"/>
  <c r="CD49" i="1"/>
  <c r="CD53" i="1"/>
  <c r="CD57" i="1"/>
  <c r="CD61" i="1"/>
  <c r="CD65" i="1"/>
  <c r="CD69" i="1"/>
  <c r="CD73" i="1"/>
  <c r="CD77" i="1"/>
  <c r="CD81" i="1"/>
  <c r="CD85" i="1"/>
  <c r="CD89" i="1"/>
  <c r="CD93" i="1"/>
  <c r="CD97" i="1"/>
  <c r="CD101" i="1"/>
  <c r="CD105" i="1"/>
  <c r="CD109" i="1"/>
  <c r="CD113" i="1"/>
  <c r="CD117" i="1"/>
  <c r="CD121" i="1"/>
  <c r="CD125" i="1"/>
  <c r="CD129" i="1"/>
  <c r="CD133" i="1"/>
  <c r="CF133" i="1" s="1"/>
  <c r="CD137" i="1"/>
  <c r="CD141" i="1"/>
  <c r="CD145" i="1"/>
  <c r="CD149" i="1"/>
  <c r="CD153" i="1"/>
  <c r="CD157" i="1"/>
  <c r="CD161" i="1"/>
  <c r="CD165" i="1"/>
  <c r="CD169" i="1"/>
  <c r="CD173" i="1"/>
  <c r="CD177" i="1"/>
  <c r="CD181" i="1"/>
  <c r="CD185" i="1"/>
  <c r="CD187" i="1"/>
  <c r="CD189" i="1"/>
  <c r="CD191" i="1"/>
  <c r="CD193" i="1"/>
  <c r="CD195" i="1"/>
  <c r="CD197" i="1"/>
  <c r="CD199" i="1"/>
  <c r="CD201" i="1"/>
  <c r="CD203" i="1"/>
  <c r="CD205" i="1"/>
  <c r="CD207" i="1"/>
  <c r="CD209" i="1"/>
  <c r="CD211" i="1"/>
  <c r="CD213" i="1"/>
  <c r="CD215" i="1"/>
  <c r="CD217" i="1"/>
  <c r="CD219" i="1"/>
  <c r="CD221" i="1"/>
  <c r="CD223" i="1"/>
  <c r="CD225" i="1"/>
  <c r="CD227" i="1"/>
  <c r="CD229" i="1"/>
  <c r="CD231" i="1"/>
  <c r="CD233" i="1"/>
  <c r="CD235" i="1"/>
  <c r="CD237" i="1"/>
  <c r="CD239" i="1"/>
  <c r="CD241" i="1"/>
  <c r="CD243" i="1"/>
  <c r="CD245" i="1"/>
  <c r="CD247" i="1"/>
  <c r="CD249" i="1"/>
  <c r="CD251" i="1"/>
  <c r="CD253" i="1"/>
  <c r="CD255" i="1"/>
  <c r="CD257" i="1"/>
  <c r="CD259" i="1"/>
  <c r="CD261" i="1"/>
  <c r="CD263" i="1"/>
  <c r="CD265" i="1"/>
  <c r="CD267" i="1"/>
  <c r="CD269" i="1"/>
  <c r="CD271" i="1"/>
  <c r="CD273" i="1"/>
  <c r="CD275" i="1"/>
  <c r="CD277" i="1"/>
  <c r="CD279" i="1"/>
  <c r="CD281" i="1"/>
  <c r="CD283" i="1"/>
  <c r="CD285" i="1"/>
  <c r="CD287" i="1"/>
  <c r="CD289" i="1"/>
  <c r="CD291" i="1"/>
  <c r="CD293" i="1"/>
  <c r="CD295" i="1"/>
  <c r="CD297" i="1"/>
  <c r="CD299" i="1"/>
  <c r="CD301" i="1"/>
  <c r="CD303" i="1"/>
  <c r="CD305" i="1"/>
  <c r="CD307" i="1"/>
  <c r="CD309" i="1"/>
  <c r="CD311" i="1"/>
  <c r="CD313" i="1"/>
  <c r="CD315" i="1"/>
  <c r="CD317" i="1"/>
  <c r="CD319" i="1"/>
  <c r="CD321" i="1"/>
  <c r="CD323" i="1"/>
  <c r="CD325" i="1"/>
  <c r="CD327" i="1"/>
  <c r="CD329" i="1"/>
  <c r="CD331" i="1"/>
  <c r="CD333" i="1"/>
  <c r="CD335" i="1"/>
  <c r="CD337" i="1"/>
  <c r="CD339" i="1"/>
  <c r="CD341" i="1"/>
  <c r="CD343" i="1"/>
  <c r="CD345" i="1"/>
  <c r="CD347" i="1"/>
  <c r="CD349" i="1"/>
  <c r="CD351" i="1"/>
  <c r="CD353" i="1"/>
  <c r="CD355" i="1"/>
  <c r="CD357" i="1"/>
  <c r="CD359" i="1"/>
  <c r="CD361" i="1"/>
  <c r="CD363" i="1"/>
  <c r="CD365" i="1"/>
  <c r="CD367" i="1"/>
  <c r="CD369" i="1"/>
  <c r="CD371" i="1"/>
  <c r="CD373" i="1"/>
  <c r="CD375" i="1"/>
  <c r="CD19" i="1"/>
  <c r="CD23" i="1"/>
  <c r="CD27" i="1"/>
  <c r="CD31" i="1"/>
  <c r="CD35" i="1"/>
  <c r="CD39" i="1"/>
  <c r="CD43" i="1"/>
  <c r="CD47" i="1"/>
  <c r="CD51" i="1"/>
  <c r="CD55" i="1"/>
  <c r="CD59" i="1"/>
  <c r="CD63" i="1"/>
  <c r="CD67" i="1"/>
  <c r="CD71" i="1"/>
  <c r="CD75" i="1"/>
  <c r="CD79" i="1"/>
  <c r="CD83" i="1"/>
  <c r="CD87" i="1"/>
  <c r="CD91" i="1"/>
  <c r="CD95" i="1"/>
  <c r="CD99" i="1"/>
  <c r="CD103" i="1"/>
  <c r="CD107" i="1"/>
  <c r="CF107" i="1" s="1"/>
  <c r="CD111" i="1"/>
  <c r="CD115" i="1"/>
  <c r="CD119" i="1"/>
  <c r="CD123" i="1"/>
  <c r="CD127" i="1"/>
  <c r="CD131" i="1"/>
  <c r="CD135" i="1"/>
  <c r="CD139" i="1"/>
  <c r="CD143" i="1"/>
  <c r="CD147" i="1"/>
  <c r="CD155" i="1"/>
  <c r="CD163" i="1"/>
  <c r="CF163" i="1" s="1"/>
  <c r="CD171" i="1"/>
  <c r="CD179" i="1"/>
  <c r="CD186" i="1"/>
  <c r="CD190" i="1"/>
  <c r="CD194" i="1"/>
  <c r="CD198" i="1"/>
  <c r="CD202" i="1"/>
  <c r="CD206" i="1"/>
  <c r="CD210" i="1"/>
  <c r="CD214" i="1"/>
  <c r="CD218" i="1"/>
  <c r="CD222" i="1"/>
  <c r="CD226" i="1"/>
  <c r="CD230" i="1"/>
  <c r="CD234" i="1"/>
  <c r="CD238" i="1"/>
  <c r="CF238" i="1" s="1"/>
  <c r="CD242" i="1"/>
  <c r="CD246" i="1"/>
  <c r="CD250" i="1"/>
  <c r="CD254" i="1"/>
  <c r="CD258" i="1"/>
  <c r="CD262" i="1"/>
  <c r="CD266" i="1"/>
  <c r="CD270" i="1"/>
  <c r="CD274" i="1"/>
  <c r="CD278" i="1"/>
  <c r="CD282" i="1"/>
  <c r="CD286" i="1"/>
  <c r="CD290" i="1"/>
  <c r="CD294" i="1"/>
  <c r="CD298" i="1"/>
  <c r="CD302" i="1"/>
  <c r="CD306" i="1"/>
  <c r="CD310" i="1"/>
  <c r="CD314" i="1"/>
  <c r="CD318" i="1"/>
  <c r="CD322" i="1"/>
  <c r="CD326" i="1"/>
  <c r="CD330" i="1"/>
  <c r="CD334" i="1"/>
  <c r="CD338" i="1"/>
  <c r="CD342" i="1"/>
  <c r="CD346" i="1"/>
  <c r="CD350" i="1"/>
  <c r="CD354" i="1"/>
  <c r="CD358" i="1"/>
  <c r="CD362" i="1"/>
  <c r="CD366" i="1"/>
  <c r="CD370" i="1"/>
  <c r="CD374" i="1"/>
  <c r="CD151" i="1"/>
  <c r="CD159" i="1"/>
  <c r="CD167" i="1"/>
  <c r="CD175" i="1"/>
  <c r="CF175" i="1" s="1"/>
  <c r="CD183" i="1"/>
  <c r="CD188" i="1"/>
  <c r="CD192" i="1"/>
  <c r="CF192" i="1" s="1"/>
  <c r="CD196" i="1"/>
  <c r="CD200" i="1"/>
  <c r="CD204" i="1"/>
  <c r="CD208" i="1"/>
  <c r="CD212" i="1"/>
  <c r="CD216" i="1"/>
  <c r="CD220" i="1"/>
  <c r="CD224" i="1"/>
  <c r="CD228" i="1"/>
  <c r="CD232" i="1"/>
  <c r="CD236" i="1"/>
  <c r="CD240" i="1"/>
  <c r="CD244" i="1"/>
  <c r="CD248" i="1"/>
  <c r="CD252" i="1"/>
  <c r="CD256" i="1"/>
  <c r="CF256" i="1" s="1"/>
  <c r="CD260" i="1"/>
  <c r="CD264" i="1"/>
  <c r="CD268" i="1"/>
  <c r="CD272" i="1"/>
  <c r="CD276" i="1"/>
  <c r="CD280" i="1"/>
  <c r="CD284" i="1"/>
  <c r="CD288" i="1"/>
  <c r="CD292" i="1"/>
  <c r="CD296" i="1"/>
  <c r="CD300" i="1"/>
  <c r="CD304" i="1"/>
  <c r="CD308" i="1"/>
  <c r="CD312" i="1"/>
  <c r="CD316" i="1"/>
  <c r="CD320" i="1"/>
  <c r="CF320" i="1" s="1"/>
  <c r="CD324" i="1"/>
  <c r="CD328" i="1"/>
  <c r="CD332" i="1"/>
  <c r="CD336" i="1"/>
  <c r="CD340" i="1"/>
  <c r="CD344" i="1"/>
  <c r="CD348" i="1"/>
  <c r="CD352" i="1"/>
  <c r="CD356" i="1"/>
  <c r="CD360" i="1"/>
  <c r="CD364" i="1"/>
  <c r="CD368" i="1"/>
  <c r="CD372" i="1"/>
  <c r="CD15" i="1"/>
  <c r="CF6" i="1"/>
  <c r="CE6" i="1"/>
  <c r="BY6" i="1"/>
  <c r="CA6" i="1" s="1"/>
  <c r="CF69" i="1" l="1"/>
  <c r="CF270" i="1"/>
  <c r="CF206" i="1"/>
  <c r="CF165" i="1"/>
  <c r="CF37" i="1"/>
  <c r="CF101" i="1"/>
  <c r="CF352" i="1"/>
  <c r="CF288" i="1"/>
  <c r="CF224" i="1"/>
  <c r="CF268" i="1"/>
  <c r="CF236" i="1"/>
  <c r="CF204" i="1"/>
  <c r="CF177" i="1"/>
  <c r="CF145" i="1"/>
  <c r="CF113" i="1"/>
  <c r="CF81" i="1"/>
  <c r="CF17" i="1"/>
  <c r="CF33" i="1"/>
  <c r="CF254" i="1"/>
  <c r="CF190" i="1"/>
  <c r="CF138" i="1"/>
  <c r="CF90" i="1"/>
  <c r="CF58" i="1"/>
  <c r="CF26" i="1"/>
  <c r="CF40" i="1"/>
  <c r="CF24" i="1"/>
  <c r="CF222" i="1"/>
  <c r="CF170" i="1"/>
  <c r="CF122" i="1"/>
  <c r="CF74" i="1"/>
  <c r="CF42" i="1"/>
  <c r="CF286" i="1"/>
  <c r="CF19" i="1"/>
  <c r="CF94" i="1"/>
  <c r="CF139" i="1"/>
  <c r="CF106" i="1"/>
  <c r="CF373" i="1"/>
  <c r="CF341" i="1"/>
  <c r="CF309" i="1"/>
  <c r="CF293" i="1"/>
  <c r="CF277" i="1"/>
  <c r="CF159" i="1"/>
  <c r="CF346" i="1"/>
  <c r="CF282" i="1"/>
  <c r="CF250" i="1"/>
  <c r="CF218" i="1"/>
  <c r="CF134" i="1"/>
  <c r="CF118" i="1"/>
  <c r="CF102" i="1"/>
  <c r="CF86" i="1"/>
  <c r="CF70" i="1"/>
  <c r="CF54" i="1"/>
  <c r="CF38" i="1"/>
  <c r="CF127" i="1"/>
  <c r="CF95" i="1"/>
  <c r="CF63" i="1"/>
  <c r="CF31" i="1"/>
  <c r="CF15" i="1"/>
  <c r="CF330" i="1"/>
  <c r="CF266" i="1"/>
  <c r="CF234" i="1"/>
  <c r="CF202" i="1"/>
  <c r="CF143" i="1"/>
  <c r="CF111" i="1"/>
  <c r="CF79" i="1"/>
  <c r="CF375" i="1"/>
  <c r="CF47" i="1"/>
  <c r="CF161" i="1"/>
  <c r="CF129" i="1"/>
  <c r="CF97" i="1"/>
  <c r="CF65" i="1"/>
  <c r="CF329" i="1"/>
  <c r="CF185" i="1"/>
  <c r="CF361" i="1"/>
  <c r="CF343" i="1"/>
  <c r="CF327" i="1"/>
  <c r="CF311" i="1"/>
  <c r="CF279" i="1"/>
  <c r="CF179" i="1"/>
  <c r="CF131" i="1"/>
  <c r="CF99" i="1"/>
  <c r="CF67" i="1"/>
  <c r="CF35" i="1"/>
  <c r="CF347" i="1"/>
  <c r="CF331" i="1"/>
  <c r="CF315" i="1"/>
  <c r="CF299" i="1"/>
  <c r="CF147" i="1"/>
  <c r="CF336" i="1"/>
  <c r="CF240" i="1"/>
  <c r="CF208" i="1"/>
  <c r="CF53" i="1"/>
  <c r="CF368" i="1"/>
  <c r="CF304" i="1"/>
  <c r="CF301" i="1"/>
  <c r="CF297" i="1"/>
  <c r="CF295" i="1"/>
  <c r="CF272" i="1"/>
  <c r="CF181" i="1"/>
  <c r="CF154" i="1"/>
  <c r="CF149" i="1"/>
  <c r="CF140" i="1"/>
  <c r="CF124" i="1"/>
  <c r="CF117" i="1"/>
  <c r="CF115" i="1"/>
  <c r="CF108" i="1"/>
  <c r="CF92" i="1"/>
  <c r="CF85" i="1"/>
  <c r="CF76" i="1"/>
  <c r="CF60" i="1"/>
  <c r="CF51" i="1"/>
  <c r="CF44" i="1"/>
  <c r="CF28" i="1"/>
  <c r="CF21" i="1"/>
  <c r="CF144" i="1"/>
  <c r="CF83" i="1"/>
  <c r="CF345" i="1"/>
  <c r="CF313" i="1"/>
  <c r="CF359" i="1"/>
  <c r="CF357" i="1"/>
  <c r="CF168" i="1"/>
  <c r="CF152" i="1"/>
  <c r="CF136" i="1"/>
  <c r="CF120" i="1"/>
  <c r="CF104" i="1"/>
  <c r="CF88" i="1"/>
  <c r="CF56" i="1"/>
  <c r="CF284" i="1"/>
  <c r="CF252" i="1"/>
  <c r="CF220" i="1"/>
  <c r="CF22" i="1"/>
  <c r="CF298" i="1"/>
  <c r="CF186" i="1"/>
  <c r="CF153" i="1"/>
  <c r="CF57" i="1"/>
  <c r="CF89" i="1"/>
  <c r="CF41" i="1"/>
  <c r="CF25" i="1"/>
  <c r="CF335" i="1"/>
  <c r="CF325" i="1"/>
  <c r="CF184" i="1"/>
  <c r="CF49" i="1"/>
  <c r="CF212" i="1"/>
  <c r="CF303" i="1"/>
  <c r="CF365" i="1"/>
  <c r="CF351" i="1"/>
  <c r="CF242" i="1"/>
  <c r="CF176" i="1"/>
  <c r="CF160" i="1"/>
  <c r="CF121" i="1"/>
  <c r="CF260" i="1"/>
  <c r="CF228" i="1"/>
  <c r="CF196" i="1"/>
  <c r="CF169" i="1"/>
  <c r="CF137" i="1"/>
  <c r="CF105" i="1"/>
  <c r="CF73" i="1"/>
  <c r="CF319" i="1"/>
  <c r="CF287" i="1"/>
  <c r="CF271" i="1"/>
  <c r="CF128" i="1"/>
  <c r="CF112" i="1"/>
  <c r="CF96" i="1"/>
  <c r="CF80" i="1"/>
  <c r="CF64" i="1"/>
  <c r="CF48" i="1"/>
  <c r="CF32" i="1"/>
  <c r="CF16" i="1"/>
  <c r="CF276" i="1"/>
  <c r="CF244" i="1"/>
  <c r="CF72" i="1"/>
  <c r="CF362" i="1"/>
  <c r="CF349" i="1"/>
  <c r="CF333" i="1"/>
  <c r="CF317" i="1"/>
  <c r="CF285" i="1"/>
  <c r="CF269" i="1"/>
  <c r="CF188" i="1"/>
  <c r="CF126" i="1"/>
  <c r="CF110" i="1"/>
  <c r="CF78" i="1"/>
  <c r="CF62" i="1"/>
  <c r="CF30" i="1"/>
  <c r="CF167" i="1"/>
  <c r="CF354" i="1"/>
  <c r="CF322" i="1"/>
  <c r="CF290" i="1"/>
  <c r="CF258" i="1"/>
  <c r="CF226" i="1"/>
  <c r="CF194" i="1"/>
  <c r="CF262" i="1"/>
  <c r="CF230" i="1"/>
  <c r="CF198" i="1"/>
  <c r="CF353" i="1"/>
  <c r="CF337" i="1"/>
  <c r="CF321" i="1"/>
  <c r="CF305" i="1"/>
  <c r="CF178" i="1"/>
  <c r="CF162" i="1"/>
  <c r="CF146" i="1"/>
  <c r="CF130" i="1"/>
  <c r="CF114" i="1"/>
  <c r="CF98" i="1"/>
  <c r="CF123" i="1"/>
  <c r="CF91" i="1"/>
  <c r="CF151" i="1"/>
  <c r="CF135" i="1"/>
  <c r="CF103" i="1"/>
  <c r="CF71" i="1"/>
  <c r="CF39" i="1"/>
  <c r="CF306" i="1"/>
  <c r="CF370" i="1"/>
  <c r="CF338" i="1"/>
  <c r="CF274" i="1"/>
  <c r="CF210" i="1"/>
  <c r="CF183" i="1"/>
  <c r="CF119" i="1"/>
  <c r="CF87" i="1"/>
  <c r="CF55" i="1"/>
  <c r="CF23" i="1"/>
  <c r="CF363" i="1"/>
  <c r="CF46" i="1"/>
  <c r="CF82" i="1"/>
  <c r="CF66" i="1"/>
  <c r="CF59" i="1"/>
  <c r="CF50" i="1"/>
  <c r="CF34" i="1"/>
  <c r="CF27" i="1"/>
  <c r="CF18" i="1"/>
  <c r="CF75" i="1"/>
  <c r="CF43" i="1"/>
  <c r="CF278" i="1"/>
  <c r="CF246" i="1"/>
  <c r="CF214" i="1"/>
  <c r="CF171" i="1"/>
  <c r="CF155" i="1"/>
  <c r="CF314" i="1"/>
  <c r="CF369" i="1"/>
  <c r="CF367" i="1"/>
  <c r="CF339" i="1"/>
  <c r="CF323" i="1"/>
  <c r="CF307" i="1"/>
  <c r="CF173" i="1"/>
  <c r="CF157" i="1"/>
  <c r="CF296" i="1"/>
  <c r="CF232" i="1"/>
  <c r="CF371" i="1"/>
  <c r="CF355" i="1"/>
  <c r="CF141" i="1"/>
  <c r="CF109" i="1"/>
  <c r="CF77" i="1"/>
  <c r="CF45" i="1"/>
  <c r="CF360" i="1"/>
  <c r="CF328" i="1"/>
  <c r="CF264" i="1"/>
  <c r="CF200" i="1"/>
  <c r="CF132" i="1"/>
  <c r="CF116" i="1"/>
  <c r="CF100" i="1"/>
  <c r="CF84" i="1"/>
  <c r="CF68" i="1"/>
  <c r="CF52" i="1"/>
  <c r="CF36" i="1"/>
  <c r="CF20" i="1"/>
  <c r="CF312" i="1"/>
  <c r="CF280" i="1"/>
  <c r="CF216" i="1"/>
  <c r="CF125" i="1"/>
  <c r="CF93" i="1"/>
  <c r="CF61" i="1"/>
  <c r="CF29" i="1"/>
  <c r="CF344" i="1"/>
  <c r="CF248" i="1"/>
  <c r="CF273" i="1"/>
  <c r="CF281" i="1"/>
  <c r="CF289" i="1"/>
  <c r="CF294" i="1"/>
  <c r="CF302" i="1"/>
  <c r="CF310" i="1"/>
  <c r="CF318" i="1"/>
  <c r="CF326" i="1"/>
  <c r="CF334" i="1"/>
  <c r="CF342" i="1"/>
  <c r="CF350" i="1"/>
  <c r="CF358" i="1"/>
  <c r="CF366" i="1"/>
  <c r="CF374" i="1"/>
  <c r="CF265" i="1"/>
  <c r="CF261" i="1"/>
  <c r="CF257" i="1"/>
  <c r="CF253" i="1"/>
  <c r="CF249" i="1"/>
  <c r="CF245" i="1"/>
  <c r="CF241" i="1"/>
  <c r="CF237" i="1"/>
  <c r="CF233" i="1"/>
  <c r="CF229" i="1"/>
  <c r="CF225" i="1"/>
  <c r="CF221" i="1"/>
  <c r="CF217" i="1"/>
  <c r="CF213" i="1"/>
  <c r="CF209" i="1"/>
  <c r="CF205" i="1"/>
  <c r="CF201" i="1"/>
  <c r="CF197" i="1"/>
  <c r="CF193" i="1"/>
  <c r="CF189" i="1"/>
  <c r="CF182" i="1"/>
  <c r="CF174" i="1"/>
  <c r="CF166" i="1"/>
  <c r="CF158" i="1"/>
  <c r="CF150" i="1"/>
  <c r="CF142" i="1"/>
  <c r="CF275" i="1"/>
  <c r="CF283" i="1"/>
  <c r="CF291" i="1"/>
  <c r="CF300" i="1"/>
  <c r="CF308" i="1"/>
  <c r="CF316" i="1"/>
  <c r="CF324" i="1"/>
  <c r="CF332" i="1"/>
  <c r="CF340" i="1"/>
  <c r="CF348" i="1"/>
  <c r="CF356" i="1"/>
  <c r="CF364" i="1"/>
  <c r="CF372" i="1"/>
  <c r="CF267" i="1"/>
  <c r="CF263" i="1"/>
  <c r="CF259" i="1"/>
  <c r="CF255" i="1"/>
  <c r="CF251" i="1"/>
  <c r="CF247" i="1"/>
  <c r="CF243" i="1"/>
  <c r="CF239" i="1"/>
  <c r="CF235" i="1"/>
  <c r="CF231" i="1"/>
  <c r="CF227" i="1"/>
  <c r="CF223" i="1"/>
  <c r="CF219" i="1"/>
  <c r="CF215" i="1"/>
  <c r="CF211" i="1"/>
  <c r="CF207" i="1"/>
  <c r="CF203" i="1"/>
  <c r="CF199" i="1"/>
  <c r="CF195" i="1"/>
  <c r="CF191" i="1"/>
  <c r="CF187" i="1"/>
  <c r="CF292" i="1"/>
  <c r="CF180" i="1"/>
  <c r="CF172" i="1"/>
  <c r="CF164" i="1"/>
  <c r="CF156" i="1"/>
  <c r="CF148" i="1"/>
  <c r="BZ6" i="1"/>
  <c r="CB6" i="1" s="1"/>
  <c r="CG6" i="1"/>
  <c r="AB17" i="1"/>
  <c r="AA17" i="1"/>
  <c r="Z17" i="1"/>
  <c r="ED4" i="1" l="1"/>
  <c r="ED6" i="1" s="1"/>
  <c r="EC4" i="1"/>
  <c r="EC6" i="1" s="1"/>
  <c r="EB4" i="1"/>
  <c r="DV4" i="1"/>
  <c r="DV5" i="1"/>
  <c r="DW3" i="1"/>
  <c r="DX3" i="1"/>
  <c r="DY3" i="1"/>
  <c r="EG4" i="1" l="1"/>
  <c r="EJ4" i="1" s="1"/>
  <c r="EF6" i="1"/>
  <c r="EF4" i="1"/>
  <c r="EH4" i="1" l="1"/>
  <c r="EI4" i="1"/>
  <c r="B184" i="1" l="1"/>
  <c r="C184" i="1"/>
  <c r="D184" i="1"/>
  <c r="E184" i="1"/>
  <c r="B185" i="1"/>
  <c r="D185" i="1"/>
  <c r="E185" i="1"/>
  <c r="B186" i="1"/>
  <c r="D186" i="1"/>
  <c r="E186" i="1"/>
  <c r="B187" i="1"/>
  <c r="D187" i="1"/>
  <c r="E187" i="1"/>
  <c r="B188" i="1"/>
  <c r="D188" i="1"/>
  <c r="E188" i="1"/>
  <c r="B189" i="1"/>
  <c r="D189" i="1"/>
  <c r="E189" i="1"/>
  <c r="B190" i="1"/>
  <c r="D190" i="1"/>
  <c r="E190" i="1"/>
  <c r="B191" i="1"/>
  <c r="D191" i="1"/>
  <c r="E191" i="1"/>
  <c r="B192" i="1"/>
  <c r="D192" i="1"/>
  <c r="E192" i="1"/>
  <c r="B193" i="1"/>
  <c r="D193" i="1"/>
  <c r="E193" i="1"/>
  <c r="B194" i="1"/>
  <c r="D194" i="1"/>
  <c r="E194" i="1"/>
  <c r="A185" i="1"/>
  <c r="A186" i="1"/>
  <c r="A187" i="1"/>
  <c r="A188" i="1"/>
  <c r="A189" i="1"/>
  <c r="A190" i="1"/>
  <c r="A191" i="1"/>
  <c r="A192" i="1"/>
  <c r="A193" i="1"/>
  <c r="A194" i="1"/>
  <c r="A184" i="1"/>
  <c r="BF156" i="1"/>
  <c r="BG156" i="1" s="1"/>
  <c r="BF157" i="1"/>
  <c r="BG157" i="1" s="1"/>
  <c r="B143" i="1" l="1"/>
  <c r="A168" i="1"/>
  <c r="A169" i="1"/>
  <c r="A170" i="1"/>
  <c r="A171" i="1"/>
  <c r="A172" i="1"/>
  <c r="A173" i="1"/>
  <c r="A174" i="1"/>
  <c r="A175" i="1"/>
  <c r="C156" i="1"/>
  <c r="C167" i="1" s="1"/>
  <c r="D156" i="1"/>
  <c r="D167" i="1" s="1"/>
  <c r="E156" i="1"/>
  <c r="E167" i="1" s="1"/>
  <c r="B156" i="1"/>
  <c r="B167" i="1" s="1"/>
  <c r="B150" i="1"/>
  <c r="L175" i="1" l="1"/>
  <c r="M175" i="1" s="1"/>
  <c r="L173" i="1"/>
  <c r="M173" i="1" s="1"/>
  <c r="L169" i="1"/>
  <c r="M169" i="1" s="1"/>
  <c r="L168" i="1"/>
  <c r="M168" i="1" s="1"/>
  <c r="L170" i="1"/>
  <c r="M170" i="1" s="1"/>
  <c r="L171" i="1"/>
  <c r="M171" i="1" s="1"/>
  <c r="L172" i="1"/>
  <c r="M172" i="1" s="1"/>
  <c r="L174" i="1"/>
  <c r="M174" i="1" s="1"/>
  <c r="AC53" i="1"/>
  <c r="AC52" i="1"/>
  <c r="AC50" i="1"/>
  <c r="AC51" i="1" s="1"/>
  <c r="AD49" i="1"/>
  <c r="AD53" i="1" s="1"/>
  <c r="AD50" i="1" l="1"/>
  <c r="AD51" i="1" s="1"/>
  <c r="AD52" i="1" s="1"/>
  <c r="AE37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G34" i="1" s="1"/>
  <c r="BF35" i="1"/>
  <c r="BF36" i="1"/>
  <c r="BF37" i="1"/>
  <c r="BF38" i="1"/>
  <c r="BF39" i="1"/>
  <c r="BF40" i="1"/>
  <c r="BF41" i="1"/>
  <c r="BF42" i="1"/>
  <c r="BG42" i="1" s="1"/>
  <c r="BF43" i="1"/>
  <c r="BF44" i="1"/>
  <c r="BF45" i="1"/>
  <c r="BF46" i="1"/>
  <c r="BF47" i="1"/>
  <c r="BF48" i="1"/>
  <c r="BF49" i="1"/>
  <c r="BF50" i="1"/>
  <c r="BG50" i="1" s="1"/>
  <c r="BF51" i="1"/>
  <c r="BF52" i="1"/>
  <c r="BF53" i="1"/>
  <c r="BF54" i="1"/>
  <c r="BF55" i="1"/>
  <c r="BF56" i="1"/>
  <c r="BF57" i="1"/>
  <c r="BF58" i="1"/>
  <c r="BG58" i="1" s="1"/>
  <c r="BF59" i="1"/>
  <c r="BF60" i="1"/>
  <c r="BF61" i="1"/>
  <c r="BF62" i="1"/>
  <c r="BF63" i="1"/>
  <c r="BF64" i="1"/>
  <c r="BF65" i="1"/>
  <c r="BF66" i="1"/>
  <c r="BG66" i="1" s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G106" i="1" s="1"/>
  <c r="BF107" i="1"/>
  <c r="BF108" i="1"/>
  <c r="BF109" i="1"/>
  <c r="BF110" i="1"/>
  <c r="BF111" i="1"/>
  <c r="BF112" i="1"/>
  <c r="BF113" i="1"/>
  <c r="BF114" i="1"/>
  <c r="BG114" i="1" s="1"/>
  <c r="BF115" i="1"/>
  <c r="BF116" i="1"/>
  <c r="BF117" i="1"/>
  <c r="BF118" i="1"/>
  <c r="BF119" i="1"/>
  <c r="BF120" i="1"/>
  <c r="BF121" i="1"/>
  <c r="BF122" i="1"/>
  <c r="BG122" i="1" s="1"/>
  <c r="BF123" i="1"/>
  <c r="BF124" i="1"/>
  <c r="BF125" i="1"/>
  <c r="BF126" i="1"/>
  <c r="BF127" i="1"/>
  <c r="BF128" i="1"/>
  <c r="BF129" i="1"/>
  <c r="BF130" i="1"/>
  <c r="BG130" i="1" s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8" i="1"/>
  <c r="BF159" i="1"/>
  <c r="BF160" i="1"/>
  <c r="BF161" i="1"/>
  <c r="BF162" i="1"/>
  <c r="BG162" i="1" s="1"/>
  <c r="BF163" i="1"/>
  <c r="BF164" i="1"/>
  <c r="BF165" i="1"/>
  <c r="BF166" i="1"/>
  <c r="BF167" i="1"/>
  <c r="BF168" i="1"/>
  <c r="BF169" i="1"/>
  <c r="BF170" i="1"/>
  <c r="BG170" i="1" s="1"/>
  <c r="BF171" i="1"/>
  <c r="BF172" i="1"/>
  <c r="BF173" i="1"/>
  <c r="BF174" i="1"/>
  <c r="BF175" i="1"/>
  <c r="BF176" i="1"/>
  <c r="BF177" i="1"/>
  <c r="BF178" i="1"/>
  <c r="BG178" i="1" s="1"/>
  <c r="BF179" i="1"/>
  <c r="BF180" i="1"/>
  <c r="BF181" i="1"/>
  <c r="BF182" i="1"/>
  <c r="BF183" i="1"/>
  <c r="BF184" i="1"/>
  <c r="BF185" i="1"/>
  <c r="BF186" i="1"/>
  <c r="BG186" i="1" s="1"/>
  <c r="BF187" i="1"/>
  <c r="BF188" i="1"/>
  <c r="BF189" i="1"/>
  <c r="BF190" i="1"/>
  <c r="BF191" i="1"/>
  <c r="BF192" i="1"/>
  <c r="BF193" i="1"/>
  <c r="BF194" i="1"/>
  <c r="BG194" i="1" s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G226" i="1" s="1"/>
  <c r="BF227" i="1"/>
  <c r="BF228" i="1"/>
  <c r="BF229" i="1"/>
  <c r="BF230" i="1"/>
  <c r="BF231" i="1"/>
  <c r="BF232" i="1"/>
  <c r="BF233" i="1"/>
  <c r="BF234" i="1"/>
  <c r="BG234" i="1" s="1"/>
  <c r="BF235" i="1"/>
  <c r="BF236" i="1"/>
  <c r="BF237" i="1"/>
  <c r="BF238" i="1"/>
  <c r="BF239" i="1"/>
  <c r="BF240" i="1"/>
  <c r="BF241" i="1"/>
  <c r="BF242" i="1"/>
  <c r="BG242" i="1" s="1"/>
  <c r="BF243" i="1"/>
  <c r="BF244" i="1"/>
  <c r="BF245" i="1"/>
  <c r="BF246" i="1"/>
  <c r="BF247" i="1"/>
  <c r="BF248" i="1"/>
  <c r="BF249" i="1"/>
  <c r="BF250" i="1"/>
  <c r="BG250" i="1" s="1"/>
  <c r="BF251" i="1"/>
  <c r="BF252" i="1"/>
  <c r="BF253" i="1"/>
  <c r="BF254" i="1"/>
  <c r="BF255" i="1"/>
  <c r="BF256" i="1"/>
  <c r="BF257" i="1"/>
  <c r="BF258" i="1"/>
  <c r="BG258" i="1" s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G290" i="1" s="1"/>
  <c r="BF291" i="1"/>
  <c r="BF292" i="1"/>
  <c r="BF293" i="1"/>
  <c r="BF294" i="1"/>
  <c r="BF295" i="1"/>
  <c r="BF296" i="1"/>
  <c r="BF297" i="1"/>
  <c r="BF298" i="1"/>
  <c r="BG298" i="1" s="1"/>
  <c r="BF299" i="1"/>
  <c r="BF300" i="1"/>
  <c r="BF301" i="1"/>
  <c r="BF302" i="1"/>
  <c r="BF303" i="1"/>
  <c r="BF304" i="1"/>
  <c r="BF305" i="1"/>
  <c r="BF306" i="1"/>
  <c r="BG306" i="1" s="1"/>
  <c r="BF307" i="1"/>
  <c r="BF308" i="1"/>
  <c r="BF309" i="1"/>
  <c r="BF310" i="1"/>
  <c r="BF311" i="1"/>
  <c r="BF312" i="1"/>
  <c r="BF313" i="1"/>
  <c r="BF314" i="1"/>
  <c r="BG314" i="1" s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2" i="1"/>
  <c r="U13" i="1"/>
  <c r="AD29" i="1" l="1"/>
  <c r="AC29" i="1"/>
  <c r="AD28" i="1"/>
  <c r="AC28" i="1"/>
  <c r="AE28" i="1" s="1" a="1"/>
  <c r="AE28" i="1" s="1"/>
  <c r="BH363" i="1"/>
  <c r="BI363" i="1" s="1"/>
  <c r="W14" i="1"/>
  <c r="AD46" i="1"/>
  <c r="AD45" i="1"/>
  <c r="BH3" i="1"/>
  <c r="BH157" i="1"/>
  <c r="BI157" i="1" s="1"/>
  <c r="BH156" i="1"/>
  <c r="BI156" i="1" s="1"/>
  <c r="BH362" i="1"/>
  <c r="BH354" i="1"/>
  <c r="BH346" i="1"/>
  <c r="BH338" i="1"/>
  <c r="BH330" i="1"/>
  <c r="BH322" i="1"/>
  <c r="BH314" i="1"/>
  <c r="BH306" i="1"/>
  <c r="BH298" i="1"/>
  <c r="BH290" i="1"/>
  <c r="BH282" i="1"/>
  <c r="BH274" i="1"/>
  <c r="BH266" i="1"/>
  <c r="BH258" i="1"/>
  <c r="BH250" i="1"/>
  <c r="BH242" i="1"/>
  <c r="BH234" i="1"/>
  <c r="BH226" i="1"/>
  <c r="BH218" i="1"/>
  <c r="BH210" i="1"/>
  <c r="BH202" i="1"/>
  <c r="BH194" i="1"/>
  <c r="BH186" i="1"/>
  <c r="BH178" i="1"/>
  <c r="BH170" i="1"/>
  <c r="BH162" i="1"/>
  <c r="BH154" i="1"/>
  <c r="BH146" i="1"/>
  <c r="BH138" i="1"/>
  <c r="BH130" i="1"/>
  <c r="BH122" i="1"/>
  <c r="BH114" i="1"/>
  <c r="BH106" i="1"/>
  <c r="BH98" i="1"/>
  <c r="BH90" i="1"/>
  <c r="BH82" i="1"/>
  <c r="BH74" i="1"/>
  <c r="BH66" i="1"/>
  <c r="BH58" i="1"/>
  <c r="BH50" i="1"/>
  <c r="BH42" i="1"/>
  <c r="BH34" i="1"/>
  <c r="BH26" i="1"/>
  <c r="BH18" i="1"/>
  <c r="BH10" i="1"/>
  <c r="BH361" i="1"/>
  <c r="BH353" i="1"/>
  <c r="BH345" i="1"/>
  <c r="BH337" i="1"/>
  <c r="BH329" i="1"/>
  <c r="BH321" i="1"/>
  <c r="BH313" i="1"/>
  <c r="BH305" i="1"/>
  <c r="BH297" i="1"/>
  <c r="BH289" i="1"/>
  <c r="BH281" i="1"/>
  <c r="BH273" i="1"/>
  <c r="BH265" i="1"/>
  <c r="BH257" i="1"/>
  <c r="BH249" i="1"/>
  <c r="BH241" i="1"/>
  <c r="BH233" i="1"/>
  <c r="BH225" i="1"/>
  <c r="BH217" i="1"/>
  <c r="BH209" i="1"/>
  <c r="BH201" i="1"/>
  <c r="BH193" i="1"/>
  <c r="BH185" i="1"/>
  <c r="BH177" i="1"/>
  <c r="BH169" i="1"/>
  <c r="BH161" i="1"/>
  <c r="BH153" i="1"/>
  <c r="BH145" i="1"/>
  <c r="BH137" i="1"/>
  <c r="BH129" i="1"/>
  <c r="BH121" i="1"/>
  <c r="BH113" i="1"/>
  <c r="BH105" i="1"/>
  <c r="BH97" i="1"/>
  <c r="BH89" i="1"/>
  <c r="BH81" i="1"/>
  <c r="BH73" i="1"/>
  <c r="BH65" i="1"/>
  <c r="BH57" i="1"/>
  <c r="BH49" i="1"/>
  <c r="BH41" i="1"/>
  <c r="BH33" i="1"/>
  <c r="BH25" i="1"/>
  <c r="BH17" i="1"/>
  <c r="BH9" i="1"/>
  <c r="BH360" i="1"/>
  <c r="BH352" i="1"/>
  <c r="BH344" i="1"/>
  <c r="BH336" i="1"/>
  <c r="BH328" i="1"/>
  <c r="BH320" i="1"/>
  <c r="BH312" i="1"/>
  <c r="BH304" i="1"/>
  <c r="BH296" i="1"/>
  <c r="BH288" i="1"/>
  <c r="BH280" i="1"/>
  <c r="BH272" i="1"/>
  <c r="BH264" i="1"/>
  <c r="BH256" i="1"/>
  <c r="BH248" i="1"/>
  <c r="BH240" i="1"/>
  <c r="BH232" i="1"/>
  <c r="BH224" i="1"/>
  <c r="BH216" i="1"/>
  <c r="BH208" i="1"/>
  <c r="BH200" i="1"/>
  <c r="BH192" i="1"/>
  <c r="BH184" i="1"/>
  <c r="BH176" i="1"/>
  <c r="BH168" i="1"/>
  <c r="BH160" i="1"/>
  <c r="BH152" i="1"/>
  <c r="BH144" i="1"/>
  <c r="BH136" i="1"/>
  <c r="BH128" i="1"/>
  <c r="BH120" i="1"/>
  <c r="BH112" i="1"/>
  <c r="BH104" i="1"/>
  <c r="BH96" i="1"/>
  <c r="BH88" i="1"/>
  <c r="BH80" i="1"/>
  <c r="BH72" i="1"/>
  <c r="BH64" i="1"/>
  <c r="BH56" i="1"/>
  <c r="BH48" i="1"/>
  <c r="BH40" i="1"/>
  <c r="BH32" i="1"/>
  <c r="BH24" i="1"/>
  <c r="BH16" i="1"/>
  <c r="BH8" i="1"/>
  <c r="BH359" i="1"/>
  <c r="BH351" i="1"/>
  <c r="BH343" i="1"/>
  <c r="BH335" i="1"/>
  <c r="BH327" i="1"/>
  <c r="BH319" i="1"/>
  <c r="BH311" i="1"/>
  <c r="BH303" i="1"/>
  <c r="BH295" i="1"/>
  <c r="BH287" i="1"/>
  <c r="BH279" i="1"/>
  <c r="BH271" i="1"/>
  <c r="BH263" i="1"/>
  <c r="BH255" i="1"/>
  <c r="BH247" i="1"/>
  <c r="BH239" i="1"/>
  <c r="BH231" i="1"/>
  <c r="BH223" i="1"/>
  <c r="BH215" i="1"/>
  <c r="BH207" i="1"/>
  <c r="BH199" i="1"/>
  <c r="BH191" i="1"/>
  <c r="BH183" i="1"/>
  <c r="BH175" i="1"/>
  <c r="BH167" i="1"/>
  <c r="BH159" i="1"/>
  <c r="BH151" i="1"/>
  <c r="BH143" i="1"/>
  <c r="BH135" i="1"/>
  <c r="BH127" i="1"/>
  <c r="BH119" i="1"/>
  <c r="BH111" i="1"/>
  <c r="BH103" i="1"/>
  <c r="BH95" i="1"/>
  <c r="BH87" i="1"/>
  <c r="BH79" i="1"/>
  <c r="BH71" i="1"/>
  <c r="BH63" i="1"/>
  <c r="BH55" i="1"/>
  <c r="BH47" i="1"/>
  <c r="BH39" i="1"/>
  <c r="BH31" i="1"/>
  <c r="BH23" i="1"/>
  <c r="BH15" i="1"/>
  <c r="BH7" i="1"/>
  <c r="BH358" i="1"/>
  <c r="BH350" i="1"/>
  <c r="BH342" i="1"/>
  <c r="BH334" i="1"/>
  <c r="BH326" i="1"/>
  <c r="BH318" i="1"/>
  <c r="BH310" i="1"/>
  <c r="BH302" i="1"/>
  <c r="BH294" i="1"/>
  <c r="BH286" i="1"/>
  <c r="BH278" i="1"/>
  <c r="BH270" i="1"/>
  <c r="BH262" i="1"/>
  <c r="BH254" i="1"/>
  <c r="BH246" i="1"/>
  <c r="BH238" i="1"/>
  <c r="BH230" i="1"/>
  <c r="BH222" i="1"/>
  <c r="BH214" i="1"/>
  <c r="BH206" i="1"/>
  <c r="BH198" i="1"/>
  <c r="BH190" i="1"/>
  <c r="BH182" i="1"/>
  <c r="BH174" i="1"/>
  <c r="BH166" i="1"/>
  <c r="BH158" i="1"/>
  <c r="BH150" i="1"/>
  <c r="BH142" i="1"/>
  <c r="BH134" i="1"/>
  <c r="BH126" i="1"/>
  <c r="BH118" i="1"/>
  <c r="BH110" i="1"/>
  <c r="BH102" i="1"/>
  <c r="BH94" i="1"/>
  <c r="BH86" i="1"/>
  <c r="BH78" i="1"/>
  <c r="BH70" i="1"/>
  <c r="BH62" i="1"/>
  <c r="BH54" i="1"/>
  <c r="BH46" i="1"/>
  <c r="BH38" i="1"/>
  <c r="BH30" i="1"/>
  <c r="BH22" i="1"/>
  <c r="BH14" i="1"/>
  <c r="BH6" i="1"/>
  <c r="BH357" i="1"/>
  <c r="BH349" i="1"/>
  <c r="BH341" i="1"/>
  <c r="BH333" i="1"/>
  <c r="BH325" i="1"/>
  <c r="BH317" i="1"/>
  <c r="BH309" i="1"/>
  <c r="BH301" i="1"/>
  <c r="BH293" i="1"/>
  <c r="BH285" i="1"/>
  <c r="BH277" i="1"/>
  <c r="BH269" i="1"/>
  <c r="BH261" i="1"/>
  <c r="BH253" i="1"/>
  <c r="BH245" i="1"/>
  <c r="BH237" i="1"/>
  <c r="BH229" i="1"/>
  <c r="BH221" i="1"/>
  <c r="BH213" i="1"/>
  <c r="BH205" i="1"/>
  <c r="BH197" i="1"/>
  <c r="BH189" i="1"/>
  <c r="BH181" i="1"/>
  <c r="BH173" i="1"/>
  <c r="BH165" i="1"/>
  <c r="BH149" i="1"/>
  <c r="BH141" i="1"/>
  <c r="BH133" i="1"/>
  <c r="BH125" i="1"/>
  <c r="BH117" i="1"/>
  <c r="BH109" i="1"/>
  <c r="BH101" i="1"/>
  <c r="BH93" i="1"/>
  <c r="BH85" i="1"/>
  <c r="BH77" i="1"/>
  <c r="BH69" i="1"/>
  <c r="BH61" i="1"/>
  <c r="BH53" i="1"/>
  <c r="BH45" i="1"/>
  <c r="BH37" i="1"/>
  <c r="BH29" i="1"/>
  <c r="BH21" i="1"/>
  <c r="BH13" i="1"/>
  <c r="BH5" i="1"/>
  <c r="BH356" i="1"/>
  <c r="BH348" i="1"/>
  <c r="BH340" i="1"/>
  <c r="BH332" i="1"/>
  <c r="BH324" i="1"/>
  <c r="BH316" i="1"/>
  <c r="BH308" i="1"/>
  <c r="BH300" i="1"/>
  <c r="BH292" i="1"/>
  <c r="BH284" i="1"/>
  <c r="BH276" i="1"/>
  <c r="BH268" i="1"/>
  <c r="BH260" i="1"/>
  <c r="BH252" i="1"/>
  <c r="BH244" i="1"/>
  <c r="BH236" i="1"/>
  <c r="BH228" i="1"/>
  <c r="BH220" i="1"/>
  <c r="BH212" i="1"/>
  <c r="BH204" i="1"/>
  <c r="BH196" i="1"/>
  <c r="BH188" i="1"/>
  <c r="BH180" i="1"/>
  <c r="BH172" i="1"/>
  <c r="BH164" i="1"/>
  <c r="BH148" i="1"/>
  <c r="BH140" i="1"/>
  <c r="BH132" i="1"/>
  <c r="BH124" i="1"/>
  <c r="BH116" i="1"/>
  <c r="BH108" i="1"/>
  <c r="BH100" i="1"/>
  <c r="BH92" i="1"/>
  <c r="BH84" i="1"/>
  <c r="BH76" i="1"/>
  <c r="BH68" i="1"/>
  <c r="BH60" i="1"/>
  <c r="BH52" i="1"/>
  <c r="BH44" i="1"/>
  <c r="BH36" i="1"/>
  <c r="BH28" i="1"/>
  <c r="BH20" i="1"/>
  <c r="BH12" i="1"/>
  <c r="BH4" i="1"/>
  <c r="BH2" i="1"/>
  <c r="BH355" i="1"/>
  <c r="BH347" i="1"/>
  <c r="BH339" i="1"/>
  <c r="BH331" i="1"/>
  <c r="BH323" i="1"/>
  <c r="BH315" i="1"/>
  <c r="BH307" i="1"/>
  <c r="BH299" i="1"/>
  <c r="BH291" i="1"/>
  <c r="BH283" i="1"/>
  <c r="BH275" i="1"/>
  <c r="BH267" i="1"/>
  <c r="BH259" i="1"/>
  <c r="BH251" i="1"/>
  <c r="BH243" i="1"/>
  <c r="BH235" i="1"/>
  <c r="BH227" i="1"/>
  <c r="BH219" i="1"/>
  <c r="BH211" i="1"/>
  <c r="BH203" i="1"/>
  <c r="BH195" i="1"/>
  <c r="BH187" i="1"/>
  <c r="BH179" i="1"/>
  <c r="BH171" i="1"/>
  <c r="BH163" i="1"/>
  <c r="BH155" i="1"/>
  <c r="BH147" i="1"/>
  <c r="BH139" i="1"/>
  <c r="BH131" i="1"/>
  <c r="BH123" i="1"/>
  <c r="BH115" i="1"/>
  <c r="BH107" i="1"/>
  <c r="BH99" i="1"/>
  <c r="BH91" i="1"/>
  <c r="BH83" i="1"/>
  <c r="BH75" i="1"/>
  <c r="BH67" i="1"/>
  <c r="BH59" i="1"/>
  <c r="BH51" i="1"/>
  <c r="BH43" i="1"/>
  <c r="BH35" i="1"/>
  <c r="BH27" i="1"/>
  <c r="BH19" i="1"/>
  <c r="BH11" i="1"/>
  <c r="BG274" i="1"/>
  <c r="BG210" i="1"/>
  <c r="BG146" i="1"/>
  <c r="BG82" i="1"/>
  <c r="BG18" i="1"/>
  <c r="BG263" i="1"/>
  <c r="BG199" i="1"/>
  <c r="BG135" i="1"/>
  <c r="BG87" i="1"/>
  <c r="BG7" i="1"/>
  <c r="BG320" i="1"/>
  <c r="BG312" i="1"/>
  <c r="BG304" i="1"/>
  <c r="BG296" i="1"/>
  <c r="BG288" i="1"/>
  <c r="BG280" i="1"/>
  <c r="BG272" i="1"/>
  <c r="BG264" i="1"/>
  <c r="BG256" i="1"/>
  <c r="BG248" i="1"/>
  <c r="BG240" i="1"/>
  <c r="BG232" i="1"/>
  <c r="BG224" i="1"/>
  <c r="BG216" i="1"/>
  <c r="BG208" i="1"/>
  <c r="BG200" i="1"/>
  <c r="BG192" i="1"/>
  <c r="BG184" i="1"/>
  <c r="BG176" i="1"/>
  <c r="BG168" i="1"/>
  <c r="BG160" i="1"/>
  <c r="BG152" i="1"/>
  <c r="BG144" i="1"/>
  <c r="BG136" i="1"/>
  <c r="BG128" i="1"/>
  <c r="BG120" i="1"/>
  <c r="BG112" i="1"/>
  <c r="BG104" i="1"/>
  <c r="BG96" i="1"/>
  <c r="BG88" i="1"/>
  <c r="BG80" i="1"/>
  <c r="BG72" i="1"/>
  <c r="BG64" i="1"/>
  <c r="BG56" i="1"/>
  <c r="BG48" i="1"/>
  <c r="BG40" i="1"/>
  <c r="BG32" i="1"/>
  <c r="BG24" i="1"/>
  <c r="BG16" i="1"/>
  <c r="BG8" i="1"/>
  <c r="BG362" i="1"/>
  <c r="BG354" i="1"/>
  <c r="BG346" i="1"/>
  <c r="BG338" i="1"/>
  <c r="BG330" i="1"/>
  <c r="BG322" i="1"/>
  <c r="BG282" i="1"/>
  <c r="BG218" i="1"/>
  <c r="BG154" i="1"/>
  <c r="BG90" i="1"/>
  <c r="BG26" i="1"/>
  <c r="BG239" i="1"/>
  <c r="BG175" i="1"/>
  <c r="BG111" i="1"/>
  <c r="BG71" i="1"/>
  <c r="BG15" i="1"/>
  <c r="BG361" i="1"/>
  <c r="BG353" i="1"/>
  <c r="BG345" i="1"/>
  <c r="BG337" i="1"/>
  <c r="BG329" i="1"/>
  <c r="BG319" i="1"/>
  <c r="BG295" i="1"/>
  <c r="BG231" i="1"/>
  <c r="BG159" i="1"/>
  <c r="BG55" i="1"/>
  <c r="BG318" i="1"/>
  <c r="BG310" i="1"/>
  <c r="BG302" i="1"/>
  <c r="BG294" i="1"/>
  <c r="BG286" i="1"/>
  <c r="BG278" i="1"/>
  <c r="BG270" i="1"/>
  <c r="BG262" i="1"/>
  <c r="BG254" i="1"/>
  <c r="BG246" i="1"/>
  <c r="BG238" i="1"/>
  <c r="BG230" i="1"/>
  <c r="BG222" i="1"/>
  <c r="BG214" i="1"/>
  <c r="BG206" i="1"/>
  <c r="BG198" i="1"/>
  <c r="BG190" i="1"/>
  <c r="BG182" i="1"/>
  <c r="BG174" i="1"/>
  <c r="BG166" i="1"/>
  <c r="BG158" i="1"/>
  <c r="BG150" i="1"/>
  <c r="BG142" i="1"/>
  <c r="BG134" i="1"/>
  <c r="BG126" i="1"/>
  <c r="BG118" i="1"/>
  <c r="BG110" i="1"/>
  <c r="BG102" i="1"/>
  <c r="BG94" i="1"/>
  <c r="BG86" i="1"/>
  <c r="BG78" i="1"/>
  <c r="BG70" i="1"/>
  <c r="BG62" i="1"/>
  <c r="BG54" i="1"/>
  <c r="BG46" i="1"/>
  <c r="BG38" i="1"/>
  <c r="BG30" i="1"/>
  <c r="BG22" i="1"/>
  <c r="BG14" i="1"/>
  <c r="BG6" i="1"/>
  <c r="BG360" i="1"/>
  <c r="BG352" i="1"/>
  <c r="BG344" i="1"/>
  <c r="BG336" i="1"/>
  <c r="BG328" i="1"/>
  <c r="BG266" i="1"/>
  <c r="BG202" i="1"/>
  <c r="BG138" i="1"/>
  <c r="BG74" i="1"/>
  <c r="BG10" i="1"/>
  <c r="BG271" i="1"/>
  <c r="BG207" i="1"/>
  <c r="BG143" i="1"/>
  <c r="BG95" i="1"/>
  <c r="BG23" i="1"/>
  <c r="BG317" i="1"/>
  <c r="BG309" i="1"/>
  <c r="BG301" i="1"/>
  <c r="BG293" i="1"/>
  <c r="BG285" i="1"/>
  <c r="BG277" i="1"/>
  <c r="BG269" i="1"/>
  <c r="BG261" i="1"/>
  <c r="BG253" i="1"/>
  <c r="BG245" i="1"/>
  <c r="BG237" i="1"/>
  <c r="BG229" i="1"/>
  <c r="BG221" i="1"/>
  <c r="BG213" i="1"/>
  <c r="BG205" i="1"/>
  <c r="BG197" i="1"/>
  <c r="BG189" i="1"/>
  <c r="BG181" i="1"/>
  <c r="BG173" i="1"/>
  <c r="BG165" i="1"/>
  <c r="BG149" i="1"/>
  <c r="BG141" i="1"/>
  <c r="BG133" i="1"/>
  <c r="BG125" i="1"/>
  <c r="BG117" i="1"/>
  <c r="BG109" i="1"/>
  <c r="BG101" i="1"/>
  <c r="BG93" i="1"/>
  <c r="BG85" i="1"/>
  <c r="BG77" i="1"/>
  <c r="BG69" i="1"/>
  <c r="BG61" i="1"/>
  <c r="BG53" i="1"/>
  <c r="BG45" i="1"/>
  <c r="BG37" i="1"/>
  <c r="BG29" i="1"/>
  <c r="BG21" i="1"/>
  <c r="BG13" i="1"/>
  <c r="BG5" i="1"/>
  <c r="BG359" i="1"/>
  <c r="BG351" i="1"/>
  <c r="BG343" i="1"/>
  <c r="BG335" i="1"/>
  <c r="BG327" i="1"/>
  <c r="BG311" i="1"/>
  <c r="BG279" i="1"/>
  <c r="BG215" i="1"/>
  <c r="BG167" i="1"/>
  <c r="BG103" i="1"/>
  <c r="BG31" i="1"/>
  <c r="BG316" i="1"/>
  <c r="BG308" i="1"/>
  <c r="BG300" i="1"/>
  <c r="BG292" i="1"/>
  <c r="BG284" i="1"/>
  <c r="BG276" i="1"/>
  <c r="BG268" i="1"/>
  <c r="BG260" i="1"/>
  <c r="BG252" i="1"/>
  <c r="BG244" i="1"/>
  <c r="BG236" i="1"/>
  <c r="BG228" i="1"/>
  <c r="BG220" i="1"/>
  <c r="BG212" i="1"/>
  <c r="BG204" i="1"/>
  <c r="BG196" i="1"/>
  <c r="BG188" i="1"/>
  <c r="BG180" i="1"/>
  <c r="BG172" i="1"/>
  <c r="BG164" i="1"/>
  <c r="BG148" i="1"/>
  <c r="BG140" i="1"/>
  <c r="BG132" i="1"/>
  <c r="BG124" i="1"/>
  <c r="BG116" i="1"/>
  <c r="BG108" i="1"/>
  <c r="BG100" i="1"/>
  <c r="BG92" i="1"/>
  <c r="BG84" i="1"/>
  <c r="BG76" i="1"/>
  <c r="BG68" i="1"/>
  <c r="BG60" i="1"/>
  <c r="BG52" i="1"/>
  <c r="BG44" i="1"/>
  <c r="BG36" i="1"/>
  <c r="BG28" i="1"/>
  <c r="BG20" i="1"/>
  <c r="BG12" i="1"/>
  <c r="BG4" i="1"/>
  <c r="BG358" i="1"/>
  <c r="BG350" i="1"/>
  <c r="BG342" i="1"/>
  <c r="BG334" i="1"/>
  <c r="BG326" i="1"/>
  <c r="BG287" i="1"/>
  <c r="BG223" i="1"/>
  <c r="BG151" i="1"/>
  <c r="BG47" i="1"/>
  <c r="BG315" i="1"/>
  <c r="BG307" i="1"/>
  <c r="BG299" i="1"/>
  <c r="BG291" i="1"/>
  <c r="BG283" i="1"/>
  <c r="BG275" i="1"/>
  <c r="BG267" i="1"/>
  <c r="BG259" i="1"/>
  <c r="BG251" i="1"/>
  <c r="BG243" i="1"/>
  <c r="BG235" i="1"/>
  <c r="BG227" i="1"/>
  <c r="BG219" i="1"/>
  <c r="BG211" i="1"/>
  <c r="BG203" i="1"/>
  <c r="BG195" i="1"/>
  <c r="BG187" i="1"/>
  <c r="BG179" i="1"/>
  <c r="BG171" i="1"/>
  <c r="BG163" i="1"/>
  <c r="BG155" i="1"/>
  <c r="BG147" i="1"/>
  <c r="BG139" i="1"/>
  <c r="BG131" i="1"/>
  <c r="BG123" i="1"/>
  <c r="BG115" i="1"/>
  <c r="BG107" i="1"/>
  <c r="BG99" i="1"/>
  <c r="BG91" i="1"/>
  <c r="BG83" i="1"/>
  <c r="BG75" i="1"/>
  <c r="BG67" i="1"/>
  <c r="BG59" i="1"/>
  <c r="BG51" i="1"/>
  <c r="BG43" i="1"/>
  <c r="BG35" i="1"/>
  <c r="BG27" i="1"/>
  <c r="BG19" i="1"/>
  <c r="BG11" i="1"/>
  <c r="BG3" i="1"/>
  <c r="BG357" i="1"/>
  <c r="BG349" i="1"/>
  <c r="BG341" i="1"/>
  <c r="BG333" i="1"/>
  <c r="BG325" i="1"/>
  <c r="BG303" i="1"/>
  <c r="BG255" i="1"/>
  <c r="BG183" i="1"/>
  <c r="BG119" i="1"/>
  <c r="BG79" i="1"/>
  <c r="BG39" i="1"/>
  <c r="BG2" i="1"/>
  <c r="BG356" i="1"/>
  <c r="BG348" i="1"/>
  <c r="BG340" i="1"/>
  <c r="BG332" i="1"/>
  <c r="BG324" i="1"/>
  <c r="BG247" i="1"/>
  <c r="BG191" i="1"/>
  <c r="BG127" i="1"/>
  <c r="BG63" i="1"/>
  <c r="BG321" i="1"/>
  <c r="BG313" i="1"/>
  <c r="BG305" i="1"/>
  <c r="BG297" i="1"/>
  <c r="BG289" i="1"/>
  <c r="BG281" i="1"/>
  <c r="BG273" i="1"/>
  <c r="BG265" i="1"/>
  <c r="BG257" i="1"/>
  <c r="BG249" i="1"/>
  <c r="BG241" i="1"/>
  <c r="BG233" i="1"/>
  <c r="BG225" i="1"/>
  <c r="BG217" i="1"/>
  <c r="BG209" i="1"/>
  <c r="BG201" i="1"/>
  <c r="BG193" i="1"/>
  <c r="BG185" i="1"/>
  <c r="BG177" i="1"/>
  <c r="BG169" i="1"/>
  <c r="BG161" i="1"/>
  <c r="BG153" i="1"/>
  <c r="BG145" i="1"/>
  <c r="BG137" i="1"/>
  <c r="BG129" i="1"/>
  <c r="BG121" i="1"/>
  <c r="BG113" i="1"/>
  <c r="BG105" i="1"/>
  <c r="BG97" i="1"/>
  <c r="BG89" i="1"/>
  <c r="BG81" i="1"/>
  <c r="BG73" i="1"/>
  <c r="BG65" i="1"/>
  <c r="BG57" i="1"/>
  <c r="BG49" i="1"/>
  <c r="BG41" i="1"/>
  <c r="BG33" i="1"/>
  <c r="BG25" i="1"/>
  <c r="BG17" i="1"/>
  <c r="BG9" i="1"/>
  <c r="BG355" i="1"/>
  <c r="BG347" i="1"/>
  <c r="BG339" i="1"/>
  <c r="BG331" i="1"/>
  <c r="BG323" i="1"/>
  <c r="BG98" i="1"/>
  <c r="B130" i="1" l="1"/>
  <c r="C125" i="1"/>
  <c r="B104" i="1"/>
  <c r="B105" i="1"/>
  <c r="B106" i="1"/>
  <c r="B107" i="1"/>
  <c r="B108" i="1"/>
  <c r="B109" i="1"/>
  <c r="B110" i="1"/>
  <c r="B111" i="1"/>
  <c r="B112" i="1"/>
  <c r="B113" i="1"/>
  <c r="A105" i="1"/>
  <c r="A106" i="1"/>
  <c r="A107" i="1"/>
  <c r="A108" i="1"/>
  <c r="A109" i="1"/>
  <c r="A110" i="1"/>
  <c r="A111" i="1"/>
  <c r="A112" i="1"/>
  <c r="A113" i="1"/>
  <c r="A104" i="1"/>
  <c r="AE46" i="1" l="1"/>
  <c r="AE41" i="1" l="1"/>
  <c r="AE38" i="1"/>
  <c r="AD38" i="1"/>
  <c r="AD39" i="1" s="1"/>
  <c r="BI3" i="1" l="1"/>
  <c r="AE40" i="1"/>
  <c r="AD40" i="1"/>
  <c r="AD41" i="1" s="1"/>
  <c r="BI328" i="1"/>
  <c r="BI264" i="1"/>
  <c r="BI200" i="1"/>
  <c r="BI136" i="1"/>
  <c r="BI72" i="1"/>
  <c r="BI360" i="1"/>
  <c r="BI320" i="1"/>
  <c r="BI256" i="1"/>
  <c r="BI192" i="1"/>
  <c r="BI128" i="1"/>
  <c r="BI64" i="1"/>
  <c r="BI359" i="1"/>
  <c r="BI312" i="1"/>
  <c r="BI248" i="1"/>
  <c r="BI184" i="1"/>
  <c r="BI120" i="1"/>
  <c r="BI56" i="1"/>
  <c r="BI352" i="1"/>
  <c r="BI304" i="1"/>
  <c r="BI240" i="1"/>
  <c r="BI176" i="1"/>
  <c r="BI112" i="1"/>
  <c r="BI48" i="1"/>
  <c r="BI351" i="1"/>
  <c r="BI296" i="1"/>
  <c r="BI232" i="1"/>
  <c r="BI168" i="1"/>
  <c r="BI104" i="1"/>
  <c r="BI40" i="1"/>
  <c r="BI344" i="1"/>
  <c r="BI288" i="1"/>
  <c r="BI224" i="1"/>
  <c r="BI160" i="1"/>
  <c r="BI96" i="1"/>
  <c r="BI32" i="1"/>
  <c r="BI336" i="1"/>
  <c r="BI280" i="1"/>
  <c r="BI216" i="1"/>
  <c r="BI152" i="1"/>
  <c r="BI88" i="1"/>
  <c r="BI24" i="1"/>
  <c r="BI335" i="1"/>
  <c r="BI272" i="1"/>
  <c r="BI208" i="1"/>
  <c r="BI144" i="1"/>
  <c r="BI80" i="1"/>
  <c r="BI16" i="1"/>
  <c r="BI287" i="1"/>
  <c r="BI239" i="1"/>
  <c r="BI207" i="1"/>
  <c r="BI167" i="1"/>
  <c r="BI151" i="1"/>
  <c r="BI119" i="1"/>
  <c r="BI95" i="1"/>
  <c r="BI63" i="1"/>
  <c r="BI47" i="1"/>
  <c r="BI362" i="1"/>
  <c r="BI354" i="1"/>
  <c r="BI346" i="1"/>
  <c r="BI338" i="1"/>
  <c r="BI330" i="1"/>
  <c r="BI322" i="1"/>
  <c r="BI314" i="1"/>
  <c r="BI306" i="1"/>
  <c r="BI298" i="1"/>
  <c r="BI290" i="1"/>
  <c r="BI282" i="1"/>
  <c r="BI274" i="1"/>
  <c r="BI266" i="1"/>
  <c r="BI258" i="1"/>
  <c r="BI250" i="1"/>
  <c r="BI242" i="1"/>
  <c r="BI234" i="1"/>
  <c r="BI226" i="1"/>
  <c r="BI218" i="1"/>
  <c r="BI210" i="1"/>
  <c r="BI202" i="1"/>
  <c r="BI194" i="1"/>
  <c r="BI186" i="1"/>
  <c r="BI178" i="1"/>
  <c r="BI170" i="1"/>
  <c r="BI162" i="1"/>
  <c r="BI154" i="1"/>
  <c r="BI146" i="1"/>
  <c r="BI138" i="1"/>
  <c r="BI130" i="1"/>
  <c r="BI122" i="1"/>
  <c r="BI114" i="1"/>
  <c r="BI106" i="1"/>
  <c r="BI98" i="1"/>
  <c r="BI90" i="1"/>
  <c r="BI82" i="1"/>
  <c r="BI74" i="1"/>
  <c r="BI66" i="1"/>
  <c r="BI58" i="1"/>
  <c r="BI50" i="1"/>
  <c r="BI42" i="1"/>
  <c r="BI34" i="1"/>
  <c r="BI26" i="1"/>
  <c r="BI18" i="1"/>
  <c r="BI10" i="1"/>
  <c r="BI311" i="1"/>
  <c r="BI295" i="1"/>
  <c r="BI247" i="1"/>
  <c r="BI215" i="1"/>
  <c r="BI175" i="1"/>
  <c r="BI143" i="1"/>
  <c r="BI111" i="1"/>
  <c r="BI87" i="1"/>
  <c r="BI55" i="1"/>
  <c r="BI39" i="1"/>
  <c r="BI361" i="1"/>
  <c r="BI353" i="1"/>
  <c r="BI345" i="1"/>
  <c r="BI337" i="1"/>
  <c r="BI329" i="1"/>
  <c r="BI321" i="1"/>
  <c r="BI313" i="1"/>
  <c r="BI305" i="1"/>
  <c r="BI297" i="1"/>
  <c r="BI289" i="1"/>
  <c r="BI281" i="1"/>
  <c r="BI273" i="1"/>
  <c r="BI265" i="1"/>
  <c r="BI257" i="1"/>
  <c r="BI249" i="1"/>
  <c r="BI241" i="1"/>
  <c r="BI233" i="1"/>
  <c r="BI225" i="1"/>
  <c r="BI217" i="1"/>
  <c r="BI209" i="1"/>
  <c r="BI201" i="1"/>
  <c r="BI193" i="1"/>
  <c r="BI185" i="1"/>
  <c r="BI177" i="1"/>
  <c r="BI169" i="1"/>
  <c r="BI161" i="1"/>
  <c r="BI153" i="1"/>
  <c r="BI145" i="1"/>
  <c r="BI137" i="1"/>
  <c r="BI129" i="1"/>
  <c r="BI121" i="1"/>
  <c r="BI113" i="1"/>
  <c r="BI105" i="1"/>
  <c r="BI97" i="1"/>
  <c r="BI89" i="1"/>
  <c r="BI81" i="1"/>
  <c r="BI73" i="1"/>
  <c r="BI65" i="1"/>
  <c r="BI57" i="1"/>
  <c r="BI49" i="1"/>
  <c r="BI41" i="1"/>
  <c r="BI33" i="1"/>
  <c r="BI25" i="1"/>
  <c r="BI17" i="1"/>
  <c r="BI9" i="1"/>
  <c r="BI8" i="1"/>
  <c r="BI7" i="1"/>
  <c r="BI327" i="1"/>
  <c r="BI271" i="1"/>
  <c r="BI231" i="1"/>
  <c r="BI183" i="1"/>
  <c r="BI127" i="1"/>
  <c r="BI71" i="1"/>
  <c r="BI23" i="1"/>
  <c r="BI358" i="1"/>
  <c r="BI350" i="1"/>
  <c r="BI342" i="1"/>
  <c r="BI334" i="1"/>
  <c r="BI326" i="1"/>
  <c r="BI318" i="1"/>
  <c r="BI310" i="1"/>
  <c r="BI302" i="1"/>
  <c r="BI294" i="1"/>
  <c r="BI286" i="1"/>
  <c r="BI278" i="1"/>
  <c r="BI270" i="1"/>
  <c r="BI262" i="1"/>
  <c r="BI254" i="1"/>
  <c r="BI246" i="1"/>
  <c r="BI238" i="1"/>
  <c r="BI230" i="1"/>
  <c r="BI222" i="1"/>
  <c r="BI214" i="1"/>
  <c r="BI206" i="1"/>
  <c r="BI198" i="1"/>
  <c r="BI190" i="1"/>
  <c r="BI182" i="1"/>
  <c r="BI174" i="1"/>
  <c r="BI166" i="1"/>
  <c r="BI158" i="1"/>
  <c r="BI150" i="1"/>
  <c r="BI142" i="1"/>
  <c r="BI134" i="1"/>
  <c r="BI126" i="1"/>
  <c r="BI118" i="1"/>
  <c r="BI110" i="1"/>
  <c r="BI102" i="1"/>
  <c r="BI94" i="1"/>
  <c r="BI86" i="1"/>
  <c r="BI78" i="1"/>
  <c r="BI70" i="1"/>
  <c r="BI62" i="1"/>
  <c r="BI54" i="1"/>
  <c r="BI46" i="1"/>
  <c r="BI38" i="1"/>
  <c r="BI30" i="1"/>
  <c r="BI22" i="1"/>
  <c r="BI14" i="1"/>
  <c r="BI6" i="1"/>
  <c r="BI343" i="1"/>
  <c r="BI303" i="1"/>
  <c r="BI279" i="1"/>
  <c r="BI255" i="1"/>
  <c r="BI199" i="1"/>
  <c r="BI135" i="1"/>
  <c r="BI79" i="1"/>
  <c r="BI31" i="1"/>
  <c r="BI357" i="1"/>
  <c r="BI349" i="1"/>
  <c r="BI341" i="1"/>
  <c r="BI333" i="1"/>
  <c r="BI325" i="1"/>
  <c r="BI317" i="1"/>
  <c r="BI309" i="1"/>
  <c r="BI301" i="1"/>
  <c r="BI293" i="1"/>
  <c r="BI285" i="1"/>
  <c r="BI277" i="1"/>
  <c r="BI269" i="1"/>
  <c r="BI261" i="1"/>
  <c r="BI253" i="1"/>
  <c r="BI245" i="1"/>
  <c r="BI237" i="1"/>
  <c r="BI229" i="1"/>
  <c r="BI221" i="1"/>
  <c r="BI213" i="1"/>
  <c r="BI205" i="1"/>
  <c r="BI197" i="1"/>
  <c r="BI189" i="1"/>
  <c r="BI181" i="1"/>
  <c r="BI173" i="1"/>
  <c r="BI165" i="1"/>
  <c r="BI149" i="1"/>
  <c r="BI141" i="1"/>
  <c r="BI133" i="1"/>
  <c r="BI125" i="1"/>
  <c r="BI117" i="1"/>
  <c r="BI109" i="1"/>
  <c r="BI101" i="1"/>
  <c r="BI93" i="1"/>
  <c r="BI85" i="1"/>
  <c r="BI77" i="1"/>
  <c r="BI69" i="1"/>
  <c r="BI61" i="1"/>
  <c r="BI53" i="1"/>
  <c r="BI45" i="1"/>
  <c r="BI37" i="1"/>
  <c r="BI29" i="1"/>
  <c r="BI21" i="1"/>
  <c r="BI13" i="1"/>
  <c r="BI5" i="1"/>
  <c r="BI319" i="1"/>
  <c r="BI263" i="1"/>
  <c r="BI223" i="1"/>
  <c r="BI191" i="1"/>
  <c r="BI159" i="1"/>
  <c r="BI103" i="1"/>
  <c r="BI15" i="1"/>
  <c r="BI356" i="1"/>
  <c r="BI348" i="1"/>
  <c r="BI340" i="1"/>
  <c r="BI332" i="1"/>
  <c r="BI324" i="1"/>
  <c r="BI316" i="1"/>
  <c r="BI308" i="1"/>
  <c r="BI300" i="1"/>
  <c r="BI292" i="1"/>
  <c r="BI284" i="1"/>
  <c r="BI276" i="1"/>
  <c r="BI268" i="1"/>
  <c r="BI260" i="1"/>
  <c r="BI252" i="1"/>
  <c r="BI244" i="1"/>
  <c r="BI236" i="1"/>
  <c r="BI228" i="1"/>
  <c r="BI220" i="1"/>
  <c r="BI212" i="1"/>
  <c r="BI204" i="1"/>
  <c r="BI196" i="1"/>
  <c r="BI188" i="1"/>
  <c r="BI180" i="1"/>
  <c r="BI172" i="1"/>
  <c r="BI164" i="1"/>
  <c r="BI148" i="1"/>
  <c r="BI140" i="1"/>
  <c r="BI132" i="1"/>
  <c r="BI124" i="1"/>
  <c r="BI116" i="1"/>
  <c r="BI108" i="1"/>
  <c r="BI100" i="1"/>
  <c r="BI92" i="1"/>
  <c r="BI84" i="1"/>
  <c r="BI76" i="1"/>
  <c r="BI68" i="1"/>
  <c r="BI60" i="1"/>
  <c r="BI52" i="1"/>
  <c r="BI44" i="1"/>
  <c r="BI36" i="1"/>
  <c r="BI28" i="1"/>
  <c r="BI20" i="1"/>
  <c r="BI12" i="1"/>
  <c r="BI4" i="1"/>
  <c r="BI2" i="1"/>
  <c r="BI355" i="1"/>
  <c r="BI347" i="1"/>
  <c r="BI339" i="1"/>
  <c r="BI331" i="1"/>
  <c r="BI323" i="1"/>
  <c r="BI315" i="1"/>
  <c r="BI307" i="1"/>
  <c r="BI299" i="1"/>
  <c r="BI291" i="1"/>
  <c r="BI283" i="1"/>
  <c r="BI275" i="1"/>
  <c r="BI267" i="1"/>
  <c r="BI259" i="1"/>
  <c r="BI251" i="1"/>
  <c r="BI243" i="1"/>
  <c r="BI235" i="1"/>
  <c r="BI227" i="1"/>
  <c r="BI219" i="1"/>
  <c r="BI211" i="1"/>
  <c r="BI203" i="1"/>
  <c r="BI195" i="1"/>
  <c r="BI187" i="1"/>
  <c r="BI179" i="1"/>
  <c r="BI171" i="1"/>
  <c r="BI163" i="1"/>
  <c r="BI155" i="1"/>
  <c r="BI147" i="1"/>
  <c r="BI139" i="1"/>
  <c r="BI131" i="1"/>
  <c r="BI123" i="1"/>
  <c r="BI115" i="1"/>
  <c r="BI107" i="1"/>
  <c r="BI99" i="1"/>
  <c r="BI91" i="1"/>
  <c r="BI83" i="1"/>
  <c r="BI75" i="1"/>
  <c r="BI67" i="1"/>
  <c r="BI59" i="1"/>
  <c r="BI51" i="1"/>
  <c r="BI43" i="1"/>
  <c r="BI35" i="1"/>
  <c r="BI27" i="1"/>
  <c r="BI19" i="1"/>
  <c r="BI11" i="1"/>
  <c r="AB6" i="1"/>
  <c r="U14" i="1"/>
  <c r="AA6" i="1" s="1"/>
  <c r="U15" i="1" l="1"/>
  <c r="U16" i="1" s="1"/>
  <c r="W16" i="1" l="1"/>
  <c r="V16" i="1"/>
  <c r="W12" i="1"/>
  <c r="W11" i="1"/>
  <c r="W10" i="1"/>
  <c r="E6" i="1" l="1"/>
  <c r="F27" i="1" l="1" a="1"/>
  <c r="F27" i="1" s="1"/>
  <c r="C16" i="1" l="1"/>
  <c r="F28" i="1"/>
  <c r="C17" i="1"/>
  <c r="C18" i="1"/>
  <c r="C20" i="1"/>
  <c r="C21" i="1"/>
  <c r="C22" i="1"/>
  <c r="C192" i="1" s="1"/>
  <c r="C23" i="1"/>
  <c r="C24" i="1"/>
  <c r="C19" i="1" l="1"/>
  <c r="C108" i="1" s="1"/>
  <c r="J108" i="1" s="1"/>
  <c r="C110" i="1"/>
  <c r="J110" i="1" s="1"/>
  <c r="C191" i="1"/>
  <c r="C109" i="1"/>
  <c r="J109" i="1" s="1"/>
  <c r="C190" i="1"/>
  <c r="C107" i="1"/>
  <c r="J107" i="1" s="1"/>
  <c r="C188" i="1"/>
  <c r="C106" i="1"/>
  <c r="J106" i="1" s="1"/>
  <c r="C187" i="1"/>
  <c r="C113" i="1"/>
  <c r="J113" i="1" s="1"/>
  <c r="C194" i="1"/>
  <c r="C112" i="1"/>
  <c r="J112" i="1" s="1"/>
  <c r="C193" i="1"/>
  <c r="C105" i="1"/>
  <c r="J105" i="1" s="1"/>
  <c r="C186" i="1"/>
  <c r="C111" i="1"/>
  <c r="J111" i="1" s="1"/>
  <c r="B82" i="1"/>
  <c r="C189" i="1" l="1"/>
  <c r="E61" i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D68" i="1"/>
  <c r="B69" i="1"/>
  <c r="D69" i="1"/>
  <c r="B70" i="1"/>
  <c r="D70" i="1"/>
  <c r="B71" i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F108" i="1" l="1"/>
  <c r="F105" i="1"/>
  <c r="F107" i="1"/>
  <c r="F106" i="1"/>
  <c r="F113" i="1"/>
  <c r="F112" i="1"/>
  <c r="F109" i="1"/>
  <c r="F111" i="1"/>
  <c r="F110" i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L15" i="1"/>
  <c r="K15" i="1"/>
  <c r="D66" i="1"/>
  <c r="C63" i="1"/>
  <c r="C64" i="1"/>
  <c r="C65" i="1"/>
  <c r="C66" i="1"/>
  <c r="C67" i="1"/>
  <c r="C68" i="1"/>
  <c r="C69" i="1"/>
  <c r="C70" i="1"/>
  <c r="C71" i="1"/>
  <c r="F7" i="1"/>
  <c r="F5" i="1"/>
  <c r="E4" i="1"/>
  <c r="B4" i="1"/>
  <c r="B29" i="1" s="1"/>
  <c r="B144" i="1"/>
  <c r="B145" i="1" s="1"/>
  <c r="AV6" i="1" l="1"/>
  <c r="AU6" i="1"/>
  <c r="B151" i="1"/>
  <c r="B147" i="1"/>
  <c r="F8" i="1"/>
  <c r="E5" i="1"/>
  <c r="AU7" i="1" s="1"/>
  <c r="G4" i="1"/>
  <c r="F6" i="1"/>
  <c r="E7" i="1"/>
  <c r="AV7" i="1" l="1"/>
  <c r="AU8" i="1"/>
  <c r="AV8" i="1"/>
  <c r="AU9" i="1"/>
  <c r="AV9" i="1"/>
  <c r="G5" i="1"/>
  <c r="E8" i="1"/>
  <c r="F9" i="1"/>
  <c r="G7" i="1"/>
  <c r="G6" i="1"/>
  <c r="AU10" i="1" l="1"/>
  <c r="AV10" i="1"/>
  <c r="G8" i="1"/>
  <c r="E9" i="1"/>
  <c r="AV11" i="1" s="1"/>
  <c r="F10" i="1"/>
  <c r="AV13" i="1" l="1"/>
  <c r="AU13" i="1"/>
  <c r="AV12" i="1"/>
  <c r="AU11" i="1"/>
  <c r="AU12" i="1"/>
  <c r="X4" i="1" a="1"/>
  <c r="X4" i="1" s="1"/>
  <c r="G9" i="1"/>
  <c r="G11" i="1"/>
  <c r="G10" i="1"/>
  <c r="G12" i="1" l="1"/>
  <c r="AT3" i="1" s="1"/>
  <c r="AU3" i="1" s="1"/>
  <c r="I2" i="1" s="1"/>
  <c r="Y4" i="1"/>
  <c r="X5" i="1"/>
  <c r="C15" i="1"/>
  <c r="AV3" i="1" l="1"/>
  <c r="I3" i="1" s="1"/>
  <c r="G188" i="1" s="1"/>
  <c r="F188" i="1"/>
  <c r="F186" i="1"/>
  <c r="F193" i="1"/>
  <c r="F185" i="1"/>
  <c r="F189" i="1"/>
  <c r="F191" i="1"/>
  <c r="F190" i="1"/>
  <c r="F187" i="1"/>
  <c r="F192" i="1"/>
  <c r="F194" i="1"/>
  <c r="D110" i="1"/>
  <c r="D104" i="1"/>
  <c r="A98" i="1"/>
  <c r="D105" i="1"/>
  <c r="A97" i="1"/>
  <c r="D113" i="1"/>
  <c r="D107" i="1"/>
  <c r="A90" i="1"/>
  <c r="D108" i="1"/>
  <c r="D106" i="1"/>
  <c r="D112" i="1"/>
  <c r="D111" i="1"/>
  <c r="D109" i="1"/>
  <c r="A93" i="1"/>
  <c r="A91" i="1"/>
  <c r="A94" i="1"/>
  <c r="A92" i="1"/>
  <c r="A95" i="1"/>
  <c r="A96" i="1"/>
  <c r="I26" i="1"/>
  <c r="I27" i="1"/>
  <c r="C104" i="1"/>
  <c r="J104" i="1" s="1"/>
  <c r="C185" i="1"/>
  <c r="Y5" i="1"/>
  <c r="Y6" i="1" s="1"/>
  <c r="X6" i="1"/>
  <c r="C62" i="1"/>
  <c r="C25" i="1"/>
  <c r="D25" i="1" s="1"/>
  <c r="B90" i="1" l="1"/>
  <c r="G194" i="1"/>
  <c r="B98" i="1"/>
  <c r="G189" i="1"/>
  <c r="H189" i="1" s="1"/>
  <c r="G187" i="1"/>
  <c r="H187" i="1" s="1"/>
  <c r="E113" i="1"/>
  <c r="K113" i="1" s="1"/>
  <c r="G192" i="1"/>
  <c r="H192" i="1" s="1"/>
  <c r="E109" i="1"/>
  <c r="K109" i="1" s="1"/>
  <c r="B91" i="1"/>
  <c r="E91" i="1" s="1"/>
  <c r="E107" i="1"/>
  <c r="G107" i="1" s="1"/>
  <c r="B96" i="1"/>
  <c r="E106" i="1"/>
  <c r="K106" i="1" s="1"/>
  <c r="G193" i="1"/>
  <c r="H193" i="1" s="1"/>
  <c r="G191" i="1"/>
  <c r="I191" i="1" s="1"/>
  <c r="E108" i="1"/>
  <c r="K108" i="1" s="1"/>
  <c r="E105" i="1"/>
  <c r="K105" i="1" s="1"/>
  <c r="E104" i="1"/>
  <c r="K104" i="1" s="1"/>
  <c r="G190" i="1"/>
  <c r="H190" i="1" s="1"/>
  <c r="B97" i="1"/>
  <c r="E111" i="1"/>
  <c r="K111" i="1" s="1"/>
  <c r="B95" i="1"/>
  <c r="B93" i="1"/>
  <c r="B94" i="1"/>
  <c r="B92" i="1"/>
  <c r="G185" i="1"/>
  <c r="H185" i="1" s="1"/>
  <c r="E110" i="1"/>
  <c r="K110" i="1" s="1"/>
  <c r="G186" i="1"/>
  <c r="H186" i="1" s="1"/>
  <c r="E112" i="1"/>
  <c r="K112" i="1" s="1"/>
  <c r="L113" i="1"/>
  <c r="H113" i="1"/>
  <c r="L111" i="1"/>
  <c r="H111" i="1"/>
  <c r="L105" i="1"/>
  <c r="H105" i="1"/>
  <c r="L112" i="1"/>
  <c r="H112" i="1"/>
  <c r="D98" i="1"/>
  <c r="L108" i="1"/>
  <c r="H108" i="1"/>
  <c r="L110" i="1"/>
  <c r="H110" i="1"/>
  <c r="L106" i="1"/>
  <c r="H106" i="1"/>
  <c r="I194" i="1"/>
  <c r="H194" i="1"/>
  <c r="L109" i="1"/>
  <c r="H109" i="1"/>
  <c r="L107" i="1"/>
  <c r="H107" i="1"/>
  <c r="H188" i="1"/>
  <c r="I188" i="1"/>
  <c r="F104" i="1"/>
  <c r="F114" i="1" s="1"/>
  <c r="J114" i="1"/>
  <c r="J115" i="1" s="1"/>
  <c r="L104" i="1"/>
  <c r="G113" i="1" l="1"/>
  <c r="D94" i="1"/>
  <c r="E92" i="1"/>
  <c r="C93" i="1"/>
  <c r="G111" i="1"/>
  <c r="G109" i="1"/>
  <c r="E94" i="1"/>
  <c r="C94" i="1"/>
  <c r="E93" i="1"/>
  <c r="D93" i="1"/>
  <c r="I192" i="1"/>
  <c r="G106" i="1"/>
  <c r="D91" i="1"/>
  <c r="C96" i="1"/>
  <c r="C92" i="1"/>
  <c r="I186" i="1"/>
  <c r="C91" i="1"/>
  <c r="K107" i="1"/>
  <c r="K114" i="1" s="1"/>
  <c r="J116" i="1" s="1"/>
  <c r="K116" i="1" s="1"/>
  <c r="AA16" i="1" s="1"/>
  <c r="I185" i="1"/>
  <c r="G108" i="1"/>
  <c r="H191" i="1"/>
  <c r="I193" i="1"/>
  <c r="E95" i="1"/>
  <c r="E97" i="1"/>
  <c r="C98" i="1"/>
  <c r="E96" i="1"/>
  <c r="C95" i="1"/>
  <c r="G105" i="1"/>
  <c r="C97" i="1"/>
  <c r="D96" i="1"/>
  <c r="D95" i="1"/>
  <c r="D92" i="1"/>
  <c r="E98" i="1"/>
  <c r="G112" i="1"/>
  <c r="I190" i="1"/>
  <c r="D97" i="1"/>
  <c r="I189" i="1"/>
  <c r="I187" i="1"/>
  <c r="G110" i="1"/>
  <c r="L114" i="1"/>
  <c r="J117" i="1" s="1"/>
  <c r="D126" i="1" s="1"/>
  <c r="D127" i="1"/>
  <c r="Z16" i="1"/>
  <c r="G104" i="1"/>
  <c r="H104" i="1"/>
  <c r="H114" i="1" s="1"/>
  <c r="C99" i="1" l="1"/>
  <c r="B100" i="1" s="1"/>
  <c r="B115" i="1" s="1"/>
  <c r="Z15" i="1" s="1"/>
  <c r="Z13" i="1" s="1"/>
  <c r="G114" i="1"/>
  <c r="D125" i="1"/>
  <c r="J120" i="1"/>
  <c r="J119" i="1"/>
  <c r="K117" i="1"/>
  <c r="AB16" i="1" s="1"/>
  <c r="DY5" i="1" s="1"/>
  <c r="DY8" i="1" s="1"/>
  <c r="DX5" i="1"/>
  <c r="DX8" i="1" s="1"/>
  <c r="AD16" i="1"/>
  <c r="DW5" i="1"/>
  <c r="DW8" i="1" s="1"/>
  <c r="AC16" i="1"/>
  <c r="D99" i="1" l="1"/>
  <c r="B102" i="1" s="1"/>
  <c r="B117" i="1" s="1"/>
  <c r="F126" i="1" s="1"/>
  <c r="E99" i="1"/>
  <c r="B101" i="1" s="1"/>
  <c r="B116" i="1" s="1"/>
  <c r="F125" i="1" s="1"/>
  <c r="F127" i="1"/>
  <c r="B127" i="1"/>
  <c r="AE16" i="1"/>
  <c r="DW4" i="1"/>
  <c r="DW10" i="1" s="1"/>
  <c r="AC15" i="1"/>
  <c r="DW11" i="1"/>
  <c r="EB10" i="1"/>
  <c r="DY11" i="1"/>
  <c r="ED10" i="1"/>
  <c r="DX11" i="1"/>
  <c r="EC10" i="1"/>
  <c r="G71" i="1"/>
  <c r="F66" i="1"/>
  <c r="B41" i="1"/>
  <c r="G65" i="1"/>
  <c r="G64" i="1"/>
  <c r="B38" i="1"/>
  <c r="B43" i="1"/>
  <c r="G69" i="1"/>
  <c r="B42" i="1"/>
  <c r="B39" i="1"/>
  <c r="B37" i="1"/>
  <c r="B44" i="1"/>
  <c r="B40" i="1"/>
  <c r="G63" i="1"/>
  <c r="G70" i="1"/>
  <c r="B45" i="1"/>
  <c r="G66" i="1"/>
  <c r="G62" i="1"/>
  <c r="G68" i="1"/>
  <c r="F69" i="1"/>
  <c r="A40" i="1"/>
  <c r="A39" i="1"/>
  <c r="A42" i="1"/>
  <c r="A43" i="1"/>
  <c r="AA106" i="1" l="1"/>
  <c r="AE68" i="1"/>
  <c r="AA107" i="1"/>
  <c r="AE69" i="1"/>
  <c r="AA102" i="1"/>
  <c r="AE64" i="1"/>
  <c r="AA109" i="1"/>
  <c r="AE71" i="1"/>
  <c r="AA108" i="1"/>
  <c r="AE70" i="1"/>
  <c r="AA110" i="1"/>
  <c r="AE72" i="1"/>
  <c r="AA104" i="1"/>
  <c r="AE66" i="1"/>
  <c r="Z108" i="1"/>
  <c r="AD70" i="1"/>
  <c r="AA103" i="1"/>
  <c r="AE65" i="1"/>
  <c r="Z105" i="1"/>
  <c r="AD67" i="1"/>
  <c r="AA105" i="1"/>
  <c r="AE67" i="1"/>
  <c r="Z107" i="1"/>
  <c r="AD69" i="1"/>
  <c r="Z104" i="1"/>
  <c r="AD66" i="1"/>
  <c r="H66" i="1"/>
  <c r="Q66" i="1" s="1"/>
  <c r="I66" i="1"/>
  <c r="R66" i="1" s="1"/>
  <c r="C117" i="1"/>
  <c r="AB15" i="1" s="1"/>
  <c r="DY4" i="1" s="1"/>
  <c r="DY10" i="1" s="1"/>
  <c r="B119" i="1"/>
  <c r="B126" i="1"/>
  <c r="B131" i="1"/>
  <c r="C116" i="1"/>
  <c r="AA15" i="1" s="1"/>
  <c r="DX4" i="1" s="1"/>
  <c r="DX10" i="1" s="1"/>
  <c r="B125" i="1"/>
  <c r="B120" i="1"/>
  <c r="EG10" i="1"/>
  <c r="EH10" i="1" s="1"/>
  <c r="EC12" i="1"/>
  <c r="EF10" i="1"/>
  <c r="F65" i="1"/>
  <c r="A45" i="1"/>
  <c r="AD72" i="1" s="1"/>
  <c r="F62" i="1"/>
  <c r="A44" i="1"/>
  <c r="AD71" i="1" s="1"/>
  <c r="F68" i="1"/>
  <c r="Q68" i="1" s="1"/>
  <c r="F70" i="1"/>
  <c r="Q70" i="1" s="1"/>
  <c r="A37" i="1"/>
  <c r="AD64" i="1" s="1"/>
  <c r="F71" i="1"/>
  <c r="A38" i="1"/>
  <c r="AD65" i="1" s="1"/>
  <c r="AF65" i="1" s="1"/>
  <c r="F63" i="1"/>
  <c r="F67" i="1"/>
  <c r="A41" i="1"/>
  <c r="AD68" i="1" s="1"/>
  <c r="F64" i="1"/>
  <c r="G67" i="1"/>
  <c r="Q69" i="1"/>
  <c r="D39" i="1"/>
  <c r="C40" i="1"/>
  <c r="D51" i="1" s="1"/>
  <c r="C43" i="1"/>
  <c r="D54" i="1" s="1"/>
  <c r="D40" i="1"/>
  <c r="E51" i="1" s="1"/>
  <c r="C42" i="1"/>
  <c r="D53" i="1" s="1"/>
  <c r="C39" i="1"/>
  <c r="D42" i="1"/>
  <c r="E53" i="1" s="1"/>
  <c r="D43" i="1"/>
  <c r="E54" i="1" s="1"/>
  <c r="AF70" i="1" l="1"/>
  <c r="AK70" i="1"/>
  <c r="AH70" i="1"/>
  <c r="AJ70" i="1"/>
  <c r="AG70" i="1"/>
  <c r="AI70" i="1"/>
  <c r="AL72" i="1"/>
  <c r="AF72" i="1"/>
  <c r="AK72" i="1"/>
  <c r="AH72" i="1"/>
  <c r="AG72" i="1"/>
  <c r="AJ72" i="1"/>
  <c r="AI72" i="1"/>
  <c r="AG66" i="1"/>
  <c r="AG73" i="1" s="1"/>
  <c r="AF66" i="1"/>
  <c r="AF73" i="1" s="1"/>
  <c r="AG67" i="1"/>
  <c r="AH67" i="1"/>
  <c r="AF67" i="1"/>
  <c r="AG68" i="1"/>
  <c r="AI68" i="1"/>
  <c r="AF68" i="1"/>
  <c r="AH68" i="1"/>
  <c r="AK71" i="1"/>
  <c r="AL71" i="1"/>
  <c r="AL73" i="1" s="1"/>
  <c r="AF71" i="1"/>
  <c r="AH71" i="1"/>
  <c r="AG71" i="1"/>
  <c r="AJ71" i="1"/>
  <c r="AI71" i="1"/>
  <c r="AH69" i="1"/>
  <c r="AJ69" i="1"/>
  <c r="AJ73" i="1" s="1"/>
  <c r="AI69" i="1"/>
  <c r="AG69" i="1"/>
  <c r="AF69" i="1"/>
  <c r="DW14" i="1"/>
  <c r="DX18" i="1" s="1"/>
  <c r="AE15" i="1"/>
  <c r="B133" i="1"/>
  <c r="BX5" i="1" s="1"/>
  <c r="CF5" i="1" s="1"/>
  <c r="B132" i="1"/>
  <c r="BW5" i="1" s="1"/>
  <c r="BX25" i="1" s="1"/>
  <c r="AD15" i="1"/>
  <c r="H64" i="1"/>
  <c r="Q64" i="1" s="1"/>
  <c r="I64" i="1"/>
  <c r="R64" i="1" s="1"/>
  <c r="I62" i="1"/>
  <c r="H62" i="1"/>
  <c r="D44" i="1"/>
  <c r="E55" i="1" s="1"/>
  <c r="C56" i="1" s="1"/>
  <c r="Z109" i="1"/>
  <c r="H63" i="1"/>
  <c r="Q63" i="1" s="1"/>
  <c r="I63" i="1"/>
  <c r="R63" i="1" s="1"/>
  <c r="C45" i="1"/>
  <c r="D56" i="1" s="1"/>
  <c r="D164" i="1" s="1"/>
  <c r="D175" i="1" s="1"/>
  <c r="Z110" i="1"/>
  <c r="C37" i="1"/>
  <c r="Q81" i="1" s="1"/>
  <c r="Z102" i="1"/>
  <c r="D38" i="1"/>
  <c r="E49" i="1" s="1"/>
  <c r="E157" i="1" s="1"/>
  <c r="Z103" i="1"/>
  <c r="I65" i="1"/>
  <c r="R65" i="1" s="1"/>
  <c r="H65" i="1"/>
  <c r="Q65" i="1" s="1"/>
  <c r="C41" i="1"/>
  <c r="D52" i="1" s="1"/>
  <c r="D160" i="1" s="1"/>
  <c r="D171" i="1" s="1"/>
  <c r="Z106" i="1"/>
  <c r="D50" i="1"/>
  <c r="B51" i="1" s="1"/>
  <c r="B159" i="1" s="1"/>
  <c r="B170" i="1" s="1"/>
  <c r="E50" i="1"/>
  <c r="E158" i="1" s="1"/>
  <c r="R71" i="1"/>
  <c r="R69" i="1"/>
  <c r="EJ10" i="1"/>
  <c r="EI10" i="1"/>
  <c r="ED12" i="1"/>
  <c r="C52" i="1"/>
  <c r="E159" i="1"/>
  <c r="B55" i="1"/>
  <c r="B163" i="1" s="1"/>
  <c r="B174" i="1" s="1"/>
  <c r="D162" i="1"/>
  <c r="D173" i="1" s="1"/>
  <c r="B52" i="1"/>
  <c r="B160" i="1" s="1"/>
  <c r="B171" i="1" s="1"/>
  <c r="D159" i="1"/>
  <c r="D170" i="1" s="1"/>
  <c r="C54" i="1"/>
  <c r="E161" i="1"/>
  <c r="C55" i="1"/>
  <c r="E162" i="1"/>
  <c r="B54" i="1"/>
  <c r="B162" i="1" s="1"/>
  <c r="B173" i="1" s="1"/>
  <c r="D161" i="1"/>
  <c r="D172" i="1" s="1"/>
  <c r="D45" i="1"/>
  <c r="E56" i="1" s="1"/>
  <c r="E164" i="1" s="1"/>
  <c r="C44" i="1"/>
  <c r="D37" i="1"/>
  <c r="C38" i="1"/>
  <c r="D49" i="1" s="1"/>
  <c r="Q71" i="1"/>
  <c r="D41" i="1"/>
  <c r="Q67" i="1"/>
  <c r="AI73" i="1" l="1"/>
  <c r="AH73" i="1"/>
  <c r="AK73" i="1"/>
  <c r="Q82" i="1"/>
  <c r="G38" i="1"/>
  <c r="G37" i="1"/>
  <c r="BY370" i="1"/>
  <c r="CA370" i="1" s="1"/>
  <c r="BY356" i="1"/>
  <c r="CA356" i="1" s="1"/>
  <c r="BY328" i="1"/>
  <c r="CA328" i="1" s="1"/>
  <c r="BY360" i="1"/>
  <c r="CA360" i="1" s="1"/>
  <c r="BY271" i="1"/>
  <c r="CA271" i="1" s="1"/>
  <c r="BY161" i="1"/>
  <c r="CA161" i="1" s="1"/>
  <c r="BY368" i="1"/>
  <c r="CA368" i="1" s="1"/>
  <c r="BY233" i="1"/>
  <c r="CA233" i="1" s="1"/>
  <c r="BY364" i="1"/>
  <c r="CA364" i="1" s="1"/>
  <c r="BY225" i="1"/>
  <c r="CA225" i="1" s="1"/>
  <c r="BY171" i="1"/>
  <c r="CA171" i="1" s="1"/>
  <c r="BY15" i="1"/>
  <c r="CA15" i="1" s="1"/>
  <c r="BY346" i="1"/>
  <c r="CA346" i="1" s="1"/>
  <c r="BY374" i="1"/>
  <c r="CA374" i="1" s="1"/>
  <c r="BY320" i="1"/>
  <c r="CA320" i="1" s="1"/>
  <c r="BY314" i="1"/>
  <c r="CA314" i="1" s="1"/>
  <c r="BY350" i="1"/>
  <c r="CA350" i="1" s="1"/>
  <c r="BY288" i="1"/>
  <c r="CA288" i="1" s="1"/>
  <c r="BY342" i="1"/>
  <c r="CA342" i="1" s="1"/>
  <c r="BY319" i="1"/>
  <c r="CA319" i="1" s="1"/>
  <c r="BY332" i="1"/>
  <c r="CA332" i="1" s="1"/>
  <c r="BY282" i="1"/>
  <c r="CA282" i="1" s="1"/>
  <c r="BY361" i="1"/>
  <c r="CA361" i="1" s="1"/>
  <c r="BY353" i="1"/>
  <c r="CA353" i="1" s="1"/>
  <c r="DX16" i="1"/>
  <c r="DY18" i="1"/>
  <c r="DW16" i="1"/>
  <c r="DX17" i="1"/>
  <c r="DY16" i="1"/>
  <c r="DW18" i="1"/>
  <c r="DY17" i="1"/>
  <c r="DW17" i="1"/>
  <c r="BY313" i="1"/>
  <c r="CA313" i="1" s="1"/>
  <c r="BY273" i="1"/>
  <c r="CA273" i="1" s="1"/>
  <c r="BY354" i="1"/>
  <c r="CA354" i="1" s="1"/>
  <c r="BY366" i="1"/>
  <c r="CA366" i="1" s="1"/>
  <c r="BY330" i="1"/>
  <c r="CA330" i="1" s="1"/>
  <c r="BY294" i="1"/>
  <c r="CA294" i="1" s="1"/>
  <c r="BY367" i="1"/>
  <c r="CA367" i="1" s="1"/>
  <c r="BY321" i="1"/>
  <c r="CA321" i="1" s="1"/>
  <c r="BY281" i="1"/>
  <c r="CA281" i="1" s="1"/>
  <c r="BY239" i="1"/>
  <c r="CA239" i="1" s="1"/>
  <c r="BY173" i="1"/>
  <c r="CA173" i="1" s="1"/>
  <c r="BY336" i="1"/>
  <c r="CA336" i="1" s="1"/>
  <c r="BY352" i="1"/>
  <c r="CA352" i="1" s="1"/>
  <c r="BY312" i="1"/>
  <c r="CA312" i="1" s="1"/>
  <c r="BY280" i="1"/>
  <c r="CA280" i="1" s="1"/>
  <c r="BY351" i="1"/>
  <c r="CA351" i="1" s="1"/>
  <c r="BY305" i="1"/>
  <c r="CA305" i="1" s="1"/>
  <c r="BY265" i="1"/>
  <c r="CA265" i="1" s="1"/>
  <c r="BY223" i="1"/>
  <c r="CA223" i="1" s="1"/>
  <c r="BY240" i="1"/>
  <c r="CA240" i="1" s="1"/>
  <c r="BY348" i="1"/>
  <c r="CA348" i="1" s="1"/>
  <c r="BY310" i="1"/>
  <c r="CA310" i="1" s="1"/>
  <c r="BY278" i="1"/>
  <c r="CA278" i="1" s="1"/>
  <c r="BY345" i="1"/>
  <c r="CA345" i="1" s="1"/>
  <c r="BY303" i="1"/>
  <c r="CA303" i="1" s="1"/>
  <c r="BY257" i="1"/>
  <c r="CA257" i="1" s="1"/>
  <c r="BY217" i="1"/>
  <c r="CA217" i="1" s="1"/>
  <c r="BY214" i="1"/>
  <c r="CA214" i="1" s="1"/>
  <c r="BY362" i="1"/>
  <c r="CA362" i="1" s="1"/>
  <c r="BY326" i="1"/>
  <c r="CA326" i="1" s="1"/>
  <c r="BY338" i="1"/>
  <c r="CA338" i="1" s="1"/>
  <c r="BY298" i="1"/>
  <c r="CA298" i="1" s="1"/>
  <c r="BY371" i="1"/>
  <c r="CA371" i="1" s="1"/>
  <c r="BY335" i="1"/>
  <c r="CA335" i="1" s="1"/>
  <c r="BY289" i="1"/>
  <c r="CA289" i="1" s="1"/>
  <c r="BY249" i="1"/>
  <c r="CA249" i="1" s="1"/>
  <c r="BY207" i="1"/>
  <c r="CA207" i="1" s="1"/>
  <c r="BY304" i="1"/>
  <c r="CA304" i="1" s="1"/>
  <c r="BY272" i="1"/>
  <c r="CA272" i="1" s="1"/>
  <c r="BY337" i="1"/>
  <c r="CA337" i="1" s="1"/>
  <c r="BY297" i="1"/>
  <c r="CA297" i="1" s="1"/>
  <c r="BY255" i="1"/>
  <c r="CA255" i="1" s="1"/>
  <c r="BY209" i="1"/>
  <c r="CA209" i="1" s="1"/>
  <c r="BY358" i="1"/>
  <c r="CA358" i="1" s="1"/>
  <c r="BY372" i="1"/>
  <c r="CA372" i="1" s="1"/>
  <c r="BY334" i="1"/>
  <c r="CA334" i="1" s="1"/>
  <c r="BY296" i="1"/>
  <c r="CA296" i="1" s="1"/>
  <c r="BY369" i="1"/>
  <c r="CA369" i="1" s="1"/>
  <c r="BY329" i="1"/>
  <c r="CA329" i="1" s="1"/>
  <c r="BY287" i="1"/>
  <c r="CA287" i="1" s="1"/>
  <c r="BY241" i="1"/>
  <c r="CA241" i="1" s="1"/>
  <c r="BY181" i="1"/>
  <c r="CA181" i="1" s="1"/>
  <c r="BY201" i="1"/>
  <c r="CA201" i="1" s="1"/>
  <c r="BY193" i="1"/>
  <c r="CA193" i="1" s="1"/>
  <c r="BY191" i="1"/>
  <c r="CA191" i="1" s="1"/>
  <c r="BY355" i="1"/>
  <c r="CA355" i="1" s="1"/>
  <c r="BY339" i="1"/>
  <c r="CA339" i="1" s="1"/>
  <c r="BY323" i="1"/>
  <c r="CA323" i="1" s="1"/>
  <c r="BY307" i="1"/>
  <c r="CA307" i="1" s="1"/>
  <c r="BY291" i="1"/>
  <c r="CA291" i="1" s="1"/>
  <c r="BY275" i="1"/>
  <c r="CA275" i="1" s="1"/>
  <c r="BY259" i="1"/>
  <c r="CA259" i="1" s="1"/>
  <c r="BY243" i="1"/>
  <c r="CA243" i="1" s="1"/>
  <c r="BY227" i="1"/>
  <c r="CA227" i="1" s="1"/>
  <c r="BY211" i="1"/>
  <c r="CA211" i="1" s="1"/>
  <c r="BY195" i="1"/>
  <c r="CA195" i="1" s="1"/>
  <c r="BY175" i="1"/>
  <c r="CA175" i="1" s="1"/>
  <c r="BY262" i="1"/>
  <c r="CA262" i="1" s="1"/>
  <c r="BY324" i="1"/>
  <c r="CA324" i="1" s="1"/>
  <c r="BY308" i="1"/>
  <c r="CA308" i="1" s="1"/>
  <c r="BY292" i="1"/>
  <c r="CA292" i="1" s="1"/>
  <c r="BY276" i="1"/>
  <c r="CA276" i="1" s="1"/>
  <c r="BY365" i="1"/>
  <c r="CA365" i="1" s="1"/>
  <c r="BY349" i="1"/>
  <c r="CA349" i="1" s="1"/>
  <c r="BY333" i="1"/>
  <c r="CA333" i="1" s="1"/>
  <c r="BY317" i="1"/>
  <c r="CA317" i="1" s="1"/>
  <c r="BY301" i="1"/>
  <c r="CA301" i="1" s="1"/>
  <c r="BY285" i="1"/>
  <c r="CA285" i="1" s="1"/>
  <c r="BY269" i="1"/>
  <c r="CA269" i="1" s="1"/>
  <c r="BY253" i="1"/>
  <c r="CA253" i="1" s="1"/>
  <c r="BY237" i="1"/>
  <c r="CA237" i="1" s="1"/>
  <c r="BY221" i="1"/>
  <c r="CA221" i="1" s="1"/>
  <c r="BY205" i="1"/>
  <c r="CA205" i="1" s="1"/>
  <c r="BY189" i="1"/>
  <c r="CA189" i="1" s="1"/>
  <c r="BY165" i="1"/>
  <c r="CA165" i="1" s="1"/>
  <c r="BY204" i="1"/>
  <c r="CA204" i="1" s="1"/>
  <c r="BY322" i="1"/>
  <c r="CA322" i="1" s="1"/>
  <c r="BY306" i="1"/>
  <c r="CA306" i="1" s="1"/>
  <c r="BY290" i="1"/>
  <c r="CA290" i="1" s="1"/>
  <c r="BY274" i="1"/>
  <c r="CA274" i="1" s="1"/>
  <c r="BY363" i="1"/>
  <c r="CA363" i="1" s="1"/>
  <c r="BY347" i="1"/>
  <c r="CA347" i="1" s="1"/>
  <c r="BY331" i="1"/>
  <c r="CA331" i="1" s="1"/>
  <c r="BY315" i="1"/>
  <c r="CA315" i="1" s="1"/>
  <c r="BY299" i="1"/>
  <c r="CA299" i="1" s="1"/>
  <c r="BY283" i="1"/>
  <c r="CA283" i="1" s="1"/>
  <c r="BY267" i="1"/>
  <c r="CA267" i="1" s="1"/>
  <c r="BY251" i="1"/>
  <c r="CA251" i="1" s="1"/>
  <c r="BY235" i="1"/>
  <c r="CA235" i="1" s="1"/>
  <c r="BY219" i="1"/>
  <c r="CA219" i="1" s="1"/>
  <c r="BY203" i="1"/>
  <c r="CA203" i="1" s="1"/>
  <c r="BY187" i="1"/>
  <c r="CA187" i="1" s="1"/>
  <c r="BY163" i="1"/>
  <c r="CA163" i="1" s="1"/>
  <c r="BY17" i="1"/>
  <c r="CA17" i="1" s="1"/>
  <c r="BY344" i="1"/>
  <c r="CA344" i="1" s="1"/>
  <c r="BY318" i="1"/>
  <c r="CA318" i="1" s="1"/>
  <c r="BY302" i="1"/>
  <c r="CA302" i="1" s="1"/>
  <c r="BY286" i="1"/>
  <c r="CA286" i="1" s="1"/>
  <c r="BY375" i="1"/>
  <c r="CA375" i="1" s="1"/>
  <c r="BY359" i="1"/>
  <c r="CA359" i="1" s="1"/>
  <c r="BY343" i="1"/>
  <c r="CA343" i="1" s="1"/>
  <c r="BY327" i="1"/>
  <c r="CA327" i="1" s="1"/>
  <c r="BY311" i="1"/>
  <c r="CA311" i="1" s="1"/>
  <c r="BY295" i="1"/>
  <c r="CA295" i="1" s="1"/>
  <c r="BY279" i="1"/>
  <c r="CA279" i="1" s="1"/>
  <c r="BY263" i="1"/>
  <c r="CA263" i="1" s="1"/>
  <c r="BY247" i="1"/>
  <c r="CA247" i="1" s="1"/>
  <c r="BY231" i="1"/>
  <c r="CA231" i="1" s="1"/>
  <c r="BY215" i="1"/>
  <c r="CA215" i="1" s="1"/>
  <c r="BY199" i="1"/>
  <c r="CA199" i="1" s="1"/>
  <c r="BY179" i="1"/>
  <c r="CA179" i="1" s="1"/>
  <c r="BY159" i="1"/>
  <c r="CA159" i="1" s="1"/>
  <c r="BY340" i="1"/>
  <c r="CA340" i="1" s="1"/>
  <c r="BY316" i="1"/>
  <c r="CA316" i="1" s="1"/>
  <c r="BY300" i="1"/>
  <c r="CA300" i="1" s="1"/>
  <c r="BY284" i="1"/>
  <c r="CA284" i="1" s="1"/>
  <c r="BY373" i="1"/>
  <c r="CA373" i="1" s="1"/>
  <c r="BY357" i="1"/>
  <c r="CA357" i="1" s="1"/>
  <c r="BY341" i="1"/>
  <c r="CA341" i="1" s="1"/>
  <c r="BY325" i="1"/>
  <c r="CA325" i="1" s="1"/>
  <c r="BY309" i="1"/>
  <c r="CA309" i="1" s="1"/>
  <c r="BY293" i="1"/>
  <c r="CA293" i="1" s="1"/>
  <c r="BY277" i="1"/>
  <c r="CA277" i="1" s="1"/>
  <c r="BY261" i="1"/>
  <c r="CA261" i="1" s="1"/>
  <c r="BY245" i="1"/>
  <c r="CA245" i="1" s="1"/>
  <c r="BY229" i="1"/>
  <c r="CA229" i="1" s="1"/>
  <c r="BY213" i="1"/>
  <c r="CA213" i="1" s="1"/>
  <c r="BY197" i="1"/>
  <c r="CA197" i="1" s="1"/>
  <c r="BY177" i="1"/>
  <c r="CA177" i="1" s="1"/>
  <c r="BY145" i="1"/>
  <c r="CA145" i="1" s="1"/>
  <c r="BY149" i="1"/>
  <c r="CA149" i="1" s="1"/>
  <c r="BY139" i="1"/>
  <c r="CA139" i="1" s="1"/>
  <c r="BY133" i="1"/>
  <c r="CA133" i="1" s="1"/>
  <c r="BY131" i="1"/>
  <c r="CA131" i="1" s="1"/>
  <c r="BY129" i="1"/>
  <c r="CA129" i="1" s="1"/>
  <c r="BY127" i="1"/>
  <c r="CA127" i="1" s="1"/>
  <c r="BY157" i="1"/>
  <c r="CA157" i="1" s="1"/>
  <c r="BY264" i="1"/>
  <c r="CA264" i="1" s="1"/>
  <c r="BY155" i="1"/>
  <c r="CA155" i="1" s="1"/>
  <c r="BY123" i="1"/>
  <c r="CA123" i="1" s="1"/>
  <c r="BY147" i="1"/>
  <c r="CA147" i="1" s="1"/>
  <c r="BY115" i="1"/>
  <c r="CA115" i="1" s="1"/>
  <c r="BY143" i="1"/>
  <c r="CA143" i="1" s="1"/>
  <c r="BY111" i="1"/>
  <c r="CA111" i="1" s="1"/>
  <c r="BY270" i="1"/>
  <c r="CA270" i="1" s="1"/>
  <c r="BY176" i="1"/>
  <c r="CA176" i="1" s="1"/>
  <c r="BY260" i="1"/>
  <c r="CA260" i="1" s="1"/>
  <c r="BY242" i="1"/>
  <c r="CA242" i="1" s="1"/>
  <c r="BY125" i="1"/>
  <c r="CA125" i="1" s="1"/>
  <c r="BY258" i="1"/>
  <c r="CA258" i="1" s="1"/>
  <c r="BY141" i="1"/>
  <c r="CA141" i="1" s="1"/>
  <c r="BY117" i="1"/>
  <c r="CA117" i="1" s="1"/>
  <c r="BY256" i="1"/>
  <c r="CA256" i="1" s="1"/>
  <c r="BY113" i="1"/>
  <c r="CA113" i="1" s="1"/>
  <c r="BY254" i="1"/>
  <c r="CA254" i="1" s="1"/>
  <c r="BY109" i="1"/>
  <c r="CA109" i="1" s="1"/>
  <c r="BY246" i="1"/>
  <c r="CA246" i="1" s="1"/>
  <c r="BY244" i="1"/>
  <c r="CA244" i="1" s="1"/>
  <c r="BY73" i="1"/>
  <c r="CA73" i="1" s="1"/>
  <c r="BY238" i="1"/>
  <c r="CA238" i="1" s="1"/>
  <c r="BY236" i="1"/>
  <c r="CA236" i="1" s="1"/>
  <c r="BY185" i="1"/>
  <c r="CA185" i="1" s="1"/>
  <c r="BY169" i="1"/>
  <c r="CA169" i="1" s="1"/>
  <c r="BY153" i="1"/>
  <c r="CA153" i="1" s="1"/>
  <c r="BY137" i="1"/>
  <c r="CA137" i="1" s="1"/>
  <c r="BY121" i="1"/>
  <c r="CA121" i="1" s="1"/>
  <c r="BY268" i="1"/>
  <c r="CA268" i="1" s="1"/>
  <c r="BY252" i="1"/>
  <c r="CA252" i="1" s="1"/>
  <c r="BY232" i="1"/>
  <c r="CA232" i="1" s="1"/>
  <c r="BY183" i="1"/>
  <c r="CA183" i="1" s="1"/>
  <c r="BY167" i="1"/>
  <c r="CA167" i="1" s="1"/>
  <c r="BY151" i="1"/>
  <c r="CA151" i="1" s="1"/>
  <c r="BY135" i="1"/>
  <c r="CA135" i="1" s="1"/>
  <c r="BY119" i="1"/>
  <c r="CA119" i="1" s="1"/>
  <c r="BY266" i="1"/>
  <c r="CA266" i="1" s="1"/>
  <c r="BY248" i="1"/>
  <c r="CA248" i="1" s="1"/>
  <c r="BY218" i="1"/>
  <c r="CA218" i="1" s="1"/>
  <c r="BY230" i="1"/>
  <c r="CA230" i="1" s="1"/>
  <c r="BY228" i="1"/>
  <c r="CA228" i="1" s="1"/>
  <c r="BY220" i="1"/>
  <c r="CA220" i="1" s="1"/>
  <c r="BY26" i="1"/>
  <c r="CA26" i="1" s="1"/>
  <c r="BY208" i="1"/>
  <c r="CA208" i="1" s="1"/>
  <c r="BY250" i="1"/>
  <c r="CA250" i="1" s="1"/>
  <c r="BY234" i="1"/>
  <c r="CA234" i="1" s="1"/>
  <c r="BY206" i="1"/>
  <c r="CA206" i="1" s="1"/>
  <c r="BY96" i="1"/>
  <c r="CA96" i="1" s="1"/>
  <c r="BY226" i="1"/>
  <c r="CA226" i="1" s="1"/>
  <c r="BY202" i="1"/>
  <c r="CA202" i="1" s="1"/>
  <c r="BY224" i="1"/>
  <c r="CA224" i="1" s="1"/>
  <c r="BY178" i="1"/>
  <c r="CA178" i="1" s="1"/>
  <c r="BY222" i="1"/>
  <c r="CA222" i="1" s="1"/>
  <c r="BY198" i="1"/>
  <c r="CA198" i="1" s="1"/>
  <c r="BY196" i="1"/>
  <c r="CA196" i="1" s="1"/>
  <c r="BY216" i="1"/>
  <c r="CA216" i="1" s="1"/>
  <c r="BY194" i="1"/>
  <c r="CA194" i="1" s="1"/>
  <c r="BY212" i="1"/>
  <c r="CA212" i="1" s="1"/>
  <c r="BY188" i="1"/>
  <c r="CA188" i="1" s="1"/>
  <c r="BY182" i="1"/>
  <c r="CA182" i="1" s="1"/>
  <c r="BY34" i="1"/>
  <c r="CA34" i="1" s="1"/>
  <c r="BY174" i="1"/>
  <c r="CA174" i="1" s="1"/>
  <c r="BY172" i="1"/>
  <c r="CA172" i="1" s="1"/>
  <c r="BY164" i="1"/>
  <c r="CA164" i="1" s="1"/>
  <c r="BY210" i="1"/>
  <c r="CA210" i="1" s="1"/>
  <c r="BY192" i="1"/>
  <c r="CA192" i="1" s="1"/>
  <c r="BY144" i="1"/>
  <c r="CA144" i="1" s="1"/>
  <c r="BY190" i="1"/>
  <c r="CA190" i="1" s="1"/>
  <c r="BY160" i="1"/>
  <c r="CA160" i="1" s="1"/>
  <c r="BY186" i="1"/>
  <c r="CA186" i="1" s="1"/>
  <c r="BY154" i="1"/>
  <c r="CA154" i="1" s="1"/>
  <c r="BY180" i="1"/>
  <c r="CA180" i="1" s="1"/>
  <c r="BY152" i="1"/>
  <c r="CA152" i="1" s="1"/>
  <c r="BY146" i="1"/>
  <c r="CA146" i="1" s="1"/>
  <c r="BY142" i="1"/>
  <c r="CA142" i="1" s="1"/>
  <c r="BY170" i="1"/>
  <c r="CA170" i="1" s="1"/>
  <c r="BY120" i="1"/>
  <c r="CA120" i="1" s="1"/>
  <c r="BY140" i="1"/>
  <c r="CA140" i="1" s="1"/>
  <c r="BY162" i="1"/>
  <c r="CA162" i="1" s="1"/>
  <c r="BY130" i="1"/>
  <c r="CA130" i="1" s="1"/>
  <c r="BY156" i="1"/>
  <c r="CA156" i="1" s="1"/>
  <c r="BY126" i="1"/>
  <c r="CA126" i="1" s="1"/>
  <c r="BY122" i="1"/>
  <c r="CA122" i="1" s="1"/>
  <c r="BY110" i="1"/>
  <c r="CA110" i="1" s="1"/>
  <c r="BY106" i="1"/>
  <c r="CA106" i="1" s="1"/>
  <c r="BY104" i="1"/>
  <c r="CA104" i="1" s="1"/>
  <c r="BY81" i="1"/>
  <c r="CA81" i="1" s="1"/>
  <c r="BY136" i="1"/>
  <c r="CA136" i="1" s="1"/>
  <c r="BY99" i="1"/>
  <c r="CA99" i="1" s="1"/>
  <c r="BY97" i="1"/>
  <c r="CA97" i="1" s="1"/>
  <c r="BY124" i="1"/>
  <c r="CA124" i="1" s="1"/>
  <c r="BY93" i="1"/>
  <c r="CA93" i="1" s="1"/>
  <c r="BY83" i="1"/>
  <c r="CA83" i="1" s="1"/>
  <c r="BY63" i="1"/>
  <c r="CA63" i="1" s="1"/>
  <c r="BY71" i="1"/>
  <c r="CA71" i="1" s="1"/>
  <c r="BY65" i="1"/>
  <c r="CA65" i="1" s="1"/>
  <c r="BY64" i="1"/>
  <c r="CA64" i="1" s="1"/>
  <c r="BY116" i="1"/>
  <c r="CA116" i="1" s="1"/>
  <c r="BY91" i="1"/>
  <c r="CA91" i="1" s="1"/>
  <c r="BY59" i="1"/>
  <c r="CA59" i="1" s="1"/>
  <c r="BY158" i="1"/>
  <c r="CA158" i="1" s="1"/>
  <c r="BY138" i="1"/>
  <c r="CA138" i="1" s="1"/>
  <c r="BY112" i="1"/>
  <c r="CA112" i="1" s="1"/>
  <c r="BY89" i="1"/>
  <c r="CA89" i="1" s="1"/>
  <c r="BY35" i="1"/>
  <c r="CA35" i="1" s="1"/>
  <c r="BY200" i="1"/>
  <c r="CA200" i="1" s="1"/>
  <c r="BY184" i="1"/>
  <c r="CA184" i="1" s="1"/>
  <c r="BY168" i="1"/>
  <c r="CA168" i="1" s="1"/>
  <c r="BY148" i="1"/>
  <c r="CA148" i="1" s="1"/>
  <c r="BY128" i="1"/>
  <c r="CA128" i="1" s="1"/>
  <c r="BY108" i="1"/>
  <c r="CA108" i="1" s="1"/>
  <c r="BY87" i="1"/>
  <c r="CA87" i="1" s="1"/>
  <c r="BY51" i="1"/>
  <c r="CA51" i="1" s="1"/>
  <c r="BY47" i="1"/>
  <c r="CA47" i="1" s="1"/>
  <c r="BY79" i="1"/>
  <c r="CA79" i="1" s="1"/>
  <c r="BY45" i="1"/>
  <c r="CA45" i="1" s="1"/>
  <c r="BY41" i="1"/>
  <c r="CA41" i="1" s="1"/>
  <c r="BY67" i="1"/>
  <c r="CA67" i="1" s="1"/>
  <c r="BY39" i="1"/>
  <c r="CA39" i="1" s="1"/>
  <c r="BY166" i="1"/>
  <c r="CA166" i="1" s="1"/>
  <c r="BY150" i="1"/>
  <c r="CA150" i="1" s="1"/>
  <c r="BY132" i="1"/>
  <c r="CA132" i="1" s="1"/>
  <c r="BY114" i="1"/>
  <c r="CA114" i="1" s="1"/>
  <c r="BY95" i="1"/>
  <c r="CA95" i="1" s="1"/>
  <c r="BY77" i="1"/>
  <c r="CA77" i="1" s="1"/>
  <c r="BY57" i="1"/>
  <c r="CA57" i="1" s="1"/>
  <c r="BY33" i="1"/>
  <c r="CA33" i="1" s="1"/>
  <c r="BY75" i="1"/>
  <c r="CA75" i="1" s="1"/>
  <c r="BY55" i="1"/>
  <c r="CA55" i="1" s="1"/>
  <c r="BY31" i="1"/>
  <c r="CA31" i="1" s="1"/>
  <c r="BY20" i="1"/>
  <c r="CA20" i="1" s="1"/>
  <c r="BY49" i="1"/>
  <c r="CA49" i="1" s="1"/>
  <c r="BY27" i="1"/>
  <c r="CA27" i="1" s="1"/>
  <c r="BY25" i="1"/>
  <c r="CA25" i="1" s="1"/>
  <c r="BY61" i="1"/>
  <c r="CA61" i="1" s="1"/>
  <c r="BY43" i="1"/>
  <c r="CA43" i="1" s="1"/>
  <c r="BY21" i="1"/>
  <c r="CA21" i="1" s="1"/>
  <c r="BY134" i="1"/>
  <c r="CA134" i="1" s="1"/>
  <c r="BY118" i="1"/>
  <c r="CA118" i="1" s="1"/>
  <c r="BY102" i="1"/>
  <c r="CA102" i="1" s="1"/>
  <c r="BY85" i="1"/>
  <c r="CA85" i="1" s="1"/>
  <c r="BY69" i="1"/>
  <c r="CA69" i="1" s="1"/>
  <c r="BY53" i="1"/>
  <c r="CA53" i="1" s="1"/>
  <c r="BY37" i="1"/>
  <c r="CA37" i="1" s="1"/>
  <c r="BY101" i="1"/>
  <c r="CA101" i="1" s="1"/>
  <c r="BY100" i="1"/>
  <c r="CA100" i="1" s="1"/>
  <c r="BY24" i="1"/>
  <c r="CA24" i="1" s="1"/>
  <c r="BY94" i="1"/>
  <c r="CA94" i="1" s="1"/>
  <c r="BY70" i="1"/>
  <c r="CA70" i="1" s="1"/>
  <c r="BY92" i="1"/>
  <c r="CA92" i="1" s="1"/>
  <c r="BY23" i="1"/>
  <c r="CA23" i="1" s="1"/>
  <c r="BY86" i="1"/>
  <c r="CA86" i="1" s="1"/>
  <c r="BY19" i="1"/>
  <c r="CA19" i="1" s="1"/>
  <c r="BY78" i="1"/>
  <c r="CA78" i="1" s="1"/>
  <c r="BY72" i="1"/>
  <c r="CA72" i="1" s="1"/>
  <c r="BY22" i="1"/>
  <c r="CA22" i="1" s="1"/>
  <c r="BY62" i="1"/>
  <c r="CA62" i="1" s="1"/>
  <c r="BY58" i="1"/>
  <c r="CA58" i="1" s="1"/>
  <c r="BY107" i="1"/>
  <c r="CA107" i="1" s="1"/>
  <c r="BY84" i="1"/>
  <c r="CA84" i="1" s="1"/>
  <c r="BY54" i="1"/>
  <c r="CA54" i="1" s="1"/>
  <c r="BY29" i="1"/>
  <c r="CA29" i="1" s="1"/>
  <c r="BY103" i="1"/>
  <c r="CA103" i="1" s="1"/>
  <c r="BY82" i="1"/>
  <c r="CA82" i="1" s="1"/>
  <c r="BY40" i="1"/>
  <c r="CA40" i="1" s="1"/>
  <c r="BY52" i="1"/>
  <c r="CA52" i="1" s="1"/>
  <c r="BY76" i="1"/>
  <c r="CA76" i="1" s="1"/>
  <c r="BY48" i="1"/>
  <c r="CA48" i="1" s="1"/>
  <c r="BY44" i="1"/>
  <c r="CA44" i="1" s="1"/>
  <c r="BY88" i="1"/>
  <c r="CA88" i="1" s="1"/>
  <c r="BY68" i="1"/>
  <c r="CA68" i="1" s="1"/>
  <c r="BY42" i="1"/>
  <c r="CA42" i="1" s="1"/>
  <c r="BY18" i="1"/>
  <c r="CA18" i="1" s="1"/>
  <c r="BY98" i="1"/>
  <c r="CA98" i="1" s="1"/>
  <c r="BY80" i="1"/>
  <c r="CA80" i="1" s="1"/>
  <c r="BY60" i="1"/>
  <c r="CA60" i="1" s="1"/>
  <c r="BY38" i="1"/>
  <c r="CA38" i="1" s="1"/>
  <c r="BY105" i="1"/>
  <c r="CA105" i="1" s="1"/>
  <c r="BY90" i="1"/>
  <c r="CA90" i="1" s="1"/>
  <c r="BY74" i="1"/>
  <c r="CA74" i="1" s="1"/>
  <c r="BY56" i="1"/>
  <c r="CA56" i="1" s="1"/>
  <c r="BY36" i="1"/>
  <c r="CA36" i="1" s="1"/>
  <c r="BY376" i="1"/>
  <c r="CA376" i="1" s="1"/>
  <c r="BY66" i="1"/>
  <c r="CA66" i="1" s="1"/>
  <c r="BY50" i="1"/>
  <c r="CA50" i="1" s="1"/>
  <c r="BY32" i="1"/>
  <c r="CA32" i="1" s="1"/>
  <c r="BY46" i="1"/>
  <c r="CA46" i="1" s="1"/>
  <c r="BY30" i="1"/>
  <c r="CA30" i="1" s="1"/>
  <c r="BY28" i="1"/>
  <c r="CA28" i="1" s="1"/>
  <c r="BY16" i="1"/>
  <c r="CA16" i="1" s="1"/>
  <c r="CF7" i="1"/>
  <c r="BX373" i="1"/>
  <c r="BX173" i="1"/>
  <c r="BX70" i="1"/>
  <c r="BX89" i="1"/>
  <c r="BX44" i="1"/>
  <c r="BX144" i="1"/>
  <c r="BX68" i="1"/>
  <c r="BX164" i="1"/>
  <c r="BX135" i="1"/>
  <c r="BX230" i="1"/>
  <c r="BX217" i="1"/>
  <c r="BX36" i="1"/>
  <c r="BX270" i="1"/>
  <c r="BX189" i="1"/>
  <c r="BX190" i="1"/>
  <c r="BX237" i="1"/>
  <c r="BX15" i="1"/>
  <c r="BX146" i="1"/>
  <c r="BX356" i="1"/>
  <c r="BX374" i="1"/>
  <c r="BX172" i="1"/>
  <c r="BX236" i="1"/>
  <c r="BX291" i="1"/>
  <c r="BX366" i="1"/>
  <c r="BX54" i="1"/>
  <c r="BX48" i="1"/>
  <c r="BX214" i="1"/>
  <c r="BX157" i="1"/>
  <c r="BX243" i="1"/>
  <c r="BX350" i="1"/>
  <c r="BX35" i="1"/>
  <c r="BX106" i="1"/>
  <c r="BX64" i="1"/>
  <c r="BX160" i="1"/>
  <c r="BX86" i="1"/>
  <c r="BX180" i="1"/>
  <c r="BX151" i="1"/>
  <c r="BX246" i="1"/>
  <c r="BX233" i="1"/>
  <c r="BX78" i="1"/>
  <c r="BX292" i="1"/>
  <c r="BX221" i="1"/>
  <c r="BX97" i="1"/>
  <c r="BX140" i="1"/>
  <c r="BX102" i="1"/>
  <c r="BX210" i="1"/>
  <c r="BX285" i="1"/>
  <c r="BX287" i="1"/>
  <c r="BX222" i="1"/>
  <c r="BX316" i="1"/>
  <c r="BX307" i="1"/>
  <c r="BX279" i="1"/>
  <c r="BX53" i="1"/>
  <c r="BX21" i="1"/>
  <c r="BX82" i="1"/>
  <c r="BX176" i="1"/>
  <c r="BX101" i="1"/>
  <c r="BX196" i="1"/>
  <c r="BX167" i="1"/>
  <c r="BX262" i="1"/>
  <c r="BX249" i="1"/>
  <c r="BX109" i="1"/>
  <c r="BX45" i="1"/>
  <c r="BX253" i="1"/>
  <c r="BX66" i="1"/>
  <c r="BX204" i="1"/>
  <c r="BX187" i="1"/>
  <c r="BX252" i="1"/>
  <c r="BX319" i="1"/>
  <c r="BX303" i="1"/>
  <c r="BX268" i="1"/>
  <c r="BX277" i="1"/>
  <c r="BX327" i="1"/>
  <c r="BX295" i="1"/>
  <c r="BX73" i="1"/>
  <c r="BX128" i="1"/>
  <c r="BX148" i="1"/>
  <c r="BX201" i="1"/>
  <c r="BX34" i="1"/>
  <c r="BX158" i="1"/>
  <c r="BX341" i="1"/>
  <c r="BX218" i="1"/>
  <c r="BX358" i="1"/>
  <c r="BX41" i="1"/>
  <c r="CE5" i="1"/>
  <c r="BX43" i="1"/>
  <c r="BX98" i="1"/>
  <c r="BX192" i="1"/>
  <c r="BX117" i="1"/>
  <c r="BX212" i="1"/>
  <c r="BX183" i="1"/>
  <c r="BX31" i="1"/>
  <c r="BX265" i="1"/>
  <c r="BX141" i="1"/>
  <c r="BX46" i="1"/>
  <c r="BX124" i="1"/>
  <c r="BX100" i="1"/>
  <c r="BX250" i="1"/>
  <c r="BX251" i="1"/>
  <c r="BX288" i="1"/>
  <c r="BX375" i="1"/>
  <c r="BX323" i="1"/>
  <c r="BX296" i="1"/>
  <c r="BX329" i="1"/>
  <c r="BX355" i="1"/>
  <c r="BX313" i="1"/>
  <c r="BX275" i="1"/>
  <c r="BX376" i="1"/>
  <c r="BX37" i="1"/>
  <c r="BX59" i="1"/>
  <c r="BX113" i="1"/>
  <c r="BX208" i="1"/>
  <c r="BX133" i="1"/>
  <c r="BX228" i="1"/>
  <c r="BX199" i="1"/>
  <c r="BX85" i="1"/>
  <c r="BX120" i="1"/>
  <c r="BX40" i="1"/>
  <c r="BX84" i="1"/>
  <c r="BX156" i="1"/>
  <c r="BX131" i="1"/>
  <c r="BX282" i="1"/>
  <c r="BX154" i="1"/>
  <c r="BX306" i="1"/>
  <c r="BX324" i="1"/>
  <c r="BX347" i="1"/>
  <c r="BX312" i="1"/>
  <c r="BX139" i="1"/>
  <c r="BX331" i="1"/>
  <c r="BX333" i="1"/>
  <c r="BX16" i="1"/>
  <c r="BX119" i="1"/>
  <c r="BX238" i="1"/>
  <c r="BX219" i="1"/>
  <c r="BX27" i="1"/>
  <c r="BX55" i="1"/>
  <c r="BX75" i="1"/>
  <c r="BX129" i="1"/>
  <c r="BX224" i="1"/>
  <c r="BX149" i="1"/>
  <c r="BX244" i="1"/>
  <c r="BX215" i="1"/>
  <c r="BX28" i="1"/>
  <c r="BX136" i="1"/>
  <c r="BX80" i="1"/>
  <c r="BX115" i="1"/>
  <c r="BX188" i="1"/>
  <c r="BX163" i="1"/>
  <c r="BX304" i="1"/>
  <c r="BX254" i="1"/>
  <c r="BX322" i="1"/>
  <c r="BX76" i="1"/>
  <c r="BX309" i="1"/>
  <c r="BX328" i="1"/>
  <c r="BX211" i="1"/>
  <c r="BX363" i="1"/>
  <c r="BX365" i="1"/>
  <c r="BX269" i="1"/>
  <c r="CE7" i="1"/>
  <c r="BX71" i="1"/>
  <c r="BX91" i="1"/>
  <c r="BX145" i="1"/>
  <c r="BX240" i="1"/>
  <c r="BX165" i="1"/>
  <c r="BX260" i="1"/>
  <c r="BX231" i="1"/>
  <c r="BX52" i="1"/>
  <c r="BX152" i="1"/>
  <c r="BX111" i="1"/>
  <c r="BX47" i="1"/>
  <c r="BX93" i="1"/>
  <c r="BX195" i="1"/>
  <c r="BX320" i="1"/>
  <c r="BX290" i="1"/>
  <c r="BX338" i="1"/>
  <c r="BX203" i="1"/>
  <c r="BX357" i="1"/>
  <c r="BX344" i="1"/>
  <c r="BX114" i="1"/>
  <c r="BX122" i="1"/>
  <c r="BX171" i="1"/>
  <c r="BX354" i="1"/>
  <c r="BX33" i="1"/>
  <c r="BX104" i="1"/>
  <c r="BX30" i="1"/>
  <c r="BX177" i="1"/>
  <c r="BX271" i="1"/>
  <c r="BX197" i="1"/>
  <c r="BX29" i="1"/>
  <c r="BX263" i="1"/>
  <c r="BX90" i="1"/>
  <c r="BX184" i="1"/>
  <c r="BX175" i="1"/>
  <c r="BX92" i="1"/>
  <c r="BX96" i="1"/>
  <c r="BX259" i="1"/>
  <c r="BX352" i="1"/>
  <c r="BX340" i="1"/>
  <c r="BX370" i="1"/>
  <c r="BX170" i="1"/>
  <c r="BX276" i="1"/>
  <c r="BX273" i="1"/>
  <c r="BX234" i="1"/>
  <c r="BX300" i="1"/>
  <c r="BX235" i="1"/>
  <c r="BX51" i="1"/>
  <c r="BX26" i="1"/>
  <c r="BX61" i="1"/>
  <c r="BX193" i="1"/>
  <c r="BX286" i="1"/>
  <c r="BX213" i="1"/>
  <c r="BX81" i="1"/>
  <c r="BX118" i="1"/>
  <c r="BX105" i="1"/>
  <c r="BX200" i="1"/>
  <c r="BX207" i="1"/>
  <c r="BX123" i="1"/>
  <c r="BX127" i="1"/>
  <c r="BX130" i="1"/>
  <c r="BX368" i="1"/>
  <c r="BX372" i="1"/>
  <c r="BX283" i="1"/>
  <c r="BX220" i="1"/>
  <c r="BX332" i="1"/>
  <c r="BX289" i="1"/>
  <c r="BX272" i="1"/>
  <c r="BX348" i="1"/>
  <c r="BX138" i="1"/>
  <c r="BX17" i="1"/>
  <c r="BX181" i="1"/>
  <c r="BX143" i="1"/>
  <c r="BX178" i="1"/>
  <c r="BX67" i="1"/>
  <c r="BX42" i="1"/>
  <c r="BX63" i="1"/>
  <c r="BX209" i="1"/>
  <c r="BX77" i="1"/>
  <c r="BX229" i="1"/>
  <c r="BX24" i="1"/>
  <c r="BX134" i="1"/>
  <c r="BX121" i="1"/>
  <c r="BX216" i="1"/>
  <c r="BX239" i="1"/>
  <c r="BX155" i="1"/>
  <c r="BX159" i="1"/>
  <c r="BX162" i="1"/>
  <c r="BX281" i="1"/>
  <c r="BX301" i="1"/>
  <c r="BX299" i="1"/>
  <c r="BX266" i="1"/>
  <c r="BX364" i="1"/>
  <c r="BX305" i="1"/>
  <c r="BX298" i="1"/>
  <c r="BX293" i="1"/>
  <c r="BX202" i="1"/>
  <c r="BX256" i="1"/>
  <c r="BX247" i="1"/>
  <c r="BX56" i="1"/>
  <c r="BX267" i="1"/>
  <c r="BX83" i="1"/>
  <c r="BX58" i="1"/>
  <c r="BX95" i="1"/>
  <c r="BX225" i="1"/>
  <c r="BX18" i="1"/>
  <c r="BX245" i="1"/>
  <c r="BX50" i="1"/>
  <c r="BX150" i="1"/>
  <c r="BX137" i="1"/>
  <c r="BX232" i="1"/>
  <c r="BX110" i="1"/>
  <c r="BX49" i="1"/>
  <c r="BX191" i="1"/>
  <c r="BX194" i="1"/>
  <c r="BX297" i="1"/>
  <c r="BX345" i="1"/>
  <c r="BX317" i="1"/>
  <c r="BX294" i="1"/>
  <c r="BX311" i="1"/>
  <c r="BX325" i="1"/>
  <c r="BX314" i="1"/>
  <c r="BX335" i="1"/>
  <c r="BX242" i="1"/>
  <c r="BX108" i="1"/>
  <c r="BX274" i="1"/>
  <c r="BX168" i="1"/>
  <c r="BX62" i="1"/>
  <c r="BX227" i="1"/>
  <c r="BX336" i="1"/>
  <c r="BX308" i="1"/>
  <c r="BX186" i="1"/>
  <c r="BX99" i="1"/>
  <c r="BX19" i="1"/>
  <c r="BX32" i="1"/>
  <c r="BX241" i="1"/>
  <c r="BX23" i="1"/>
  <c r="BX261" i="1"/>
  <c r="BX72" i="1"/>
  <c r="BX166" i="1"/>
  <c r="BX153" i="1"/>
  <c r="BX248" i="1"/>
  <c r="BX142" i="1"/>
  <c r="BX60" i="1"/>
  <c r="BX223" i="1"/>
  <c r="BX226" i="1"/>
  <c r="BX315" i="1"/>
  <c r="BX353" i="1"/>
  <c r="BX343" i="1"/>
  <c r="BX310" i="1"/>
  <c r="BX367" i="1"/>
  <c r="BX351" i="1"/>
  <c r="BX330" i="1"/>
  <c r="BX302" i="1"/>
  <c r="BX280" i="1"/>
  <c r="BX87" i="1"/>
  <c r="BX74" i="1"/>
  <c r="BX147" i="1"/>
  <c r="BX22" i="1"/>
  <c r="BX39" i="1"/>
  <c r="BX65" i="1"/>
  <c r="BX257" i="1"/>
  <c r="BX79" i="1"/>
  <c r="BX116" i="1"/>
  <c r="BX88" i="1"/>
  <c r="BX182" i="1"/>
  <c r="BX169" i="1"/>
  <c r="BX264" i="1"/>
  <c r="BX174" i="1"/>
  <c r="BX94" i="1"/>
  <c r="BX255" i="1"/>
  <c r="BX258" i="1"/>
  <c r="BX337" i="1"/>
  <c r="BX359" i="1"/>
  <c r="BX371" i="1"/>
  <c r="BX326" i="1"/>
  <c r="BX107" i="1"/>
  <c r="BX321" i="1"/>
  <c r="BX346" i="1"/>
  <c r="BX318" i="1"/>
  <c r="BX339" i="1"/>
  <c r="BX161" i="1"/>
  <c r="BX360" i="1"/>
  <c r="BX38" i="1"/>
  <c r="BX57" i="1"/>
  <c r="BX69" i="1"/>
  <c r="BX112" i="1"/>
  <c r="BX20" i="1"/>
  <c r="BX132" i="1"/>
  <c r="BX103" i="1"/>
  <c r="BX198" i="1"/>
  <c r="BX185" i="1"/>
  <c r="BX278" i="1"/>
  <c r="BX206" i="1"/>
  <c r="BX125" i="1"/>
  <c r="BX126" i="1"/>
  <c r="BX284" i="1"/>
  <c r="BX369" i="1"/>
  <c r="BX179" i="1"/>
  <c r="BX349" i="1"/>
  <c r="BX342" i="1"/>
  <c r="BX205" i="1"/>
  <c r="BX361" i="1"/>
  <c r="BX362" i="1"/>
  <c r="BX334" i="1"/>
  <c r="C51" i="1"/>
  <c r="C159" i="1" s="1"/>
  <c r="C170" i="1" s="1"/>
  <c r="D158" i="1"/>
  <c r="D169" i="1" s="1"/>
  <c r="C50" i="1"/>
  <c r="C158" i="1" s="1"/>
  <c r="C169" i="1" s="1"/>
  <c r="E163" i="1"/>
  <c r="E174" i="1" s="1"/>
  <c r="B49" i="1"/>
  <c r="B157" i="1" s="1"/>
  <c r="B168" i="1" s="1"/>
  <c r="B53" i="1"/>
  <c r="B161" i="1" s="1"/>
  <c r="B172" i="1" s="1"/>
  <c r="D55" i="1"/>
  <c r="F55" i="1" s="1"/>
  <c r="G55" i="1" s="1"/>
  <c r="Q88" i="1" a="1"/>
  <c r="S82" i="1"/>
  <c r="S81" i="1" s="1"/>
  <c r="Q62" i="1"/>
  <c r="E52" i="1"/>
  <c r="F52" i="1" s="1"/>
  <c r="G52" i="1" s="1"/>
  <c r="R88" i="1" a="1"/>
  <c r="C49" i="1"/>
  <c r="R62" i="1"/>
  <c r="C163" i="1"/>
  <c r="C174" i="1" s="1"/>
  <c r="C160" i="1"/>
  <c r="C171" i="1" s="1"/>
  <c r="C162" i="1"/>
  <c r="C173" i="1" s="1"/>
  <c r="C164" i="1"/>
  <c r="C175" i="1" s="1"/>
  <c r="R70" i="1"/>
  <c r="R68" i="1"/>
  <c r="R67" i="1"/>
  <c r="BY5" i="1"/>
  <c r="BZ5" i="1" s="1"/>
  <c r="EF12" i="1"/>
  <c r="F54" i="1"/>
  <c r="G54" i="1" s="1"/>
  <c r="E175" i="1"/>
  <c r="E172" i="1"/>
  <c r="E168" i="1"/>
  <c r="B50" i="1"/>
  <c r="D157" i="1"/>
  <c r="D168" i="1" s="1"/>
  <c r="E173" i="1"/>
  <c r="E169" i="1"/>
  <c r="E170" i="1"/>
  <c r="J38" i="1"/>
  <c r="N38" i="1" s="1"/>
  <c r="J39" i="1"/>
  <c r="N39" i="1" s="1"/>
  <c r="AM73" i="1" l="1"/>
  <c r="F51" i="1"/>
  <c r="G51" i="1" s="1"/>
  <c r="DW20" i="1" a="1"/>
  <c r="DW20" i="1" s="1"/>
  <c r="DW21" i="1" a="1"/>
  <c r="DW21" i="1" s="1"/>
  <c r="EB20" i="1" a="1"/>
  <c r="EB20" i="1" s="1"/>
  <c r="BZ371" i="1"/>
  <c r="CB371" i="1" s="1"/>
  <c r="BZ179" i="1"/>
  <c r="CB179" i="1" s="1"/>
  <c r="BZ198" i="1"/>
  <c r="CB198" i="1" s="1"/>
  <c r="BZ360" i="1"/>
  <c r="CB360" i="1" s="1"/>
  <c r="BZ169" i="1"/>
  <c r="CB169" i="1" s="1"/>
  <c r="BZ22" i="1"/>
  <c r="CB22" i="1" s="1"/>
  <c r="BZ367" i="1"/>
  <c r="CB367" i="1" s="1"/>
  <c r="BZ32" i="1"/>
  <c r="CB32" i="1" s="1"/>
  <c r="BZ142" i="1"/>
  <c r="CB142" i="1" s="1"/>
  <c r="BZ168" i="1"/>
  <c r="CB168" i="1" s="1"/>
  <c r="BZ294" i="1"/>
  <c r="CB294" i="1" s="1"/>
  <c r="BZ58" i="1"/>
  <c r="CB58" i="1" s="1"/>
  <c r="BZ118" i="1"/>
  <c r="CB118" i="1" s="1"/>
  <c r="BZ304" i="1"/>
  <c r="CB304" i="1" s="1"/>
  <c r="BZ232" i="1"/>
  <c r="CB232" i="1" s="1"/>
  <c r="BZ77" i="1"/>
  <c r="CB77" i="1" s="1"/>
  <c r="BZ235" i="1"/>
  <c r="CB235" i="1" s="1"/>
  <c r="BZ320" i="1"/>
  <c r="CB320" i="1" s="1"/>
  <c r="BZ324" i="1"/>
  <c r="CB324" i="1" s="1"/>
  <c r="BZ298" i="1"/>
  <c r="CB298" i="1" s="1"/>
  <c r="BZ17" i="1"/>
  <c r="CB17" i="1" s="1"/>
  <c r="BZ352" i="1"/>
  <c r="CB352" i="1" s="1"/>
  <c r="BZ171" i="1"/>
  <c r="CB171" i="1" s="1"/>
  <c r="BZ260" i="1"/>
  <c r="CB260" i="1" s="1"/>
  <c r="BZ238" i="1"/>
  <c r="CB238" i="1" s="1"/>
  <c r="BZ37" i="1"/>
  <c r="CB37" i="1" s="1"/>
  <c r="BZ159" i="1"/>
  <c r="CB159" i="1" s="1"/>
  <c r="BZ372" i="1"/>
  <c r="CB372" i="1" s="1"/>
  <c r="BZ29" i="1"/>
  <c r="CB29" i="1" s="1"/>
  <c r="BZ365" i="1"/>
  <c r="CB365" i="1" s="1"/>
  <c r="BZ244" i="1"/>
  <c r="CB244" i="1" s="1"/>
  <c r="BZ120" i="1"/>
  <c r="CB120" i="1" s="1"/>
  <c r="BZ146" i="1"/>
  <c r="CB146" i="1" s="1"/>
  <c r="BZ375" i="1"/>
  <c r="CB375" i="1" s="1"/>
  <c r="BZ348" i="1"/>
  <c r="CB348" i="1" s="1"/>
  <c r="BZ83" i="1"/>
  <c r="CB83" i="1" s="1"/>
  <c r="BZ325" i="1"/>
  <c r="CB325" i="1" s="1"/>
  <c r="BZ38" i="1"/>
  <c r="CB38" i="1" s="1"/>
  <c r="BZ268" i="1"/>
  <c r="CB268" i="1" s="1"/>
  <c r="BZ301" i="1"/>
  <c r="CB301" i="1" s="1"/>
  <c r="BZ178" i="1"/>
  <c r="CB178" i="1" s="1"/>
  <c r="BZ207" i="1"/>
  <c r="CB207" i="1" s="1"/>
  <c r="BZ170" i="1"/>
  <c r="CB170" i="1" s="1"/>
  <c r="BZ104" i="1"/>
  <c r="CB104" i="1" s="1"/>
  <c r="BZ76" i="1"/>
  <c r="CB76" i="1" s="1"/>
  <c r="BZ55" i="1"/>
  <c r="CB55" i="1" s="1"/>
  <c r="BZ329" i="1"/>
  <c r="CB329" i="1" s="1"/>
  <c r="BZ192" i="1"/>
  <c r="CB192" i="1" s="1"/>
  <c r="BZ277" i="1"/>
  <c r="CB277" i="1" s="1"/>
  <c r="BZ272" i="1"/>
  <c r="CB272" i="1" s="1"/>
  <c r="BZ176" i="1"/>
  <c r="CB176" i="1" s="1"/>
  <c r="BZ78" i="1"/>
  <c r="CB78" i="1" s="1"/>
  <c r="BZ366" i="1"/>
  <c r="CB366" i="1" s="1"/>
  <c r="BZ180" i="1"/>
  <c r="CB180" i="1" s="1"/>
  <c r="BZ239" i="1"/>
  <c r="CB239" i="1" s="1"/>
  <c r="BZ40" i="1"/>
  <c r="CB40" i="1" s="1"/>
  <c r="BZ322" i="1"/>
  <c r="CB322" i="1" s="1"/>
  <c r="BZ98" i="1"/>
  <c r="CB98" i="1" s="1"/>
  <c r="BZ82" i="1"/>
  <c r="CB82" i="1" s="1"/>
  <c r="BZ233" i="1"/>
  <c r="CB233" i="1" s="1"/>
  <c r="BZ291" i="1"/>
  <c r="CB291" i="1" s="1"/>
  <c r="BZ105" i="1"/>
  <c r="CB105" i="1" s="1"/>
  <c r="BZ349" i="1"/>
  <c r="CB349" i="1" s="1"/>
  <c r="BZ369" i="1"/>
  <c r="CB369" i="1" s="1"/>
  <c r="BZ160" i="1"/>
  <c r="CB160" i="1" s="1"/>
  <c r="BZ319" i="1"/>
  <c r="CB319" i="1" s="1"/>
  <c r="BZ270" i="1"/>
  <c r="CB270" i="1" s="1"/>
  <c r="BZ186" i="1"/>
  <c r="CB186" i="1" s="1"/>
  <c r="BZ265" i="1"/>
  <c r="CB265" i="1" s="1"/>
  <c r="BZ172" i="1"/>
  <c r="CB172" i="1" s="1"/>
  <c r="BZ21" i="1"/>
  <c r="CB21" i="1" s="1"/>
  <c r="BZ163" i="1"/>
  <c r="CB163" i="1" s="1"/>
  <c r="BZ241" i="1"/>
  <c r="CB241" i="1" s="1"/>
  <c r="BZ116" i="1"/>
  <c r="CB116" i="1" s="1"/>
  <c r="BZ353" i="1"/>
  <c r="CB353" i="1" s="1"/>
  <c r="BZ297" i="1"/>
  <c r="CB297" i="1" s="1"/>
  <c r="BZ286" i="1"/>
  <c r="CB286" i="1" s="1"/>
  <c r="BZ92" i="1"/>
  <c r="CB92" i="1" s="1"/>
  <c r="BZ145" i="1"/>
  <c r="CB145" i="1" s="1"/>
  <c r="BZ115" i="1"/>
  <c r="CB115" i="1" s="1"/>
  <c r="BZ333" i="1"/>
  <c r="CB333" i="1" s="1"/>
  <c r="BZ250" i="1"/>
  <c r="CB250" i="1" s="1"/>
  <c r="BZ218" i="1"/>
  <c r="CB218" i="1" s="1"/>
  <c r="BZ204" i="1"/>
  <c r="CB204" i="1" s="1"/>
  <c r="BZ48" i="1"/>
  <c r="CB48" i="1" s="1"/>
  <c r="BZ53" i="1"/>
  <c r="CB53" i="1" s="1"/>
  <c r="BZ151" i="1"/>
  <c r="CB151" i="1" s="1"/>
  <c r="BZ44" i="1"/>
  <c r="CB44" i="1" s="1"/>
  <c r="BZ316" i="1"/>
  <c r="CB316" i="1" s="1"/>
  <c r="BZ228" i="1"/>
  <c r="CB228" i="1" s="1"/>
  <c r="BZ152" i="1"/>
  <c r="CB152" i="1" s="1"/>
  <c r="BZ138" i="1"/>
  <c r="CB138" i="1" s="1"/>
  <c r="BZ206" i="1"/>
  <c r="CB206" i="1" s="1"/>
  <c r="BZ321" i="1"/>
  <c r="CB321" i="1" s="1"/>
  <c r="BZ257" i="1"/>
  <c r="CB257" i="1" s="1"/>
  <c r="BZ226" i="1"/>
  <c r="CB226" i="1" s="1"/>
  <c r="BZ336" i="1"/>
  <c r="CB336" i="1" s="1"/>
  <c r="BZ191" i="1"/>
  <c r="CB191" i="1" s="1"/>
  <c r="BZ256" i="1"/>
  <c r="CB256" i="1" s="1"/>
  <c r="BZ332" i="1"/>
  <c r="CB332" i="1" s="1"/>
  <c r="BZ184" i="1"/>
  <c r="CB184" i="1" s="1"/>
  <c r="BZ71" i="1"/>
  <c r="CB71" i="1" s="1"/>
  <c r="BZ139" i="1"/>
  <c r="CB139" i="1" s="1"/>
  <c r="BZ208" i="1"/>
  <c r="CB208" i="1" s="1"/>
  <c r="BZ124" i="1"/>
  <c r="CB124" i="1" s="1"/>
  <c r="BZ158" i="1"/>
  <c r="CB158" i="1" s="1"/>
  <c r="BZ253" i="1"/>
  <c r="CB253" i="1" s="1"/>
  <c r="BZ287" i="1"/>
  <c r="CB287" i="1" s="1"/>
  <c r="BZ106" i="1"/>
  <c r="CB106" i="1" s="1"/>
  <c r="BZ340" i="1"/>
  <c r="CB340" i="1" s="1"/>
  <c r="BZ216" i="1"/>
  <c r="CB216" i="1" s="1"/>
  <c r="BZ144" i="1"/>
  <c r="CB144" i="1" s="1"/>
  <c r="BZ173" i="1"/>
  <c r="CB173" i="1" s="1"/>
  <c r="BZ342" i="1"/>
  <c r="CB342" i="1" s="1"/>
  <c r="BZ57" i="1"/>
  <c r="CB57" i="1" s="1"/>
  <c r="BZ174" i="1"/>
  <c r="CB174" i="1" s="1"/>
  <c r="BZ330" i="1"/>
  <c r="CB330" i="1" s="1"/>
  <c r="BZ23" i="1"/>
  <c r="CB23" i="1" s="1"/>
  <c r="BZ225" i="1"/>
  <c r="CB225" i="1" s="1"/>
  <c r="BZ281" i="1"/>
  <c r="CB281" i="1" s="1"/>
  <c r="BZ143" i="1"/>
  <c r="CB143" i="1" s="1"/>
  <c r="BZ200" i="1"/>
  <c r="CB200" i="1" s="1"/>
  <c r="BZ370" i="1"/>
  <c r="CB370" i="1" s="1"/>
  <c r="BZ33" i="1"/>
  <c r="CB33" i="1" s="1"/>
  <c r="BZ52" i="1"/>
  <c r="CB52" i="1" s="1"/>
  <c r="BZ27" i="1"/>
  <c r="CB27" i="1" s="1"/>
  <c r="BZ312" i="1"/>
  <c r="CB312" i="1" s="1"/>
  <c r="BZ113" i="1"/>
  <c r="CB113" i="1" s="1"/>
  <c r="BZ296" i="1"/>
  <c r="CB296" i="1" s="1"/>
  <c r="BZ46" i="1"/>
  <c r="CB46" i="1" s="1"/>
  <c r="BZ34" i="1"/>
  <c r="CB34" i="1" s="1"/>
  <c r="BZ45" i="1"/>
  <c r="CB45" i="1" s="1"/>
  <c r="BZ285" i="1"/>
  <c r="CB285" i="1" s="1"/>
  <c r="BZ35" i="1"/>
  <c r="CB35" i="1" s="1"/>
  <c r="BZ190" i="1"/>
  <c r="CB190" i="1" s="1"/>
  <c r="BZ164" i="1"/>
  <c r="CB164" i="1" s="1"/>
  <c r="BZ85" i="1"/>
  <c r="CB85" i="1" s="1"/>
  <c r="BZ205" i="1"/>
  <c r="CB205" i="1" s="1"/>
  <c r="BZ69" i="1"/>
  <c r="CB69" i="1" s="1"/>
  <c r="BZ94" i="1"/>
  <c r="CB94" i="1" s="1"/>
  <c r="BZ302" i="1"/>
  <c r="CB302" i="1" s="1"/>
  <c r="BZ261" i="1"/>
  <c r="CB261" i="1" s="1"/>
  <c r="BZ314" i="1"/>
  <c r="CB314" i="1" s="1"/>
  <c r="BZ18" i="1"/>
  <c r="CB18" i="1" s="1"/>
  <c r="BZ134" i="1"/>
  <c r="CB134" i="1" s="1"/>
  <c r="BZ61" i="1"/>
  <c r="CB61" i="1" s="1"/>
  <c r="BZ203" i="1"/>
  <c r="CB203" i="1" s="1"/>
  <c r="BZ136" i="1"/>
  <c r="CB136" i="1" s="1"/>
  <c r="BZ156" i="1"/>
  <c r="CB156" i="1" s="1"/>
  <c r="BZ237" i="1"/>
  <c r="CB237" i="1" s="1"/>
  <c r="BZ254" i="1"/>
  <c r="CB254" i="1" s="1"/>
  <c r="BZ213" i="1"/>
  <c r="CB213" i="1" s="1"/>
  <c r="BZ214" i="1"/>
  <c r="CB214" i="1" s="1"/>
  <c r="BZ155" i="1"/>
  <c r="CB155" i="1" s="1"/>
  <c r="BZ68" i="1"/>
  <c r="CB68" i="1" s="1"/>
  <c r="BZ373" i="1"/>
  <c r="CB373" i="1" s="1"/>
  <c r="BZ278" i="1"/>
  <c r="CB278" i="1" s="1"/>
  <c r="BZ107" i="1"/>
  <c r="CB107" i="1" s="1"/>
  <c r="BZ65" i="1"/>
  <c r="CB65" i="1" s="1"/>
  <c r="BZ223" i="1"/>
  <c r="CB223" i="1" s="1"/>
  <c r="BZ227" i="1"/>
  <c r="CB227" i="1" s="1"/>
  <c r="BZ49" i="1"/>
  <c r="CB49" i="1" s="1"/>
  <c r="BZ202" i="1"/>
  <c r="CB202" i="1" s="1"/>
  <c r="BZ24" i="1"/>
  <c r="CB24" i="1" s="1"/>
  <c r="BZ220" i="1"/>
  <c r="CB220" i="1" s="1"/>
  <c r="BZ26" i="1"/>
  <c r="CB26" i="1" s="1"/>
  <c r="BZ90" i="1"/>
  <c r="CB90" i="1" s="1"/>
  <c r="BZ338" i="1"/>
  <c r="CB338" i="1" s="1"/>
  <c r="BZ28" i="1"/>
  <c r="CB28" i="1" s="1"/>
  <c r="BZ84" i="1"/>
  <c r="CB84" i="1" s="1"/>
  <c r="BZ279" i="1"/>
  <c r="CB279" i="1" s="1"/>
  <c r="BZ231" i="1"/>
  <c r="CB231" i="1" s="1"/>
  <c r="BZ25" i="1"/>
  <c r="CB25" i="1" s="1"/>
  <c r="BZ323" i="1"/>
  <c r="CB323" i="1" s="1"/>
  <c r="BZ236" i="1"/>
  <c r="CB236" i="1" s="1"/>
  <c r="BZ41" i="1"/>
  <c r="CB41" i="1" s="1"/>
  <c r="BZ185" i="1"/>
  <c r="CB185" i="1" s="1"/>
  <c r="BZ326" i="1"/>
  <c r="CB326" i="1" s="1"/>
  <c r="BZ39" i="1"/>
  <c r="CB39" i="1" s="1"/>
  <c r="BZ60" i="1"/>
  <c r="CB60" i="1" s="1"/>
  <c r="BZ62" i="1"/>
  <c r="CB62" i="1" s="1"/>
  <c r="BZ110" i="1"/>
  <c r="CB110" i="1" s="1"/>
  <c r="BZ95" i="1"/>
  <c r="CB95" i="1" s="1"/>
  <c r="BZ293" i="1"/>
  <c r="CB293" i="1" s="1"/>
  <c r="BZ229" i="1"/>
  <c r="CB229" i="1" s="1"/>
  <c r="BZ283" i="1"/>
  <c r="CB283" i="1" s="1"/>
  <c r="BZ51" i="1"/>
  <c r="CB51" i="1" s="1"/>
  <c r="BZ263" i="1"/>
  <c r="CB263" i="1" s="1"/>
  <c r="BZ290" i="1"/>
  <c r="CB290" i="1" s="1"/>
  <c r="BZ269" i="1"/>
  <c r="CB269" i="1" s="1"/>
  <c r="BZ215" i="1"/>
  <c r="CB215" i="1" s="1"/>
  <c r="BZ347" i="1"/>
  <c r="CB347" i="1" s="1"/>
  <c r="BZ59" i="1"/>
  <c r="CB59" i="1" s="1"/>
  <c r="BZ141" i="1"/>
  <c r="CB141" i="1" s="1"/>
  <c r="BZ201" i="1"/>
  <c r="CB201" i="1" s="1"/>
  <c r="BZ109" i="1"/>
  <c r="CB109" i="1" s="1"/>
  <c r="BZ210" i="1"/>
  <c r="CB210" i="1" s="1"/>
  <c r="BZ350" i="1"/>
  <c r="CB350" i="1" s="1"/>
  <c r="BZ189" i="1"/>
  <c r="CB189" i="1" s="1"/>
  <c r="BZ246" i="1"/>
  <c r="CB246" i="1" s="1"/>
  <c r="BZ303" i="1"/>
  <c r="CB303" i="1" s="1"/>
  <c r="BZ219" i="1"/>
  <c r="CB219" i="1" s="1"/>
  <c r="BZ122" i="1"/>
  <c r="CB122" i="1" s="1"/>
  <c r="BZ165" i="1"/>
  <c r="CB165" i="1" s="1"/>
  <c r="BZ181" i="1"/>
  <c r="CB181" i="1" s="1"/>
  <c r="BZ103" i="1"/>
  <c r="CB103" i="1" s="1"/>
  <c r="BZ161" i="1"/>
  <c r="CB161" i="1" s="1"/>
  <c r="BZ359" i="1"/>
  <c r="CB359" i="1" s="1"/>
  <c r="BZ147" i="1"/>
  <c r="CB147" i="1" s="1"/>
  <c r="BZ310" i="1"/>
  <c r="CB310" i="1" s="1"/>
  <c r="BZ248" i="1"/>
  <c r="CB248" i="1" s="1"/>
  <c r="BZ19" i="1"/>
  <c r="CB19" i="1" s="1"/>
  <c r="BZ274" i="1"/>
  <c r="CB274" i="1" s="1"/>
  <c r="BZ317" i="1"/>
  <c r="CB317" i="1" s="1"/>
  <c r="BZ137" i="1"/>
  <c r="CB137" i="1" s="1"/>
  <c r="BZ305" i="1"/>
  <c r="CB305" i="1" s="1"/>
  <c r="BZ209" i="1"/>
  <c r="CB209" i="1" s="1"/>
  <c r="BZ368" i="1"/>
  <c r="CB368" i="1" s="1"/>
  <c r="BZ300" i="1"/>
  <c r="CB300" i="1" s="1"/>
  <c r="BZ197" i="1"/>
  <c r="CB197" i="1" s="1"/>
  <c r="BZ195" i="1"/>
  <c r="CB195" i="1" s="1"/>
  <c r="BZ363" i="1"/>
  <c r="CB363" i="1" s="1"/>
  <c r="BZ149" i="1"/>
  <c r="CB149" i="1" s="1"/>
  <c r="BZ306" i="1"/>
  <c r="CB306" i="1" s="1"/>
  <c r="BZ376" i="1"/>
  <c r="CB376" i="1" s="1"/>
  <c r="BZ31" i="1"/>
  <c r="CB31" i="1" s="1"/>
  <c r="BZ128" i="1"/>
  <c r="CB128" i="1" s="1"/>
  <c r="BZ262" i="1"/>
  <c r="CB262" i="1" s="1"/>
  <c r="BZ140" i="1"/>
  <c r="CB140" i="1" s="1"/>
  <c r="BZ157" i="1"/>
  <c r="CB157" i="1" s="1"/>
  <c r="BZ36" i="1"/>
  <c r="CB36" i="1" s="1"/>
  <c r="BZ311" i="1"/>
  <c r="CB311" i="1" s="1"/>
  <c r="BZ89" i="1"/>
  <c r="CB89" i="1" s="1"/>
  <c r="BZ264" i="1"/>
  <c r="CB264" i="1" s="1"/>
  <c r="BZ252" i="1"/>
  <c r="CB252" i="1" s="1"/>
  <c r="BZ288" i="1"/>
  <c r="CB288" i="1" s="1"/>
  <c r="BZ334" i="1"/>
  <c r="CB334" i="1" s="1"/>
  <c r="BZ284" i="1"/>
  <c r="CB284" i="1" s="1"/>
  <c r="BZ132" i="1"/>
  <c r="CB132" i="1" s="1"/>
  <c r="BZ339" i="1"/>
  <c r="CB339" i="1" s="1"/>
  <c r="BZ337" i="1"/>
  <c r="CB337" i="1" s="1"/>
  <c r="BZ88" i="1"/>
  <c r="CB88" i="1" s="1"/>
  <c r="BZ74" i="1"/>
  <c r="CB74" i="1" s="1"/>
  <c r="BZ343" i="1"/>
  <c r="CB343" i="1" s="1"/>
  <c r="BZ153" i="1"/>
  <c r="CB153" i="1" s="1"/>
  <c r="BZ99" i="1"/>
  <c r="CB99" i="1" s="1"/>
  <c r="BZ108" i="1"/>
  <c r="CB108" i="1" s="1"/>
  <c r="BZ345" i="1"/>
  <c r="CB345" i="1" s="1"/>
  <c r="BZ150" i="1"/>
  <c r="CB150" i="1" s="1"/>
  <c r="BZ267" i="1"/>
  <c r="CB267" i="1" s="1"/>
  <c r="BZ364" i="1"/>
  <c r="CB364" i="1" s="1"/>
  <c r="BZ63" i="1"/>
  <c r="CB63" i="1" s="1"/>
  <c r="BZ130" i="1"/>
  <c r="CB130" i="1" s="1"/>
  <c r="BZ234" i="1"/>
  <c r="CB234" i="1" s="1"/>
  <c r="BZ96" i="1"/>
  <c r="CB96" i="1" s="1"/>
  <c r="BZ271" i="1"/>
  <c r="CB271" i="1" s="1"/>
  <c r="BZ114" i="1"/>
  <c r="CB114" i="1" s="1"/>
  <c r="BZ93" i="1"/>
  <c r="CB93" i="1" s="1"/>
  <c r="BZ240" i="1"/>
  <c r="CB240" i="1" s="1"/>
  <c r="BZ211" i="1"/>
  <c r="CB211" i="1" s="1"/>
  <c r="BZ224" i="1"/>
  <c r="CB224" i="1" s="1"/>
  <c r="BZ154" i="1"/>
  <c r="CB154" i="1" s="1"/>
  <c r="BZ275" i="1"/>
  <c r="CB275" i="1" s="1"/>
  <c r="BZ183" i="1"/>
  <c r="CB183" i="1" s="1"/>
  <c r="BZ73" i="1"/>
  <c r="CB73" i="1" s="1"/>
  <c r="BZ167" i="1"/>
  <c r="CB167" i="1" s="1"/>
  <c r="BZ97" i="1"/>
  <c r="CB97" i="1" s="1"/>
  <c r="BZ217" i="1"/>
  <c r="CB217" i="1" s="1"/>
  <c r="BZ148" i="1"/>
  <c r="CB148" i="1" s="1"/>
  <c r="BZ249" i="1"/>
  <c r="CB249" i="1" s="1"/>
  <c r="BZ102" i="1"/>
  <c r="CB102" i="1" s="1"/>
  <c r="BZ243" i="1"/>
  <c r="CB243" i="1" s="1"/>
  <c r="BZ344" i="1"/>
  <c r="CB344" i="1" s="1"/>
  <c r="BZ182" i="1"/>
  <c r="CB182" i="1" s="1"/>
  <c r="BZ187" i="1"/>
  <c r="CB187" i="1" s="1"/>
  <c r="BZ56" i="1"/>
  <c r="CB56" i="1" s="1"/>
  <c r="BZ259" i="1"/>
  <c r="CB259" i="1" s="1"/>
  <c r="BZ374" i="1"/>
  <c r="CB374" i="1" s="1"/>
  <c r="BZ354" i="1"/>
  <c r="CB354" i="1" s="1"/>
  <c r="BZ119" i="1"/>
  <c r="CB119" i="1" s="1"/>
  <c r="BZ43" i="1"/>
  <c r="CB43" i="1" s="1"/>
  <c r="BZ362" i="1"/>
  <c r="CB362" i="1" s="1"/>
  <c r="BZ126" i="1"/>
  <c r="CB126" i="1" s="1"/>
  <c r="BZ20" i="1"/>
  <c r="CB20" i="1" s="1"/>
  <c r="BZ318" i="1"/>
  <c r="CB318" i="1" s="1"/>
  <c r="BZ258" i="1"/>
  <c r="CB258" i="1" s="1"/>
  <c r="BZ87" i="1"/>
  <c r="CB87" i="1" s="1"/>
  <c r="BZ166" i="1"/>
  <c r="CB166" i="1" s="1"/>
  <c r="BZ242" i="1"/>
  <c r="CB242" i="1" s="1"/>
  <c r="BZ50" i="1"/>
  <c r="CB50" i="1" s="1"/>
  <c r="BZ266" i="1"/>
  <c r="CB266" i="1" s="1"/>
  <c r="BZ42" i="1"/>
  <c r="CB42" i="1" s="1"/>
  <c r="BZ127" i="1"/>
  <c r="CB127" i="1" s="1"/>
  <c r="BZ273" i="1"/>
  <c r="CB273" i="1" s="1"/>
  <c r="BZ177" i="1"/>
  <c r="CB177" i="1" s="1"/>
  <c r="BZ47" i="1"/>
  <c r="CB47" i="1" s="1"/>
  <c r="BZ328" i="1"/>
  <c r="CB328" i="1" s="1"/>
  <c r="BZ129" i="1"/>
  <c r="CB129" i="1" s="1"/>
  <c r="BZ282" i="1"/>
  <c r="CB282" i="1" s="1"/>
  <c r="BZ313" i="1"/>
  <c r="CB313" i="1" s="1"/>
  <c r="BZ212" i="1"/>
  <c r="CB212" i="1" s="1"/>
  <c r="BZ295" i="1"/>
  <c r="CB295" i="1" s="1"/>
  <c r="BZ196" i="1"/>
  <c r="CB196" i="1" s="1"/>
  <c r="BZ221" i="1"/>
  <c r="CB221" i="1" s="1"/>
  <c r="BZ351" i="1"/>
  <c r="CB351" i="1" s="1"/>
  <c r="BZ81" i="1"/>
  <c r="CB81" i="1" s="1"/>
  <c r="BZ162" i="1"/>
  <c r="CB162" i="1" s="1"/>
  <c r="BZ230" i="1"/>
  <c r="CB230" i="1" s="1"/>
  <c r="BZ355" i="1"/>
  <c r="CB355" i="1" s="1"/>
  <c r="BZ361" i="1"/>
  <c r="CB361" i="1" s="1"/>
  <c r="BZ125" i="1"/>
  <c r="CB125" i="1" s="1"/>
  <c r="BZ112" i="1"/>
  <c r="CB112" i="1" s="1"/>
  <c r="BZ346" i="1"/>
  <c r="CB346" i="1" s="1"/>
  <c r="BZ255" i="1"/>
  <c r="CB255" i="1" s="1"/>
  <c r="BZ79" i="1"/>
  <c r="CB79" i="1" s="1"/>
  <c r="BZ280" i="1"/>
  <c r="CB280" i="1" s="1"/>
  <c r="BZ72" i="1"/>
  <c r="CB72" i="1" s="1"/>
  <c r="BZ335" i="1"/>
  <c r="CB335" i="1" s="1"/>
  <c r="BZ245" i="1"/>
  <c r="CB245" i="1" s="1"/>
  <c r="BZ299" i="1"/>
  <c r="CB299" i="1" s="1"/>
  <c r="BZ67" i="1"/>
  <c r="CB67" i="1" s="1"/>
  <c r="BZ123" i="1"/>
  <c r="CB123" i="1" s="1"/>
  <c r="BZ276" i="1"/>
  <c r="CB276" i="1" s="1"/>
  <c r="BZ30" i="1"/>
  <c r="CB30" i="1" s="1"/>
  <c r="BZ111" i="1"/>
  <c r="CB111" i="1" s="1"/>
  <c r="BZ309" i="1"/>
  <c r="CB309" i="1" s="1"/>
  <c r="BZ75" i="1"/>
  <c r="CB75" i="1" s="1"/>
  <c r="BZ131" i="1"/>
  <c r="CB131" i="1" s="1"/>
  <c r="BZ117" i="1"/>
  <c r="CB117" i="1" s="1"/>
  <c r="BZ327" i="1"/>
  <c r="CB327" i="1" s="1"/>
  <c r="BZ101" i="1"/>
  <c r="CB101" i="1" s="1"/>
  <c r="BZ292" i="1"/>
  <c r="CB292" i="1" s="1"/>
  <c r="BZ54" i="1"/>
  <c r="CB54" i="1" s="1"/>
  <c r="BZ135" i="1"/>
  <c r="CB135" i="1" s="1"/>
  <c r="BZ188" i="1"/>
  <c r="CB188" i="1" s="1"/>
  <c r="BZ16" i="1"/>
  <c r="CB16" i="1" s="1"/>
  <c r="BZ199" i="1"/>
  <c r="CB199" i="1" s="1"/>
  <c r="BZ251" i="1"/>
  <c r="CB251" i="1" s="1"/>
  <c r="BZ358" i="1"/>
  <c r="CB358" i="1" s="1"/>
  <c r="BZ307" i="1"/>
  <c r="CB307" i="1" s="1"/>
  <c r="BZ86" i="1"/>
  <c r="CB86" i="1" s="1"/>
  <c r="BZ356" i="1"/>
  <c r="CB356" i="1" s="1"/>
  <c r="BZ70" i="1"/>
  <c r="CB70" i="1" s="1"/>
  <c r="BZ315" i="1"/>
  <c r="CB315" i="1" s="1"/>
  <c r="BZ308" i="1"/>
  <c r="CB308" i="1" s="1"/>
  <c r="BZ194" i="1"/>
  <c r="CB194" i="1" s="1"/>
  <c r="BZ247" i="1"/>
  <c r="CB247" i="1" s="1"/>
  <c r="BZ121" i="1"/>
  <c r="CB121" i="1" s="1"/>
  <c r="BZ289" i="1"/>
  <c r="CB289" i="1" s="1"/>
  <c r="BZ193" i="1"/>
  <c r="CB193" i="1" s="1"/>
  <c r="BZ175" i="1"/>
  <c r="CB175" i="1" s="1"/>
  <c r="BZ357" i="1"/>
  <c r="CB357" i="1" s="1"/>
  <c r="BZ91" i="1"/>
  <c r="CB91" i="1" s="1"/>
  <c r="BZ80" i="1"/>
  <c r="CB80" i="1" s="1"/>
  <c r="BZ331" i="1"/>
  <c r="CB331" i="1" s="1"/>
  <c r="BZ133" i="1"/>
  <c r="CB133" i="1" s="1"/>
  <c r="BZ100" i="1"/>
  <c r="CB100" i="1" s="1"/>
  <c r="BZ341" i="1"/>
  <c r="CB341" i="1" s="1"/>
  <c r="BZ66" i="1"/>
  <c r="CB66" i="1" s="1"/>
  <c r="BZ222" i="1"/>
  <c r="CB222" i="1" s="1"/>
  <c r="BZ64" i="1"/>
  <c r="CB64" i="1" s="1"/>
  <c r="BZ15" i="1"/>
  <c r="CB15" i="1" s="1"/>
  <c r="C53" i="1"/>
  <c r="F53" i="1" s="1"/>
  <c r="G53" i="1" s="1"/>
  <c r="F49" i="1"/>
  <c r="G49" i="1" s="1"/>
  <c r="B56" i="1"/>
  <c r="B164" i="1" s="1"/>
  <c r="B175" i="1" s="1"/>
  <c r="D163" i="1"/>
  <c r="D174" i="1" s="1"/>
  <c r="E160" i="1"/>
  <c r="E171" i="1" s="1"/>
  <c r="C157" i="1"/>
  <c r="C168" i="1" s="1"/>
  <c r="Q88" i="1"/>
  <c r="Q89" i="1"/>
  <c r="R88" i="1"/>
  <c r="R89" i="1"/>
  <c r="S88" i="1" a="1"/>
  <c r="J68" i="1"/>
  <c r="K68" i="1" s="1"/>
  <c r="L68" i="1" s="1"/>
  <c r="M68" i="1" s="1"/>
  <c r="J62" i="1"/>
  <c r="K62" i="1" s="1"/>
  <c r="J67" i="1"/>
  <c r="K67" i="1" s="1"/>
  <c r="L67" i="1" s="1"/>
  <c r="M67" i="1" s="1"/>
  <c r="Y67" i="1" s="1"/>
  <c r="J191" i="1"/>
  <c r="K191" i="1" s="1"/>
  <c r="J193" i="1"/>
  <c r="K193" i="1" s="1"/>
  <c r="J194" i="1"/>
  <c r="K194" i="1" s="1"/>
  <c r="J192" i="1"/>
  <c r="K192" i="1" s="1"/>
  <c r="J71" i="1"/>
  <c r="J69" i="1"/>
  <c r="J70" i="1"/>
  <c r="J189" i="1"/>
  <c r="K189" i="1" s="1"/>
  <c r="L189" i="1" s="1"/>
  <c r="M189" i="1" s="1"/>
  <c r="N189" i="1" s="1"/>
  <c r="J190" i="1"/>
  <c r="K190" i="1" s="1"/>
  <c r="L190" i="1" s="1"/>
  <c r="M190" i="1" s="1"/>
  <c r="N190" i="1" s="1"/>
  <c r="J66" i="1"/>
  <c r="K66" i="1" s="1"/>
  <c r="L66" i="1" s="1"/>
  <c r="M66" i="1" s="1"/>
  <c r="J186" i="1"/>
  <c r="K186" i="1" s="1"/>
  <c r="J187" i="1"/>
  <c r="K187" i="1" s="1"/>
  <c r="J185" i="1"/>
  <c r="K185" i="1" s="1"/>
  <c r="J188" i="1"/>
  <c r="K188" i="1" s="1"/>
  <c r="L188" i="1" s="1"/>
  <c r="M188" i="1" s="1"/>
  <c r="N188" i="1" s="1"/>
  <c r="J63" i="1"/>
  <c r="K63" i="1" s="1"/>
  <c r="L63" i="1" s="1"/>
  <c r="M63" i="1" s="1"/>
  <c r="J64" i="1"/>
  <c r="K64" i="1" s="1"/>
  <c r="L64" i="1" s="1"/>
  <c r="M64" i="1" s="1"/>
  <c r="J65" i="1"/>
  <c r="K65" i="1" s="1"/>
  <c r="L65" i="1" s="1"/>
  <c r="M65" i="1" s="1"/>
  <c r="CA5" i="1"/>
  <c r="B148" i="1"/>
  <c r="F170" i="1" s="1"/>
  <c r="F50" i="1"/>
  <c r="G50" i="1" s="1"/>
  <c r="B158" i="1"/>
  <c r="B169" i="1" s="1"/>
  <c r="G41" i="1"/>
  <c r="G40" i="1"/>
  <c r="X68" i="1" l="1"/>
  <c r="Y68" i="1"/>
  <c r="O67" i="1"/>
  <c r="X67" i="1"/>
  <c r="O63" i="1"/>
  <c r="Y63" i="1" s="1"/>
  <c r="O64" i="1"/>
  <c r="Y64" i="1" s="1"/>
  <c r="N66" i="1"/>
  <c r="X66" i="1" s="1"/>
  <c r="O65" i="1"/>
  <c r="Y65" i="1" s="1"/>
  <c r="CG222" i="1"/>
  <c r="CC222" i="1" s="1"/>
  <c r="CG121" i="1"/>
  <c r="CC121" i="1" s="1"/>
  <c r="CG30" i="1"/>
  <c r="CC30" i="1" s="1"/>
  <c r="CG230" i="1"/>
  <c r="CC230" i="1" s="1"/>
  <c r="CG313" i="1"/>
  <c r="CC313" i="1" s="1"/>
  <c r="CG20" i="1"/>
  <c r="CC20" i="1" s="1"/>
  <c r="CG56" i="1"/>
  <c r="CC56" i="1" s="1"/>
  <c r="CG217" i="1"/>
  <c r="CC217" i="1" s="1"/>
  <c r="CG211" i="1"/>
  <c r="CC211" i="1" s="1"/>
  <c r="CG63" i="1"/>
  <c r="CC63" i="1" s="1"/>
  <c r="CG343" i="1"/>
  <c r="CC343" i="1" s="1"/>
  <c r="CG288" i="1"/>
  <c r="CC288" i="1" s="1"/>
  <c r="CG262" i="1"/>
  <c r="CC262" i="1" s="1"/>
  <c r="CG197" i="1"/>
  <c r="CC197" i="1" s="1"/>
  <c r="CG19" i="1"/>
  <c r="CC19" i="1" s="1"/>
  <c r="CG165" i="1"/>
  <c r="CC165" i="1" s="1"/>
  <c r="CG109" i="1"/>
  <c r="CC109" i="1" s="1"/>
  <c r="CG263" i="1"/>
  <c r="CC263" i="1" s="1"/>
  <c r="CG60" i="1"/>
  <c r="CC60" i="1" s="1"/>
  <c r="CG231" i="1"/>
  <c r="CC231" i="1" s="1"/>
  <c r="CG24" i="1"/>
  <c r="CC24" i="1" s="1"/>
  <c r="CG373" i="1"/>
  <c r="CC373" i="1" s="1"/>
  <c r="CG136" i="1"/>
  <c r="CC136" i="1" s="1"/>
  <c r="CG94" i="1"/>
  <c r="CC94" i="1" s="1"/>
  <c r="CG45" i="1"/>
  <c r="CC45" i="1" s="1"/>
  <c r="CG33" i="1"/>
  <c r="CC33" i="1" s="1"/>
  <c r="CG174" i="1"/>
  <c r="CC174" i="1" s="1"/>
  <c r="CG287" i="1"/>
  <c r="CC287" i="1" s="1"/>
  <c r="CG332" i="1"/>
  <c r="CC332" i="1" s="1"/>
  <c r="CG138" i="1"/>
  <c r="CC138" i="1" s="1"/>
  <c r="CG204" i="1"/>
  <c r="CC204" i="1" s="1"/>
  <c r="CG297" i="1"/>
  <c r="CC297" i="1" s="1"/>
  <c r="CG186" i="1"/>
  <c r="CC186" i="1" s="1"/>
  <c r="CG233" i="1"/>
  <c r="CC233" i="1" s="1"/>
  <c r="CG78" i="1"/>
  <c r="CC78" i="1" s="1"/>
  <c r="CG104" i="1"/>
  <c r="CC104" i="1" s="1"/>
  <c r="CG83" i="1"/>
  <c r="CC83" i="1" s="1"/>
  <c r="CG372" i="1"/>
  <c r="CC372" i="1" s="1"/>
  <c r="CG298" i="1"/>
  <c r="CC298" i="1" s="1"/>
  <c r="CG58" i="1"/>
  <c r="CC58" i="1" s="1"/>
  <c r="CG360" i="1"/>
  <c r="CC360" i="1" s="1"/>
  <c r="CG133" i="1"/>
  <c r="CC133" i="1" s="1"/>
  <c r="CG307" i="1"/>
  <c r="CC307" i="1" s="1"/>
  <c r="CG292" i="1"/>
  <c r="CC292" i="1" s="1"/>
  <c r="CG280" i="1"/>
  <c r="CC280" i="1" s="1"/>
  <c r="CG42" i="1"/>
  <c r="CC42" i="1" s="1"/>
  <c r="CG331" i="1"/>
  <c r="CC331" i="1" s="1"/>
  <c r="CG247" i="1"/>
  <c r="CC247" i="1" s="1"/>
  <c r="CG358" i="1"/>
  <c r="CC358" i="1" s="1"/>
  <c r="CG101" i="1"/>
  <c r="CC101" i="1" s="1"/>
  <c r="CG276" i="1"/>
  <c r="CC276" i="1" s="1"/>
  <c r="CG79" i="1"/>
  <c r="CC79" i="1" s="1"/>
  <c r="CG162" i="1"/>
  <c r="CC162" i="1" s="1"/>
  <c r="CG282" i="1"/>
  <c r="CC282" i="1" s="1"/>
  <c r="CG266" i="1"/>
  <c r="CC266" i="1" s="1"/>
  <c r="CG126" i="1"/>
  <c r="CC126" i="1" s="1"/>
  <c r="CG187" i="1"/>
  <c r="CC187" i="1" s="1"/>
  <c r="CG97" i="1"/>
  <c r="CC97" i="1" s="1"/>
  <c r="CG240" i="1"/>
  <c r="CC240" i="1" s="1"/>
  <c r="CG364" i="1"/>
  <c r="CC364" i="1" s="1"/>
  <c r="CG74" i="1"/>
  <c r="CC74" i="1" s="1"/>
  <c r="CG252" i="1"/>
  <c r="CC252" i="1" s="1"/>
  <c r="CG128" i="1"/>
  <c r="CC128" i="1" s="1"/>
  <c r="CG300" i="1"/>
  <c r="CC300" i="1" s="1"/>
  <c r="CG248" i="1"/>
  <c r="CC248" i="1" s="1"/>
  <c r="CG122" i="1"/>
  <c r="CC122" i="1" s="1"/>
  <c r="CG201" i="1"/>
  <c r="CC201" i="1" s="1"/>
  <c r="CG51" i="1"/>
  <c r="CC51" i="1" s="1"/>
  <c r="CG39" i="1"/>
  <c r="CC39" i="1" s="1"/>
  <c r="CG279" i="1"/>
  <c r="CC279" i="1" s="1"/>
  <c r="CG202" i="1"/>
  <c r="CC202" i="1" s="1"/>
  <c r="CG68" i="1"/>
  <c r="CC68" i="1" s="1"/>
  <c r="CG203" i="1"/>
  <c r="CC203" i="1" s="1"/>
  <c r="CG69" i="1"/>
  <c r="CC69" i="1" s="1"/>
  <c r="CG34" i="1"/>
  <c r="CC34" i="1" s="1"/>
  <c r="CG370" i="1"/>
  <c r="CC370" i="1" s="1"/>
  <c r="CG57" i="1"/>
  <c r="CC57" i="1" s="1"/>
  <c r="CG253" i="1"/>
  <c r="CC253" i="1" s="1"/>
  <c r="CG256" i="1"/>
  <c r="CC256" i="1" s="1"/>
  <c r="CG152" i="1"/>
  <c r="CC152" i="1" s="1"/>
  <c r="CG218" i="1"/>
  <c r="CC218" i="1" s="1"/>
  <c r="CG353" i="1"/>
  <c r="CC353" i="1" s="1"/>
  <c r="CG270" i="1"/>
  <c r="CC270" i="1" s="1"/>
  <c r="CG82" i="1"/>
  <c r="CC82" i="1" s="1"/>
  <c r="CG176" i="1"/>
  <c r="CC176" i="1" s="1"/>
  <c r="CG170" i="1"/>
  <c r="CC170" i="1" s="1"/>
  <c r="CG348" i="1"/>
  <c r="CC348" i="1" s="1"/>
  <c r="CG159" i="1"/>
  <c r="CC159" i="1" s="1"/>
  <c r="CG324" i="1"/>
  <c r="CC324" i="1" s="1"/>
  <c r="CG294" i="1"/>
  <c r="CC294" i="1" s="1"/>
  <c r="CG198" i="1"/>
  <c r="CC198" i="1" s="1"/>
  <c r="CG80" i="1"/>
  <c r="CC80" i="1" s="1"/>
  <c r="CG194" i="1"/>
  <c r="CC194" i="1" s="1"/>
  <c r="CG251" i="1"/>
  <c r="CC251" i="1" s="1"/>
  <c r="CG327" i="1"/>
  <c r="CC327" i="1" s="1"/>
  <c r="CG123" i="1"/>
  <c r="CC123" i="1" s="1"/>
  <c r="CG255" i="1"/>
  <c r="CC255" i="1" s="1"/>
  <c r="CG81" i="1"/>
  <c r="CC81" i="1" s="1"/>
  <c r="CG129" i="1"/>
  <c r="CC129" i="1" s="1"/>
  <c r="CG50" i="1"/>
  <c r="CC50" i="1" s="1"/>
  <c r="CG362" i="1"/>
  <c r="CC362" i="1" s="1"/>
  <c r="CG182" i="1"/>
  <c r="CC182" i="1" s="1"/>
  <c r="CG167" i="1"/>
  <c r="CC167" i="1" s="1"/>
  <c r="CG93" i="1"/>
  <c r="CC93" i="1" s="1"/>
  <c r="CG267" i="1"/>
  <c r="CC267" i="1" s="1"/>
  <c r="CG88" i="1"/>
  <c r="CC88" i="1" s="1"/>
  <c r="CG264" i="1"/>
  <c r="CC264" i="1" s="1"/>
  <c r="CG31" i="1"/>
  <c r="CC31" i="1" s="1"/>
  <c r="CG368" i="1"/>
  <c r="CC368" i="1" s="1"/>
  <c r="CG310" i="1"/>
  <c r="CC310" i="1" s="1"/>
  <c r="CG219" i="1"/>
  <c r="CC219" i="1" s="1"/>
  <c r="CG141" i="1"/>
  <c r="CC141" i="1" s="1"/>
  <c r="CG283" i="1"/>
  <c r="CC283" i="1" s="1"/>
  <c r="CG326" i="1"/>
  <c r="CC326" i="1" s="1"/>
  <c r="CG84" i="1"/>
  <c r="CC84" i="1" s="1"/>
  <c r="CG49" i="1"/>
  <c r="CC49" i="1" s="1"/>
  <c r="CG155" i="1"/>
  <c r="CC155" i="1" s="1"/>
  <c r="CG61" i="1"/>
  <c r="CC61" i="1" s="1"/>
  <c r="CG205" i="1"/>
  <c r="CC205" i="1" s="1"/>
  <c r="CG46" i="1"/>
  <c r="CC46" i="1" s="1"/>
  <c r="CG200" i="1"/>
  <c r="CC200" i="1" s="1"/>
  <c r="CG342" i="1"/>
  <c r="CC342" i="1" s="1"/>
  <c r="CG158" i="1"/>
  <c r="CC158" i="1" s="1"/>
  <c r="CG191" i="1"/>
  <c r="CC191" i="1" s="1"/>
  <c r="CG228" i="1"/>
  <c r="CC228" i="1" s="1"/>
  <c r="CG250" i="1"/>
  <c r="CC250" i="1" s="1"/>
  <c r="CG116" i="1"/>
  <c r="CC116" i="1" s="1"/>
  <c r="CG319" i="1"/>
  <c r="CC319" i="1" s="1"/>
  <c r="CG98" i="1"/>
  <c r="CC98" i="1" s="1"/>
  <c r="CG272" i="1"/>
  <c r="CC272" i="1" s="1"/>
  <c r="CG207" i="1"/>
  <c r="CC207" i="1" s="1"/>
  <c r="CG375" i="1"/>
  <c r="CC375" i="1" s="1"/>
  <c r="CG37" i="1"/>
  <c r="CC37" i="1" s="1"/>
  <c r="CG320" i="1"/>
  <c r="CC320" i="1" s="1"/>
  <c r="CG168" i="1"/>
  <c r="CC168" i="1" s="1"/>
  <c r="CG179" i="1"/>
  <c r="CC179" i="1" s="1"/>
  <c r="CG64" i="1"/>
  <c r="CC64" i="1" s="1"/>
  <c r="CG91" i="1"/>
  <c r="CC91" i="1" s="1"/>
  <c r="CG308" i="1"/>
  <c r="CC308" i="1" s="1"/>
  <c r="CG199" i="1"/>
  <c r="CC199" i="1" s="1"/>
  <c r="CG117" i="1"/>
  <c r="CC117" i="1" s="1"/>
  <c r="CG67" i="1"/>
  <c r="CC67" i="1" s="1"/>
  <c r="CG346" i="1"/>
  <c r="CC346" i="1" s="1"/>
  <c r="CG351" i="1"/>
  <c r="CC351" i="1" s="1"/>
  <c r="CG328" i="1"/>
  <c r="CC328" i="1" s="1"/>
  <c r="CG242" i="1"/>
  <c r="CC242" i="1" s="1"/>
  <c r="CG43" i="1"/>
  <c r="CC43" i="1" s="1"/>
  <c r="CG344" i="1"/>
  <c r="CC344" i="1" s="1"/>
  <c r="CG73" i="1"/>
  <c r="CC73" i="1" s="1"/>
  <c r="CG114" i="1"/>
  <c r="CC114" i="1" s="1"/>
  <c r="CG150" i="1"/>
  <c r="CC150" i="1" s="1"/>
  <c r="CG337" i="1"/>
  <c r="CC337" i="1" s="1"/>
  <c r="CG89" i="1"/>
  <c r="CC89" i="1" s="1"/>
  <c r="CG376" i="1"/>
  <c r="CC376" i="1" s="1"/>
  <c r="CG209" i="1"/>
  <c r="CC209" i="1" s="1"/>
  <c r="CG147" i="1"/>
  <c r="CC147" i="1" s="1"/>
  <c r="CG303" i="1"/>
  <c r="CC303" i="1" s="1"/>
  <c r="CG59" i="1"/>
  <c r="CC59" i="1" s="1"/>
  <c r="CG229" i="1"/>
  <c r="CC229" i="1" s="1"/>
  <c r="CG185" i="1"/>
  <c r="CC185" i="1" s="1"/>
  <c r="CG28" i="1"/>
  <c r="CC28" i="1" s="1"/>
  <c r="CG227" i="1"/>
  <c r="CC227" i="1" s="1"/>
  <c r="CG214" i="1"/>
  <c r="CC214" i="1" s="1"/>
  <c r="CG134" i="1"/>
  <c r="CC134" i="1" s="1"/>
  <c r="CG85" i="1"/>
  <c r="CC85" i="1" s="1"/>
  <c r="CG296" i="1"/>
  <c r="CC296" i="1" s="1"/>
  <c r="CG143" i="1"/>
  <c r="CC143" i="1" s="1"/>
  <c r="CG173" i="1"/>
  <c r="CC173" i="1" s="1"/>
  <c r="CG124" i="1"/>
  <c r="CC124" i="1" s="1"/>
  <c r="CG336" i="1"/>
  <c r="CC336" i="1" s="1"/>
  <c r="CG316" i="1"/>
  <c r="CC316" i="1" s="1"/>
  <c r="CG333" i="1"/>
  <c r="CC333" i="1" s="1"/>
  <c r="CG241" i="1"/>
  <c r="CC241" i="1" s="1"/>
  <c r="CG160" i="1"/>
  <c r="CC160" i="1" s="1"/>
  <c r="CG322" i="1"/>
  <c r="CC322" i="1" s="1"/>
  <c r="CG277" i="1"/>
  <c r="CC277" i="1" s="1"/>
  <c r="CG178" i="1"/>
  <c r="CC178" i="1" s="1"/>
  <c r="CG146" i="1"/>
  <c r="CC146" i="1" s="1"/>
  <c r="CG238" i="1"/>
  <c r="CC238" i="1" s="1"/>
  <c r="CG235" i="1"/>
  <c r="CC235" i="1" s="1"/>
  <c r="CG142" i="1"/>
  <c r="CC142" i="1" s="1"/>
  <c r="CG371" i="1"/>
  <c r="CC371" i="1" s="1"/>
  <c r="CG357" i="1"/>
  <c r="CC357" i="1" s="1"/>
  <c r="CG315" i="1"/>
  <c r="CC315" i="1" s="1"/>
  <c r="CG16" i="1"/>
  <c r="CC16" i="1" s="1"/>
  <c r="CG131" i="1"/>
  <c r="CC131" i="1" s="1"/>
  <c r="CG299" i="1"/>
  <c r="CC299" i="1" s="1"/>
  <c r="CG112" i="1"/>
  <c r="CC112" i="1" s="1"/>
  <c r="CG221" i="1"/>
  <c r="CC221" i="1" s="1"/>
  <c r="CG47" i="1"/>
  <c r="CC47" i="1" s="1"/>
  <c r="CG166" i="1"/>
  <c r="CC166" i="1" s="1"/>
  <c r="CG119" i="1"/>
  <c r="CC119" i="1" s="1"/>
  <c r="CG243" i="1"/>
  <c r="CC243" i="1" s="1"/>
  <c r="CG183" i="1"/>
  <c r="CC183" i="1" s="1"/>
  <c r="CG271" i="1"/>
  <c r="CC271" i="1" s="1"/>
  <c r="CG345" i="1"/>
  <c r="CC345" i="1" s="1"/>
  <c r="CG339" i="1"/>
  <c r="CC339" i="1" s="1"/>
  <c r="CG311" i="1"/>
  <c r="CC311" i="1" s="1"/>
  <c r="CG306" i="1"/>
  <c r="CC306" i="1" s="1"/>
  <c r="CG305" i="1"/>
  <c r="CC305" i="1" s="1"/>
  <c r="CG359" i="1"/>
  <c r="CC359" i="1" s="1"/>
  <c r="CG246" i="1"/>
  <c r="CC246" i="1" s="1"/>
  <c r="CG347" i="1"/>
  <c r="CC347" i="1" s="1"/>
  <c r="CG293" i="1"/>
  <c r="CC293" i="1" s="1"/>
  <c r="CG41" i="1"/>
  <c r="CC41" i="1" s="1"/>
  <c r="CG338" i="1"/>
  <c r="CC338" i="1" s="1"/>
  <c r="CG223" i="1"/>
  <c r="CC223" i="1" s="1"/>
  <c r="CG213" i="1"/>
  <c r="CC213" i="1" s="1"/>
  <c r="CG18" i="1"/>
  <c r="CC18" i="1" s="1"/>
  <c r="CG164" i="1"/>
  <c r="CC164" i="1" s="1"/>
  <c r="CG113" i="1"/>
  <c r="CC113" i="1" s="1"/>
  <c r="CG281" i="1"/>
  <c r="CC281" i="1" s="1"/>
  <c r="CG144" i="1"/>
  <c r="CC144" i="1" s="1"/>
  <c r="CG208" i="1"/>
  <c r="CC208" i="1" s="1"/>
  <c r="CG226" i="1"/>
  <c r="CC226" i="1" s="1"/>
  <c r="CG44" i="1"/>
  <c r="CC44" i="1" s="1"/>
  <c r="CG115" i="1"/>
  <c r="CC115" i="1" s="1"/>
  <c r="CG163" i="1"/>
  <c r="CC163" i="1" s="1"/>
  <c r="CG369" i="1"/>
  <c r="CC369" i="1" s="1"/>
  <c r="CG40" i="1"/>
  <c r="CC40" i="1" s="1"/>
  <c r="CG192" i="1"/>
  <c r="CC192" i="1" s="1"/>
  <c r="CG301" i="1"/>
  <c r="CC301" i="1" s="1"/>
  <c r="CG120" i="1"/>
  <c r="CC120" i="1" s="1"/>
  <c r="CG260" i="1"/>
  <c r="CC260" i="1" s="1"/>
  <c r="CG77" i="1"/>
  <c r="CC77" i="1" s="1"/>
  <c r="CG32" i="1"/>
  <c r="CC32" i="1" s="1"/>
  <c r="CG66" i="1"/>
  <c r="CC66" i="1" s="1"/>
  <c r="CG175" i="1"/>
  <c r="CC175" i="1" s="1"/>
  <c r="CG70" i="1"/>
  <c r="CC70" i="1" s="1"/>
  <c r="CG188" i="1"/>
  <c r="CC188" i="1" s="1"/>
  <c r="CG75" i="1"/>
  <c r="CC75" i="1" s="1"/>
  <c r="CG245" i="1"/>
  <c r="CC245" i="1" s="1"/>
  <c r="CG125" i="1"/>
  <c r="CC125" i="1" s="1"/>
  <c r="CG196" i="1"/>
  <c r="CC196" i="1" s="1"/>
  <c r="CG177" i="1"/>
  <c r="CC177" i="1" s="1"/>
  <c r="CG87" i="1"/>
  <c r="CC87" i="1" s="1"/>
  <c r="CG354" i="1"/>
  <c r="CC354" i="1" s="1"/>
  <c r="CG102" i="1"/>
  <c r="CC102" i="1" s="1"/>
  <c r="CG275" i="1"/>
  <c r="CC275" i="1" s="1"/>
  <c r="CG96" i="1"/>
  <c r="CC96" i="1" s="1"/>
  <c r="CG108" i="1"/>
  <c r="CC108" i="1" s="1"/>
  <c r="CG132" i="1"/>
  <c r="CC132" i="1" s="1"/>
  <c r="CG36" i="1"/>
  <c r="CC36" i="1" s="1"/>
  <c r="CG149" i="1"/>
  <c r="CC149" i="1" s="1"/>
  <c r="CG137" i="1"/>
  <c r="CC137" i="1" s="1"/>
  <c r="CG161" i="1"/>
  <c r="CC161" i="1" s="1"/>
  <c r="CG189" i="1"/>
  <c r="CC189" i="1" s="1"/>
  <c r="CG215" i="1"/>
  <c r="CC215" i="1" s="1"/>
  <c r="CG95" i="1"/>
  <c r="CC95" i="1" s="1"/>
  <c r="CG236" i="1"/>
  <c r="CC236" i="1" s="1"/>
  <c r="CG90" i="1"/>
  <c r="CC90" i="1" s="1"/>
  <c r="CG65" i="1"/>
  <c r="CC65" i="1" s="1"/>
  <c r="CG254" i="1"/>
  <c r="CC254" i="1" s="1"/>
  <c r="CG314" i="1"/>
  <c r="CC314" i="1" s="1"/>
  <c r="CG190" i="1"/>
  <c r="CC190" i="1" s="1"/>
  <c r="CG312" i="1"/>
  <c r="CC312" i="1" s="1"/>
  <c r="CG225" i="1"/>
  <c r="CC225" i="1" s="1"/>
  <c r="CG216" i="1"/>
  <c r="CC216" i="1" s="1"/>
  <c r="CG139" i="1"/>
  <c r="CC139" i="1" s="1"/>
  <c r="CG257" i="1"/>
  <c r="CC257" i="1" s="1"/>
  <c r="CG151" i="1"/>
  <c r="CC151" i="1" s="1"/>
  <c r="CG145" i="1"/>
  <c r="CC145" i="1" s="1"/>
  <c r="CG21" i="1"/>
  <c r="CC21" i="1" s="1"/>
  <c r="CG349" i="1"/>
  <c r="CC349" i="1" s="1"/>
  <c r="CG239" i="1"/>
  <c r="CC239" i="1" s="1"/>
  <c r="CG329" i="1"/>
  <c r="CC329" i="1" s="1"/>
  <c r="CG268" i="1"/>
  <c r="CC268" i="1" s="1"/>
  <c r="CG244" i="1"/>
  <c r="CC244" i="1" s="1"/>
  <c r="CG171" i="1"/>
  <c r="CC171" i="1" s="1"/>
  <c r="CG232" i="1"/>
  <c r="CC232" i="1" s="1"/>
  <c r="CG367" i="1"/>
  <c r="CC367" i="1" s="1"/>
  <c r="CG341" i="1"/>
  <c r="CC341" i="1" s="1"/>
  <c r="CG193" i="1"/>
  <c r="CC193" i="1" s="1"/>
  <c r="CG356" i="1"/>
  <c r="CC356" i="1" s="1"/>
  <c r="CG135" i="1"/>
  <c r="CC135" i="1" s="1"/>
  <c r="CG309" i="1"/>
  <c r="CC309" i="1" s="1"/>
  <c r="CG335" i="1"/>
  <c r="CC335" i="1" s="1"/>
  <c r="CG361" i="1"/>
  <c r="CC361" i="1" s="1"/>
  <c r="CG295" i="1"/>
  <c r="CC295" i="1" s="1"/>
  <c r="CG273" i="1"/>
  <c r="CC273" i="1" s="1"/>
  <c r="CG258" i="1"/>
  <c r="CC258" i="1" s="1"/>
  <c r="CG374" i="1"/>
  <c r="CC374" i="1" s="1"/>
  <c r="CG249" i="1"/>
  <c r="CC249" i="1" s="1"/>
  <c r="CG154" i="1"/>
  <c r="CC154" i="1" s="1"/>
  <c r="CG234" i="1"/>
  <c r="CC234" i="1" s="1"/>
  <c r="CG99" i="1"/>
  <c r="CC99" i="1" s="1"/>
  <c r="CG284" i="1"/>
  <c r="CC284" i="1" s="1"/>
  <c r="CG157" i="1"/>
  <c r="CC157" i="1" s="1"/>
  <c r="CG363" i="1"/>
  <c r="CC363" i="1" s="1"/>
  <c r="CG317" i="1"/>
  <c r="CC317" i="1" s="1"/>
  <c r="CG103" i="1"/>
  <c r="CC103" i="1" s="1"/>
  <c r="CG350" i="1"/>
  <c r="CC350" i="1" s="1"/>
  <c r="CG269" i="1"/>
  <c r="CC269" i="1" s="1"/>
  <c r="CG110" i="1"/>
  <c r="CC110" i="1" s="1"/>
  <c r="CG323" i="1"/>
  <c r="CC323" i="1" s="1"/>
  <c r="CG26" i="1"/>
  <c r="CC26" i="1" s="1"/>
  <c r="CG107" i="1"/>
  <c r="CC107" i="1" s="1"/>
  <c r="CG237" i="1"/>
  <c r="CC237" i="1" s="1"/>
  <c r="CG261" i="1"/>
  <c r="CC261" i="1" s="1"/>
  <c r="CG35" i="1"/>
  <c r="CC35" i="1" s="1"/>
  <c r="CG27" i="1"/>
  <c r="CC27" i="1" s="1"/>
  <c r="CG23" i="1"/>
  <c r="CC23" i="1" s="1"/>
  <c r="CG340" i="1"/>
  <c r="CC340" i="1" s="1"/>
  <c r="CG71" i="1"/>
  <c r="CC71" i="1" s="1"/>
  <c r="CG321" i="1"/>
  <c r="CC321" i="1" s="1"/>
  <c r="CG53" i="1"/>
  <c r="CC53" i="1" s="1"/>
  <c r="CG92" i="1"/>
  <c r="CC92" i="1" s="1"/>
  <c r="CG172" i="1"/>
  <c r="CC172" i="1" s="1"/>
  <c r="CG105" i="1"/>
  <c r="CC105" i="1" s="1"/>
  <c r="CG180" i="1"/>
  <c r="CC180" i="1" s="1"/>
  <c r="CG55" i="1"/>
  <c r="CC55" i="1" s="1"/>
  <c r="CG38" i="1"/>
  <c r="CC38" i="1" s="1"/>
  <c r="CG365" i="1"/>
  <c r="CC365" i="1" s="1"/>
  <c r="CG352" i="1"/>
  <c r="CC352" i="1" s="1"/>
  <c r="CG304" i="1"/>
  <c r="CC304" i="1" s="1"/>
  <c r="CG22" i="1"/>
  <c r="CC22" i="1" s="1"/>
  <c r="CG100" i="1"/>
  <c r="CC100" i="1" s="1"/>
  <c r="CG289" i="1"/>
  <c r="CC289" i="1" s="1"/>
  <c r="CG86" i="1"/>
  <c r="CC86" i="1" s="1"/>
  <c r="CG54" i="1"/>
  <c r="CC54" i="1" s="1"/>
  <c r="CG111" i="1"/>
  <c r="CC111" i="1" s="1"/>
  <c r="CG72" i="1"/>
  <c r="CC72" i="1" s="1"/>
  <c r="CG355" i="1"/>
  <c r="CC355" i="1" s="1"/>
  <c r="CG212" i="1"/>
  <c r="CC212" i="1" s="1"/>
  <c r="CG127" i="1"/>
  <c r="CC127" i="1" s="1"/>
  <c r="CG318" i="1"/>
  <c r="CC318" i="1" s="1"/>
  <c r="CG259" i="1"/>
  <c r="CC259" i="1" s="1"/>
  <c r="CG148" i="1"/>
  <c r="CC148" i="1" s="1"/>
  <c r="CG224" i="1"/>
  <c r="CC224" i="1" s="1"/>
  <c r="CG130" i="1"/>
  <c r="CC130" i="1" s="1"/>
  <c r="CG153" i="1"/>
  <c r="CC153" i="1" s="1"/>
  <c r="CG334" i="1"/>
  <c r="CC334" i="1" s="1"/>
  <c r="CG140" i="1"/>
  <c r="CC140" i="1" s="1"/>
  <c r="CG195" i="1"/>
  <c r="CC195" i="1" s="1"/>
  <c r="CG274" i="1"/>
  <c r="CC274" i="1" s="1"/>
  <c r="CG181" i="1"/>
  <c r="CC181" i="1" s="1"/>
  <c r="CG210" i="1"/>
  <c r="CC210" i="1" s="1"/>
  <c r="CG290" i="1"/>
  <c r="CC290" i="1" s="1"/>
  <c r="CG62" i="1"/>
  <c r="CC62" i="1" s="1"/>
  <c r="CG25" i="1"/>
  <c r="CC25" i="1" s="1"/>
  <c r="CG220" i="1"/>
  <c r="CC220" i="1" s="1"/>
  <c r="CG278" i="1"/>
  <c r="CC278" i="1" s="1"/>
  <c r="CG156" i="1"/>
  <c r="CC156" i="1" s="1"/>
  <c r="CG302" i="1"/>
  <c r="CC302" i="1" s="1"/>
  <c r="CG285" i="1"/>
  <c r="CC285" i="1" s="1"/>
  <c r="CG52" i="1"/>
  <c r="CC52" i="1" s="1"/>
  <c r="CG330" i="1"/>
  <c r="CC330" i="1" s="1"/>
  <c r="CG106" i="1"/>
  <c r="CC106" i="1" s="1"/>
  <c r="CG184" i="1"/>
  <c r="CC184" i="1" s="1"/>
  <c r="CG206" i="1"/>
  <c r="CC206" i="1" s="1"/>
  <c r="CG48" i="1"/>
  <c r="CC48" i="1" s="1"/>
  <c r="CG286" i="1"/>
  <c r="CC286" i="1" s="1"/>
  <c r="CG265" i="1"/>
  <c r="CC265" i="1" s="1"/>
  <c r="CG291" i="1"/>
  <c r="CC291" i="1" s="1"/>
  <c r="CG366" i="1"/>
  <c r="CC366" i="1" s="1"/>
  <c r="CG76" i="1"/>
  <c r="CC76" i="1" s="1"/>
  <c r="CG325" i="1"/>
  <c r="CC325" i="1" s="1"/>
  <c r="CG29" i="1"/>
  <c r="CC29" i="1" s="1"/>
  <c r="CG17" i="1"/>
  <c r="CC17" i="1" s="1"/>
  <c r="CG118" i="1"/>
  <c r="CC118" i="1" s="1"/>
  <c r="CG169" i="1"/>
  <c r="CC169" i="1" s="1"/>
  <c r="CG15" i="1"/>
  <c r="CC15" i="1" s="1"/>
  <c r="DY21" i="1"/>
  <c r="DZ21" i="1"/>
  <c r="EC20" i="1"/>
  <c r="EE20" i="1"/>
  <c r="DX21" i="1"/>
  <c r="DZ20" i="1"/>
  <c r="ED20" i="1"/>
  <c r="DY20" i="1"/>
  <c r="DX20" i="1"/>
  <c r="DW24" i="1" s="1"/>
  <c r="DW28" i="1" s="1"/>
  <c r="C161" i="1"/>
  <c r="C172" i="1" s="1"/>
  <c r="F56" i="1"/>
  <c r="G56" i="1" s="1"/>
  <c r="J56" i="1" s="1"/>
  <c r="Q94" i="1"/>
  <c r="Q93" i="1"/>
  <c r="S88" i="1"/>
  <c r="S89" i="1"/>
  <c r="K38" i="1"/>
  <c r="K39" i="1" s="1"/>
  <c r="J34" i="1" s="1"/>
  <c r="Q83" i="1"/>
  <c r="Q90" i="1" s="1"/>
  <c r="R83" i="1"/>
  <c r="R90" i="1" s="1"/>
  <c r="S83" i="1"/>
  <c r="S90" i="1" s="1"/>
  <c r="L62" i="1"/>
  <c r="M62" i="1" s="1"/>
  <c r="Q49" i="1"/>
  <c r="Q55" i="1"/>
  <c r="Q50" i="1"/>
  <c r="Q51" i="1"/>
  <c r="Q54" i="1"/>
  <c r="Q56" i="1"/>
  <c r="Q52" i="1"/>
  <c r="Q53" i="1"/>
  <c r="I50" i="1"/>
  <c r="I49" i="1"/>
  <c r="I55" i="1"/>
  <c r="I54" i="1"/>
  <c r="I52" i="1"/>
  <c r="I51" i="1"/>
  <c r="I56" i="1"/>
  <c r="I53" i="1"/>
  <c r="O38" i="1"/>
  <c r="O33" i="1" s="1"/>
  <c r="J72" i="1"/>
  <c r="CE8" i="1"/>
  <c r="CG7" i="1"/>
  <c r="CB5" i="1"/>
  <c r="L194" i="1"/>
  <c r="M194" i="1" s="1"/>
  <c r="N194" i="1" s="1"/>
  <c r="L193" i="1"/>
  <c r="M193" i="1" s="1"/>
  <c r="N193" i="1" s="1"/>
  <c r="L192" i="1"/>
  <c r="M192" i="1" s="1"/>
  <c r="N192" i="1" s="1"/>
  <c r="L191" i="1"/>
  <c r="M191" i="1" s="1"/>
  <c r="N191" i="1" s="1"/>
  <c r="O189" i="1"/>
  <c r="P189" i="1"/>
  <c r="O190" i="1"/>
  <c r="P190" i="1"/>
  <c r="P188" i="1"/>
  <c r="O188" i="1"/>
  <c r="AC158" i="1"/>
  <c r="AC160" i="1"/>
  <c r="AJ162" i="1"/>
  <c r="AC159" i="1"/>
  <c r="AC162" i="1"/>
  <c r="AC164" i="1"/>
  <c r="AJ157" i="1"/>
  <c r="AQ160" i="1"/>
  <c r="AQ161" i="1"/>
  <c r="AC163" i="1"/>
  <c r="AQ164" i="1"/>
  <c r="AJ159" i="1"/>
  <c r="AQ159" i="1"/>
  <c r="AQ158" i="1"/>
  <c r="AJ161" i="1"/>
  <c r="AQ163" i="1"/>
  <c r="AJ164" i="1"/>
  <c r="AJ160" i="1"/>
  <c r="AQ162" i="1"/>
  <c r="AJ158" i="1"/>
  <c r="AC161" i="1"/>
  <c r="AJ163" i="1"/>
  <c r="AQ157" i="1"/>
  <c r="L186" i="1"/>
  <c r="M186" i="1" s="1"/>
  <c r="N186" i="1" s="1"/>
  <c r="L185" i="1"/>
  <c r="M185" i="1" s="1"/>
  <c r="N185" i="1" s="1"/>
  <c r="K195" i="1"/>
  <c r="L187" i="1"/>
  <c r="M187" i="1" s="1"/>
  <c r="N187" i="1" s="1"/>
  <c r="F173" i="1"/>
  <c r="AC157" i="1"/>
  <c r="N64" i="1"/>
  <c r="X64" i="1" s="1"/>
  <c r="B153" i="1"/>
  <c r="B152" i="1"/>
  <c r="F171" i="1"/>
  <c r="F174" i="1"/>
  <c r="F168" i="1"/>
  <c r="F175" i="1"/>
  <c r="F169" i="1"/>
  <c r="K71" i="1"/>
  <c r="L71" i="1" s="1"/>
  <c r="M71" i="1" s="1"/>
  <c r="K70" i="1"/>
  <c r="L70" i="1" s="1"/>
  <c r="M70" i="1" s="1"/>
  <c r="K69" i="1"/>
  <c r="L69" i="1" s="1"/>
  <c r="M69" i="1" s="1"/>
  <c r="H54" i="1"/>
  <c r="J52" i="1"/>
  <c r="K50" i="1"/>
  <c r="J55" i="1"/>
  <c r="O39" i="1"/>
  <c r="J53" i="1"/>
  <c r="K54" i="1"/>
  <c r="J49" i="1"/>
  <c r="K51" i="1"/>
  <c r="K55" i="1"/>
  <c r="H51" i="1"/>
  <c r="J51" i="1"/>
  <c r="H52" i="1"/>
  <c r="J50" i="1"/>
  <c r="K56" i="1"/>
  <c r="H53" i="1"/>
  <c r="H55" i="1"/>
  <c r="K52" i="1"/>
  <c r="K49" i="1"/>
  <c r="J54" i="1"/>
  <c r="H49" i="1"/>
  <c r="H50" i="1"/>
  <c r="K53" i="1"/>
  <c r="O66" i="1"/>
  <c r="Y66" i="1" s="1"/>
  <c r="G36" i="1"/>
  <c r="G35" i="1" s="1"/>
  <c r="AX45" i="1" s="1"/>
  <c r="N67" i="1"/>
  <c r="N63" i="1"/>
  <c r="X63" i="1" s="1"/>
  <c r="N65" i="1"/>
  <c r="X65" i="1" s="1"/>
  <c r="N68" i="1"/>
  <c r="O68" i="1"/>
  <c r="Y50" i="1" l="1"/>
  <c r="Y52" i="1"/>
  <c r="X51" i="1"/>
  <c r="Y49" i="1"/>
  <c r="X52" i="1"/>
  <c r="X50" i="1"/>
  <c r="Y55" i="1"/>
  <c r="Y51" i="1"/>
  <c r="X49" i="1"/>
  <c r="Y54" i="1"/>
  <c r="Y53" i="1"/>
  <c r="X53" i="1"/>
  <c r="X54" i="1"/>
  <c r="X55" i="1"/>
  <c r="X71" i="1"/>
  <c r="Y71" i="1"/>
  <c r="X70" i="1"/>
  <c r="Y70" i="1"/>
  <c r="X69" i="1"/>
  <c r="Y69" i="1"/>
  <c r="AY46" i="1"/>
  <c r="H56" i="1"/>
  <c r="L56" i="1" s="1"/>
  <c r="DX26" i="1"/>
  <c r="DX28" i="1"/>
  <c r="DW26" i="1"/>
  <c r="DY28" i="1"/>
  <c r="DX27" i="1"/>
  <c r="DY26" i="1"/>
  <c r="DY27" i="1"/>
  <c r="DW27" i="1"/>
  <c r="Q95" i="1"/>
  <c r="R94" i="1"/>
  <c r="R93" i="1"/>
  <c r="J33" i="1"/>
  <c r="K34" i="1"/>
  <c r="K33" i="1"/>
  <c r="R95" i="1"/>
  <c r="N33" i="1"/>
  <c r="N62" i="1"/>
  <c r="X62" i="1" s="1"/>
  <c r="O62" i="1"/>
  <c r="Y62" i="1" s="1"/>
  <c r="CG5" i="1"/>
  <c r="CF8" i="1"/>
  <c r="CG8" i="1" s="1"/>
  <c r="O193" i="1"/>
  <c r="P193" i="1"/>
  <c r="P194" i="1"/>
  <c r="O194" i="1"/>
  <c r="P191" i="1"/>
  <c r="O191" i="1"/>
  <c r="P192" i="1"/>
  <c r="O192" i="1"/>
  <c r="O34" i="1"/>
  <c r="N34" i="1"/>
  <c r="G171" i="1"/>
  <c r="K171" i="1" s="1"/>
  <c r="F159" i="1"/>
  <c r="G170" i="1"/>
  <c r="G161" i="1"/>
  <c r="G159" i="1"/>
  <c r="P185" i="1"/>
  <c r="O185" i="1"/>
  <c r="N195" i="1"/>
  <c r="O186" i="1"/>
  <c r="P186" i="1"/>
  <c r="P187" i="1"/>
  <c r="O187" i="1"/>
  <c r="F161" i="1"/>
  <c r="F163" i="1"/>
  <c r="F162" i="1"/>
  <c r="F164" i="1"/>
  <c r="F157" i="1"/>
  <c r="F158" i="1"/>
  <c r="G169" i="1"/>
  <c r="H169" i="1" s="1"/>
  <c r="G173" i="1"/>
  <c r="G175" i="1"/>
  <c r="H175" i="1" s="1"/>
  <c r="F160" i="1"/>
  <c r="G168" i="1"/>
  <c r="H168" i="1" s="1"/>
  <c r="G174" i="1"/>
  <c r="I174" i="1" s="1"/>
  <c r="G163" i="1"/>
  <c r="G162" i="1"/>
  <c r="G157" i="1"/>
  <c r="G158" i="1"/>
  <c r="G164" i="1"/>
  <c r="G160" i="1"/>
  <c r="G172" i="1"/>
  <c r="F172" i="1"/>
  <c r="K72" i="1"/>
  <c r="U3" i="1" s="1"/>
  <c r="N71" i="1"/>
  <c r="O71" i="1"/>
  <c r="N70" i="1"/>
  <c r="O70" i="1"/>
  <c r="N69" i="1"/>
  <c r="O69" i="1"/>
  <c r="M72" i="1"/>
  <c r="M53" i="1"/>
  <c r="M49" i="1"/>
  <c r="S54" i="1"/>
  <c r="S52" i="1"/>
  <c r="V55" i="1"/>
  <c r="S51" i="1"/>
  <c r="L51" i="1"/>
  <c r="M51" i="1"/>
  <c r="T51" i="1"/>
  <c r="V50" i="1"/>
  <c r="M55" i="1"/>
  <c r="W54" i="1"/>
  <c r="T49" i="1"/>
  <c r="S55" i="1"/>
  <c r="T55" i="1"/>
  <c r="S53" i="1"/>
  <c r="T50" i="1"/>
  <c r="W51" i="1"/>
  <c r="T52" i="1"/>
  <c r="M50" i="1"/>
  <c r="V49" i="1"/>
  <c r="L50" i="1"/>
  <c r="S50" i="1"/>
  <c r="W50" i="1"/>
  <c r="L55" i="1"/>
  <c r="S49" i="1"/>
  <c r="V51" i="1"/>
  <c r="W55" i="1"/>
  <c r="W52" i="1"/>
  <c r="M54" i="1"/>
  <c r="T53" i="1"/>
  <c r="W53" i="1"/>
  <c r="L54" i="1"/>
  <c r="V54" i="1"/>
  <c r="V52" i="1"/>
  <c r="M52" i="1"/>
  <c r="T54" i="1"/>
  <c r="L53" i="1"/>
  <c r="V53" i="1"/>
  <c r="L52" i="1"/>
  <c r="L49" i="1"/>
  <c r="W49" i="1"/>
  <c r="Y56" i="1" l="1"/>
  <c r="X56" i="1"/>
  <c r="X57" i="1" s="1"/>
  <c r="X72" i="1"/>
  <c r="Y72" i="1"/>
  <c r="AY47" i="1"/>
  <c r="AY48" i="1" s="1"/>
  <c r="AY49" i="1" s="1"/>
  <c r="AY50" i="1" s="1"/>
  <c r="AY51" i="1" s="1"/>
  <c r="AY52" i="1" s="1"/>
  <c r="AY53" i="1" s="1"/>
  <c r="AY54" i="1" s="1"/>
  <c r="AY55" i="1" s="1"/>
  <c r="AY56" i="1" s="1"/>
  <c r="AY57" i="1" s="1"/>
  <c r="AY58" i="1" s="1"/>
  <c r="AY59" i="1" s="1"/>
  <c r="AY60" i="1" s="1"/>
  <c r="AY61" i="1" s="1"/>
  <c r="AY62" i="1" s="1"/>
  <c r="AY63" i="1" s="1"/>
  <c r="AY64" i="1" s="1"/>
  <c r="AY65" i="1" s="1"/>
  <c r="W56" i="1"/>
  <c r="V56" i="1"/>
  <c r="S56" i="1"/>
  <c r="T56" i="1"/>
  <c r="M56" i="1"/>
  <c r="O56" i="1" s="1"/>
  <c r="DW31" i="1" a="1"/>
  <c r="DX31" i="1" s="1"/>
  <c r="DW30" i="1" a="1"/>
  <c r="DW30" i="1" s="1"/>
  <c r="EB30" i="1" a="1"/>
  <c r="EB30" i="1" s="1"/>
  <c r="DW40" i="1" a="1"/>
  <c r="DZ43" i="1" s="1"/>
  <c r="Q106" i="1"/>
  <c r="S106" i="1" s="1"/>
  <c r="Q99" i="1"/>
  <c r="Q98" i="1"/>
  <c r="Q97" i="1"/>
  <c r="O49" i="1"/>
  <c r="N49" i="1"/>
  <c r="B196" i="1"/>
  <c r="AC17" i="1"/>
  <c r="L72" i="1"/>
  <c r="I171" i="1"/>
  <c r="H171" i="1"/>
  <c r="J171" i="1"/>
  <c r="H161" i="1"/>
  <c r="J170" i="1"/>
  <c r="K170" i="1"/>
  <c r="I170" i="1"/>
  <c r="H170" i="1"/>
  <c r="H159" i="1"/>
  <c r="I159" i="1"/>
  <c r="K159" i="1"/>
  <c r="J159" i="1"/>
  <c r="O195" i="1"/>
  <c r="P195" i="1"/>
  <c r="P196" i="1" s="1"/>
  <c r="K161" i="1"/>
  <c r="I161" i="1"/>
  <c r="J161" i="1"/>
  <c r="K168" i="1"/>
  <c r="I168" i="1"/>
  <c r="J168" i="1"/>
  <c r="K174" i="1"/>
  <c r="J174" i="1"/>
  <c r="H174" i="1"/>
  <c r="K175" i="1"/>
  <c r="K169" i="1"/>
  <c r="I169" i="1"/>
  <c r="J169" i="1"/>
  <c r="J172" i="1"/>
  <c r="I172" i="1"/>
  <c r="K172" i="1"/>
  <c r="H172" i="1"/>
  <c r="H173" i="1"/>
  <c r="I173" i="1"/>
  <c r="J173" i="1"/>
  <c r="K173" i="1"/>
  <c r="J158" i="1"/>
  <c r="K158" i="1"/>
  <c r="H158" i="1"/>
  <c r="I158" i="1"/>
  <c r="J175" i="1"/>
  <c r="K157" i="1"/>
  <c r="H157" i="1"/>
  <c r="J157" i="1"/>
  <c r="I157" i="1"/>
  <c r="I175" i="1"/>
  <c r="H164" i="1"/>
  <c r="I164" i="1"/>
  <c r="K164" i="1"/>
  <c r="J164" i="1"/>
  <c r="J162" i="1"/>
  <c r="H162" i="1"/>
  <c r="K162" i="1"/>
  <c r="I162" i="1"/>
  <c r="H160" i="1"/>
  <c r="J160" i="1"/>
  <c r="I160" i="1"/>
  <c r="K160" i="1"/>
  <c r="J163" i="1"/>
  <c r="H163" i="1"/>
  <c r="I163" i="1"/>
  <c r="K163" i="1"/>
  <c r="O72" i="1"/>
  <c r="O73" i="1" s="1"/>
  <c r="N72" i="1"/>
  <c r="N73" i="1" s="1"/>
  <c r="P53" i="1"/>
  <c r="P51" i="1"/>
  <c r="N51" i="1"/>
  <c r="O51" i="1"/>
  <c r="O55" i="1"/>
  <c r="P49" i="1"/>
  <c r="N54" i="1"/>
  <c r="O50" i="1"/>
  <c r="N50" i="1"/>
  <c r="P50" i="1"/>
  <c r="P54" i="1"/>
  <c r="N55" i="1"/>
  <c r="N53" i="1"/>
  <c r="P55" i="1"/>
  <c r="P52" i="1"/>
  <c r="O53" i="1"/>
  <c r="O54" i="1"/>
  <c r="N52" i="1"/>
  <c r="O52" i="1"/>
  <c r="X74" i="1" l="1"/>
  <c r="Y57" i="1"/>
  <c r="Y74" i="1" s="1"/>
  <c r="AX47" i="1" a="1"/>
  <c r="AX47" i="1" s="1"/>
  <c r="N56" i="1"/>
  <c r="N57" i="1" s="1"/>
  <c r="P56" i="1"/>
  <c r="P57" i="1" s="1"/>
  <c r="EE30" i="1"/>
  <c r="DY31" i="1"/>
  <c r="DW31" i="1"/>
  <c r="DZ30" i="1"/>
  <c r="DY30" i="1"/>
  <c r="DX30" i="1"/>
  <c r="EC30" i="1"/>
  <c r="ED30" i="1"/>
  <c r="DY42" i="1"/>
  <c r="DW42" i="1"/>
  <c r="DY43" i="1"/>
  <c r="DW43" i="1"/>
  <c r="DZ40" i="1"/>
  <c r="DZ41" i="1"/>
  <c r="DY40" i="1"/>
  <c r="DY41" i="1"/>
  <c r="DX42" i="1"/>
  <c r="DX41" i="1"/>
  <c r="DX43" i="1"/>
  <c r="DX40" i="1"/>
  <c r="DW41" i="1"/>
  <c r="DW40" i="1"/>
  <c r="DZ42" i="1"/>
  <c r="Q102" i="1"/>
  <c r="S102" i="1"/>
  <c r="Q100" i="1"/>
  <c r="U102" i="1" s="1"/>
  <c r="R73" i="1"/>
  <c r="B198" i="1"/>
  <c r="B197" i="1"/>
  <c r="O196" i="1"/>
  <c r="AE17" i="1"/>
  <c r="AD17" i="1"/>
  <c r="N171" i="1"/>
  <c r="P171" i="1"/>
  <c r="O171" i="1"/>
  <c r="AM159" i="1"/>
  <c r="AD159" i="1"/>
  <c r="AF159" i="1"/>
  <c r="AR159" i="1"/>
  <c r="AT159" i="1"/>
  <c r="W159" i="1"/>
  <c r="AK159" i="1"/>
  <c r="R159" i="1"/>
  <c r="AB159" i="1"/>
  <c r="U159" i="1"/>
  <c r="AL159" i="1"/>
  <c r="S159" i="1"/>
  <c r="AP159" i="1"/>
  <c r="V159" i="1"/>
  <c r="M159" i="1"/>
  <c r="Q159" i="1"/>
  <c r="AE159" i="1"/>
  <c r="AI159" i="1"/>
  <c r="X159" i="1"/>
  <c r="AS159" i="1"/>
  <c r="P159" i="1"/>
  <c r="P170" i="1"/>
  <c r="N170" i="1"/>
  <c r="O170" i="1"/>
  <c r="AK163" i="1"/>
  <c r="AD163" i="1"/>
  <c r="AM163" i="1"/>
  <c r="AF163" i="1"/>
  <c r="AR163" i="1"/>
  <c r="AT163" i="1"/>
  <c r="N172" i="1"/>
  <c r="O172" i="1"/>
  <c r="P172" i="1"/>
  <c r="P173" i="1"/>
  <c r="N173" i="1"/>
  <c r="O173" i="1"/>
  <c r="AT162" i="1"/>
  <c r="AK162" i="1"/>
  <c r="AD162" i="1"/>
  <c r="AR162" i="1"/>
  <c r="AM162" i="1"/>
  <c r="AF162" i="1"/>
  <c r="AM160" i="1"/>
  <c r="AD160" i="1"/>
  <c r="AF160" i="1"/>
  <c r="AR160" i="1"/>
  <c r="AK160" i="1"/>
  <c r="AT160" i="1"/>
  <c r="O168" i="1"/>
  <c r="N168" i="1"/>
  <c r="P168" i="1"/>
  <c r="AK158" i="1"/>
  <c r="AD158" i="1"/>
  <c r="AM158" i="1"/>
  <c r="AF158" i="1"/>
  <c r="AR158" i="1"/>
  <c r="AT158" i="1"/>
  <c r="N174" i="1"/>
  <c r="O174" i="1"/>
  <c r="P174" i="1"/>
  <c r="AS157" i="1"/>
  <c r="AP157" i="1"/>
  <c r="AI157" i="1"/>
  <c r="AL157" i="1"/>
  <c r="AP160" i="1"/>
  <c r="AE160" i="1"/>
  <c r="AI160" i="1"/>
  <c r="AS160" i="1"/>
  <c r="AB160" i="1"/>
  <c r="AL160" i="1"/>
  <c r="Q160" i="1"/>
  <c r="AD157" i="1"/>
  <c r="AM157" i="1"/>
  <c r="AT157" i="1"/>
  <c r="AF157" i="1"/>
  <c r="AR157" i="1"/>
  <c r="AK157" i="1"/>
  <c r="N169" i="1"/>
  <c r="O169" i="1"/>
  <c r="P169" i="1"/>
  <c r="AB162" i="1"/>
  <c r="Q162" i="1"/>
  <c r="AL162" i="1"/>
  <c r="AE162" i="1"/>
  <c r="AP162" i="1"/>
  <c r="AI162" i="1"/>
  <c r="AS162" i="1"/>
  <c r="AM164" i="1"/>
  <c r="AR164" i="1"/>
  <c r="AD164" i="1"/>
  <c r="AF164" i="1"/>
  <c r="AT164" i="1"/>
  <c r="AK164" i="1"/>
  <c r="N175" i="1"/>
  <c r="P175" i="1"/>
  <c r="O175" i="1"/>
  <c r="S161" i="1"/>
  <c r="Q161" i="1"/>
  <c r="AE161" i="1"/>
  <c r="AP161" i="1"/>
  <c r="AL161" i="1"/>
  <c r="AI161" i="1"/>
  <c r="AB161" i="1"/>
  <c r="AS161" i="1"/>
  <c r="AI163" i="1"/>
  <c r="AB163" i="1"/>
  <c r="AL163" i="1"/>
  <c r="Q163" i="1"/>
  <c r="AP163" i="1"/>
  <c r="AS163" i="1"/>
  <c r="AE163" i="1"/>
  <c r="AB164" i="1"/>
  <c r="AL164" i="1"/>
  <c r="AP164" i="1"/>
  <c r="AE164" i="1"/>
  <c r="Q164" i="1"/>
  <c r="AI164" i="1"/>
  <c r="AS164" i="1"/>
  <c r="AL158" i="1"/>
  <c r="AE158" i="1"/>
  <c r="AP158" i="1"/>
  <c r="Q158" i="1"/>
  <c r="AI158" i="1"/>
  <c r="AS158" i="1"/>
  <c r="AB158" i="1"/>
  <c r="W161" i="1"/>
  <c r="AD161" i="1"/>
  <c r="AR161" i="1"/>
  <c r="AF161" i="1"/>
  <c r="AK161" i="1"/>
  <c r="AT161" i="1"/>
  <c r="AM161" i="1"/>
  <c r="AB157" i="1"/>
  <c r="AE157" i="1"/>
  <c r="P161" i="1"/>
  <c r="R161" i="1"/>
  <c r="X161" i="1"/>
  <c r="U161" i="1"/>
  <c r="V161" i="1"/>
  <c r="M161" i="1"/>
  <c r="W163" i="1"/>
  <c r="R163" i="1"/>
  <c r="X164" i="1"/>
  <c r="P164" i="1"/>
  <c r="S164" i="1"/>
  <c r="M164" i="1"/>
  <c r="U164" i="1"/>
  <c r="V164" i="1"/>
  <c r="U158" i="1"/>
  <c r="M158" i="1"/>
  <c r="V158" i="1"/>
  <c r="S158" i="1"/>
  <c r="P158" i="1"/>
  <c r="X158" i="1"/>
  <c r="U163" i="1"/>
  <c r="V163" i="1"/>
  <c r="X163" i="1"/>
  <c r="P163" i="1"/>
  <c r="M163" i="1"/>
  <c r="S163" i="1"/>
  <c r="P162" i="1"/>
  <c r="S162" i="1"/>
  <c r="U162" i="1"/>
  <c r="V162" i="1"/>
  <c r="M162" i="1"/>
  <c r="X162" i="1"/>
  <c r="R160" i="1"/>
  <c r="W160" i="1"/>
  <c r="R162" i="1"/>
  <c r="W162" i="1"/>
  <c r="R158" i="1"/>
  <c r="W158" i="1"/>
  <c r="P160" i="1"/>
  <c r="U160" i="1"/>
  <c r="S160" i="1"/>
  <c r="V160" i="1"/>
  <c r="M160" i="1"/>
  <c r="X160" i="1"/>
  <c r="P157" i="1"/>
  <c r="M157" i="1"/>
  <c r="X157" i="1"/>
  <c r="V157" i="1"/>
  <c r="S157" i="1"/>
  <c r="Q157" i="1"/>
  <c r="U157" i="1"/>
  <c r="R164" i="1"/>
  <c r="W164" i="1"/>
  <c r="W157" i="1"/>
  <c r="R157" i="1"/>
  <c r="O57" i="1"/>
  <c r="X79" i="1" l="1"/>
  <c r="X80" i="1" s="1"/>
  <c r="Y79" i="1"/>
  <c r="Y80" i="1" s="1"/>
  <c r="Y76" i="1"/>
  <c r="DZ31" i="1"/>
  <c r="EF30" i="1"/>
  <c r="DW44" i="1" a="1"/>
  <c r="DW44" i="1" s="1"/>
  <c r="X104" i="1"/>
  <c r="X105" i="1" s="1"/>
  <c r="X102" i="1"/>
  <c r="S104" i="1"/>
  <c r="Q104" i="1"/>
  <c r="E76" i="1"/>
  <c r="F76" i="1"/>
  <c r="S73" i="1"/>
  <c r="R75" i="1" s="1"/>
  <c r="T196" i="1"/>
  <c r="S196" i="1"/>
  <c r="B75" i="1"/>
  <c r="AU159" i="1"/>
  <c r="AV159" i="1" s="1"/>
  <c r="Y159" i="1"/>
  <c r="T159" i="1"/>
  <c r="AN159" i="1"/>
  <c r="AO159" i="1" s="1"/>
  <c r="AG159" i="1"/>
  <c r="AH159" i="1" s="1"/>
  <c r="AU163" i="1"/>
  <c r="AV163" i="1" s="1"/>
  <c r="T160" i="1"/>
  <c r="T161" i="1"/>
  <c r="T163" i="1"/>
  <c r="AN161" i="1"/>
  <c r="AO161" i="1" s="1"/>
  <c r="M165" i="1"/>
  <c r="T157" i="1"/>
  <c r="AN158" i="1"/>
  <c r="AO158" i="1" s="1"/>
  <c r="P176" i="1"/>
  <c r="T162" i="1"/>
  <c r="T158" i="1"/>
  <c r="AU158" i="1"/>
  <c r="AV158" i="1" s="1"/>
  <c r="AG161" i="1"/>
  <c r="AH161" i="1" s="1"/>
  <c r="N176" i="1"/>
  <c r="AU164" i="1"/>
  <c r="AV164" i="1" s="1"/>
  <c r="AG160" i="1"/>
  <c r="AH160" i="1" s="1"/>
  <c r="O176" i="1"/>
  <c r="AG158" i="1"/>
  <c r="AH158" i="1" s="1"/>
  <c r="AU161" i="1"/>
  <c r="AV161" i="1" s="1"/>
  <c r="AG164" i="1"/>
  <c r="AH164" i="1" s="1"/>
  <c r="AG162" i="1"/>
  <c r="AH162" i="1" s="1"/>
  <c r="AN157" i="1"/>
  <c r="AO157" i="1" s="1"/>
  <c r="AN164" i="1"/>
  <c r="AO164" i="1" s="1"/>
  <c r="AG163" i="1"/>
  <c r="AH163" i="1" s="1"/>
  <c r="AN162" i="1"/>
  <c r="AO162" i="1" s="1"/>
  <c r="AU160" i="1"/>
  <c r="AV160" i="1" s="1"/>
  <c r="AU157" i="1"/>
  <c r="AV157" i="1" s="1"/>
  <c r="T164" i="1"/>
  <c r="AN163" i="1"/>
  <c r="AO163" i="1" s="1"/>
  <c r="AU162" i="1"/>
  <c r="AV162" i="1" s="1"/>
  <c r="AN160" i="1"/>
  <c r="AO160" i="1" s="1"/>
  <c r="AG157" i="1"/>
  <c r="Y161" i="1"/>
  <c r="Y158" i="1"/>
  <c r="Y157" i="1"/>
  <c r="Y162" i="1"/>
  <c r="Y164" i="1"/>
  <c r="Y163" i="1"/>
  <c r="Y160" i="1"/>
  <c r="B77" i="1"/>
  <c r="P59" i="1"/>
  <c r="B76" i="1"/>
  <c r="O59" i="1"/>
  <c r="O58" i="1"/>
  <c r="P58" i="1"/>
  <c r="Y82" i="1" l="1"/>
  <c r="DY44" i="1"/>
  <c r="DX44" i="1"/>
  <c r="DZ44" i="1"/>
  <c r="AB105" i="1"/>
  <c r="AB104" i="1"/>
  <c r="AB108" i="1"/>
  <c r="AB107" i="1"/>
  <c r="AB110" i="1"/>
  <c r="AB106" i="1"/>
  <c r="AB109" i="1"/>
  <c r="AB102" i="1"/>
  <c r="AB103" i="1"/>
  <c r="Q36" i="1"/>
  <c r="S198" i="1"/>
  <c r="Q35" i="1" s="1"/>
  <c r="S58" i="1"/>
  <c r="R36" i="1"/>
  <c r="Z159" i="1"/>
  <c r="N159" i="1" s="1"/>
  <c r="AW159" i="1"/>
  <c r="O159" i="1" s="1"/>
  <c r="AW163" i="1"/>
  <c r="O163" i="1" s="1"/>
  <c r="B178" i="1"/>
  <c r="B200" i="1" s="1"/>
  <c r="AW158" i="1"/>
  <c r="O158" i="1" s="1"/>
  <c r="AW164" i="1"/>
  <c r="O164" i="1" s="1"/>
  <c r="AW160" i="1"/>
  <c r="O160" i="1" s="1"/>
  <c r="AW162" i="1"/>
  <c r="O162" i="1" s="1"/>
  <c r="AW161" i="1"/>
  <c r="O161" i="1" s="1"/>
  <c r="AH157" i="1"/>
  <c r="AW157" i="1" s="1"/>
  <c r="O157" i="1" s="1"/>
  <c r="Z158" i="1"/>
  <c r="N158" i="1" s="1"/>
  <c r="Z161" i="1"/>
  <c r="N161" i="1" s="1"/>
  <c r="Z157" i="1"/>
  <c r="N157" i="1" s="1"/>
  <c r="Z163" i="1"/>
  <c r="N163" i="1" s="1"/>
  <c r="Z162" i="1"/>
  <c r="N162" i="1" s="1"/>
  <c r="Z164" i="1"/>
  <c r="N164" i="1" s="1"/>
  <c r="Z160" i="1"/>
  <c r="N160" i="1" s="1"/>
  <c r="B79" i="1"/>
  <c r="B80" i="1"/>
  <c r="F75" i="1"/>
  <c r="E75" i="1"/>
  <c r="T58" i="1"/>
  <c r="S60" i="1" l="1"/>
  <c r="U4" i="1"/>
  <c r="O165" i="1"/>
  <c r="B180" i="1" s="1"/>
  <c r="N165" i="1"/>
  <c r="B179" i="1" s="1"/>
  <c r="B201" i="1" s="1"/>
  <c r="B83" i="1"/>
  <c r="AZ73" i="1" l="1"/>
  <c r="Y35" i="1"/>
  <c r="Z18" i="1"/>
  <c r="AC18" i="1" s="1"/>
  <c r="F178" i="1"/>
  <c r="B202" i="1"/>
  <c r="AB7" i="1"/>
  <c r="EB5" i="1"/>
  <c r="EB6" i="1" s="1"/>
  <c r="W4" i="1"/>
  <c r="E178" i="1"/>
  <c r="EB11" i="1" l="1"/>
  <c r="B205" i="1"/>
  <c r="U6" i="1" s="1"/>
  <c r="Y44" i="1" s="1"/>
  <c r="Z44" i="1" s="1"/>
  <c r="B204" i="1"/>
  <c r="U5" i="1" s="1"/>
  <c r="G178" i="1"/>
  <c r="H178" i="1"/>
  <c r="R33" i="1" s="1"/>
  <c r="EB12" i="1"/>
  <c r="EB22" i="1" s="1" a="1"/>
  <c r="EB22" i="1" s="1"/>
  <c r="EG6" i="1"/>
  <c r="Y43" i="1" l="1"/>
  <c r="Z43" i="1" s="1"/>
  <c r="AA45" i="1" s="1"/>
  <c r="AB20" i="1"/>
  <c r="AC20" i="1" s="1"/>
  <c r="AC22" i="1" s="1"/>
  <c r="AA22" i="1"/>
  <c r="Y28" i="1"/>
  <c r="AE11" i="1"/>
  <c r="W5" i="1"/>
  <c r="AF11" i="1"/>
  <c r="W6" i="1"/>
  <c r="Q33" i="1"/>
  <c r="J178" i="1"/>
  <c r="Q32" i="1" s="1"/>
  <c r="AB9" i="1"/>
  <c r="ED5" i="1"/>
  <c r="ED11" i="1" s="1"/>
  <c r="AB18" i="1"/>
  <c r="AE18" i="1" s="1"/>
  <c r="BX7" i="1"/>
  <c r="CJ9" i="1" s="1"/>
  <c r="U18" i="1"/>
  <c r="U19" i="1" s="1"/>
  <c r="AA18" i="1"/>
  <c r="AD18" i="1" s="1"/>
  <c r="AA9" i="1"/>
  <c r="U7" i="1"/>
  <c r="AD26" i="1" s="1"/>
  <c r="U8" i="1"/>
  <c r="AA23" i="1" s="1"/>
  <c r="EC5" i="1"/>
  <c r="BW7" i="1"/>
  <c r="CI9" i="1" s="1"/>
  <c r="EG12" i="1"/>
  <c r="EI12" i="1" s="1"/>
  <c r="EJ6" i="1"/>
  <c r="EI6" i="1"/>
  <c r="EH6" i="1"/>
  <c r="ED22" i="1"/>
  <c r="EC22" i="1"/>
  <c r="EE22" i="1"/>
  <c r="AD25" i="1" l="1"/>
  <c r="AC26" i="1"/>
  <c r="W7" i="1"/>
  <c r="AC25" i="1"/>
  <c r="AD20" i="1"/>
  <c r="AD22" i="1" s="1"/>
  <c r="AE22" i="1" s="1"/>
  <c r="AA24" i="1"/>
  <c r="AA25" i="1" s="1"/>
  <c r="AA26" i="1"/>
  <c r="AA7" i="1"/>
  <c r="Y29" i="1"/>
  <c r="Y31" i="1" s="1"/>
  <c r="U21" i="1"/>
  <c r="Y21" i="1"/>
  <c r="Y22" i="1" s="1"/>
  <c r="CJ7" i="1"/>
  <c r="CJ10" i="1" s="1"/>
  <c r="W19" i="1"/>
  <c r="W21" i="1" s="1"/>
  <c r="V19" i="1"/>
  <c r="V21" i="1" s="1"/>
  <c r="EF5" i="1"/>
  <c r="AC9" i="1"/>
  <c r="CJ6" i="1"/>
  <c r="CK9" i="1"/>
  <c r="X8" i="1"/>
  <c r="CI7" i="1"/>
  <c r="CI10" i="1" s="1"/>
  <c r="X7" i="1"/>
  <c r="EC11" i="1"/>
  <c r="EG11" i="1" s="1"/>
  <c r="CI6" i="1"/>
  <c r="EG5" i="1"/>
  <c r="EH5" i="1" s="1"/>
  <c r="BY7" i="1"/>
  <c r="CA7" i="1" s="1"/>
  <c r="EH12" i="1"/>
  <c r="EJ12" i="1"/>
  <c r="EB32" i="1" a="1"/>
  <c r="W8" i="1" l="1"/>
  <c r="AE25" i="1" a="1"/>
  <c r="AE25" i="1" s="1"/>
  <c r="Y8" i="1"/>
  <c r="Y25" i="1"/>
  <c r="Y26" i="1" s="1"/>
  <c r="U23" i="1" s="1"/>
  <c r="V23" i="1" s="1"/>
  <c r="CK10" i="1"/>
  <c r="CK11" i="1" s="1"/>
  <c r="CJ8" i="1"/>
  <c r="CK6" i="1"/>
  <c r="CK7" i="1"/>
  <c r="BZ7" i="1"/>
  <c r="CI8" i="1" s="1"/>
  <c r="EF11" i="1"/>
  <c r="EB21" i="1" a="1"/>
  <c r="EC21" i="1" s="1"/>
  <c r="EI5" i="1"/>
  <c r="EJ5" i="1"/>
  <c r="EH11" i="1"/>
  <c r="EJ11" i="1"/>
  <c r="EI11" i="1"/>
  <c r="EB32" i="1"/>
  <c r="EB36" i="1" s="1"/>
  <c r="ED32" i="1"/>
  <c r="ED36" i="1" s="1"/>
  <c r="EC32" i="1"/>
  <c r="EC36" i="1" s="1"/>
  <c r="EE32" i="1"/>
  <c r="CK8" i="1" l="1"/>
  <c r="CL8" i="1" s="1"/>
  <c r="CB7" i="1"/>
  <c r="EE21" i="1"/>
  <c r="EB21" i="1"/>
  <c r="ED21" i="1"/>
  <c r="EE36" i="1"/>
  <c r="EF36" i="1" s="1"/>
  <c r="EB31" i="1" l="1" a="1"/>
  <c r="EB31" i="1" s="1"/>
  <c r="EB37" i="1" s="1"/>
  <c r="EH36" i="1"/>
  <c r="EG36" i="1"/>
  <c r="EC31" i="1" l="1"/>
  <c r="EC37" i="1" s="1"/>
  <c r="ED31" i="1"/>
  <c r="ED37" i="1" s="1"/>
  <c r="EE31" i="1"/>
  <c r="EE37" i="1" l="1"/>
  <c r="EF37" i="1" s="1"/>
  <c r="EF38" i="1" s="1"/>
  <c r="EF31" i="1"/>
  <c r="EF32" i="1" s="1"/>
  <c r="EG37" i="1" l="1"/>
  <c r="EG38" i="1" s="1"/>
  <c r="EH37" i="1"/>
  <c r="EH3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<sst xmlns="http://schemas.openxmlformats.org/spreadsheetml/2006/main" count="451" uniqueCount="271">
  <si>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</si>
  <si>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</si>
  <si>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</si>
  <si>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</si>
  <si>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</si>
  <si>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</si>
  <si>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</si>
  <si>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</si>
  <si>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</si>
  <si>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</si>
  <si>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</si>
  <si>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</si>
  <si>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</si>
  <si>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</si>
  <si>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</si>
  <si>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</si>
  <si>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</si>
  <si>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</si>
  <si>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</si>
  <si>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</si>
  <si>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</si>
  <si>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</si>
  <si>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</si>
  <si>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</si>
  <si>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</si>
  <si>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</si>
  <si>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</si>
  <si>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</si>
  <si>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</si>
  <si>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</si>
  <si>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</si>
  <si>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</si>
  <si>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</si>
  <si>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</si>
  <si>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</si>
  <si>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</si>
  <si>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</si>
  <si>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</si>
  <si>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</si>
  <si>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</si>
  <si>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</si>
  <si>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</si>
  <si>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</si>
  <si>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</si>
  <si>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</si>
  <si>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</si>
  <si>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</si>
  <si>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</si>
  <si>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</si>
  <si>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</si>
  <si>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</si>
  <si>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</si>
  <si>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</si>
  <si>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</si>
  <si>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</si>
  <si>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</si>
  <si>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</si>
  <si>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</si>
  <si>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</si>
  <si>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</si>
  <si>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</si>
  <si>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</si>
  <si>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</si>
  <si>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</si>
  <si>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</si>
  <si>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</si>
  <si>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</si>
  <si>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</si>
  <si>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</si>
  <si>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</si>
  <si>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</si>
  <si>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</si>
  <si>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</si>
  <si>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</si>
  <si>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</si>
  <si>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</si>
  <si>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</si>
  <si>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</si>
  <si>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</si>
  <si>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</si>
  <si>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</si>
  <si>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</si>
  <si>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</si>
  <si>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</si>
  <si>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</si>
  <si>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</si>
  <si>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</si>
  <si>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</si>
  <si>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</si>
  <si>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</si>
  <si>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</si>
  <si>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</si>
  <si>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</si>
  <si>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</si>
  <si>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</si>
  <si>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</si>
  <si>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</si>
  <si>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</si>
  <si>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</si>
  <si>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</si>
  <si>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</si>
  <si>
    <t>eu</t>
  </si>
  <si>
    <t>|User|</t>
  </si>
  <si>
    <t>User - Unit Vector</t>
  </si>
  <si>
    <t>|Result|</t>
  </si>
  <si>
    <t>Result - Unit Vector</t>
  </si>
  <si>
    <t>Difference Vector</t>
  </si>
  <si>
    <t>|D.V.|</t>
  </si>
  <si>
    <t>|M|</t>
  </si>
  <si>
    <t>Result chart</t>
  </si>
  <si>
    <t>Alpha</t>
  </si>
  <si>
    <t>Tan-1(My/Mx)</t>
  </si>
  <si>
    <t>NA Bisection Steps</t>
  </si>
  <si>
    <t>a</t>
  </si>
  <si>
    <t>c</t>
  </si>
  <si>
    <t>f_a</t>
  </si>
  <si>
    <t>f_b</t>
  </si>
  <si>
    <t>f_c</t>
  </si>
  <si>
    <t>Plastic Center</t>
  </si>
  <si>
    <t>Concrete</t>
  </si>
  <si>
    <t>A</t>
  </si>
  <si>
    <t>Cx</t>
  </si>
  <si>
    <t>Cy</t>
  </si>
  <si>
    <t xml:space="preserve">Cc = </t>
  </si>
  <si>
    <t xml:space="preserve">My = </t>
  </si>
  <si>
    <t>T</t>
  </si>
  <si>
    <t>Tension Center</t>
  </si>
  <si>
    <t>Parametric C to T Line</t>
  </si>
  <si>
    <t>-</t>
  </si>
  <si>
    <t>)</t>
  </si>
  <si>
    <t>Given a P Solve for T</t>
  </si>
  <si>
    <t xml:space="preserve">t = </t>
  </si>
  <si>
    <t>P =</t>
  </si>
  <si>
    <t>Alpha Search Window</t>
  </si>
  <si>
    <t>Pi bounds</t>
  </si>
  <si>
    <t>Davister Steps</t>
  </si>
  <si>
    <t>am0</t>
  </si>
  <si>
    <t>ak</t>
  </si>
  <si>
    <t>adelt</t>
  </si>
  <si>
    <t>amk</t>
  </si>
  <si>
    <t>Newton-Raphson Steps</t>
  </si>
  <si>
    <t>Newton_Raphson Relax Factor:</t>
  </si>
  <si>
    <t>Abs(Alpha - Tan-1)</t>
  </si>
  <si>
    <t>Tan-1 - User Tan-1</t>
  </si>
  <si>
    <t>abs(Tan-1 - User Tan-1)</t>
  </si>
  <si>
    <t>Try Working with a guess center point of Mx vs My instead of 0,0</t>
  </si>
  <si>
    <t>2D Vectors from Guess to Mx v My Plot</t>
  </si>
  <si>
    <t>Ux</t>
  </si>
  <si>
    <t>Uy</t>
  </si>
  <si>
    <t>Tan-1 Ux/Uy</t>
  </si>
  <si>
    <t>delta</t>
  </si>
  <si>
    <t>Screen Update:</t>
  </si>
  <si>
    <t># of Points:</t>
  </si>
  <si>
    <t>Concrete Force  and Moment by Line Integrals - PCA Parabolic Stress Block</t>
  </si>
  <si>
    <t>PCA Parabolic Strain-Strain Curve Formulas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</si>
  <si>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</si>
  <si>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</si>
  <si>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</si>
  <si>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</si>
  <si>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</si>
  <si>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</si>
  <si>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</si>
  <si>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</si>
  <si>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</si>
  <si>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</si>
  <si>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</si>
  <si>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</si>
  <si>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</si>
  <si>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</si>
  <si>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</si>
  <si>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</si>
  <si>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</si>
  <si>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</si>
  <si>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</si>
  <si>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</si>
  <si>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</si>
  <si>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</si>
  <si>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Parabolic Region</t>
  </si>
  <si>
    <t>xi'</t>
  </si>
  <si>
    <t>yi'</t>
  </si>
  <si>
    <t>xj'</t>
  </si>
  <si>
    <t>yj'</t>
  </si>
  <si>
    <t>Constant Stress Region</t>
  </si>
  <si>
    <t>tj</t>
  </si>
  <si>
    <t>ti</t>
  </si>
  <si>
    <t>Mx sub calcs:</t>
  </si>
  <si>
    <t>My sub calcs:</t>
  </si>
  <si>
    <t>Cc</t>
  </si>
  <si>
    <t>Conc Stress</t>
  </si>
  <si>
    <t>Ts</t>
  </si>
  <si>
    <t>Stress Block:</t>
  </si>
  <si>
    <t>Solver Log</t>
  </si>
  <si>
    <t>Max</t>
  </si>
  <si>
    <t>Min</t>
  </si>
  <si>
    <t>3D Coordinate Transformation</t>
  </si>
  <si>
    <t>Translation</t>
  </si>
  <si>
    <t>angle</t>
  </si>
  <si>
    <t>unit v</t>
  </si>
  <si>
    <t xml:space="preserve"> t matrix</t>
  </si>
  <si>
    <t>z</t>
  </si>
  <si>
    <t>Rotation to align with Z Axis</t>
  </si>
  <si>
    <t>|V|</t>
  </si>
  <si>
    <t>User</t>
  </si>
  <si>
    <t>Result</t>
  </si>
  <si>
    <t>Tan-1</t>
  </si>
  <si>
    <t>Vector From Guess to User Point to Establish the proper cut plane</t>
  </si>
  <si>
    <t>user+5</t>
  </si>
  <si>
    <t>Rotation to Y axis</t>
  </si>
  <si>
    <t>Pn</t>
  </si>
  <si>
    <t>Mxn</t>
  </si>
  <si>
    <t>Myn</t>
  </si>
  <si>
    <t>vector</t>
  </si>
  <si>
    <t>ak-1</t>
  </si>
  <si>
    <t>amk-1</t>
  </si>
  <si>
    <t>amo-amk</t>
  </si>
  <si>
    <t>f_x</t>
  </si>
  <si>
    <t>alpha+h</t>
  </si>
  <si>
    <t xml:space="preserve">h = </t>
  </si>
  <si>
    <t>f_x_p</t>
  </si>
  <si>
    <t>alpha-h</t>
  </si>
  <si>
    <t>f_x_m</t>
  </si>
  <si>
    <t>f_prime_x</t>
  </si>
  <si>
    <t>alpha j</t>
  </si>
  <si>
    <t>alpha i</t>
  </si>
  <si>
    <t>Net Steel Stress</t>
  </si>
  <si>
    <t>Tan -1 Ux/Uy</t>
  </si>
  <si>
    <t>User Point</t>
  </si>
  <si>
    <t>Calc Point</t>
  </si>
  <si>
    <t>Vector</t>
  </si>
  <si>
    <t>G0</t>
  </si>
  <si>
    <t>0U</t>
  </si>
  <si>
    <t>GU</t>
  </si>
  <si>
    <t>dMx</t>
  </si>
  <si>
    <t>dMy</t>
  </si>
  <si>
    <t>GC</t>
  </si>
  <si>
    <t>0C</t>
  </si>
  <si>
    <t xml:space="preserve">Guess - Point inside Mx/My Slice </t>
  </si>
  <si>
    <t>GC-GU</t>
  </si>
  <si>
    <t>CU</t>
  </si>
  <si>
    <t>GC-G0</t>
  </si>
  <si>
    <t>parametric</t>
  </si>
  <si>
    <t>NA Angle Iters</t>
  </si>
  <si>
    <t>Total Iters</t>
  </si>
  <si>
    <t>Ec Calc:</t>
  </si>
  <si>
    <t>Mx_My runtime:</t>
  </si>
  <si>
    <t>seconds</t>
  </si>
  <si>
    <t>gross</t>
  </si>
  <si>
    <t>Density</t>
  </si>
  <si>
    <t>General Strain Equation</t>
  </si>
  <si>
    <t>P1</t>
  </si>
  <si>
    <t>P2</t>
  </si>
  <si>
    <t>P3</t>
  </si>
  <si>
    <t>z or e</t>
  </si>
  <si>
    <t>v1</t>
  </si>
  <si>
    <t>v2</t>
  </si>
  <si>
    <t>d</t>
  </si>
  <si>
    <t xml:space="preserve">e = </t>
  </si>
  <si>
    <t>x +</t>
  </si>
  <si>
    <t xml:space="preserve"> -- y=mx+b @ NA</t>
  </si>
  <si>
    <t>||n||</t>
  </si>
  <si>
    <t>x1</t>
  </si>
  <si>
    <t>y1</t>
  </si>
  <si>
    <t>Section Centroid Ignoring Steel</t>
  </si>
  <si>
    <t>Cx (in)</t>
  </si>
  <si>
    <t>Cy (in)</t>
  </si>
  <si>
    <t>Load Center:</t>
  </si>
  <si>
    <t>Web</t>
  </si>
  <si>
    <t>Whitney</t>
  </si>
  <si>
    <t>I'x</t>
  </si>
  <si>
    <t>I'y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</si>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</sst>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0000"/>
    <numFmt numFmtId="166" formatCode="0.000%"/>
    <numFmt numFmtId="167" formatCode="0.000E+00"/>
    <numFmt numFmtId="168" formatCode="0.0000"/>
    <numFmt numFmtId="169" formatCode="0.000000"/>
    <numFmt numFmtId="170" formatCode="0.0000E+00"/>
  </numFmts>
  <fonts count="1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2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164" fontId="0" fillId="0" borderId="14" xfId="0" applyNumberFormat="1" applyBorder="1" applyAlignment="1">
      <alignment horizontal="center"/>
    </xf>
    <xf numFmtId="0" fontId="0" fillId="0" borderId="15" xfId="0" applyFill="1" applyBorder="1"/>
    <xf numFmtId="164" fontId="0" fillId="2" borderId="0" xfId="0" applyNumberFormat="1" applyFill="1" applyAlignment="1" applyProtection="1">
      <alignment horizontal="center"/>
      <protection locked="0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5" fontId="0" fillId="0" borderId="0" xfId="0" applyNumberFormat="1"/>
    <xf numFmtId="164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11" fontId="0" fillId="2" borderId="0" xfId="0" applyNumberFormat="1" applyFill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7" xfId="0" applyNumberForma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0" fillId="0" borderId="6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168" fontId="0" fillId="0" borderId="8" xfId="0" applyNumberFormat="1" applyBorder="1" applyAlignment="1">
      <alignment horizontal="center"/>
    </xf>
    <xf numFmtId="168" fontId="0" fillId="0" borderId="9" xfId="0" applyNumberFormat="1" applyBorder="1" applyAlignment="1">
      <alignment horizontal="center"/>
    </xf>
    <xf numFmtId="168" fontId="0" fillId="0" borderId="7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4" xfId="0" applyNumberFormat="1" applyBorder="1" applyAlignment="1">
      <alignment horizontal="center"/>
    </xf>
    <xf numFmtId="168" fontId="0" fillId="0" borderId="2" xfId="0" applyNumberFormat="1" applyBorder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0" fontId="10" fillId="0" borderId="0" xfId="0" applyFont="1"/>
    <xf numFmtId="167" fontId="0" fillId="4" borderId="11" xfId="0" applyNumberFormat="1" applyFill="1" applyBorder="1" applyAlignment="1">
      <alignment horizontal="center"/>
    </xf>
    <xf numFmtId="169" fontId="0" fillId="0" borderId="0" xfId="0" applyNumberFormat="1"/>
    <xf numFmtId="164" fontId="0" fillId="0" borderId="0" xfId="0" applyNumberFormat="1" applyAlignment="1">
      <alignment horizontal="left"/>
    </xf>
    <xf numFmtId="168" fontId="12" fillId="5" borderId="0" xfId="0" applyNumberFormat="1" applyFont="1" applyFill="1" applyAlignment="1">
      <alignment horizontal="center"/>
    </xf>
    <xf numFmtId="0" fontId="12" fillId="5" borderId="8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168" fontId="0" fillId="0" borderId="0" xfId="0" applyNumberFormat="1"/>
    <xf numFmtId="11" fontId="0" fillId="0" borderId="0" xfId="0" applyNumberFormat="1"/>
    <xf numFmtId="170" fontId="0" fillId="0" borderId="11" xfId="0" applyNumberForma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TLR_Section_Capacity!$E$3:$E$11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24</c:v>
                </c:pt>
                <c:pt idx="4">
                  <c:v>24</c:v>
                </c:pt>
                <c:pt idx="5">
                  <c:v>0</c:v>
                </c:pt>
                <c:pt idx="6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TLR_Section_Capacity!$F$3:$F$11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18</c:v>
                </c:pt>
                <c:pt idx="3">
                  <c:v>18</c:v>
                </c:pt>
                <c:pt idx="4">
                  <c:v>24</c:v>
                </c:pt>
                <c:pt idx="5">
                  <c:v>24</c:v>
                </c:pt>
                <c:pt idx="6">
                  <c:v>18</c:v>
                </c:pt>
                <c:pt idx="7">
                  <c:v>18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TLR_Section_Capacity!$K$15:$K$24</c:f>
              <c:numCache>
                <c:formatCode>General</c:formatCode>
                <c:ptCount val="10"/>
                <c:pt idx="0">
                  <c:v>6</c:v>
                </c:pt>
                <c:pt idx="1">
                  <c:v>1.5</c:v>
                </c:pt>
                <c:pt idx="2">
                  <c:v>10.5</c:v>
                </c:pt>
                <c:pt idx="3">
                  <c:v>1.5</c:v>
                </c:pt>
                <c:pt idx="4">
                  <c:v>10.5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TLR_Section_Capacity!$L$15:$L$24</c:f>
              <c:numCache>
                <c:formatCode>General</c:formatCode>
                <c:ptCount val="10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21</c:v>
                </c:pt>
                <c:pt idx="4">
                  <c:v>21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TLR_Section_Capacity!$X$4:$X$6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0</c:v>
                </c:pt>
              </c:numCache>
            </c:numRef>
          </c:xVal>
          <c:yVal>
            <c:numRef>
              <c:f>TLR_Section_Capacity!$Y$4:$Y$6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TLR_Section_Capacity!$J$33:$J$34</c:f>
              <c:numCache>
                <c:formatCode>General</c:formatCode>
                <c:ptCount val="2"/>
                <c:pt idx="0">
                  <c:v>-3.9106104153659924</c:v>
                </c:pt>
                <c:pt idx="1">
                  <c:v>24.989555887072726</c:v>
                </c:pt>
              </c:numCache>
            </c:numRef>
          </c:xVal>
          <c:yVal>
            <c:numRef>
              <c:f>TLR_Section_Capacity!$K$33:$K$34</c:f>
              <c:numCache>
                <c:formatCode>General</c:formatCode>
                <c:ptCount val="2"/>
                <c:pt idx="0">
                  <c:v>19.941121820231313</c:v>
                </c:pt>
                <c:pt idx="1">
                  <c:v>24.144149925372339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TLR_Section_Capacity!$N$33:$N$34</c:f>
              <c:numCache>
                <c:formatCode>General</c:formatCode>
                <c:ptCount val="2"/>
                <c:pt idx="0">
                  <c:v>-4.0100240453903861</c:v>
                </c:pt>
                <c:pt idx="1">
                  <c:v>24.890142257048332</c:v>
                </c:pt>
              </c:numCache>
            </c:numRef>
          </c:xVal>
          <c:yVal>
            <c:numRef>
              <c:f>TLR_Section_Capacity!$O$33:$O$34</c:f>
              <c:numCache>
                <c:formatCode>General</c:formatCode>
                <c:ptCount val="2"/>
                <c:pt idx="0">
                  <c:v>20.624693371161428</c:v>
                </c:pt>
                <c:pt idx="1">
                  <c:v>24.827721476302454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TLR_Section_Capacity!$I$2</c:f>
              <c:numCache>
                <c:formatCode>0.000</c:formatCode>
                <c:ptCount val="1"/>
                <c:pt idx="0">
                  <c:v>6</c:v>
                </c:pt>
              </c:numCache>
            </c:numRef>
          </c:xVal>
          <c:yVal>
            <c:numRef>
              <c:f>TLR_Section_Capacity!$I$3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ser>
          <c:idx val="3"/>
          <c:order val="6"/>
          <c:tx>
            <c:strRef>
              <c:f>TLR_Section_Capacity!$Q$32</c:f>
              <c:strCache>
                <c:ptCount val="1"/>
                <c:pt idx="0">
                  <c:v>Cc = 113.9107 kips
 @ ( 6.3996 , 23.0693 )</c:v>
                </c:pt>
              </c:strCache>
            </c:strRef>
          </c:tx>
          <c:spPr>
            <a:ln>
              <a:noFill/>
            </a:ln>
          </c:spPr>
          <c:marker>
            <c:symbol val="plus"/>
            <c:size val="8"/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TLR_Section_Capacity!$Q$33</c:f>
              <c:numCache>
                <c:formatCode>General</c:formatCode>
                <c:ptCount val="1"/>
                <c:pt idx="0">
                  <c:v>6.3995669401139974</c:v>
                </c:pt>
              </c:numCache>
            </c:numRef>
          </c:xVal>
          <c:yVal>
            <c:numRef>
              <c:f>TLR_Section_Capacity!$R$33</c:f>
              <c:numCache>
                <c:formatCode>General</c:formatCode>
                <c:ptCount val="1"/>
                <c:pt idx="0">
                  <c:v>23.069293947012312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47-406D-B5D5-9DB062E22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8.0967177709097962E-2"/>
          <c:y val="0.87789643482064739"/>
          <c:w val="0.83275477730811442"/>
          <c:h val="0.10821467629046369"/>
        </c:manualLayout>
      </c:layout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TLR_Section_Capacity!$C$37:$C$45</c:f>
              <c:numCache>
                <c:formatCode>0.000</c:formatCode>
                <c:ptCount val="9"/>
                <c:pt idx="0">
                  <c:v>-7.664560802224675</c:v>
                </c:pt>
                <c:pt idx="1">
                  <c:v>4.2105134829788815</c:v>
                </c:pt>
                <c:pt idx="2">
                  <c:v>6.801048972413227</c:v>
                </c:pt>
                <c:pt idx="3">
                  <c:v>18.67612325761678</c:v>
                </c:pt>
                <c:pt idx="4">
                  <c:v>19.539635087428231</c:v>
                </c:pt>
                <c:pt idx="5">
                  <c:v>-4.2105134829788815</c:v>
                </c:pt>
                <c:pt idx="6">
                  <c:v>-5.0740253127903294</c:v>
                </c:pt>
                <c:pt idx="7">
                  <c:v>-5.0740253127903294</c:v>
                </c:pt>
                <c:pt idx="8">
                  <c:v>-7.664560802224675</c:v>
                </c:pt>
              </c:numCache>
            </c:numRef>
          </c:xVal>
          <c:yVal>
            <c:numRef>
              <c:f>TLR_Section_Capacity!$D$37:$D$45</c:f>
              <c:numCache>
                <c:formatCode>0.000</c:formatCode>
                <c:ptCount val="9"/>
                <c:pt idx="0">
                  <c:v>-11.011562455392108</c:v>
                </c:pt>
                <c:pt idx="1">
                  <c:v>-12.738586115015005</c:v>
                </c:pt>
                <c:pt idx="2">
                  <c:v>5.0740253127903294</c:v>
                </c:pt>
                <c:pt idx="3">
                  <c:v>3.3470016531674331</c:v>
                </c:pt>
                <c:pt idx="4">
                  <c:v>9.2845387957692118</c:v>
                </c:pt>
                <c:pt idx="5">
                  <c:v>12.738586115015005</c:v>
                </c:pt>
                <c:pt idx="6">
                  <c:v>6.801048972413227</c:v>
                </c:pt>
                <c:pt idx="7">
                  <c:v>6.801048972413227</c:v>
                </c:pt>
                <c:pt idx="8">
                  <c:v>-11.011562455392108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TLR_Section_Capacity!$Q$62:$Q$71</c:f>
              <c:numCache>
                <c:formatCode>General</c:formatCode>
                <c:ptCount val="10"/>
                <c:pt idx="0">
                  <c:v>-1.5111457021700347</c:v>
                </c:pt>
                <c:pt idx="1">
                  <c:v>-5.9642985591213682</c:v>
                </c:pt>
                <c:pt idx="2">
                  <c:v>2.9420071547812983</c:v>
                </c:pt>
                <c:pt idx="3">
                  <c:v>-3.1578851122341609</c:v>
                </c:pt>
                <c:pt idx="4">
                  <c:v>5.7484206016685055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TLR_Section_Capacity!$R$62:$R$71</c:f>
              <c:numCache>
                <c:formatCode>General</c:formatCode>
                <c:ptCount val="10"/>
                <c:pt idx="0">
                  <c:v>-10.390689999553111</c:v>
                </c:pt>
                <c:pt idx="1">
                  <c:v>-9.7430561271945244</c:v>
                </c:pt>
                <c:pt idx="2">
                  <c:v>-11.038323871911697</c:v>
                </c:pt>
                <c:pt idx="3">
                  <c:v>9.5539395862612526</c:v>
                </c:pt>
                <c:pt idx="4">
                  <c:v>8.2586718415440803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TLR_Section_Capacity!$J$38:$J$39</c:f>
              <c:numCache>
                <c:formatCode>0.000</c:formatCode>
                <c:ptCount val="2"/>
                <c:pt idx="0">
                  <c:v>-8.6645608022246741</c:v>
                </c:pt>
                <c:pt idx="1">
                  <c:v>20.539635087428231</c:v>
                </c:pt>
              </c:numCache>
            </c:numRef>
          </c:xVal>
          <c:yVal>
            <c:numRef>
              <c:f>TLR_Section_Capacity!$K$38:$K$39</c:f>
              <c:numCache>
                <c:formatCode>0.000</c:formatCode>
                <c:ptCount val="2"/>
                <c:pt idx="0">
                  <c:v>9.2847725159783234</c:v>
                </c:pt>
                <c:pt idx="1">
                  <c:v>9.2847725159783234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TLR_Section_Capacity!$N$38:$N$39</c:f>
              <c:numCache>
                <c:formatCode>0.000</c:formatCode>
                <c:ptCount val="2"/>
                <c:pt idx="0">
                  <c:v>-8.6645608022246741</c:v>
                </c:pt>
                <c:pt idx="1">
                  <c:v>20.539635087428231</c:v>
                </c:pt>
              </c:numCache>
            </c:numRef>
          </c:xVal>
          <c:yVal>
            <c:numRef>
              <c:f>TLR_Section_Capacity!$O$38:$O$39</c:f>
              <c:numCache>
                <c:formatCode>0.000</c:formatCode>
                <c:ptCount val="2"/>
                <c:pt idx="0">
                  <c:v>9.9755352357856601</c:v>
                </c:pt>
                <c:pt idx="1">
                  <c:v>9.9755352357856601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TLR_Section_Capacity!$S$49:$S$56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14.788319718767756</c:v>
                </c:pt>
                <c:pt idx="5">
                  <c:v>-4.2105134829788815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TLR_Section_Capacity!$T$49:$T$56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9.9755352357856601</c:v>
                </c:pt>
                <c:pt idx="5">
                  <c:v>12.738586115015005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TLR_Section_Capacity!$V$49:$V$56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-4.2105134829788815</c:v>
                </c:pt>
                <c:pt idx="5">
                  <c:v>-4.6123513263948759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TLR_Section_Capacity!$W$49:$W$56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12.738586115015005</c:v>
                </c:pt>
                <c:pt idx="5">
                  <c:v>9.9755352357856601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999249114108941E-2"/>
          <c:y val="9.5394347156804546E-2"/>
          <c:w val="0.84232733481796163"/>
          <c:h val="0.75111090356007637"/>
        </c:manualLayout>
      </c:layout>
      <c:scatterChart>
        <c:scatterStyle val="lineMarker"/>
        <c:varyColors val="0"/>
        <c:ser>
          <c:idx val="0"/>
          <c:order val="0"/>
          <c:tx>
            <c:v>Result_Vector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00B0F0"/>
                </a:solidFill>
              </a:ln>
              <a:effectLst/>
            </c:spPr>
          </c:marker>
          <c:xVal>
            <c:numRef>
              <c:f>TLR_Section_Capacity!$AA$5:$AA$6</c:f>
              <c:numCache>
                <c:formatCode>General</c:formatCode>
                <c:ptCount val="2"/>
                <c:pt idx="0">
                  <c:v>0</c:v>
                </c:pt>
                <c:pt idx="1">
                  <c:v>30</c:v>
                </c:pt>
              </c:numCache>
            </c:numRef>
          </c:xVal>
          <c:yVal>
            <c:numRef>
              <c:f>TLR_Section_Capacity!$AB$5:$AB$6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6244-8B8B-DB5AF284A8E0}"/>
            </c:ext>
          </c:extLst>
        </c:ser>
        <c:ser>
          <c:idx val="1"/>
          <c:order val="1"/>
          <c:tx>
            <c:v>Capacity_Vector</c:v>
          </c:tx>
          <c:spPr>
            <a:ln w="1270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(TLR_Section_Capacity!$AA$5,TLR_Section_Capacity!$AA$7)</c:f>
              <c:numCache>
                <c:formatCode>General</c:formatCode>
                <c:ptCount val="2"/>
                <c:pt idx="0">
                  <c:v>0</c:v>
                </c:pt>
                <c:pt idx="1">
                  <c:v>175.6286060948942</c:v>
                </c:pt>
              </c:numCache>
            </c:numRef>
          </c:xVal>
          <c:yVal>
            <c:numRef>
              <c:f>(TLR_Section_Capacity!$AB$5,TLR_Section_Capacity!$AB$7)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8.2378903698554503E-11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6-D941-A211-2EA21BA7F3D2}"/>
            </c:ext>
          </c:extLst>
        </c:ser>
        <c:ser>
          <c:idx val="2"/>
          <c:order val="2"/>
          <c:tx>
            <c:v>Res_Cap_Vector</c:v>
          </c:tx>
          <c:spPr>
            <a:ln w="12700" cap="rnd">
              <a:solidFill>
                <a:schemeClr val="accent4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TLR_Section_Capacity!$AA$6:$AA$7</c:f>
              <c:numCache>
                <c:formatCode>General</c:formatCode>
                <c:ptCount val="2"/>
                <c:pt idx="0">
                  <c:v>30</c:v>
                </c:pt>
                <c:pt idx="1">
                  <c:v>175.6286060948942</c:v>
                </c:pt>
              </c:numCache>
            </c:numRef>
          </c:xVal>
          <c:yVal>
            <c:numRef>
              <c:f>TLR_Section_Capacity!$AB$6:$AB$7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8.2378903698554503E-11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6-D941-A211-2EA21BA7F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2352"/>
        <c:axId val="233843984"/>
      </c:scatterChart>
      <c:valAx>
        <c:axId val="23384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3984"/>
        <c:crosses val="autoZero"/>
        <c:crossBetween val="midCat"/>
      </c:valAx>
      <c:valAx>
        <c:axId val="2338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TLR_Section_Capacity!$BD$2:$BD$363</c:f>
              <c:numCache>
                <c:formatCode>General</c:formatCode>
                <c:ptCount val="362"/>
                <c:pt idx="0">
                  <c:v>93.216872666527792</c:v>
                </c:pt>
                <c:pt idx="1">
                  <c:v>92.475996797671939</c:v>
                </c:pt>
                <c:pt idx="2">
                  <c:v>90.214078452530131</c:v>
                </c:pt>
                <c:pt idx="3">
                  <c:v>87.556528450664757</c:v>
                </c:pt>
                <c:pt idx="4">
                  <c:v>84.615017543220134</c:v>
                </c:pt>
                <c:pt idx="5">
                  <c:v>75.590489699915508</c:v>
                </c:pt>
                <c:pt idx="6">
                  <c:v>65.439906169908753</c:v>
                </c:pt>
                <c:pt idx="7">
                  <c:v>55.961171241407527</c:v>
                </c:pt>
                <c:pt idx="8">
                  <c:v>41.982468811323756</c:v>
                </c:pt>
                <c:pt idx="9">
                  <c:v>20.780847961822925</c:v>
                </c:pt>
                <c:pt idx="10">
                  <c:v>-1.2081386057164638</c:v>
                </c:pt>
                <c:pt idx="11">
                  <c:v>-16.091461472921647</c:v>
                </c:pt>
                <c:pt idx="12">
                  <c:v>-26.091738759054731</c:v>
                </c:pt>
                <c:pt idx="13">
                  <c:v>-28.90086708372009</c:v>
                </c:pt>
                <c:pt idx="14">
                  <c:v>-30.482867931848013</c:v>
                </c:pt>
                <c:pt idx="15">
                  <c:v>-31.689349695663999</c:v>
                </c:pt>
                <c:pt idx="16">
                  <c:v>-32.640937298588049</c:v>
                </c:pt>
                <c:pt idx="17">
                  <c:v>-33.634844880738292</c:v>
                </c:pt>
                <c:pt idx="18">
                  <c:v>-34.652120511800504</c:v>
                </c:pt>
                <c:pt idx="19">
                  <c:v>-33.634844880738335</c:v>
                </c:pt>
                <c:pt idx="20">
                  <c:v>-32.640937298588028</c:v>
                </c:pt>
                <c:pt idx="21">
                  <c:v>-31.689349695663999</c:v>
                </c:pt>
                <c:pt idx="22">
                  <c:v>-30.482867931848059</c:v>
                </c:pt>
                <c:pt idx="23">
                  <c:v>-28.90086708372009</c:v>
                </c:pt>
                <c:pt idx="24">
                  <c:v>-26.091738759054863</c:v>
                </c:pt>
                <c:pt idx="25">
                  <c:v>-16.091461472921825</c:v>
                </c:pt>
                <c:pt idx="26">
                  <c:v>-1.2081386057167613</c:v>
                </c:pt>
                <c:pt idx="27">
                  <c:v>20.780847961822417</c:v>
                </c:pt>
                <c:pt idx="28">
                  <c:v>41.982468811323422</c:v>
                </c:pt>
                <c:pt idx="29">
                  <c:v>55.961171241407321</c:v>
                </c:pt>
                <c:pt idx="30">
                  <c:v>65.439906169908568</c:v>
                </c:pt>
                <c:pt idx="31">
                  <c:v>75.590489699915253</c:v>
                </c:pt>
                <c:pt idx="32">
                  <c:v>84.615017543220063</c:v>
                </c:pt>
                <c:pt idx="33">
                  <c:v>87.556528450664672</c:v>
                </c:pt>
                <c:pt idx="34">
                  <c:v>90.214078452530075</c:v>
                </c:pt>
                <c:pt idx="35">
                  <c:v>92.475996797671883</c:v>
                </c:pt>
                <c:pt idx="36">
                  <c:v>93.216872666527792</c:v>
                </c:pt>
                <c:pt idx="37">
                  <c:v>93.216872666527792</c:v>
                </c:pt>
              </c:numCache>
            </c:numRef>
          </c:xVal>
          <c:yVal>
            <c:numRef>
              <c:f>TLR_Section_Capacity!$BE$2:$BE$363</c:f>
              <c:numCache>
                <c:formatCode>General</c:formatCode>
                <c:ptCount val="362"/>
                <c:pt idx="0">
                  <c:v>0</c:v>
                </c:pt>
                <c:pt idx="1">
                  <c:v>11.644388032932445</c:v>
                </c:pt>
                <c:pt idx="2">
                  <c:v>21.896499222495777</c:v>
                </c:pt>
                <c:pt idx="3">
                  <c:v>29.020179936277522</c:v>
                </c:pt>
                <c:pt idx="4">
                  <c:v>34.610323741767751</c:v>
                </c:pt>
                <c:pt idx="5">
                  <c:v>41.556929886464637</c:v>
                </c:pt>
                <c:pt idx="6">
                  <c:v>47.656544768751246</c:v>
                </c:pt>
                <c:pt idx="7">
                  <c:v>50.336035707518782</c:v>
                </c:pt>
                <c:pt idx="8">
                  <c:v>52.881333501215487</c:v>
                </c:pt>
                <c:pt idx="9">
                  <c:v>53.98361978485449</c:v>
                </c:pt>
                <c:pt idx="10">
                  <c:v>52.77114516969322</c:v>
                </c:pt>
                <c:pt idx="11">
                  <c:v>47.998245874235216</c:v>
                </c:pt>
                <c:pt idx="12">
                  <c:v>43.04403219214381</c:v>
                </c:pt>
                <c:pt idx="13">
                  <c:v>40.091298134642322</c:v>
                </c:pt>
                <c:pt idx="14">
                  <c:v>37.609695187977842</c:v>
                </c:pt>
                <c:pt idx="15">
                  <c:v>33.538450536339106</c:v>
                </c:pt>
                <c:pt idx="16">
                  <c:v>27.408727463706018</c:v>
                </c:pt>
                <c:pt idx="17">
                  <c:v>18.507283195529229</c:v>
                </c:pt>
                <c:pt idx="18">
                  <c:v>2.3053388115876325E-13</c:v>
                </c:pt>
                <c:pt idx="19">
                  <c:v>-18.507283195529016</c:v>
                </c:pt>
                <c:pt idx="20">
                  <c:v>-27.408727463705905</c:v>
                </c:pt>
                <c:pt idx="21">
                  <c:v>-33.538450536338999</c:v>
                </c:pt>
                <c:pt idx="22">
                  <c:v>-37.60969518797782</c:v>
                </c:pt>
                <c:pt idx="23">
                  <c:v>-40.091298134642258</c:v>
                </c:pt>
                <c:pt idx="24">
                  <c:v>-43.04403219214376</c:v>
                </c:pt>
                <c:pt idx="25">
                  <c:v>-47.998245874235124</c:v>
                </c:pt>
                <c:pt idx="26">
                  <c:v>-52.77114516969317</c:v>
                </c:pt>
                <c:pt idx="27">
                  <c:v>-53.983619784854469</c:v>
                </c:pt>
                <c:pt idx="28">
                  <c:v>-52.881333501215536</c:v>
                </c:pt>
                <c:pt idx="29">
                  <c:v>-50.33603570751886</c:v>
                </c:pt>
                <c:pt idx="30">
                  <c:v>-47.65654476875131</c:v>
                </c:pt>
                <c:pt idx="31">
                  <c:v>-41.556929886464779</c:v>
                </c:pt>
                <c:pt idx="32">
                  <c:v>-34.610323741767857</c:v>
                </c:pt>
                <c:pt idx="33">
                  <c:v>-29.020179936277675</c:v>
                </c:pt>
                <c:pt idx="34">
                  <c:v>-21.896499222495979</c:v>
                </c:pt>
                <c:pt idx="35">
                  <c:v>-11.644388032932724</c:v>
                </c:pt>
                <c:pt idx="36">
                  <c:v>-3.8351626959347677E-13</c:v>
                </c:pt>
                <c:pt idx="37">
                  <c:v>-2.3373808555582099E-14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ED-4941-BD89-5FFD428C5440}"/>
            </c:ext>
          </c:extLst>
        </c:ser>
        <c:ser>
          <c:idx val="5"/>
          <c:order val="1"/>
          <c:tx>
            <c:v>mx_my_nominal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TLR_Section_Capacity!$BJ$2:$BJ$363</c:f>
              <c:numCache>
                <c:formatCode>General</c:formatCode>
                <c:ptCount val="362"/>
                <c:pt idx="0">
                  <c:v>103.57430296280866</c:v>
                </c:pt>
                <c:pt idx="1">
                  <c:v>102.75110755296882</c:v>
                </c:pt>
                <c:pt idx="2">
                  <c:v>100.2378649472557</c:v>
                </c:pt>
                <c:pt idx="3">
                  <c:v>97.285031611849732</c:v>
                </c:pt>
                <c:pt idx="4">
                  <c:v>94.016686159133485</c:v>
                </c:pt>
                <c:pt idx="5">
                  <c:v>83.989432999906114</c:v>
                </c:pt>
                <c:pt idx="6">
                  <c:v>72.711006855454173</c:v>
                </c:pt>
                <c:pt idx="7">
                  <c:v>62.179079157119475</c:v>
                </c:pt>
                <c:pt idx="8">
                  <c:v>46.647187568137504</c:v>
                </c:pt>
                <c:pt idx="9">
                  <c:v>23.089831068692138</c:v>
                </c:pt>
                <c:pt idx="10">
                  <c:v>-1.3423762285738488</c:v>
                </c:pt>
                <c:pt idx="11">
                  <c:v>-17.879401636579608</c:v>
                </c:pt>
                <c:pt idx="12">
                  <c:v>-28.990820843394147</c:v>
                </c:pt>
                <c:pt idx="13">
                  <c:v>-32.112074537466768</c:v>
                </c:pt>
                <c:pt idx="14">
                  <c:v>-33.869853257608902</c:v>
                </c:pt>
                <c:pt idx="15">
                  <c:v>-35.210388550737775</c:v>
                </c:pt>
                <c:pt idx="16">
                  <c:v>-36.267708109542276</c:v>
                </c:pt>
                <c:pt idx="17">
                  <c:v>-37.372049867486993</c:v>
                </c:pt>
                <c:pt idx="18">
                  <c:v>-38.502356124222779</c:v>
                </c:pt>
                <c:pt idx="19">
                  <c:v>-37.372049867487036</c:v>
                </c:pt>
                <c:pt idx="20">
                  <c:v>-36.267708109542255</c:v>
                </c:pt>
                <c:pt idx="21">
                  <c:v>-35.210388550737775</c:v>
                </c:pt>
                <c:pt idx="22">
                  <c:v>-33.869853257608952</c:v>
                </c:pt>
                <c:pt idx="23">
                  <c:v>-32.112074537466768</c:v>
                </c:pt>
                <c:pt idx="24">
                  <c:v>-28.990820843394292</c:v>
                </c:pt>
                <c:pt idx="25">
                  <c:v>-17.879401636579804</c:v>
                </c:pt>
                <c:pt idx="26">
                  <c:v>-1.3423762285741792</c:v>
                </c:pt>
                <c:pt idx="27">
                  <c:v>23.089831068691574</c:v>
                </c:pt>
                <c:pt idx="28">
                  <c:v>46.647187568137134</c:v>
                </c:pt>
                <c:pt idx="29">
                  <c:v>62.179079157119247</c:v>
                </c:pt>
                <c:pt idx="30">
                  <c:v>72.711006855453959</c:v>
                </c:pt>
                <c:pt idx="31">
                  <c:v>83.98943299990583</c:v>
                </c:pt>
                <c:pt idx="32">
                  <c:v>94.0166861591334</c:v>
                </c:pt>
                <c:pt idx="33">
                  <c:v>97.285031611849632</c:v>
                </c:pt>
                <c:pt idx="34">
                  <c:v>100.23786494725563</c:v>
                </c:pt>
                <c:pt idx="35">
                  <c:v>102.75110755296876</c:v>
                </c:pt>
                <c:pt idx="36">
                  <c:v>103.57430296280866</c:v>
                </c:pt>
                <c:pt idx="37">
                  <c:v>103.57430296280866</c:v>
                </c:pt>
              </c:numCache>
            </c:numRef>
          </c:xVal>
          <c:yVal>
            <c:numRef>
              <c:f>TLR_Section_Capacity!$BK$2:$BK$363</c:f>
              <c:numCache>
                <c:formatCode>General</c:formatCode>
                <c:ptCount val="362"/>
                <c:pt idx="0">
                  <c:v>0</c:v>
                </c:pt>
                <c:pt idx="1">
                  <c:v>12.938208925480495</c:v>
                </c:pt>
                <c:pt idx="2">
                  <c:v>24.329443580550862</c:v>
                </c:pt>
                <c:pt idx="3">
                  <c:v>32.244644373641691</c:v>
                </c:pt>
                <c:pt idx="4">
                  <c:v>38.455915268630832</c:v>
                </c:pt>
                <c:pt idx="5">
                  <c:v>46.17436654051626</c:v>
                </c:pt>
                <c:pt idx="6">
                  <c:v>52.951716409723602</c:v>
                </c:pt>
                <c:pt idx="7">
                  <c:v>55.928928563909757</c:v>
                </c:pt>
                <c:pt idx="8">
                  <c:v>58.757037223572759</c:v>
                </c:pt>
                <c:pt idx="9">
                  <c:v>59.981799760949428</c:v>
                </c:pt>
                <c:pt idx="10">
                  <c:v>58.634605744103574</c:v>
                </c:pt>
                <c:pt idx="11">
                  <c:v>53.331384304705793</c:v>
                </c:pt>
                <c:pt idx="12">
                  <c:v>47.82670243571534</c:v>
                </c:pt>
                <c:pt idx="13">
                  <c:v>44.545886816269245</c:v>
                </c:pt>
                <c:pt idx="14">
                  <c:v>41.788550208864265</c:v>
                </c:pt>
                <c:pt idx="15">
                  <c:v>37.26494504037678</c:v>
                </c:pt>
                <c:pt idx="16">
                  <c:v>30.454141626340018</c:v>
                </c:pt>
                <c:pt idx="17">
                  <c:v>20.563647995032476</c:v>
                </c:pt>
                <c:pt idx="18">
                  <c:v>2.5614875684307029E-13</c:v>
                </c:pt>
                <c:pt idx="19">
                  <c:v>-20.563647995032241</c:v>
                </c:pt>
                <c:pt idx="20">
                  <c:v>-30.454141626339894</c:v>
                </c:pt>
                <c:pt idx="21">
                  <c:v>-37.264945040376666</c:v>
                </c:pt>
                <c:pt idx="22">
                  <c:v>-41.788550208864244</c:v>
                </c:pt>
                <c:pt idx="23">
                  <c:v>-44.545886816269174</c:v>
                </c:pt>
                <c:pt idx="24">
                  <c:v>-47.826702435715291</c:v>
                </c:pt>
                <c:pt idx="25">
                  <c:v>-53.331384304705693</c:v>
                </c:pt>
                <c:pt idx="26">
                  <c:v>-58.634605744103524</c:v>
                </c:pt>
                <c:pt idx="27">
                  <c:v>-59.981799760949407</c:v>
                </c:pt>
                <c:pt idx="28">
                  <c:v>-58.757037223572816</c:v>
                </c:pt>
                <c:pt idx="29">
                  <c:v>-55.928928563909842</c:v>
                </c:pt>
                <c:pt idx="30">
                  <c:v>-52.951716409723673</c:v>
                </c:pt>
                <c:pt idx="31">
                  <c:v>-46.174366540516424</c:v>
                </c:pt>
                <c:pt idx="32">
                  <c:v>-38.455915268630953</c:v>
                </c:pt>
                <c:pt idx="33">
                  <c:v>-32.244644373641862</c:v>
                </c:pt>
                <c:pt idx="34">
                  <c:v>-24.329443580551086</c:v>
                </c:pt>
                <c:pt idx="35">
                  <c:v>-12.938208925480804</c:v>
                </c:pt>
                <c:pt idx="36">
                  <c:v>-4.261291884371964E-13</c:v>
                </c:pt>
                <c:pt idx="37">
                  <c:v>-2.5970898395091219E-14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C4-495F-A8F0-947E7B03111A}"/>
            </c:ext>
          </c:extLst>
        </c:ser>
        <c:ser>
          <c:idx val="1"/>
          <c:order val="2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TLR_Section_Capacity!$U$5</c:f>
              <c:numCache>
                <c:formatCode>0.000</c:formatCode>
                <c:ptCount val="1"/>
                <c:pt idx="0">
                  <c:v>175.6286060948942</c:v>
                </c:pt>
              </c:numCache>
            </c:numRef>
          </c:xVal>
          <c:yVal>
            <c:numRef>
              <c:f>TLR_Section_Capacity!$U$6</c:f>
              <c:numCache>
                <c:formatCode>0.000</c:formatCode>
                <c:ptCount val="1"/>
                <c:pt idx="0">
                  <c:v>-4.0046941762739151E-9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ED-4941-BD89-5FFD428C5440}"/>
            </c:ext>
          </c:extLst>
        </c:ser>
        <c:ser>
          <c:idx val="2"/>
          <c:order val="3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TLR_Section_Capacity!$U$11</c:f>
              <c:numCache>
                <c:formatCode>0.000</c:formatCode>
                <c:ptCount val="1"/>
                <c:pt idx="0">
                  <c:v>30</c:v>
                </c:pt>
              </c:numCache>
            </c:numRef>
          </c:xVal>
          <c:yVal>
            <c:numRef>
              <c:f>TLR_Section_Capacity!$U$12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ED-4941-BD89-5FFD428C5440}"/>
            </c:ext>
          </c:extLst>
        </c:ser>
        <c:ser>
          <c:idx val="4"/>
          <c:order val="4"/>
          <c:tx>
            <c:v>Slice</c:v>
          </c:tx>
          <c:spPr>
            <a:ln w="127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TLR_Section_Capacity!$AE$9:$AE$11</c:f>
              <c:numCache>
                <c:formatCode>0.000</c:formatCode>
                <c:ptCount val="3"/>
                <c:pt idx="0">
                  <c:v>0</c:v>
                </c:pt>
                <c:pt idx="1">
                  <c:v>30</c:v>
                </c:pt>
                <c:pt idx="2">
                  <c:v>175.6286060948942</c:v>
                </c:pt>
              </c:numCache>
            </c:numRef>
          </c:xVal>
          <c:yVal>
            <c:numRef>
              <c:f>TLR_Section_Capacity!$AF$9:$AF$11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-4.0046941762739151E-9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60-4AF9-A14F-753F28718B82}"/>
            </c:ext>
          </c:extLst>
        </c:ser>
        <c:ser>
          <c:idx val="3"/>
          <c:order val="5"/>
          <c:tx>
            <c:v>guess_center_from_parametric</c:v>
          </c:tx>
          <c:spPr>
            <a:ln w="19050" cap="rnd">
              <a:noFill/>
              <a:round/>
            </a:ln>
            <a:effectLst/>
          </c:spPr>
          <c:marker>
            <c:symbol val="x"/>
            <c:size val="7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TLR_Section_Capacity!$B$132</c:f>
              <c:numCache>
                <c:formatCode>General</c:formatCode>
                <c:ptCount val="1"/>
                <c:pt idx="0">
                  <c:v>65.220682514826848</c:v>
                </c:pt>
              </c:numCache>
            </c:numRef>
          </c:xVal>
          <c:yVal>
            <c:numRef>
              <c:f>TLR_Section_Capacity!$B$133</c:f>
              <c:numCache>
                <c:formatCode>General</c:formatCode>
                <c:ptCount val="1"/>
                <c:pt idx="0">
                  <c:v>-21.430285361287321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9-4F4C-9CBB-68A73CE28800}"/>
            </c:ext>
          </c:extLst>
        </c:ser>
        <c:ser>
          <c:idx val="6"/>
          <c:order val="6"/>
          <c:tx>
            <c:v>center_of_Mx_My_points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19050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TLR_Section_Capacity!$BD$365</c:f>
              <c:numCache>
                <c:formatCode>0.000</c:formatCode>
                <c:ptCount val="1"/>
                <c:pt idx="0">
                  <c:v>28.230292007584449</c:v>
                </c:pt>
              </c:numCache>
            </c:numRef>
          </c:xVal>
          <c:yVal>
            <c:numRef>
              <c:f>TLR_Section_Capacity!$BE$365</c:f>
              <c:numCache>
                <c:formatCode>0.000</c:formatCode>
                <c:ptCount val="1"/>
                <c:pt idx="0">
                  <c:v>-1.4914794570923194E-14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43-488A-8815-A3157AAF42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alphavstan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TLR_Section_Capacity!$BC$2:$BC$362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0.17453292519943295</c:v>
                </c:pt>
                <c:pt idx="2">
                  <c:v>0.3490658503988659</c:v>
                </c:pt>
                <c:pt idx="3">
                  <c:v>0.52359877559829882</c:v>
                </c:pt>
                <c:pt idx="4">
                  <c:v>0.69813170079773179</c:v>
                </c:pt>
                <c:pt idx="5">
                  <c:v>0.87266462599716477</c:v>
                </c:pt>
                <c:pt idx="6">
                  <c:v>1.0471975511965976</c:v>
                </c:pt>
                <c:pt idx="7">
                  <c:v>1.2217304763960306</c:v>
                </c:pt>
                <c:pt idx="8">
                  <c:v>1.3962634015954636</c:v>
                </c:pt>
                <c:pt idx="9">
                  <c:v>1.5707963267948966</c:v>
                </c:pt>
                <c:pt idx="10">
                  <c:v>1.7453292519943295</c:v>
                </c:pt>
                <c:pt idx="11">
                  <c:v>1.9198621771937625</c:v>
                </c:pt>
                <c:pt idx="12">
                  <c:v>2.0943951023931953</c:v>
                </c:pt>
                <c:pt idx="13">
                  <c:v>2.268928027592628</c:v>
                </c:pt>
                <c:pt idx="14">
                  <c:v>2.4434609527920608</c:v>
                </c:pt>
                <c:pt idx="15">
                  <c:v>2.6179938779914935</c:v>
                </c:pt>
                <c:pt idx="16">
                  <c:v>2.7925268031909263</c:v>
                </c:pt>
                <c:pt idx="17">
                  <c:v>2.967059728390359</c:v>
                </c:pt>
                <c:pt idx="18">
                  <c:v>3.1415926535897918</c:v>
                </c:pt>
                <c:pt idx="19">
                  <c:v>3.3161255787892245</c:v>
                </c:pt>
                <c:pt idx="20">
                  <c:v>3.4906585039886573</c:v>
                </c:pt>
                <c:pt idx="21">
                  <c:v>3.66519142918809</c:v>
                </c:pt>
                <c:pt idx="22">
                  <c:v>3.8397243543875228</c:v>
                </c:pt>
                <c:pt idx="23">
                  <c:v>4.014257279586956</c:v>
                </c:pt>
                <c:pt idx="24">
                  <c:v>4.1887902047863887</c:v>
                </c:pt>
                <c:pt idx="25">
                  <c:v>4.3633231299858215</c:v>
                </c:pt>
                <c:pt idx="26">
                  <c:v>4.5378560551852543</c:v>
                </c:pt>
                <c:pt idx="27">
                  <c:v>4.712388980384687</c:v>
                </c:pt>
                <c:pt idx="28">
                  <c:v>4.8869219055841198</c:v>
                </c:pt>
                <c:pt idx="29">
                  <c:v>5.0614548307835525</c:v>
                </c:pt>
                <c:pt idx="30">
                  <c:v>5.2359877559829853</c:v>
                </c:pt>
                <c:pt idx="31">
                  <c:v>5.410520681182418</c:v>
                </c:pt>
                <c:pt idx="32">
                  <c:v>5.5850536063818508</c:v>
                </c:pt>
                <c:pt idx="33">
                  <c:v>5.7595865315812835</c:v>
                </c:pt>
                <c:pt idx="34">
                  <c:v>5.9341194567807163</c:v>
                </c:pt>
                <c:pt idx="35">
                  <c:v>6.108652381980149</c:v>
                </c:pt>
                <c:pt idx="36">
                  <c:v>6.2831853071795818</c:v>
                </c:pt>
                <c:pt idx="37">
                  <c:v>6.4577182323790145</c:v>
                </c:pt>
              </c:numCache>
            </c:numRef>
          </c:xVal>
          <c:yVal>
            <c:numRef>
              <c:f>TLR_Section_Capacity!$BF$2:$BF$362</c:f>
              <c:numCache>
                <c:formatCode>0.000</c:formatCode>
                <c:ptCount val="361"/>
                <c:pt idx="0">
                  <c:v>0</c:v>
                </c:pt>
                <c:pt idx="1">
                  <c:v>0.12525872087044379</c:v>
                </c:pt>
                <c:pt idx="2">
                  <c:v>0.23811250780826249</c:v>
                </c:pt>
                <c:pt idx="3">
                  <c:v>0.32005015821264582</c:v>
                </c:pt>
                <c:pt idx="4">
                  <c:v>0.38826900146210203</c:v>
                </c:pt>
                <c:pt idx="5">
                  <c:v>0.50266200190849697</c:v>
                </c:pt>
                <c:pt idx="6">
                  <c:v>0.62943451049818766</c:v>
                </c:pt>
                <c:pt idx="7">
                  <c:v>0.73252853871758927</c:v>
                </c:pt>
                <c:pt idx="8">
                  <c:v>0.89978623381695388</c:v>
                </c:pt>
                <c:pt idx="9">
                  <c:v>1.2033333939460684</c:v>
                </c:pt>
                <c:pt idx="10">
                  <c:v>1.5936862525976494</c:v>
                </c:pt>
                <c:pt idx="11">
                  <c:v>1.8942718160842116</c:v>
                </c:pt>
                <c:pt idx="12">
                  <c:v>2.1157357898572609</c:v>
                </c:pt>
                <c:pt idx="13">
                  <c:v>2.1953962675816143</c:v>
                </c:pt>
                <c:pt idx="14">
                  <c:v>2.2519103656508341</c:v>
                </c:pt>
                <c:pt idx="15">
                  <c:v>2.3278537253297791</c:v>
                </c:pt>
                <c:pt idx="16">
                  <c:v>2.4431063668900119</c:v>
                </c:pt>
                <c:pt idx="17">
                  <c:v>2.6385641471238324</c:v>
                </c:pt>
                <c:pt idx="18">
                  <c:v>3.1415926535897865</c:v>
                </c:pt>
                <c:pt idx="19">
                  <c:v>3.6446211600557485</c:v>
                </c:pt>
                <c:pt idx="20">
                  <c:v>3.8400789402895725</c:v>
                </c:pt>
                <c:pt idx="21">
                  <c:v>3.9553315818498058</c:v>
                </c:pt>
                <c:pt idx="22">
                  <c:v>4.0312749415287508</c:v>
                </c:pt>
                <c:pt idx="23">
                  <c:v>4.087789039597971</c:v>
                </c:pt>
                <c:pt idx="24">
                  <c:v>4.1674495173223232</c:v>
                </c:pt>
                <c:pt idx="25">
                  <c:v>4.3889134910953711</c:v>
                </c:pt>
                <c:pt idx="26">
                  <c:v>4.6894990545819315</c:v>
                </c:pt>
                <c:pt idx="27">
                  <c:v>5.0798519132335098</c:v>
                </c:pt>
                <c:pt idx="28">
                  <c:v>5.3833990733626278</c:v>
                </c:pt>
                <c:pt idx="29">
                  <c:v>5.5506567684619945</c:v>
                </c:pt>
                <c:pt idx="30">
                  <c:v>5.6537507966813969</c:v>
                </c:pt>
                <c:pt idx="31">
                  <c:v>5.7805233052710863</c:v>
                </c:pt>
                <c:pt idx="32">
                  <c:v>5.8949163057174827</c:v>
                </c:pt>
                <c:pt idx="33">
                  <c:v>5.9631351489669386</c:v>
                </c:pt>
                <c:pt idx="34">
                  <c:v>6.0450727993713214</c:v>
                </c:pt>
                <c:pt idx="35">
                  <c:v>6.1579265863091397</c:v>
                </c:pt>
                <c:pt idx="36">
                  <c:v>6.2831853071795818</c:v>
                </c:pt>
                <c:pt idx="37">
                  <c:v>0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A6-4C1C-8104-DDB130C453A2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TLR_Section_Capacity!$B$27</c:f>
              <c:numCache>
                <c:formatCode>0.0000</c:formatCode>
                <c:ptCount val="1"/>
                <c:pt idx="0">
                  <c:v>0.14442014782718607</c:v>
                </c:pt>
              </c:numCache>
            </c:numRef>
          </c:xVal>
          <c:yVal>
            <c:numRef>
              <c:f>TLR_Section_Capacity!$U$7</c:f>
              <c:numCache>
                <c:formatCode>0.000E+00</c:formatCode>
                <c:ptCount val="1"/>
                <c:pt idx="0">
                  <c:v>6.283185307156784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A6-4C1C-8104-DDB130C453A2}"/>
            </c:ext>
          </c:extLst>
        </c:ser>
        <c:ser>
          <c:idx val="2"/>
          <c:order val="2"/>
          <c:tx>
            <c:v>2*pi bounding box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TLR_Section_Capacity!$AD$37:$AD$41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TLR_Section_Capacity!$AE$37:$AE$41</c:f>
              <c:numCache>
                <c:formatCode>General</c:formatCode>
                <c:ptCount val="5"/>
                <c:pt idx="0">
                  <c:v>6.2831853071795862</c:v>
                </c:pt>
                <c:pt idx="1">
                  <c:v>6.2831853071795862</c:v>
                </c:pt>
                <c:pt idx="2">
                  <c:v>0</c:v>
                </c:pt>
                <c:pt idx="3">
                  <c:v>0</c:v>
                </c:pt>
                <c:pt idx="4">
                  <c:v>6.2831853071795862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A6-4C1C-8104-DDB130C453A2}"/>
            </c:ext>
          </c:extLst>
        </c:ser>
        <c:ser>
          <c:idx val="3"/>
          <c:order val="3"/>
          <c:tx>
            <c:v>alphavtan-interior reference 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TLR_Section_Capacity!$BW$15:$BW$375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0.17453292519943295</c:v>
                </c:pt>
                <c:pt idx="2">
                  <c:v>0.3490658503988659</c:v>
                </c:pt>
                <c:pt idx="3">
                  <c:v>0.52359877559829882</c:v>
                </c:pt>
                <c:pt idx="4">
                  <c:v>0.69813170079773179</c:v>
                </c:pt>
                <c:pt idx="5">
                  <c:v>0.87266462599716477</c:v>
                </c:pt>
                <c:pt idx="6">
                  <c:v>1.0471975511965976</c:v>
                </c:pt>
                <c:pt idx="7">
                  <c:v>1.2217304763960306</c:v>
                </c:pt>
                <c:pt idx="8">
                  <c:v>1.3962634015954636</c:v>
                </c:pt>
                <c:pt idx="9">
                  <c:v>1.5707963267948966</c:v>
                </c:pt>
                <c:pt idx="10">
                  <c:v>1.7453292519943295</c:v>
                </c:pt>
                <c:pt idx="11">
                  <c:v>1.9198621771937625</c:v>
                </c:pt>
                <c:pt idx="12">
                  <c:v>2.0943951023931953</c:v>
                </c:pt>
                <c:pt idx="13">
                  <c:v>2.268928027592628</c:v>
                </c:pt>
                <c:pt idx="14">
                  <c:v>2.4434609527920608</c:v>
                </c:pt>
                <c:pt idx="15">
                  <c:v>2.6179938779914935</c:v>
                </c:pt>
                <c:pt idx="16">
                  <c:v>2.7925268031909263</c:v>
                </c:pt>
                <c:pt idx="17">
                  <c:v>2.967059728390359</c:v>
                </c:pt>
                <c:pt idx="18">
                  <c:v>3.1415926535897918</c:v>
                </c:pt>
                <c:pt idx="19">
                  <c:v>3.3161255787892245</c:v>
                </c:pt>
                <c:pt idx="20">
                  <c:v>3.4906585039886573</c:v>
                </c:pt>
                <c:pt idx="21">
                  <c:v>3.66519142918809</c:v>
                </c:pt>
                <c:pt idx="22">
                  <c:v>3.8397243543875228</c:v>
                </c:pt>
                <c:pt idx="23">
                  <c:v>4.014257279586956</c:v>
                </c:pt>
                <c:pt idx="24">
                  <c:v>4.1887902047863887</c:v>
                </c:pt>
                <c:pt idx="25">
                  <c:v>4.3633231299858215</c:v>
                </c:pt>
                <c:pt idx="26">
                  <c:v>4.5378560551852543</c:v>
                </c:pt>
                <c:pt idx="27">
                  <c:v>4.712388980384687</c:v>
                </c:pt>
                <c:pt idx="28">
                  <c:v>4.8869219055841198</c:v>
                </c:pt>
                <c:pt idx="29">
                  <c:v>5.0614548307835525</c:v>
                </c:pt>
                <c:pt idx="30">
                  <c:v>5.2359877559829853</c:v>
                </c:pt>
                <c:pt idx="31">
                  <c:v>5.410520681182418</c:v>
                </c:pt>
                <c:pt idx="32">
                  <c:v>5.5850536063818508</c:v>
                </c:pt>
                <c:pt idx="33">
                  <c:v>5.7595865315812835</c:v>
                </c:pt>
                <c:pt idx="34">
                  <c:v>5.9341194567807163</c:v>
                </c:pt>
                <c:pt idx="35">
                  <c:v>6.108652381980149</c:v>
                </c:pt>
                <c:pt idx="36">
                  <c:v>6.2831853071795818</c:v>
                </c:pt>
                <c:pt idx="37">
                  <c:v>6.4577182323790145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TLR_Section_Capacity!$CB$15:$CB$375</c:f>
              <c:numCache>
                <c:formatCode>0.000</c:formatCode>
                <c:ptCount val="361"/>
                <c:pt idx="0">
                  <c:v>0</c:v>
                </c:pt>
                <c:pt idx="1">
                  <c:v>0.12525872087044379</c:v>
                </c:pt>
                <c:pt idx="2">
                  <c:v>0.23811250780826246</c:v>
                </c:pt>
                <c:pt idx="3">
                  <c:v>0.32005015821264582</c:v>
                </c:pt>
                <c:pt idx="4">
                  <c:v>0.38826900146210214</c:v>
                </c:pt>
                <c:pt idx="5">
                  <c:v>0.50266200190849708</c:v>
                </c:pt>
                <c:pt idx="6">
                  <c:v>0.62943451049818766</c:v>
                </c:pt>
                <c:pt idx="7">
                  <c:v>0.73252853871758938</c:v>
                </c:pt>
                <c:pt idx="8">
                  <c:v>0.899786233816954</c:v>
                </c:pt>
                <c:pt idx="9">
                  <c:v>1.2033333939460684</c:v>
                </c:pt>
                <c:pt idx="10">
                  <c:v>1.5936862525976496</c:v>
                </c:pt>
                <c:pt idx="11">
                  <c:v>1.8942718160842116</c:v>
                </c:pt>
                <c:pt idx="12">
                  <c:v>2.1157357898572609</c:v>
                </c:pt>
                <c:pt idx="13">
                  <c:v>2.1953962675816139</c:v>
                </c:pt>
                <c:pt idx="14">
                  <c:v>2.2519103656508341</c:v>
                </c:pt>
                <c:pt idx="15">
                  <c:v>2.3278537253297786</c:v>
                </c:pt>
                <c:pt idx="16">
                  <c:v>2.4431063668900119</c:v>
                </c:pt>
                <c:pt idx="17">
                  <c:v>2.6385641471238324</c:v>
                </c:pt>
                <c:pt idx="18">
                  <c:v>3.1415926535897865</c:v>
                </c:pt>
                <c:pt idx="19">
                  <c:v>-2.6385641471238377</c:v>
                </c:pt>
                <c:pt idx="20">
                  <c:v>-2.4431063668900137</c:v>
                </c:pt>
                <c:pt idx="21">
                  <c:v>-2.3278537253297804</c:v>
                </c:pt>
                <c:pt idx="22">
                  <c:v>-2.2519103656508355</c:v>
                </c:pt>
                <c:pt idx="23">
                  <c:v>-2.1953962675816148</c:v>
                </c:pt>
                <c:pt idx="24">
                  <c:v>-2.1157357898572635</c:v>
                </c:pt>
                <c:pt idx="25">
                  <c:v>-1.8942718160842154</c:v>
                </c:pt>
                <c:pt idx="26">
                  <c:v>-1.593686252597655</c:v>
                </c:pt>
                <c:pt idx="27">
                  <c:v>-1.2033333939460764</c:v>
                </c:pt>
                <c:pt idx="28">
                  <c:v>-0.89978623381695833</c:v>
                </c:pt>
                <c:pt idx="29">
                  <c:v>-0.73252853871759183</c:v>
                </c:pt>
                <c:pt idx="30">
                  <c:v>-0.62943451049818955</c:v>
                </c:pt>
                <c:pt idx="31">
                  <c:v>-0.50266200190849986</c:v>
                </c:pt>
                <c:pt idx="32">
                  <c:v>-0.38826900146210341</c:v>
                </c:pt>
                <c:pt idx="33">
                  <c:v>-0.32005015821264771</c:v>
                </c:pt>
                <c:pt idx="34">
                  <c:v>-0.23811250780826476</c:v>
                </c:pt>
                <c:pt idx="35">
                  <c:v>-0.12525872087044684</c:v>
                </c:pt>
                <c:pt idx="36">
                  <c:v>-4.1161333386829031E-15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B7-4D85-BC30-76F07C687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1"/>
          <c:order val="0"/>
          <c:tx>
            <c:v>Tan-1 @ alphs vs req res Tan-1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TLR_Section_Capacity!$BC$2:$BC$362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0.17453292519943295</c:v>
                </c:pt>
                <c:pt idx="2">
                  <c:v>0.3490658503988659</c:v>
                </c:pt>
                <c:pt idx="3">
                  <c:v>0.52359877559829882</c:v>
                </c:pt>
                <c:pt idx="4">
                  <c:v>0.69813170079773179</c:v>
                </c:pt>
                <c:pt idx="5">
                  <c:v>0.87266462599716477</c:v>
                </c:pt>
                <c:pt idx="6">
                  <c:v>1.0471975511965976</c:v>
                </c:pt>
                <c:pt idx="7">
                  <c:v>1.2217304763960306</c:v>
                </c:pt>
                <c:pt idx="8">
                  <c:v>1.3962634015954636</c:v>
                </c:pt>
                <c:pt idx="9">
                  <c:v>1.5707963267948966</c:v>
                </c:pt>
                <c:pt idx="10">
                  <c:v>1.7453292519943295</c:v>
                </c:pt>
                <c:pt idx="11">
                  <c:v>1.9198621771937625</c:v>
                </c:pt>
                <c:pt idx="12">
                  <c:v>2.0943951023931953</c:v>
                </c:pt>
                <c:pt idx="13">
                  <c:v>2.268928027592628</c:v>
                </c:pt>
                <c:pt idx="14">
                  <c:v>2.4434609527920608</c:v>
                </c:pt>
                <c:pt idx="15">
                  <c:v>2.6179938779914935</c:v>
                </c:pt>
                <c:pt idx="16">
                  <c:v>2.7925268031909263</c:v>
                </c:pt>
                <c:pt idx="17">
                  <c:v>2.967059728390359</c:v>
                </c:pt>
                <c:pt idx="18">
                  <c:v>3.1415926535897918</c:v>
                </c:pt>
                <c:pt idx="19">
                  <c:v>3.3161255787892245</c:v>
                </c:pt>
                <c:pt idx="20">
                  <c:v>3.4906585039886573</c:v>
                </c:pt>
                <c:pt idx="21">
                  <c:v>3.66519142918809</c:v>
                </c:pt>
                <c:pt idx="22">
                  <c:v>3.8397243543875228</c:v>
                </c:pt>
                <c:pt idx="23">
                  <c:v>4.014257279586956</c:v>
                </c:pt>
                <c:pt idx="24">
                  <c:v>4.1887902047863887</c:v>
                </c:pt>
                <c:pt idx="25">
                  <c:v>4.3633231299858215</c:v>
                </c:pt>
                <c:pt idx="26">
                  <c:v>4.5378560551852543</c:v>
                </c:pt>
                <c:pt idx="27">
                  <c:v>4.712388980384687</c:v>
                </c:pt>
                <c:pt idx="28">
                  <c:v>4.8869219055841198</c:v>
                </c:pt>
                <c:pt idx="29">
                  <c:v>5.0614548307835525</c:v>
                </c:pt>
                <c:pt idx="30">
                  <c:v>5.2359877559829853</c:v>
                </c:pt>
                <c:pt idx="31">
                  <c:v>5.410520681182418</c:v>
                </c:pt>
                <c:pt idx="32">
                  <c:v>5.5850536063818508</c:v>
                </c:pt>
                <c:pt idx="33">
                  <c:v>5.7595865315812835</c:v>
                </c:pt>
                <c:pt idx="34">
                  <c:v>5.9341194567807163</c:v>
                </c:pt>
                <c:pt idx="35">
                  <c:v>6.108652381980149</c:v>
                </c:pt>
                <c:pt idx="36">
                  <c:v>6.2831853071795818</c:v>
                </c:pt>
                <c:pt idx="37">
                  <c:v>6.4577182323790145</c:v>
                </c:pt>
              </c:numCache>
            </c:numRef>
          </c:xVal>
          <c:yVal>
            <c:numRef>
              <c:f>TLR_Section_Capacity!$BH$2:$BH$362</c:f>
              <c:numCache>
                <c:formatCode>0.000</c:formatCode>
                <c:ptCount val="361"/>
                <c:pt idx="0">
                  <c:v>0</c:v>
                </c:pt>
                <c:pt idx="1">
                  <c:v>-0.12525872087044379</c:v>
                </c:pt>
                <c:pt idx="2">
                  <c:v>-0.23811250780826249</c:v>
                </c:pt>
                <c:pt idx="3">
                  <c:v>-0.32005015821264582</c:v>
                </c:pt>
                <c:pt idx="4">
                  <c:v>-0.38826900146210208</c:v>
                </c:pt>
                <c:pt idx="5">
                  <c:v>-0.50266200190849697</c:v>
                </c:pt>
                <c:pt idx="6">
                  <c:v>-0.62943451049818766</c:v>
                </c:pt>
                <c:pt idx="7">
                  <c:v>-0.73252853871758927</c:v>
                </c:pt>
                <c:pt idx="8">
                  <c:v>-0.89978623381695388</c:v>
                </c:pt>
                <c:pt idx="9">
                  <c:v>-1.2033333939460684</c:v>
                </c:pt>
                <c:pt idx="10">
                  <c:v>-1.5936862525976492</c:v>
                </c:pt>
                <c:pt idx="11">
                  <c:v>-1.8942718160842116</c:v>
                </c:pt>
                <c:pt idx="12">
                  <c:v>-2.1157357898572609</c:v>
                </c:pt>
                <c:pt idx="13">
                  <c:v>-2.1953962675816143</c:v>
                </c:pt>
                <c:pt idx="14">
                  <c:v>-2.2519103656508341</c:v>
                </c:pt>
                <c:pt idx="15">
                  <c:v>-2.3278537253297791</c:v>
                </c:pt>
                <c:pt idx="16">
                  <c:v>-2.4431063668900119</c:v>
                </c:pt>
                <c:pt idx="17">
                  <c:v>-2.6385641471238324</c:v>
                </c:pt>
                <c:pt idx="18">
                  <c:v>-3.1415926535897865</c:v>
                </c:pt>
                <c:pt idx="19">
                  <c:v>2.6385641471238377</c:v>
                </c:pt>
                <c:pt idx="20">
                  <c:v>2.4431063668900137</c:v>
                </c:pt>
                <c:pt idx="21">
                  <c:v>2.3278537253297804</c:v>
                </c:pt>
                <c:pt idx="22">
                  <c:v>2.2519103656508355</c:v>
                </c:pt>
                <c:pt idx="23">
                  <c:v>2.1953962675816152</c:v>
                </c:pt>
                <c:pt idx="24">
                  <c:v>2.1157357898572631</c:v>
                </c:pt>
                <c:pt idx="25">
                  <c:v>1.8942718160842154</c:v>
                </c:pt>
                <c:pt idx="26">
                  <c:v>1.593686252597655</c:v>
                </c:pt>
                <c:pt idx="27">
                  <c:v>1.2033333939460766</c:v>
                </c:pt>
                <c:pt idx="28">
                  <c:v>0.89978623381695877</c:v>
                </c:pt>
                <c:pt idx="29">
                  <c:v>0.73252853871759194</c:v>
                </c:pt>
                <c:pt idx="30">
                  <c:v>0.62943451049818955</c:v>
                </c:pt>
                <c:pt idx="31">
                  <c:v>0.50266200190850019</c:v>
                </c:pt>
                <c:pt idx="32">
                  <c:v>0.3882690014621038</c:v>
                </c:pt>
                <c:pt idx="33">
                  <c:v>0.32005015821264782</c:v>
                </c:pt>
                <c:pt idx="34">
                  <c:v>0.23811250780826512</c:v>
                </c:pt>
                <c:pt idx="35">
                  <c:v>0.12525872087044679</c:v>
                </c:pt>
                <c:pt idx="36">
                  <c:v>4.6859217894823502E-15</c:v>
                </c:pt>
                <c:pt idx="37">
                  <c:v>0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15-452B-86B0-21DF09300368}"/>
            </c:ext>
          </c:extLst>
        </c:ser>
        <c:ser>
          <c:idx val="2"/>
          <c:order val="1"/>
          <c:tx>
            <c:v>@ alpha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TLR_Section_Capacity!$B$27</c:f>
              <c:numCache>
                <c:formatCode>0.0000</c:formatCode>
                <c:ptCount val="1"/>
                <c:pt idx="0">
                  <c:v>0.14442014782718607</c:v>
                </c:pt>
              </c:numCache>
            </c:numRef>
          </c:xVal>
          <c:yVal>
            <c:numRef>
              <c:f>TLR_Section_Capacity!$W$7</c:f>
              <c:numCache>
                <c:formatCode>0.000E+00</c:formatCode>
                <c:ptCount val="1"/>
                <c:pt idx="0">
                  <c:v>2.2802449598652297E-11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15-452B-86B0-21DF09300368}"/>
            </c:ext>
          </c:extLst>
        </c:ser>
        <c:ser>
          <c:idx val="3"/>
          <c:order val="2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TLR_Section_Capacity!$U$13</c:f>
              <c:numCache>
                <c:formatCode>0.000E+00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C15-452B-86B0-21DF09300368}"/>
            </c:ext>
          </c:extLst>
        </c:ser>
        <c:ser>
          <c:idx val="4"/>
          <c:order val="3"/>
          <c:tx>
            <c:v>User+/-pi/2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TLR_Section_Capacity!$AD$45:$AD$46</c:f>
              <c:numCache>
                <c:formatCode>0.000E+00</c:formatCode>
                <c:ptCount val="2"/>
                <c:pt idx="0">
                  <c:v>1.5707963267948966</c:v>
                </c:pt>
                <c:pt idx="1">
                  <c:v>-1.5707963267948966</c:v>
                </c:pt>
              </c:numCache>
            </c:numRef>
          </c:xVal>
          <c:yVal>
            <c:numRef>
              <c:f>TLR_Section_Capacity!$AE$45:$AE$46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15-452B-86B0-21DF09300368}"/>
            </c:ext>
          </c:extLst>
        </c:ser>
        <c:ser>
          <c:idx val="5"/>
          <c:order val="4"/>
          <c:tx>
            <c:v>2*pi box</c:v>
          </c:tx>
          <c:spPr>
            <a:ln w="158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TLR_Section_Capacity!$AC$49:$AC$53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TLR_Section_Capacity!$AD$49:$AD$53</c:f>
              <c:numCache>
                <c:formatCode>General</c:formatCode>
                <c:ptCount val="5"/>
                <c:pt idx="0">
                  <c:v>-3.1415926535897931</c:v>
                </c:pt>
                <c:pt idx="1">
                  <c:v>-3.1415926535897931</c:v>
                </c:pt>
                <c:pt idx="2">
                  <c:v>3.1415926535897931</c:v>
                </c:pt>
                <c:pt idx="3">
                  <c:v>3.1415926535897931</c:v>
                </c:pt>
                <c:pt idx="4">
                  <c:v>-3.1415926535897931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C8-4CF1-8E8A-41825DE61A6A}"/>
            </c:ext>
          </c:extLst>
        </c:ser>
        <c:ser>
          <c:idx val="0"/>
          <c:order val="5"/>
          <c:tx>
            <c:v>new reference point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TLR_Section_Capacity!$BW$15:$BW$375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0.17453292519943295</c:v>
                </c:pt>
                <c:pt idx="2">
                  <c:v>0.3490658503988659</c:v>
                </c:pt>
                <c:pt idx="3">
                  <c:v>0.52359877559829882</c:v>
                </c:pt>
                <c:pt idx="4">
                  <c:v>0.69813170079773179</c:v>
                </c:pt>
                <c:pt idx="5">
                  <c:v>0.87266462599716477</c:v>
                </c:pt>
                <c:pt idx="6">
                  <c:v>1.0471975511965976</c:v>
                </c:pt>
                <c:pt idx="7">
                  <c:v>1.2217304763960306</c:v>
                </c:pt>
                <c:pt idx="8">
                  <c:v>1.3962634015954636</c:v>
                </c:pt>
                <c:pt idx="9">
                  <c:v>1.5707963267948966</c:v>
                </c:pt>
                <c:pt idx="10">
                  <c:v>1.7453292519943295</c:v>
                </c:pt>
                <c:pt idx="11">
                  <c:v>1.9198621771937625</c:v>
                </c:pt>
                <c:pt idx="12">
                  <c:v>2.0943951023931953</c:v>
                </c:pt>
                <c:pt idx="13">
                  <c:v>2.268928027592628</c:v>
                </c:pt>
                <c:pt idx="14">
                  <c:v>2.4434609527920608</c:v>
                </c:pt>
                <c:pt idx="15">
                  <c:v>2.6179938779914935</c:v>
                </c:pt>
                <c:pt idx="16">
                  <c:v>2.7925268031909263</c:v>
                </c:pt>
                <c:pt idx="17">
                  <c:v>2.967059728390359</c:v>
                </c:pt>
                <c:pt idx="18">
                  <c:v>3.1415926535897918</c:v>
                </c:pt>
                <c:pt idx="19">
                  <c:v>3.3161255787892245</c:v>
                </c:pt>
                <c:pt idx="20">
                  <c:v>3.4906585039886573</c:v>
                </c:pt>
                <c:pt idx="21">
                  <c:v>3.66519142918809</c:v>
                </c:pt>
                <c:pt idx="22">
                  <c:v>3.8397243543875228</c:v>
                </c:pt>
                <c:pt idx="23">
                  <c:v>4.014257279586956</c:v>
                </c:pt>
                <c:pt idx="24">
                  <c:v>4.1887902047863887</c:v>
                </c:pt>
                <c:pt idx="25">
                  <c:v>4.3633231299858215</c:v>
                </c:pt>
                <c:pt idx="26">
                  <c:v>4.5378560551852543</c:v>
                </c:pt>
                <c:pt idx="27">
                  <c:v>4.712388980384687</c:v>
                </c:pt>
                <c:pt idx="28">
                  <c:v>4.8869219055841198</c:v>
                </c:pt>
                <c:pt idx="29">
                  <c:v>5.0614548307835525</c:v>
                </c:pt>
                <c:pt idx="30">
                  <c:v>5.2359877559829853</c:v>
                </c:pt>
                <c:pt idx="31">
                  <c:v>5.410520681182418</c:v>
                </c:pt>
                <c:pt idx="32">
                  <c:v>5.5850536063818508</c:v>
                </c:pt>
                <c:pt idx="33">
                  <c:v>5.7595865315812835</c:v>
                </c:pt>
                <c:pt idx="34">
                  <c:v>5.9341194567807163</c:v>
                </c:pt>
                <c:pt idx="35">
                  <c:v>6.108652381980149</c:v>
                </c:pt>
                <c:pt idx="36">
                  <c:v>6.2831853071795818</c:v>
                </c:pt>
                <c:pt idx="37">
                  <c:v>6.4577182323790145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TLR_Section_Capacity!$CC$15:$CC$375</c:f>
              <c:numCache>
                <c:formatCode>0.000</c:formatCode>
                <c:ptCount val="361"/>
                <c:pt idx="0">
                  <c:v>0</c:v>
                </c:pt>
                <c:pt idx="1">
                  <c:v>5.9008776378018074E-2</c:v>
                </c:pt>
                <c:pt idx="2">
                  <c:v>0.11066539983649785</c:v>
                </c:pt>
                <c:pt idx="3">
                  <c:v>0.1469542726787447</c:v>
                </c:pt>
                <c:pt idx="4">
                  <c:v>0.1765723287143483</c:v>
                </c:pt>
                <c:pt idx="5">
                  <c:v>0.23648484107212142</c:v>
                </c:pt>
                <c:pt idx="6">
                  <c:v>0.30193553372385384</c:v>
                </c:pt>
                <c:pt idx="7">
                  <c:v>0.36209405421941232</c:v>
                </c:pt>
                <c:pt idx="8">
                  <c:v>0.44818120904264008</c:v>
                </c:pt>
                <c:pt idx="9">
                  <c:v>0.53660801359222365</c:v>
                </c:pt>
                <c:pt idx="10">
                  <c:v>0.51117198534634301</c:v>
                </c:pt>
                <c:pt idx="11">
                  <c:v>0.44165984744995512</c:v>
                </c:pt>
                <c:pt idx="12">
                  <c:v>0.37132106010355548</c:v>
                </c:pt>
                <c:pt idx="13">
                  <c:v>0.3485704801217393</c:v>
                </c:pt>
                <c:pt idx="14">
                  <c:v>0.33337014234925721</c:v>
                </c:pt>
                <c:pt idx="15">
                  <c:v>0.31577106861900539</c:v>
                </c:pt>
                <c:pt idx="16">
                  <c:v>0.28603139521210874</c:v>
                </c:pt>
                <c:pt idx="17">
                  <c:v>0.22000040823276379</c:v>
                </c:pt>
                <c:pt idx="18">
                  <c:v>3.1086244689504383E-15</c:v>
                </c:pt>
                <c:pt idx="19">
                  <c:v>-0.22000040823276157</c:v>
                </c:pt>
                <c:pt idx="20">
                  <c:v>-0.2860313952121083</c:v>
                </c:pt>
                <c:pt idx="21">
                  <c:v>-0.31577106861900495</c:v>
                </c:pt>
                <c:pt idx="22">
                  <c:v>-0.33337014234925627</c:v>
                </c:pt>
                <c:pt idx="23">
                  <c:v>-0.3485704801217393</c:v>
                </c:pt>
                <c:pt idx="24">
                  <c:v>-0.37132106010355459</c:v>
                </c:pt>
                <c:pt idx="25">
                  <c:v>-0.44165984744995401</c:v>
                </c:pt>
                <c:pt idx="26">
                  <c:v>-0.51117198534634212</c:v>
                </c:pt>
                <c:pt idx="27">
                  <c:v>-0.53660801359222488</c:v>
                </c:pt>
                <c:pt idx="28">
                  <c:v>-0.44818120904264191</c:v>
                </c:pt>
                <c:pt idx="29">
                  <c:v>-0.36209405421941365</c:v>
                </c:pt>
                <c:pt idx="30">
                  <c:v>-0.30193553372385518</c:v>
                </c:pt>
                <c:pt idx="31">
                  <c:v>-0.23648484107212317</c:v>
                </c:pt>
                <c:pt idx="32">
                  <c:v>-0.17657232871434891</c:v>
                </c:pt>
                <c:pt idx="33">
                  <c:v>-0.1469542726787455</c:v>
                </c:pt>
                <c:pt idx="34">
                  <c:v>-0.11066539983649887</c:v>
                </c:pt>
                <c:pt idx="35">
                  <c:v>-5.9008776378019517E-2</c:v>
                </c:pt>
                <c:pt idx="36">
                  <c:v>-1.9505424302458216E-15</c:v>
                </c:pt>
                <c:pt idx="37">
                  <c:v>-3.6974003252075001E-16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39-4C29-979B-E30241554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389904941501053E-2"/>
          <c:y val="0.21503161897233147"/>
          <c:w val="0.93690399965013715"/>
          <c:h val="0.77188800934066304"/>
        </c:manualLayout>
      </c:layout>
      <c:scatterChart>
        <c:scatterStyle val="lineMarker"/>
        <c:varyColors val="0"/>
        <c:ser>
          <c:idx val="2"/>
          <c:order val="0"/>
          <c:tx>
            <c:v>@ alpha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TLR_Section_Capacity!$B$27</c:f>
              <c:numCache>
                <c:formatCode>0.0000</c:formatCode>
                <c:ptCount val="1"/>
                <c:pt idx="0">
                  <c:v>0.14442014782718607</c:v>
                </c:pt>
              </c:numCache>
            </c:numRef>
          </c:xVal>
          <c:yVal>
            <c:numRef>
              <c:f>TLR_Section_Capacity!$CK$11</c:f>
              <c:numCache>
                <c:formatCode>0.000E+00</c:formatCode>
                <c:ptCount val="1"/>
                <c:pt idx="0">
                  <c:v>-4.6973080032289423E-11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88-49DE-9AA4-65C22ACBA318}"/>
            </c:ext>
          </c:extLst>
        </c:ser>
        <c:ser>
          <c:idx val="3"/>
          <c:order val="1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TLR_Section_Capacity!$U$13</c:f>
              <c:numCache>
                <c:formatCode>0.000E+00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6588-49DE-9AA4-65C22ACBA318}"/>
            </c:ext>
          </c:extLst>
        </c:ser>
        <c:ser>
          <c:idx val="4"/>
          <c:order val="2"/>
          <c:tx>
            <c:v>User+/-pi/2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TLR_Section_Capacity!$AD$45:$AD$46</c:f>
              <c:numCache>
                <c:formatCode>0.000E+00</c:formatCode>
                <c:ptCount val="2"/>
                <c:pt idx="0">
                  <c:v>1.5707963267948966</c:v>
                </c:pt>
                <c:pt idx="1">
                  <c:v>-1.5707963267948966</c:v>
                </c:pt>
              </c:numCache>
            </c:numRef>
          </c:xVal>
          <c:yVal>
            <c:numRef>
              <c:f>TLR_Section_Capacity!$AE$45:$AE$46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88-49DE-9AA4-65C22ACBA318}"/>
            </c:ext>
          </c:extLst>
        </c:ser>
        <c:ser>
          <c:idx val="0"/>
          <c:order val="3"/>
          <c:tx>
            <c:v>new reference point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TLR_Section_Capacity!$BW$15:$BW$375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0.17453292519943295</c:v>
                </c:pt>
                <c:pt idx="2">
                  <c:v>0.3490658503988659</c:v>
                </c:pt>
                <c:pt idx="3">
                  <c:v>0.52359877559829882</c:v>
                </c:pt>
                <c:pt idx="4">
                  <c:v>0.69813170079773179</c:v>
                </c:pt>
                <c:pt idx="5">
                  <c:v>0.87266462599716477</c:v>
                </c:pt>
                <c:pt idx="6">
                  <c:v>1.0471975511965976</c:v>
                </c:pt>
                <c:pt idx="7">
                  <c:v>1.2217304763960306</c:v>
                </c:pt>
                <c:pt idx="8">
                  <c:v>1.3962634015954636</c:v>
                </c:pt>
                <c:pt idx="9">
                  <c:v>1.5707963267948966</c:v>
                </c:pt>
                <c:pt idx="10">
                  <c:v>1.7453292519943295</c:v>
                </c:pt>
                <c:pt idx="11">
                  <c:v>1.9198621771937625</c:v>
                </c:pt>
                <c:pt idx="12">
                  <c:v>2.0943951023931953</c:v>
                </c:pt>
                <c:pt idx="13">
                  <c:v>2.268928027592628</c:v>
                </c:pt>
                <c:pt idx="14">
                  <c:v>2.4434609527920608</c:v>
                </c:pt>
                <c:pt idx="15">
                  <c:v>2.6179938779914935</c:v>
                </c:pt>
                <c:pt idx="16">
                  <c:v>2.7925268031909263</c:v>
                </c:pt>
                <c:pt idx="17">
                  <c:v>2.967059728390359</c:v>
                </c:pt>
                <c:pt idx="18">
                  <c:v>3.1415926535897918</c:v>
                </c:pt>
                <c:pt idx="19">
                  <c:v>3.3161255787892245</c:v>
                </c:pt>
                <c:pt idx="20">
                  <c:v>3.4906585039886573</c:v>
                </c:pt>
                <c:pt idx="21">
                  <c:v>3.66519142918809</c:v>
                </c:pt>
                <c:pt idx="22">
                  <c:v>3.8397243543875228</c:v>
                </c:pt>
                <c:pt idx="23">
                  <c:v>4.014257279586956</c:v>
                </c:pt>
                <c:pt idx="24">
                  <c:v>4.1887902047863887</c:v>
                </c:pt>
                <c:pt idx="25">
                  <c:v>4.3633231299858215</c:v>
                </c:pt>
                <c:pt idx="26">
                  <c:v>4.5378560551852543</c:v>
                </c:pt>
                <c:pt idx="27">
                  <c:v>4.712388980384687</c:v>
                </c:pt>
                <c:pt idx="28">
                  <c:v>4.8869219055841198</c:v>
                </c:pt>
                <c:pt idx="29">
                  <c:v>5.0614548307835525</c:v>
                </c:pt>
                <c:pt idx="30">
                  <c:v>5.2359877559829853</c:v>
                </c:pt>
                <c:pt idx="31">
                  <c:v>5.410520681182418</c:v>
                </c:pt>
                <c:pt idx="32">
                  <c:v>5.5850536063818508</c:v>
                </c:pt>
                <c:pt idx="33">
                  <c:v>5.7595865315812835</c:v>
                </c:pt>
                <c:pt idx="34">
                  <c:v>5.9341194567807163</c:v>
                </c:pt>
                <c:pt idx="35">
                  <c:v>6.108652381980149</c:v>
                </c:pt>
                <c:pt idx="36">
                  <c:v>6.2831853071795818</c:v>
                </c:pt>
                <c:pt idx="37">
                  <c:v>6.4577182323790145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TLR_Section_Capacity!$CC$15:$CC$375</c:f>
              <c:numCache>
                <c:formatCode>0.000</c:formatCode>
                <c:ptCount val="361"/>
                <c:pt idx="0">
                  <c:v>0</c:v>
                </c:pt>
                <c:pt idx="1">
                  <c:v>5.9008776378018074E-2</c:v>
                </c:pt>
                <c:pt idx="2">
                  <c:v>0.11066539983649785</c:v>
                </c:pt>
                <c:pt idx="3">
                  <c:v>0.1469542726787447</c:v>
                </c:pt>
                <c:pt idx="4">
                  <c:v>0.1765723287143483</c:v>
                </c:pt>
                <c:pt idx="5">
                  <c:v>0.23648484107212142</c:v>
                </c:pt>
                <c:pt idx="6">
                  <c:v>0.30193553372385384</c:v>
                </c:pt>
                <c:pt idx="7">
                  <c:v>0.36209405421941232</c:v>
                </c:pt>
                <c:pt idx="8">
                  <c:v>0.44818120904264008</c:v>
                </c:pt>
                <c:pt idx="9">
                  <c:v>0.53660801359222365</c:v>
                </c:pt>
                <c:pt idx="10">
                  <c:v>0.51117198534634301</c:v>
                </c:pt>
                <c:pt idx="11">
                  <c:v>0.44165984744995512</c:v>
                </c:pt>
                <c:pt idx="12">
                  <c:v>0.37132106010355548</c:v>
                </c:pt>
                <c:pt idx="13">
                  <c:v>0.3485704801217393</c:v>
                </c:pt>
                <c:pt idx="14">
                  <c:v>0.33337014234925721</c:v>
                </c:pt>
                <c:pt idx="15">
                  <c:v>0.31577106861900539</c:v>
                </c:pt>
                <c:pt idx="16">
                  <c:v>0.28603139521210874</c:v>
                </c:pt>
                <c:pt idx="17">
                  <c:v>0.22000040823276379</c:v>
                </c:pt>
                <c:pt idx="18">
                  <c:v>3.1086244689504383E-15</c:v>
                </c:pt>
                <c:pt idx="19">
                  <c:v>-0.22000040823276157</c:v>
                </c:pt>
                <c:pt idx="20">
                  <c:v>-0.2860313952121083</c:v>
                </c:pt>
                <c:pt idx="21">
                  <c:v>-0.31577106861900495</c:v>
                </c:pt>
                <c:pt idx="22">
                  <c:v>-0.33337014234925627</c:v>
                </c:pt>
                <c:pt idx="23">
                  <c:v>-0.3485704801217393</c:v>
                </c:pt>
                <c:pt idx="24">
                  <c:v>-0.37132106010355459</c:v>
                </c:pt>
                <c:pt idx="25">
                  <c:v>-0.44165984744995401</c:v>
                </c:pt>
                <c:pt idx="26">
                  <c:v>-0.51117198534634212</c:v>
                </c:pt>
                <c:pt idx="27">
                  <c:v>-0.53660801359222488</c:v>
                </c:pt>
                <c:pt idx="28">
                  <c:v>-0.44818120904264191</c:v>
                </c:pt>
                <c:pt idx="29">
                  <c:v>-0.36209405421941365</c:v>
                </c:pt>
                <c:pt idx="30">
                  <c:v>-0.30193553372385518</c:v>
                </c:pt>
                <c:pt idx="31">
                  <c:v>-0.23648484107212317</c:v>
                </c:pt>
                <c:pt idx="32">
                  <c:v>-0.17657232871434891</c:v>
                </c:pt>
                <c:pt idx="33">
                  <c:v>-0.1469542726787455</c:v>
                </c:pt>
                <c:pt idx="34">
                  <c:v>-0.11066539983649887</c:v>
                </c:pt>
                <c:pt idx="35">
                  <c:v>-5.9008776378019517E-2</c:v>
                </c:pt>
                <c:pt idx="36">
                  <c:v>-1.9505424302458216E-15</c:v>
                </c:pt>
                <c:pt idx="37">
                  <c:v>-3.6974003252075001E-16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588-49DE-9AA4-65C22ACBA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0"/>
          <c:order val="0"/>
          <c:tx>
            <c:v>NA Depths vs P_delta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TLR_Section_Capacity!$AY$45:$AY$70</c:f>
              <c:numCache>
                <c:formatCode>0.000</c:formatCode>
                <c:ptCount val="26"/>
                <c:pt idx="0">
                  <c:v>9.9999999999999995E-7</c:v>
                </c:pt>
                <c:pt idx="1">
                  <c:v>3.8307253367826362</c:v>
                </c:pt>
                <c:pt idx="2">
                  <c:v>7.6614496735652722</c:v>
                </c:pt>
                <c:pt idx="3">
                  <c:v>11.492174010347908</c:v>
                </c:pt>
                <c:pt idx="4">
                  <c:v>15.322898347130543</c:v>
                </c:pt>
                <c:pt idx="5">
                  <c:v>19.153622683913181</c:v>
                </c:pt>
                <c:pt idx="6">
                  <c:v>22.984347020695818</c:v>
                </c:pt>
                <c:pt idx="7">
                  <c:v>26.815071357478455</c:v>
                </c:pt>
                <c:pt idx="8">
                  <c:v>30.645795694261093</c:v>
                </c:pt>
                <c:pt idx="9">
                  <c:v>34.476520031043727</c:v>
                </c:pt>
                <c:pt idx="10">
                  <c:v>38.307244367826364</c:v>
                </c:pt>
                <c:pt idx="11">
                  <c:v>42.137968704609001</c:v>
                </c:pt>
                <c:pt idx="12">
                  <c:v>45.968693041391639</c:v>
                </c:pt>
                <c:pt idx="13">
                  <c:v>49.799417378174276</c:v>
                </c:pt>
                <c:pt idx="14">
                  <c:v>53.630141714956913</c:v>
                </c:pt>
                <c:pt idx="15">
                  <c:v>57.460866051739551</c:v>
                </c:pt>
                <c:pt idx="16">
                  <c:v>61.291590388522188</c:v>
                </c:pt>
                <c:pt idx="17">
                  <c:v>65.122314725304818</c:v>
                </c:pt>
                <c:pt idx="18">
                  <c:v>68.953039062087456</c:v>
                </c:pt>
                <c:pt idx="19">
                  <c:v>72.783763398870093</c:v>
                </c:pt>
                <c:pt idx="20">
                  <c:v>76.61448773565273</c:v>
                </c:pt>
              </c:numCache>
            </c:numRef>
          </c:xVal>
          <c:yVal>
            <c:numRef>
              <c:f>TLR_Section_Capacity!$AZ$45:$AZ$70</c:f>
              <c:numCache>
                <c:formatCode>0.000</c:formatCode>
                <c:ptCount val="26"/>
                <c:pt idx="0">
                  <c:v>130.6799999999914</c:v>
                </c:pt>
                <c:pt idx="1">
                  <c:v>-28.896620558704356</c:v>
                </c:pt>
                <c:pt idx="2">
                  <c:v>-333.0590344167212</c:v>
                </c:pt>
                <c:pt idx="3">
                  <c:v>-494.74007021527058</c:v>
                </c:pt>
                <c:pt idx="4">
                  <c:v>-551.22113651767881</c:v>
                </c:pt>
                <c:pt idx="5">
                  <c:v>-684.61023117317711</c:v>
                </c:pt>
                <c:pt idx="6">
                  <c:v>-807.75614277450381</c:v>
                </c:pt>
                <c:pt idx="7">
                  <c:v>-925.04880675259244</c:v>
                </c:pt>
                <c:pt idx="8">
                  <c:v>-1028.0128428382156</c:v>
                </c:pt>
                <c:pt idx="9">
                  <c:v>-1045.4968539599713</c:v>
                </c:pt>
                <c:pt idx="10">
                  <c:v>-1052.3256433857105</c:v>
                </c:pt>
                <c:pt idx="11">
                  <c:v>-1057.9128347635078</c:v>
                </c:pt>
                <c:pt idx="12">
                  <c:v>-1062.5688275985958</c:v>
                </c:pt>
                <c:pt idx="13">
                  <c:v>-1066.5085138580544</c:v>
                </c:pt>
                <c:pt idx="14">
                  <c:v>-1069.8853878052275</c:v>
                </c:pt>
                <c:pt idx="15">
                  <c:v>-1072.812011900613</c:v>
                </c:pt>
                <c:pt idx="16">
                  <c:v>-1075.3728079900443</c:v>
                </c:pt>
                <c:pt idx="17">
                  <c:v>-1077.6323339559333</c:v>
                </c:pt>
                <c:pt idx="18">
                  <c:v>-1079.6408014848089</c:v>
                </c:pt>
                <c:pt idx="19">
                  <c:v>-1081.3882399419558</c:v>
                </c:pt>
                <c:pt idx="20">
                  <c:v>-1082.1947500000001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5E1-40C3-BB37-3A809B7168E0}"/>
            </c:ext>
          </c:extLst>
        </c:ser>
        <c:ser>
          <c:idx val="1"/>
          <c:order val="1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TLR_Section_Capacity!$AY$73</c:f>
              <c:numCache>
                <c:formatCode>0.000</c:formatCode>
                <c:ptCount val="1"/>
                <c:pt idx="0">
                  <c:v>3.4538135990366818</c:v>
                </c:pt>
              </c:numCache>
            </c:numRef>
          </c:xVal>
          <c:yVal>
            <c:numRef>
              <c:f>TLR_Section_Capacity!$AZ$73</c:f>
              <c:numCache>
                <c:formatCode>0.000</c:formatCode>
                <c:ptCount val="1"/>
                <c:pt idx="0">
                  <c:v>-8.2378903698554503E-11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5E1-40C3-BB37-3A809B716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389904941501053E-2"/>
          <c:y val="0.21503161897233147"/>
          <c:w val="0.93690399965013715"/>
          <c:h val="0.77188800934066304"/>
        </c:manualLayout>
      </c:layout>
      <c:scatterChart>
        <c:scatterStyle val="lineMarker"/>
        <c:varyColors val="0"/>
        <c:ser>
          <c:idx val="0"/>
          <c:order val="0"/>
          <c:tx>
            <c:v>Second Moment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TLR_Section_Capacity!$BR$2:$BR$39</c:f>
              <c:numCache>
                <c:formatCode>General</c:formatCode>
                <c:ptCount val="38"/>
                <c:pt idx="0">
                  <c:v>964.72495312882597</c:v>
                </c:pt>
                <c:pt idx="1">
                  <c:v>905.25162209724874</c:v>
                </c:pt>
                <c:pt idx="2">
                  <c:v>848.88303354278503</c:v>
                </c:pt>
                <c:pt idx="3">
                  <c:v>769.23737992751433</c:v>
                </c:pt>
                <c:pt idx="4">
                  <c:v>633.42685678319208</c:v>
                </c:pt>
                <c:pt idx="5">
                  <c:v>429.64682231078302</c:v>
                </c:pt>
                <c:pt idx="6">
                  <c:v>190.09034368240455</c:v>
                </c:pt>
                <c:pt idx="7">
                  <c:v>-53.678328876503826</c:v>
                </c:pt>
                <c:pt idx="8">
                  <c:v>-296.51493993589565</c:v>
                </c:pt>
                <c:pt idx="9">
                  <c:v>-462.9921749245562</c:v>
                </c:pt>
                <c:pt idx="10">
                  <c:v>-481.60664770546674</c:v>
                </c:pt>
                <c:pt idx="11">
                  <c:v>-493.72314965574452</c:v>
                </c:pt>
                <c:pt idx="12">
                  <c:v>-544.27954714635666</c:v>
                </c:pt>
                <c:pt idx="13">
                  <c:v>-597.85425062999332</c:v>
                </c:pt>
                <c:pt idx="14">
                  <c:v>-652.94941547077872</c:v>
                </c:pt>
                <c:pt idx="15">
                  <c:v>-681.74861897027301</c:v>
                </c:pt>
                <c:pt idx="16">
                  <c:v>-671.1354160016208</c:v>
                </c:pt>
                <c:pt idx="17">
                  <c:v>-654.41344621191195</c:v>
                </c:pt>
                <c:pt idx="18">
                  <c:v>-692.40069281555964</c:v>
                </c:pt>
                <c:pt idx="19">
                  <c:v>-594.36602368343006</c:v>
                </c:pt>
                <c:pt idx="20">
                  <c:v>-574.98576334134987</c:v>
                </c:pt>
                <c:pt idx="21">
                  <c:v>-550.9974221778856</c:v>
                </c:pt>
                <c:pt idx="22">
                  <c:v>-473.26480537636746</c:v>
                </c:pt>
                <c:pt idx="23">
                  <c:v>-336.83042875423058</c:v>
                </c:pt>
                <c:pt idx="24">
                  <c:v>-158.78018139861905</c:v>
                </c:pt>
                <c:pt idx="25">
                  <c:v>44.073474798917175</c:v>
                </c:pt>
                <c:pt idx="26">
                  <c:v>265.50417392969308</c:v>
                </c:pt>
                <c:pt idx="27">
                  <c:v>462.99217492455364</c:v>
                </c:pt>
                <c:pt idx="28">
                  <c:v>529.25582476553927</c:v>
                </c:pt>
                <c:pt idx="29">
                  <c:v>571.93770359395285</c:v>
                </c:pt>
                <c:pt idx="30">
                  <c:v>673.20580486216795</c:v>
                </c:pt>
                <c:pt idx="31">
                  <c:v>787.75200003121529</c:v>
                </c:pt>
                <c:pt idx="32">
                  <c:v>903.72332490667793</c:v>
                </c:pt>
                <c:pt idx="33">
                  <c:v>976.6019959813591</c:v>
                </c:pt>
                <c:pt idx="34">
                  <c:v>1016.3151408843354</c:v>
                </c:pt>
                <c:pt idx="35">
                  <c:v>1015.8521218248603</c:v>
                </c:pt>
                <c:pt idx="36">
                  <c:v>964.72495312882791</c:v>
                </c:pt>
                <c:pt idx="37">
                  <c:v>964.72495312882609</c:v>
                </c:pt>
              </c:numCache>
            </c:numRef>
          </c:xVal>
          <c:yVal>
            <c:numRef>
              <c:f>TLR_Section_Capacity!$BS$2:$BS$39</c:f>
              <c:numCache>
                <c:formatCode>General</c:formatCode>
                <c:ptCount val="38"/>
                <c:pt idx="0">
                  <c:v>341.9378852655376</c:v>
                </c:pt>
                <c:pt idx="1">
                  <c:v>482.99451306967393</c:v>
                </c:pt>
                <c:pt idx="2">
                  <c:v>569.44627535587335</c:v>
                </c:pt>
                <c:pt idx="3">
                  <c:v>683.56344217005585</c:v>
                </c:pt>
                <c:pt idx="4">
                  <c:v>805.97446873587671</c:v>
                </c:pt>
                <c:pt idx="5">
                  <c:v>875.66267134696602</c:v>
                </c:pt>
                <c:pt idx="6">
                  <c:v>887.09981640977003</c:v>
                </c:pt>
                <c:pt idx="7">
                  <c:v>825.80577167791569</c:v>
                </c:pt>
                <c:pt idx="8">
                  <c:v>732.77240725661125</c:v>
                </c:pt>
                <c:pt idx="9">
                  <c:v>623.8075504465686</c:v>
                </c:pt>
                <c:pt idx="10">
                  <c:v>546.92111763269315</c:v>
                </c:pt>
                <c:pt idx="11">
                  <c:v>519.83018247195048</c:v>
                </c:pt>
                <c:pt idx="12">
                  <c:v>497.58350400429435</c:v>
                </c:pt>
                <c:pt idx="13">
                  <c:v>447.44441596723834</c:v>
                </c:pt>
                <c:pt idx="14">
                  <c:v>365.4330788627704</c:v>
                </c:pt>
                <c:pt idx="15">
                  <c:v>242.62927135224189</c:v>
                </c:pt>
                <c:pt idx="16">
                  <c:v>94.691008998520658</c:v>
                </c:pt>
                <c:pt idx="17">
                  <c:v>-60.176171101661311</c:v>
                </c:pt>
                <c:pt idx="18">
                  <c:v>-236.19465103495716</c:v>
                </c:pt>
                <c:pt idx="19">
                  <c:v>-280.36968459902533</c:v>
                </c:pt>
                <c:pt idx="20">
                  <c:v>-358.86000857101641</c:v>
                </c:pt>
                <c:pt idx="21">
                  <c:v>-469.09698734709195</c:v>
                </c:pt>
                <c:pt idx="22">
                  <c:v>-579.57285847667572</c:v>
                </c:pt>
                <c:pt idx="23">
                  <c:v>-666.46940863167481</c:v>
                </c:pt>
                <c:pt idx="24">
                  <c:v>-720.15166659118233</c:v>
                </c:pt>
                <c:pt idx="25">
                  <c:v>-715.5721458622877</c:v>
                </c:pt>
                <c:pt idx="26">
                  <c:v>-678.65691306624285</c:v>
                </c:pt>
                <c:pt idx="27">
                  <c:v>-623.80755044656905</c:v>
                </c:pt>
                <c:pt idx="28">
                  <c:v>-587.16674155948692</c:v>
                </c:pt>
                <c:pt idx="29">
                  <c:v>-598.1001577789508</c:v>
                </c:pt>
                <c:pt idx="30">
                  <c:v>-608.17297484796188</c:v>
                </c:pt>
                <c:pt idx="31">
                  <c:v>-575.17674879907509</c:v>
                </c:pt>
                <c:pt idx="32">
                  <c:v>-483.84768178418631</c:v>
                </c:pt>
                <c:pt idx="33">
                  <c:v>-324.39739147278544</c:v>
                </c:pt>
                <c:pt idx="34">
                  <c:v>-109.43034114326497</c:v>
                </c:pt>
                <c:pt idx="35">
                  <c:v>144.25209027615452</c:v>
                </c:pt>
                <c:pt idx="36">
                  <c:v>341.93788526553317</c:v>
                </c:pt>
                <c:pt idx="37">
                  <c:v>341.93788526553737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D41-4737-808A-9411F08EE71E}"/>
            </c:ext>
          </c:extLst>
        </c:ser>
        <c:ser>
          <c:idx val="1"/>
          <c:order val="1"/>
          <c:tx>
            <c:v>solve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F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TLR_Section_Capacity!$B$27</c:f>
              <c:numCache>
                <c:formatCode>0.0000</c:formatCode>
                <c:ptCount val="1"/>
                <c:pt idx="0">
                  <c:v>0.14442014782718607</c:v>
                </c:pt>
              </c:numCache>
            </c:numRef>
          </c:xVal>
          <c:yVal>
            <c:numRef>
              <c:f>TLR_Section_Capacity!$Y$82</c:f>
              <c:numCache>
                <c:formatCode>General</c:formatCode>
                <c:ptCount val="1"/>
                <c:pt idx="0">
                  <c:v>0.34416557759888522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D41-4737-808A-9411F08EE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364330</xdr:colOff>
      <xdr:row>2</xdr:row>
      <xdr:rowOff>61911</xdr:rowOff>
    </xdr:from>
    <xdr:to>
      <xdr:col>18</xdr:col>
      <xdr:colOff>773905</xdr:colOff>
      <xdr:row>30</xdr:row>
      <xdr:rowOff>119061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971550</xdr:colOff>
      <xdr:row>27</xdr:row>
      <xdr:rowOff>154782</xdr:rowOff>
    </xdr:from>
    <xdr:to>
      <xdr:col>22</xdr:col>
      <xdr:colOff>319087</xdr:colOff>
      <xdr:row>47</xdr:row>
      <xdr:rowOff>2382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295275</xdr:colOff>
          <xdr:row>23</xdr:row>
          <xdr:rowOff>95250</xdr:rowOff>
        </xdr:from>
        <xdr:to>
          <xdr:col>20</xdr:col>
          <xdr:colOff>800100</xdr:colOff>
          <xdr:row>27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to Find a Solution with Matching Unit Vector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827087</xdr:colOff>
      <xdr:row>29</xdr:row>
      <xdr:rowOff>79375</xdr:rowOff>
    </xdr:from>
    <xdr:to>
      <xdr:col>37</xdr:col>
      <xdr:colOff>527050</xdr:colOff>
      <xdr:row>58</xdr:row>
      <xdr:rowOff>17462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38102</xdr:colOff>
      <xdr:row>0</xdr:row>
      <xdr:rowOff>85722</xdr:rowOff>
    </xdr:from>
    <xdr:to>
      <xdr:col>37</xdr:col>
      <xdr:colOff>571502</xdr:colOff>
      <xdr:row>28</xdr:row>
      <xdr:rowOff>130966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692943</xdr:colOff>
      <xdr:row>0</xdr:row>
      <xdr:rowOff>73816</xdr:rowOff>
    </xdr:from>
    <xdr:to>
      <xdr:col>43</xdr:col>
      <xdr:colOff>380999</xdr:colOff>
      <xdr:row>28</xdr:row>
      <xdr:rowOff>119060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659605</xdr:colOff>
      <xdr:row>29</xdr:row>
      <xdr:rowOff>90489</xdr:rowOff>
    </xdr:from>
    <xdr:to>
      <xdr:col>43</xdr:col>
      <xdr:colOff>347661</xdr:colOff>
      <xdr:row>58</xdr:row>
      <xdr:rowOff>28576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295275</xdr:colOff>
          <xdr:row>2</xdr:row>
          <xdr:rowOff>85725</xdr:rowOff>
        </xdr:from>
        <xdr:to>
          <xdr:col>31</xdr:col>
          <xdr:colOff>180975</xdr:colOff>
          <xdr:row>5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  <xdr:twoCellAnchor>
    <xdr:from>
      <xdr:col>43</xdr:col>
      <xdr:colOff>726282</xdr:colOff>
      <xdr:row>29</xdr:row>
      <xdr:rowOff>23813</xdr:rowOff>
    </xdr:from>
    <xdr:to>
      <xdr:col>48</xdr:col>
      <xdr:colOff>1235868</xdr:colOff>
      <xdr:row>57</xdr:row>
      <xdr:rowOff>152400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352425</xdr:colOff>
          <xdr:row>23</xdr:row>
          <xdr:rowOff>19050</xdr:rowOff>
        </xdr:from>
        <xdr:to>
          <xdr:col>22</xdr:col>
          <xdr:colOff>857250</xdr:colOff>
          <xdr:row>27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EXPERIMENTAL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for Solution Using Alternate Reference Point</a:t>
              </a:r>
            </a:p>
          </xdr:txBody>
        </xdr:sp>
        <xdr:clientData fPrintsWithSheet="0"/>
      </xdr:twoCellAnchor>
    </mc:Choice>
    <mc:Fallback/>
  </mc:AlternateContent>
  <xdr:twoCellAnchor>
    <xdr:from>
      <xdr:col>44</xdr:col>
      <xdr:colOff>0</xdr:colOff>
      <xdr:row>61</xdr:row>
      <xdr:rowOff>0</xdr:rowOff>
    </xdr:from>
    <xdr:to>
      <xdr:col>49</xdr:col>
      <xdr:colOff>162203</xdr:colOff>
      <xdr:row>89</xdr:row>
      <xdr:rowOff>128586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449035</xdr:colOff>
      <xdr:row>6</xdr:row>
      <xdr:rowOff>13607</xdr:rowOff>
    </xdr:from>
    <xdr:to>
      <xdr:col>53</xdr:col>
      <xdr:colOff>999443</xdr:colOff>
      <xdr:row>34</xdr:row>
      <xdr:rowOff>60550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EU378"/>
  <sheetViews>
    <sheetView tabSelected="1" zoomScale="70" zoomScaleNormal="70" workbookViewId="0">
      <selection activeCell="F13" sqref="F13"/>
    </sheetView>
  </sheetViews>
  <sheetFormatPr defaultColWidth="8.85546875" defaultRowHeight="15" x14ac:dyDescent="0.25"/>
  <cols>
    <col min="1" max="1" width="15.28515625" customWidth="1"/>
    <col min="2" max="2" width="16" customWidth="1"/>
    <col min="3" max="3" width="12.42578125" customWidth="1"/>
    <col min="4" max="5" width="11.140625" customWidth="1"/>
    <col min="6" max="7" width="11.42578125" bestFit="1" customWidth="1"/>
    <col min="8" max="8" width="13.140625" bestFit="1" customWidth="1"/>
    <col min="9" max="9" width="12.140625" bestFit="1" customWidth="1"/>
    <col min="10" max="10" width="13.140625" bestFit="1" customWidth="1"/>
    <col min="11" max="11" width="12.140625" bestFit="1" customWidth="1"/>
    <col min="12" max="12" width="12.42578125" customWidth="1"/>
    <col min="13" max="13" width="17.28515625" customWidth="1"/>
    <col min="14" max="15" width="17" bestFit="1" customWidth="1"/>
    <col min="16" max="16" width="15.42578125" bestFit="1" customWidth="1"/>
    <col min="17" max="18" width="16.42578125" bestFit="1" customWidth="1"/>
    <col min="19" max="19" width="14.85546875" bestFit="1" customWidth="1"/>
    <col min="20" max="20" width="16.42578125" customWidth="1"/>
    <col min="21" max="22" width="16.42578125" bestFit="1" customWidth="1"/>
    <col min="23" max="24" width="15.42578125" bestFit="1" customWidth="1"/>
    <col min="25" max="26" width="17.7109375" bestFit="1" customWidth="1"/>
    <col min="27" max="27" width="13" bestFit="1" customWidth="1"/>
    <col min="28" max="28" width="14.42578125" bestFit="1" customWidth="1"/>
    <col min="29" max="29" width="13.42578125" bestFit="1" customWidth="1"/>
    <col min="30" max="30" width="14.42578125" bestFit="1" customWidth="1"/>
    <col min="31" max="31" width="13.42578125" bestFit="1" customWidth="1"/>
    <col min="32" max="32" width="12.42578125" bestFit="1" customWidth="1"/>
    <col min="33" max="33" width="14.85546875" bestFit="1" customWidth="1"/>
    <col min="34" max="34" width="17" bestFit="1" customWidth="1"/>
    <col min="35" max="35" width="14.42578125" bestFit="1" customWidth="1"/>
    <col min="36" max="36" width="13.42578125" bestFit="1" customWidth="1"/>
    <col min="37" max="37" width="14.42578125" bestFit="1" customWidth="1"/>
    <col min="38" max="39" width="13.42578125" bestFit="1" customWidth="1"/>
    <col min="40" max="40" width="14.85546875" bestFit="1" customWidth="1"/>
    <col min="41" max="41" width="17" bestFit="1" customWidth="1"/>
    <col min="42" max="42" width="14.42578125" bestFit="1" customWidth="1"/>
    <col min="43" max="43" width="13.42578125" bestFit="1" customWidth="1"/>
    <col min="44" max="44" width="14.42578125" bestFit="1" customWidth="1"/>
    <col min="45" max="46" width="14" style="6" bestFit="1" customWidth="1"/>
    <col min="47" max="47" width="14.85546875" style="6" bestFit="1" customWidth="1"/>
    <col min="48" max="48" width="17" style="6" bestFit="1" customWidth="1"/>
    <col min="49" max="49" width="19.7109375" style="6" bestFit="1" customWidth="1"/>
    <col min="50" max="50" width="19.140625" style="6" bestFit="1" customWidth="1"/>
    <col min="51" max="51" width="24.28515625" style="6" bestFit="1" customWidth="1"/>
    <col min="52" max="52" width="11" style="47" bestFit="1" customWidth="1"/>
    <col min="53" max="53" width="19.42578125" style="47" bestFit="1" customWidth="1"/>
    <col min="54" max="54" width="19.140625" style="47" bestFit="1" customWidth="1"/>
    <col min="55" max="56" width="24.28515625" style="47" bestFit="1" customWidth="1"/>
    <col min="57" max="57" width="10.7109375" bestFit="1" customWidth="1"/>
    <col min="58" max="58" width="14.42578125" bestFit="1" customWidth="1"/>
    <col min="59" max="59" width="19.42578125" bestFit="1" customWidth="1"/>
    <col min="60" max="60" width="19.140625" bestFit="1" customWidth="1"/>
    <col min="61" max="61" width="24.28515625" bestFit="1" customWidth="1"/>
    <col min="65" max="65" width="13.7109375" bestFit="1" customWidth="1"/>
    <col min="70" max="71" width="13.7109375" bestFit="1" customWidth="1"/>
    <col min="72" max="72" width="11" bestFit="1" customWidth="1"/>
    <col min="73" max="73" width="13" bestFit="1" customWidth="1"/>
    <col min="74" max="74" width="9.85546875" bestFit="1" customWidth="1"/>
    <col min="75" max="75" width="14.140625" customWidth="1"/>
    <col min="78" max="78" width="13" bestFit="1" customWidth="1"/>
    <col min="79" max="79" width="10.28515625" customWidth="1"/>
    <col min="80" max="80" width="12.85546875" bestFit="1" customWidth="1"/>
    <col min="81" max="81" width="14.42578125" customWidth="1"/>
    <col min="83" max="83" width="8.85546875" customWidth="1"/>
    <col min="84" max="84" width="9.28515625" bestFit="1" customWidth="1"/>
    <col min="85" max="85" width="13" bestFit="1" customWidth="1"/>
    <col min="86" max="88" width="13.7109375" bestFit="1" customWidth="1"/>
    <col min="89" max="89" width="12.42578125" bestFit="1" customWidth="1"/>
    <col min="90" max="90" width="13" bestFit="1" customWidth="1"/>
    <col min="91" max="91" width="13.7109375" bestFit="1" customWidth="1"/>
    <col min="92" max="92" width="13" bestFit="1" customWidth="1"/>
    <col min="93" max="93" width="12" bestFit="1" customWidth="1"/>
    <col min="94" max="95" width="13.7109375" bestFit="1" customWidth="1"/>
    <col min="96" max="96" width="10" bestFit="1" customWidth="1"/>
    <col min="106" max="106" width="7" customWidth="1"/>
    <col min="112" max="112" width="10.28515625" bestFit="1" customWidth="1"/>
    <col min="120" max="120" width="9.140625" bestFit="1" customWidth="1"/>
    <col min="121" max="121" width="13.85546875" bestFit="1" customWidth="1"/>
    <col min="122" max="122" width="13" bestFit="1" customWidth="1"/>
    <col min="123" max="123" width="9" bestFit="1" customWidth="1"/>
    <col min="125" max="125" width="13" bestFit="1" customWidth="1"/>
    <col min="126" max="126" width="13.7109375" bestFit="1" customWidth="1"/>
    <col min="127" max="127" width="13.140625" bestFit="1" customWidth="1"/>
    <col min="129" max="129" width="13.7109375" bestFit="1" customWidth="1"/>
  </cols>
  <sheetData>
    <row r="1" spans="1:151" x14ac:dyDescent="0.25">
      <c r="A1" s="8" t="s">
        <v>190</v>
      </c>
      <c r="B1" s="20" t="s">
        <v>267</v>
      </c>
      <c r="D1" s="8" t="s">
        <v>243</v>
      </c>
      <c r="E1" s="20" t="s">
        <v>247</v>
      </c>
      <c r="H1" t="s">
        <v>265</v>
      </c>
      <c r="I1" s="20" t="s">
        <v>266</v>
      </c>
      <c r="K1" s="8" t="s">
        <v>71</v>
      </c>
      <c r="L1" s="51">
        <v>9.9999999999999995E-7</v>
      </c>
      <c r="M1" s="1" t="s">
        <v>242</v>
      </c>
      <c r="N1" s="1" t="s">
        <v>241</v>
      </c>
      <c r="P1" s="8" t="s">
        <v>141</v>
      </c>
      <c r="Q1" s="4">
        <v>1</v>
      </c>
      <c r="T1" t="s">
        <v>151</v>
      </c>
      <c r="U1" s="4">
        <v>0</v>
      </c>
      <c r="W1" t="s">
        <v>191</v>
      </c>
      <c r="X1" s="4">
        <v>1</v>
      </c>
      <c r="Z1" s="1" t="s">
        <v>211</v>
      </c>
      <c r="AA1" s="4">
        <v>0</v>
      </c>
      <c r="AD1" s="8" t="s">
        <v>244</v>
      </c>
      <c r="AE1" s="1">
        <v>2.5299999999999998</v>
      </c>
      <c r="AF1" t="s">
        <v>245</v>
      </c>
      <c r="AU1" s="75" t="s">
        <v>262</v>
      </c>
      <c r="BC1" s="6" t="s">
        <v>110</v>
      </c>
      <c r="BD1" s="6" t="s">
        <v>99</v>
      </c>
      <c r="BE1" s="6" t="s">
        <v>100</v>
      </c>
      <c r="BF1" s="6" t="s">
        <v>111</v>
      </c>
      <c r="BG1" s="6" t="s">
        <v>142</v>
      </c>
      <c r="BH1" s="6" t="s">
        <v>143</v>
      </c>
      <c r="BI1" s="6" t="s">
        <v>144</v>
      </c>
      <c r="BJ1" s="6" t="s">
        <v>209</v>
      </c>
      <c r="BK1" s="6" t="s">
        <v>210</v>
      </c>
      <c r="BW1" s="43" t="s">
        <v>145</v>
      </c>
      <c r="CU1" t="s">
        <v>112</v>
      </c>
      <c r="DC1" t="s">
        <v>135</v>
      </c>
      <c r="DK1" t="s">
        <v>140</v>
      </c>
      <c r="DN1" s="1" t="s">
        <v>217</v>
      </c>
      <c r="DO1">
        <v>1.0000000000000001E-5</v>
      </c>
      <c r="DV1" t="s">
        <v>194</v>
      </c>
      <c r="ER1" t="s">
        <v>98</v>
      </c>
      <c r="ES1" t="s">
        <v>99</v>
      </c>
      <c r="ET1" t="s">
        <v>100</v>
      </c>
      <c r="EU1" t="s">
        <v>270</v>
      </c>
    </row>
    <row r="2" spans="1:151" ht="15.75" thickBot="1" x14ac:dyDescent="0.3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6">
        <f>IF(I1="Web",B5/2,AU3)</f>
        <v>6</v>
      </c>
      <c r="K2" s="8" t="s">
        <v>72</v>
      </c>
      <c r="L2" s="4">
        <v>75</v>
      </c>
      <c r="M2" s="1">
        <v>49</v>
      </c>
      <c r="N2" s="1">
        <v>4</v>
      </c>
      <c r="O2" s="1">
        <v>1</v>
      </c>
      <c r="AD2" s="8" t="s">
        <v>152</v>
      </c>
      <c r="AE2" s="20">
        <v>36</v>
      </c>
      <c r="BA2" s="47">
        <f ca="1">OFFSET(BC1,MATCH(BB2,BQ2:BQ38,0),0)</f>
        <v>0</v>
      </c>
      <c r="BB2" s="47">
        <f>MIN(BQ2:BQ38)</f>
        <v>0</v>
      </c>
      <c r="BC2">
        <v>0</v>
      </c>
      <c r="BD2">
        <v>93.216872666527792</v>
      </c>
      <c r="BE2">
        <v>0</v>
      </c>
      <c r="BF2" s="6">
        <f t="shared" ref="BF2:BF33" si="0">IF(BC2&lt;&gt;"",IF(AND(BD2=0,BE2=0),0,MOD(ATAN2(BD2,BE2),2*PI())),NA())</f>
        <v>0</v>
      </c>
      <c r="BG2" s="6">
        <f t="shared" ref="BG2:BG33" si="1">ABS(BC2-BF2)</f>
        <v>0</v>
      </c>
      <c r="BH2" s="6">
        <f>ATAN2(COS($U$13-BF2),SIN($U$13-BF2))</f>
        <v>0</v>
      </c>
      <c r="BI2" s="6">
        <f>ABS(BH2)</f>
        <v>0</v>
      </c>
      <c r="BJ2">
        <v>103.57430296280866</v>
      </c>
      <c r="BK2">
        <v>0</v>
      </c>
      <c r="BL2">
        <f>SQRT(POWER(BD2,2)+POWER(BE2,2))</f>
        <v>93.216872666527792</v>
      </c>
      <c r="BM2">
        <f>BD2/BL2</f>
        <v>1</v>
      </c>
      <c r="BN2">
        <f>BE2/BL2</f>
        <v>0</v>
      </c>
      <c r="BO2">
        <f>$AC$21-BM2</f>
        <v>0</v>
      </c>
      <c r="BP2">
        <f>$AD$21-BN2</f>
        <v>0</v>
      </c>
      <c r="BQ2">
        <f>SQRT(POWER(BO2,2)+POWER(BP2,2))</f>
        <v>0</v>
      </c>
      <c r="BR2">
        <v>964.72495312882597</v>
      </c>
      <c r="BS2">
        <v>341.9378852655376</v>
      </c>
      <c r="BT2">
        <v>0.78539816339744828</v>
      </c>
      <c r="BV2" s="36"/>
      <c r="CU2" s="1" t="s">
        <v>113</v>
      </c>
      <c r="CV2" s="1" t="s">
        <v>33</v>
      </c>
      <c r="CW2" s="1" t="s">
        <v>114</v>
      </c>
      <c r="CX2" s="1" t="s">
        <v>115</v>
      </c>
      <c r="CY2" s="1" t="s">
        <v>116</v>
      </c>
      <c r="CZ2" s="1" t="s">
        <v>117</v>
      </c>
      <c r="DC2" s="1" t="s">
        <v>136</v>
      </c>
      <c r="DD2">
        <v>0</v>
      </c>
      <c r="DK2" s="1" t="s">
        <v>223</v>
      </c>
      <c r="DL2" s="1" t="s">
        <v>215</v>
      </c>
      <c r="DM2" s="1" t="s">
        <v>216</v>
      </c>
      <c r="DN2" s="1" t="s">
        <v>218</v>
      </c>
      <c r="DO2" s="1" t="s">
        <v>219</v>
      </c>
      <c r="DP2" s="1" t="s">
        <v>220</v>
      </c>
      <c r="DQ2" s="1" t="s">
        <v>221</v>
      </c>
      <c r="DR2" s="1" t="s">
        <v>222</v>
      </c>
    </row>
    <row r="3" spans="1:151" ht="15.75" x14ac:dyDescent="0.25">
      <c r="A3" s="8" t="s">
        <v>2</v>
      </c>
      <c r="B3" s="3">
        <f>IF(E1="Density",(POWER(145,1.5)*33*SQRT(1000*B2))/1000,(57000*SQRT(1000*B2))/1000)</f>
        <v>4074.2806880478911</v>
      </c>
      <c r="C3" t="s">
        <v>1</v>
      </c>
      <c r="E3">
        <v>0</v>
      </c>
      <c r="F3">
        <v>0</v>
      </c>
      <c r="H3" t="s">
        <v>26</v>
      </c>
      <c r="I3" s="1">
        <f>IF(I1="Web",B8/2,AV3)</f>
        <v>12</v>
      </c>
      <c r="T3" s="25" t="s">
        <v>78</v>
      </c>
      <c r="U3" s="18">
        <f ca="1">IF(ABS(K72)&lt;0.002,0.65,IF(ABS(K72)&gt;0.005,0.9,0.65+((ABS(K72)-0.002)*(250/3))))</f>
        <v>0.9</v>
      </c>
      <c r="V3" s="15"/>
      <c r="W3" s="29" t="s">
        <v>94</v>
      </c>
      <c r="X3" t="s">
        <v>79</v>
      </c>
      <c r="AA3" t="s">
        <v>109</v>
      </c>
      <c r="AT3" s="6">
        <f>G12</f>
        <v>360</v>
      </c>
      <c r="AU3" s="76">
        <f>SUM(AU6:AU13)/AT3</f>
        <v>8.4</v>
      </c>
      <c r="AV3" s="76">
        <f>SUM(AV6:AV13)/AT3</f>
        <v>13.8</v>
      </c>
      <c r="BC3">
        <v>0.17453292519943295</v>
      </c>
      <c r="BD3">
        <v>92.475996797671939</v>
      </c>
      <c r="BE3">
        <v>11.644388032932445</v>
      </c>
      <c r="BF3" s="6">
        <f t="shared" si="0"/>
        <v>0.12525872087044379</v>
      </c>
      <c r="BG3" s="6">
        <f t="shared" si="1"/>
        <v>4.9274204328989157E-2</v>
      </c>
      <c r="BH3" s="6">
        <f t="shared" ref="BH3:BH66" si="2">ATAN2(COS($U$13-BF3),SIN($U$13-BF3))</f>
        <v>-0.12525872087044379</v>
      </c>
      <c r="BI3" s="6">
        <f t="shared" ref="BI3:BI66" si="3">ABS(BH3)</f>
        <v>0.12525872087044379</v>
      </c>
      <c r="BJ3">
        <v>102.75110755296882</v>
      </c>
      <c r="BK3">
        <v>12.938208925480495</v>
      </c>
      <c r="BL3">
        <f t="shared" ref="BL3:BL14" si="4">SQRT(POWER(BD3,2)+POWER(BE3,2))</f>
        <v>93.206232390245944</v>
      </c>
      <c r="BM3">
        <f t="shared" ref="BM3:BM14" si="5">BD3/BL3</f>
        <v>0.9921653780670312</v>
      </c>
      <c r="BN3">
        <f t="shared" ref="BN3:BN14" si="6">BE3/BL3</f>
        <v>0.12493143145383735</v>
      </c>
      <c r="BO3">
        <f t="shared" ref="BO3:BO14" si="7">$AC$21-BM3</f>
        <v>7.8346219329687994E-3</v>
      </c>
      <c r="BP3">
        <f t="shared" ref="BP3:BP14" si="8">$AD$21-BN3</f>
        <v>-0.12493143145383735</v>
      </c>
      <c r="BQ3">
        <f t="shared" ref="BQ3:BQ14" si="9">SQRT(POWER(BO3,2)+POWER(BP3,2))</f>
        <v>0.12517685035955098</v>
      </c>
      <c r="BR3">
        <v>905.25162209724874</v>
      </c>
      <c r="BS3">
        <v>482.99451306967393</v>
      </c>
      <c r="BV3" s="36"/>
      <c r="BW3" s="20" t="s">
        <v>240</v>
      </c>
      <c r="CU3">
        <v>6.2831853071795862</v>
      </c>
      <c r="CV3">
        <v>3.1415926535897931</v>
      </c>
      <c r="CW3">
        <v>4.7123889803846897</v>
      </c>
      <c r="CX3">
        <v>3.1136221101850858</v>
      </c>
      <c r="CY3">
        <v>-7.1356577097158747</v>
      </c>
      <c r="CZ3">
        <v>3.4650975068410172</v>
      </c>
      <c r="DC3" s="1" t="s">
        <v>212</v>
      </c>
      <c r="DD3" s="1" t="s">
        <v>213</v>
      </c>
      <c r="DE3" s="1" t="s">
        <v>139</v>
      </c>
      <c r="DF3" s="1" t="s">
        <v>138</v>
      </c>
      <c r="DG3" s="1" t="s">
        <v>137</v>
      </c>
      <c r="DH3" s="1" t="s">
        <v>214</v>
      </c>
      <c r="DK3">
        <v>0</v>
      </c>
      <c r="DL3">
        <v>0.34292498140964894</v>
      </c>
      <c r="DV3" s="9"/>
      <c r="DW3" s="9" t="str">
        <f t="shared" ref="DW3:DY5" si="10">Z14</f>
        <v>P</v>
      </c>
      <c r="DX3" s="9" t="str">
        <f t="shared" si="10"/>
        <v>Mx</v>
      </c>
      <c r="DY3" s="9" t="str">
        <f t="shared" si="10"/>
        <v>My</v>
      </c>
    </row>
    <row r="4" spans="1:151" ht="16.5" thickBot="1" x14ac:dyDescent="0.3">
      <c r="A4" s="8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26" t="s">
        <v>75</v>
      </c>
      <c r="U4" s="10">
        <f ca="1">U3*IF(B1="PCA_Parabolic",B200,B75)</f>
        <v>8.2378903698554503E-11</v>
      </c>
      <c r="V4" s="16" t="s">
        <v>68</v>
      </c>
      <c r="W4" s="81">
        <f ca="1">U4-U10</f>
        <v>8.2378903698554503E-11</v>
      </c>
      <c r="X4" cm="1">
        <f t="array" ref="X4">MAX(ABS(E3:F11))+10</f>
        <v>34</v>
      </c>
      <c r="Y4">
        <f>X4</f>
        <v>34</v>
      </c>
      <c r="AA4" t="s">
        <v>8</v>
      </c>
      <c r="AB4" t="s">
        <v>9</v>
      </c>
      <c r="AU4" s="77" t="s">
        <v>263</v>
      </c>
      <c r="AV4" s="77" t="s">
        <v>264</v>
      </c>
      <c r="BC4">
        <v>0.3490658503988659</v>
      </c>
      <c r="BD4">
        <v>90.214078452530131</v>
      </c>
      <c r="BE4">
        <v>21.896499222495777</v>
      </c>
      <c r="BF4" s="6">
        <f t="shared" si="0"/>
        <v>0.23811250780826249</v>
      </c>
      <c r="BG4" s="6">
        <f t="shared" si="1"/>
        <v>0.11095334259060341</v>
      </c>
      <c r="BH4" s="6">
        <f t="shared" si="2"/>
        <v>-0.23811250780826249</v>
      </c>
      <c r="BI4" s="6">
        <f t="shared" si="3"/>
        <v>0.23811250780826249</v>
      </c>
      <c r="BJ4">
        <v>100.2378649472557</v>
      </c>
      <c r="BK4">
        <v>24.329443580550862</v>
      </c>
      <c r="BL4">
        <f t="shared" si="4"/>
        <v>92.833381007264947</v>
      </c>
      <c r="BM4">
        <f t="shared" si="5"/>
        <v>0.97178490618013968</v>
      </c>
      <c r="BN4">
        <f t="shared" si="6"/>
        <v>0.23586881124993392</v>
      </c>
      <c r="BO4">
        <f t="shared" si="7"/>
        <v>2.8215093819860315E-2</v>
      </c>
      <c r="BP4">
        <f t="shared" si="8"/>
        <v>-0.23586881124993392</v>
      </c>
      <c r="BQ4">
        <f t="shared" si="9"/>
        <v>0.23755038968547382</v>
      </c>
      <c r="BR4">
        <v>848.88303354278503</v>
      </c>
      <c r="BS4">
        <v>569.44627535587335</v>
      </c>
      <c r="BV4" s="36"/>
      <c r="BW4" s="1" t="s">
        <v>99</v>
      </c>
      <c r="BX4" s="1" t="s">
        <v>100</v>
      </c>
      <c r="BY4" s="1" t="s">
        <v>201</v>
      </c>
      <c r="BZ4" s="1" t="s">
        <v>147</v>
      </c>
      <c r="CA4" s="1" t="s">
        <v>148</v>
      </c>
      <c r="CB4" s="1" t="s">
        <v>225</v>
      </c>
      <c r="CD4" s="1" t="s">
        <v>228</v>
      </c>
      <c r="CE4" s="1" t="s">
        <v>232</v>
      </c>
      <c r="CF4" s="1" t="s">
        <v>233</v>
      </c>
      <c r="CG4" s="1" t="s">
        <v>225</v>
      </c>
      <c r="CH4" s="1"/>
      <c r="CI4" s="1"/>
      <c r="CK4" s="1" t="s">
        <v>225</v>
      </c>
      <c r="CU4">
        <v>4.7123889803846897</v>
      </c>
      <c r="CV4">
        <v>3.1415926535897931</v>
      </c>
      <c r="CW4">
        <v>3.9269908169872414</v>
      </c>
      <c r="CX4">
        <v>3.4650975068410172</v>
      </c>
      <c r="CY4">
        <v>-7.1356577097158747</v>
      </c>
      <c r="CZ4">
        <v>-6.2843159266051227</v>
      </c>
      <c r="DE4">
        <v>5.940260325769791</v>
      </c>
      <c r="DF4">
        <v>1</v>
      </c>
      <c r="DG4">
        <v>0.34292498140979549</v>
      </c>
      <c r="DH4">
        <v>-5.940260325769791</v>
      </c>
      <c r="DK4">
        <v>0</v>
      </c>
      <c r="DL4">
        <v>0.34292498140964894</v>
      </c>
      <c r="DM4">
        <v>1.0000000000000001E-5</v>
      </c>
      <c r="DN4">
        <v>0.34289781503736388</v>
      </c>
      <c r="DO4">
        <v>-1.0000000000000001E-5</v>
      </c>
      <c r="DP4">
        <v>0.34294233182391692</v>
      </c>
      <c r="DQ4">
        <v>-2.2258393276519683</v>
      </c>
      <c r="DR4">
        <v>0.1540654696632571</v>
      </c>
      <c r="DV4" s="9" t="str">
        <f>Y15</f>
        <v>Max</v>
      </c>
      <c r="DW4" s="9">
        <f t="shared" ca="1" si="10"/>
        <v>1082.1947500000001</v>
      </c>
      <c r="DX4" s="9">
        <f t="shared" ca="1" si="10"/>
        <v>108.95137500000003</v>
      </c>
      <c r="DY4" s="9">
        <f t="shared" ca="1" si="10"/>
        <v>-198.89999999999998</v>
      </c>
      <c r="DZ4" s="9"/>
      <c r="EA4" t="s">
        <v>202</v>
      </c>
      <c r="EB4" s="9">
        <f>U10</f>
        <v>0</v>
      </c>
      <c r="EC4" s="9">
        <f>U11</f>
        <v>30</v>
      </c>
      <c r="ED4" s="9">
        <f>U12</f>
        <v>0</v>
      </c>
      <c r="EF4">
        <f>ATAN2(EC4,ED4)</f>
        <v>0</v>
      </c>
      <c r="EG4" s="9">
        <f>SQRT(POWER(EB4,2)+POWER(EC4,2)+POWER(ED4,2))</f>
        <v>30</v>
      </c>
      <c r="EH4">
        <f>EB4/EG4</f>
        <v>0</v>
      </c>
      <c r="EI4">
        <f>EC4/EG4</f>
        <v>1</v>
      </c>
      <c r="EJ4">
        <f>ED4/EG4</f>
        <v>0</v>
      </c>
      <c r="EK4">
        <v>0</v>
      </c>
    </row>
    <row r="5" spans="1:151" x14ac:dyDescent="0.25">
      <c r="A5" s="8" t="s">
        <v>5</v>
      </c>
      <c r="B5" s="42">
        <v>12</v>
      </c>
      <c r="C5" t="s">
        <v>4</v>
      </c>
      <c r="E5" s="5">
        <f>E4</f>
        <v>12</v>
      </c>
      <c r="F5">
        <f>(B8-B9)</f>
        <v>18</v>
      </c>
      <c r="G5">
        <f t="shared" ref="G5:G11" si="11">((E4*F5)-(E5*F4))*0.5</f>
        <v>108</v>
      </c>
      <c r="T5" s="26" t="s">
        <v>77</v>
      </c>
      <c r="U5" s="10">
        <f ca="1">U3*IF(B1="PCA_Parabolic",B204*(1/12),B79*(1/12))</f>
        <v>175.6286060948942</v>
      </c>
      <c r="V5" s="16" t="s">
        <v>70</v>
      </c>
      <c r="W5" s="73" t="str">
        <f>IF(U11=0,U5,"")</f>
        <v/>
      </c>
      <c r="X5">
        <f>X4</f>
        <v>34</v>
      </c>
      <c r="Y5">
        <f>X5</f>
        <v>34</v>
      </c>
      <c r="AA5">
        <v>0</v>
      </c>
      <c r="AB5">
        <v>0</v>
      </c>
      <c r="AU5" s="78"/>
      <c r="AV5" s="78"/>
      <c r="BC5">
        <v>0.52359877559829882</v>
      </c>
      <c r="BD5">
        <v>87.556528450664757</v>
      </c>
      <c r="BE5">
        <v>29.020179936277522</v>
      </c>
      <c r="BF5" s="6">
        <f t="shared" si="0"/>
        <v>0.32005015821264582</v>
      </c>
      <c r="BG5" s="6">
        <f t="shared" si="1"/>
        <v>0.203548617385653</v>
      </c>
      <c r="BH5" s="6">
        <f t="shared" si="2"/>
        <v>-0.32005015821264582</v>
      </c>
      <c r="BI5" s="6">
        <f t="shared" si="3"/>
        <v>0.32005015821264582</v>
      </c>
      <c r="BJ5">
        <v>97.285031611849732</v>
      </c>
      <c r="BK5">
        <v>32.244644373641691</v>
      </c>
      <c r="BL5">
        <f t="shared" si="4"/>
        <v>92.240536196761084</v>
      </c>
      <c r="BM5">
        <f t="shared" si="5"/>
        <v>0.9492196387919436</v>
      </c>
      <c r="BN5">
        <f t="shared" si="6"/>
        <v>0.31461417217234833</v>
      </c>
      <c r="BO5">
        <f t="shared" si="7"/>
        <v>5.0780361208056402E-2</v>
      </c>
      <c r="BP5">
        <f t="shared" si="8"/>
        <v>-0.31461417217234833</v>
      </c>
      <c r="BQ5">
        <f t="shared" si="9"/>
        <v>0.31868593068429096</v>
      </c>
      <c r="BR5">
        <v>769.23737992751433</v>
      </c>
      <c r="BS5">
        <v>683.56344217005585</v>
      </c>
      <c r="BU5" s="6"/>
      <c r="BV5" s="71" t="s">
        <v>236</v>
      </c>
      <c r="BW5">
        <f ca="1">IF(BW3="parametric",B132,BD365)</f>
        <v>65.220682514826848</v>
      </c>
      <c r="BX5">
        <f ca="1">IF(BW3="parametric",B133,BE365)</f>
        <v>-21.430285361287321</v>
      </c>
      <c r="BY5">
        <f ca="1">SQRT(POWER(BW5,2)+POWER(BX5,2))</f>
        <v>68.65125314490659</v>
      </c>
      <c r="BZ5">
        <f ca="1">BW5/BY5</f>
        <v>0.95002901661767747</v>
      </c>
      <c r="CA5">
        <f ca="1">BX5/BY5</f>
        <v>-0.31216160491714617</v>
      </c>
      <c r="CB5">
        <f ca="1">ATAN2(BZ5,CA5)</f>
        <v>-0.31746748860278673</v>
      </c>
      <c r="CD5" s="1" t="s">
        <v>229</v>
      </c>
      <c r="CE5" s="6">
        <f ca="1">0-BW5</f>
        <v>-65.220682514826848</v>
      </c>
      <c r="CF5" s="6">
        <f ca="1">0-BX5</f>
        <v>21.430285361287321</v>
      </c>
      <c r="CG5">
        <f ca="1">ATAN2(CE5,CF5)</f>
        <v>2.8241251649870063</v>
      </c>
      <c r="CH5" s="1"/>
      <c r="CI5" s="6"/>
      <c r="CJ5" s="6"/>
      <c r="CU5">
        <v>4.7123889803846897</v>
      </c>
      <c r="CV5">
        <v>3.9269908169872414</v>
      </c>
      <c r="CW5">
        <v>4.3196898986859651</v>
      </c>
      <c r="CX5">
        <v>3.4650975068410172</v>
      </c>
      <c r="CY5">
        <v>-6.2843159266051227</v>
      </c>
      <c r="CZ5">
        <v>-4.6589657184174076</v>
      </c>
      <c r="DC5">
        <v>0</v>
      </c>
      <c r="DD5">
        <v>5.940260325769791</v>
      </c>
      <c r="DE5">
        <v>0.124954648433309</v>
      </c>
      <c r="DF5">
        <v>0.73293419832102946</v>
      </c>
      <c r="DG5">
        <v>0.25134144633384209</v>
      </c>
      <c r="DH5">
        <v>-0.124954648433309</v>
      </c>
      <c r="DK5">
        <v>0.1540654696632571</v>
      </c>
      <c r="DL5">
        <v>-1.1955625653721842E-2</v>
      </c>
      <c r="DM5">
        <v>0.15407546966325711</v>
      </c>
      <c r="DN5">
        <v>-1.1967362691450361E-2</v>
      </c>
      <c r="DO5">
        <v>0.15405546966325709</v>
      </c>
      <c r="DP5">
        <v>-1.1943887333520203E-2</v>
      </c>
      <c r="DQ5">
        <v>-1.1737678965078981</v>
      </c>
      <c r="DR5">
        <v>0.14387978841461219</v>
      </c>
      <c r="DV5" s="9" t="str">
        <f>Y16</f>
        <v>Min</v>
      </c>
      <c r="DW5" s="9">
        <f t="shared" ca="1" si="10"/>
        <v>-130.68</v>
      </c>
      <c r="DX5" s="9">
        <f t="shared" ca="1" si="10"/>
        <v>59.939999999999976</v>
      </c>
      <c r="DY5" s="9">
        <f t="shared" ca="1" si="10"/>
        <v>0</v>
      </c>
      <c r="DZ5" s="9"/>
      <c r="EA5" t="s">
        <v>203</v>
      </c>
      <c r="EB5" s="9">
        <f ca="1">U4</f>
        <v>8.2378903698554503E-11</v>
      </c>
      <c r="EC5" s="9">
        <f ca="1">U5</f>
        <v>175.6286060948942</v>
      </c>
      <c r="ED5" s="9">
        <f ca="1">U6</f>
        <v>-4.0046941762739151E-9</v>
      </c>
      <c r="EF5">
        <f ca="1">ATAN2(EC5,ED5)</f>
        <v>-2.2802060924574733E-11</v>
      </c>
      <c r="EG5" s="9">
        <f t="shared" ref="EG5:EG6" ca="1" si="12">SQRT(POWER(EB5,2)+POWER(EC5,2)+POWER(ED5,2))</f>
        <v>175.6286060948942</v>
      </c>
      <c r="EH5">
        <f t="shared" ref="EH5:EH6" ca="1" si="13">EB5/EG5</f>
        <v>4.6905174236846257E-13</v>
      </c>
      <c r="EI5">
        <f t="shared" ref="EI5:EI6" ca="1" si="14">EC5/EG5</f>
        <v>1</v>
      </c>
      <c r="EJ5">
        <f t="shared" ref="EJ5:EJ6" ca="1" si="15">ED5/EG5</f>
        <v>-2.2802060924574733E-11</v>
      </c>
      <c r="EK5">
        <v>0</v>
      </c>
    </row>
    <row r="6" spans="1:151" x14ac:dyDescent="0.25">
      <c r="A6" s="8" t="s">
        <v>91</v>
      </c>
      <c r="B6" s="42">
        <v>0</v>
      </c>
      <c r="C6" t="s">
        <v>4</v>
      </c>
      <c r="E6" s="5">
        <f>B7+B5</f>
        <v>24</v>
      </c>
      <c r="F6">
        <f>F5</f>
        <v>18</v>
      </c>
      <c r="G6">
        <f t="shared" si="11"/>
        <v>-108</v>
      </c>
      <c r="T6" s="26" t="s">
        <v>76</v>
      </c>
      <c r="U6" s="10">
        <f ca="1">U3*IF(B1="PCA_Parabolic",B205*(1/12),B80*(1/12))</f>
        <v>-4.0046941762739151E-9</v>
      </c>
      <c r="V6" s="16" t="s">
        <v>70</v>
      </c>
      <c r="W6" s="73">
        <f ca="1">IF(U12=0,U6,"")</f>
        <v>-4.0046941762739151E-9</v>
      </c>
      <c r="X6">
        <f>IF(B6=0,0,-1*X5)</f>
        <v>0</v>
      </c>
      <c r="Y6">
        <f>IF(B6=0,0,Y5)</f>
        <v>0</v>
      </c>
      <c r="AA6">
        <f>U14</f>
        <v>30</v>
      </c>
      <c r="AB6">
        <f>U10</f>
        <v>0</v>
      </c>
      <c r="AU6" s="6">
        <f>(E4+E3)*((E3*F4)-(E4*F3))*(1/6)</f>
        <v>0</v>
      </c>
      <c r="AV6" s="6">
        <f>(F4+F3)*((E3*F4)-(E4*F3))*(1/6)</f>
        <v>0</v>
      </c>
      <c r="BC6">
        <v>0.69813170079773179</v>
      </c>
      <c r="BD6">
        <v>84.615017543220134</v>
      </c>
      <c r="BE6">
        <v>34.610323741767751</v>
      </c>
      <c r="BF6" s="6">
        <f t="shared" si="0"/>
        <v>0.38826900146210203</v>
      </c>
      <c r="BG6" s="6">
        <f t="shared" si="1"/>
        <v>0.30986269933562977</v>
      </c>
      <c r="BH6" s="6">
        <f t="shared" si="2"/>
        <v>-0.38826900146210208</v>
      </c>
      <c r="BI6" s="6">
        <f t="shared" si="3"/>
        <v>0.38826900146210208</v>
      </c>
      <c r="BJ6">
        <v>94.016686159133485</v>
      </c>
      <c r="BK6">
        <v>38.455915268630832</v>
      </c>
      <c r="BL6">
        <f t="shared" si="4"/>
        <v>91.419777419054256</v>
      </c>
      <c r="BM6">
        <f t="shared" si="5"/>
        <v>0.92556577944133311</v>
      </c>
      <c r="BN6">
        <f t="shared" si="6"/>
        <v>0.37858683010263006</v>
      </c>
      <c r="BO6">
        <f t="shared" si="7"/>
        <v>7.4434220558666886E-2</v>
      </c>
      <c r="BP6">
        <f t="shared" si="8"/>
        <v>-0.37858683010263006</v>
      </c>
      <c r="BQ6">
        <f t="shared" si="9"/>
        <v>0.38583473290689363</v>
      </c>
      <c r="BR6">
        <v>633.42685678319208</v>
      </c>
      <c r="BS6">
        <v>805.97446873587671</v>
      </c>
      <c r="BV6" s="36" t="s">
        <v>226</v>
      </c>
      <c r="BW6" s="9">
        <f>U11</f>
        <v>30</v>
      </c>
      <c r="BX6" s="9">
        <f>U12</f>
        <v>0</v>
      </c>
      <c r="BY6">
        <f t="shared" ref="BY6:BY7" si="16">SQRT(POWER(BW6,2)+POWER(BX6,2))</f>
        <v>30</v>
      </c>
      <c r="BZ6">
        <f t="shared" ref="BZ6:BZ7" si="17">BW6/BY6</f>
        <v>1</v>
      </c>
      <c r="CA6">
        <f t="shared" ref="CA6:CA7" si="18">BX6/BY6</f>
        <v>0</v>
      </c>
      <c r="CB6">
        <f t="shared" ref="CB6:CB7" si="19">ATAN2(BZ6,CA6)</f>
        <v>0</v>
      </c>
      <c r="CD6" s="1" t="s">
        <v>230</v>
      </c>
      <c r="CE6" s="6">
        <f>BW6-0</f>
        <v>30</v>
      </c>
      <c r="CF6" s="6">
        <f>BX6-0</f>
        <v>0</v>
      </c>
      <c r="CG6">
        <f t="shared" ref="CG6:CG8" si="20">ATAN2(CE6,CF6)</f>
        <v>0</v>
      </c>
      <c r="CH6" s="1" t="s">
        <v>235</v>
      </c>
      <c r="CI6" s="6">
        <f ca="1">BW7</f>
        <v>175.6286060948942</v>
      </c>
      <c r="CJ6" s="6">
        <f ca="1">BX7</f>
        <v>-4.0046941762739151E-9</v>
      </c>
      <c r="CK6">
        <f ca="1">ATAN2(CI6,CJ6)</f>
        <v>-2.2802060924574733E-11</v>
      </c>
      <c r="CU6">
        <v>4.7123889803846897</v>
      </c>
      <c r="CV6">
        <v>4.3196898986859651</v>
      </c>
      <c r="CW6">
        <v>4.5160394395353274</v>
      </c>
      <c r="CX6">
        <v>3.4650975068410172</v>
      </c>
      <c r="CY6">
        <v>-4.6589657184174076</v>
      </c>
      <c r="CZ6">
        <v>-0.86028390041730685</v>
      </c>
      <c r="DC6">
        <v>0.34292498140979549</v>
      </c>
      <c r="DD6">
        <v>0.124954648433309</v>
      </c>
      <c r="DE6">
        <v>8.4943374325524956E-2</v>
      </c>
      <c r="DF6">
        <v>2.2889432320810843</v>
      </c>
      <c r="DG6">
        <v>5.6910884561301611E-2</v>
      </c>
      <c r="DH6">
        <v>-8.4943374325524956E-2</v>
      </c>
      <c r="DK6">
        <v>0.14387978841461219</v>
      </c>
      <c r="DL6">
        <v>7.0982680240330232E-4</v>
      </c>
      <c r="DM6">
        <v>0.1438897884146122</v>
      </c>
      <c r="DN6">
        <v>6.9664944277139174E-4</v>
      </c>
      <c r="DO6">
        <v>0.14386978841461218</v>
      </c>
      <c r="DP6">
        <v>7.2300571990371388E-4</v>
      </c>
      <c r="DQ6">
        <v>-1.3178138566161068</v>
      </c>
      <c r="DR6">
        <v>0.14441842807061489</v>
      </c>
      <c r="DZ6" s="9"/>
      <c r="EA6" t="s">
        <v>206</v>
      </c>
      <c r="EB6" s="9">
        <f ca="1">EB5</f>
        <v>8.2378903698554503E-11</v>
      </c>
      <c r="EC6" s="9">
        <f>EC4+5</f>
        <v>35</v>
      </c>
      <c r="ED6" s="9">
        <f>ED4+5</f>
        <v>5</v>
      </c>
      <c r="EF6">
        <f>ATAN2(EC6,ED6)</f>
        <v>0.14189705460416391</v>
      </c>
      <c r="EG6" s="9">
        <f t="shared" ca="1" si="12"/>
        <v>35.355339059327378</v>
      </c>
      <c r="EH6">
        <f t="shared" ca="1" si="13"/>
        <v>2.3300272572784579E-12</v>
      </c>
      <c r="EI6">
        <f t="shared" ca="1" si="14"/>
        <v>0.98994949366116647</v>
      </c>
      <c r="EJ6">
        <f t="shared" ca="1" si="15"/>
        <v>0.1414213562373095</v>
      </c>
      <c r="EK6">
        <v>0</v>
      </c>
    </row>
    <row r="7" spans="1:151" ht="15.75" thickBot="1" x14ac:dyDescent="0.3">
      <c r="A7" s="8" t="s">
        <v>90</v>
      </c>
      <c r="B7" s="42">
        <v>12</v>
      </c>
      <c r="C7" t="s">
        <v>4</v>
      </c>
      <c r="E7" s="5">
        <f>E6</f>
        <v>24</v>
      </c>
      <c r="F7">
        <f>B8</f>
        <v>24</v>
      </c>
      <c r="G7">
        <f t="shared" si="11"/>
        <v>72</v>
      </c>
      <c r="T7" s="27" t="s">
        <v>95</v>
      </c>
      <c r="U7" s="28">
        <f ca="1">IF(AND(U5=0,U6=0),0,MOD(ATAN2(U5,U6),2*PI()))</f>
        <v>6.283185307156784</v>
      </c>
      <c r="V7" s="17" t="s">
        <v>96</v>
      </c>
      <c r="W7" s="30">
        <f ca="1">IF((U13-U7)=0,0,ATAN2(COS(U13-U7),SIN(U13-U7)))</f>
        <v>2.2802449598652297E-11</v>
      </c>
      <c r="X7" s="36">
        <f ca="1">U7+2*PI()</f>
        <v>12.566370614336371</v>
      </c>
      <c r="AA7">
        <f ca="1">U8</f>
        <v>175.6286060948942</v>
      </c>
      <c r="AB7" s="9">
        <f ca="1">U4</f>
        <v>8.2378903698554503E-11</v>
      </c>
      <c r="AE7" s="47"/>
      <c r="AF7" s="47"/>
      <c r="AU7" s="6">
        <f t="shared" ref="AU7:AU12" si="21">(E5+E4)*((E4*F5)-(E5*F4))*(1/6)</f>
        <v>864</v>
      </c>
      <c r="AV7" s="6">
        <f t="shared" ref="AV7:AV13" si="22">(F5+F4)*((E4*F5)-(E5*F4))*(1/6)</f>
        <v>648</v>
      </c>
      <c r="BC7">
        <v>0.87266462599716477</v>
      </c>
      <c r="BD7">
        <v>75.590489699915508</v>
      </c>
      <c r="BE7">
        <v>41.556929886464637</v>
      </c>
      <c r="BF7" s="6">
        <f t="shared" si="0"/>
        <v>0.50266200190849697</v>
      </c>
      <c r="BG7" s="6">
        <f t="shared" si="1"/>
        <v>0.3700026240886678</v>
      </c>
      <c r="BH7" s="6">
        <f t="shared" si="2"/>
        <v>-0.50266200190849697</v>
      </c>
      <c r="BI7" s="6">
        <f t="shared" si="3"/>
        <v>0.50266200190849697</v>
      </c>
      <c r="BJ7">
        <v>83.989432999906114</v>
      </c>
      <c r="BK7">
        <v>46.17436654051626</v>
      </c>
      <c r="BL7">
        <f t="shared" si="4"/>
        <v>86.260654731236357</v>
      </c>
      <c r="BM7">
        <f t="shared" si="5"/>
        <v>0.87630322231420521</v>
      </c>
      <c r="BN7">
        <f t="shared" si="6"/>
        <v>0.48175996363514978</v>
      </c>
      <c r="BO7">
        <f t="shared" si="7"/>
        <v>0.12369677768579479</v>
      </c>
      <c r="BP7">
        <f t="shared" si="8"/>
        <v>-0.48175996363514978</v>
      </c>
      <c r="BQ7">
        <f t="shared" si="9"/>
        <v>0.49738672617148699</v>
      </c>
      <c r="BR7">
        <v>429.64682231078302</v>
      </c>
      <c r="BS7">
        <v>875.66267134696602</v>
      </c>
      <c r="BV7" s="36" t="s">
        <v>227</v>
      </c>
      <c r="BW7" s="9">
        <f ca="1">U5</f>
        <v>175.6286060948942</v>
      </c>
      <c r="BX7" s="9">
        <f ca="1">U6</f>
        <v>-4.0046941762739151E-9</v>
      </c>
      <c r="BY7">
        <f t="shared" ca="1" si="16"/>
        <v>175.6286060948942</v>
      </c>
      <c r="BZ7">
        <f t="shared" ca="1" si="17"/>
        <v>1</v>
      </c>
      <c r="CA7">
        <f t="shared" ca="1" si="18"/>
        <v>-2.2802060924574733E-11</v>
      </c>
      <c r="CB7">
        <f t="shared" ca="1" si="19"/>
        <v>-2.2802060924574733E-11</v>
      </c>
      <c r="CD7" s="1" t="s">
        <v>231</v>
      </c>
      <c r="CE7" s="6">
        <f ca="1">BW6-BW5</f>
        <v>-35.220682514826848</v>
      </c>
      <c r="CF7" s="6">
        <f ca="1">BX6-BX5</f>
        <v>21.430285361287321</v>
      </c>
      <c r="CG7">
        <f t="shared" ca="1" si="20"/>
        <v>2.5949776636593898</v>
      </c>
      <c r="CH7" s="1" t="s">
        <v>234</v>
      </c>
      <c r="CI7" s="6">
        <f ca="1">BW7-BW5</f>
        <v>110.40792358006735</v>
      </c>
      <c r="CJ7" s="6">
        <f ca="1">BX7-BX5</f>
        <v>21.430285357282628</v>
      </c>
      <c r="CK7">
        <f t="shared" ref="CK7:CK10" ca="1" si="23">ATAN2(CI7,CJ7)</f>
        <v>0.19171703727616599</v>
      </c>
      <c r="CU7">
        <v>4.7123889803846897</v>
      </c>
      <c r="CV7">
        <v>4.5160394395353274</v>
      </c>
      <c r="CW7">
        <v>4.614214209960009</v>
      </c>
      <c r="CX7">
        <v>3.4650975068410172</v>
      </c>
      <c r="CY7">
        <v>-0.86028390041730685</v>
      </c>
      <c r="CZ7">
        <v>1.6943598307529917</v>
      </c>
      <c r="DC7">
        <v>0.25134144633384209</v>
      </c>
      <c r="DD7">
        <v>8.4943374325524956E-2</v>
      </c>
      <c r="DE7">
        <v>6.0918336804673929</v>
      </c>
      <c r="DF7">
        <v>0.70370640453968092</v>
      </c>
      <c r="DG7">
        <v>0.19156624979775852</v>
      </c>
      <c r="DH7">
        <v>0.19135162671219358</v>
      </c>
      <c r="DK7">
        <v>0.14441842807061489</v>
      </c>
      <c r="DL7">
        <v>2.251964407196886E-6</v>
      </c>
      <c r="DM7">
        <v>0.1444284280706149</v>
      </c>
      <c r="DN7">
        <v>-1.0841934471117747E-5</v>
      </c>
      <c r="DO7">
        <v>0.14440842807061488</v>
      </c>
      <c r="DP7">
        <v>1.534740470556873E-5</v>
      </c>
      <c r="DQ7">
        <v>-1.3094669588343237</v>
      </c>
      <c r="DR7">
        <v>0.14442014782718607</v>
      </c>
      <c r="DV7" t="s">
        <v>195</v>
      </c>
    </row>
    <row r="8" spans="1:151" ht="15.75" thickBot="1" x14ac:dyDescent="0.3">
      <c r="A8" s="8" t="s">
        <v>6</v>
      </c>
      <c r="B8" s="7">
        <v>24</v>
      </c>
      <c r="C8" t="s">
        <v>4</v>
      </c>
      <c r="E8" s="5">
        <f>E7-(B7+B6+B5)</f>
        <v>0</v>
      </c>
      <c r="F8">
        <f>F7</f>
        <v>24</v>
      </c>
      <c r="G8">
        <f t="shared" si="11"/>
        <v>288</v>
      </c>
      <c r="T8" s="34" t="s">
        <v>108</v>
      </c>
      <c r="U8" s="6">
        <f ca="1">SQRT(POWER(U5,2)+POWER(U6,2))</f>
        <v>175.6286060948942</v>
      </c>
      <c r="V8" s="38" t="s">
        <v>70</v>
      </c>
      <c r="W8" s="72" t="str">
        <f ca="1">IF((ABS(ABS(W7)-PI()))/10&lt;=L1,"ALT SOLUTION","")</f>
        <v/>
      </c>
      <c r="X8">
        <f ca="1">DEGREES(U7)</f>
        <v>359.99999999869351</v>
      </c>
      <c r="Y8" s="48">
        <f ca="1">DEGREES(W7)</f>
        <v>1.3064841245625545E-9</v>
      </c>
      <c r="AE8" s="6" t="s">
        <v>8</v>
      </c>
      <c r="AF8" s="6" t="s">
        <v>9</v>
      </c>
      <c r="AU8" s="6">
        <f t="shared" si="21"/>
        <v>-1296</v>
      </c>
      <c r="AV8" s="6">
        <f t="shared" si="22"/>
        <v>-1296</v>
      </c>
      <c r="BC8">
        <v>1.0471975511965976</v>
      </c>
      <c r="BD8">
        <v>65.439906169908753</v>
      </c>
      <c r="BE8">
        <v>47.656544768751246</v>
      </c>
      <c r="BF8" s="6">
        <f t="shared" si="0"/>
        <v>0.62943451049818766</v>
      </c>
      <c r="BG8" s="6">
        <f t="shared" si="1"/>
        <v>0.41776304069840997</v>
      </c>
      <c r="BH8" s="6">
        <f t="shared" si="2"/>
        <v>-0.62943451049818766</v>
      </c>
      <c r="BI8" s="6">
        <f t="shared" si="3"/>
        <v>0.62943451049818766</v>
      </c>
      <c r="BJ8">
        <v>72.711006855454173</v>
      </c>
      <c r="BK8">
        <v>52.951716409723602</v>
      </c>
      <c r="BL8">
        <f t="shared" si="4"/>
        <v>80.953860802450023</v>
      </c>
      <c r="BM8">
        <f t="shared" si="5"/>
        <v>0.80836053427520105</v>
      </c>
      <c r="BN8">
        <f t="shared" si="6"/>
        <v>0.58868773269562147</v>
      </c>
      <c r="BO8">
        <f t="shared" si="7"/>
        <v>0.19163946572479895</v>
      </c>
      <c r="BP8">
        <f t="shared" si="8"/>
        <v>-0.58868773269562147</v>
      </c>
      <c r="BQ8">
        <f t="shared" si="9"/>
        <v>0.61909525232358054</v>
      </c>
      <c r="BR8">
        <v>190.09034368240455</v>
      </c>
      <c r="BS8">
        <v>887.09981640977003</v>
      </c>
      <c r="BV8" s="36"/>
      <c r="BW8" s="1"/>
      <c r="BX8" s="1"/>
      <c r="BY8" s="1"/>
      <c r="BZ8" s="1"/>
      <c r="CA8" s="1"/>
      <c r="CB8" s="1"/>
      <c r="CC8" s="1"/>
      <c r="CD8" s="1" t="str">
        <f>"GU-G0"</f>
        <v>GU-G0</v>
      </c>
      <c r="CE8" s="6">
        <f ca="1">CE7-CE5</f>
        <v>30</v>
      </c>
      <c r="CF8" s="6">
        <f ca="1">CF7-CF5</f>
        <v>0</v>
      </c>
      <c r="CG8">
        <f t="shared" ca="1" si="20"/>
        <v>0</v>
      </c>
      <c r="CH8" s="1" t="s">
        <v>237</v>
      </c>
      <c r="CI8" s="6">
        <f ca="1">CI7-CE7</f>
        <v>145.6286060948942</v>
      </c>
      <c r="CJ8" s="6">
        <f ca="1">CJ7-CF7</f>
        <v>-4.0046934657311795E-9</v>
      </c>
      <c r="CK8">
        <f t="shared" ca="1" si="23"/>
        <v>-2.7499360002949213E-11</v>
      </c>
      <c r="CL8" s="6">
        <f ca="1">ATAN2(COS($CG$8-CK8),SIN($CG$8-CK8))</f>
        <v>2.7499360002949213E-11</v>
      </c>
      <c r="CN8" s="1"/>
      <c r="CO8" s="1"/>
      <c r="CP8" s="1"/>
      <c r="CQ8" s="1"/>
      <c r="CU8">
        <v>4.614214209960009</v>
      </c>
      <c r="CV8">
        <v>4.5160394395353274</v>
      </c>
      <c r="CW8">
        <v>4.5651268247476686</v>
      </c>
      <c r="CX8">
        <v>1.6943598307529917</v>
      </c>
      <c r="CY8">
        <v>-0.86028390041730685</v>
      </c>
      <c r="CZ8">
        <v>0.43404450665000432</v>
      </c>
      <c r="DC8">
        <v>5.6910884561301611E-2</v>
      </c>
      <c r="DD8">
        <v>6.0918336804673929</v>
      </c>
      <c r="DE8">
        <v>4.8646083205805331E-2</v>
      </c>
      <c r="DF8">
        <v>0.56106937554722958</v>
      </c>
      <c r="DG8">
        <v>0.16427242227065875</v>
      </c>
      <c r="DH8">
        <v>-4.8646083205805331E-2</v>
      </c>
      <c r="DK8">
        <v>0.14442014782718607</v>
      </c>
      <c r="DL8">
        <v>2.2802449598652297E-11</v>
      </c>
      <c r="DW8" s="9">
        <f ca="1">DW5</f>
        <v>-130.68</v>
      </c>
      <c r="DX8" s="9">
        <f ca="1">DX5</f>
        <v>59.939999999999976</v>
      </c>
      <c r="DY8" s="9">
        <f ca="1">DY5</f>
        <v>0</v>
      </c>
    </row>
    <row r="9" spans="1:151" x14ac:dyDescent="0.25">
      <c r="A9" s="8" t="s">
        <v>7</v>
      </c>
      <c r="B9" s="7">
        <v>6</v>
      </c>
      <c r="C9" t="s">
        <v>4</v>
      </c>
      <c r="E9" s="5">
        <f>E8</f>
        <v>0</v>
      </c>
      <c r="F9">
        <f>F6</f>
        <v>18</v>
      </c>
      <c r="G9">
        <f t="shared" si="11"/>
        <v>0</v>
      </c>
      <c r="T9" s="32" t="s">
        <v>97</v>
      </c>
      <c r="U9" s="33"/>
      <c r="V9" s="15"/>
      <c r="Y9" s="36"/>
      <c r="AA9" s="9">
        <f ca="1">U5-U11</f>
        <v>145.6286060948942</v>
      </c>
      <c r="AB9" s="9">
        <f ca="1">U6-U12</f>
        <v>-4.0046941762739151E-9</v>
      </c>
      <c r="AC9" s="9">
        <f ca="1">AA9+AB9</f>
        <v>145.62860609088949</v>
      </c>
      <c r="AE9" s="6">
        <v>0</v>
      </c>
      <c r="AF9" s="6">
        <v>0</v>
      </c>
      <c r="AU9" s="6">
        <f t="shared" si="21"/>
        <v>1152</v>
      </c>
      <c r="AV9" s="6">
        <f t="shared" si="22"/>
        <v>1008</v>
      </c>
      <c r="BC9">
        <v>1.2217304763960306</v>
      </c>
      <c r="BD9">
        <v>55.961171241407527</v>
      </c>
      <c r="BE9">
        <v>50.336035707518782</v>
      </c>
      <c r="BF9" s="6">
        <f t="shared" si="0"/>
        <v>0.73252853871758927</v>
      </c>
      <c r="BG9" s="6">
        <f t="shared" si="1"/>
        <v>0.48920193767844133</v>
      </c>
      <c r="BH9" s="6">
        <f t="shared" si="2"/>
        <v>-0.73252853871758927</v>
      </c>
      <c r="BI9" s="6">
        <f t="shared" si="3"/>
        <v>0.73252853871758927</v>
      </c>
      <c r="BJ9">
        <v>62.179079157119475</v>
      </c>
      <c r="BK9">
        <v>55.928928563909757</v>
      </c>
      <c r="BL9">
        <f t="shared" si="4"/>
        <v>75.268646709361946</v>
      </c>
      <c r="BM9">
        <f t="shared" si="5"/>
        <v>0.74348581631197386</v>
      </c>
      <c r="BN9">
        <f t="shared" si="6"/>
        <v>0.668751703506554</v>
      </c>
      <c r="BO9">
        <f t="shared" si="7"/>
        <v>0.25651418368802614</v>
      </c>
      <c r="BP9">
        <f t="shared" si="8"/>
        <v>-0.668751703506554</v>
      </c>
      <c r="BQ9">
        <f t="shared" si="9"/>
        <v>0.71625998588225792</v>
      </c>
      <c r="BR9">
        <v>-53.678328876503826</v>
      </c>
      <c r="BS9">
        <v>825.80577167791569</v>
      </c>
      <c r="BV9" s="36"/>
      <c r="BW9" s="6"/>
      <c r="BX9" s="6"/>
      <c r="BY9" s="1"/>
      <c r="CD9" s="6"/>
      <c r="CF9" s="9"/>
      <c r="CH9" s="1" t="s">
        <v>238</v>
      </c>
      <c r="CI9" s="6">
        <f ca="1">BW7-BW6</f>
        <v>145.6286060948942</v>
      </c>
      <c r="CJ9" s="6">
        <f ca="1">BX7-BX6</f>
        <v>-4.0046941762739151E-9</v>
      </c>
      <c r="CK9">
        <f t="shared" ca="1" si="23"/>
        <v>-2.7499364882091812E-11</v>
      </c>
      <c r="CL9" s="1"/>
      <c r="CM9" s="9"/>
      <c r="CR9" s="36"/>
      <c r="CU9">
        <v>4.5651268247476686</v>
      </c>
      <c r="CV9">
        <v>4.5160394395353274</v>
      </c>
      <c r="CW9">
        <v>4.5405831321414976</v>
      </c>
      <c r="CX9">
        <v>0.43404450665000432</v>
      </c>
      <c r="CY9">
        <v>-0.86028390041730685</v>
      </c>
      <c r="CZ9">
        <v>-0.22750721004394678</v>
      </c>
      <c r="DC9">
        <v>0.19156624979775852</v>
      </c>
      <c r="DD9">
        <v>4.8646083205805331E-2</v>
      </c>
      <c r="DE9">
        <v>2.3307680498590399E-2</v>
      </c>
      <c r="DF9">
        <v>1.0771723791148069</v>
      </c>
      <c r="DG9">
        <v>0.13916603261634433</v>
      </c>
      <c r="DH9">
        <v>-2.3307680498590399E-2</v>
      </c>
      <c r="DW9" s="9" t="s">
        <v>199</v>
      </c>
      <c r="DX9" s="9" t="s">
        <v>8</v>
      </c>
      <c r="DY9" s="9" t="s">
        <v>9</v>
      </c>
      <c r="DZ9" s="9" t="s">
        <v>201</v>
      </c>
    </row>
    <row r="10" spans="1:151" x14ac:dyDescent="0.25">
      <c r="E10">
        <v>0</v>
      </c>
      <c r="F10">
        <f>F9</f>
        <v>18</v>
      </c>
      <c r="G10">
        <f t="shared" si="11"/>
        <v>0</v>
      </c>
      <c r="T10" s="34" t="s">
        <v>98</v>
      </c>
      <c r="U10" s="45">
        <v>0</v>
      </c>
      <c r="V10" s="16" t="s">
        <v>68</v>
      </c>
      <c r="W10" t="str">
        <f>"+ Compression"</f>
        <v>+ Compression</v>
      </c>
      <c r="AE10" s="6">
        <f>U11</f>
        <v>30</v>
      </c>
      <c r="AF10" s="6">
        <f>U12</f>
        <v>0</v>
      </c>
      <c r="AU10" s="6">
        <f t="shared" si="21"/>
        <v>2304</v>
      </c>
      <c r="AV10" s="6">
        <f t="shared" si="22"/>
        <v>4608</v>
      </c>
      <c r="BC10">
        <v>1.3962634015954636</v>
      </c>
      <c r="BD10">
        <v>41.982468811323756</v>
      </c>
      <c r="BE10">
        <v>52.881333501215487</v>
      </c>
      <c r="BF10" s="6">
        <f t="shared" si="0"/>
        <v>0.89978623381695388</v>
      </c>
      <c r="BG10" s="6">
        <f t="shared" si="1"/>
        <v>0.4964771677785097</v>
      </c>
      <c r="BH10" s="6">
        <f t="shared" si="2"/>
        <v>-0.89978623381695388</v>
      </c>
      <c r="BI10" s="6">
        <f t="shared" si="3"/>
        <v>0.89978623381695388</v>
      </c>
      <c r="BJ10">
        <v>46.647187568137504</v>
      </c>
      <c r="BK10">
        <v>58.757037223572759</v>
      </c>
      <c r="BL10">
        <f t="shared" si="4"/>
        <v>67.520094196917029</v>
      </c>
      <c r="BM10">
        <f t="shared" si="5"/>
        <v>0.62177740287039884</v>
      </c>
      <c r="BN10">
        <f t="shared" si="6"/>
        <v>0.78319401254078891</v>
      </c>
      <c r="BO10">
        <f t="shared" si="7"/>
        <v>0.37822259712960116</v>
      </c>
      <c r="BP10">
        <f t="shared" si="8"/>
        <v>-0.78319401254078891</v>
      </c>
      <c r="BQ10">
        <f t="shared" si="9"/>
        <v>0.86973857811367783</v>
      </c>
      <c r="BR10">
        <v>-296.51493993589565</v>
      </c>
      <c r="BS10">
        <v>732.77240725661125</v>
      </c>
      <c r="BU10" s="9"/>
      <c r="BV10" s="36"/>
      <c r="BW10" s="9"/>
      <c r="BX10" s="6"/>
      <c r="BY10" s="1"/>
      <c r="CD10" s="1"/>
      <c r="CE10" s="1"/>
      <c r="CH10" s="37" t="s">
        <v>239</v>
      </c>
      <c r="CI10" s="6">
        <f ca="1">CI7-CE5</f>
        <v>175.6286060948942</v>
      </c>
      <c r="CJ10" s="6">
        <f ca="1">CJ7-CF5</f>
        <v>-4.0046934657311795E-9</v>
      </c>
      <c r="CK10">
        <f t="shared" ca="1" si="23"/>
        <v>-2.2802056878862869E-11</v>
      </c>
      <c r="CL10" s="1"/>
      <c r="CU10">
        <v>4.5651268247476686</v>
      </c>
      <c r="CV10">
        <v>4.5405831321414976</v>
      </c>
      <c r="CW10">
        <v>4.5528549784445831</v>
      </c>
      <c r="CX10">
        <v>0.43404450665000432</v>
      </c>
      <c r="CY10">
        <v>-0.22750721004394678</v>
      </c>
      <c r="CZ10">
        <v>0.10402218430631383</v>
      </c>
      <c r="DC10">
        <v>0.16427242227065875</v>
      </c>
      <c r="DD10">
        <v>2.3307680498590399E-2</v>
      </c>
      <c r="DE10">
        <v>6.2760850118724898</v>
      </c>
      <c r="DF10">
        <v>0.82565146114127563</v>
      </c>
      <c r="DG10">
        <v>0.14502840181118326</v>
      </c>
      <c r="DH10">
        <v>7.1002953070966835E-3</v>
      </c>
      <c r="DV10" t="s">
        <v>192</v>
      </c>
      <c r="DW10" s="9">
        <f ca="1">DW4-$DW$8</f>
        <v>1212.8747500000002</v>
      </c>
      <c r="DX10" s="9">
        <f ca="1">DX4-$DX$8</f>
        <v>49.011375000000051</v>
      </c>
      <c r="DY10" s="9">
        <f ca="1">DY4-$DY$8</f>
        <v>-198.89999999999998</v>
      </c>
      <c r="DZ10" s="9">
        <v>0</v>
      </c>
      <c r="EB10" s="9">
        <f ca="1">EB4-$DW$8</f>
        <v>130.68</v>
      </c>
      <c r="EC10" s="9">
        <f ca="1">EC4-$DX$8</f>
        <v>-29.939999999999976</v>
      </c>
      <c r="ED10" s="9">
        <f ca="1">ED4-$DY$8</f>
        <v>0</v>
      </c>
      <c r="EE10" s="9">
        <v>0</v>
      </c>
      <c r="EF10">
        <f ca="1">ATAN2(EC10,ED10)</f>
        <v>3.1415926535897931</v>
      </c>
      <c r="EG10" s="9">
        <f ca="1">SQRT(POWER(EB10,2)+POWER(EC10,2)+POWER(ED10,2))</f>
        <v>134.06590170509429</v>
      </c>
      <c r="EH10">
        <f ca="1">EB10/EG10</f>
        <v>0.97474449757894233</v>
      </c>
      <c r="EI10">
        <f ca="1">EC10/EG10</f>
        <v>-0.22332300472538652</v>
      </c>
      <c r="EJ10">
        <f ca="1">ED10/EG10</f>
        <v>0</v>
      </c>
      <c r="EK10">
        <v>0</v>
      </c>
    </row>
    <row r="11" spans="1:151" x14ac:dyDescent="0.25">
      <c r="A11" t="s">
        <v>10</v>
      </c>
      <c r="E11">
        <v>0</v>
      </c>
      <c r="F11">
        <v>0</v>
      </c>
      <c r="G11">
        <f t="shared" si="11"/>
        <v>0</v>
      </c>
      <c r="T11" s="34" t="s">
        <v>99</v>
      </c>
      <c r="U11" s="45">
        <v>30</v>
      </c>
      <c r="V11" s="16" t="s">
        <v>70</v>
      </c>
      <c r="W11" t="str">
        <f>"+ Puts Top of Section in Compression"</f>
        <v>+ Puts Top of Section in Compression</v>
      </c>
      <c r="AE11" s="6">
        <f ca="1">U5</f>
        <v>175.6286060948942</v>
      </c>
      <c r="AF11" s="6">
        <f ca="1">U6</f>
        <v>-4.0046941762739151E-9</v>
      </c>
      <c r="AU11" s="6">
        <f t="shared" si="21"/>
        <v>0</v>
      </c>
      <c r="AV11" s="6">
        <f t="shared" si="22"/>
        <v>0</v>
      </c>
      <c r="BC11">
        <v>1.5707963267948966</v>
      </c>
      <c r="BD11">
        <v>20.780847961822925</v>
      </c>
      <c r="BE11">
        <v>53.98361978485449</v>
      </c>
      <c r="BF11" s="6">
        <f t="shared" si="0"/>
        <v>1.2033333939460684</v>
      </c>
      <c r="BG11" s="6">
        <f t="shared" si="1"/>
        <v>0.36746293284882814</v>
      </c>
      <c r="BH11" s="6">
        <f t="shared" si="2"/>
        <v>-1.2033333939460684</v>
      </c>
      <c r="BI11" s="6">
        <f t="shared" si="3"/>
        <v>1.2033333939460684</v>
      </c>
      <c r="BJ11">
        <v>23.089831068692138</v>
      </c>
      <c r="BK11">
        <v>59.981799760949428</v>
      </c>
      <c r="BL11">
        <f t="shared" si="4"/>
        <v>57.845266419026309</v>
      </c>
      <c r="BM11">
        <f t="shared" si="5"/>
        <v>0.35924889361366558</v>
      </c>
      <c r="BN11">
        <f t="shared" si="6"/>
        <v>0.93324178669697233</v>
      </c>
      <c r="BO11">
        <f t="shared" si="7"/>
        <v>0.64075110638633448</v>
      </c>
      <c r="BP11">
        <f t="shared" si="8"/>
        <v>-0.93324178669697233</v>
      </c>
      <c r="BQ11">
        <f t="shared" si="9"/>
        <v>1.1320345457505565</v>
      </c>
      <c r="BR11">
        <v>-462.9921749245562</v>
      </c>
      <c r="BS11">
        <v>623.8075504465686</v>
      </c>
      <c r="BV11" s="36"/>
      <c r="BW11" s="6"/>
      <c r="BX11" s="1"/>
      <c r="BY11" s="1"/>
      <c r="CC11" s="1"/>
      <c r="CD11" s="1"/>
      <c r="CE11" s="1"/>
      <c r="CF11" s="9"/>
      <c r="CH11" s="37"/>
      <c r="CI11" s="1"/>
      <c r="CK11" s="37">
        <f ca="1">ATAN2(COS(CK9-CK10),SIN(CK9-CK10))*10</f>
        <v>-4.6973080032289423E-11</v>
      </c>
      <c r="CL11" s="1"/>
      <c r="CM11" s="36"/>
      <c r="CU11">
        <v>4.5528549784445831</v>
      </c>
      <c r="CV11">
        <v>4.5405831321414976</v>
      </c>
      <c r="CW11">
        <v>4.5467190552930408</v>
      </c>
      <c r="CX11">
        <v>0.10402218430631383</v>
      </c>
      <c r="CY11">
        <v>-0.22750721004394678</v>
      </c>
      <c r="CZ11">
        <v>-6.1694203044357902E-2</v>
      </c>
      <c r="DC11">
        <v>0.13916603261634433</v>
      </c>
      <c r="DD11">
        <v>6.2760850118724898</v>
      </c>
      <c r="DE11">
        <v>7.9363234589412981E-4</v>
      </c>
      <c r="DF11">
        <v>0.74264288356103025</v>
      </c>
      <c r="DG11">
        <v>0.14443901639734114</v>
      </c>
      <c r="DH11">
        <v>-7.9363234589412981E-4</v>
      </c>
      <c r="DV11" t="s">
        <v>193</v>
      </c>
      <c r="DW11" s="9">
        <f ca="1">DW5-$DW$8</f>
        <v>0</v>
      </c>
      <c r="DX11" s="9">
        <f ca="1">DX5-$DX$8</f>
        <v>0</v>
      </c>
      <c r="DY11" s="9">
        <f ca="1">DY5-$DY$8</f>
        <v>0</v>
      </c>
      <c r="DZ11" s="9">
        <v>0</v>
      </c>
      <c r="EB11" s="9">
        <f ca="1">EB5-$DW$8</f>
        <v>130.68000000008237</v>
      </c>
      <c r="EC11" s="9">
        <f ca="1">EC5-$DX$8</f>
        <v>115.68860609489423</v>
      </c>
      <c r="ED11" s="9">
        <f ca="1">ED5-$DY$8</f>
        <v>-4.0046941762739151E-9</v>
      </c>
      <c r="EE11" s="9">
        <v>0</v>
      </c>
      <c r="EF11">
        <f ca="1">ATAN2(EC11,ED11)</f>
        <v>-3.4616150297368457E-11</v>
      </c>
      <c r="EG11" s="9">
        <f t="shared" ref="EG11:EG12" ca="1" si="24">SQRT(POWER(EB11,2)+POWER(EC11,2)+POWER(ED11,2))</f>
        <v>174.5311318367045</v>
      </c>
      <c r="EH11">
        <f t="shared" ref="EH11:EH12" ca="1" si="25">EB11/EG11</f>
        <v>0.74874894023118865</v>
      </c>
      <c r="EI11">
        <f t="shared" ref="EI11:EI12" ca="1" si="26">EC11/EG11</f>
        <v>0.66285369766085767</v>
      </c>
      <c r="EJ11">
        <f t="shared" ref="EJ11:EJ12" ca="1" si="27">ED11/EG11</f>
        <v>-2.2945443223394683E-11</v>
      </c>
      <c r="EK11">
        <v>0</v>
      </c>
    </row>
    <row r="12" spans="1:151" x14ac:dyDescent="0.25">
      <c r="A12" s="8" t="s">
        <v>11</v>
      </c>
      <c r="B12" s="2">
        <v>60</v>
      </c>
      <c r="C12" t="s">
        <v>1</v>
      </c>
      <c r="G12">
        <f>SUM(G4:G11)</f>
        <v>360</v>
      </c>
      <c r="T12" s="34" t="s">
        <v>100</v>
      </c>
      <c r="U12" s="45">
        <v>0</v>
      </c>
      <c r="V12" s="16" t="s">
        <v>70</v>
      </c>
      <c r="W12" t="str">
        <f>"+ Puts Left of Section in Compression"</f>
        <v>+ Puts Left of Section in Compression</v>
      </c>
      <c r="AU12" s="6">
        <f t="shared" si="21"/>
        <v>0</v>
      </c>
      <c r="AV12" s="6">
        <f t="shared" si="22"/>
        <v>0</v>
      </c>
      <c r="BC12">
        <v>1.7453292519943295</v>
      </c>
      <c r="BD12">
        <v>-1.2081386057164638</v>
      </c>
      <c r="BE12">
        <v>52.77114516969322</v>
      </c>
      <c r="BF12" s="6">
        <f t="shared" si="0"/>
        <v>1.5936862525976494</v>
      </c>
      <c r="BG12" s="6">
        <f t="shared" si="1"/>
        <v>0.15164299939668013</v>
      </c>
      <c r="BH12" s="6">
        <f t="shared" si="2"/>
        <v>-1.5936862525976492</v>
      </c>
      <c r="BI12" s="6">
        <f t="shared" si="3"/>
        <v>1.5936862525976492</v>
      </c>
      <c r="BJ12">
        <v>-1.3423762285738488</v>
      </c>
      <c r="BK12">
        <v>58.634605744103574</v>
      </c>
      <c r="BL12">
        <f t="shared" si="4"/>
        <v>52.784972874971324</v>
      </c>
      <c r="BM12">
        <f t="shared" si="5"/>
        <v>-2.2887926997293549E-2</v>
      </c>
      <c r="BN12">
        <f t="shared" si="6"/>
        <v>0.99973803708659936</v>
      </c>
      <c r="BO12">
        <f t="shared" si="7"/>
        <v>1.0228879269972935</v>
      </c>
      <c r="BP12">
        <f t="shared" si="8"/>
        <v>-0.99973803708659936</v>
      </c>
      <c r="BQ12">
        <f t="shared" si="9"/>
        <v>1.4303062098706651</v>
      </c>
      <c r="BR12">
        <v>-481.60664770546674</v>
      </c>
      <c r="BS12">
        <v>546.92111763269315</v>
      </c>
      <c r="BV12" s="36"/>
      <c r="CE12" s="9"/>
      <c r="CF12" s="9"/>
      <c r="CG12" s="1"/>
      <c r="CH12" s="36"/>
      <c r="CK12" s="37"/>
      <c r="CN12" s="1"/>
      <c r="CO12" s="1"/>
      <c r="CP12" s="1"/>
      <c r="CQ12" s="1"/>
      <c r="CU12">
        <v>4.5528549784445831</v>
      </c>
      <c r="CV12">
        <v>4.5467190552930408</v>
      </c>
      <c r="CW12">
        <v>4.5497870168688124</v>
      </c>
      <c r="CX12">
        <v>0.10402218430631383</v>
      </c>
      <c r="CY12">
        <v>-6.1694203044357902E-2</v>
      </c>
      <c r="CZ12">
        <v>2.1193472542535566E-2</v>
      </c>
      <c r="DC12">
        <v>0.14502840181118326</v>
      </c>
      <c r="DD12">
        <v>7.9363234589412981E-4</v>
      </c>
      <c r="DE12">
        <v>2.4704502061867394E-5</v>
      </c>
      <c r="DF12">
        <v>0.76650288914585907</v>
      </c>
      <c r="DG12">
        <v>0.14442008032513581</v>
      </c>
      <c r="DH12">
        <v>-2.4704502061867394E-5</v>
      </c>
      <c r="EB12" s="9">
        <f ca="1">EB6-$DW$8</f>
        <v>130.68000000008237</v>
      </c>
      <c r="EC12" s="9">
        <f ca="1">EC6-$DX$8</f>
        <v>-24.939999999999976</v>
      </c>
      <c r="ED12" s="9">
        <f ca="1">ED6-$DY$8</f>
        <v>5</v>
      </c>
      <c r="EE12" s="9">
        <v>0</v>
      </c>
      <c r="EF12">
        <f ca="1">ATAN2(EC12,ED12)</f>
        <v>2.9437344877590337</v>
      </c>
      <c r="EG12" s="9">
        <f t="shared" ca="1" si="24"/>
        <v>133.13251293362387</v>
      </c>
      <c r="EH12">
        <f t="shared" ca="1" si="25"/>
        <v>0.98157840726131074</v>
      </c>
      <c r="EI12">
        <f t="shared" ca="1" si="26"/>
        <v>-0.18733215088063696</v>
      </c>
      <c r="EJ12">
        <f t="shared" ca="1" si="27"/>
        <v>3.7556565934369915E-2</v>
      </c>
      <c r="EK12">
        <v>0</v>
      </c>
    </row>
    <row r="13" spans="1:151" ht="15.75" thickBot="1" x14ac:dyDescent="0.3">
      <c r="A13" s="8" t="s">
        <v>12</v>
      </c>
      <c r="B13" s="3">
        <v>29000</v>
      </c>
      <c r="C13" t="s">
        <v>1</v>
      </c>
      <c r="F13" s="79">
        <f>E15-6</f>
        <v>-4.5</v>
      </c>
      <c r="T13" s="27" t="s">
        <v>95</v>
      </c>
      <c r="U13" s="28">
        <f>IF(AND(U11=0,U12=0),0,MOD(ATAN2(U11,U12),2*PI()))</f>
        <v>0</v>
      </c>
      <c r="V13" s="17" t="s">
        <v>96</v>
      </c>
      <c r="X13" s="36"/>
      <c r="Y13" s="9"/>
      <c r="Z13" s="1">
        <f ca="1">Z15*0.8</f>
        <v>865.75580000000014</v>
      </c>
      <c r="AA13" s="46"/>
      <c r="AU13" s="6">
        <f>(E11+E10)*((E10*F11)-(E11*F10))*(1/6)</f>
        <v>0</v>
      </c>
      <c r="AV13" s="6">
        <f t="shared" si="22"/>
        <v>0</v>
      </c>
      <c r="BC13">
        <v>1.9198621771937625</v>
      </c>
      <c r="BD13">
        <v>-16.091461472921647</v>
      </c>
      <c r="BE13">
        <v>47.998245874235216</v>
      </c>
      <c r="BF13" s="6">
        <f t="shared" si="0"/>
        <v>1.8942718160842116</v>
      </c>
      <c r="BG13" s="6">
        <f t="shared" si="1"/>
        <v>2.559036110955093E-2</v>
      </c>
      <c r="BH13" s="6">
        <f t="shared" si="2"/>
        <v>-1.8942718160842116</v>
      </c>
      <c r="BI13" s="6">
        <f t="shared" si="3"/>
        <v>1.8942718160842116</v>
      </c>
      <c r="BJ13">
        <v>-17.879401636579608</v>
      </c>
      <c r="BK13">
        <v>53.331384304705793</v>
      </c>
      <c r="BL13">
        <f t="shared" si="4"/>
        <v>50.623776423120191</v>
      </c>
      <c r="BM13">
        <f t="shared" si="5"/>
        <v>-0.31786371167625055</v>
      </c>
      <c r="BN13">
        <f t="shared" si="6"/>
        <v>0.94813641465740439</v>
      </c>
      <c r="BO13">
        <f t="shared" si="7"/>
        <v>1.3178637116762506</v>
      </c>
      <c r="BP13">
        <f t="shared" si="8"/>
        <v>-0.94813641465740439</v>
      </c>
      <c r="BQ13">
        <f t="shared" si="9"/>
        <v>1.6234923539556634</v>
      </c>
      <c r="BR13">
        <v>-493.72314965574452</v>
      </c>
      <c r="BS13">
        <v>519.83018247195048</v>
      </c>
      <c r="BV13" s="36"/>
      <c r="BW13" t="s">
        <v>146</v>
      </c>
      <c r="CF13" s="1"/>
      <c r="CG13" s="37"/>
      <c r="CH13" s="1"/>
      <c r="CI13" s="9"/>
      <c r="CJ13" s="9"/>
      <c r="CU13">
        <v>4.5497870168688124</v>
      </c>
      <c r="CV13">
        <v>4.5467190552930408</v>
      </c>
      <c r="CW13">
        <v>4.5482530360809266</v>
      </c>
      <c r="CX13">
        <v>2.1193472542535566E-2</v>
      </c>
      <c r="CY13">
        <v>-6.1694203044357902E-2</v>
      </c>
      <c r="CZ13">
        <v>-2.0245178827758004E-2</v>
      </c>
      <c r="DC13">
        <v>0.14443901639734114</v>
      </c>
      <c r="DD13">
        <v>2.4704502061867394E-5</v>
      </c>
      <c r="DE13">
        <v>6.2831852187662642</v>
      </c>
      <c r="DF13">
        <v>0.7637694846283769</v>
      </c>
      <c r="DG13">
        <v>0.1444201478525334</v>
      </c>
      <c r="DH13">
        <v>8.8413322241968212E-8</v>
      </c>
      <c r="DV13" t="s">
        <v>207</v>
      </c>
    </row>
    <row r="14" spans="1:151" ht="15.75" thickBot="1" x14ac:dyDescent="0.3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T14" s="39" t="s">
        <v>108</v>
      </c>
      <c r="U14" s="40">
        <f>SQRT(POWER(U11,2)+POWER(U12,2))</f>
        <v>30</v>
      </c>
      <c r="V14" s="41" t="s">
        <v>70</v>
      </c>
      <c r="W14">
        <f>DEGREES(U13)</f>
        <v>0</v>
      </c>
      <c r="Y14" s="52"/>
      <c r="Z14" s="53" t="s">
        <v>98</v>
      </c>
      <c r="AA14" s="54" t="s">
        <v>99</v>
      </c>
      <c r="AB14" s="55" t="s">
        <v>100</v>
      </c>
      <c r="AC14" s="58" t="s">
        <v>208</v>
      </c>
      <c r="AD14" s="53" t="s">
        <v>209</v>
      </c>
      <c r="AE14" s="55" t="s">
        <v>210</v>
      </c>
      <c r="BC14">
        <v>2.0943951023931953</v>
      </c>
      <c r="BD14">
        <v>-26.091738759054731</v>
      </c>
      <c r="BE14">
        <v>43.04403219214381</v>
      </c>
      <c r="BF14" s="6">
        <f t="shared" si="0"/>
        <v>2.1157357898572609</v>
      </c>
      <c r="BG14" s="6">
        <f t="shared" si="1"/>
        <v>2.1340687464065589E-2</v>
      </c>
      <c r="BH14" s="6">
        <f t="shared" si="2"/>
        <v>-2.1157357898572609</v>
      </c>
      <c r="BI14" s="6">
        <f t="shared" si="3"/>
        <v>2.1157357898572609</v>
      </c>
      <c r="BJ14">
        <v>-28.990820843394147</v>
      </c>
      <c r="BK14">
        <v>47.82670243571534</v>
      </c>
      <c r="BL14">
        <f t="shared" si="4"/>
        <v>50.334556110380781</v>
      </c>
      <c r="BM14">
        <f t="shared" si="5"/>
        <v>-0.51836632276714734</v>
      </c>
      <c r="BN14">
        <f t="shared" si="6"/>
        <v>0.85515867265722434</v>
      </c>
      <c r="BO14">
        <f t="shared" si="7"/>
        <v>1.5183663227671473</v>
      </c>
      <c r="BP14">
        <f t="shared" si="8"/>
        <v>-0.85515867265722434</v>
      </c>
      <c r="BQ14">
        <f t="shared" si="9"/>
        <v>1.7426223473645388</v>
      </c>
      <c r="BR14">
        <v>-544.27954714635666</v>
      </c>
      <c r="BS14">
        <v>497.58350400429435</v>
      </c>
      <c r="BV14" s="36"/>
      <c r="BW14" t="s">
        <v>110</v>
      </c>
      <c r="BX14" s="1" t="s">
        <v>99</v>
      </c>
      <c r="BY14" s="1" t="s">
        <v>100</v>
      </c>
      <c r="BZ14" s="1"/>
      <c r="CA14" s="1"/>
      <c r="CB14" s="1" t="s">
        <v>149</v>
      </c>
      <c r="CC14" s="1" t="s">
        <v>150</v>
      </c>
      <c r="CE14" s="1"/>
      <c r="CF14" s="1" t="s">
        <v>149</v>
      </c>
      <c r="CG14" s="37"/>
      <c r="CH14" s="1"/>
      <c r="CI14" s="1"/>
      <c r="CJ14" s="1"/>
      <c r="CL14" s="1"/>
      <c r="CM14" s="1"/>
      <c r="CN14" s="1"/>
      <c r="CO14" s="1"/>
      <c r="CP14" s="1"/>
      <c r="CU14">
        <v>4.5497870168688124</v>
      </c>
      <c r="CV14">
        <v>4.5482530360809266</v>
      </c>
      <c r="CW14">
        <v>4.549020026474869</v>
      </c>
      <c r="CX14">
        <v>2.1193472542535566E-2</v>
      </c>
      <c r="CY14">
        <v>-2.0245178827758004E-2</v>
      </c>
      <c r="CZ14">
        <v>4.7571599947726639E-4</v>
      </c>
      <c r="DV14" t="s">
        <v>196</v>
      </c>
      <c r="DW14">
        <f ca="1">ATAN2(-1*DX10,-1*DY10)</f>
        <v>1.8123953419363912</v>
      </c>
      <c r="DX14" t="s">
        <v>96</v>
      </c>
    </row>
    <row r="15" spans="1:151" x14ac:dyDescent="0.25">
      <c r="A15">
        <v>1</v>
      </c>
      <c r="B15" s="19">
        <v>7</v>
      </c>
      <c r="C15" s="6">
        <f ca="1">OFFSET($G$14,MATCH(B15,$G$14:$G$29,0)-1,2)</f>
        <v>0.6</v>
      </c>
      <c r="D15" s="2">
        <v>6</v>
      </c>
      <c r="E15" s="2">
        <v>1.5</v>
      </c>
      <c r="G15" s="1">
        <v>3</v>
      </c>
      <c r="H15" s="6">
        <v>0.375</v>
      </c>
      <c r="I15" s="6">
        <v>0.11</v>
      </c>
      <c r="K15" s="1">
        <f t="shared" ref="K15:K24" si="28">IF($B15=0,NA(),D15)</f>
        <v>6</v>
      </c>
      <c r="L15" s="1">
        <f t="shared" ref="L15:L24" si="29">IF($B15=0,NA(),E15)</f>
        <v>1.5</v>
      </c>
      <c r="T15" s="35" t="s">
        <v>102</v>
      </c>
      <c r="U15" s="6">
        <f>SQRT(POWER(U12,2)+POWER(U11,2)+POWER(U10,2))</f>
        <v>30</v>
      </c>
      <c r="Y15" s="56" t="s">
        <v>192</v>
      </c>
      <c r="Z15" s="60">
        <f ca="1">B115</f>
        <v>1082.1947500000001</v>
      </c>
      <c r="AA15" s="60">
        <f ca="1">C116</f>
        <v>108.95137500000003</v>
      </c>
      <c r="AB15" s="61">
        <f ca="1">C117</f>
        <v>-198.89999999999998</v>
      </c>
      <c r="AC15" s="62">
        <f ca="1">Z15/0.65</f>
        <v>1664.9150000000002</v>
      </c>
      <c r="AD15" s="60">
        <f t="shared" ref="AD15:AE15" ca="1" si="30">AA15/0.65</f>
        <v>167.61750000000004</v>
      </c>
      <c r="AE15" s="61">
        <f t="shared" ca="1" si="30"/>
        <v>-305.99999999999994</v>
      </c>
      <c r="BC15">
        <v>2.268928027592628</v>
      </c>
      <c r="BD15">
        <v>-28.90086708372009</v>
      </c>
      <c r="BE15">
        <v>40.091298134642322</v>
      </c>
      <c r="BF15" s="6">
        <f t="shared" si="0"/>
        <v>2.1953962675816143</v>
      </c>
      <c r="BG15" s="6">
        <f t="shared" si="1"/>
        <v>7.3531760011013692E-2</v>
      </c>
      <c r="BH15" s="6">
        <f t="shared" si="2"/>
        <v>-2.1953962675816143</v>
      </c>
      <c r="BI15" s="6">
        <f t="shared" si="3"/>
        <v>2.1953962675816143</v>
      </c>
      <c r="BJ15">
        <v>-32.112074537466768</v>
      </c>
      <c r="BK15">
        <v>44.545886816269245</v>
      </c>
      <c r="BL15">
        <f t="shared" ref="BL15:BL27" si="31">SQRT(POWER(BD15,2)+POWER(BE15,2))</f>
        <v>49.42238667154421</v>
      </c>
      <c r="BM15">
        <f t="shared" ref="BM15:BM27" si="32">BD15/BL15</f>
        <v>-0.58477279285988559</v>
      </c>
      <c r="BN15">
        <f t="shared" ref="BN15:BN27" si="33">BE15/BL15</f>
        <v>0.81119712815742218</v>
      </c>
      <c r="BO15">
        <f t="shared" ref="BO15:BO27" si="34">$AC$21-BM15</f>
        <v>1.5847727928598856</v>
      </c>
      <c r="BP15">
        <f t="shared" ref="BP15:BP27" si="35">$AD$21-BN15</f>
        <v>-0.81119712815742218</v>
      </c>
      <c r="BQ15">
        <f t="shared" ref="BQ15:BQ27" si="36">SQRT(POWER(BO15,2)+POWER(BP15,2))</f>
        <v>1.7803217646593468</v>
      </c>
      <c r="BR15">
        <v>-597.85425062999332</v>
      </c>
      <c r="BS15">
        <v>447.44441596723834</v>
      </c>
      <c r="BV15" s="36"/>
      <c r="BW15" s="6">
        <f>IF(BC2="",NA(),BC2)</f>
        <v>0</v>
      </c>
      <c r="BX15" s="9">
        <f ca="1">BD2-$BW$5</f>
        <v>27.996190151700944</v>
      </c>
      <c r="BY15" s="9">
        <f ca="1">BE2-$BX$5</f>
        <v>21.430285361287321</v>
      </c>
      <c r="BZ15" s="9">
        <f ca="1">BX15-$CE$5</f>
        <v>93.216872666527792</v>
      </c>
      <c r="CA15" s="6">
        <f ca="1">BY15-$CF$5</f>
        <v>0</v>
      </c>
      <c r="CB15" s="6">
        <f ca="1">ATAN2(BZ15,CA15)</f>
        <v>0</v>
      </c>
      <c r="CC15" s="6">
        <f ca="1">CG15</f>
        <v>0</v>
      </c>
      <c r="CD15" s="9">
        <f>BD2-$BW$6</f>
        <v>63.216872666527792</v>
      </c>
      <c r="CE15" s="9">
        <f>BE2-$BX$6</f>
        <v>0</v>
      </c>
      <c r="CF15" s="6">
        <f>ATAN2(CD15,CE15)</f>
        <v>0</v>
      </c>
      <c r="CG15" s="6">
        <f ca="1">ATAN2(COS(CF15-CB15),SIN(CF15-CB15))</f>
        <v>0</v>
      </c>
      <c r="CH15" s="6"/>
      <c r="CI15" s="6"/>
      <c r="CJ15" s="1"/>
      <c r="CK15" s="6"/>
      <c r="CL15" s="9"/>
      <c r="CM15" s="9"/>
      <c r="CN15" s="1"/>
      <c r="CO15" s="1"/>
      <c r="CP15" s="1"/>
      <c r="CQ15" s="1"/>
      <c r="CU15">
        <v>4.549020026474869</v>
      </c>
      <c r="CV15">
        <v>4.5482530360809266</v>
      </c>
      <c r="CW15">
        <v>4.5486365312778982</v>
      </c>
      <c r="CX15">
        <v>4.7571599947726639E-4</v>
      </c>
      <c r="CY15">
        <v>-2.0245178827758004E-2</v>
      </c>
      <c r="CZ15">
        <v>-9.8843732269471296E-3</v>
      </c>
      <c r="DV15" t="s">
        <v>197</v>
      </c>
      <c r="DW15">
        <v>1</v>
      </c>
      <c r="DX15">
        <v>0</v>
      </c>
      <c r="DY15">
        <v>0</v>
      </c>
    </row>
    <row r="16" spans="1:151" ht="15.75" thickBot="1" x14ac:dyDescent="0.3">
      <c r="A16">
        <v>2</v>
      </c>
      <c r="B16" s="19">
        <v>7</v>
      </c>
      <c r="C16" s="6">
        <f t="shared" ref="C16:C24" ca="1" si="37">OFFSET($G$14,MATCH(B16,$G$14:$G$29,0)-1,2)</f>
        <v>0.6</v>
      </c>
      <c r="D16" s="2">
        <v>1.5</v>
      </c>
      <c r="E16" s="2">
        <v>1.5</v>
      </c>
      <c r="G16" s="1">
        <v>4</v>
      </c>
      <c r="H16" s="6">
        <v>0.5</v>
      </c>
      <c r="I16" s="6">
        <v>0.2</v>
      </c>
      <c r="K16" s="1">
        <f t="shared" si="28"/>
        <v>1.5</v>
      </c>
      <c r="L16" s="1">
        <f t="shared" si="29"/>
        <v>1.5</v>
      </c>
      <c r="T16" s="35" t="s">
        <v>103</v>
      </c>
      <c r="U16" s="37">
        <f>U10/U15</f>
        <v>0</v>
      </c>
      <c r="V16" s="37">
        <f>U11/U15</f>
        <v>1</v>
      </c>
      <c r="W16" s="37">
        <f>U12/U15</f>
        <v>0</v>
      </c>
      <c r="X16" s="36"/>
      <c r="Y16" s="57" t="s">
        <v>193</v>
      </c>
      <c r="Z16" s="63">
        <f ca="1">J115</f>
        <v>-130.68</v>
      </c>
      <c r="AA16" s="63">
        <f ca="1">K116</f>
        <v>59.939999999999976</v>
      </c>
      <c r="AB16" s="64">
        <f ca="1">K117</f>
        <v>0</v>
      </c>
      <c r="AC16" s="65">
        <f ca="1">Z16/0.9</f>
        <v>-145.20000000000002</v>
      </c>
      <c r="AD16" s="63">
        <f t="shared" ref="AD16:AE16" ca="1" si="38">AA16/0.9</f>
        <v>66.599999999999966</v>
      </c>
      <c r="AE16" s="64">
        <f t="shared" ca="1" si="38"/>
        <v>0</v>
      </c>
      <c r="BC16">
        <v>2.4434609527920608</v>
      </c>
      <c r="BD16">
        <v>-30.482867931848013</v>
      </c>
      <c r="BE16">
        <v>37.609695187977842</v>
      </c>
      <c r="BF16" s="6">
        <f t="shared" si="0"/>
        <v>2.2519103656508341</v>
      </c>
      <c r="BG16" s="6">
        <f t="shared" si="1"/>
        <v>0.19155058714122664</v>
      </c>
      <c r="BH16" s="6">
        <f t="shared" si="2"/>
        <v>-2.2519103656508341</v>
      </c>
      <c r="BI16" s="6">
        <f t="shared" si="3"/>
        <v>2.2519103656508341</v>
      </c>
      <c r="BJ16">
        <v>-33.869853257608902</v>
      </c>
      <c r="BK16">
        <v>41.788550208864265</v>
      </c>
      <c r="BL16">
        <f t="shared" si="31"/>
        <v>48.411717687798387</v>
      </c>
      <c r="BM16">
        <f t="shared" si="32"/>
        <v>-0.62965887986930213</v>
      </c>
      <c r="BN16">
        <f t="shared" si="33"/>
        <v>0.77687173651880004</v>
      </c>
      <c r="BO16">
        <f t="shared" si="34"/>
        <v>1.6296588798693021</v>
      </c>
      <c r="BP16">
        <f t="shared" si="35"/>
        <v>-0.77687173651880004</v>
      </c>
      <c r="BQ16">
        <f t="shared" si="36"/>
        <v>1.8053580696744358</v>
      </c>
      <c r="BR16">
        <v>-652.94941547077872</v>
      </c>
      <c r="BS16">
        <v>365.4330788627704</v>
      </c>
      <c r="BV16" s="36"/>
      <c r="BW16" s="6">
        <f t="shared" ref="BW16:BW79" si="39">IF(BC3="",NA(),BC3)</f>
        <v>0.17453292519943295</v>
      </c>
      <c r="BX16" s="9">
        <f t="shared" ref="BX16:BX79" ca="1" si="40">BD3-$BW$5</f>
        <v>27.255314282845092</v>
      </c>
      <c r="BY16" s="9">
        <f t="shared" ref="BY16:BY79" ca="1" si="41">BE3-$BX$5</f>
        <v>33.074673394219765</v>
      </c>
      <c r="BZ16" s="9">
        <f t="shared" ref="BZ16:BZ79" ca="1" si="42">BX16-$CE$5</f>
        <v>92.475996797671939</v>
      </c>
      <c r="CA16" s="6">
        <f t="shared" ref="CA16:CA79" ca="1" si="43">BY16-$CF$5</f>
        <v>11.644388032932444</v>
      </c>
      <c r="CB16" s="6">
        <f t="shared" ref="CB16:CB79" ca="1" si="44">ATAN2(BZ16,CA16)</f>
        <v>0.12525872087044379</v>
      </c>
      <c r="CC16" s="6">
        <f t="shared" ref="CC16:CC79" ca="1" si="45">CG16</f>
        <v>5.9008776378018074E-2</v>
      </c>
      <c r="CD16" s="9">
        <f t="shared" ref="CD16:CD79" si="46">BD3-$BW$6</f>
        <v>62.475996797671939</v>
      </c>
      <c r="CE16" s="9">
        <f t="shared" ref="CE16:CE79" si="47">BE3-$BX$6</f>
        <v>11.644388032932445</v>
      </c>
      <c r="CF16" s="6">
        <f t="shared" ref="CF16:CF79" si="48">ATAN2(CD16,CE16)</f>
        <v>0.18426749724846186</v>
      </c>
      <c r="CG16" s="6">
        <f t="shared" ref="CG16:CG79" ca="1" si="49">ATAN2(COS(CF16-CB16),SIN(CF16-CB16))</f>
        <v>5.9008776378018074E-2</v>
      </c>
      <c r="CH16" s="6"/>
      <c r="CI16" s="6"/>
      <c r="CJ16" s="1"/>
      <c r="CK16" s="6"/>
      <c r="CU16">
        <v>4.549020026474869</v>
      </c>
      <c r="CV16">
        <v>4.5486365312778982</v>
      </c>
      <c r="CW16">
        <v>4.5488282788763836</v>
      </c>
      <c r="CX16">
        <v>4.7571599947726639E-4</v>
      </c>
      <c r="CY16">
        <v>-9.8843732269471296E-3</v>
      </c>
      <c r="CZ16">
        <v>-4.7042348065451378E-3</v>
      </c>
      <c r="DV16" t="s">
        <v>198</v>
      </c>
      <c r="DW16">
        <f ca="1">(DW15*DW15*(1-COS(DW14)))+COS(DW14)</f>
        <v>1</v>
      </c>
      <c r="DX16">
        <f ca="1">(DX15*DW15*(1-COS(DW14)))-(DY15*SIN(DW14))</f>
        <v>0</v>
      </c>
      <c r="DY16">
        <f ca="1">(DY15*DW15*(1-COS(DW14)))+(DX15*SIN(DW14))</f>
        <v>0</v>
      </c>
      <c r="DZ16">
        <v>0</v>
      </c>
    </row>
    <row r="17" spans="1:136" x14ac:dyDescent="0.25">
      <c r="A17">
        <v>3</v>
      </c>
      <c r="B17" s="19">
        <v>7</v>
      </c>
      <c r="C17" s="6">
        <f t="shared" ca="1" si="37"/>
        <v>0.6</v>
      </c>
      <c r="D17" s="2">
        <v>10.5</v>
      </c>
      <c r="E17" s="2">
        <v>1.5</v>
      </c>
      <c r="G17" s="1">
        <v>5</v>
      </c>
      <c r="H17" s="6">
        <v>0.625</v>
      </c>
      <c r="I17" s="6">
        <v>0.31</v>
      </c>
      <c r="K17" s="1">
        <f t="shared" si="28"/>
        <v>10.5</v>
      </c>
      <c r="L17" s="1">
        <f t="shared" si="29"/>
        <v>1.5</v>
      </c>
      <c r="Y17" s="58" t="s">
        <v>202</v>
      </c>
      <c r="Z17" s="66">
        <f>U10</f>
        <v>0</v>
      </c>
      <c r="AA17" s="66">
        <f>U11</f>
        <v>30</v>
      </c>
      <c r="AB17" s="67">
        <f>U12</f>
        <v>0</v>
      </c>
      <c r="AC17" s="68">
        <f ca="1">Z17/$U$3</f>
        <v>0</v>
      </c>
      <c r="AD17" s="66">
        <f t="shared" ref="AD17:AE17" ca="1" si="50">AA17/$U$3</f>
        <v>33.333333333333336</v>
      </c>
      <c r="AE17" s="67">
        <f t="shared" ca="1" si="50"/>
        <v>0</v>
      </c>
      <c r="BC17">
        <v>2.6179938779914935</v>
      </c>
      <c r="BD17">
        <v>-31.689349695663999</v>
      </c>
      <c r="BE17">
        <v>33.538450536339106</v>
      </c>
      <c r="BF17" s="6">
        <f t="shared" si="0"/>
        <v>2.3278537253297791</v>
      </c>
      <c r="BG17" s="6">
        <f t="shared" si="1"/>
        <v>0.29014015266171445</v>
      </c>
      <c r="BH17" s="6">
        <f t="shared" si="2"/>
        <v>-2.3278537253297791</v>
      </c>
      <c r="BI17" s="6">
        <f t="shared" si="3"/>
        <v>2.3278537253297791</v>
      </c>
      <c r="BJ17">
        <v>-35.210388550737775</v>
      </c>
      <c r="BK17">
        <v>37.26494504037678</v>
      </c>
      <c r="BL17">
        <f t="shared" si="31"/>
        <v>46.141549047605075</v>
      </c>
      <c r="BM17">
        <f t="shared" si="32"/>
        <v>-0.68678556203151131</v>
      </c>
      <c r="BN17">
        <f t="shared" si="33"/>
        <v>0.72686009092882586</v>
      </c>
      <c r="BO17">
        <f t="shared" si="34"/>
        <v>1.6867855620315113</v>
      </c>
      <c r="BP17">
        <f t="shared" si="35"/>
        <v>-0.72686009092882586</v>
      </c>
      <c r="BQ17">
        <f t="shared" si="36"/>
        <v>1.8367283751450629</v>
      </c>
      <c r="BR17">
        <v>-681.74861897027301</v>
      </c>
      <c r="BS17">
        <v>242.62927135224189</v>
      </c>
      <c r="BV17" s="36"/>
      <c r="BW17" s="6">
        <f t="shared" si="39"/>
        <v>0.3490658503988659</v>
      </c>
      <c r="BX17" s="9">
        <f t="shared" ca="1" si="40"/>
        <v>24.993395937703283</v>
      </c>
      <c r="BY17" s="9">
        <f t="shared" ca="1" si="41"/>
        <v>43.326784583783095</v>
      </c>
      <c r="BZ17" s="9">
        <f t="shared" ca="1" si="42"/>
        <v>90.214078452530131</v>
      </c>
      <c r="CA17" s="6">
        <f t="shared" ca="1" si="43"/>
        <v>21.896499222495773</v>
      </c>
      <c r="CB17" s="6">
        <f t="shared" ca="1" si="44"/>
        <v>0.23811250780826246</v>
      </c>
      <c r="CC17" s="6">
        <f t="shared" ca="1" si="45"/>
        <v>0.11066539983649785</v>
      </c>
      <c r="CD17" s="9">
        <f t="shared" si="46"/>
        <v>60.214078452530131</v>
      </c>
      <c r="CE17" s="9">
        <f t="shared" si="47"/>
        <v>21.896499222495777</v>
      </c>
      <c r="CF17" s="6">
        <f t="shared" si="48"/>
        <v>0.3487779076447603</v>
      </c>
      <c r="CG17" s="6">
        <f t="shared" ca="1" si="49"/>
        <v>0.11066539983649785</v>
      </c>
      <c r="CH17" s="6"/>
      <c r="CI17" s="6"/>
      <c r="CJ17" s="1"/>
      <c r="CK17" s="6"/>
      <c r="CU17">
        <v>4.549020026474869</v>
      </c>
      <c r="CV17">
        <v>4.5488282788763836</v>
      </c>
      <c r="CW17">
        <v>4.5489241526756263</v>
      </c>
      <c r="CX17">
        <v>4.7571599947726639E-4</v>
      </c>
      <c r="CY17">
        <v>-4.7042348065451378E-3</v>
      </c>
      <c r="CZ17">
        <v>-2.1142354190195611E-3</v>
      </c>
      <c r="DW17">
        <f ca="1">(DW15*DX15*(1-COS(DW14)))+(DY15*SIN(DW14))</f>
        <v>0</v>
      </c>
      <c r="DX17">
        <f ca="1">(DX15*DX15*(1-COS(DW14)))+COS(DW14)</f>
        <v>-0.23925550600970857</v>
      </c>
      <c r="DY17">
        <f ca="1">(DY15*DX15*(1-COS(DW14)))-(DW15*SIN(DW14))</f>
        <v>-0.97095664313296626</v>
      </c>
      <c r="DZ17">
        <v>0</v>
      </c>
    </row>
    <row r="18" spans="1:136" ht="15.75" thickBot="1" x14ac:dyDescent="0.3">
      <c r="A18">
        <v>4</v>
      </c>
      <c r="B18" s="19">
        <v>5</v>
      </c>
      <c r="C18" s="6">
        <f t="shared" ca="1" si="37"/>
        <v>0.31</v>
      </c>
      <c r="D18" s="2">
        <v>1.5</v>
      </c>
      <c r="E18" s="2">
        <v>21</v>
      </c>
      <c r="G18" s="1">
        <v>6</v>
      </c>
      <c r="H18" s="6">
        <v>0.75</v>
      </c>
      <c r="I18" s="6">
        <v>0.44</v>
      </c>
      <c r="K18" s="1">
        <f t="shared" si="28"/>
        <v>1.5</v>
      </c>
      <c r="L18" s="1">
        <f t="shared" si="29"/>
        <v>21</v>
      </c>
      <c r="T18" s="8" t="s">
        <v>104</v>
      </c>
      <c r="U18" s="6">
        <f ca="1">SQRT(POWER(U6,2)+POWER(U5,2)+POWER(U4,2))</f>
        <v>175.6286060948942</v>
      </c>
      <c r="Y18" s="59" t="s">
        <v>203</v>
      </c>
      <c r="Z18" s="63">
        <f ca="1">U4</f>
        <v>8.2378903698554503E-11</v>
      </c>
      <c r="AA18" s="63">
        <f ca="1">U5</f>
        <v>175.6286060948942</v>
      </c>
      <c r="AB18" s="64">
        <f ca="1">U6</f>
        <v>-4.0046941762739151E-9</v>
      </c>
      <c r="AC18" s="65">
        <f ca="1">Z18/$U$3</f>
        <v>9.1532115220616106E-11</v>
      </c>
      <c r="AD18" s="63">
        <f t="shared" ref="AD18" ca="1" si="51">AA18/$U$3</f>
        <v>195.14289566099353</v>
      </c>
      <c r="AE18" s="64">
        <f t="shared" ref="AE18" ca="1" si="52">AB18/$U$3</f>
        <v>-4.4496601958599058E-9</v>
      </c>
      <c r="BC18">
        <v>2.7925268031909263</v>
      </c>
      <c r="BD18">
        <v>-32.640937298588049</v>
      </c>
      <c r="BE18">
        <v>27.408727463706018</v>
      </c>
      <c r="BF18" s="6">
        <f t="shared" si="0"/>
        <v>2.4431063668900119</v>
      </c>
      <c r="BG18" s="6">
        <f t="shared" si="1"/>
        <v>0.34942043630091435</v>
      </c>
      <c r="BH18" s="6">
        <f t="shared" si="2"/>
        <v>-2.4431063668900119</v>
      </c>
      <c r="BI18" s="6">
        <f t="shared" si="3"/>
        <v>2.4431063668900119</v>
      </c>
      <c r="BJ18">
        <v>-36.267708109542276</v>
      </c>
      <c r="BK18">
        <v>30.454141626340018</v>
      </c>
      <c r="BL18">
        <f t="shared" si="31"/>
        <v>42.622401726205773</v>
      </c>
      <c r="BM18">
        <f t="shared" si="32"/>
        <v>-0.76581647154151888</v>
      </c>
      <c r="BN18">
        <f t="shared" si="33"/>
        <v>0.64305919783150456</v>
      </c>
      <c r="BO18">
        <f t="shared" si="34"/>
        <v>1.7658164715415188</v>
      </c>
      <c r="BP18">
        <f t="shared" si="35"/>
        <v>-0.64305919783150456</v>
      </c>
      <c r="BQ18">
        <f t="shared" si="36"/>
        <v>1.8792639365142507</v>
      </c>
      <c r="BR18">
        <v>-671.1354160016208</v>
      </c>
      <c r="BS18">
        <v>94.691008998520658</v>
      </c>
      <c r="BV18" s="36"/>
      <c r="BW18" s="6">
        <f t="shared" si="39"/>
        <v>0.52359877559829882</v>
      </c>
      <c r="BX18" s="9">
        <f t="shared" ca="1" si="40"/>
        <v>22.335845935837909</v>
      </c>
      <c r="BY18" s="9">
        <f t="shared" ca="1" si="41"/>
        <v>50.450465297564847</v>
      </c>
      <c r="BZ18" s="9">
        <f t="shared" ca="1" si="42"/>
        <v>87.556528450664757</v>
      </c>
      <c r="CA18" s="6">
        <f t="shared" ca="1" si="43"/>
        <v>29.020179936277525</v>
      </c>
      <c r="CB18" s="6">
        <f t="shared" ca="1" si="44"/>
        <v>0.32005015821264582</v>
      </c>
      <c r="CC18" s="6">
        <f t="shared" ca="1" si="45"/>
        <v>0.1469542726787447</v>
      </c>
      <c r="CD18" s="9">
        <f t="shared" si="46"/>
        <v>57.556528450664757</v>
      </c>
      <c r="CE18" s="9">
        <f t="shared" si="47"/>
        <v>29.020179936277522</v>
      </c>
      <c r="CF18" s="6">
        <f t="shared" si="48"/>
        <v>0.46700443089139054</v>
      </c>
      <c r="CG18" s="6">
        <f t="shared" ca="1" si="49"/>
        <v>0.1469542726787447</v>
      </c>
      <c r="CH18" s="6"/>
      <c r="CI18" s="6"/>
      <c r="CJ18" s="1"/>
      <c r="CK18" s="6"/>
      <c r="CU18">
        <v>4.549020026474869</v>
      </c>
      <c r="CV18">
        <v>4.5489241526756263</v>
      </c>
      <c r="CW18">
        <v>4.5489720895752477</v>
      </c>
      <c r="CX18">
        <v>4.7571599947726639E-4</v>
      </c>
      <c r="CY18">
        <v>-2.1142354190195611E-3</v>
      </c>
      <c r="CZ18">
        <v>-8.1925364704193981E-4</v>
      </c>
      <c r="DW18">
        <f ca="1">(DW15*DY15*(1-COS(DW14)))-(DX15*SIN(DW14))</f>
        <v>0</v>
      </c>
      <c r="DX18">
        <f ca="1">(DX15*DY15*(1-COS(DW14)))+(DW15*SIN(DW14))</f>
        <v>0.97095664313296626</v>
      </c>
      <c r="DY18">
        <f ca="1">(DY15*DY15*(1-COS(DW14)))+COS(DW14)</f>
        <v>-0.23925550600970857</v>
      </c>
      <c r="DZ18">
        <v>0</v>
      </c>
    </row>
    <row r="19" spans="1:136" x14ac:dyDescent="0.25">
      <c r="A19">
        <v>5</v>
      </c>
      <c r="B19" s="19">
        <v>5</v>
      </c>
      <c r="C19" s="6">
        <f t="shared" ca="1" si="37"/>
        <v>0.31</v>
      </c>
      <c r="D19" s="2">
        <v>10.5</v>
      </c>
      <c r="E19" s="2">
        <v>21</v>
      </c>
      <c r="G19" s="1">
        <v>7</v>
      </c>
      <c r="H19" s="6">
        <v>0.875</v>
      </c>
      <c r="I19" s="6">
        <v>0.6</v>
      </c>
      <c r="K19" s="1">
        <f t="shared" si="28"/>
        <v>10.5</v>
      </c>
      <c r="L19" s="1">
        <f t="shared" si="29"/>
        <v>21</v>
      </c>
      <c r="T19" s="8" t="s">
        <v>105</v>
      </c>
      <c r="U19" s="37">
        <f ca="1">U4/U18</f>
        <v>4.6905174236846257E-13</v>
      </c>
      <c r="V19" s="37">
        <f ca="1">U5/U18</f>
        <v>1</v>
      </c>
      <c r="W19" s="37">
        <f ca="1">U6/U18</f>
        <v>-2.2802060924574733E-11</v>
      </c>
      <c r="X19" s="36"/>
      <c r="BC19">
        <v>2.967059728390359</v>
      </c>
      <c r="BD19">
        <v>-33.634844880738292</v>
      </c>
      <c r="BE19">
        <v>18.507283195529229</v>
      </c>
      <c r="BF19" s="6">
        <f t="shared" si="0"/>
        <v>2.6385641471238324</v>
      </c>
      <c r="BG19" s="6">
        <f t="shared" si="1"/>
        <v>0.32849558126652667</v>
      </c>
      <c r="BH19" s="6">
        <f t="shared" si="2"/>
        <v>-2.6385641471238324</v>
      </c>
      <c r="BI19" s="6">
        <f t="shared" si="3"/>
        <v>2.6385641471238324</v>
      </c>
      <c r="BJ19">
        <v>-37.372049867486993</v>
      </c>
      <c r="BK19">
        <v>20.563647995032476</v>
      </c>
      <c r="BL19">
        <f t="shared" si="31"/>
        <v>38.390393608699107</v>
      </c>
      <c r="BM19">
        <f t="shared" si="32"/>
        <v>-0.87612659624090894</v>
      </c>
      <c r="BN19">
        <f t="shared" si="33"/>
        <v>0.48208110039631252</v>
      </c>
      <c r="BO19">
        <f t="shared" si="34"/>
        <v>1.8761265962409088</v>
      </c>
      <c r="BP19">
        <f t="shared" si="35"/>
        <v>-0.48208110039631252</v>
      </c>
      <c r="BQ19">
        <f t="shared" si="36"/>
        <v>1.9370733575375554</v>
      </c>
      <c r="BR19">
        <v>-654.41344621191195</v>
      </c>
      <c r="BS19">
        <v>-60.176171101661311</v>
      </c>
      <c r="BV19" s="36"/>
      <c r="BW19" s="6">
        <f t="shared" si="39"/>
        <v>0.69813170079773179</v>
      </c>
      <c r="BX19" s="9">
        <f t="shared" ca="1" si="40"/>
        <v>19.394335028393286</v>
      </c>
      <c r="BY19" s="9">
        <f t="shared" ca="1" si="41"/>
        <v>56.040609103055075</v>
      </c>
      <c r="BZ19" s="9">
        <f t="shared" ca="1" si="42"/>
        <v>84.615017543220134</v>
      </c>
      <c r="CA19" s="6">
        <f t="shared" ca="1" si="43"/>
        <v>34.610323741767758</v>
      </c>
      <c r="CB19" s="6">
        <f t="shared" ca="1" si="44"/>
        <v>0.38826900146210214</v>
      </c>
      <c r="CC19" s="6">
        <f t="shared" ca="1" si="45"/>
        <v>0.1765723287143483</v>
      </c>
      <c r="CD19" s="9">
        <f t="shared" si="46"/>
        <v>54.615017543220134</v>
      </c>
      <c r="CE19" s="9">
        <f t="shared" si="47"/>
        <v>34.610323741767751</v>
      </c>
      <c r="CF19" s="6">
        <f t="shared" si="48"/>
        <v>0.56484133017645044</v>
      </c>
      <c r="CG19" s="6">
        <f t="shared" ca="1" si="49"/>
        <v>0.1765723287143483</v>
      </c>
      <c r="CH19" s="6"/>
      <c r="CI19" s="6"/>
      <c r="CJ19" s="1"/>
      <c r="CK19" s="6"/>
      <c r="CU19">
        <v>4.549020026474869</v>
      </c>
      <c r="CV19">
        <v>4.5489720895752477</v>
      </c>
      <c r="CW19">
        <v>4.5489960580250584</v>
      </c>
      <c r="CX19">
        <v>4.7571599947726639E-4</v>
      </c>
      <c r="CY19">
        <v>-8.1925364704193981E-4</v>
      </c>
      <c r="CZ19">
        <v>-1.7176729977252947E-4</v>
      </c>
      <c r="DW19">
        <v>0</v>
      </c>
      <c r="DX19">
        <v>0</v>
      </c>
      <c r="DY19">
        <v>0</v>
      </c>
      <c r="DZ19">
        <v>1</v>
      </c>
    </row>
    <row r="20" spans="1:136" x14ac:dyDescent="0.25">
      <c r="A20">
        <v>6</v>
      </c>
      <c r="B20" s="19">
        <v>0</v>
      </c>
      <c r="C20" s="6">
        <f t="shared" ca="1" si="37"/>
        <v>0</v>
      </c>
      <c r="D20" s="2">
        <v>13.625</v>
      </c>
      <c r="E20" s="2">
        <v>21.625</v>
      </c>
      <c r="G20" s="1">
        <v>8</v>
      </c>
      <c r="H20" s="6">
        <v>1</v>
      </c>
      <c r="I20" s="6">
        <v>0.79</v>
      </c>
      <c r="K20" s="1" t="e">
        <f t="shared" si="28"/>
        <v>#N/A</v>
      </c>
      <c r="L20" s="1" t="e">
        <f t="shared" si="29"/>
        <v>#N/A</v>
      </c>
      <c r="Y20" s="36"/>
      <c r="AB20">
        <f ca="1">SQRT(POWER(U5,2)+POWER(U6,2))</f>
        <v>175.6286060948942</v>
      </c>
      <c r="AC20">
        <f ca="1">U5/AB20</f>
        <v>1</v>
      </c>
      <c r="AD20">
        <f ca="1">U6/AB20</f>
        <v>-2.2802060924574733E-11</v>
      </c>
      <c r="BC20">
        <v>3.1415926535897918</v>
      </c>
      <c r="BD20">
        <v>-34.652120511800504</v>
      </c>
      <c r="BE20">
        <v>2.3053388115876325E-13</v>
      </c>
      <c r="BF20" s="6">
        <f t="shared" si="0"/>
        <v>3.1415926535897865</v>
      </c>
      <c r="BG20" s="6">
        <f t="shared" si="1"/>
        <v>5.3290705182007514E-15</v>
      </c>
      <c r="BH20" s="6">
        <f t="shared" si="2"/>
        <v>-3.1415926535897865</v>
      </c>
      <c r="BI20" s="6">
        <f t="shared" si="3"/>
        <v>3.1415926535897865</v>
      </c>
      <c r="BJ20">
        <v>-38.502356124222779</v>
      </c>
      <c r="BK20">
        <v>2.5614875684307029E-13</v>
      </c>
      <c r="BL20">
        <f t="shared" si="31"/>
        <v>34.652120511800504</v>
      </c>
      <c r="BM20">
        <f t="shared" si="32"/>
        <v>-1</v>
      </c>
      <c r="BN20">
        <f t="shared" si="33"/>
        <v>6.6528073247424139E-15</v>
      </c>
      <c r="BO20">
        <f t="shared" si="34"/>
        <v>2</v>
      </c>
      <c r="BP20">
        <f t="shared" si="35"/>
        <v>-6.6528073247424139E-15</v>
      </c>
      <c r="BQ20">
        <f t="shared" si="36"/>
        <v>2</v>
      </c>
      <c r="BR20">
        <v>-692.40069281555964</v>
      </c>
      <c r="BS20">
        <v>-236.19465103495716</v>
      </c>
      <c r="BV20" s="36"/>
      <c r="BW20" s="6">
        <f t="shared" si="39"/>
        <v>0.87266462599716477</v>
      </c>
      <c r="BX20" s="9">
        <f t="shared" ca="1" si="40"/>
        <v>10.369807185088661</v>
      </c>
      <c r="BY20" s="9">
        <f t="shared" ca="1" si="41"/>
        <v>62.987215247751962</v>
      </c>
      <c r="BZ20" s="9">
        <f t="shared" ca="1" si="42"/>
        <v>75.590489699915508</v>
      </c>
      <c r="CA20" s="6">
        <f t="shared" ca="1" si="43"/>
        <v>41.556929886464644</v>
      </c>
      <c r="CB20" s="6">
        <f t="shared" ca="1" si="44"/>
        <v>0.50266200190849708</v>
      </c>
      <c r="CC20" s="6">
        <f t="shared" ca="1" si="45"/>
        <v>0.23648484107212142</v>
      </c>
      <c r="CD20" s="9">
        <f t="shared" si="46"/>
        <v>45.590489699915508</v>
      </c>
      <c r="CE20" s="9">
        <f t="shared" si="47"/>
        <v>41.556929886464637</v>
      </c>
      <c r="CF20" s="6">
        <f t="shared" si="48"/>
        <v>0.7391468429806185</v>
      </c>
      <c r="CG20" s="6">
        <f t="shared" ca="1" si="49"/>
        <v>0.23648484107212142</v>
      </c>
      <c r="CH20" s="6"/>
      <c r="CI20" s="6"/>
      <c r="CJ20" s="1"/>
      <c r="CK20" s="6"/>
      <c r="CU20">
        <v>4.549020026474869</v>
      </c>
      <c r="CV20">
        <v>4.5489960580250584</v>
      </c>
      <c r="CW20">
        <v>4.5490080422499641</v>
      </c>
      <c r="CX20">
        <v>4.7571599947726639E-4</v>
      </c>
      <c r="CY20">
        <v>-1.7176729977252947E-4</v>
      </c>
      <c r="CZ20">
        <v>1.5197473190786681E-4</v>
      </c>
      <c r="DV20" t="s">
        <v>192</v>
      </c>
      <c r="DW20">
        <f t="array" aca="1" ref="DW20:DZ20" ca="1">MMULT(DW10:DZ10,DW16:DZ19)</f>
        <v>1212.8747500000002</v>
      </c>
      <c r="DX20">
        <f ca="1"/>
        <v>-204.84951764500354</v>
      </c>
      <c r="DY20">
        <f ca="1"/>
        <v>0</v>
      </c>
      <c r="DZ20" s="9">
        <f ca="1"/>
        <v>0</v>
      </c>
      <c r="EB20">
        <f t="array" aca="1" ref="EB20:EE20" ca="1">MMULT(EB10:EE10,DW16:DZ19)</f>
        <v>130.68</v>
      </c>
      <c r="EC20">
        <f ca="1"/>
        <v>7.1633098499306689</v>
      </c>
      <c r="ED20">
        <f ca="1"/>
        <v>29.070441895400986</v>
      </c>
      <c r="EE20" s="9">
        <f ca="1"/>
        <v>0</v>
      </c>
    </row>
    <row r="21" spans="1:136" x14ac:dyDescent="0.25">
      <c r="A21">
        <v>7</v>
      </c>
      <c r="B21" s="19">
        <v>0</v>
      </c>
      <c r="C21" s="6">
        <f t="shared" ca="1" si="37"/>
        <v>0</v>
      </c>
      <c r="D21" s="2">
        <v>0</v>
      </c>
      <c r="E21" s="2">
        <v>0</v>
      </c>
      <c r="G21" s="1">
        <v>9</v>
      </c>
      <c r="H21" s="6">
        <v>1.1279999999999999</v>
      </c>
      <c r="I21" s="6">
        <v>1</v>
      </c>
      <c r="K21" s="1" t="e">
        <f t="shared" si="28"/>
        <v>#N/A</v>
      </c>
      <c r="L21" s="1" t="e">
        <f t="shared" si="29"/>
        <v>#N/A</v>
      </c>
      <c r="T21" s="8" t="s">
        <v>106</v>
      </c>
      <c r="U21" s="37">
        <f ca="1">U16-U19</f>
        <v>-4.6905174236846257E-13</v>
      </c>
      <c r="V21" s="37">
        <f t="shared" ref="V21:W21" ca="1" si="53">V16-V19</f>
        <v>0</v>
      </c>
      <c r="W21" s="37">
        <f t="shared" ca="1" si="53"/>
        <v>2.2802060924574733E-11</v>
      </c>
      <c r="Y21" s="1">
        <f ca="1">((U11*U5)+(U12*U6))/(U8*U14)</f>
        <v>1</v>
      </c>
      <c r="AB21">
        <f>SQRT(POWER(U11,2)+POWER(U12,2))</f>
        <v>30</v>
      </c>
      <c r="AC21">
        <f>U11/AB21</f>
        <v>1</v>
      </c>
      <c r="AD21">
        <f>U12/AB21</f>
        <v>0</v>
      </c>
      <c r="BC21">
        <v>3.3161255787892245</v>
      </c>
      <c r="BD21">
        <v>-33.634844880738335</v>
      </c>
      <c r="BE21">
        <v>-18.507283195529016</v>
      </c>
      <c r="BF21" s="6">
        <f t="shared" si="0"/>
        <v>3.6446211600557485</v>
      </c>
      <c r="BG21" s="6">
        <f t="shared" si="1"/>
        <v>0.32849558126652401</v>
      </c>
      <c r="BH21" s="6">
        <f t="shared" si="2"/>
        <v>2.6385641471238377</v>
      </c>
      <c r="BI21" s="6">
        <f t="shared" si="3"/>
        <v>2.6385641471238377</v>
      </c>
      <c r="BJ21">
        <v>-37.372049867487036</v>
      </c>
      <c r="BK21">
        <v>-20.563647995032241</v>
      </c>
      <c r="BL21">
        <f t="shared" si="31"/>
        <v>38.390393608699043</v>
      </c>
      <c r="BM21">
        <f t="shared" si="32"/>
        <v>-0.87612659624091149</v>
      </c>
      <c r="BN21">
        <f t="shared" si="33"/>
        <v>-0.4820811003963078</v>
      </c>
      <c r="BO21">
        <f t="shared" si="34"/>
        <v>1.8761265962409115</v>
      </c>
      <c r="BP21">
        <f t="shared" si="35"/>
        <v>0.4820811003963078</v>
      </c>
      <c r="BQ21">
        <f t="shared" si="36"/>
        <v>1.9370733575375567</v>
      </c>
      <c r="BR21">
        <v>-594.36602368343006</v>
      </c>
      <c r="BS21">
        <v>-280.36968459902533</v>
      </c>
      <c r="BV21" s="36"/>
      <c r="BW21" s="6">
        <f t="shared" si="39"/>
        <v>1.0471975511965976</v>
      </c>
      <c r="BX21" s="9">
        <f t="shared" ca="1" si="40"/>
        <v>0.21922365508190467</v>
      </c>
      <c r="BY21" s="9">
        <f t="shared" ca="1" si="41"/>
        <v>69.086830130038564</v>
      </c>
      <c r="BZ21" s="9">
        <f t="shared" ca="1" si="42"/>
        <v>65.439906169908753</v>
      </c>
      <c r="CA21" s="6">
        <f t="shared" ca="1" si="43"/>
        <v>47.656544768751246</v>
      </c>
      <c r="CB21" s="6">
        <f t="shared" ca="1" si="44"/>
        <v>0.62943451049818766</v>
      </c>
      <c r="CC21" s="6">
        <f t="shared" ca="1" si="45"/>
        <v>0.30193553372385384</v>
      </c>
      <c r="CD21" s="9">
        <f t="shared" si="46"/>
        <v>35.439906169908753</v>
      </c>
      <c r="CE21" s="9">
        <f t="shared" si="47"/>
        <v>47.656544768751246</v>
      </c>
      <c r="CF21" s="6">
        <f t="shared" si="48"/>
        <v>0.9313700442220415</v>
      </c>
      <c r="CG21" s="6">
        <f t="shared" ca="1" si="49"/>
        <v>0.30193553372385384</v>
      </c>
      <c r="CH21" s="6"/>
      <c r="CI21" s="6"/>
      <c r="CJ21" s="1"/>
      <c r="CK21" s="6"/>
      <c r="CU21">
        <v>4.5490080422499641</v>
      </c>
      <c r="CV21">
        <v>4.5489960580250584</v>
      </c>
      <c r="CW21">
        <v>4.5490020501375117</v>
      </c>
      <c r="CX21">
        <v>1.5197473190786681E-4</v>
      </c>
      <c r="CY21">
        <v>-1.7176729977252947E-4</v>
      </c>
      <c r="CZ21">
        <v>-9.8961885419690532E-6</v>
      </c>
      <c r="DV21" t="s">
        <v>193</v>
      </c>
      <c r="DW21">
        <f t="array" aca="1" ref="DW21:DZ21" ca="1">MMULT(DW11:DZ11,DW16:DZ19)</f>
        <v>0</v>
      </c>
      <c r="DX21">
        <f ca="1"/>
        <v>0</v>
      </c>
      <c r="DY21">
        <f ca="1"/>
        <v>0</v>
      </c>
      <c r="DZ21" s="9">
        <f ca="1"/>
        <v>0</v>
      </c>
      <c r="EB21">
        <f t="array" aca="1" ref="EB21:EE21" ca="1">MMULT(EB11:EE11,DW16:DZ19)</f>
        <v>130.68000000008237</v>
      </c>
      <c r="EC21">
        <f ca="1"/>
        <v>-27.679135994680159</v>
      </c>
      <c r="ED21">
        <f ca="1"/>
        <v>-112.32862062167239</v>
      </c>
      <c r="EE21" s="9">
        <f ca="1"/>
        <v>0</v>
      </c>
    </row>
    <row r="22" spans="1:136" x14ac:dyDescent="0.25">
      <c r="A22">
        <v>8</v>
      </c>
      <c r="B22" s="19">
        <v>0</v>
      </c>
      <c r="C22" s="6">
        <f t="shared" ca="1" si="37"/>
        <v>0</v>
      </c>
      <c r="D22" s="2">
        <v>0</v>
      </c>
      <c r="E22" s="2">
        <v>0</v>
      </c>
      <c r="G22" s="1">
        <v>10</v>
      </c>
      <c r="H22" s="6">
        <v>1.27</v>
      </c>
      <c r="I22" s="6">
        <v>1.27</v>
      </c>
      <c r="K22" s="1" t="e">
        <f t="shared" si="28"/>
        <v>#N/A</v>
      </c>
      <c r="L22" s="1" t="e">
        <f t="shared" si="29"/>
        <v>#N/A</v>
      </c>
      <c r="U22" s="1" t="s">
        <v>98</v>
      </c>
      <c r="V22" s="1" t="s">
        <v>99</v>
      </c>
      <c r="W22" s="1" t="s">
        <v>100</v>
      </c>
      <c r="Y22" s="1">
        <f ca="1">ACOS(Y21)</f>
        <v>0</v>
      </c>
      <c r="AA22" s="9">
        <f ca="1">SUMPRODUCT(U5:U6,U11:U12)</f>
        <v>5268.8581828468259</v>
      </c>
      <c r="AC22">
        <f ca="1">AC21-AC20</f>
        <v>0</v>
      </c>
      <c r="AD22">
        <f ca="1">AD21-AD20</f>
        <v>2.2802060924574733E-11</v>
      </c>
      <c r="AE22">
        <f ca="1">SQRT(POWER(AC22,2)+POWER(AD22,2))</f>
        <v>2.2802060924574733E-11</v>
      </c>
      <c r="BC22">
        <v>3.4906585039886573</v>
      </c>
      <c r="BD22">
        <v>-32.640937298588028</v>
      </c>
      <c r="BE22">
        <v>-27.408727463705905</v>
      </c>
      <c r="BF22" s="6">
        <f t="shared" si="0"/>
        <v>3.8400789402895725</v>
      </c>
      <c r="BG22" s="6">
        <f t="shared" si="1"/>
        <v>0.34942043630091524</v>
      </c>
      <c r="BH22" s="6">
        <f t="shared" si="2"/>
        <v>2.4431063668900137</v>
      </c>
      <c r="BI22" s="6">
        <f t="shared" si="3"/>
        <v>2.4431063668900137</v>
      </c>
      <c r="BJ22">
        <v>-36.267708109542255</v>
      </c>
      <c r="BK22">
        <v>-30.454141626339894</v>
      </c>
      <c r="BL22">
        <f t="shared" si="31"/>
        <v>42.622401726205688</v>
      </c>
      <c r="BM22">
        <f t="shared" si="32"/>
        <v>-0.76581647154151988</v>
      </c>
      <c r="BN22">
        <f t="shared" si="33"/>
        <v>-0.64305919783150312</v>
      </c>
      <c r="BO22">
        <f t="shared" si="34"/>
        <v>1.7658164715415199</v>
      </c>
      <c r="BP22">
        <f t="shared" si="35"/>
        <v>0.64305919783150312</v>
      </c>
      <c r="BQ22">
        <f t="shared" si="36"/>
        <v>1.8792639365142512</v>
      </c>
      <c r="BR22">
        <v>-574.98576334134987</v>
      </c>
      <c r="BS22">
        <v>-358.86000857101641</v>
      </c>
      <c r="BV22" s="36"/>
      <c r="BW22" s="6">
        <f t="shared" si="39"/>
        <v>1.2217304763960306</v>
      </c>
      <c r="BX22" s="9">
        <f t="shared" ca="1" si="40"/>
        <v>-9.2595112734193208</v>
      </c>
      <c r="BY22" s="9">
        <f t="shared" ca="1" si="41"/>
        <v>71.766321068806107</v>
      </c>
      <c r="BZ22" s="9">
        <f t="shared" ca="1" si="42"/>
        <v>55.961171241407527</v>
      </c>
      <c r="CA22" s="6">
        <f t="shared" ca="1" si="43"/>
        <v>50.336035707518789</v>
      </c>
      <c r="CB22" s="6">
        <f t="shared" ca="1" si="44"/>
        <v>0.73252853871758938</v>
      </c>
      <c r="CC22" s="6">
        <f t="shared" ca="1" si="45"/>
        <v>0.36209405421941232</v>
      </c>
      <c r="CD22" s="9">
        <f t="shared" si="46"/>
        <v>25.961171241407527</v>
      </c>
      <c r="CE22" s="9">
        <f t="shared" si="47"/>
        <v>50.336035707518782</v>
      </c>
      <c r="CF22" s="6">
        <f t="shared" si="48"/>
        <v>1.0946225929370017</v>
      </c>
      <c r="CG22" s="6">
        <f t="shared" ca="1" si="49"/>
        <v>0.36209405421941232</v>
      </c>
      <c r="CH22" s="6"/>
      <c r="CI22" s="6"/>
      <c r="CJ22" s="1"/>
      <c r="CK22" s="6"/>
      <c r="CU22">
        <v>4.5490080422499641</v>
      </c>
      <c r="CV22">
        <v>4.5490020501375117</v>
      </c>
      <c r="CW22">
        <v>4.5490050461937379</v>
      </c>
      <c r="CX22">
        <v>1.5197473190786681E-4</v>
      </c>
      <c r="CY22">
        <v>-9.8961885419690532E-6</v>
      </c>
      <c r="CZ22">
        <v>7.103929554830303E-5</v>
      </c>
      <c r="EB22">
        <f t="array" aca="1" ref="EB22:EE22" ca="1">MMULT(EB12:EE12,DW16:DZ19)</f>
        <v>130.68000000008237</v>
      </c>
      <c r="EC22">
        <f ca="1"/>
        <v>10.821815535546957</v>
      </c>
      <c r="ED22">
        <f ca="1"/>
        <v>23.019381149687611</v>
      </c>
      <c r="EE22">
        <f ca="1"/>
        <v>0</v>
      </c>
    </row>
    <row r="23" spans="1:136" x14ac:dyDescent="0.25">
      <c r="A23">
        <v>9</v>
      </c>
      <c r="B23" s="19">
        <v>0</v>
      </c>
      <c r="C23" s="6">
        <f t="shared" ca="1" si="37"/>
        <v>0</v>
      </c>
      <c r="D23" s="2">
        <v>0</v>
      </c>
      <c r="E23" s="2">
        <v>0</v>
      </c>
      <c r="G23" s="1">
        <v>11</v>
      </c>
      <c r="H23" s="6">
        <v>1.41</v>
      </c>
      <c r="I23" s="6">
        <v>1.56</v>
      </c>
      <c r="K23" s="1" t="e">
        <f t="shared" si="28"/>
        <v>#N/A</v>
      </c>
      <c r="L23" s="1" t="e">
        <f t="shared" si="29"/>
        <v>#N/A</v>
      </c>
      <c r="T23" s="8" t="s">
        <v>107</v>
      </c>
      <c r="U23" s="37">
        <f ca="1">Y26</f>
        <v>0</v>
      </c>
      <c r="V23" t="str">
        <f ca="1">IF(ABS(U23)&lt;=L1,"","NG")</f>
        <v/>
      </c>
      <c r="AA23" s="9">
        <f ca="1">U14*U8</f>
        <v>5268.8581828468259</v>
      </c>
      <c r="BC23">
        <v>3.66519142918809</v>
      </c>
      <c r="BD23">
        <v>-31.689349695663999</v>
      </c>
      <c r="BE23">
        <v>-33.538450536338999</v>
      </c>
      <c r="BF23" s="6">
        <f t="shared" si="0"/>
        <v>3.9553315818498058</v>
      </c>
      <c r="BG23" s="6">
        <f t="shared" si="1"/>
        <v>0.29014015266171578</v>
      </c>
      <c r="BH23" s="6">
        <f t="shared" si="2"/>
        <v>2.3278537253297804</v>
      </c>
      <c r="BI23" s="6">
        <f t="shared" si="3"/>
        <v>2.3278537253297804</v>
      </c>
      <c r="BJ23">
        <v>-35.210388550737775</v>
      </c>
      <c r="BK23">
        <v>-37.264945040376666</v>
      </c>
      <c r="BL23">
        <f t="shared" si="31"/>
        <v>46.141549047604997</v>
      </c>
      <c r="BM23">
        <f t="shared" si="32"/>
        <v>-0.68678556203151253</v>
      </c>
      <c r="BN23">
        <f t="shared" si="33"/>
        <v>-0.72686009092882486</v>
      </c>
      <c r="BO23">
        <f t="shared" si="34"/>
        <v>1.6867855620315124</v>
      </c>
      <c r="BP23">
        <f t="shared" si="35"/>
        <v>0.72686009092882486</v>
      </c>
      <c r="BQ23">
        <f t="shared" si="36"/>
        <v>1.8367283751450634</v>
      </c>
      <c r="BR23">
        <v>-550.9974221778856</v>
      </c>
      <c r="BS23">
        <v>-469.09698734709195</v>
      </c>
      <c r="BV23" s="36"/>
      <c r="BW23" s="6">
        <f t="shared" si="39"/>
        <v>1.3962634015954636</v>
      </c>
      <c r="BX23" s="9">
        <f t="shared" ca="1" si="40"/>
        <v>-23.238213703503092</v>
      </c>
      <c r="BY23" s="9">
        <f t="shared" ca="1" si="41"/>
        <v>74.311618862502812</v>
      </c>
      <c r="BZ23" s="9">
        <f t="shared" ca="1" si="42"/>
        <v>41.982468811323756</v>
      </c>
      <c r="CA23" s="6">
        <f t="shared" ca="1" si="43"/>
        <v>52.881333501215494</v>
      </c>
      <c r="CB23" s="6">
        <f t="shared" ca="1" si="44"/>
        <v>0.899786233816954</v>
      </c>
      <c r="CC23" s="6">
        <f t="shared" ca="1" si="45"/>
        <v>0.44818120904264008</v>
      </c>
      <c r="CD23" s="9">
        <f t="shared" si="46"/>
        <v>11.982468811323756</v>
      </c>
      <c r="CE23" s="9">
        <f t="shared" si="47"/>
        <v>52.881333501215487</v>
      </c>
      <c r="CF23" s="6">
        <f t="shared" si="48"/>
        <v>1.347967442859594</v>
      </c>
      <c r="CG23" s="6">
        <f t="shared" ca="1" si="49"/>
        <v>0.44818120904264008</v>
      </c>
      <c r="CH23" s="6"/>
      <c r="CI23" s="6"/>
      <c r="CJ23" s="1"/>
      <c r="CK23" s="6"/>
      <c r="CU23">
        <v>4.5490050461937379</v>
      </c>
      <c r="CV23">
        <v>4.5490020501375117</v>
      </c>
      <c r="CW23">
        <v>4.5490035481656248</v>
      </c>
      <c r="CX23">
        <v>7.103929554830303E-5</v>
      </c>
      <c r="CY23">
        <v>-9.8961885419690532E-6</v>
      </c>
      <c r="CZ23">
        <v>3.0571559466174847E-5</v>
      </c>
      <c r="DV23" t="s">
        <v>200</v>
      </c>
    </row>
    <row r="24" spans="1:136" ht="15.75" thickBot="1" x14ac:dyDescent="0.3">
      <c r="A24">
        <v>10</v>
      </c>
      <c r="B24" s="19">
        <v>0</v>
      </c>
      <c r="C24" s="11">
        <f t="shared" ca="1" si="37"/>
        <v>0</v>
      </c>
      <c r="D24" s="2">
        <v>0</v>
      </c>
      <c r="E24" s="2">
        <v>0</v>
      </c>
      <c r="G24" s="1">
        <v>14</v>
      </c>
      <c r="H24" s="6">
        <v>1.6930000000000001</v>
      </c>
      <c r="I24" s="6">
        <v>2.25</v>
      </c>
      <c r="K24" s="1" t="e">
        <f t="shared" si="28"/>
        <v>#N/A</v>
      </c>
      <c r="L24" s="1" t="e">
        <f t="shared" si="29"/>
        <v>#N/A</v>
      </c>
      <c r="AA24" s="9">
        <f ca="1">AA22/AA23</f>
        <v>1</v>
      </c>
      <c r="BC24">
        <v>3.8397243543875228</v>
      </c>
      <c r="BD24">
        <v>-30.482867931848059</v>
      </c>
      <c r="BE24">
        <v>-37.60969518797782</v>
      </c>
      <c r="BF24" s="6">
        <f t="shared" si="0"/>
        <v>4.0312749415287508</v>
      </c>
      <c r="BG24" s="6">
        <f t="shared" si="1"/>
        <v>0.19155058714122797</v>
      </c>
      <c r="BH24" s="6">
        <f t="shared" si="2"/>
        <v>2.2519103656508355</v>
      </c>
      <c r="BI24" s="6">
        <f t="shared" si="3"/>
        <v>2.2519103656508355</v>
      </c>
      <c r="BJ24">
        <v>-33.869853257608952</v>
      </c>
      <c r="BK24">
        <v>-41.788550208864244</v>
      </c>
      <c r="BL24">
        <f t="shared" si="31"/>
        <v>48.411717687798401</v>
      </c>
      <c r="BM24">
        <f t="shared" si="32"/>
        <v>-0.62965887986930291</v>
      </c>
      <c r="BN24">
        <f t="shared" si="33"/>
        <v>-0.77687173651879937</v>
      </c>
      <c r="BO24">
        <f t="shared" si="34"/>
        <v>1.6296588798693028</v>
      </c>
      <c r="BP24">
        <f t="shared" si="35"/>
        <v>0.77687173651879937</v>
      </c>
      <c r="BQ24">
        <f t="shared" si="36"/>
        <v>1.805358069674436</v>
      </c>
      <c r="BR24">
        <v>-473.26480537636746</v>
      </c>
      <c r="BS24">
        <v>-579.57285847667572</v>
      </c>
      <c r="BV24" s="36"/>
      <c r="BW24" s="6">
        <f t="shared" si="39"/>
        <v>1.5707963267948966</v>
      </c>
      <c r="BX24" s="9">
        <f t="shared" ca="1" si="40"/>
        <v>-44.439834553003919</v>
      </c>
      <c r="BY24" s="9">
        <f t="shared" ca="1" si="41"/>
        <v>75.413905146141815</v>
      </c>
      <c r="BZ24" s="9">
        <f t="shared" ca="1" si="42"/>
        <v>20.780847961822928</v>
      </c>
      <c r="CA24" s="6">
        <f t="shared" ca="1" si="43"/>
        <v>53.983619784854497</v>
      </c>
      <c r="CB24" s="6">
        <f t="shared" ca="1" si="44"/>
        <v>1.2033333939460684</v>
      </c>
      <c r="CC24" s="6">
        <f t="shared" ca="1" si="45"/>
        <v>0.53660801359222365</v>
      </c>
      <c r="CD24" s="9">
        <f t="shared" si="46"/>
        <v>-9.2191520381770751</v>
      </c>
      <c r="CE24" s="9">
        <f t="shared" si="47"/>
        <v>53.98361978485449</v>
      </c>
      <c r="CF24" s="6">
        <f t="shared" si="48"/>
        <v>1.7399414075382922</v>
      </c>
      <c r="CG24" s="6">
        <f t="shared" ca="1" si="49"/>
        <v>0.53660801359222365</v>
      </c>
      <c r="CH24" s="6"/>
      <c r="CI24" s="6"/>
      <c r="CJ24" s="1"/>
      <c r="CK24" s="6"/>
      <c r="CU24">
        <v>4.5490035481656248</v>
      </c>
      <c r="CV24">
        <v>4.5490020501375117</v>
      </c>
      <c r="CW24">
        <v>4.5490027991515678</v>
      </c>
      <c r="CX24">
        <v>3.0571559466174847E-5</v>
      </c>
      <c r="CY24">
        <v>-9.8961885419690532E-6</v>
      </c>
      <c r="CZ24">
        <v>1.0337686942030189E-5</v>
      </c>
      <c r="DV24" t="s">
        <v>196</v>
      </c>
      <c r="DW24">
        <f ca="1">ATAN2(DW20,DX20)</f>
        <v>-0.1673168300386558</v>
      </c>
    </row>
    <row r="25" spans="1:136" ht="15.75" thickTop="1" x14ac:dyDescent="0.25">
      <c r="C25" s="6">
        <f ca="1">SUM(C15:C24)</f>
        <v>2.42</v>
      </c>
      <c r="D25" s="24">
        <f ca="1">C25/(G12)</f>
        <v>6.7222222222222223E-3</v>
      </c>
      <c r="G25" s="1">
        <v>18</v>
      </c>
      <c r="H25" s="6">
        <v>2.2570000000000001</v>
      </c>
      <c r="I25" s="6">
        <v>4</v>
      </c>
      <c r="Y25" s="36">
        <f ca="1">((U19*U16)+(V19*V16)+(W19*W16))/SQRT((U16*U16+V16*V16+W16*W16)*(U19*U19+V19*V19+W19*W19))</f>
        <v>1</v>
      </c>
      <c r="AA25">
        <f ca="1">ACOS(AA24)</f>
        <v>0</v>
      </c>
      <c r="AC25">
        <f ca="1">COS(U7)</f>
        <v>1</v>
      </c>
      <c r="AD25" s="36">
        <f ca="1">-1*SIN(U7)</f>
        <v>2.2802449598652297E-11</v>
      </c>
      <c r="AE25" cm="1">
        <f t="array" aca="1" ref="AE25:AE26" ca="1">MMULT(AC25:AD26,U5:U6)</f>
        <v>175.6286060948942</v>
      </c>
      <c r="BC25">
        <v>4.014257279586956</v>
      </c>
      <c r="BD25">
        <v>-28.90086708372009</v>
      </c>
      <c r="BE25">
        <v>-40.091298134642258</v>
      </c>
      <c r="BF25" s="6">
        <f t="shared" si="0"/>
        <v>4.087789039597971</v>
      </c>
      <c r="BG25" s="6">
        <f t="shared" si="1"/>
        <v>7.3531760011015024E-2</v>
      </c>
      <c r="BH25" s="6">
        <f t="shared" si="2"/>
        <v>2.1953962675816152</v>
      </c>
      <c r="BI25" s="6">
        <f t="shared" si="3"/>
        <v>2.1953962675816152</v>
      </c>
      <c r="BJ25">
        <v>-32.112074537466768</v>
      </c>
      <c r="BK25">
        <v>-44.545886816269174</v>
      </c>
      <c r="BL25">
        <f t="shared" si="31"/>
        <v>49.422386671544153</v>
      </c>
      <c r="BM25">
        <f t="shared" si="32"/>
        <v>-0.58477279285988626</v>
      </c>
      <c r="BN25">
        <f t="shared" si="33"/>
        <v>-0.81119712815742184</v>
      </c>
      <c r="BO25">
        <f t="shared" si="34"/>
        <v>1.5847727928598863</v>
      </c>
      <c r="BP25">
        <f t="shared" si="35"/>
        <v>0.81119712815742184</v>
      </c>
      <c r="BQ25">
        <f t="shared" si="36"/>
        <v>1.7803217646593474</v>
      </c>
      <c r="BR25">
        <v>-336.83042875423058</v>
      </c>
      <c r="BS25">
        <v>-666.46940863167481</v>
      </c>
      <c r="BV25" s="36"/>
      <c r="BW25" s="6">
        <f t="shared" si="39"/>
        <v>1.7453292519943295</v>
      </c>
      <c r="BX25" s="9">
        <f t="shared" ca="1" si="40"/>
        <v>-66.428821120543319</v>
      </c>
      <c r="BY25" s="9">
        <f t="shared" ca="1" si="41"/>
        <v>74.201430530980545</v>
      </c>
      <c r="BZ25" s="9">
        <f t="shared" ca="1" si="42"/>
        <v>-1.2081386057164707</v>
      </c>
      <c r="CA25" s="6">
        <f t="shared" ca="1" si="43"/>
        <v>52.771145169693227</v>
      </c>
      <c r="CB25" s="6">
        <f t="shared" ca="1" si="44"/>
        <v>1.5936862525976496</v>
      </c>
      <c r="CC25" s="6">
        <f t="shared" ca="1" si="45"/>
        <v>0.51117198534634301</v>
      </c>
      <c r="CD25" s="9">
        <f t="shared" si="46"/>
        <v>-31.208138605716464</v>
      </c>
      <c r="CE25" s="9">
        <f t="shared" si="47"/>
        <v>52.77114516969322</v>
      </c>
      <c r="CF25" s="6">
        <f t="shared" si="48"/>
        <v>2.1048582379439926</v>
      </c>
      <c r="CG25" s="6">
        <f t="shared" ca="1" si="49"/>
        <v>0.51117198534634301</v>
      </c>
      <c r="CH25" s="6"/>
      <c r="CI25" s="6"/>
      <c r="CJ25" s="1"/>
      <c r="CK25" s="6"/>
      <c r="CU25">
        <v>4.5490027991515678</v>
      </c>
      <c r="CV25">
        <v>4.5490020501375117</v>
      </c>
      <c r="CW25">
        <v>4.5490024246445397</v>
      </c>
      <c r="CX25">
        <v>1.0337686942030189E-5</v>
      </c>
      <c r="CY25">
        <v>-9.8961885419690532E-6</v>
      </c>
      <c r="CZ25">
        <v>2.2074957417572702E-7</v>
      </c>
      <c r="DV25" t="s">
        <v>197</v>
      </c>
      <c r="DW25">
        <v>0</v>
      </c>
      <c r="DX25">
        <v>0</v>
      </c>
      <c r="DY25">
        <v>1</v>
      </c>
    </row>
    <row r="26" spans="1:136" x14ac:dyDescent="0.25">
      <c r="E26" s="8" t="s">
        <v>85</v>
      </c>
      <c r="F26" s="20" t="s">
        <v>246</v>
      </c>
      <c r="G26" s="1" t="s">
        <v>80</v>
      </c>
      <c r="H26" s="23">
        <v>4.0000000000000001E-3</v>
      </c>
      <c r="I26" s="6">
        <f>IF(F26="web",(B5*F27)*H26,G12*H26)</f>
        <v>1.44</v>
      </c>
      <c r="Y26">
        <f ca="1">ACOS(Y25)</f>
        <v>0</v>
      </c>
      <c r="AA26">
        <f ca="1">IF((U13-U7)=0,0,ATAN2(COS(U13-U7),SIN(U13-U7)))</f>
        <v>2.2802449598652297E-11</v>
      </c>
      <c r="AC26">
        <f ca="1">SIN(U7)</f>
        <v>-2.2802449598652297E-11</v>
      </c>
      <c r="AD26">
        <f ca="1">COS(U7)</f>
        <v>1</v>
      </c>
      <c r="AE26">
        <f ca="1"/>
        <v>-8.0094566148342972E-9</v>
      </c>
      <c r="BC26">
        <v>4.1887902047863887</v>
      </c>
      <c r="BD26">
        <v>-26.091738759054863</v>
      </c>
      <c r="BE26">
        <v>-43.04403219214376</v>
      </c>
      <c r="BF26" s="6">
        <f t="shared" si="0"/>
        <v>4.1674495173223232</v>
      </c>
      <c r="BG26" s="6">
        <f t="shared" si="1"/>
        <v>2.1340687464065589E-2</v>
      </c>
      <c r="BH26" s="6">
        <f t="shared" si="2"/>
        <v>2.1157357898572631</v>
      </c>
      <c r="BI26" s="6">
        <f t="shared" si="3"/>
        <v>2.1157357898572631</v>
      </c>
      <c r="BJ26">
        <v>-28.990820843394292</v>
      </c>
      <c r="BK26">
        <v>-47.826702435715291</v>
      </c>
      <c r="BL26">
        <f t="shared" si="31"/>
        <v>50.334556110380809</v>
      </c>
      <c r="BM26">
        <f t="shared" si="32"/>
        <v>-0.51836632276714967</v>
      </c>
      <c r="BN26">
        <f t="shared" si="33"/>
        <v>-0.8551586726572229</v>
      </c>
      <c r="BO26">
        <f t="shared" si="34"/>
        <v>1.5183663227671498</v>
      </c>
      <c r="BP26">
        <f t="shared" si="35"/>
        <v>0.8551586726572229</v>
      </c>
      <c r="BQ26">
        <f t="shared" si="36"/>
        <v>1.7426223473645401</v>
      </c>
      <c r="BR26">
        <v>-158.78018139861905</v>
      </c>
      <c r="BS26">
        <v>-720.15166659118233</v>
      </c>
      <c r="BV26" s="36"/>
      <c r="BW26" s="6">
        <f t="shared" si="39"/>
        <v>1.9198621771937625</v>
      </c>
      <c r="BX26" s="9">
        <f t="shared" ca="1" si="40"/>
        <v>-81.312143987748499</v>
      </c>
      <c r="BY26" s="9">
        <f t="shared" ca="1" si="41"/>
        <v>69.428531235522541</v>
      </c>
      <c r="BZ26" s="9">
        <f t="shared" ca="1" si="42"/>
        <v>-16.091461472921651</v>
      </c>
      <c r="CA26" s="6">
        <f t="shared" ca="1" si="43"/>
        <v>47.998245874235224</v>
      </c>
      <c r="CB26" s="6">
        <f t="shared" ca="1" si="44"/>
        <v>1.8942718160842116</v>
      </c>
      <c r="CC26" s="6">
        <f t="shared" ca="1" si="45"/>
        <v>0.44165984744995512</v>
      </c>
      <c r="CD26" s="9">
        <f t="shared" si="46"/>
        <v>-46.091461472921651</v>
      </c>
      <c r="CE26" s="9">
        <f t="shared" si="47"/>
        <v>47.998245874235216</v>
      </c>
      <c r="CF26" s="6">
        <f t="shared" si="48"/>
        <v>2.3359316635341667</v>
      </c>
      <c r="CG26" s="6">
        <f t="shared" ca="1" si="49"/>
        <v>0.44165984744995512</v>
      </c>
      <c r="CH26" s="6"/>
      <c r="CI26" s="6"/>
      <c r="CJ26" s="1"/>
      <c r="CK26" s="6"/>
      <c r="DW26">
        <f ca="1">(DW25*DW25*(1-COS(DW24)))+COS(DW24)</f>
        <v>0.98603516355400833</v>
      </c>
      <c r="DX26">
        <f ca="1">(DX25*DW25*(1-COS(DW24)))-(DY25*SIN(DW24))</f>
        <v>0.1665372517937658</v>
      </c>
      <c r="DY26">
        <f ca="1">(DY25*DW25*(1-COS(DW24)))+(DX25*SIN(DW24))</f>
        <v>0</v>
      </c>
      <c r="DZ26">
        <v>0</v>
      </c>
    </row>
    <row r="27" spans="1:136" x14ac:dyDescent="0.25">
      <c r="A27" s="8" t="s">
        <v>15</v>
      </c>
      <c r="B27" s="31">
        <v>0.14442014782718607</v>
      </c>
      <c r="C27" t="s">
        <v>16</v>
      </c>
      <c r="E27" s="8" t="s">
        <v>89</v>
      </c>
      <c r="F27" s="3" cm="1">
        <f t="array" ref="F27">B8-MIN(IF(E15:E24&gt;0,E15:E24))</f>
        <v>22.5</v>
      </c>
      <c r="G27" s="1" t="s">
        <v>81</v>
      </c>
      <c r="H27" s="23">
        <v>1E-3</v>
      </c>
      <c r="I27" s="6">
        <f>IF(F26="web",(B5*F27)*H27,G12*H27)</f>
        <v>0.36</v>
      </c>
      <c r="BC27">
        <v>4.3633231299858215</v>
      </c>
      <c r="BD27">
        <v>-16.091461472921825</v>
      </c>
      <c r="BE27">
        <v>-47.998245874235124</v>
      </c>
      <c r="BF27" s="6">
        <f t="shared" si="0"/>
        <v>4.3889134910953711</v>
      </c>
      <c r="BG27" s="6">
        <f t="shared" si="1"/>
        <v>2.5590361109549598E-2</v>
      </c>
      <c r="BH27" s="6">
        <f t="shared" si="2"/>
        <v>1.8942718160842154</v>
      </c>
      <c r="BI27" s="6">
        <f t="shared" si="3"/>
        <v>1.8942718160842154</v>
      </c>
      <c r="BJ27">
        <v>-17.879401636579804</v>
      </c>
      <c r="BK27">
        <v>-53.331384304705693</v>
      </c>
      <c r="BL27">
        <f t="shared" si="31"/>
        <v>50.623776423120155</v>
      </c>
      <c r="BM27">
        <f t="shared" si="32"/>
        <v>-0.31786371167625432</v>
      </c>
      <c r="BN27">
        <f t="shared" si="33"/>
        <v>-0.94813641465740317</v>
      </c>
      <c r="BO27">
        <f t="shared" si="34"/>
        <v>1.3178637116762544</v>
      </c>
      <c r="BP27">
        <f t="shared" si="35"/>
        <v>0.94813641465740317</v>
      </c>
      <c r="BQ27">
        <f t="shared" si="36"/>
        <v>1.6234923539556658</v>
      </c>
      <c r="BR27">
        <v>44.073474798917175</v>
      </c>
      <c r="BS27">
        <v>-715.5721458622877</v>
      </c>
      <c r="BV27" s="36"/>
      <c r="BW27" s="6">
        <f t="shared" si="39"/>
        <v>2.0943951023931953</v>
      </c>
      <c r="BX27" s="9">
        <f t="shared" ca="1" si="40"/>
        <v>-91.312421273881583</v>
      </c>
      <c r="BY27" s="9">
        <f t="shared" ca="1" si="41"/>
        <v>64.474317553431135</v>
      </c>
      <c r="BZ27" s="9">
        <f t="shared" ca="1" si="42"/>
        <v>-26.091738759054735</v>
      </c>
      <c r="CA27" s="6">
        <f t="shared" ca="1" si="43"/>
        <v>43.044032192143817</v>
      </c>
      <c r="CB27" s="6">
        <f t="shared" ca="1" si="44"/>
        <v>2.1157357898572609</v>
      </c>
      <c r="CC27" s="6">
        <f t="shared" ca="1" si="45"/>
        <v>0.37132106010355548</v>
      </c>
      <c r="CD27" s="9">
        <f t="shared" si="46"/>
        <v>-56.091738759054735</v>
      </c>
      <c r="CE27" s="9">
        <f t="shared" si="47"/>
        <v>43.04403219214381</v>
      </c>
      <c r="CF27" s="6">
        <f t="shared" si="48"/>
        <v>2.4870568499608163</v>
      </c>
      <c r="CG27" s="6">
        <f t="shared" ca="1" si="49"/>
        <v>0.37132106010355548</v>
      </c>
      <c r="CH27" s="6"/>
      <c r="CI27" s="6"/>
      <c r="CJ27" s="1"/>
      <c r="CK27" s="6"/>
      <c r="DW27">
        <f ca="1">(DW25*DX25*(1-COS(DW24)))+(DY25*SIN(DW24))</f>
        <v>-0.1665372517937658</v>
      </c>
      <c r="DX27">
        <f ca="1">(DX25*DX25*(1-COS(DW24)))+COS(DW24)</f>
        <v>0.98603516355400833</v>
      </c>
      <c r="DY27">
        <f ca="1">(DY25*DX25*(1-COS(DW24)))-(DW25*SIN(DW24))</f>
        <v>0</v>
      </c>
      <c r="DZ27">
        <v>0</v>
      </c>
    </row>
    <row r="28" spans="1:136" x14ac:dyDescent="0.25">
      <c r="A28" s="8" t="s">
        <v>17</v>
      </c>
      <c r="B28" s="31">
        <v>3.4538135990366818</v>
      </c>
      <c r="C28" t="s">
        <v>4</v>
      </c>
      <c r="E28" s="8" t="s">
        <v>86</v>
      </c>
      <c r="F28" s="22">
        <f>MAX(200/(B12*1000),(3*SQRT(B2*1000))/(B12*1000))</f>
        <v>3.5355339059327377E-3</v>
      </c>
      <c r="G28" s="1" t="s">
        <v>82</v>
      </c>
      <c r="H28" s="21" t="s">
        <v>84</v>
      </c>
      <c r="I28" s="7">
        <v>1</v>
      </c>
      <c r="Y28" s="80">
        <f ca="1">SUMPRODUCT(U5:U6,U11:U12)</f>
        <v>5268.8581828468259</v>
      </c>
      <c r="AC28">
        <f>COS(U13)</f>
        <v>1</v>
      </c>
      <c r="AD28" s="36">
        <f>-1*SIN(U13)</f>
        <v>0</v>
      </c>
      <c r="AE28" cm="1">
        <f t="array" ref="AE28:AE29">MMULT(AC28:AD29,U11:U12)</f>
        <v>30</v>
      </c>
      <c r="BC28">
        <v>4.5378560551852543</v>
      </c>
      <c r="BD28">
        <v>-1.2081386057167613</v>
      </c>
      <c r="BE28">
        <v>-52.77114516969317</v>
      </c>
      <c r="BF28" s="6">
        <f t="shared" si="0"/>
        <v>4.6894990545819315</v>
      </c>
      <c r="BG28" s="6">
        <f t="shared" si="1"/>
        <v>0.15164299939667725</v>
      </c>
      <c r="BH28" s="6">
        <f t="shared" si="2"/>
        <v>1.593686252597655</v>
      </c>
      <c r="BI28" s="6">
        <f t="shared" si="3"/>
        <v>1.593686252597655</v>
      </c>
      <c r="BJ28">
        <v>-1.3423762285741792</v>
      </c>
      <c r="BK28">
        <v>-58.634605744103524</v>
      </c>
      <c r="BL28">
        <f t="shared" ref="BL28:BL39" si="54">SQRT(POWER(BD28,2)+POWER(BE28,2))</f>
        <v>52.784972874971281</v>
      </c>
      <c r="BM28">
        <f t="shared" ref="BM28:BM39" si="55">BD28/BL28</f>
        <v>-2.2887926997299204E-2</v>
      </c>
      <c r="BN28">
        <f t="shared" ref="BN28:BN39" si="56">BE28/BL28</f>
        <v>-0.99973803708659914</v>
      </c>
      <c r="BO28">
        <f t="shared" ref="BO28:BO39" si="57">$AC$21-BM28</f>
        <v>1.0228879269972992</v>
      </c>
      <c r="BP28">
        <f t="shared" ref="BP28:BP39" si="58">$AD$21-BN28</f>
        <v>0.99973803708659914</v>
      </c>
      <c r="BQ28">
        <f t="shared" ref="BQ28:BQ39" si="59">SQRT(POWER(BO28,2)+POWER(BP28,2))</f>
        <v>1.4303062098706691</v>
      </c>
      <c r="BR28">
        <v>265.50417392969308</v>
      </c>
      <c r="BS28">
        <v>-678.65691306624285</v>
      </c>
      <c r="BV28" s="36"/>
      <c r="BW28" s="6">
        <f t="shared" si="39"/>
        <v>2.268928027592628</v>
      </c>
      <c r="BX28" s="9">
        <f t="shared" ca="1" si="40"/>
        <v>-94.121549598546935</v>
      </c>
      <c r="BY28" s="9">
        <f t="shared" ca="1" si="41"/>
        <v>61.521583495929647</v>
      </c>
      <c r="BZ28" s="9">
        <f t="shared" ca="1" si="42"/>
        <v>-28.900867083720087</v>
      </c>
      <c r="CA28" s="6">
        <f t="shared" ca="1" si="43"/>
        <v>40.091298134642329</v>
      </c>
      <c r="CB28" s="6">
        <f t="shared" ca="1" si="44"/>
        <v>2.1953962675816139</v>
      </c>
      <c r="CC28" s="6">
        <f t="shared" ca="1" si="45"/>
        <v>0.3485704801217393</v>
      </c>
      <c r="CD28" s="9">
        <f t="shared" si="46"/>
        <v>-58.900867083720087</v>
      </c>
      <c r="CE28" s="9">
        <f t="shared" si="47"/>
        <v>40.091298134642322</v>
      </c>
      <c r="CF28" s="6">
        <f t="shared" si="48"/>
        <v>2.5439667477033532</v>
      </c>
      <c r="CG28" s="6">
        <f t="shared" ca="1" si="49"/>
        <v>0.3485704801217393</v>
      </c>
      <c r="CH28" s="6"/>
      <c r="CI28" s="6"/>
      <c r="CJ28" s="1"/>
      <c r="CK28" s="6"/>
      <c r="DW28">
        <f ca="1">(DW25*DY25*(1-COS(DW24)))-(DX25*SIN(DW24))</f>
        <v>0</v>
      </c>
      <c r="DX28">
        <f ca="1">(DX25*DY25*(1-COS(DW24)))+(DW25*SIN(DW24))</f>
        <v>0</v>
      </c>
      <c r="DY28">
        <f ca="1">(DY25*DY25*(1-COS(DW24)))+COS(DW24)</f>
        <v>1</v>
      </c>
      <c r="DZ28">
        <v>0</v>
      </c>
    </row>
    <row r="29" spans="1:136" x14ac:dyDescent="0.25">
      <c r="A29" s="8" t="s">
        <v>18</v>
      </c>
      <c r="B29" s="6">
        <f>B28*B4</f>
        <v>2.7630508792293451</v>
      </c>
      <c r="C29" t="s">
        <v>4</v>
      </c>
      <c r="G29" s="1" t="s">
        <v>83</v>
      </c>
      <c r="H29" s="21" t="s">
        <v>84</v>
      </c>
      <c r="I29" s="7">
        <v>4.6500000000000004</v>
      </c>
      <c r="Y29" s="80">
        <f ca="1">U14*U8</f>
        <v>5268.8581828468259</v>
      </c>
      <c r="AC29">
        <f>SIN(U13)</f>
        <v>0</v>
      </c>
      <c r="AD29">
        <f>COS(U13)</f>
        <v>1</v>
      </c>
      <c r="AE29">
        <v>0</v>
      </c>
      <c r="BC29">
        <v>4.712388980384687</v>
      </c>
      <c r="BD29">
        <v>20.780847961822417</v>
      </c>
      <c r="BE29">
        <v>-53.983619784854469</v>
      </c>
      <c r="BF29" s="6">
        <f t="shared" si="0"/>
        <v>5.0798519132335098</v>
      </c>
      <c r="BG29" s="6">
        <f t="shared" si="1"/>
        <v>0.36746293284882281</v>
      </c>
      <c r="BH29" s="6">
        <f t="shared" si="2"/>
        <v>1.2033333939460766</v>
      </c>
      <c r="BI29" s="6">
        <f t="shared" si="3"/>
        <v>1.2033333939460766</v>
      </c>
      <c r="BJ29">
        <v>23.089831068691574</v>
      </c>
      <c r="BK29">
        <v>-59.981799760949407</v>
      </c>
      <c r="BL29">
        <f t="shared" si="54"/>
        <v>57.84526641902611</v>
      </c>
      <c r="BM29">
        <f t="shared" si="55"/>
        <v>0.35924889361365803</v>
      </c>
      <c r="BN29">
        <f t="shared" si="56"/>
        <v>-0.93324178669697522</v>
      </c>
      <c r="BO29">
        <f t="shared" si="57"/>
        <v>0.64075110638634203</v>
      </c>
      <c r="BP29">
        <f t="shared" si="58"/>
        <v>0.93324178669697522</v>
      </c>
      <c r="BQ29">
        <f t="shared" si="59"/>
        <v>1.1320345457505632</v>
      </c>
      <c r="BR29">
        <v>462.99217492455364</v>
      </c>
      <c r="BS29">
        <v>-623.80755044656905</v>
      </c>
      <c r="BV29" s="36"/>
      <c r="BW29" s="6">
        <f t="shared" si="39"/>
        <v>2.4434609527920608</v>
      </c>
      <c r="BX29" s="9">
        <f t="shared" ca="1" si="40"/>
        <v>-95.703550446674853</v>
      </c>
      <c r="BY29" s="9">
        <f t="shared" ca="1" si="41"/>
        <v>59.039980549265167</v>
      </c>
      <c r="BZ29" s="9">
        <f t="shared" ca="1" si="42"/>
        <v>-30.482867931848006</v>
      </c>
      <c r="CA29" s="6">
        <f t="shared" ca="1" si="43"/>
        <v>37.609695187977849</v>
      </c>
      <c r="CB29" s="6">
        <f t="shared" ca="1" si="44"/>
        <v>2.2519103656508341</v>
      </c>
      <c r="CC29" s="6">
        <f t="shared" ca="1" si="45"/>
        <v>0.33337014234925721</v>
      </c>
      <c r="CD29" s="9">
        <f t="shared" si="46"/>
        <v>-60.482867931848013</v>
      </c>
      <c r="CE29" s="9">
        <f t="shared" si="47"/>
        <v>37.609695187977842</v>
      </c>
      <c r="CF29" s="6">
        <f t="shared" si="48"/>
        <v>2.5852805080000913</v>
      </c>
      <c r="CG29" s="6">
        <f t="shared" ca="1" si="49"/>
        <v>0.33337014234925721</v>
      </c>
      <c r="CH29" s="6"/>
      <c r="CI29" s="6"/>
      <c r="CJ29" s="1"/>
      <c r="CK29" s="6"/>
      <c r="DW29">
        <v>0</v>
      </c>
      <c r="DX29">
        <v>0</v>
      </c>
      <c r="DY29">
        <v>0</v>
      </c>
      <c r="DZ29">
        <v>1</v>
      </c>
      <c r="EF29" t="s">
        <v>204</v>
      </c>
    </row>
    <row r="30" spans="1:136" x14ac:dyDescent="0.25">
      <c r="A30" s="8" t="s">
        <v>101</v>
      </c>
      <c r="B30" s="1">
        <v>3.0000000000000001E-3</v>
      </c>
      <c r="BC30">
        <v>4.8869219055841198</v>
      </c>
      <c r="BD30">
        <v>41.982468811323422</v>
      </c>
      <c r="BE30">
        <v>-52.881333501215536</v>
      </c>
      <c r="BF30" s="6">
        <f t="shared" si="0"/>
        <v>5.3833990733626278</v>
      </c>
      <c r="BG30" s="6">
        <f t="shared" si="1"/>
        <v>0.49647716777850803</v>
      </c>
      <c r="BH30" s="6">
        <f t="shared" si="2"/>
        <v>0.89978623381695877</v>
      </c>
      <c r="BI30" s="6">
        <f t="shared" si="3"/>
        <v>0.89978623381695877</v>
      </c>
      <c r="BJ30">
        <v>46.647187568137134</v>
      </c>
      <c r="BK30">
        <v>-58.757037223572816</v>
      </c>
      <c r="BL30">
        <f t="shared" si="54"/>
        <v>67.520094196916844</v>
      </c>
      <c r="BM30">
        <f t="shared" si="55"/>
        <v>0.62177740287039551</v>
      </c>
      <c r="BN30">
        <f t="shared" si="56"/>
        <v>-0.7831940125407918</v>
      </c>
      <c r="BO30">
        <f t="shared" si="57"/>
        <v>0.37822259712960449</v>
      </c>
      <c r="BP30">
        <f t="shared" si="58"/>
        <v>0.7831940125407918</v>
      </c>
      <c r="BQ30">
        <f t="shared" si="59"/>
        <v>0.86973857811368183</v>
      </c>
      <c r="BR30">
        <v>529.25582476553927</v>
      </c>
      <c r="BS30">
        <v>-587.16674155948692</v>
      </c>
      <c r="BV30" s="36"/>
      <c r="BW30" s="6">
        <f t="shared" si="39"/>
        <v>2.6179938779914935</v>
      </c>
      <c r="BX30" s="9">
        <f t="shared" ca="1" si="40"/>
        <v>-96.91003221049084</v>
      </c>
      <c r="BY30" s="9">
        <f t="shared" ca="1" si="41"/>
        <v>54.968735897626431</v>
      </c>
      <c r="BZ30" s="9">
        <f t="shared" ca="1" si="42"/>
        <v>-31.689349695663992</v>
      </c>
      <c r="CA30" s="6">
        <f t="shared" ca="1" si="43"/>
        <v>33.538450536339113</v>
      </c>
      <c r="CB30" s="6">
        <f t="shared" ca="1" si="44"/>
        <v>2.3278537253297786</v>
      </c>
      <c r="CC30" s="6">
        <f t="shared" ca="1" si="45"/>
        <v>0.31577106861900539</v>
      </c>
      <c r="CD30" s="9">
        <f t="shared" si="46"/>
        <v>-61.689349695663999</v>
      </c>
      <c r="CE30" s="9">
        <f t="shared" si="47"/>
        <v>33.538450536339106</v>
      </c>
      <c r="CF30" s="6">
        <f t="shared" si="48"/>
        <v>2.643624793948784</v>
      </c>
      <c r="CG30" s="6">
        <f t="shared" ca="1" si="49"/>
        <v>0.31577106861900539</v>
      </c>
      <c r="CH30" s="6"/>
      <c r="CI30" s="6"/>
      <c r="CJ30" s="1"/>
      <c r="CK30" s="6"/>
      <c r="DV30" t="s">
        <v>192</v>
      </c>
      <c r="DW30">
        <f t="array" aca="1" ref="DW30:DZ30" ca="1">MMULT(DW20:DZ20,DW26:DZ29)</f>
        <v>1230.0522281866547</v>
      </c>
      <c r="DX30">
        <f ca="1"/>
        <v>-2.8421709430404007E-14</v>
      </c>
      <c r="DY30">
        <f ca="1"/>
        <v>0</v>
      </c>
      <c r="DZ30" s="9">
        <f ca="1"/>
        <v>0</v>
      </c>
      <c r="EB30">
        <f t="array" aca="1" ref="EB30:EE30" ca="1">MMULT(EB20:EE20,DW26:DZ29)</f>
        <v>127.66211723708315</v>
      </c>
      <c r="EC30">
        <f ca="1"/>
        <v>28.826363463873744</v>
      </c>
      <c r="ED30">
        <f ca="1"/>
        <v>29.070441895400986</v>
      </c>
      <c r="EE30" s="9">
        <f ca="1"/>
        <v>0</v>
      </c>
      <c r="EF30">
        <f ca="1">ATAN2(EC30,ED30)</f>
        <v>0.78961388797954135</v>
      </c>
    </row>
    <row r="31" spans="1:136" x14ac:dyDescent="0.25">
      <c r="A31" s="8" t="s">
        <v>49</v>
      </c>
      <c r="B31" s="6">
        <f>B2*0.85</f>
        <v>4.25</v>
      </c>
      <c r="C31" t="s">
        <v>1</v>
      </c>
      <c r="Y31" s="36">
        <f ca="1">ACOS(Y28/Y29)</f>
        <v>0</v>
      </c>
      <c r="BC31">
        <v>5.0614548307835525</v>
      </c>
      <c r="BD31">
        <v>55.961171241407321</v>
      </c>
      <c r="BE31">
        <v>-50.33603570751886</v>
      </c>
      <c r="BF31" s="6">
        <f t="shared" si="0"/>
        <v>5.5506567684619945</v>
      </c>
      <c r="BG31" s="6">
        <f t="shared" si="1"/>
        <v>0.489201937678442</v>
      </c>
      <c r="BH31" s="6">
        <f t="shared" si="2"/>
        <v>0.73252853871759194</v>
      </c>
      <c r="BI31" s="6">
        <f t="shared" si="3"/>
        <v>0.73252853871759194</v>
      </c>
      <c r="BJ31">
        <v>62.179079157119247</v>
      </c>
      <c r="BK31">
        <v>-55.928928563909842</v>
      </c>
      <c r="BL31">
        <f t="shared" si="54"/>
        <v>75.268646709361846</v>
      </c>
      <c r="BM31">
        <f t="shared" si="55"/>
        <v>0.74348581631197208</v>
      </c>
      <c r="BN31">
        <f t="shared" si="56"/>
        <v>-0.66875170350655588</v>
      </c>
      <c r="BO31">
        <f t="shared" si="57"/>
        <v>0.25651418368802792</v>
      </c>
      <c r="BP31">
        <f t="shared" si="58"/>
        <v>0.66875170350655588</v>
      </c>
      <c r="BQ31">
        <f t="shared" si="59"/>
        <v>0.71625998588226025</v>
      </c>
      <c r="BR31">
        <v>571.93770359395285</v>
      </c>
      <c r="BS31">
        <v>-598.1001577789508</v>
      </c>
      <c r="BV31" s="36"/>
      <c r="BW31" s="6">
        <f t="shared" si="39"/>
        <v>2.7925268031909263</v>
      </c>
      <c r="BX31" s="9">
        <f t="shared" ca="1" si="40"/>
        <v>-97.861619813414904</v>
      </c>
      <c r="BY31" s="9">
        <f t="shared" ca="1" si="41"/>
        <v>48.83901282499334</v>
      </c>
      <c r="BZ31" s="9">
        <f t="shared" ca="1" si="42"/>
        <v>-32.640937298588057</v>
      </c>
      <c r="CA31" s="6">
        <f t="shared" ca="1" si="43"/>
        <v>27.408727463706018</v>
      </c>
      <c r="CB31" s="6">
        <f t="shared" ca="1" si="44"/>
        <v>2.4431063668900119</v>
      </c>
      <c r="CC31" s="6">
        <f t="shared" ca="1" si="45"/>
        <v>0.28603139521210874</v>
      </c>
      <c r="CD31" s="9">
        <f t="shared" si="46"/>
        <v>-62.640937298588049</v>
      </c>
      <c r="CE31" s="9">
        <f t="shared" si="47"/>
        <v>27.408727463706018</v>
      </c>
      <c r="CF31" s="6">
        <f t="shared" si="48"/>
        <v>2.7291377621021207</v>
      </c>
      <c r="CG31" s="6">
        <f t="shared" ca="1" si="49"/>
        <v>0.28603139521210874</v>
      </c>
      <c r="CH31" s="6"/>
      <c r="CI31" s="6"/>
      <c r="CJ31" s="1"/>
      <c r="CK31" s="6"/>
      <c r="DV31" t="s">
        <v>193</v>
      </c>
      <c r="DW31">
        <f t="array" aca="1" ref="DW31:DY31" ca="1">MMULT(DW21:DY21,DW26:DY28)</f>
        <v>0</v>
      </c>
      <c r="DX31">
        <f ca="1"/>
        <v>0</v>
      </c>
      <c r="DY31">
        <f ca="1"/>
        <v>0</v>
      </c>
      <c r="DZ31" s="9">
        <f ca="1">SQRT(POWER(DW31,2)+POWER(DX31,2)+POWER(DY31,2))</f>
        <v>0</v>
      </c>
      <c r="EB31">
        <f t="array" aca="1" ref="EB31:EE31" ca="1">MMULT(EB21:EE21,DW26:DZ29)</f>
        <v>133.46468241389897</v>
      </c>
      <c r="EC31">
        <f ca="1"/>
        <v>-5.5295133231250553</v>
      </c>
      <c r="ED31">
        <f ca="1"/>
        <v>-112.32862062167239</v>
      </c>
      <c r="EE31" s="9">
        <f ca="1"/>
        <v>0</v>
      </c>
      <c r="EF31">
        <f ca="1">ATAN2(EC31,ED31)</f>
        <v>-1.6199828419043087</v>
      </c>
    </row>
    <row r="32" spans="1:136" x14ac:dyDescent="0.25">
      <c r="J32" t="s">
        <v>87</v>
      </c>
      <c r="N32" t="s">
        <v>88</v>
      </c>
      <c r="Q32" t="str">
        <f>IF(B1="Whitney",S60,J178)</f>
        <v>Cc = 113.9107 kips
 @ ( 6.3996 , 23.0693 )</v>
      </c>
      <c r="BC32">
        <v>5.2359877559829853</v>
      </c>
      <c r="BD32">
        <v>65.439906169908568</v>
      </c>
      <c r="BE32">
        <v>-47.65654476875131</v>
      </c>
      <c r="BF32" s="6">
        <f t="shared" si="0"/>
        <v>5.6537507966813969</v>
      </c>
      <c r="BG32" s="6">
        <f t="shared" si="1"/>
        <v>0.41776304069841164</v>
      </c>
      <c r="BH32" s="6">
        <f t="shared" si="2"/>
        <v>0.62943451049818955</v>
      </c>
      <c r="BI32" s="6">
        <f t="shared" si="3"/>
        <v>0.62943451049818955</v>
      </c>
      <c r="BJ32">
        <v>72.711006855453959</v>
      </c>
      <c r="BK32">
        <v>-52.951716409723673</v>
      </c>
      <c r="BL32">
        <f t="shared" si="54"/>
        <v>80.95386080244991</v>
      </c>
      <c r="BM32">
        <f t="shared" si="55"/>
        <v>0.80836053427519983</v>
      </c>
      <c r="BN32">
        <f t="shared" si="56"/>
        <v>-0.58868773269562302</v>
      </c>
      <c r="BO32">
        <f t="shared" si="57"/>
        <v>0.19163946572480017</v>
      </c>
      <c r="BP32">
        <f t="shared" si="58"/>
        <v>0.58868773269562302</v>
      </c>
      <c r="BQ32">
        <f t="shared" si="59"/>
        <v>0.61909525232358242</v>
      </c>
      <c r="BR32">
        <v>673.20580486216795</v>
      </c>
      <c r="BS32">
        <v>-608.17297484796188</v>
      </c>
      <c r="BV32" s="36"/>
      <c r="BW32" s="6">
        <f t="shared" si="39"/>
        <v>2.967059728390359</v>
      </c>
      <c r="BX32" s="9">
        <f t="shared" ca="1" si="40"/>
        <v>-98.855527395565133</v>
      </c>
      <c r="BY32" s="9">
        <f t="shared" ca="1" si="41"/>
        <v>39.937568556816551</v>
      </c>
      <c r="BZ32" s="9">
        <f t="shared" ca="1" si="42"/>
        <v>-33.634844880738285</v>
      </c>
      <c r="CA32" s="6">
        <f t="shared" ca="1" si="43"/>
        <v>18.507283195529229</v>
      </c>
      <c r="CB32" s="6">
        <f t="shared" ca="1" si="44"/>
        <v>2.6385641471238324</v>
      </c>
      <c r="CC32" s="6">
        <f t="shared" ca="1" si="45"/>
        <v>0.22000040823276379</v>
      </c>
      <c r="CD32" s="9">
        <f t="shared" si="46"/>
        <v>-63.634844880738292</v>
      </c>
      <c r="CE32" s="9">
        <f t="shared" si="47"/>
        <v>18.507283195529229</v>
      </c>
      <c r="CF32" s="6">
        <f t="shared" si="48"/>
        <v>2.8585645553565961</v>
      </c>
      <c r="CG32" s="6">
        <f t="shared" ca="1" si="49"/>
        <v>0.22000040823276379</v>
      </c>
      <c r="CH32" s="6"/>
      <c r="CI32" s="6"/>
      <c r="CJ32" s="1"/>
      <c r="CK32" s="6"/>
      <c r="EB32">
        <f t="array" aca="1" ref="EB32:EE32" ca="1">MMULT(EB22:EE22,DW26:DZ29)</f>
        <v>127.05283975460995</v>
      </c>
      <c r="EC32">
        <f ca="1"/>
        <v>32.433778715967385</v>
      </c>
      <c r="ED32">
        <f ca="1"/>
        <v>23.019381149687611</v>
      </c>
      <c r="EE32" s="9">
        <f ca="1"/>
        <v>0</v>
      </c>
      <c r="EF32">
        <f ca="1">ATAN2(COS(EF30-EF31),SIN(EF30-EF31))</f>
        <v>2.4095967298838499</v>
      </c>
    </row>
    <row r="33" spans="1:139" x14ac:dyDescent="0.25">
      <c r="A33" t="s">
        <v>19</v>
      </c>
      <c r="J33">
        <f>(J38*COS(-1*$B$27))+(K38*SIN(-1*$B$27))+$I$2</f>
        <v>-3.9106104153659924</v>
      </c>
      <c r="K33">
        <f>(-1*J38*SIN(-1*$B$27))+(K38*COS(-1*$B$27))+$I$3</f>
        <v>19.941121820231313</v>
      </c>
      <c r="N33">
        <f>IF(B1="PCA_Parabolic",NA(),(N38*COS(-1*$B$27))+(O38*SIN(-1*$B$27))+$I$2)</f>
        <v>-4.0100240453903861</v>
      </c>
      <c r="O33">
        <f>(-1*N38*SIN(-1*$B$27))+(O38*COS(-1*$B$27))+$I$3</f>
        <v>20.624693371161428</v>
      </c>
      <c r="Q33" s="1">
        <f>IF(B1="Whitney",S58,G178)</f>
        <v>6.3995669401139974</v>
      </c>
      <c r="R33" s="1">
        <f>IF(B1="Whitney",T58,H178)</f>
        <v>23.069293947012312</v>
      </c>
      <c r="BC33">
        <v>5.410520681182418</v>
      </c>
      <c r="BD33">
        <v>75.590489699915253</v>
      </c>
      <c r="BE33">
        <v>-41.556929886464779</v>
      </c>
      <c r="BF33" s="6">
        <f t="shared" si="0"/>
        <v>5.7805233052710863</v>
      </c>
      <c r="BG33" s="6">
        <f t="shared" si="1"/>
        <v>0.37000262408866824</v>
      </c>
      <c r="BH33" s="6">
        <f t="shared" si="2"/>
        <v>0.50266200190850019</v>
      </c>
      <c r="BI33" s="6">
        <f t="shared" si="3"/>
        <v>0.50266200190850019</v>
      </c>
      <c r="BJ33">
        <v>83.98943299990583</v>
      </c>
      <c r="BK33">
        <v>-46.174366540516424</v>
      </c>
      <c r="BL33">
        <f t="shared" si="54"/>
        <v>86.260654731236201</v>
      </c>
      <c r="BM33">
        <f t="shared" si="55"/>
        <v>0.87630322231420377</v>
      </c>
      <c r="BN33">
        <f t="shared" si="56"/>
        <v>-0.48175996363515228</v>
      </c>
      <c r="BO33">
        <f t="shared" si="57"/>
        <v>0.12369677768579623</v>
      </c>
      <c r="BP33">
        <f t="shared" si="58"/>
        <v>0.48175996363515228</v>
      </c>
      <c r="BQ33">
        <f t="shared" si="59"/>
        <v>0.49738672617148977</v>
      </c>
      <c r="BR33">
        <v>787.75200003121529</v>
      </c>
      <c r="BS33">
        <v>-575.17674879907509</v>
      </c>
      <c r="BV33" s="36"/>
      <c r="BW33" s="6">
        <f t="shared" si="39"/>
        <v>3.1415926535897918</v>
      </c>
      <c r="BX33" s="9">
        <f t="shared" ca="1" si="40"/>
        <v>-99.872803026627352</v>
      </c>
      <c r="BY33" s="9">
        <f t="shared" ca="1" si="41"/>
        <v>21.430285361287552</v>
      </c>
      <c r="BZ33" s="9">
        <f t="shared" ca="1" si="42"/>
        <v>-34.652120511800504</v>
      </c>
      <c r="CA33" s="6">
        <f t="shared" ca="1" si="43"/>
        <v>2.3092638912203256E-13</v>
      </c>
      <c r="CB33" s="6">
        <f t="shared" ca="1" si="44"/>
        <v>3.1415926535897865</v>
      </c>
      <c r="CC33" s="6">
        <f t="shared" ca="1" si="45"/>
        <v>3.1086244689504383E-15</v>
      </c>
      <c r="CD33" s="9">
        <f t="shared" si="46"/>
        <v>-64.652120511800504</v>
      </c>
      <c r="CE33" s="9">
        <f t="shared" si="47"/>
        <v>2.3053388115876325E-13</v>
      </c>
      <c r="CF33" s="6">
        <f t="shared" si="48"/>
        <v>3.1415926535897896</v>
      </c>
      <c r="CG33" s="6">
        <f t="shared" ca="1" si="49"/>
        <v>3.1086244689504383E-15</v>
      </c>
      <c r="CH33" s="6"/>
      <c r="CI33" s="6"/>
      <c r="CJ33" s="1"/>
      <c r="CK33" s="6"/>
    </row>
    <row r="34" spans="1:139" x14ac:dyDescent="0.25">
      <c r="J34">
        <f>(J39*COS(-1*$B$27))+(K39*SIN(-1*$B$27))+$I$2</f>
        <v>24.989555887072726</v>
      </c>
      <c r="K34">
        <f>(-1*J39*SIN(-1*$B$27))+(K39*COS(-1*$B$27))+$I$3</f>
        <v>24.144149925372339</v>
      </c>
      <c r="N34">
        <f>IF(B1="PCA_Parabolic",NA(),(N39*COS(-1*$B$27))+(O39*SIN(-1*$B$27))+$I$2)</f>
        <v>24.890142257048332</v>
      </c>
      <c r="O34">
        <f>(-1*N39*SIN(-1*$B$27))+(O39*COS(-1*$B$27))+$I$3</f>
        <v>24.827721476302454</v>
      </c>
      <c r="BC34">
        <v>5.5850536063818508</v>
      </c>
      <c r="BD34">
        <v>84.615017543220063</v>
      </c>
      <c r="BE34">
        <v>-34.610323741767857</v>
      </c>
      <c r="BF34" s="6">
        <f t="shared" ref="BF34:BF65" si="60">IF(BC34&lt;&gt;"",IF(AND(BD34=0,BE34=0),0,MOD(ATAN2(BD34,BE34),2*PI())),NA())</f>
        <v>5.8949163057174827</v>
      </c>
      <c r="BG34" s="6">
        <f t="shared" ref="BG34:BG65" si="61">ABS(BC34-BF34)</f>
        <v>0.30986269933563193</v>
      </c>
      <c r="BH34" s="6">
        <f t="shared" si="2"/>
        <v>0.3882690014621038</v>
      </c>
      <c r="BI34" s="6">
        <f t="shared" si="3"/>
        <v>0.3882690014621038</v>
      </c>
      <c r="BJ34">
        <v>94.0166861591334</v>
      </c>
      <c r="BK34">
        <v>-38.455915268630953</v>
      </c>
      <c r="BL34">
        <f t="shared" si="54"/>
        <v>91.419777419054242</v>
      </c>
      <c r="BM34">
        <f t="shared" si="55"/>
        <v>0.92556577944133245</v>
      </c>
      <c r="BN34">
        <f t="shared" si="56"/>
        <v>-0.37858683010263128</v>
      </c>
      <c r="BO34">
        <f t="shared" si="57"/>
        <v>7.4434220558667552E-2</v>
      </c>
      <c r="BP34">
        <f t="shared" si="58"/>
        <v>0.37858683010263128</v>
      </c>
      <c r="BQ34">
        <f t="shared" si="59"/>
        <v>0.38583473290689496</v>
      </c>
      <c r="BR34">
        <v>903.72332490667793</v>
      </c>
      <c r="BS34">
        <v>-483.84768178418631</v>
      </c>
      <c r="BV34" s="36"/>
      <c r="BW34" s="6">
        <f t="shared" si="39"/>
        <v>3.3161255787892245</v>
      </c>
      <c r="BX34" s="9">
        <f t="shared" ca="1" si="40"/>
        <v>-98.85552739556519</v>
      </c>
      <c r="BY34" s="9">
        <f t="shared" ca="1" si="41"/>
        <v>2.9230021657583052</v>
      </c>
      <c r="BZ34" s="9">
        <f t="shared" ca="1" si="42"/>
        <v>-33.634844880738342</v>
      </c>
      <c r="CA34" s="6">
        <f t="shared" ca="1" si="43"/>
        <v>-18.507283195529016</v>
      </c>
      <c r="CB34" s="6">
        <f t="shared" ca="1" si="44"/>
        <v>-2.6385641471238377</v>
      </c>
      <c r="CC34" s="6">
        <f t="shared" ca="1" si="45"/>
        <v>-0.22000040823276157</v>
      </c>
      <c r="CD34" s="9">
        <f t="shared" si="46"/>
        <v>-63.634844880738335</v>
      </c>
      <c r="CE34" s="9">
        <f t="shared" si="47"/>
        <v>-18.507283195529016</v>
      </c>
      <c r="CF34" s="6">
        <f t="shared" si="48"/>
        <v>-2.8585645553565993</v>
      </c>
      <c r="CG34" s="6">
        <f t="shared" ca="1" si="49"/>
        <v>-0.22000040823276157</v>
      </c>
      <c r="CH34" s="6"/>
      <c r="CI34" s="6"/>
      <c r="CJ34" s="1"/>
      <c r="CK34" s="6"/>
      <c r="EB34" t="s">
        <v>205</v>
      </c>
    </row>
    <row r="35" spans="1:139" x14ac:dyDescent="0.25">
      <c r="A35" s="8" t="s">
        <v>20</v>
      </c>
      <c r="G35" s="1">
        <f>MAX(G36:G37)</f>
        <v>76.614487735652716</v>
      </c>
      <c r="Q35" t="str">
        <f ca="1">IF(B1="Whitney",R75,S198)</f>
        <v>Ts = -113.9107 kips
 @ ( 6.3996 , 2.5118 )</v>
      </c>
      <c r="Y35" s="74">
        <f ca="1">U4-U10</f>
        <v>8.2378903698554503E-11</v>
      </c>
      <c r="AD35" t="s">
        <v>134</v>
      </c>
      <c r="BC35">
        <v>5.7595865315812835</v>
      </c>
      <c r="BD35">
        <v>87.556528450664672</v>
      </c>
      <c r="BE35">
        <v>-29.020179936277675</v>
      </c>
      <c r="BF35" s="6">
        <f t="shared" si="60"/>
        <v>5.9631351489669386</v>
      </c>
      <c r="BG35" s="6">
        <f t="shared" si="61"/>
        <v>0.20354861738565511</v>
      </c>
      <c r="BH35" s="6">
        <f t="shared" si="2"/>
        <v>0.32005015821264782</v>
      </c>
      <c r="BI35" s="6">
        <f t="shared" si="3"/>
        <v>0.32005015821264782</v>
      </c>
      <c r="BJ35">
        <v>97.285031611849632</v>
      </c>
      <c r="BK35">
        <v>-32.244644373641862</v>
      </c>
      <c r="BL35">
        <f t="shared" si="54"/>
        <v>92.240536196761056</v>
      </c>
      <c r="BM35">
        <f t="shared" si="55"/>
        <v>0.94921963879194293</v>
      </c>
      <c r="BN35">
        <f t="shared" si="56"/>
        <v>-0.3146141721723501</v>
      </c>
      <c r="BO35">
        <f t="shared" si="57"/>
        <v>5.0780361208057068E-2</v>
      </c>
      <c r="BP35">
        <f t="shared" si="58"/>
        <v>0.3146141721723501</v>
      </c>
      <c r="BQ35">
        <f t="shared" si="59"/>
        <v>0.31868593068429285</v>
      </c>
      <c r="BR35">
        <v>976.6019959813591</v>
      </c>
      <c r="BS35">
        <v>-324.39739147278544</v>
      </c>
      <c r="BV35" s="36"/>
      <c r="BW35" s="6">
        <f t="shared" si="39"/>
        <v>3.4906585039886573</v>
      </c>
      <c r="BX35" s="9">
        <f t="shared" ca="1" si="40"/>
        <v>-97.861619813414876</v>
      </c>
      <c r="BY35" s="9">
        <f t="shared" ca="1" si="41"/>
        <v>-5.9784421024185832</v>
      </c>
      <c r="BZ35" s="9">
        <f t="shared" ca="1" si="42"/>
        <v>-32.640937298588028</v>
      </c>
      <c r="CA35" s="6">
        <f t="shared" ca="1" si="43"/>
        <v>-27.408727463705905</v>
      </c>
      <c r="CB35" s="6">
        <f t="shared" ca="1" si="44"/>
        <v>-2.4431063668900137</v>
      </c>
      <c r="CC35" s="6">
        <f t="shared" ca="1" si="45"/>
        <v>-0.2860313952121083</v>
      </c>
      <c r="CD35" s="9">
        <f t="shared" si="46"/>
        <v>-62.640937298588028</v>
      </c>
      <c r="CE35" s="9">
        <f t="shared" si="47"/>
        <v>-27.408727463705905</v>
      </c>
      <c r="CF35" s="6">
        <f t="shared" si="48"/>
        <v>-2.729137762102122</v>
      </c>
      <c r="CG35" s="6">
        <f t="shared" ca="1" si="49"/>
        <v>-0.2860313952121083</v>
      </c>
      <c r="CH35" s="6"/>
      <c r="CI35" s="6"/>
      <c r="CJ35" s="1"/>
      <c r="CK35" s="6"/>
      <c r="EE35" s="9"/>
    </row>
    <row r="36" spans="1:139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73</v>
      </c>
      <c r="G36" s="1">
        <f>(-1*0.003*MAX(J62:J71))/((B12/B13)-0.003)</f>
        <v>76.614487735652716</v>
      </c>
      <c r="H36" s="14" t="s">
        <v>4</v>
      </c>
      <c r="J36" t="s">
        <v>52</v>
      </c>
      <c r="N36" t="s">
        <v>53</v>
      </c>
      <c r="Q36" s="1">
        <f ca="1">IF(B1="Whitney",R73,S196)</f>
        <v>6.3995669396455668</v>
      </c>
      <c r="R36" s="1">
        <f ca="1">IF(B1="Whitney",S73,T196)</f>
        <v>2.511835425396086</v>
      </c>
      <c r="AD36" t="s">
        <v>8</v>
      </c>
      <c r="AE36" t="s">
        <v>9</v>
      </c>
      <c r="BC36">
        <v>5.9341194567807163</v>
      </c>
      <c r="BD36">
        <v>90.214078452530075</v>
      </c>
      <c r="BE36">
        <v>-21.896499222495979</v>
      </c>
      <c r="BF36" s="6">
        <f t="shared" si="60"/>
        <v>6.0450727993713214</v>
      </c>
      <c r="BG36" s="6">
        <f t="shared" si="61"/>
        <v>0.11095334259060508</v>
      </c>
      <c r="BH36" s="6">
        <f t="shared" si="2"/>
        <v>0.23811250780826512</v>
      </c>
      <c r="BI36" s="6">
        <f t="shared" si="3"/>
        <v>0.23811250780826512</v>
      </c>
      <c r="BJ36">
        <v>100.23786494725563</v>
      </c>
      <c r="BK36">
        <v>-24.329443580551086</v>
      </c>
      <c r="BL36">
        <f t="shared" si="54"/>
        <v>92.833381007264933</v>
      </c>
      <c r="BM36">
        <f t="shared" si="55"/>
        <v>0.97178490618013924</v>
      </c>
      <c r="BN36">
        <f t="shared" si="56"/>
        <v>-0.23586881124993614</v>
      </c>
      <c r="BO36">
        <f t="shared" si="57"/>
        <v>2.8215093819860759E-2</v>
      </c>
      <c r="BP36">
        <f t="shared" si="58"/>
        <v>0.23586881124993614</v>
      </c>
      <c r="BQ36">
        <f t="shared" si="59"/>
        <v>0.23755038968547609</v>
      </c>
      <c r="BR36">
        <v>1016.3151408843354</v>
      </c>
      <c r="BS36">
        <v>-109.43034114326497</v>
      </c>
      <c r="BV36" s="36"/>
      <c r="BW36" s="6">
        <f t="shared" si="39"/>
        <v>3.66519142918809</v>
      </c>
      <c r="BX36" s="9">
        <f t="shared" ca="1" si="40"/>
        <v>-96.91003221049084</v>
      </c>
      <c r="BY36" s="9">
        <f t="shared" ca="1" si="41"/>
        <v>-12.108165175051678</v>
      </c>
      <c r="BZ36" s="9">
        <f t="shared" ca="1" si="42"/>
        <v>-31.689349695663992</v>
      </c>
      <c r="CA36" s="6">
        <f t="shared" ca="1" si="43"/>
        <v>-33.538450536338999</v>
      </c>
      <c r="CB36" s="6">
        <f t="shared" ca="1" si="44"/>
        <v>-2.3278537253297804</v>
      </c>
      <c r="CC36" s="6">
        <f t="shared" ca="1" si="45"/>
        <v>-0.31577106861900495</v>
      </c>
      <c r="CD36" s="9">
        <f t="shared" si="46"/>
        <v>-61.689349695663999</v>
      </c>
      <c r="CE36" s="9">
        <f t="shared" si="47"/>
        <v>-33.538450536338999</v>
      </c>
      <c r="CF36" s="6">
        <f t="shared" si="48"/>
        <v>-2.6436247939487854</v>
      </c>
      <c r="CG36" s="6">
        <f t="shared" ca="1" si="49"/>
        <v>-0.31577106861900495</v>
      </c>
      <c r="CH36" s="6"/>
      <c r="CI36" s="6"/>
      <c r="CJ36" s="1"/>
      <c r="CK36" s="6"/>
      <c r="EB36">
        <f ca="1">(EB32-EB30)</f>
        <v>-0.60927748247320324</v>
      </c>
      <c r="EC36">
        <f t="shared" ref="EC36:ED36" ca="1" si="62">(EC32-EC30)</f>
        <v>3.6074152520936416</v>
      </c>
      <c r="ED36">
        <f t="shared" ca="1" si="62"/>
        <v>-6.0510607457133752</v>
      </c>
      <c r="EE36" s="9">
        <f ca="1">SQRT(POWER(EB36,2)+POWER(EC36,2)+POWER(ED36,2))</f>
        <v>7.0710678118654773</v>
      </c>
      <c r="EF36">
        <f ca="1">EB36/EE36</f>
        <v>-8.6164847896213953E-2</v>
      </c>
      <c r="EG36">
        <f ca="1">EC36/EE36</f>
        <v>0.51016555746223846</v>
      </c>
      <c r="EH36">
        <f ca="1">ED36/EE36</f>
        <v>-0.8557492173331307</v>
      </c>
    </row>
    <row r="37" spans="1:139" x14ac:dyDescent="0.25">
      <c r="A37" s="3">
        <f t="shared" ref="A37:A45" si="63">E3-$I$2</f>
        <v>-6</v>
      </c>
      <c r="B37" s="6">
        <f t="shared" ref="B37:B45" si="64">F3-$I$3</f>
        <v>-12</v>
      </c>
      <c r="C37" s="6">
        <f t="shared" ref="C37:C45" si="65">A37*COS($B$27)+B37*SIN($B$27)</f>
        <v>-7.664560802224675</v>
      </c>
      <c r="D37" s="6">
        <f t="shared" ref="D37:D45" si="66">-1*A37*SIN($B$27)+B37*COS($B$27)</f>
        <v>-11.011562455392108</v>
      </c>
      <c r="F37" s="8" t="s">
        <v>23</v>
      </c>
      <c r="G37" s="6">
        <f>MAX(D37:D45)-MIN(D37:D45)</f>
        <v>25.477172230030011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D37">
        <v>0</v>
      </c>
      <c r="AE37">
        <f>2*PI()</f>
        <v>6.2831853071795862</v>
      </c>
      <c r="BC37">
        <v>6.108652381980149</v>
      </c>
      <c r="BD37">
        <v>92.475996797671883</v>
      </c>
      <c r="BE37">
        <v>-11.644388032932724</v>
      </c>
      <c r="BF37" s="6">
        <f t="shared" si="60"/>
        <v>6.1579265863091397</v>
      </c>
      <c r="BG37" s="6">
        <f t="shared" si="61"/>
        <v>4.9274204328990656E-2</v>
      </c>
      <c r="BH37" s="6">
        <f t="shared" si="2"/>
        <v>0.12525872087044679</v>
      </c>
      <c r="BI37" s="6">
        <f t="shared" si="3"/>
        <v>0.12525872087044679</v>
      </c>
      <c r="BJ37">
        <v>102.75110755296876</v>
      </c>
      <c r="BK37">
        <v>-12.938208925480804</v>
      </c>
      <c r="BL37">
        <f t="shared" si="54"/>
        <v>93.206232390245916</v>
      </c>
      <c r="BM37">
        <f t="shared" si="55"/>
        <v>0.99216537806703098</v>
      </c>
      <c r="BN37">
        <f t="shared" si="56"/>
        <v>-0.12493143145384038</v>
      </c>
      <c r="BO37">
        <f t="shared" si="57"/>
        <v>7.8346219329690214E-3</v>
      </c>
      <c r="BP37">
        <f t="shared" si="58"/>
        <v>0.12493143145384038</v>
      </c>
      <c r="BQ37">
        <f t="shared" si="59"/>
        <v>0.125176850359554</v>
      </c>
      <c r="BR37">
        <v>1015.8521218248603</v>
      </c>
      <c r="BS37">
        <v>144.25209027615452</v>
      </c>
      <c r="BV37" s="36"/>
      <c r="BW37" s="6">
        <f t="shared" si="39"/>
        <v>3.8397243543875228</v>
      </c>
      <c r="BX37" s="9">
        <f t="shared" ca="1" si="40"/>
        <v>-95.70355044667491</v>
      </c>
      <c r="BY37" s="9">
        <f t="shared" ca="1" si="41"/>
        <v>-16.179409826690499</v>
      </c>
      <c r="BZ37" s="9">
        <f t="shared" ca="1" si="42"/>
        <v>-30.482867931848062</v>
      </c>
      <c r="CA37" s="6">
        <f t="shared" ca="1" si="43"/>
        <v>-37.60969518797782</v>
      </c>
      <c r="CB37" s="6">
        <f t="shared" ca="1" si="44"/>
        <v>-2.2519103656508355</v>
      </c>
      <c r="CC37" s="6">
        <f t="shared" ca="1" si="45"/>
        <v>-0.33337014234925627</v>
      </c>
      <c r="CD37" s="9">
        <f t="shared" si="46"/>
        <v>-60.482867931848062</v>
      </c>
      <c r="CE37" s="9">
        <f t="shared" si="47"/>
        <v>-37.60969518797782</v>
      </c>
      <c r="CF37" s="6">
        <f t="shared" si="48"/>
        <v>-2.5852805080000918</v>
      </c>
      <c r="CG37" s="6">
        <f t="shared" ca="1" si="49"/>
        <v>-0.33337014234925627</v>
      </c>
      <c r="CH37" s="6"/>
      <c r="CI37" s="6"/>
      <c r="CJ37" s="1"/>
      <c r="CK37" s="6"/>
      <c r="EB37">
        <f ca="1">EB31-EB30</f>
        <v>5.8025651768158184</v>
      </c>
      <c r="EC37">
        <f t="shared" ref="EC37:ED37" ca="1" si="67">EC31-EC30</f>
        <v>-34.355876786998799</v>
      </c>
      <c r="ED37">
        <f t="shared" ca="1" si="67"/>
        <v>-141.39906251707336</v>
      </c>
      <c r="EE37" s="9">
        <f ca="1">SQRT(POWER(EB37,2)+POWER(EC37,2)+POWER(ED37,2))</f>
        <v>145.62860609489422</v>
      </c>
      <c r="EF37">
        <f ca="1">EB37/EE37</f>
        <v>3.9844954452388032E-2</v>
      </c>
      <c r="EG37">
        <f ca="1">EC37/EE37</f>
        <v>-0.23591434202571362</v>
      </c>
      <c r="EH37">
        <f ca="1">ED37/EE37</f>
        <v>-0.97095664312638674</v>
      </c>
    </row>
    <row r="38" spans="1:139" x14ac:dyDescent="0.25">
      <c r="A38" s="3">
        <f t="shared" si="63"/>
        <v>6</v>
      </c>
      <c r="B38" s="6">
        <f t="shared" si="64"/>
        <v>-12</v>
      </c>
      <c r="C38" s="6">
        <f t="shared" si="65"/>
        <v>4.2105134829788815</v>
      </c>
      <c r="D38" s="6">
        <f t="shared" si="66"/>
        <v>-12.738586115015005</v>
      </c>
      <c r="F38" s="8" t="s">
        <v>24</v>
      </c>
      <c r="G38" s="6">
        <f>MAX(D37:D45)</f>
        <v>12.738586115015005</v>
      </c>
      <c r="H38" t="s">
        <v>4</v>
      </c>
      <c r="J38" s="9">
        <f>MIN(C37:C43,A37:A43)-1</f>
        <v>-8.6645608022246741</v>
      </c>
      <c r="K38" s="9">
        <f>G40</f>
        <v>9.2847725159783234</v>
      </c>
      <c r="N38" s="9">
        <f>J38</f>
        <v>-8.6645608022246741</v>
      </c>
      <c r="O38" s="9">
        <f>G41</f>
        <v>9.9755352357856601</v>
      </c>
      <c r="AD38">
        <f>AE37</f>
        <v>6.2831853071795862</v>
      </c>
      <c r="AE38">
        <f>AE37</f>
        <v>6.2831853071795862</v>
      </c>
      <c r="BC38">
        <v>6.2831853071795818</v>
      </c>
      <c r="BD38">
        <v>93.216872666527792</v>
      </c>
      <c r="BE38">
        <v>-3.8351626959347677E-13</v>
      </c>
      <c r="BF38" s="6">
        <f t="shared" si="60"/>
        <v>6.2831853071795818</v>
      </c>
      <c r="BG38" s="6">
        <f t="shared" si="61"/>
        <v>0</v>
      </c>
      <c r="BH38" s="6">
        <f t="shared" si="2"/>
        <v>4.6859217894823502E-15</v>
      </c>
      <c r="BI38" s="6">
        <f t="shared" si="3"/>
        <v>4.6859217894823502E-15</v>
      </c>
      <c r="BJ38">
        <v>103.57430296280866</v>
      </c>
      <c r="BK38">
        <v>-4.261291884371964E-13</v>
      </c>
      <c r="BL38">
        <f t="shared" si="54"/>
        <v>93.216872666527792</v>
      </c>
      <c r="BM38">
        <f t="shared" si="55"/>
        <v>1</v>
      </c>
      <c r="BN38">
        <f t="shared" si="56"/>
        <v>-4.1142366035541688E-15</v>
      </c>
      <c r="BO38">
        <f t="shared" si="57"/>
        <v>0</v>
      </c>
      <c r="BP38">
        <f t="shared" si="58"/>
        <v>4.1142366035541688E-15</v>
      </c>
      <c r="BQ38">
        <f t="shared" si="59"/>
        <v>4.1142366035541688E-15</v>
      </c>
      <c r="BR38">
        <v>964.72495312882791</v>
      </c>
      <c r="BS38">
        <v>341.93788526553317</v>
      </c>
      <c r="BV38" s="36"/>
      <c r="BW38" s="6">
        <f t="shared" si="39"/>
        <v>4.014257279586956</v>
      </c>
      <c r="BX38" s="9">
        <f t="shared" ca="1" si="40"/>
        <v>-94.121549598546935</v>
      </c>
      <c r="BY38" s="9">
        <f t="shared" ca="1" si="41"/>
        <v>-18.661012773354937</v>
      </c>
      <c r="BZ38" s="9">
        <f t="shared" ca="1" si="42"/>
        <v>-28.900867083720087</v>
      </c>
      <c r="CA38" s="6">
        <f t="shared" ca="1" si="43"/>
        <v>-40.091298134642258</v>
      </c>
      <c r="CB38" s="6">
        <f t="shared" ca="1" si="44"/>
        <v>-2.1953962675816148</v>
      </c>
      <c r="CC38" s="6">
        <f t="shared" ca="1" si="45"/>
        <v>-0.3485704801217393</v>
      </c>
      <c r="CD38" s="9">
        <f t="shared" si="46"/>
        <v>-58.900867083720087</v>
      </c>
      <c r="CE38" s="9">
        <f t="shared" si="47"/>
        <v>-40.091298134642258</v>
      </c>
      <c r="CF38" s="6">
        <f t="shared" si="48"/>
        <v>-2.5439667477033541</v>
      </c>
      <c r="CG38" s="6">
        <f t="shared" ca="1" si="49"/>
        <v>-0.3485704801217393</v>
      </c>
      <c r="CH38" s="6"/>
      <c r="CI38" s="6"/>
      <c r="CJ38" s="1"/>
      <c r="CK38" s="6"/>
      <c r="EF38">
        <f ca="1">EF36-EF37</f>
        <v>-0.12600980234860198</v>
      </c>
      <c r="EG38">
        <f ca="1">EG36-EG37</f>
        <v>0.74607989948795206</v>
      </c>
      <c r="EH38">
        <f ca="1">EH36-EH37</f>
        <v>0.11520742579325605</v>
      </c>
      <c r="EI38" s="9"/>
    </row>
    <row r="39" spans="1:139" x14ac:dyDescent="0.25">
      <c r="A39" s="3">
        <f t="shared" si="63"/>
        <v>6</v>
      </c>
      <c r="B39" s="6">
        <f t="shared" si="64"/>
        <v>6</v>
      </c>
      <c r="C39" s="6">
        <f t="shared" si="65"/>
        <v>6.801048972413227</v>
      </c>
      <c r="D39" s="6">
        <f t="shared" si="66"/>
        <v>5.0740253127903294</v>
      </c>
      <c r="J39" s="9">
        <f>MAX(C37:C43,A37:A43)+1</f>
        <v>20.539635087428231</v>
      </c>
      <c r="K39" s="9">
        <f>K38</f>
        <v>9.2847725159783234</v>
      </c>
      <c r="N39" s="9">
        <f>J39</f>
        <v>20.539635087428231</v>
      </c>
      <c r="O39" s="9">
        <f>G41</f>
        <v>9.9755352357856601</v>
      </c>
      <c r="Y39">
        <f>IF(U10=0,0,(U11*12)/U10)</f>
        <v>0</v>
      </c>
      <c r="Z39">
        <f>U10*Y39*Y39</f>
        <v>0</v>
      </c>
      <c r="AD39">
        <f>AD38</f>
        <v>6.2831853071795862</v>
      </c>
      <c r="AE39">
        <v>0</v>
      </c>
      <c r="BC39">
        <v>6.4577182323790145</v>
      </c>
      <c r="BD39">
        <v>93.216872666527792</v>
      </c>
      <c r="BE39">
        <v>-2.3373808555582099E-14</v>
      </c>
      <c r="BF39" s="6">
        <f t="shared" si="60"/>
        <v>0</v>
      </c>
      <c r="BG39" s="6">
        <f t="shared" si="61"/>
        <v>6.4577182323790145</v>
      </c>
      <c r="BH39" s="6">
        <f t="shared" si="2"/>
        <v>0</v>
      </c>
      <c r="BI39" s="6">
        <f t="shared" si="3"/>
        <v>0</v>
      </c>
      <c r="BJ39">
        <v>103.57430296280866</v>
      </c>
      <c r="BK39">
        <v>-2.5970898395091219E-14</v>
      </c>
      <c r="BL39">
        <f t="shared" si="54"/>
        <v>93.216872666527792</v>
      </c>
      <c r="BM39">
        <f t="shared" si="55"/>
        <v>1</v>
      </c>
      <c r="BN39">
        <f t="shared" si="56"/>
        <v>-2.5074654284100585E-16</v>
      </c>
      <c r="BO39">
        <f t="shared" si="57"/>
        <v>0</v>
      </c>
      <c r="BP39">
        <f t="shared" si="58"/>
        <v>2.5074654284100585E-16</v>
      </c>
      <c r="BQ39">
        <f t="shared" si="59"/>
        <v>2.5074654284100585E-16</v>
      </c>
      <c r="BR39">
        <v>964.72495312882609</v>
      </c>
      <c r="BS39">
        <v>341.93788526553737</v>
      </c>
      <c r="BV39" s="36"/>
      <c r="BW39" s="6">
        <f t="shared" si="39"/>
        <v>4.1887902047863887</v>
      </c>
      <c r="BX39" s="9">
        <f t="shared" ca="1" si="40"/>
        <v>-91.312421273881711</v>
      </c>
      <c r="BY39" s="9">
        <f t="shared" ca="1" si="41"/>
        <v>-21.613746830856439</v>
      </c>
      <c r="BZ39" s="9">
        <f t="shared" ca="1" si="42"/>
        <v>-26.091738759054863</v>
      </c>
      <c r="CA39" s="6">
        <f t="shared" ca="1" si="43"/>
        <v>-43.04403219214376</v>
      </c>
      <c r="CB39" s="6">
        <f t="shared" ca="1" si="44"/>
        <v>-2.1157357898572635</v>
      </c>
      <c r="CC39" s="6">
        <f t="shared" ca="1" si="45"/>
        <v>-0.37132106010355459</v>
      </c>
      <c r="CD39" s="9">
        <f t="shared" si="46"/>
        <v>-56.091738759054863</v>
      </c>
      <c r="CE39" s="9">
        <f t="shared" si="47"/>
        <v>-43.04403219214376</v>
      </c>
      <c r="CF39" s="6">
        <f t="shared" si="48"/>
        <v>-2.4870568499608181</v>
      </c>
      <c r="CG39" s="6">
        <f t="shared" ca="1" si="49"/>
        <v>-0.37132106010355459</v>
      </c>
      <c r="CH39" s="6"/>
      <c r="CI39" s="6"/>
      <c r="CJ39" s="1"/>
      <c r="CK39" s="6"/>
    </row>
    <row r="40" spans="1:139" x14ac:dyDescent="0.25">
      <c r="A40" s="3">
        <f t="shared" si="63"/>
        <v>18</v>
      </c>
      <c r="B40" s="6">
        <f t="shared" si="64"/>
        <v>6</v>
      </c>
      <c r="C40" s="6">
        <f t="shared" si="65"/>
        <v>18.67612325761678</v>
      </c>
      <c r="D40" s="6">
        <f t="shared" si="66"/>
        <v>3.3470016531674331</v>
      </c>
      <c r="F40" s="8" t="s">
        <v>50</v>
      </c>
      <c r="G40" s="9">
        <f>G38-B28</f>
        <v>9.2847725159783234</v>
      </c>
      <c r="Y40">
        <f>IF(U10=0,0,(U12*12)/U10)</f>
        <v>0</v>
      </c>
      <c r="Z40">
        <f>U10*Y40*Y40</f>
        <v>0</v>
      </c>
      <c r="AD40">
        <f>AE39</f>
        <v>0</v>
      </c>
      <c r="AE40">
        <f>AE39</f>
        <v>0</v>
      </c>
      <c r="BC40"/>
      <c r="BD40"/>
      <c r="BF40" s="6" t="e">
        <f t="shared" si="60"/>
        <v>#N/A</v>
      </c>
      <c r="BG40" s="6" t="e">
        <f t="shared" si="61"/>
        <v>#N/A</v>
      </c>
      <c r="BH40" s="6" t="e">
        <f t="shared" si="2"/>
        <v>#N/A</v>
      </c>
      <c r="BI40" s="6" t="e">
        <f t="shared" si="3"/>
        <v>#N/A</v>
      </c>
      <c r="BT40">
        <f>ATAN2(BR2,BS2)</f>
        <v>0.34062549873768666</v>
      </c>
      <c r="BV40" s="36"/>
      <c r="BW40" s="6">
        <f t="shared" si="39"/>
        <v>4.3633231299858215</v>
      </c>
      <c r="BX40" s="9">
        <f t="shared" ca="1" si="40"/>
        <v>-81.312143987748669</v>
      </c>
      <c r="BY40" s="9">
        <f t="shared" ca="1" si="41"/>
        <v>-26.567960512947803</v>
      </c>
      <c r="BZ40" s="9">
        <f t="shared" ca="1" si="42"/>
        <v>-16.091461472921821</v>
      </c>
      <c r="CA40" s="6">
        <f t="shared" ca="1" si="43"/>
        <v>-47.998245874235124</v>
      </c>
      <c r="CB40" s="6">
        <f t="shared" ca="1" si="44"/>
        <v>-1.8942718160842154</v>
      </c>
      <c r="CC40" s="6">
        <f t="shared" ca="1" si="45"/>
        <v>-0.44165984744995401</v>
      </c>
      <c r="CD40" s="9">
        <f t="shared" si="46"/>
        <v>-46.091461472921821</v>
      </c>
      <c r="CE40" s="9">
        <f t="shared" si="47"/>
        <v>-47.998245874235124</v>
      </c>
      <c r="CF40" s="6">
        <f t="shared" si="48"/>
        <v>-2.3359316635341694</v>
      </c>
      <c r="CG40" s="6">
        <f t="shared" ca="1" si="49"/>
        <v>-0.44165984744995401</v>
      </c>
      <c r="CH40" s="6"/>
      <c r="CI40" s="6"/>
      <c r="CJ40" s="1"/>
      <c r="CK40" s="6"/>
      <c r="DW40">
        <f t="array" aca="1" ref="DW40:DZ43" ca="1">MMULT(DW16:DZ19,DW26:DZ29)</f>
        <v>0.98603516355400833</v>
      </c>
      <c r="DX40">
        <f ca="1"/>
        <v>0.1665372517937658</v>
      </c>
      <c r="DY40">
        <f ca="1"/>
        <v>0</v>
      </c>
      <c r="DZ40">
        <f ca="1"/>
        <v>0</v>
      </c>
    </row>
    <row r="41" spans="1:139" x14ac:dyDescent="0.25">
      <c r="A41" s="3">
        <f t="shared" si="63"/>
        <v>18</v>
      </c>
      <c r="B41" s="6">
        <f t="shared" si="64"/>
        <v>12</v>
      </c>
      <c r="C41" s="6">
        <f t="shared" si="65"/>
        <v>19.539635087428231</v>
      </c>
      <c r="D41" s="6">
        <f t="shared" si="66"/>
        <v>9.2845387957692118</v>
      </c>
      <c r="F41" s="8" t="s">
        <v>51</v>
      </c>
      <c r="G41" s="74">
        <f>G38-B29</f>
        <v>9.9755352357856601</v>
      </c>
      <c r="J41" s="9"/>
      <c r="K41" s="9"/>
      <c r="N41" s="9"/>
      <c r="O41" s="9"/>
      <c r="AA41">
        <f>IF(AND(Z39=0,Z40=0),0,ATAN2(Z39,Z40))</f>
        <v>0</v>
      </c>
      <c r="AD41">
        <f>AD40</f>
        <v>0</v>
      </c>
      <c r="AE41">
        <f>AE37</f>
        <v>6.2831853071795862</v>
      </c>
      <c r="BC41"/>
      <c r="BD41"/>
      <c r="BF41" s="6" t="e">
        <f t="shared" si="60"/>
        <v>#N/A</v>
      </c>
      <c r="BG41" s="6" t="e">
        <f t="shared" si="61"/>
        <v>#N/A</v>
      </c>
      <c r="BH41" s="6" t="e">
        <f t="shared" si="2"/>
        <v>#N/A</v>
      </c>
      <c r="BI41" s="6" t="e">
        <f t="shared" si="3"/>
        <v>#N/A</v>
      </c>
      <c r="BT41">
        <f t="shared" ref="BT41:BT77" si="68">ATAN2(BR3,BS3)</f>
        <v>0.4901238551839851</v>
      </c>
      <c r="BV41" s="36"/>
      <c r="BW41" s="6">
        <f t="shared" si="39"/>
        <v>4.5378560551852543</v>
      </c>
      <c r="BX41" s="9">
        <f t="shared" ca="1" si="40"/>
        <v>-66.428821120543603</v>
      </c>
      <c r="BY41" s="9">
        <f t="shared" ca="1" si="41"/>
        <v>-31.340859808405849</v>
      </c>
      <c r="BZ41" s="9">
        <f t="shared" ca="1" si="42"/>
        <v>-1.2081386057167549</v>
      </c>
      <c r="CA41" s="6">
        <f t="shared" ca="1" si="43"/>
        <v>-52.77114516969317</v>
      </c>
      <c r="CB41" s="6">
        <f t="shared" ca="1" si="44"/>
        <v>-1.593686252597655</v>
      </c>
      <c r="CC41" s="6">
        <f t="shared" ca="1" si="45"/>
        <v>-0.51117198534634212</v>
      </c>
      <c r="CD41" s="9">
        <f t="shared" si="46"/>
        <v>-31.208138605716762</v>
      </c>
      <c r="CE41" s="9">
        <f t="shared" si="47"/>
        <v>-52.77114516969317</v>
      </c>
      <c r="CF41" s="6">
        <f t="shared" si="48"/>
        <v>-2.1048582379439971</v>
      </c>
      <c r="CG41" s="6">
        <f t="shared" ca="1" si="49"/>
        <v>-0.51117198534634212</v>
      </c>
      <c r="CH41" s="6"/>
      <c r="CI41" s="6"/>
      <c r="CJ41" s="1"/>
      <c r="CK41" s="6"/>
      <c r="DW41">
        <f ca="1"/>
        <v>3.9844954447383681E-2</v>
      </c>
      <c r="DX41">
        <f ca="1"/>
        <v>-0.23591434199948003</v>
      </c>
      <c r="DY41">
        <f ca="1"/>
        <v>-0.97095664313296626</v>
      </c>
      <c r="DZ41">
        <f ca="1"/>
        <v>0</v>
      </c>
    </row>
    <row r="42" spans="1:139" x14ac:dyDescent="0.25">
      <c r="A42" s="3">
        <f t="shared" si="63"/>
        <v>-6</v>
      </c>
      <c r="B42" s="6">
        <f t="shared" si="64"/>
        <v>12</v>
      </c>
      <c r="C42" s="6">
        <f t="shared" si="65"/>
        <v>-4.2105134829788815</v>
      </c>
      <c r="D42" s="6">
        <f t="shared" si="66"/>
        <v>12.738586115015005</v>
      </c>
      <c r="J42" s="9"/>
      <c r="K42" s="9"/>
      <c r="N42" s="9"/>
      <c r="O42" s="9"/>
      <c r="BC42"/>
      <c r="BD42"/>
      <c r="BF42" s="6" t="e">
        <f t="shared" si="60"/>
        <v>#N/A</v>
      </c>
      <c r="BG42" s="6" t="e">
        <f t="shared" si="61"/>
        <v>#N/A</v>
      </c>
      <c r="BH42" s="6" t="e">
        <f t="shared" si="2"/>
        <v>#N/A</v>
      </c>
      <c r="BI42" s="6" t="e">
        <f t="shared" si="3"/>
        <v>#N/A</v>
      </c>
      <c r="BT42">
        <f t="shared" si="68"/>
        <v>0.59087130806362453</v>
      </c>
      <c r="BV42" s="36"/>
      <c r="BW42" s="6">
        <f t="shared" si="39"/>
        <v>4.712388980384687</v>
      </c>
      <c r="BX42" s="9">
        <f t="shared" ca="1" si="40"/>
        <v>-44.439834553004431</v>
      </c>
      <c r="BY42" s="9">
        <f t="shared" ca="1" si="41"/>
        <v>-32.553334423567151</v>
      </c>
      <c r="BZ42" s="9">
        <f t="shared" ca="1" si="42"/>
        <v>20.780847961822417</v>
      </c>
      <c r="CA42" s="6">
        <f t="shared" ca="1" si="43"/>
        <v>-53.983619784854469</v>
      </c>
      <c r="CB42" s="6">
        <f t="shared" ca="1" si="44"/>
        <v>-1.2033333939460764</v>
      </c>
      <c r="CC42" s="6">
        <f t="shared" ca="1" si="45"/>
        <v>-0.53660801359222488</v>
      </c>
      <c r="CD42" s="9">
        <f t="shared" si="46"/>
        <v>-9.2191520381775831</v>
      </c>
      <c r="CE42" s="9">
        <f t="shared" si="47"/>
        <v>-53.983619784854469</v>
      </c>
      <c r="CF42" s="6">
        <f t="shared" si="48"/>
        <v>-1.7399414075383013</v>
      </c>
      <c r="CG42" s="6">
        <f t="shared" ca="1" si="49"/>
        <v>-0.53660801359222488</v>
      </c>
      <c r="CH42" s="6"/>
      <c r="CI42" s="6"/>
      <c r="CJ42" s="1"/>
      <c r="CK42" s="6"/>
      <c r="DW42">
        <f ca="1"/>
        <v>-0.16170045095826441</v>
      </c>
      <c r="DX42">
        <f ca="1"/>
        <v>0.95739739241546529</v>
      </c>
      <c r="DY42">
        <f ca="1"/>
        <v>-0.23925550600970857</v>
      </c>
      <c r="DZ42">
        <f ca="1"/>
        <v>0</v>
      </c>
    </row>
    <row r="43" spans="1:139" x14ac:dyDescent="0.25">
      <c r="A43" s="3">
        <f t="shared" si="63"/>
        <v>-6</v>
      </c>
      <c r="B43" s="6">
        <f t="shared" si="64"/>
        <v>6</v>
      </c>
      <c r="C43" s="6">
        <f t="shared" si="65"/>
        <v>-5.0740253127903294</v>
      </c>
      <c r="D43" s="6">
        <f t="shared" si="66"/>
        <v>6.801048972413227</v>
      </c>
      <c r="Y43">
        <f ca="1">(U5*12)/U4</f>
        <v>25583531444540.352</v>
      </c>
      <c r="Z43">
        <f ca="1">U10*Y43*Y43</f>
        <v>0</v>
      </c>
      <c r="AD43" t="s">
        <v>133</v>
      </c>
      <c r="BC43"/>
      <c r="BD43"/>
      <c r="BF43" s="6" t="e">
        <f t="shared" si="60"/>
        <v>#N/A</v>
      </c>
      <c r="BG43" s="6" t="e">
        <f t="shared" si="61"/>
        <v>#N/A</v>
      </c>
      <c r="BH43" s="6" t="e">
        <f t="shared" si="2"/>
        <v>#N/A</v>
      </c>
      <c r="BI43" s="6" t="e">
        <f t="shared" si="3"/>
        <v>#N/A</v>
      </c>
      <c r="BT43">
        <f t="shared" si="68"/>
        <v>0.72649481708576558</v>
      </c>
      <c r="BV43" s="36"/>
      <c r="BW43" s="6">
        <f t="shared" si="39"/>
        <v>4.8869219055841198</v>
      </c>
      <c r="BX43" s="9">
        <f t="shared" ca="1" si="40"/>
        <v>-23.238213703503426</v>
      </c>
      <c r="BY43" s="9">
        <f t="shared" ca="1" si="41"/>
        <v>-31.451048139928215</v>
      </c>
      <c r="BZ43" s="9">
        <f t="shared" ca="1" si="42"/>
        <v>41.982468811323422</v>
      </c>
      <c r="CA43" s="6">
        <f t="shared" ca="1" si="43"/>
        <v>-52.881333501215536</v>
      </c>
      <c r="CB43" s="6">
        <f t="shared" ca="1" si="44"/>
        <v>-0.89978623381695833</v>
      </c>
      <c r="CC43" s="6">
        <f t="shared" ca="1" si="45"/>
        <v>-0.44818120904264191</v>
      </c>
      <c r="CD43" s="9">
        <f t="shared" si="46"/>
        <v>11.982468811323422</v>
      </c>
      <c r="CE43" s="9">
        <f t="shared" si="47"/>
        <v>-52.881333501215536</v>
      </c>
      <c r="CF43" s="6">
        <f t="shared" si="48"/>
        <v>-1.3479674428596002</v>
      </c>
      <c r="CG43" s="6">
        <f t="shared" ca="1" si="49"/>
        <v>-0.44818120904264191</v>
      </c>
      <c r="CH43" s="6"/>
      <c r="CI43" s="6"/>
      <c r="CJ43" s="1"/>
      <c r="CK43" s="6"/>
      <c r="DV43" s="5"/>
      <c r="DW43">
        <f ca="1"/>
        <v>0</v>
      </c>
      <c r="DX43">
        <f ca="1"/>
        <v>0</v>
      </c>
      <c r="DY43">
        <f ca="1"/>
        <v>0</v>
      </c>
      <c r="DZ43">
        <f ca="1"/>
        <v>1</v>
      </c>
    </row>
    <row r="44" spans="1:139" x14ac:dyDescent="0.25">
      <c r="A44" s="3">
        <f t="shared" si="63"/>
        <v>-6</v>
      </c>
      <c r="B44" s="6">
        <f t="shared" si="64"/>
        <v>6</v>
      </c>
      <c r="C44" s="6">
        <f t="shared" si="65"/>
        <v>-5.0740253127903294</v>
      </c>
      <c r="D44" s="6">
        <f t="shared" si="66"/>
        <v>6.801048972413227</v>
      </c>
      <c r="Y44">
        <f ca="1">(12*U6)/U4</f>
        <v>-583.35724266418242</v>
      </c>
      <c r="Z44">
        <f ca="1">U10*Y44*Y44</f>
        <v>0</v>
      </c>
      <c r="AD44" t="s">
        <v>8</v>
      </c>
      <c r="AE44" t="s">
        <v>9</v>
      </c>
      <c r="AY44" s="6" t="s">
        <v>170</v>
      </c>
      <c r="AZ44" s="47" t="s">
        <v>98</v>
      </c>
      <c r="BC44"/>
      <c r="BD44"/>
      <c r="BF44" s="6" t="e">
        <f t="shared" si="60"/>
        <v>#N/A</v>
      </c>
      <c r="BG44" s="6" t="e">
        <f t="shared" si="61"/>
        <v>#N/A</v>
      </c>
      <c r="BH44" s="6" t="e">
        <f t="shared" si="2"/>
        <v>#N/A</v>
      </c>
      <c r="BI44" s="6" t="e">
        <f t="shared" si="3"/>
        <v>#N/A</v>
      </c>
      <c r="BT44">
        <f t="shared" si="68"/>
        <v>0.90470343607814319</v>
      </c>
      <c r="BV44" s="36"/>
      <c r="BW44" s="6">
        <f t="shared" si="39"/>
        <v>5.0614548307835525</v>
      </c>
      <c r="BX44" s="9">
        <f t="shared" ca="1" si="40"/>
        <v>-9.2595112734195268</v>
      </c>
      <c r="BY44" s="9">
        <f t="shared" ca="1" si="41"/>
        <v>-28.905750346231539</v>
      </c>
      <c r="BZ44" s="9">
        <f t="shared" ca="1" si="42"/>
        <v>55.961171241407321</v>
      </c>
      <c r="CA44" s="6">
        <f t="shared" ca="1" si="43"/>
        <v>-50.33603570751886</v>
      </c>
      <c r="CB44" s="6">
        <f t="shared" ca="1" si="44"/>
        <v>-0.73252853871759183</v>
      </c>
      <c r="CC44" s="6">
        <f t="shared" ca="1" si="45"/>
        <v>-0.36209405421941365</v>
      </c>
      <c r="CD44" s="9">
        <f t="shared" si="46"/>
        <v>25.961171241407321</v>
      </c>
      <c r="CE44" s="9">
        <f t="shared" si="47"/>
        <v>-50.33603570751886</v>
      </c>
      <c r="CF44" s="6">
        <f t="shared" si="48"/>
        <v>-1.0946225929370055</v>
      </c>
      <c r="CG44" s="6">
        <f t="shared" ca="1" si="49"/>
        <v>-0.36209405421941365</v>
      </c>
      <c r="CH44" s="6"/>
      <c r="CI44" s="6"/>
      <c r="CJ44" s="1"/>
      <c r="CK44" s="6"/>
      <c r="DV44" s="5"/>
      <c r="DW44">
        <f t="array" aca="1" ref="DW44:DZ44" ca="1">MMULT(DW10:DZ10,DW40:DZ43)</f>
        <v>1230.0522281866547</v>
      </c>
      <c r="DX44">
        <f ca="1"/>
        <v>-5.6843418860808015E-14</v>
      </c>
      <c r="DY44">
        <f ca="1"/>
        <v>0</v>
      </c>
      <c r="DZ44">
        <f ca="1"/>
        <v>0</v>
      </c>
    </row>
    <row r="45" spans="1:139" x14ac:dyDescent="0.25">
      <c r="A45" s="3">
        <f t="shared" si="63"/>
        <v>-6</v>
      </c>
      <c r="B45" s="6">
        <f t="shared" si="64"/>
        <v>-12</v>
      </c>
      <c r="C45" s="6">
        <f t="shared" si="65"/>
        <v>-7.664560802224675</v>
      </c>
      <c r="D45" s="6">
        <f t="shared" si="66"/>
        <v>-11.011562455392108</v>
      </c>
      <c r="AA45">
        <f ca="1">IF(AND(Z43=0,Z44=0),0,ATAN2(Z43,Z44))</f>
        <v>0</v>
      </c>
      <c r="AD45" s="36">
        <f>U13+PI()/2</f>
        <v>1.5707963267948966</v>
      </c>
      <c r="AE45">
        <v>0</v>
      </c>
      <c r="AX45" s="6">
        <f>(G35-AY45)/20</f>
        <v>3.830724336782636</v>
      </c>
      <c r="AY45" s="6">
        <f>L1</f>
        <v>9.9999999999999995E-7</v>
      </c>
      <c r="AZ45" s="47">
        <v>130.6799999999914</v>
      </c>
      <c r="BC45"/>
      <c r="BD45"/>
      <c r="BF45" s="6" t="e">
        <f t="shared" si="60"/>
        <v>#N/A</v>
      </c>
      <c r="BG45" s="6" t="e">
        <f t="shared" si="61"/>
        <v>#N/A</v>
      </c>
      <c r="BH45" s="6" t="e">
        <f t="shared" si="2"/>
        <v>#N/A</v>
      </c>
      <c r="BI45" s="6" t="e">
        <f t="shared" si="3"/>
        <v>#N/A</v>
      </c>
      <c r="BT45">
        <f t="shared" si="68"/>
        <v>1.1146539577227013</v>
      </c>
      <c r="BV45" s="36"/>
      <c r="BW45" s="6">
        <f t="shared" si="39"/>
        <v>5.2359877559829853</v>
      </c>
      <c r="BX45" s="9">
        <f t="shared" ca="1" si="40"/>
        <v>0.21922365508171993</v>
      </c>
      <c r="BY45" s="9">
        <f t="shared" ca="1" si="41"/>
        <v>-26.226259407463989</v>
      </c>
      <c r="BZ45" s="9">
        <f t="shared" ca="1" si="42"/>
        <v>65.439906169908568</v>
      </c>
      <c r="CA45" s="6">
        <f t="shared" ca="1" si="43"/>
        <v>-47.65654476875131</v>
      </c>
      <c r="CB45" s="6">
        <f t="shared" ca="1" si="44"/>
        <v>-0.62943451049818955</v>
      </c>
      <c r="CC45" s="6">
        <f t="shared" ca="1" si="45"/>
        <v>-0.30193553372385518</v>
      </c>
      <c r="CD45" s="9">
        <f t="shared" si="46"/>
        <v>35.439906169908568</v>
      </c>
      <c r="CE45" s="9">
        <f t="shared" si="47"/>
        <v>-47.65654476875131</v>
      </c>
      <c r="CF45" s="6">
        <f t="shared" si="48"/>
        <v>-0.93137004422204472</v>
      </c>
      <c r="CG45" s="6">
        <f t="shared" ca="1" si="49"/>
        <v>-0.30193553372385518</v>
      </c>
      <c r="CH45" s="6"/>
      <c r="CI45" s="6"/>
      <c r="CJ45" s="1"/>
      <c r="CK45" s="6"/>
      <c r="DV45" s="5"/>
    </row>
    <row r="46" spans="1:139" x14ac:dyDescent="0.25">
      <c r="AD46" s="36">
        <f>U13-PI()/2</f>
        <v>-1.5707963267948966</v>
      </c>
      <c r="AE46">
        <f>AE45</f>
        <v>0</v>
      </c>
      <c r="AY46" s="6">
        <f>AY45+$AX$45</f>
        <v>3.8307253367826362</v>
      </c>
      <c r="AZ46" s="47">
        <v>-28.896620558704356</v>
      </c>
      <c r="BC46"/>
      <c r="BD46"/>
      <c r="BF46" s="6" t="e">
        <f t="shared" si="60"/>
        <v>#N/A</v>
      </c>
      <c r="BG46" s="6" t="e">
        <f t="shared" si="61"/>
        <v>#N/A</v>
      </c>
      <c r="BH46" s="6" t="e">
        <f t="shared" si="2"/>
        <v>#N/A</v>
      </c>
      <c r="BI46" s="6" t="e">
        <f t="shared" si="3"/>
        <v>#N/A</v>
      </c>
      <c r="BT46">
        <f t="shared" si="68"/>
        <v>1.3597056601279403</v>
      </c>
      <c r="BV46" s="36"/>
      <c r="BW46" s="6">
        <f t="shared" si="39"/>
        <v>5.410520681182418</v>
      </c>
      <c r="BX46" s="9">
        <f t="shared" ca="1" si="40"/>
        <v>10.369807185088405</v>
      </c>
      <c r="BY46" s="9">
        <f t="shared" ca="1" si="41"/>
        <v>-20.126644525177458</v>
      </c>
      <c r="BZ46" s="9">
        <f t="shared" ca="1" si="42"/>
        <v>75.590489699915253</v>
      </c>
      <c r="CA46" s="6">
        <f t="shared" ca="1" si="43"/>
        <v>-41.556929886464779</v>
      </c>
      <c r="CB46" s="6">
        <f t="shared" ca="1" si="44"/>
        <v>-0.50266200190849986</v>
      </c>
      <c r="CC46" s="6">
        <f t="shared" ca="1" si="45"/>
        <v>-0.23648484107212317</v>
      </c>
      <c r="CD46" s="9">
        <f t="shared" si="46"/>
        <v>45.590489699915253</v>
      </c>
      <c r="CE46" s="9">
        <f t="shared" si="47"/>
        <v>-41.556929886464779</v>
      </c>
      <c r="CF46" s="6">
        <f t="shared" si="48"/>
        <v>-0.73914684298062305</v>
      </c>
      <c r="CG46" s="6">
        <f t="shared" ca="1" si="49"/>
        <v>-0.23648484107212317</v>
      </c>
      <c r="CH46" s="6"/>
      <c r="CI46" s="6"/>
      <c r="CJ46" s="1"/>
      <c r="CK46" s="6"/>
    </row>
    <row r="47" spans="1:139" x14ac:dyDescent="0.25">
      <c r="A47" t="s">
        <v>27</v>
      </c>
      <c r="AX47" s="6" cm="1">
        <f t="array" ref="AX47">INDEX(AY45:AY65,MATCH(MIN(ABS(AZ45:AZ65-0)),ABS(AZ45:AZ65-0),0))</f>
        <v>3.8307253367826362</v>
      </c>
      <c r="AY47" s="6">
        <f t="shared" ref="AY47:AY65" si="69">AY46+$AX$45</f>
        <v>7.6614496735652722</v>
      </c>
      <c r="AZ47" s="47">
        <v>-333.0590344167212</v>
      </c>
      <c r="BC47"/>
      <c r="BD47"/>
      <c r="BF47" s="6" t="e">
        <f t="shared" si="60"/>
        <v>#N/A</v>
      </c>
      <c r="BG47" s="6" t="e">
        <f t="shared" si="61"/>
        <v>#N/A</v>
      </c>
      <c r="BH47" s="6" t="e">
        <f t="shared" si="2"/>
        <v>#N/A</v>
      </c>
      <c r="BI47" s="6" t="e">
        <f t="shared" si="3"/>
        <v>#N/A</v>
      </c>
      <c r="BT47">
        <f t="shared" si="68"/>
        <v>1.6357061665225117</v>
      </c>
      <c r="BV47" s="36"/>
      <c r="BW47" s="6">
        <f t="shared" si="39"/>
        <v>5.5850536063818508</v>
      </c>
      <c r="BX47" s="9">
        <f t="shared" ca="1" si="40"/>
        <v>19.394335028393215</v>
      </c>
      <c r="BY47" s="9">
        <f t="shared" ca="1" si="41"/>
        <v>-13.180038380480536</v>
      </c>
      <c r="BZ47" s="9">
        <f t="shared" ca="1" si="42"/>
        <v>84.615017543220063</v>
      </c>
      <c r="CA47" s="6">
        <f t="shared" ca="1" si="43"/>
        <v>-34.610323741767857</v>
      </c>
      <c r="CB47" s="6">
        <f t="shared" ca="1" si="44"/>
        <v>-0.38826900146210341</v>
      </c>
      <c r="CC47" s="6">
        <f t="shared" ca="1" si="45"/>
        <v>-0.17657232871434891</v>
      </c>
      <c r="CD47" s="9">
        <f t="shared" si="46"/>
        <v>54.615017543220063</v>
      </c>
      <c r="CE47" s="9">
        <f t="shared" si="47"/>
        <v>-34.610323741767857</v>
      </c>
      <c r="CF47" s="6">
        <f t="shared" si="48"/>
        <v>-0.56484133017645233</v>
      </c>
      <c r="CG47" s="6">
        <f t="shared" ca="1" si="49"/>
        <v>-0.17657232871434891</v>
      </c>
      <c r="CH47" s="6"/>
      <c r="CI47" s="6"/>
      <c r="CJ47" s="1"/>
      <c r="CK47" s="6"/>
    </row>
    <row r="48" spans="1:139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X48" s="1" t="s">
        <v>268</v>
      </c>
      <c r="Y48" s="1" t="s">
        <v>269</v>
      </c>
      <c r="AY48" s="6">
        <f t="shared" si="69"/>
        <v>11.492174010347908</v>
      </c>
      <c r="AZ48" s="47">
        <v>-494.74007021527058</v>
      </c>
      <c r="BC48"/>
      <c r="BD48"/>
      <c r="BF48" s="6" t="e">
        <f t="shared" si="60"/>
        <v>#N/A</v>
      </c>
      <c r="BG48" s="6" t="e">
        <f t="shared" si="61"/>
        <v>#N/A</v>
      </c>
      <c r="BH48" s="6" t="e">
        <f t="shared" si="2"/>
        <v>#N/A</v>
      </c>
      <c r="BI48" s="6" t="e">
        <f t="shared" si="3"/>
        <v>#N/A</v>
      </c>
      <c r="BT48">
        <f t="shared" si="68"/>
        <v>1.9553032269770911</v>
      </c>
      <c r="BV48" s="36"/>
      <c r="BW48" s="6">
        <f t="shared" si="39"/>
        <v>5.7595865315812835</v>
      </c>
      <c r="BX48" s="9">
        <f t="shared" ca="1" si="40"/>
        <v>22.335845935837824</v>
      </c>
      <c r="BY48" s="9">
        <f t="shared" ca="1" si="41"/>
        <v>-7.5898945749903532</v>
      </c>
      <c r="BZ48" s="9">
        <f t="shared" ca="1" si="42"/>
        <v>87.556528450664672</v>
      </c>
      <c r="CA48" s="6">
        <f t="shared" ca="1" si="43"/>
        <v>-29.020179936277675</v>
      </c>
      <c r="CB48" s="6">
        <f t="shared" ca="1" si="44"/>
        <v>-0.32005015821264771</v>
      </c>
      <c r="CC48" s="6">
        <f t="shared" ca="1" si="45"/>
        <v>-0.1469542726787455</v>
      </c>
      <c r="CD48" s="9">
        <f t="shared" si="46"/>
        <v>57.556528450664672</v>
      </c>
      <c r="CE48" s="9">
        <f t="shared" si="47"/>
        <v>-29.020179936277675</v>
      </c>
      <c r="CF48" s="6">
        <f t="shared" si="48"/>
        <v>-0.46700443089139321</v>
      </c>
      <c r="CG48" s="6">
        <f t="shared" ca="1" si="49"/>
        <v>-0.1469542726787455</v>
      </c>
      <c r="CH48" s="6"/>
      <c r="CI48" s="6"/>
      <c r="CJ48" s="1"/>
      <c r="CK48" s="6"/>
    </row>
    <row r="49" spans="1:89" x14ac:dyDescent="0.25">
      <c r="A49" t="s">
        <v>43</v>
      </c>
      <c r="B49" s="6">
        <f>C37</f>
        <v>-7.664560802224675</v>
      </c>
      <c r="C49" s="6">
        <f>D37</f>
        <v>-11.011562455392108</v>
      </c>
      <c r="D49" s="6">
        <f t="shared" ref="D49:E56" si="70">C38</f>
        <v>4.2105134829788815</v>
      </c>
      <c r="E49" s="6">
        <f t="shared" si="70"/>
        <v>-12.738586115015005</v>
      </c>
      <c r="F49" s="6">
        <f t="shared" ref="F49:F56" si="71">IF(B49=D49,"V",(C49-E49)/(B49-D49))</f>
        <v>-0.14543266156867615</v>
      </c>
      <c r="G49" s="6">
        <f t="shared" ref="G49:G56" si="72">IF(F49="V",0,(-1*B49*F49)+C49)</f>
        <v>-12.12623993261459</v>
      </c>
      <c r="H49" s="6">
        <f t="shared" ref="H49:H56" si="73">IF(AND(C49&lt;$G$41,E49&lt;$G$41),0,IF(AND(C49&lt;$G$41,E49&gt;$G$41),IF(F49="V",B49,($G$41-G49)/F49),B49))</f>
        <v>0</v>
      </c>
      <c r="I49" s="6">
        <f>IF(AND(C49&lt;$G$41,E49&lt;$G$41),0,IF(AND(C49&lt;$G$41,E49&gt;=$G$41),$G$41,C49))</f>
        <v>0</v>
      </c>
      <c r="J49" s="6">
        <f t="shared" ref="J49:J56" si="74">IF(AND(C49&lt;$G$41,E49&lt;$G$41),0,IF(E49&gt;=$G$41,D49,IF(F49="V",D49,($G$41-G49)/F49)))</f>
        <v>0</v>
      </c>
      <c r="K49" s="6">
        <f t="shared" ref="K49:K56" si="75">IF(AND(C49&lt;$G$41,E49&lt;$G$41),0,IF(E49&gt;=$G$41,E49,$G$41))</f>
        <v>0</v>
      </c>
      <c r="L49" s="6">
        <f t="shared" ref="L49:L56" si="76">IF(AND(I49=0,K49=0,H49=0,J49=0),0,$B$31)</f>
        <v>0</v>
      </c>
      <c r="M49" s="6">
        <f t="shared" ref="M49:M56" si="77">IF(AND(I49=0,K49=0,H49=0,J49=0),0,$B$31)</f>
        <v>0</v>
      </c>
      <c r="N49" s="10">
        <f>(1/6)*(K49-I49)*((L49*((2*H49)+J49))+(M49*(H49+(2*J49))))</f>
        <v>0</v>
      </c>
      <c r="O49" s="10">
        <f>((1/12)*(K49-I49)*(L49*H49*((3*I49)+K49)+L49*J49*(I49+K49)+M49*H49*(I49+K49)+M49*J49*(I49+(3*K49))))</f>
        <v>0</v>
      </c>
      <c r="P49" s="10">
        <f t="shared" ref="P49:P56" si="78">((-1/24)*(K49-I49)*(H49*H49*((3*L49)+M49)+2*H49*J49*(L49+M49)+J49*J49*(L49+(3*M49))))</f>
        <v>0</v>
      </c>
      <c r="Q49">
        <f>($G$41-C49)/(E49-C49)</f>
        <v>-12.152177287345548</v>
      </c>
      <c r="S49" t="e">
        <f t="shared" ref="S49:S56" si="79">IF(AND(I49=0,K49=0,H49=0,J49=0),NA(),H49)</f>
        <v>#N/A</v>
      </c>
      <c r="T49" t="e">
        <f t="shared" ref="T49:T56" si="80">IF(AND(I49=0,K49=0,H49=0,J49=0),NA(),I49)</f>
        <v>#N/A</v>
      </c>
      <c r="V49" t="e">
        <f t="shared" ref="V49:V56" si="81">IF(AND(I49=0,K49=0,H49=0,J49=0),NA(),J49)</f>
        <v>#N/A</v>
      </c>
      <c r="W49" t="e">
        <f t="shared" ref="W49:W56" si="82">IF(AND(I49=0,K49=0,H49=0,J49=0),NA(),K49)</f>
        <v>#N/A</v>
      </c>
      <c r="X49">
        <f>((1/12)*((((3*J49)+(H49))*POWER(K49,3))+(POWER(K49,2)*I49*((H49-J49)))+(POWER(I49,2)*K49*((H49-J49)))+(POWER(I49,3)*((-1*J49)-(3*H49)))))</f>
        <v>0</v>
      </c>
      <c r="Y49">
        <f>(1/12)*((K49-I49)*((POWER(J49,3)+(H49*POWER(J49,2))+(POWER(H49,2)*J49)+POWER(H49,3))))</f>
        <v>0</v>
      </c>
      <c r="AC49">
        <v>0</v>
      </c>
      <c r="AD49">
        <f>-PI()</f>
        <v>-3.1415926535897931</v>
      </c>
      <c r="AX49" s="6">
        <v>3</v>
      </c>
      <c r="AY49" s="6">
        <f t="shared" si="69"/>
        <v>15.322898347130543</v>
      </c>
      <c r="AZ49" s="47">
        <v>-551.22113651767881</v>
      </c>
      <c r="BC49"/>
      <c r="BD49"/>
      <c r="BF49" s="6" t="e">
        <f t="shared" si="60"/>
        <v>#N/A</v>
      </c>
      <c r="BG49" s="6" t="e">
        <f t="shared" si="61"/>
        <v>#N/A</v>
      </c>
      <c r="BH49" s="6" t="e">
        <f t="shared" si="2"/>
        <v>#N/A</v>
      </c>
      <c r="BI49" s="6" t="e">
        <f t="shared" si="3"/>
        <v>#N/A</v>
      </c>
      <c r="BT49">
        <f t="shared" si="68"/>
        <v>2.2092890026320737</v>
      </c>
      <c r="BV49" s="36"/>
      <c r="BW49" s="6">
        <f t="shared" si="39"/>
        <v>5.9341194567807163</v>
      </c>
      <c r="BX49" s="9">
        <f t="shared" ca="1" si="40"/>
        <v>24.993395937703227</v>
      </c>
      <c r="BY49" s="9">
        <f t="shared" ca="1" si="41"/>
        <v>-0.46621386120865793</v>
      </c>
      <c r="BZ49" s="9">
        <f t="shared" ca="1" si="42"/>
        <v>90.214078452530075</v>
      </c>
      <c r="CA49" s="6">
        <f t="shared" ca="1" si="43"/>
        <v>-21.896499222495979</v>
      </c>
      <c r="CB49" s="6">
        <f t="shared" ca="1" si="44"/>
        <v>-0.23811250780826476</v>
      </c>
      <c r="CC49" s="6">
        <f t="shared" ca="1" si="45"/>
        <v>-0.11066539983649887</v>
      </c>
      <c r="CD49" s="9">
        <f t="shared" si="46"/>
        <v>60.214078452530075</v>
      </c>
      <c r="CE49" s="9">
        <f t="shared" si="47"/>
        <v>-21.896499222495979</v>
      </c>
      <c r="CF49" s="6">
        <f t="shared" si="48"/>
        <v>-0.34877790764476363</v>
      </c>
      <c r="CG49" s="6">
        <f t="shared" ca="1" si="49"/>
        <v>-0.11066539983649887</v>
      </c>
      <c r="CH49" s="6"/>
      <c r="CI49" s="6"/>
      <c r="CJ49" s="1"/>
      <c r="CK49" s="6"/>
    </row>
    <row r="50" spans="1:89" x14ac:dyDescent="0.25">
      <c r="A50" t="s">
        <v>44</v>
      </c>
      <c r="B50" s="6">
        <f t="shared" ref="B50:C56" si="83">D49</f>
        <v>4.2105134829788815</v>
      </c>
      <c r="C50" s="6">
        <f t="shared" si="83"/>
        <v>-12.738586115015005</v>
      </c>
      <c r="D50" s="6">
        <f t="shared" si="70"/>
        <v>6.801048972413227</v>
      </c>
      <c r="E50" s="6">
        <f t="shared" si="70"/>
        <v>5.0740253127903294</v>
      </c>
      <c r="F50" s="6">
        <f t="shared" si="71"/>
        <v>6.8760345111870276</v>
      </c>
      <c r="G50" s="6">
        <f t="shared" si="72"/>
        <v>-41.690222133796091</v>
      </c>
      <c r="H50" s="6">
        <f t="shared" si="73"/>
        <v>0</v>
      </c>
      <c r="I50" s="6">
        <f t="shared" ref="I50:I56" si="84">IF(AND(C50&lt;$G$41,E50&lt;$G$41),0,IF(AND(C50&lt;$G$41,E50&gt;=$G$41),$G$41,C50))</f>
        <v>0</v>
      </c>
      <c r="J50" s="6">
        <f t="shared" si="74"/>
        <v>0</v>
      </c>
      <c r="K50" s="6">
        <f t="shared" si="75"/>
        <v>0</v>
      </c>
      <c r="L50" s="6">
        <f t="shared" si="76"/>
        <v>0</v>
      </c>
      <c r="M50" s="6">
        <f t="shared" si="77"/>
        <v>0</v>
      </c>
      <c r="N50" s="10">
        <f t="shared" ref="N50:N56" si="85">(1/6)*(K50-I50)*((L50*((2*H50)+J50))+(M50*(H50+(2*J50))))</f>
        <v>0</v>
      </c>
      <c r="O50" s="10">
        <f t="shared" ref="O50:O56" si="86">((1/12)*(K50-I50)*(L50*H50*((3*I50)+K50)+L50*J50*(I50+K50)+M50*H50*(I50+K50)+M50*J50*(I50+(3*K50))))</f>
        <v>0</v>
      </c>
      <c r="P50" s="10">
        <f t="shared" si="78"/>
        <v>0</v>
      </c>
      <c r="Q50">
        <f t="shared" ref="Q50:Q56" si="87">($G$41-C50)/(E50-C50)</f>
        <v>1.2751707655478361</v>
      </c>
      <c r="S50" t="e">
        <f t="shared" si="79"/>
        <v>#N/A</v>
      </c>
      <c r="T50" t="e">
        <f t="shared" si="80"/>
        <v>#N/A</v>
      </c>
      <c r="V50" t="e">
        <f t="shared" si="81"/>
        <v>#N/A</v>
      </c>
      <c r="W50" t="e">
        <f t="shared" si="82"/>
        <v>#N/A</v>
      </c>
      <c r="X50">
        <f t="shared" ref="X50:X56" si="88">((1/12)*((((3*J50)+(H50))*POWER(K50,3))+(POWER(K50,2)*I50*((H50-J50)))+(POWER(I50,2)*K50*((H50-J50)))+(POWER(I50,3)*((-1*J50)-(3*H50)))))</f>
        <v>0</v>
      </c>
      <c r="Y50">
        <f t="shared" ref="Y50:Y56" si="89">(1/12)*((K50-I50)*((POWER(J50,3)+(H50*POWER(J50,2))+(POWER(H50,2)*J50)+POWER(H50,3))))</f>
        <v>0</v>
      </c>
      <c r="AC50">
        <f>2*PI()</f>
        <v>6.2831853071795862</v>
      </c>
      <c r="AD50">
        <f>AD49</f>
        <v>-3.1415926535897931</v>
      </c>
      <c r="AY50" s="6">
        <f t="shared" si="69"/>
        <v>19.153622683913181</v>
      </c>
      <c r="AZ50" s="47">
        <v>-684.61023117317711</v>
      </c>
      <c r="BC50"/>
      <c r="BD50"/>
      <c r="BF50" s="6" t="e">
        <f t="shared" si="60"/>
        <v>#N/A</v>
      </c>
      <c r="BG50" s="6" t="e">
        <f t="shared" si="61"/>
        <v>#N/A</v>
      </c>
      <c r="BH50" s="6" t="e">
        <f t="shared" si="2"/>
        <v>#N/A</v>
      </c>
      <c r="BI50" s="6" t="e">
        <f t="shared" si="3"/>
        <v>#N/A</v>
      </c>
      <c r="BT50">
        <f t="shared" si="68"/>
        <v>2.2927767703168431</v>
      </c>
      <c r="BV50" s="36"/>
      <c r="BW50" s="6">
        <f t="shared" si="39"/>
        <v>6.108652381980149</v>
      </c>
      <c r="BX50" s="9">
        <f t="shared" ca="1" si="40"/>
        <v>27.255314282845035</v>
      </c>
      <c r="BY50" s="9">
        <f t="shared" ca="1" si="41"/>
        <v>9.7858973283545971</v>
      </c>
      <c r="BZ50" s="9">
        <f t="shared" ca="1" si="42"/>
        <v>92.475996797671883</v>
      </c>
      <c r="CA50" s="6">
        <f t="shared" ca="1" si="43"/>
        <v>-11.644388032932724</v>
      </c>
      <c r="CB50" s="6">
        <f t="shared" ca="1" si="44"/>
        <v>-0.12525872087044684</v>
      </c>
      <c r="CC50" s="6">
        <f t="shared" ca="1" si="45"/>
        <v>-5.9008776378019517E-2</v>
      </c>
      <c r="CD50" s="9">
        <f t="shared" si="46"/>
        <v>62.475996797671883</v>
      </c>
      <c r="CE50" s="9">
        <f t="shared" si="47"/>
        <v>-11.644388032932724</v>
      </c>
      <c r="CF50" s="6">
        <f t="shared" si="48"/>
        <v>-0.18426749724846636</v>
      </c>
      <c r="CG50" s="6">
        <f t="shared" ca="1" si="49"/>
        <v>-5.9008776378019517E-2</v>
      </c>
      <c r="CH50" s="6"/>
      <c r="CI50" s="6"/>
      <c r="CJ50" s="1"/>
      <c r="CK50" s="6"/>
    </row>
    <row r="51" spans="1:89" x14ac:dyDescent="0.25">
      <c r="A51" t="s">
        <v>45</v>
      </c>
      <c r="B51" s="6">
        <f t="shared" si="83"/>
        <v>6.801048972413227</v>
      </c>
      <c r="C51" s="6">
        <f t="shared" si="83"/>
        <v>5.0740253127903294</v>
      </c>
      <c r="D51" s="6">
        <f t="shared" si="70"/>
        <v>18.67612325761678</v>
      </c>
      <c r="E51" s="6">
        <f t="shared" si="70"/>
        <v>3.3470016531674331</v>
      </c>
      <c r="F51" s="6">
        <f t="shared" si="71"/>
        <v>-0.14543266156867607</v>
      </c>
      <c r="G51" s="6">
        <f t="shared" si="72"/>
        <v>6.0631199663072941</v>
      </c>
      <c r="H51" s="6">
        <f t="shared" si="73"/>
        <v>0</v>
      </c>
      <c r="I51" s="6">
        <f t="shared" si="84"/>
        <v>0</v>
      </c>
      <c r="J51" s="6">
        <f t="shared" si="74"/>
        <v>0</v>
      </c>
      <c r="K51" s="6">
        <f t="shared" si="75"/>
        <v>0</v>
      </c>
      <c r="L51" s="6">
        <f t="shared" si="76"/>
        <v>0</v>
      </c>
      <c r="M51" s="6">
        <f t="shared" si="77"/>
        <v>0</v>
      </c>
      <c r="N51" s="10">
        <f t="shared" si="85"/>
        <v>0</v>
      </c>
      <c r="O51" s="10">
        <f t="shared" si="86"/>
        <v>0</v>
      </c>
      <c r="P51" s="10">
        <f t="shared" si="78"/>
        <v>0</v>
      </c>
      <c r="Q51">
        <f t="shared" si="87"/>
        <v>-2.8381255205650158</v>
      </c>
      <c r="S51" t="e">
        <f t="shared" si="79"/>
        <v>#N/A</v>
      </c>
      <c r="T51" t="e">
        <f t="shared" si="80"/>
        <v>#N/A</v>
      </c>
      <c r="V51" t="e">
        <f t="shared" si="81"/>
        <v>#N/A</v>
      </c>
      <c r="W51" t="e">
        <f t="shared" si="82"/>
        <v>#N/A</v>
      </c>
      <c r="X51">
        <f t="shared" si="88"/>
        <v>0</v>
      </c>
      <c r="Y51">
        <f t="shared" si="89"/>
        <v>0</v>
      </c>
      <c r="AC51">
        <f>AC50</f>
        <v>6.2831853071795862</v>
      </c>
      <c r="AD51">
        <f>-1*AD50</f>
        <v>3.1415926535897931</v>
      </c>
      <c r="AY51" s="6">
        <f t="shared" si="69"/>
        <v>22.984347020695818</v>
      </c>
      <c r="AZ51" s="47">
        <v>-807.75614277450381</v>
      </c>
      <c r="BC51"/>
      <c r="BD51"/>
      <c r="BF51" s="6" t="e">
        <f t="shared" si="60"/>
        <v>#N/A</v>
      </c>
      <c r="BG51" s="6" t="e">
        <f t="shared" si="61"/>
        <v>#N/A</v>
      </c>
      <c r="BH51" s="6" t="e">
        <f t="shared" si="2"/>
        <v>#N/A</v>
      </c>
      <c r="BI51" s="6" t="e">
        <f t="shared" si="3"/>
        <v>#N/A</v>
      </c>
      <c r="BT51">
        <f t="shared" si="68"/>
        <v>2.3304422573943189</v>
      </c>
      <c r="BV51" s="36"/>
      <c r="BW51" s="6">
        <f t="shared" si="39"/>
        <v>6.2831853071795818</v>
      </c>
      <c r="BX51" s="9">
        <f t="shared" ca="1" si="40"/>
        <v>27.996190151700944</v>
      </c>
      <c r="BY51" s="9">
        <f t="shared" ca="1" si="41"/>
        <v>21.430285361286938</v>
      </c>
      <c r="BZ51" s="9">
        <f t="shared" ca="1" si="42"/>
        <v>93.216872666527792</v>
      </c>
      <c r="CA51" s="6">
        <f t="shared" ca="1" si="43"/>
        <v>-3.836930773104541E-13</v>
      </c>
      <c r="CB51" s="6">
        <f t="shared" ca="1" si="44"/>
        <v>-4.1161333386829031E-15</v>
      </c>
      <c r="CC51" s="6">
        <f t="shared" ca="1" si="45"/>
        <v>-1.9505424302458216E-15</v>
      </c>
      <c r="CD51" s="9">
        <f t="shared" si="46"/>
        <v>63.216872666527792</v>
      </c>
      <c r="CE51" s="9">
        <f t="shared" si="47"/>
        <v>-3.8351626959347677E-13</v>
      </c>
      <c r="CF51" s="6">
        <f t="shared" si="48"/>
        <v>-6.0666757689287247E-15</v>
      </c>
      <c r="CG51" s="6">
        <f t="shared" ca="1" si="49"/>
        <v>-1.9505424302458216E-15</v>
      </c>
      <c r="CH51" s="6"/>
      <c r="CI51" s="6"/>
      <c r="CJ51" s="1"/>
      <c r="CK51" s="6"/>
    </row>
    <row r="52" spans="1:89" x14ac:dyDescent="0.25">
      <c r="A52" t="s">
        <v>46</v>
      </c>
      <c r="B52" s="6">
        <f t="shared" si="83"/>
        <v>18.67612325761678</v>
      </c>
      <c r="C52" s="6">
        <f t="shared" si="83"/>
        <v>3.3470016531674331</v>
      </c>
      <c r="D52" s="6">
        <f t="shared" si="70"/>
        <v>19.539635087428231</v>
      </c>
      <c r="E52" s="6">
        <f t="shared" si="70"/>
        <v>9.2845387957692118</v>
      </c>
      <c r="F52" s="6">
        <f t="shared" si="71"/>
        <v>6.8760345111870098</v>
      </c>
      <c r="G52" s="6">
        <f t="shared" si="72"/>
        <v>-125.07066640138791</v>
      </c>
      <c r="H52" s="6">
        <f t="shared" si="73"/>
        <v>0</v>
      </c>
      <c r="I52" s="6">
        <f t="shared" si="84"/>
        <v>0</v>
      </c>
      <c r="J52" s="6">
        <f t="shared" si="74"/>
        <v>0</v>
      </c>
      <c r="K52" s="6">
        <f t="shared" si="75"/>
        <v>0</v>
      </c>
      <c r="L52" s="6">
        <f t="shared" si="76"/>
        <v>0</v>
      </c>
      <c r="M52" s="6">
        <f t="shared" si="77"/>
        <v>0</v>
      </c>
      <c r="N52" s="10">
        <f t="shared" si="85"/>
        <v>0</v>
      </c>
      <c r="O52" s="10">
        <f t="shared" si="86"/>
        <v>0</v>
      </c>
      <c r="P52" s="10">
        <f t="shared" si="78"/>
        <v>0</v>
      </c>
      <c r="Q52">
        <f t="shared" si="87"/>
        <v>1.1163776197808608</v>
      </c>
      <c r="S52" t="e">
        <f t="shared" si="79"/>
        <v>#N/A</v>
      </c>
      <c r="T52" t="e">
        <f t="shared" si="80"/>
        <v>#N/A</v>
      </c>
      <c r="V52" t="e">
        <f t="shared" si="81"/>
        <v>#N/A</v>
      </c>
      <c r="W52" t="e">
        <f t="shared" si="82"/>
        <v>#N/A</v>
      </c>
      <c r="X52">
        <f t="shared" si="88"/>
        <v>0</v>
      </c>
      <c r="Y52">
        <f t="shared" si="89"/>
        <v>0</v>
      </c>
      <c r="AC52">
        <f>0</f>
        <v>0</v>
      </c>
      <c r="AD52">
        <f>AD51</f>
        <v>3.1415926535897931</v>
      </c>
      <c r="AY52" s="6">
        <f t="shared" si="69"/>
        <v>26.815071357478455</v>
      </c>
      <c r="AZ52" s="47">
        <v>-925.04880675259244</v>
      </c>
      <c r="BC52"/>
      <c r="BD52"/>
      <c r="BF52" s="6" t="e">
        <f t="shared" si="60"/>
        <v>#N/A</v>
      </c>
      <c r="BG52" s="6" t="e">
        <f t="shared" si="61"/>
        <v>#N/A</v>
      </c>
      <c r="BH52" s="6" t="e">
        <f t="shared" si="2"/>
        <v>#N/A</v>
      </c>
      <c r="BI52" s="6" t="e">
        <f t="shared" si="3"/>
        <v>#N/A</v>
      </c>
      <c r="BT52">
        <f t="shared" si="68"/>
        <v>2.4009842664446159</v>
      </c>
      <c r="BV52" s="36"/>
      <c r="BW52" s="6">
        <f t="shared" si="39"/>
        <v>6.4577182323790145</v>
      </c>
      <c r="BX52" s="9">
        <f t="shared" ca="1" si="40"/>
        <v>27.996190151700944</v>
      </c>
      <c r="BY52" s="9">
        <f t="shared" ca="1" si="41"/>
        <v>21.430285361287297</v>
      </c>
      <c r="BZ52" s="9">
        <f t="shared" ca="1" si="42"/>
        <v>93.216872666527792</v>
      </c>
      <c r="CA52" s="6">
        <f t="shared" ca="1" si="43"/>
        <v>0</v>
      </c>
      <c r="CB52" s="6">
        <f t="shared" ca="1" si="44"/>
        <v>0</v>
      </c>
      <c r="CC52" s="6">
        <f t="shared" ca="1" si="45"/>
        <v>-3.6974003252075001E-16</v>
      </c>
      <c r="CD52" s="9">
        <f t="shared" si="46"/>
        <v>63.216872666527792</v>
      </c>
      <c r="CE52" s="9">
        <f t="shared" si="47"/>
        <v>-2.3373808555582099E-14</v>
      </c>
      <c r="CF52" s="6">
        <f t="shared" si="48"/>
        <v>-3.6974003252075001E-16</v>
      </c>
      <c r="CG52" s="6">
        <f t="shared" ca="1" si="49"/>
        <v>-3.6974003252075001E-16</v>
      </c>
      <c r="CH52" s="6"/>
      <c r="CI52" s="6"/>
      <c r="CJ52" s="1"/>
      <c r="CK52" s="6"/>
    </row>
    <row r="53" spans="1:89" x14ac:dyDescent="0.25">
      <c r="A53" t="s">
        <v>47</v>
      </c>
      <c r="B53" s="6">
        <f t="shared" si="83"/>
        <v>19.539635087428231</v>
      </c>
      <c r="C53" s="6">
        <f t="shared" si="83"/>
        <v>9.2845387957692118</v>
      </c>
      <c r="D53" s="6">
        <f t="shared" si="70"/>
        <v>-4.2105134829788815</v>
      </c>
      <c r="E53" s="6">
        <f t="shared" si="70"/>
        <v>12.738586115015005</v>
      </c>
      <c r="F53" s="6">
        <f t="shared" si="71"/>
        <v>-0.14543266156867607</v>
      </c>
      <c r="G53" s="6">
        <f t="shared" si="72"/>
        <v>12.12623993261459</v>
      </c>
      <c r="H53" s="6">
        <f t="shared" si="73"/>
        <v>14.788319718767756</v>
      </c>
      <c r="I53" s="6">
        <f t="shared" si="84"/>
        <v>9.9755352357856601</v>
      </c>
      <c r="J53" s="6">
        <f t="shared" si="74"/>
        <v>-4.2105134829788815</v>
      </c>
      <c r="K53" s="6">
        <f t="shared" si="75"/>
        <v>12.738586115015005</v>
      </c>
      <c r="L53" s="6">
        <f t="shared" si="76"/>
        <v>4.25</v>
      </c>
      <c r="M53" s="6">
        <f t="shared" si="77"/>
        <v>4.25</v>
      </c>
      <c r="N53" s="10">
        <f t="shared" si="85"/>
        <v>62.107410742742459</v>
      </c>
      <c r="O53" s="10">
        <f t="shared" si="86"/>
        <v>653.98729952237989</v>
      </c>
      <c r="P53" s="10">
        <f t="shared" si="78"/>
        <v>-340.85212932290079</v>
      </c>
      <c r="Q53">
        <f t="shared" si="87"/>
        <v>0.20005413248575021</v>
      </c>
      <c r="S53">
        <f t="shared" si="79"/>
        <v>14.788319718767756</v>
      </c>
      <c r="T53">
        <f t="shared" si="80"/>
        <v>9.9755352357856601</v>
      </c>
      <c r="V53">
        <f t="shared" si="81"/>
        <v>-4.2105134829788815</v>
      </c>
      <c r="W53">
        <f t="shared" si="82"/>
        <v>12.738586115015005</v>
      </c>
      <c r="X53">
        <f t="shared" si="88"/>
        <v>1619.6401060803928</v>
      </c>
      <c r="Y53">
        <f t="shared" si="89"/>
        <v>575.82782088611884</v>
      </c>
      <c r="AC53">
        <f>AC49</f>
        <v>0</v>
      </c>
      <c r="AD53">
        <f>AD49</f>
        <v>-3.1415926535897931</v>
      </c>
      <c r="AY53" s="6">
        <f t="shared" si="69"/>
        <v>30.645795694261093</v>
      </c>
      <c r="AZ53" s="47">
        <v>-1028.0128428382156</v>
      </c>
      <c r="BC53"/>
      <c r="BD53"/>
      <c r="BF53" s="6" t="e">
        <f t="shared" si="60"/>
        <v>#N/A</v>
      </c>
      <c r="BG53" s="6" t="e">
        <f t="shared" si="61"/>
        <v>#N/A</v>
      </c>
      <c r="BH53" s="6" t="e">
        <f t="shared" si="2"/>
        <v>#N/A</v>
      </c>
      <c r="BI53" s="6" t="e">
        <f t="shared" si="3"/>
        <v>#N/A</v>
      </c>
      <c r="BT53">
        <f t="shared" si="68"/>
        <v>2.4991052941023093</v>
      </c>
      <c r="BV53" s="36"/>
      <c r="BW53" s="6" t="e">
        <f t="shared" si="39"/>
        <v>#N/A</v>
      </c>
      <c r="BX53" s="9">
        <f t="shared" ca="1" si="40"/>
        <v>-65.220682514826848</v>
      </c>
      <c r="BY53" s="9">
        <f t="shared" ca="1" si="41"/>
        <v>21.430285361287321</v>
      </c>
      <c r="BZ53" s="9">
        <f t="shared" ca="1" si="42"/>
        <v>0</v>
      </c>
      <c r="CA53" s="6">
        <f t="shared" ca="1" si="43"/>
        <v>0</v>
      </c>
      <c r="CB53" s="6" t="e">
        <f t="shared" ca="1" si="44"/>
        <v>#DIV/0!</v>
      </c>
      <c r="CC53" s="6" t="e">
        <f t="shared" ca="1" si="45"/>
        <v>#DIV/0!</v>
      </c>
      <c r="CD53" s="9">
        <f t="shared" si="46"/>
        <v>-30</v>
      </c>
      <c r="CE53" s="9">
        <f t="shared" si="47"/>
        <v>0</v>
      </c>
      <c r="CF53" s="6">
        <f t="shared" si="48"/>
        <v>3.1415926535897931</v>
      </c>
      <c r="CG53" s="6" t="e">
        <f t="shared" ca="1" si="49"/>
        <v>#DIV/0!</v>
      </c>
      <c r="CH53" s="6"/>
      <c r="CI53" s="6"/>
      <c r="CJ53" s="1"/>
      <c r="CK53" s="6"/>
    </row>
    <row r="54" spans="1:89" x14ac:dyDescent="0.25">
      <c r="A54" t="s">
        <v>48</v>
      </c>
      <c r="B54" s="6">
        <f t="shared" si="83"/>
        <v>-4.2105134829788815</v>
      </c>
      <c r="C54" s="6">
        <f t="shared" si="83"/>
        <v>12.738586115015005</v>
      </c>
      <c r="D54" s="6">
        <f t="shared" si="70"/>
        <v>-5.0740253127903294</v>
      </c>
      <c r="E54" s="6">
        <f t="shared" si="70"/>
        <v>6.801048972413227</v>
      </c>
      <c r="F54" s="6">
        <f t="shared" si="71"/>
        <v>6.8760345111870311</v>
      </c>
      <c r="G54" s="6">
        <f t="shared" si="72"/>
        <v>41.690222133796105</v>
      </c>
      <c r="H54" s="6">
        <f t="shared" si="73"/>
        <v>-4.2105134829788815</v>
      </c>
      <c r="I54" s="6">
        <f t="shared" si="84"/>
        <v>12.738586115015005</v>
      </c>
      <c r="J54" s="6">
        <f t="shared" si="74"/>
        <v>-4.6123513263948759</v>
      </c>
      <c r="K54" s="6">
        <f t="shared" si="75"/>
        <v>9.9755352357856601</v>
      </c>
      <c r="L54" s="6">
        <f t="shared" si="76"/>
        <v>4.25</v>
      </c>
      <c r="M54" s="6">
        <f t="shared" si="77"/>
        <v>4.25</v>
      </c>
      <c r="N54" s="10">
        <f t="shared" si="85"/>
        <v>51.803301783831344</v>
      </c>
      <c r="O54" s="10">
        <f t="shared" si="86"/>
        <v>587.24672515330508</v>
      </c>
      <c r="P54" s="10">
        <f t="shared" si="78"/>
        <v>114.3423895648281</v>
      </c>
      <c r="Q54">
        <f t="shared" si="87"/>
        <v>0.46535302649384347</v>
      </c>
      <c r="S54">
        <f t="shared" si="79"/>
        <v>-4.2105134829788815</v>
      </c>
      <c r="T54">
        <f t="shared" si="80"/>
        <v>12.738586115015005</v>
      </c>
      <c r="V54">
        <f t="shared" si="81"/>
        <v>-4.6123513263948759</v>
      </c>
      <c r="W54">
        <f t="shared" si="82"/>
        <v>9.9755352357856601</v>
      </c>
      <c r="X54">
        <f t="shared" si="88"/>
        <v>1574.1210667172465</v>
      </c>
      <c r="Y54">
        <f t="shared" si="89"/>
        <v>79.233065869448865</v>
      </c>
      <c r="AY54" s="6">
        <f t="shared" si="69"/>
        <v>34.476520031043727</v>
      </c>
      <c r="AZ54" s="47">
        <v>-1045.4968539599713</v>
      </c>
      <c r="BC54"/>
      <c r="BD54"/>
      <c r="BF54" s="6" t="e">
        <f t="shared" si="60"/>
        <v>#N/A</v>
      </c>
      <c r="BG54" s="6" t="e">
        <f t="shared" si="61"/>
        <v>#N/A</v>
      </c>
      <c r="BH54" s="6" t="e">
        <f t="shared" si="2"/>
        <v>#N/A</v>
      </c>
      <c r="BI54" s="6" t="e">
        <f t="shared" si="3"/>
        <v>#N/A</v>
      </c>
      <c r="BT54">
        <f t="shared" si="68"/>
        <v>2.6313592242227597</v>
      </c>
      <c r="BV54" s="36"/>
      <c r="BW54" s="6" t="e">
        <f t="shared" si="39"/>
        <v>#N/A</v>
      </c>
      <c r="BX54" s="9">
        <f t="shared" ca="1" si="40"/>
        <v>-65.220682514826848</v>
      </c>
      <c r="BY54" s="9">
        <f t="shared" ca="1" si="41"/>
        <v>21.430285361287321</v>
      </c>
      <c r="BZ54" s="9">
        <f t="shared" ca="1" si="42"/>
        <v>0</v>
      </c>
      <c r="CA54" s="6">
        <f t="shared" ca="1" si="43"/>
        <v>0</v>
      </c>
      <c r="CB54" s="6" t="e">
        <f t="shared" ca="1" si="44"/>
        <v>#DIV/0!</v>
      </c>
      <c r="CC54" s="6" t="e">
        <f t="shared" ca="1" si="45"/>
        <v>#DIV/0!</v>
      </c>
      <c r="CD54" s="9">
        <f t="shared" si="46"/>
        <v>-30</v>
      </c>
      <c r="CE54" s="9">
        <f t="shared" si="47"/>
        <v>0</v>
      </c>
      <c r="CF54" s="6">
        <f t="shared" si="48"/>
        <v>3.1415926535897931</v>
      </c>
      <c r="CG54" s="6" t="e">
        <f t="shared" ca="1" si="49"/>
        <v>#DIV/0!</v>
      </c>
      <c r="CH54" s="6"/>
      <c r="CI54" s="6"/>
      <c r="CJ54" s="1"/>
      <c r="CK54" s="6"/>
    </row>
    <row r="55" spans="1:89" x14ac:dyDescent="0.25">
      <c r="A55" t="s">
        <v>92</v>
      </c>
      <c r="B55" s="6">
        <f t="shared" si="83"/>
        <v>-5.0740253127903294</v>
      </c>
      <c r="C55" s="6">
        <f t="shared" si="83"/>
        <v>6.801048972413227</v>
      </c>
      <c r="D55" s="6">
        <f t="shared" si="70"/>
        <v>-5.0740253127903294</v>
      </c>
      <c r="E55" s="6">
        <f t="shared" si="70"/>
        <v>6.801048972413227</v>
      </c>
      <c r="F55" s="6" t="str">
        <f t="shared" si="71"/>
        <v>V</v>
      </c>
      <c r="G55" s="6">
        <f t="shared" si="72"/>
        <v>0</v>
      </c>
      <c r="H55" s="6">
        <f t="shared" si="73"/>
        <v>0</v>
      </c>
      <c r="I55" s="6">
        <f t="shared" si="84"/>
        <v>0</v>
      </c>
      <c r="J55" s="6">
        <f t="shared" si="74"/>
        <v>0</v>
      </c>
      <c r="K55" s="6">
        <f t="shared" si="75"/>
        <v>0</v>
      </c>
      <c r="L55" s="6">
        <f t="shared" si="76"/>
        <v>0</v>
      </c>
      <c r="M55" s="6">
        <f t="shared" si="77"/>
        <v>0</v>
      </c>
      <c r="N55" s="10">
        <f t="shared" si="85"/>
        <v>0</v>
      </c>
      <c r="O55" s="10">
        <f t="shared" si="86"/>
        <v>0</v>
      </c>
      <c r="P55" s="10">
        <f t="shared" si="78"/>
        <v>0</v>
      </c>
      <c r="Q55" t="e">
        <f t="shared" si="87"/>
        <v>#DIV/0!</v>
      </c>
      <c r="S55" t="e">
        <f t="shared" si="79"/>
        <v>#N/A</v>
      </c>
      <c r="T55" t="e">
        <f t="shared" si="80"/>
        <v>#N/A</v>
      </c>
      <c r="V55" t="e">
        <f t="shared" si="81"/>
        <v>#N/A</v>
      </c>
      <c r="W55" t="e">
        <f t="shared" si="82"/>
        <v>#N/A</v>
      </c>
      <c r="X55">
        <f t="shared" si="88"/>
        <v>0</v>
      </c>
      <c r="Y55">
        <f t="shared" si="89"/>
        <v>0</v>
      </c>
      <c r="AY55" s="6">
        <f t="shared" si="69"/>
        <v>38.307244367826364</v>
      </c>
      <c r="AZ55" s="47">
        <v>-1052.3256433857105</v>
      </c>
      <c r="BC55"/>
      <c r="BD55"/>
      <c r="BF55" s="6" t="e">
        <f t="shared" si="60"/>
        <v>#N/A</v>
      </c>
      <c r="BG55" s="6" t="e">
        <f t="shared" si="61"/>
        <v>#N/A</v>
      </c>
      <c r="BH55" s="6" t="e">
        <f t="shared" si="2"/>
        <v>#N/A</v>
      </c>
      <c r="BI55" s="6" t="e">
        <f t="shared" si="3"/>
        <v>#N/A</v>
      </c>
      <c r="BT55">
        <f t="shared" si="68"/>
        <v>2.7996779997246177</v>
      </c>
      <c r="BV55" s="36"/>
      <c r="BW55" s="6" t="e">
        <f t="shared" si="39"/>
        <v>#N/A</v>
      </c>
      <c r="BX55" s="9">
        <f t="shared" ca="1" si="40"/>
        <v>-65.220682514826848</v>
      </c>
      <c r="BY55" s="9">
        <f t="shared" ca="1" si="41"/>
        <v>21.430285361287321</v>
      </c>
      <c r="BZ55" s="9">
        <f t="shared" ca="1" si="42"/>
        <v>0</v>
      </c>
      <c r="CA55" s="6">
        <f t="shared" ca="1" si="43"/>
        <v>0</v>
      </c>
      <c r="CB55" s="6" t="e">
        <f t="shared" ca="1" si="44"/>
        <v>#DIV/0!</v>
      </c>
      <c r="CC55" s="6" t="e">
        <f t="shared" ca="1" si="45"/>
        <v>#DIV/0!</v>
      </c>
      <c r="CD55" s="9">
        <f t="shared" si="46"/>
        <v>-30</v>
      </c>
      <c r="CE55" s="9">
        <f t="shared" si="47"/>
        <v>0</v>
      </c>
      <c r="CF55" s="6">
        <f t="shared" si="48"/>
        <v>3.1415926535897931</v>
      </c>
      <c r="CG55" s="6" t="e">
        <f t="shared" ca="1" si="49"/>
        <v>#DIV/0!</v>
      </c>
      <c r="CH55" s="6"/>
      <c r="CI55" s="6"/>
      <c r="CJ55" s="1"/>
      <c r="CK55" s="6"/>
    </row>
    <row r="56" spans="1:89" ht="15.75" thickBot="1" x14ac:dyDescent="0.3">
      <c r="A56" t="s">
        <v>93</v>
      </c>
      <c r="B56" s="6">
        <f t="shared" si="83"/>
        <v>-5.0740253127903294</v>
      </c>
      <c r="C56" s="6">
        <f t="shared" si="83"/>
        <v>6.801048972413227</v>
      </c>
      <c r="D56" s="6">
        <f t="shared" si="70"/>
        <v>-7.664560802224675</v>
      </c>
      <c r="E56" s="6">
        <f t="shared" si="70"/>
        <v>-11.011562455392108</v>
      </c>
      <c r="F56" s="6">
        <f t="shared" si="71"/>
        <v>6.8760345111870276</v>
      </c>
      <c r="G56" s="6">
        <f t="shared" si="72"/>
        <v>41.690222133796084</v>
      </c>
      <c r="H56" s="6">
        <f t="shared" si="73"/>
        <v>0</v>
      </c>
      <c r="I56" s="6">
        <f t="shared" si="84"/>
        <v>0</v>
      </c>
      <c r="J56" s="6">
        <f t="shared" si="74"/>
        <v>0</v>
      </c>
      <c r="K56" s="6">
        <f t="shared" si="75"/>
        <v>0</v>
      </c>
      <c r="L56" s="6">
        <f t="shared" si="76"/>
        <v>0</v>
      </c>
      <c r="M56" s="6">
        <f t="shared" si="77"/>
        <v>0</v>
      </c>
      <c r="N56" s="11">
        <f t="shared" si="85"/>
        <v>0</v>
      </c>
      <c r="O56" s="11">
        <f t="shared" si="86"/>
        <v>0</v>
      </c>
      <c r="P56" s="11">
        <f t="shared" si="78"/>
        <v>0</v>
      </c>
      <c r="Q56">
        <f t="shared" si="87"/>
        <v>-0.17821565783538548</v>
      </c>
      <c r="S56" t="e">
        <f t="shared" si="79"/>
        <v>#N/A</v>
      </c>
      <c r="T56" t="e">
        <f t="shared" si="80"/>
        <v>#N/A</v>
      </c>
      <c r="V56" t="e">
        <f t="shared" si="81"/>
        <v>#N/A</v>
      </c>
      <c r="W56" t="e">
        <f t="shared" si="82"/>
        <v>#N/A</v>
      </c>
      <c r="X56">
        <f t="shared" si="88"/>
        <v>0</v>
      </c>
      <c r="Y56">
        <f t="shared" si="89"/>
        <v>0</v>
      </c>
      <c r="AY56" s="6">
        <f t="shared" si="69"/>
        <v>42.137968704609001</v>
      </c>
      <c r="AZ56" s="47">
        <v>-1057.9128347635078</v>
      </c>
      <c r="BC56"/>
      <c r="BD56"/>
      <c r="BF56" s="6" t="e">
        <f t="shared" si="60"/>
        <v>#N/A</v>
      </c>
      <c r="BG56" s="6" t="e">
        <f t="shared" si="61"/>
        <v>#N/A</v>
      </c>
      <c r="BH56" s="6" t="e">
        <f t="shared" si="2"/>
        <v>#N/A</v>
      </c>
      <c r="BI56" s="6" t="e">
        <f t="shared" si="3"/>
        <v>#N/A</v>
      </c>
      <c r="BT56">
        <f t="shared" si="68"/>
        <v>3.0014270761229405</v>
      </c>
      <c r="BV56" s="36"/>
      <c r="BW56" s="6" t="e">
        <f t="shared" si="39"/>
        <v>#N/A</v>
      </c>
      <c r="BX56" s="9">
        <f t="shared" ca="1" si="40"/>
        <v>-65.220682514826848</v>
      </c>
      <c r="BY56" s="9">
        <f t="shared" ca="1" si="41"/>
        <v>21.430285361287321</v>
      </c>
      <c r="BZ56" s="9">
        <f t="shared" ca="1" si="42"/>
        <v>0</v>
      </c>
      <c r="CA56" s="6">
        <f t="shared" ca="1" si="43"/>
        <v>0</v>
      </c>
      <c r="CB56" s="6" t="e">
        <f t="shared" ca="1" si="44"/>
        <v>#DIV/0!</v>
      </c>
      <c r="CC56" s="6" t="e">
        <f t="shared" ca="1" si="45"/>
        <v>#DIV/0!</v>
      </c>
      <c r="CD56" s="9">
        <f t="shared" si="46"/>
        <v>-30</v>
      </c>
      <c r="CE56" s="9">
        <f t="shared" si="47"/>
        <v>0</v>
      </c>
      <c r="CF56" s="6">
        <f t="shared" si="48"/>
        <v>3.1415926535897931</v>
      </c>
      <c r="CG56" s="6" t="e">
        <f t="shared" ca="1" si="49"/>
        <v>#DIV/0!</v>
      </c>
      <c r="CH56" s="6"/>
      <c r="CI56" s="6"/>
      <c r="CJ56" s="1"/>
      <c r="CK56" s="6"/>
    </row>
    <row r="57" spans="1:89" ht="15.75" thickTop="1" x14ac:dyDescent="0.25">
      <c r="N57" s="6">
        <f>SUM(N49:N56)</f>
        <v>113.9107125265738</v>
      </c>
      <c r="O57" s="6">
        <f>SUM(O49:O56)</f>
        <v>1241.2340246756849</v>
      </c>
      <c r="P57" s="6">
        <f>SUM(P49:P56)</f>
        <v>-226.5097397580727</v>
      </c>
      <c r="X57">
        <f>SUM(X49:X56)</f>
        <v>3193.7611727976391</v>
      </c>
      <c r="Y57">
        <f>SUM(Y49:Y56)</f>
        <v>655.06088675556771</v>
      </c>
      <c r="AY57" s="6">
        <f t="shared" si="69"/>
        <v>45.968693041391639</v>
      </c>
      <c r="AZ57" s="47">
        <v>-1062.5688275985958</v>
      </c>
      <c r="BC57"/>
      <c r="BD57"/>
      <c r="BF57" s="6" t="e">
        <f t="shared" si="60"/>
        <v>#N/A</v>
      </c>
      <c r="BG57" s="6" t="e">
        <f t="shared" si="61"/>
        <v>#N/A</v>
      </c>
      <c r="BH57" s="6" t="e">
        <f t="shared" si="2"/>
        <v>#N/A</v>
      </c>
      <c r="BI57" s="6" t="e">
        <f t="shared" si="3"/>
        <v>#N/A</v>
      </c>
      <c r="BT57">
        <f t="shared" si="68"/>
        <v>-3.0498961609017901</v>
      </c>
      <c r="BV57" s="36"/>
      <c r="BW57" s="6" t="e">
        <f t="shared" si="39"/>
        <v>#N/A</v>
      </c>
      <c r="BX57" s="9">
        <f t="shared" ca="1" si="40"/>
        <v>-65.220682514826848</v>
      </c>
      <c r="BY57" s="9">
        <f t="shared" ca="1" si="41"/>
        <v>21.430285361287321</v>
      </c>
      <c r="BZ57" s="9">
        <f t="shared" ca="1" si="42"/>
        <v>0</v>
      </c>
      <c r="CA57" s="6">
        <f t="shared" ca="1" si="43"/>
        <v>0</v>
      </c>
      <c r="CB57" s="6" t="e">
        <f t="shared" ca="1" si="44"/>
        <v>#DIV/0!</v>
      </c>
      <c r="CC57" s="6" t="e">
        <f t="shared" ca="1" si="45"/>
        <v>#DIV/0!</v>
      </c>
      <c r="CD57" s="9">
        <f t="shared" si="46"/>
        <v>-30</v>
      </c>
      <c r="CE57" s="9">
        <f t="shared" si="47"/>
        <v>0</v>
      </c>
      <c r="CF57" s="6">
        <f t="shared" si="48"/>
        <v>3.1415926535897931</v>
      </c>
      <c r="CG57" s="6" t="e">
        <f t="shared" ca="1" si="49"/>
        <v>#DIV/0!</v>
      </c>
      <c r="CH57" s="6"/>
      <c r="CI57" s="6"/>
      <c r="CJ57" s="1"/>
      <c r="CK57" s="6"/>
    </row>
    <row r="58" spans="1:89" x14ac:dyDescent="0.25">
      <c r="O58" s="6">
        <f>O57/N57</f>
        <v>10.896552195528775</v>
      </c>
      <c r="P58" s="6">
        <f>-1*P57/N57</f>
        <v>1.9884849697979994</v>
      </c>
      <c r="S58">
        <f>(P58*COS(-1*$B$27))+(O58*SIN(-1*$B$27))+$I$2</f>
        <v>6.3995669401139974</v>
      </c>
      <c r="T58">
        <f>(-1*P58*SIN(-1*$B$27))+(O58*COS(-1*$B$27))+$I$3</f>
        <v>23.069293947012312</v>
      </c>
      <c r="AY58" s="6">
        <f t="shared" si="69"/>
        <v>49.799417378174276</v>
      </c>
      <c r="AZ58" s="47">
        <v>-1066.5085138580544</v>
      </c>
      <c r="BC58"/>
      <c r="BD58"/>
      <c r="BF58" s="6" t="e">
        <f t="shared" si="60"/>
        <v>#N/A</v>
      </c>
      <c r="BG58" s="6" t="e">
        <f t="shared" si="61"/>
        <v>#N/A</v>
      </c>
      <c r="BH58" s="6" t="e">
        <f t="shared" si="2"/>
        <v>#N/A</v>
      </c>
      <c r="BI58" s="6" t="e">
        <f t="shared" si="3"/>
        <v>#N/A</v>
      </c>
      <c r="BT58">
        <f t="shared" si="68"/>
        <v>-2.8128467593504602</v>
      </c>
      <c r="BV58" s="36"/>
      <c r="BW58" s="6" t="e">
        <f t="shared" si="39"/>
        <v>#N/A</v>
      </c>
      <c r="BX58" s="9">
        <f t="shared" ca="1" si="40"/>
        <v>-65.220682514826848</v>
      </c>
      <c r="BY58" s="9">
        <f t="shared" ca="1" si="41"/>
        <v>21.430285361287321</v>
      </c>
      <c r="BZ58" s="9">
        <f t="shared" ca="1" si="42"/>
        <v>0</v>
      </c>
      <c r="CA58" s="6">
        <f t="shared" ca="1" si="43"/>
        <v>0</v>
      </c>
      <c r="CB58" s="6" t="e">
        <f t="shared" ca="1" si="44"/>
        <v>#DIV/0!</v>
      </c>
      <c r="CC58" s="6" t="e">
        <f t="shared" ca="1" si="45"/>
        <v>#DIV/0!</v>
      </c>
      <c r="CD58" s="9">
        <f t="shared" si="46"/>
        <v>-30</v>
      </c>
      <c r="CE58" s="9">
        <f t="shared" si="47"/>
        <v>0</v>
      </c>
      <c r="CF58" s="6">
        <f t="shared" si="48"/>
        <v>3.1415926535897931</v>
      </c>
      <c r="CG58" s="6" t="e">
        <f t="shared" ca="1" si="49"/>
        <v>#DIV/0!</v>
      </c>
      <c r="CH58" s="6"/>
      <c r="CI58" s="6"/>
      <c r="CJ58" s="1"/>
      <c r="CK58" s="6"/>
    </row>
    <row r="59" spans="1:89" x14ac:dyDescent="0.25">
      <c r="A59" t="s">
        <v>54</v>
      </c>
      <c r="O59">
        <f>O57/12</f>
        <v>103.43616872297373</v>
      </c>
      <c r="P59">
        <f>P57/12</f>
        <v>-18.875811646506058</v>
      </c>
      <c r="AY59" s="6">
        <f t="shared" si="69"/>
        <v>53.630141714956913</v>
      </c>
      <c r="AZ59" s="47">
        <v>-1069.8853878052275</v>
      </c>
      <c r="BC59"/>
      <c r="BD59"/>
      <c r="BF59" s="6" t="e">
        <f t="shared" si="60"/>
        <v>#N/A</v>
      </c>
      <c r="BG59" s="6" t="e">
        <f t="shared" si="61"/>
        <v>#N/A</v>
      </c>
      <c r="BH59" s="6" t="e">
        <f t="shared" si="2"/>
        <v>#N/A</v>
      </c>
      <c r="BI59" s="6" t="e">
        <f t="shared" si="3"/>
        <v>#N/A</v>
      </c>
      <c r="BT59">
        <f t="shared" si="68"/>
        <v>-2.7008303105029228</v>
      </c>
      <c r="BV59" s="36"/>
      <c r="BW59" s="6" t="e">
        <f t="shared" si="39"/>
        <v>#N/A</v>
      </c>
      <c r="BX59" s="9">
        <f t="shared" ca="1" si="40"/>
        <v>-65.220682514826848</v>
      </c>
      <c r="BY59" s="9">
        <f t="shared" ca="1" si="41"/>
        <v>21.430285361287321</v>
      </c>
      <c r="BZ59" s="9">
        <f t="shared" ca="1" si="42"/>
        <v>0</v>
      </c>
      <c r="CA59" s="6">
        <f t="shared" ca="1" si="43"/>
        <v>0</v>
      </c>
      <c r="CB59" s="6" t="e">
        <f t="shared" ca="1" si="44"/>
        <v>#DIV/0!</v>
      </c>
      <c r="CC59" s="6" t="e">
        <f t="shared" ca="1" si="45"/>
        <v>#DIV/0!</v>
      </c>
      <c r="CD59" s="9">
        <f t="shared" si="46"/>
        <v>-30</v>
      </c>
      <c r="CE59" s="9">
        <f t="shared" si="47"/>
        <v>0</v>
      </c>
      <c r="CF59" s="6">
        <f t="shared" si="48"/>
        <v>3.1415926535897931</v>
      </c>
      <c r="CG59" s="6" t="e">
        <f t="shared" ca="1" si="49"/>
        <v>#DIV/0!</v>
      </c>
      <c r="CH59" s="6"/>
      <c r="CI59" s="6"/>
      <c r="CJ59" s="1"/>
      <c r="CK59" s="6"/>
    </row>
    <row r="60" spans="1:89" x14ac:dyDescent="0.25">
      <c r="S60" t="str">
        <f>"Cc = "&amp;ROUND(N57,4)&amp;" "&amp;C178&amp;CHAR(10)&amp;" @ ( "&amp;ROUND(S58,4)&amp;" , "&amp;ROUND(T58,4)&amp;" )"</f>
        <v>Cc = 113.9107 kips
 @ ( 6.3996 , 23.0693 )</v>
      </c>
      <c r="AY60" s="6">
        <f t="shared" si="69"/>
        <v>57.460866051739551</v>
      </c>
      <c r="AZ60" s="47">
        <v>-1072.812011900613</v>
      </c>
      <c r="BC60"/>
      <c r="BD60"/>
      <c r="BF60" s="6" t="e">
        <f t="shared" si="60"/>
        <v>#N/A</v>
      </c>
      <c r="BG60" s="6" t="e">
        <f t="shared" si="61"/>
        <v>#N/A</v>
      </c>
      <c r="BH60" s="6" t="e">
        <f t="shared" si="2"/>
        <v>#N/A</v>
      </c>
      <c r="BI60" s="6" t="e">
        <f t="shared" si="3"/>
        <v>#N/A</v>
      </c>
      <c r="BT60">
        <f t="shared" si="68"/>
        <v>-2.5836265302589139</v>
      </c>
      <c r="BV60" s="36"/>
      <c r="BW60" s="6" t="e">
        <f t="shared" si="39"/>
        <v>#N/A</v>
      </c>
      <c r="BX60" s="9">
        <f t="shared" ca="1" si="40"/>
        <v>-65.220682514826848</v>
      </c>
      <c r="BY60" s="9">
        <f t="shared" ca="1" si="41"/>
        <v>21.430285361287321</v>
      </c>
      <c r="BZ60" s="9">
        <f t="shared" ca="1" si="42"/>
        <v>0</v>
      </c>
      <c r="CA60" s="6">
        <f t="shared" ca="1" si="43"/>
        <v>0</v>
      </c>
      <c r="CB60" s="6" t="e">
        <f t="shared" ca="1" si="44"/>
        <v>#DIV/0!</v>
      </c>
      <c r="CC60" s="6" t="e">
        <f t="shared" ca="1" si="45"/>
        <v>#DIV/0!</v>
      </c>
      <c r="CD60" s="9">
        <f t="shared" si="46"/>
        <v>-30</v>
      </c>
      <c r="CE60" s="9">
        <f t="shared" si="47"/>
        <v>0</v>
      </c>
      <c r="CF60" s="6">
        <f t="shared" si="48"/>
        <v>3.1415926535897931</v>
      </c>
      <c r="CG60" s="6" t="e">
        <f t="shared" ca="1" si="49"/>
        <v>#DIV/0!</v>
      </c>
      <c r="CH60" s="6"/>
      <c r="CI60" s="6"/>
      <c r="CJ60" s="1"/>
      <c r="CK60" s="6"/>
    </row>
    <row r="61" spans="1:89" x14ac:dyDescent="0.25">
      <c r="A61">
        <f t="shared" ref="A61:E71" si="90">A14</f>
        <v>0</v>
      </c>
      <c r="B61" s="1" t="str">
        <f t="shared" si="90"/>
        <v>Bar #</v>
      </c>
      <c r="C61" s="1" t="str">
        <f t="shared" si="90"/>
        <v>As (in^2)</v>
      </c>
      <c r="D61" s="1" t="str">
        <f t="shared" si="90"/>
        <v>x</v>
      </c>
      <c r="E61" s="1" t="str">
        <f t="shared" si="90"/>
        <v>y</v>
      </c>
      <c r="F61" s="1" t="s">
        <v>55</v>
      </c>
      <c r="G61" s="1" t="s">
        <v>56</v>
      </c>
      <c r="H61" s="1" t="s">
        <v>21</v>
      </c>
      <c r="I61" s="1" t="s">
        <v>22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61</v>
      </c>
      <c r="O61" s="1" t="s">
        <v>62</v>
      </c>
      <c r="AY61" s="6">
        <f t="shared" si="69"/>
        <v>61.291590388522188</v>
      </c>
      <c r="AZ61" s="47">
        <v>-1075.3728079900443</v>
      </c>
      <c r="BC61"/>
      <c r="BD61"/>
      <c r="BF61" s="6" t="e">
        <f t="shared" si="60"/>
        <v>#N/A</v>
      </c>
      <c r="BG61" s="6" t="e">
        <f t="shared" si="61"/>
        <v>#N/A</v>
      </c>
      <c r="BH61" s="6" t="e">
        <f t="shared" si="2"/>
        <v>#N/A</v>
      </c>
      <c r="BI61" s="6" t="e">
        <f t="shared" si="3"/>
        <v>#N/A</v>
      </c>
      <c r="BT61">
        <f>ATAN2(BR23,BS23)</f>
        <v>-2.436309756258372</v>
      </c>
      <c r="BV61" s="36"/>
      <c r="BW61" s="6" t="e">
        <f t="shared" si="39"/>
        <v>#N/A</v>
      </c>
      <c r="BX61" s="9">
        <f t="shared" ca="1" si="40"/>
        <v>-65.220682514826848</v>
      </c>
      <c r="BY61" s="9">
        <f t="shared" ca="1" si="41"/>
        <v>21.430285361287321</v>
      </c>
      <c r="BZ61" s="9">
        <f t="shared" ca="1" si="42"/>
        <v>0</v>
      </c>
      <c r="CA61" s="6">
        <f t="shared" ca="1" si="43"/>
        <v>0</v>
      </c>
      <c r="CB61" s="6" t="e">
        <f t="shared" ca="1" si="44"/>
        <v>#DIV/0!</v>
      </c>
      <c r="CC61" s="6" t="e">
        <f t="shared" ca="1" si="45"/>
        <v>#DIV/0!</v>
      </c>
      <c r="CD61" s="9">
        <f t="shared" si="46"/>
        <v>-30</v>
      </c>
      <c r="CE61" s="9">
        <f t="shared" si="47"/>
        <v>0</v>
      </c>
      <c r="CF61" s="6">
        <f t="shared" si="48"/>
        <v>3.1415926535897931</v>
      </c>
      <c r="CG61" s="6" t="e">
        <f t="shared" ca="1" si="49"/>
        <v>#DIV/0!</v>
      </c>
      <c r="CH61" s="6"/>
      <c r="CI61" s="6"/>
      <c r="CJ61" s="1"/>
      <c r="CK61" s="6"/>
    </row>
    <row r="62" spans="1:89" x14ac:dyDescent="0.25">
      <c r="A62">
        <f t="shared" si="90"/>
        <v>1</v>
      </c>
      <c r="B62" s="1">
        <f t="shared" si="90"/>
        <v>7</v>
      </c>
      <c r="C62" s="1">
        <f t="shared" ca="1" si="90"/>
        <v>0.6</v>
      </c>
      <c r="D62" s="1">
        <f t="shared" si="90"/>
        <v>6</v>
      </c>
      <c r="E62" s="1">
        <f t="shared" si="90"/>
        <v>1.5</v>
      </c>
      <c r="F62" s="1">
        <f t="shared" ref="F62:F71" si="91">D62-$I$2</f>
        <v>0</v>
      </c>
      <c r="G62" s="1">
        <f t="shared" ref="G62:G71" si="92">E62-$I$3</f>
        <v>-10.5</v>
      </c>
      <c r="H62" s="6">
        <f>IF(B62=0,0,F62*COS($B$27)+G62*SIN($B$27))</f>
        <v>-1.5111457021700347</v>
      </c>
      <c r="I62" s="6">
        <f>IF(B62=0,0,-1*F62*SIN($B$27)+G62*COS($B$27))</f>
        <v>-10.390689999553111</v>
      </c>
      <c r="J62" s="6">
        <f>IF(B62=0,0,$G$38-I62)</f>
        <v>23.129276114568114</v>
      </c>
      <c r="K62">
        <f t="shared" ref="K62:K71" ca="1" si="93">IF($B$28=0,-1,IF(C62=0,0,(($B$28-J62)/$B$28)*$B$30)*IF($B$28&lt;0,-1,1))</f>
        <v>-1.7090206478733421E-2</v>
      </c>
      <c r="L62">
        <f ca="1">IF(AND(K62&gt;0,J62&lt;=$B$29),MIN((K62*B$13),B$12)-$B$31,MAX(K62*B$13,-1*B$12))</f>
        <v>-60</v>
      </c>
      <c r="M62" s="6">
        <f t="shared" ref="M62:M71" ca="1" si="94">L62*C62</f>
        <v>-36</v>
      </c>
      <c r="N62" s="6">
        <f t="shared" ref="N62:N71" ca="1" si="95">M62*I62</f>
        <v>374.06483998391195</v>
      </c>
      <c r="O62" s="6">
        <f t="shared" ref="O62:O71" ca="1" si="96">M62*H62*-1</f>
        <v>-54.401245278121252</v>
      </c>
      <c r="Q62">
        <f t="shared" ref="Q62:Q71" si="97">IF($B62=0,NA(),H62)</f>
        <v>-1.5111457021700347</v>
      </c>
      <c r="R62">
        <f t="shared" ref="R62:R71" si="98">IF($B62=0,NA(),I62)</f>
        <v>-10.390689999553111</v>
      </c>
      <c r="X62">
        <f ca="1">IF(M62=0,0,(N62*I62)/M62)</f>
        <v>107.966438666813</v>
      </c>
      <c r="Y62">
        <f ca="1">IF(M62=0,0,O62*(-1*H62)/M62)</f>
        <v>2.2835613331869675</v>
      </c>
      <c r="AY62" s="6">
        <f t="shared" si="69"/>
        <v>65.122314725304818</v>
      </c>
      <c r="AZ62" s="47">
        <v>-1077.6323339559333</v>
      </c>
      <c r="BC62"/>
      <c r="BD62"/>
      <c r="BF62" s="6" t="e">
        <f t="shared" si="60"/>
        <v>#N/A</v>
      </c>
      <c r="BG62" s="6" t="e">
        <f t="shared" si="61"/>
        <v>#N/A</v>
      </c>
      <c r="BH62" s="6" t="e">
        <f t="shared" si="2"/>
        <v>#N/A</v>
      </c>
      <c r="BI62" s="6" t="e">
        <f t="shared" si="3"/>
        <v>#N/A</v>
      </c>
      <c r="BT62">
        <f t="shared" si="68"/>
        <v>-2.255562681361365</v>
      </c>
      <c r="BV62" s="36"/>
      <c r="BW62" s="6" t="e">
        <f t="shared" si="39"/>
        <v>#N/A</v>
      </c>
      <c r="BX62" s="9">
        <f t="shared" ca="1" si="40"/>
        <v>-65.220682514826848</v>
      </c>
      <c r="BY62" s="9">
        <f t="shared" ca="1" si="41"/>
        <v>21.430285361287321</v>
      </c>
      <c r="BZ62" s="9">
        <f t="shared" ca="1" si="42"/>
        <v>0</v>
      </c>
      <c r="CA62" s="6">
        <f t="shared" ca="1" si="43"/>
        <v>0</v>
      </c>
      <c r="CB62" s="6" t="e">
        <f t="shared" ca="1" si="44"/>
        <v>#DIV/0!</v>
      </c>
      <c r="CC62" s="6" t="e">
        <f t="shared" ca="1" si="45"/>
        <v>#DIV/0!</v>
      </c>
      <c r="CD62" s="9">
        <f t="shared" si="46"/>
        <v>-30</v>
      </c>
      <c r="CE62" s="9">
        <f t="shared" si="47"/>
        <v>0</v>
      </c>
      <c r="CF62" s="6">
        <f t="shared" si="48"/>
        <v>3.1415926535897931</v>
      </c>
      <c r="CG62" s="6" t="e">
        <f t="shared" ca="1" si="49"/>
        <v>#DIV/0!</v>
      </c>
      <c r="CH62" s="6"/>
      <c r="CI62" s="6"/>
      <c r="CJ62" s="1"/>
      <c r="CK62" s="6"/>
    </row>
    <row r="63" spans="1:89" x14ac:dyDescent="0.25">
      <c r="A63">
        <f t="shared" si="90"/>
        <v>2</v>
      </c>
      <c r="B63" s="1">
        <f t="shared" si="90"/>
        <v>7</v>
      </c>
      <c r="C63" s="1">
        <f t="shared" ca="1" si="90"/>
        <v>0.6</v>
      </c>
      <c r="D63" s="1">
        <f t="shared" si="90"/>
        <v>1.5</v>
      </c>
      <c r="E63" s="1">
        <f t="shared" si="90"/>
        <v>1.5</v>
      </c>
      <c r="F63" s="1">
        <f t="shared" si="91"/>
        <v>-4.5</v>
      </c>
      <c r="G63" s="1">
        <f t="shared" si="92"/>
        <v>-10.5</v>
      </c>
      <c r="H63" s="6">
        <f t="shared" ref="H63:H71" si="99">IF(B63=0,0,F63*COS($B$27)+G63*SIN($B$27))</f>
        <v>-5.9642985591213682</v>
      </c>
      <c r="I63" s="6">
        <f t="shared" ref="I63:I71" si="100">IF(B63=0,0,-1*F63*SIN($B$27)+G63*COS($B$27))</f>
        <v>-9.7430561271945244</v>
      </c>
      <c r="J63" s="6">
        <f t="shared" ref="J63:J65" si="101">IF(B63=0,0,$G$38-I63)</f>
        <v>22.481642242209531</v>
      </c>
      <c r="K63">
        <f t="shared" ca="1" si="93"/>
        <v>-1.6527668414253727E-2</v>
      </c>
      <c r="L63">
        <f t="shared" ref="L63:L72" ca="1" si="102">IF(AND(K63&gt;0,J63&lt;=$B$29),MIN((K63*B$13),B$12)-$B$31,MAX(K63*B$13,-1*B$12))</f>
        <v>-60</v>
      </c>
      <c r="M63" s="6">
        <f t="shared" ca="1" si="94"/>
        <v>-36</v>
      </c>
      <c r="N63" s="6">
        <f t="shared" ca="1" si="95"/>
        <v>350.75002057900286</v>
      </c>
      <c r="O63" s="6">
        <f t="shared" ca="1" si="96"/>
        <v>-214.71474812836925</v>
      </c>
      <c r="Q63">
        <f t="shared" si="97"/>
        <v>-5.9642985591213682</v>
      </c>
      <c r="R63">
        <f t="shared" si="98"/>
        <v>-9.7430561271945244</v>
      </c>
      <c r="X63">
        <f t="shared" ref="X63:X71" ca="1" si="103">IF(M63=0,0,(N63*I63)/M63)</f>
        <v>94.927142697662759</v>
      </c>
      <c r="Y63">
        <f t="shared" ref="Y63:Y71" ca="1" si="104">IF(M63=0,0,O63*(-1*H63)/M63)</f>
        <v>35.572857302337226</v>
      </c>
      <c r="AY63" s="6">
        <f t="shared" si="69"/>
        <v>68.953039062087456</v>
      </c>
      <c r="AZ63" s="47">
        <v>-1079.6408014848089</v>
      </c>
      <c r="BC63"/>
      <c r="BD63"/>
      <c r="BF63" s="6" t="e">
        <f t="shared" si="60"/>
        <v>#N/A</v>
      </c>
      <c r="BG63" s="6" t="e">
        <f t="shared" si="61"/>
        <v>#N/A</v>
      </c>
      <c r="BH63" s="6" t="e">
        <f t="shared" si="2"/>
        <v>#N/A</v>
      </c>
      <c r="BI63" s="6" t="e">
        <f t="shared" si="3"/>
        <v>#N/A</v>
      </c>
      <c r="BT63">
        <f t="shared" si="68"/>
        <v>-2.0387507610829498</v>
      </c>
      <c r="BV63" s="36"/>
      <c r="BW63" s="6" t="e">
        <f t="shared" si="39"/>
        <v>#N/A</v>
      </c>
      <c r="BX63" s="9">
        <f t="shared" ca="1" si="40"/>
        <v>-65.220682514826848</v>
      </c>
      <c r="BY63" s="9">
        <f t="shared" ca="1" si="41"/>
        <v>21.430285361287321</v>
      </c>
      <c r="BZ63" s="9">
        <f t="shared" ca="1" si="42"/>
        <v>0</v>
      </c>
      <c r="CA63" s="6">
        <f t="shared" ca="1" si="43"/>
        <v>0</v>
      </c>
      <c r="CB63" s="6" t="e">
        <f t="shared" ca="1" si="44"/>
        <v>#DIV/0!</v>
      </c>
      <c r="CC63" s="6" t="e">
        <f t="shared" ca="1" si="45"/>
        <v>#DIV/0!</v>
      </c>
      <c r="CD63" s="9">
        <f t="shared" si="46"/>
        <v>-30</v>
      </c>
      <c r="CE63" s="9">
        <f t="shared" si="47"/>
        <v>0</v>
      </c>
      <c r="CF63" s="6">
        <f t="shared" si="48"/>
        <v>3.1415926535897931</v>
      </c>
      <c r="CG63" s="6" t="e">
        <f t="shared" ca="1" si="49"/>
        <v>#DIV/0!</v>
      </c>
      <c r="CH63" s="6"/>
      <c r="CI63" s="6"/>
      <c r="CJ63" s="1"/>
      <c r="CK63" s="6"/>
    </row>
    <row r="64" spans="1:89" x14ac:dyDescent="0.25">
      <c r="A64">
        <f t="shared" si="90"/>
        <v>3</v>
      </c>
      <c r="B64" s="1">
        <f t="shared" si="90"/>
        <v>7</v>
      </c>
      <c r="C64" s="1">
        <f t="shared" ca="1" si="90"/>
        <v>0.6</v>
      </c>
      <c r="D64" s="1">
        <f t="shared" si="90"/>
        <v>10.5</v>
      </c>
      <c r="E64" s="1">
        <f t="shared" si="90"/>
        <v>1.5</v>
      </c>
      <c r="F64" s="1">
        <f t="shared" si="91"/>
        <v>4.5</v>
      </c>
      <c r="G64" s="1">
        <f t="shared" si="92"/>
        <v>-10.5</v>
      </c>
      <c r="H64" s="6">
        <f t="shared" si="99"/>
        <v>2.9420071547812983</v>
      </c>
      <c r="I64" s="6">
        <f t="shared" si="100"/>
        <v>-11.038323871911697</v>
      </c>
      <c r="J64" s="6">
        <f t="shared" si="101"/>
        <v>23.776909986926704</v>
      </c>
      <c r="K64">
        <f t="shared" ca="1" si="93"/>
        <v>-1.7652744543213125E-2</v>
      </c>
      <c r="L64">
        <f t="shared" ca="1" si="102"/>
        <v>-60</v>
      </c>
      <c r="M64" s="6">
        <f t="shared" ca="1" si="94"/>
        <v>-36</v>
      </c>
      <c r="N64" s="6">
        <f t="shared" ca="1" si="95"/>
        <v>397.3796593888211</v>
      </c>
      <c r="O64" s="6">
        <f t="shared" ca="1" si="96"/>
        <v>105.91225757212673</v>
      </c>
      <c r="Q64">
        <f t="shared" si="97"/>
        <v>2.9420071547812983</v>
      </c>
      <c r="R64">
        <f t="shared" si="98"/>
        <v>-11.038323871911697</v>
      </c>
      <c r="X64">
        <f t="shared" ca="1" si="103"/>
        <v>121.84459390121563</v>
      </c>
      <c r="Y64">
        <f t="shared" ca="1" si="104"/>
        <v>8.6554060987843489</v>
      </c>
      <c r="AD64" s="5">
        <f>A37</f>
        <v>-6</v>
      </c>
      <c r="AE64" s="5">
        <f>B37</f>
        <v>-12</v>
      </c>
      <c r="AY64" s="6">
        <f t="shared" si="69"/>
        <v>72.783763398870093</v>
      </c>
      <c r="AZ64" s="47">
        <v>-1081.3882399419558</v>
      </c>
      <c r="BC64"/>
      <c r="BD64"/>
      <c r="BF64" s="6" t="e">
        <f t="shared" si="60"/>
        <v>#N/A</v>
      </c>
      <c r="BG64" s="6" t="e">
        <f t="shared" si="61"/>
        <v>#N/A</v>
      </c>
      <c r="BH64" s="6" t="e">
        <f t="shared" si="2"/>
        <v>#N/A</v>
      </c>
      <c r="BI64" s="6" t="e">
        <f t="shared" si="3"/>
        <v>#N/A</v>
      </c>
      <c r="BT64">
        <f t="shared" si="68"/>
        <v>-1.7878059383417781</v>
      </c>
      <c r="BV64" s="36"/>
      <c r="BW64" s="6" t="e">
        <f t="shared" si="39"/>
        <v>#N/A</v>
      </c>
      <c r="BX64" s="9">
        <f t="shared" ca="1" si="40"/>
        <v>-65.220682514826848</v>
      </c>
      <c r="BY64" s="9">
        <f t="shared" ca="1" si="41"/>
        <v>21.430285361287321</v>
      </c>
      <c r="BZ64" s="9">
        <f t="shared" ca="1" si="42"/>
        <v>0</v>
      </c>
      <c r="CA64" s="6">
        <f t="shared" ca="1" si="43"/>
        <v>0</v>
      </c>
      <c r="CB64" s="6" t="e">
        <f t="shared" ca="1" si="44"/>
        <v>#DIV/0!</v>
      </c>
      <c r="CC64" s="6" t="e">
        <f t="shared" ca="1" si="45"/>
        <v>#DIV/0!</v>
      </c>
      <c r="CD64" s="9">
        <f t="shared" si="46"/>
        <v>-30</v>
      </c>
      <c r="CE64" s="9">
        <f t="shared" si="47"/>
        <v>0</v>
      </c>
      <c r="CF64" s="6">
        <f t="shared" si="48"/>
        <v>3.1415926535897931</v>
      </c>
      <c r="CG64" s="6" t="e">
        <f t="shared" ca="1" si="49"/>
        <v>#DIV/0!</v>
      </c>
      <c r="CH64" s="6"/>
      <c r="CI64" s="6"/>
      <c r="CJ64" s="1"/>
      <c r="CK64" s="6"/>
    </row>
    <row r="65" spans="1:89" x14ac:dyDescent="0.25">
      <c r="A65">
        <f t="shared" si="90"/>
        <v>4</v>
      </c>
      <c r="B65" s="1">
        <f t="shared" si="90"/>
        <v>5</v>
      </c>
      <c r="C65" s="1">
        <f t="shared" ca="1" si="90"/>
        <v>0.31</v>
      </c>
      <c r="D65" s="1">
        <f t="shared" si="90"/>
        <v>1.5</v>
      </c>
      <c r="E65" s="1">
        <f t="shared" si="90"/>
        <v>21</v>
      </c>
      <c r="F65" s="1">
        <f t="shared" si="91"/>
        <v>-4.5</v>
      </c>
      <c r="G65" s="1">
        <f t="shared" si="92"/>
        <v>9</v>
      </c>
      <c r="H65" s="6">
        <f t="shared" si="99"/>
        <v>-3.1578851122341609</v>
      </c>
      <c r="I65" s="6">
        <f t="shared" si="100"/>
        <v>9.5539395862612526</v>
      </c>
      <c r="J65" s="6">
        <f t="shared" si="101"/>
        <v>3.1846465287537526</v>
      </c>
      <c r="K65">
        <f t="shared" ca="1" si="93"/>
        <v>2.3379988169425567E-4</v>
      </c>
      <c r="L65">
        <f t="shared" ca="1" si="102"/>
        <v>6.7801965691334143</v>
      </c>
      <c r="M65" s="6">
        <f t="shared" ca="1" si="94"/>
        <v>2.1018609364313585</v>
      </c>
      <c r="N65" s="6">
        <f t="shared" ca="1" si="95"/>
        <v>20.081052405387702</v>
      </c>
      <c r="O65" s="6">
        <f t="shared" ca="1" si="96"/>
        <v>6.6374353591431392</v>
      </c>
      <c r="Q65">
        <f t="shared" si="97"/>
        <v>-3.1578851122341609</v>
      </c>
      <c r="R65">
        <f t="shared" si="98"/>
        <v>9.5539395862612526</v>
      </c>
      <c r="X65">
        <f t="shared" ca="1" si="103"/>
        <v>91.277761617929841</v>
      </c>
      <c r="Y65">
        <f t="shared" ca="1" si="104"/>
        <v>9.9722383820701577</v>
      </c>
      <c r="AD65" s="5">
        <f t="shared" ref="AD65:AE65" si="105">A38</f>
        <v>6</v>
      </c>
      <c r="AE65" s="5">
        <f t="shared" si="105"/>
        <v>-12</v>
      </c>
      <c r="AF65">
        <f>SQRT(POWER(AD65-$AD$64,2)+POWER(AE65-$AE$64,2))</f>
        <v>12</v>
      </c>
      <c r="AY65" s="6">
        <f t="shared" si="69"/>
        <v>76.61448773565273</v>
      </c>
      <c r="AZ65" s="47">
        <v>-1082.1947500000001</v>
      </c>
      <c r="BC65"/>
      <c r="BD65"/>
      <c r="BF65" s="6" t="e">
        <f t="shared" si="60"/>
        <v>#N/A</v>
      </c>
      <c r="BG65" s="6" t="e">
        <f t="shared" si="61"/>
        <v>#N/A</v>
      </c>
      <c r="BH65" s="6" t="e">
        <f t="shared" si="2"/>
        <v>#N/A</v>
      </c>
      <c r="BI65" s="6" t="e">
        <f t="shared" si="3"/>
        <v>#N/A</v>
      </c>
      <c r="BT65">
        <f t="shared" si="68"/>
        <v>-1.5092820969932104</v>
      </c>
      <c r="BV65" s="36"/>
      <c r="BW65" s="6" t="e">
        <f t="shared" si="39"/>
        <v>#N/A</v>
      </c>
      <c r="BX65" s="9">
        <f t="shared" ca="1" si="40"/>
        <v>-65.220682514826848</v>
      </c>
      <c r="BY65" s="9">
        <f t="shared" ca="1" si="41"/>
        <v>21.430285361287321</v>
      </c>
      <c r="BZ65" s="9">
        <f t="shared" ca="1" si="42"/>
        <v>0</v>
      </c>
      <c r="CA65" s="6">
        <f t="shared" ca="1" si="43"/>
        <v>0</v>
      </c>
      <c r="CB65" s="6" t="e">
        <f t="shared" ca="1" si="44"/>
        <v>#DIV/0!</v>
      </c>
      <c r="CC65" s="6" t="e">
        <f t="shared" ca="1" si="45"/>
        <v>#DIV/0!</v>
      </c>
      <c r="CD65" s="9">
        <f t="shared" si="46"/>
        <v>-30</v>
      </c>
      <c r="CE65" s="9">
        <f t="shared" si="47"/>
        <v>0</v>
      </c>
      <c r="CF65" s="6">
        <f t="shared" si="48"/>
        <v>3.1415926535897931</v>
      </c>
      <c r="CG65" s="6" t="e">
        <f t="shared" ca="1" si="49"/>
        <v>#DIV/0!</v>
      </c>
      <c r="CH65" s="6"/>
      <c r="CI65" s="6"/>
      <c r="CJ65" s="1"/>
      <c r="CK65" s="6"/>
    </row>
    <row r="66" spans="1:89" x14ac:dyDescent="0.25">
      <c r="A66">
        <f t="shared" si="90"/>
        <v>5</v>
      </c>
      <c r="B66" s="1">
        <f t="shared" si="90"/>
        <v>5</v>
      </c>
      <c r="C66" s="1">
        <f t="shared" ca="1" si="90"/>
        <v>0.31</v>
      </c>
      <c r="D66" s="1">
        <f t="shared" si="90"/>
        <v>10.5</v>
      </c>
      <c r="E66" s="1">
        <f t="shared" si="90"/>
        <v>21</v>
      </c>
      <c r="F66" s="1">
        <f t="shared" si="91"/>
        <v>4.5</v>
      </c>
      <c r="G66" s="1">
        <f t="shared" si="92"/>
        <v>9</v>
      </c>
      <c r="H66" s="6">
        <f t="shared" si="99"/>
        <v>5.7484206016685055</v>
      </c>
      <c r="I66" s="6">
        <f t="shared" si="100"/>
        <v>8.2586718415440803</v>
      </c>
      <c r="J66" s="6">
        <f>IF(B66=0,0,$G$38-I66)</f>
        <v>4.479914273470925</v>
      </c>
      <c r="K66">
        <f t="shared" ca="1" si="93"/>
        <v>-8.9127624726514248E-4</v>
      </c>
      <c r="L66">
        <f t="shared" ca="1" si="102"/>
        <v>-25.847011170689132</v>
      </c>
      <c r="M66" s="6">
        <f t="shared" ca="1" si="94"/>
        <v>-8.0125734629136307</v>
      </c>
      <c r="N66" s="6">
        <f t="shared" ca="1" si="95"/>
        <v>-66.173214836468148</v>
      </c>
      <c r="O66" s="6">
        <f t="shared" ca="1" si="96"/>
        <v>46.059642366595071</v>
      </c>
      <c r="Q66">
        <f t="shared" si="97"/>
        <v>5.7484206016685055</v>
      </c>
      <c r="R66">
        <f t="shared" si="98"/>
        <v>8.2586718415440803</v>
      </c>
      <c r="X66">
        <f t="shared" ca="1" si="103"/>
        <v>68.205660586313087</v>
      </c>
      <c r="Y66">
        <f t="shared" ca="1" si="104"/>
        <v>33.044339413686899</v>
      </c>
      <c r="AD66" s="5">
        <f t="shared" ref="AD66:AE66" si="106">A39</f>
        <v>6</v>
      </c>
      <c r="AE66" s="5">
        <f t="shared" si="106"/>
        <v>6</v>
      </c>
      <c r="AF66">
        <f t="shared" ref="AF66:AF72" si="107">SQRT(POWER(AD66-$AD$64,2)+POWER(AE66-$AE$64,2))</f>
        <v>21.633307652783937</v>
      </c>
      <c r="AG66">
        <f>SQRT(POWER(AD66-$AD$65,2)+POWER(AE66-$AE$65,2))</f>
        <v>18</v>
      </c>
      <c r="BC66"/>
      <c r="BD66"/>
      <c r="BF66" s="6" t="e">
        <f t="shared" ref="BF66:BF97" si="108">IF(BC66&lt;&gt;"",IF(AND(BD66=0,BE66=0),0,MOD(ATAN2(BD66,BE66),2*PI())),NA())</f>
        <v>#N/A</v>
      </c>
      <c r="BG66" s="6" t="e">
        <f t="shared" ref="BG66:BG97" si="109">ABS(BC66-BF66)</f>
        <v>#N/A</v>
      </c>
      <c r="BH66" s="6" t="e">
        <f t="shared" si="2"/>
        <v>#N/A</v>
      </c>
      <c r="BI66" s="6" t="e">
        <f t="shared" si="3"/>
        <v>#N/A</v>
      </c>
      <c r="BT66">
        <f t="shared" si="68"/>
        <v>-1.1978817336718215</v>
      </c>
      <c r="BV66" s="36"/>
      <c r="BW66" s="6" t="e">
        <f t="shared" si="39"/>
        <v>#N/A</v>
      </c>
      <c r="BX66" s="9">
        <f t="shared" ca="1" si="40"/>
        <v>-65.220682514826848</v>
      </c>
      <c r="BY66" s="9">
        <f t="shared" ca="1" si="41"/>
        <v>21.430285361287321</v>
      </c>
      <c r="BZ66" s="9">
        <f t="shared" ca="1" si="42"/>
        <v>0</v>
      </c>
      <c r="CA66" s="6">
        <f t="shared" ca="1" si="43"/>
        <v>0</v>
      </c>
      <c r="CB66" s="6" t="e">
        <f t="shared" ca="1" si="44"/>
        <v>#DIV/0!</v>
      </c>
      <c r="CC66" s="6" t="e">
        <f t="shared" ca="1" si="45"/>
        <v>#DIV/0!</v>
      </c>
      <c r="CD66" s="9">
        <f t="shared" si="46"/>
        <v>-30</v>
      </c>
      <c r="CE66" s="9">
        <f t="shared" si="47"/>
        <v>0</v>
      </c>
      <c r="CF66" s="6">
        <f t="shared" si="48"/>
        <v>3.1415926535897931</v>
      </c>
      <c r="CG66" s="6" t="e">
        <f t="shared" ca="1" si="49"/>
        <v>#DIV/0!</v>
      </c>
      <c r="CH66" s="6"/>
      <c r="CI66" s="6"/>
      <c r="CJ66" s="1"/>
      <c r="CK66" s="6"/>
    </row>
    <row r="67" spans="1:89" x14ac:dyDescent="0.25">
      <c r="A67">
        <f t="shared" si="90"/>
        <v>6</v>
      </c>
      <c r="B67" s="1">
        <f t="shared" si="90"/>
        <v>0</v>
      </c>
      <c r="C67" s="1">
        <f t="shared" ca="1" si="90"/>
        <v>0</v>
      </c>
      <c r="D67" s="1">
        <f t="shared" si="90"/>
        <v>13.625</v>
      </c>
      <c r="E67" s="1">
        <f t="shared" si="90"/>
        <v>21.625</v>
      </c>
      <c r="F67" s="1">
        <f t="shared" si="91"/>
        <v>7.625</v>
      </c>
      <c r="G67" s="1">
        <f t="shared" si="92"/>
        <v>9.625</v>
      </c>
      <c r="H67" s="6">
        <f t="shared" si="99"/>
        <v>0</v>
      </c>
      <c r="I67" s="6">
        <f t="shared" si="100"/>
        <v>0</v>
      </c>
      <c r="J67" s="6">
        <f t="shared" ref="J67:J71" si="110">IF(B67=0,0,$G$38-I67)</f>
        <v>0</v>
      </c>
      <c r="K67">
        <f ca="1">IF($B$28=0,-1,IF(C67=0,0,(($B$28-J67)/$B$28)*$B$30)*IF($B$28&lt;0,-1,1))</f>
        <v>0</v>
      </c>
      <c r="L67">
        <f t="shared" ca="1" si="102"/>
        <v>0</v>
      </c>
      <c r="M67" s="6">
        <f t="shared" ca="1" si="94"/>
        <v>0</v>
      </c>
      <c r="N67" s="6">
        <f t="shared" ca="1" si="95"/>
        <v>0</v>
      </c>
      <c r="O67" s="6">
        <f t="shared" ca="1" si="96"/>
        <v>0</v>
      </c>
      <c r="Q67" t="e">
        <f t="shared" si="97"/>
        <v>#N/A</v>
      </c>
      <c r="R67" t="e">
        <f t="shared" si="98"/>
        <v>#N/A</v>
      </c>
      <c r="X67">
        <f t="shared" ca="1" si="103"/>
        <v>0</v>
      </c>
      <c r="Y67">
        <f t="shared" ca="1" si="104"/>
        <v>0</v>
      </c>
      <c r="AD67" s="5">
        <f t="shared" ref="AD67:AE67" si="111">A40</f>
        <v>18</v>
      </c>
      <c r="AE67" s="5">
        <f t="shared" si="111"/>
        <v>6</v>
      </c>
      <c r="AF67">
        <f t="shared" si="107"/>
        <v>30</v>
      </c>
      <c r="AG67">
        <f t="shared" ref="AG67:AG72" si="112">SQRT(POWER(AD67-$AD$65,2)+POWER(AE67-$AE$65,2))</f>
        <v>21.633307652783937</v>
      </c>
      <c r="AH67">
        <f>SQRT(POWER(AD67-$AD$66,2)+POWER(AE67-$AE$66,2))</f>
        <v>12</v>
      </c>
      <c r="BC67"/>
      <c r="BD67"/>
      <c r="BF67" s="6" t="e">
        <f t="shared" si="108"/>
        <v>#N/A</v>
      </c>
      <c r="BG67" s="6" t="e">
        <f t="shared" si="109"/>
        <v>#N/A</v>
      </c>
      <c r="BH67" s="6" t="e">
        <f t="shared" ref="BH67:BH130" si="113">ATAN2(COS($U$13-BF67),SIN($U$13-BF67))</f>
        <v>#N/A</v>
      </c>
      <c r="BI67" s="6" t="e">
        <f t="shared" ref="BI67:BI130" si="114">ABS(BH67)</f>
        <v>#N/A</v>
      </c>
      <c r="BT67">
        <f t="shared" si="68"/>
        <v>-0.9323036509577225</v>
      </c>
      <c r="BV67" s="36"/>
      <c r="BW67" s="6" t="e">
        <f t="shared" si="39"/>
        <v>#N/A</v>
      </c>
      <c r="BX67" s="9">
        <f t="shared" ca="1" si="40"/>
        <v>-65.220682514826848</v>
      </c>
      <c r="BY67" s="9">
        <f t="shared" ca="1" si="41"/>
        <v>21.430285361287321</v>
      </c>
      <c r="BZ67" s="9">
        <f t="shared" ca="1" si="42"/>
        <v>0</v>
      </c>
      <c r="CA67" s="6">
        <f t="shared" ca="1" si="43"/>
        <v>0</v>
      </c>
      <c r="CB67" s="6" t="e">
        <f t="shared" ca="1" si="44"/>
        <v>#DIV/0!</v>
      </c>
      <c r="CC67" s="6" t="e">
        <f t="shared" ca="1" si="45"/>
        <v>#DIV/0!</v>
      </c>
      <c r="CD67" s="9">
        <f t="shared" si="46"/>
        <v>-30</v>
      </c>
      <c r="CE67" s="9">
        <f t="shared" si="47"/>
        <v>0</v>
      </c>
      <c r="CF67" s="6">
        <f t="shared" si="48"/>
        <v>3.1415926535897931</v>
      </c>
      <c r="CG67" s="6" t="e">
        <f t="shared" ca="1" si="49"/>
        <v>#DIV/0!</v>
      </c>
      <c r="CH67" s="6"/>
      <c r="CI67" s="6"/>
      <c r="CJ67" s="1"/>
      <c r="CK67" s="6"/>
    </row>
    <row r="68" spans="1:89" x14ac:dyDescent="0.25">
      <c r="A68">
        <f t="shared" si="90"/>
        <v>7</v>
      </c>
      <c r="B68" s="1">
        <f t="shared" si="90"/>
        <v>0</v>
      </c>
      <c r="C68" s="1">
        <f t="shared" ca="1" si="90"/>
        <v>0</v>
      </c>
      <c r="D68" s="1">
        <f t="shared" si="90"/>
        <v>0</v>
      </c>
      <c r="E68" s="1">
        <f t="shared" si="90"/>
        <v>0</v>
      </c>
      <c r="F68" s="1">
        <f t="shared" si="91"/>
        <v>-6</v>
      </c>
      <c r="G68" s="1">
        <f t="shared" si="92"/>
        <v>-12</v>
      </c>
      <c r="H68" s="6">
        <f t="shared" si="99"/>
        <v>0</v>
      </c>
      <c r="I68" s="6">
        <f t="shared" si="100"/>
        <v>0</v>
      </c>
      <c r="J68" s="6">
        <f t="shared" si="110"/>
        <v>0</v>
      </c>
      <c r="K68">
        <f t="shared" ca="1" si="93"/>
        <v>0</v>
      </c>
      <c r="L68">
        <f t="shared" ca="1" si="102"/>
        <v>0</v>
      </c>
      <c r="M68" s="6">
        <f t="shared" ca="1" si="94"/>
        <v>0</v>
      </c>
      <c r="N68" s="6">
        <f t="shared" ca="1" si="95"/>
        <v>0</v>
      </c>
      <c r="O68" s="6">
        <f t="shared" ca="1" si="96"/>
        <v>0</v>
      </c>
      <c r="Q68" t="e">
        <f t="shared" si="97"/>
        <v>#N/A</v>
      </c>
      <c r="R68" t="e">
        <f t="shared" si="98"/>
        <v>#N/A</v>
      </c>
      <c r="X68">
        <f t="shared" ca="1" si="103"/>
        <v>0</v>
      </c>
      <c r="Y68">
        <f t="shared" ca="1" si="104"/>
        <v>0</v>
      </c>
      <c r="AD68" s="5">
        <f t="shared" ref="AD68:AE68" si="115">A41</f>
        <v>18</v>
      </c>
      <c r="AE68" s="5">
        <f t="shared" si="115"/>
        <v>12</v>
      </c>
      <c r="AF68">
        <f t="shared" si="107"/>
        <v>33.941125496954278</v>
      </c>
      <c r="AG68">
        <f t="shared" si="112"/>
        <v>26.832815729997478</v>
      </c>
      <c r="AH68">
        <f t="shared" ref="AH68:AH72" si="116">SQRT(POWER(AD68-$AD$66,2)+POWER(AE68-$AE$66,2))</f>
        <v>13.416407864998739</v>
      </c>
      <c r="AI68">
        <f>SQRT(POWER(AD68-$AD$67,2)+POWER(AE68-$AE$67,2))</f>
        <v>6</v>
      </c>
      <c r="BC68"/>
      <c r="BD68"/>
      <c r="BF68" s="6" t="e">
        <f t="shared" si="108"/>
        <v>#N/A</v>
      </c>
      <c r="BG68" s="6" t="e">
        <f t="shared" si="109"/>
        <v>#N/A</v>
      </c>
      <c r="BH68" s="6" t="e">
        <f t="shared" si="113"/>
        <v>#N/A</v>
      </c>
      <c r="BI68" s="6" t="e">
        <f t="shared" si="114"/>
        <v>#N/A</v>
      </c>
      <c r="BT68">
        <f t="shared" si="68"/>
        <v>-0.83722357621383636</v>
      </c>
      <c r="BV68" s="36"/>
      <c r="BW68" s="6" t="e">
        <f t="shared" si="39"/>
        <v>#N/A</v>
      </c>
      <c r="BX68" s="9">
        <f t="shared" ca="1" si="40"/>
        <v>-65.220682514826848</v>
      </c>
      <c r="BY68" s="9">
        <f t="shared" ca="1" si="41"/>
        <v>21.430285361287321</v>
      </c>
      <c r="BZ68" s="9">
        <f t="shared" ca="1" si="42"/>
        <v>0</v>
      </c>
      <c r="CA68" s="6">
        <f t="shared" ca="1" si="43"/>
        <v>0</v>
      </c>
      <c r="CB68" s="6" t="e">
        <f t="shared" ca="1" si="44"/>
        <v>#DIV/0!</v>
      </c>
      <c r="CC68" s="6" t="e">
        <f t="shared" ca="1" si="45"/>
        <v>#DIV/0!</v>
      </c>
      <c r="CD68" s="9">
        <f t="shared" si="46"/>
        <v>-30</v>
      </c>
      <c r="CE68" s="9">
        <f t="shared" si="47"/>
        <v>0</v>
      </c>
      <c r="CF68" s="6">
        <f t="shared" si="48"/>
        <v>3.1415926535897931</v>
      </c>
      <c r="CG68" s="6" t="e">
        <f t="shared" ca="1" si="49"/>
        <v>#DIV/0!</v>
      </c>
      <c r="CH68" s="6"/>
      <c r="CI68" s="6"/>
      <c r="CJ68" s="1"/>
      <c r="CK68" s="6"/>
    </row>
    <row r="69" spans="1:89" x14ac:dyDescent="0.25">
      <c r="A69">
        <f t="shared" si="90"/>
        <v>8</v>
      </c>
      <c r="B69" s="1">
        <f t="shared" si="90"/>
        <v>0</v>
      </c>
      <c r="C69" s="1">
        <f t="shared" ca="1" si="90"/>
        <v>0</v>
      </c>
      <c r="D69" s="1">
        <f t="shared" si="90"/>
        <v>0</v>
      </c>
      <c r="E69" s="1">
        <f t="shared" si="90"/>
        <v>0</v>
      </c>
      <c r="F69" s="1">
        <f t="shared" si="91"/>
        <v>-6</v>
      </c>
      <c r="G69" s="1">
        <f t="shared" si="92"/>
        <v>-12</v>
      </c>
      <c r="H69" s="6">
        <f t="shared" si="99"/>
        <v>0</v>
      </c>
      <c r="I69" s="6">
        <f t="shared" si="100"/>
        <v>0</v>
      </c>
      <c r="J69" s="6">
        <f t="shared" si="110"/>
        <v>0</v>
      </c>
      <c r="K69">
        <f t="shared" ca="1" si="93"/>
        <v>0</v>
      </c>
      <c r="L69">
        <f t="shared" ca="1" si="102"/>
        <v>0</v>
      </c>
      <c r="M69" s="6">
        <f t="shared" ca="1" si="94"/>
        <v>0</v>
      </c>
      <c r="N69" s="6">
        <f t="shared" ca="1" si="95"/>
        <v>0</v>
      </c>
      <c r="O69" s="6">
        <f t="shared" ca="1" si="96"/>
        <v>0</v>
      </c>
      <c r="Q69" t="e">
        <f t="shared" si="97"/>
        <v>#N/A</v>
      </c>
      <c r="R69" t="e">
        <f t="shared" si="98"/>
        <v>#N/A</v>
      </c>
      <c r="X69">
        <f t="shared" ca="1" si="103"/>
        <v>0</v>
      </c>
      <c r="Y69">
        <f t="shared" ca="1" si="104"/>
        <v>0</v>
      </c>
      <c r="AD69" s="5">
        <f t="shared" ref="AD69:AE69" si="117">A42</f>
        <v>-6</v>
      </c>
      <c r="AE69" s="5">
        <f t="shared" si="117"/>
        <v>12</v>
      </c>
      <c r="AF69">
        <f t="shared" si="107"/>
        <v>24</v>
      </c>
      <c r="AG69">
        <f t="shared" si="112"/>
        <v>26.832815729997478</v>
      </c>
      <c r="AH69">
        <f t="shared" si="116"/>
        <v>13.416407864998739</v>
      </c>
      <c r="AI69">
        <f t="shared" ref="AI69:AI72" si="118">SQRT(POWER(AD69-$AD$67,2)+POWER(AE69-$AE$67,2))</f>
        <v>24.738633753705962</v>
      </c>
      <c r="AJ69">
        <f>SQRT(POWER(AD69-$AD$68,2)+POWER(AE69-$AE$68,2))</f>
        <v>24</v>
      </c>
      <c r="BC69"/>
      <c r="BD69"/>
      <c r="BF69" s="6" t="e">
        <f t="shared" si="108"/>
        <v>#N/A</v>
      </c>
      <c r="BG69" s="6" t="e">
        <f t="shared" si="109"/>
        <v>#N/A</v>
      </c>
      <c r="BH69" s="6" t="e">
        <f t="shared" si="113"/>
        <v>#N/A</v>
      </c>
      <c r="BI69" s="6" t="e">
        <f t="shared" si="114"/>
        <v>#N/A</v>
      </c>
      <c r="BT69">
        <f t="shared" si="68"/>
        <v>-0.80775478626955055</v>
      </c>
      <c r="BV69" s="36"/>
      <c r="BW69" s="6" t="e">
        <f t="shared" si="39"/>
        <v>#N/A</v>
      </c>
      <c r="BX69" s="9">
        <f t="shared" ca="1" si="40"/>
        <v>-65.220682514826848</v>
      </c>
      <c r="BY69" s="9">
        <f t="shared" ca="1" si="41"/>
        <v>21.430285361287321</v>
      </c>
      <c r="BZ69" s="9">
        <f t="shared" ca="1" si="42"/>
        <v>0</v>
      </c>
      <c r="CA69" s="6">
        <f t="shared" ca="1" si="43"/>
        <v>0</v>
      </c>
      <c r="CB69" s="6" t="e">
        <f t="shared" ca="1" si="44"/>
        <v>#DIV/0!</v>
      </c>
      <c r="CC69" s="6" t="e">
        <f t="shared" ca="1" si="45"/>
        <v>#DIV/0!</v>
      </c>
      <c r="CD69" s="9">
        <f t="shared" si="46"/>
        <v>-30</v>
      </c>
      <c r="CE69" s="9">
        <f t="shared" si="47"/>
        <v>0</v>
      </c>
      <c r="CF69" s="6">
        <f t="shared" si="48"/>
        <v>3.1415926535897931</v>
      </c>
      <c r="CG69" s="6" t="e">
        <f t="shared" ca="1" si="49"/>
        <v>#DIV/0!</v>
      </c>
      <c r="CH69" s="6"/>
      <c r="CI69" s="6"/>
      <c r="CJ69" s="1"/>
      <c r="CK69" s="6"/>
    </row>
    <row r="70" spans="1:89" x14ac:dyDescent="0.25">
      <c r="A70">
        <f t="shared" si="90"/>
        <v>9</v>
      </c>
      <c r="B70" s="1">
        <f t="shared" si="90"/>
        <v>0</v>
      </c>
      <c r="C70" s="1">
        <f t="shared" ca="1" si="90"/>
        <v>0</v>
      </c>
      <c r="D70" s="1">
        <f t="shared" si="90"/>
        <v>0</v>
      </c>
      <c r="E70" s="1">
        <f t="shared" si="90"/>
        <v>0</v>
      </c>
      <c r="F70" s="1">
        <f t="shared" si="91"/>
        <v>-6</v>
      </c>
      <c r="G70" s="1">
        <f t="shared" si="92"/>
        <v>-12</v>
      </c>
      <c r="H70" s="6">
        <f t="shared" si="99"/>
        <v>0</v>
      </c>
      <c r="I70" s="6">
        <f t="shared" si="100"/>
        <v>0</v>
      </c>
      <c r="J70" s="6">
        <f t="shared" si="110"/>
        <v>0</v>
      </c>
      <c r="K70">
        <f t="shared" ca="1" si="93"/>
        <v>0</v>
      </c>
      <c r="L70">
        <f t="shared" ca="1" si="102"/>
        <v>0</v>
      </c>
      <c r="M70" s="6">
        <f t="shared" ca="1" si="94"/>
        <v>0</v>
      </c>
      <c r="N70" s="6">
        <f t="shared" ca="1" si="95"/>
        <v>0</v>
      </c>
      <c r="O70" s="6">
        <f t="shared" ca="1" si="96"/>
        <v>0</v>
      </c>
      <c r="Q70" t="e">
        <f t="shared" si="97"/>
        <v>#N/A</v>
      </c>
      <c r="R70" t="e">
        <f t="shared" si="98"/>
        <v>#N/A</v>
      </c>
      <c r="X70">
        <f t="shared" ca="1" si="103"/>
        <v>0</v>
      </c>
      <c r="Y70">
        <f t="shared" ca="1" si="104"/>
        <v>0</v>
      </c>
      <c r="AD70" s="5">
        <f t="shared" ref="AD70:AE70" si="119">A43</f>
        <v>-6</v>
      </c>
      <c r="AE70" s="5">
        <f t="shared" si="119"/>
        <v>6</v>
      </c>
      <c r="AF70">
        <f t="shared" si="107"/>
        <v>18</v>
      </c>
      <c r="AG70">
        <f t="shared" si="112"/>
        <v>21.633307652783937</v>
      </c>
      <c r="AH70">
        <f t="shared" si="116"/>
        <v>12</v>
      </c>
      <c r="AI70">
        <f t="shared" si="118"/>
        <v>24</v>
      </c>
      <c r="AJ70">
        <f t="shared" ref="AJ70:AJ72" si="120">SQRT(POWER(AD70-$AD$68,2)+POWER(AE70-$AE$68,2))</f>
        <v>24.738633753705962</v>
      </c>
      <c r="AK70">
        <f>SQRT(POWER(AD70-$AD$69,2)+POWER(AE70-$AE$69,2))</f>
        <v>6</v>
      </c>
      <c r="BC70"/>
      <c r="BD70"/>
      <c r="BF70" s="6" t="e">
        <f t="shared" si="108"/>
        <v>#N/A</v>
      </c>
      <c r="BG70" s="6" t="e">
        <f t="shared" si="109"/>
        <v>#N/A</v>
      </c>
      <c r="BH70" s="6" t="e">
        <f t="shared" si="113"/>
        <v>#N/A</v>
      </c>
      <c r="BI70" s="6" t="e">
        <f t="shared" si="114"/>
        <v>#N/A</v>
      </c>
      <c r="BT70">
        <f t="shared" si="68"/>
        <v>-0.73468944226525679</v>
      </c>
      <c r="BV70" s="36"/>
      <c r="BW70" s="6" t="e">
        <f t="shared" si="39"/>
        <v>#N/A</v>
      </c>
      <c r="BX70" s="9">
        <f t="shared" ca="1" si="40"/>
        <v>-65.220682514826848</v>
      </c>
      <c r="BY70" s="9">
        <f t="shared" ca="1" si="41"/>
        <v>21.430285361287321</v>
      </c>
      <c r="BZ70" s="9">
        <f t="shared" ca="1" si="42"/>
        <v>0</v>
      </c>
      <c r="CA70" s="6">
        <f t="shared" ca="1" si="43"/>
        <v>0</v>
      </c>
      <c r="CB70" s="6" t="e">
        <f t="shared" ca="1" si="44"/>
        <v>#DIV/0!</v>
      </c>
      <c r="CC70" s="6" t="e">
        <f t="shared" ca="1" si="45"/>
        <v>#DIV/0!</v>
      </c>
      <c r="CD70" s="9">
        <f t="shared" si="46"/>
        <v>-30</v>
      </c>
      <c r="CE70" s="9">
        <f t="shared" si="47"/>
        <v>0</v>
      </c>
      <c r="CF70" s="6">
        <f t="shared" si="48"/>
        <v>3.1415926535897931</v>
      </c>
      <c r="CG70" s="6" t="e">
        <f t="shared" ca="1" si="49"/>
        <v>#DIV/0!</v>
      </c>
      <c r="CH70" s="6"/>
      <c r="CI70" s="6"/>
      <c r="CJ70" s="1"/>
      <c r="CK70" s="6"/>
    </row>
    <row r="71" spans="1:89" ht="15.75" thickBot="1" x14ac:dyDescent="0.3">
      <c r="A71">
        <f t="shared" si="90"/>
        <v>10</v>
      </c>
      <c r="B71" s="1">
        <f t="shared" si="90"/>
        <v>0</v>
      </c>
      <c r="C71" s="1">
        <f t="shared" ca="1" si="90"/>
        <v>0</v>
      </c>
      <c r="D71" s="1">
        <f t="shared" si="90"/>
        <v>0</v>
      </c>
      <c r="E71" s="1">
        <f t="shared" si="90"/>
        <v>0</v>
      </c>
      <c r="F71" s="1">
        <f t="shared" si="91"/>
        <v>-6</v>
      </c>
      <c r="G71" s="1">
        <f t="shared" si="92"/>
        <v>-12</v>
      </c>
      <c r="H71" s="6">
        <f t="shared" si="99"/>
        <v>0</v>
      </c>
      <c r="I71" s="6">
        <f t="shared" si="100"/>
        <v>0</v>
      </c>
      <c r="J71" s="6">
        <f t="shared" si="110"/>
        <v>0</v>
      </c>
      <c r="K71" s="12">
        <f t="shared" ca="1" si="93"/>
        <v>0</v>
      </c>
      <c r="L71">
        <f t="shared" ca="1" si="102"/>
        <v>0</v>
      </c>
      <c r="M71" s="11">
        <f t="shared" ca="1" si="94"/>
        <v>0</v>
      </c>
      <c r="N71" s="11">
        <f t="shared" ca="1" si="95"/>
        <v>0</v>
      </c>
      <c r="O71" s="11">
        <f t="shared" ca="1" si="96"/>
        <v>0</v>
      </c>
      <c r="Q71" t="e">
        <f t="shared" si="97"/>
        <v>#N/A</v>
      </c>
      <c r="R71" t="e">
        <f t="shared" si="98"/>
        <v>#N/A</v>
      </c>
      <c r="X71">
        <f t="shared" ca="1" si="103"/>
        <v>0</v>
      </c>
      <c r="Y71">
        <f t="shared" ca="1" si="104"/>
        <v>0</v>
      </c>
      <c r="AD71" s="5">
        <f t="shared" ref="AD71:AE71" si="121">A44</f>
        <v>-6</v>
      </c>
      <c r="AE71" s="5">
        <f t="shared" si="121"/>
        <v>6</v>
      </c>
      <c r="AF71">
        <f t="shared" si="107"/>
        <v>18</v>
      </c>
      <c r="AG71">
        <f t="shared" si="112"/>
        <v>21.633307652783937</v>
      </c>
      <c r="AH71">
        <f t="shared" si="116"/>
        <v>12</v>
      </c>
      <c r="AI71">
        <f t="shared" si="118"/>
        <v>24</v>
      </c>
      <c r="AJ71">
        <f t="shared" si="120"/>
        <v>24.738633753705962</v>
      </c>
      <c r="AK71">
        <f t="shared" ref="AK71:AK72" si="122">SQRT(POWER(AD71-$AD$69,2)+POWER(AE71-$AE$69,2))</f>
        <v>6</v>
      </c>
      <c r="AL71">
        <f>SQRT(POWER(AD71-$AD$70,2)+POWER(AE71-$AE$70,2))</f>
        <v>0</v>
      </c>
      <c r="BC71"/>
      <c r="BD71"/>
      <c r="BF71" s="6" t="e">
        <f t="shared" si="108"/>
        <v>#N/A</v>
      </c>
      <c r="BG71" s="6" t="e">
        <f t="shared" si="109"/>
        <v>#N/A</v>
      </c>
      <c r="BH71" s="6" t="e">
        <f t="shared" si="113"/>
        <v>#N/A</v>
      </c>
      <c r="BI71" s="6" t="e">
        <f t="shared" si="114"/>
        <v>#N/A</v>
      </c>
      <c r="BT71">
        <f t="shared" si="68"/>
        <v>-0.6306752942716306</v>
      </c>
      <c r="BV71" s="36"/>
      <c r="BW71" s="6" t="e">
        <f t="shared" si="39"/>
        <v>#N/A</v>
      </c>
      <c r="BX71" s="9">
        <f t="shared" ca="1" si="40"/>
        <v>-65.220682514826848</v>
      </c>
      <c r="BY71" s="9">
        <f t="shared" ca="1" si="41"/>
        <v>21.430285361287321</v>
      </c>
      <c r="BZ71" s="9">
        <f t="shared" ca="1" si="42"/>
        <v>0</v>
      </c>
      <c r="CA71" s="6">
        <f t="shared" ca="1" si="43"/>
        <v>0</v>
      </c>
      <c r="CB71" s="6" t="e">
        <f t="shared" ca="1" si="44"/>
        <v>#DIV/0!</v>
      </c>
      <c r="CC71" s="6" t="e">
        <f t="shared" ca="1" si="45"/>
        <v>#DIV/0!</v>
      </c>
      <c r="CD71" s="9">
        <f t="shared" si="46"/>
        <v>-30</v>
      </c>
      <c r="CE71" s="9">
        <f t="shared" si="47"/>
        <v>0</v>
      </c>
      <c r="CF71" s="6">
        <f t="shared" si="48"/>
        <v>3.1415926535897931</v>
      </c>
      <c r="CG71" s="6" t="e">
        <f t="shared" ca="1" si="49"/>
        <v>#DIV/0!</v>
      </c>
      <c r="CH71" s="6"/>
      <c r="CI71" s="6"/>
      <c r="CJ71" s="1"/>
      <c r="CK71" s="6"/>
    </row>
    <row r="72" spans="1:89" ht="15.75" thickTop="1" x14ac:dyDescent="0.25">
      <c r="J72" s="6">
        <f>MAX(J62:J71)</f>
        <v>23.776909986926704</v>
      </c>
      <c r="K72" s="13">
        <f ca="1">MIN(K62:K71)</f>
        <v>-1.7652744543213125E-2</v>
      </c>
      <c r="L72">
        <f t="shared" ca="1" si="102"/>
        <v>-60</v>
      </c>
      <c r="M72" s="6">
        <f ca="1">SUM(M62:M71)</f>
        <v>-113.91071252648227</v>
      </c>
      <c r="N72" s="6">
        <f ca="1">SUM(N62:N71)</f>
        <v>1076.1023575206555</v>
      </c>
      <c r="O72" s="6">
        <f ca="1">SUM(O62:O71)</f>
        <v>-110.50665810862553</v>
      </c>
      <c r="X72">
        <f ca="1">SUM(X62:X71)</f>
        <v>484.22159746993441</v>
      </c>
      <c r="Y72">
        <f ca="1">SUM(Y62:Y71)</f>
        <v>89.528402530065591</v>
      </c>
      <c r="AD72" s="5">
        <f t="shared" ref="AD72:AE72" si="123">A45</f>
        <v>-6</v>
      </c>
      <c r="AE72" s="5">
        <f t="shared" si="123"/>
        <v>-12</v>
      </c>
      <c r="AF72">
        <f t="shared" si="107"/>
        <v>0</v>
      </c>
      <c r="AG72">
        <f t="shared" si="112"/>
        <v>12</v>
      </c>
      <c r="AH72">
        <f t="shared" si="116"/>
        <v>21.633307652783937</v>
      </c>
      <c r="AI72">
        <f t="shared" si="118"/>
        <v>30</v>
      </c>
      <c r="AJ72">
        <f t="shared" si="120"/>
        <v>33.941125496954278</v>
      </c>
      <c r="AK72">
        <f t="shared" si="122"/>
        <v>24</v>
      </c>
      <c r="AL72">
        <f>SQRT(POWER(AD72-$AD$70,2)+POWER(AE72-$AE$70,2))</f>
        <v>18</v>
      </c>
      <c r="BC72"/>
      <c r="BD72"/>
      <c r="BF72" s="6" t="e">
        <f t="shared" si="108"/>
        <v>#N/A</v>
      </c>
      <c r="BG72" s="6" t="e">
        <f t="shared" si="109"/>
        <v>#N/A</v>
      </c>
      <c r="BH72" s="6" t="e">
        <f t="shared" si="113"/>
        <v>#N/A</v>
      </c>
      <c r="BI72" s="6" t="e">
        <f t="shared" si="114"/>
        <v>#N/A</v>
      </c>
      <c r="BT72">
        <f t="shared" si="68"/>
        <v>-0.4915599655173235</v>
      </c>
      <c r="BV72" s="36"/>
      <c r="BW72" s="6" t="e">
        <f t="shared" si="39"/>
        <v>#N/A</v>
      </c>
      <c r="BX72" s="9">
        <f t="shared" ca="1" si="40"/>
        <v>-65.220682514826848</v>
      </c>
      <c r="BY72" s="9">
        <f t="shared" ca="1" si="41"/>
        <v>21.430285361287321</v>
      </c>
      <c r="BZ72" s="9">
        <f t="shared" ca="1" si="42"/>
        <v>0</v>
      </c>
      <c r="CA72" s="6">
        <f t="shared" ca="1" si="43"/>
        <v>0</v>
      </c>
      <c r="CB72" s="6" t="e">
        <f t="shared" ca="1" si="44"/>
        <v>#DIV/0!</v>
      </c>
      <c r="CC72" s="6" t="e">
        <f t="shared" ca="1" si="45"/>
        <v>#DIV/0!</v>
      </c>
      <c r="CD72" s="9">
        <f t="shared" si="46"/>
        <v>-30</v>
      </c>
      <c r="CE72" s="9">
        <f t="shared" si="47"/>
        <v>0</v>
      </c>
      <c r="CF72" s="6">
        <f t="shared" si="48"/>
        <v>3.1415926535897931</v>
      </c>
      <c r="CG72" s="6" t="e">
        <f t="shared" ca="1" si="49"/>
        <v>#DIV/0!</v>
      </c>
      <c r="CH72" s="6"/>
      <c r="CI72" s="6"/>
      <c r="CJ72" s="1"/>
      <c r="CK72" s="6"/>
    </row>
    <row r="73" spans="1:89" x14ac:dyDescent="0.25">
      <c r="M73" s="1"/>
      <c r="N73" s="44">
        <f ca="1">N72/M72</f>
        <v>-9.4468933926691072</v>
      </c>
      <c r="O73" s="44">
        <f ca="1">-1*O72/M72</f>
        <v>-0.97011646804451901</v>
      </c>
      <c r="R73">
        <f ca="1">(O73*COS(-1*$B$27))+(N73*SIN(-1*$B$27))+$I$2</f>
        <v>6.3995669396455668</v>
      </c>
      <c r="S73">
        <f ca="1">(-1*O73*SIN(-1*$B$27))+(N73*COS(-1*$B$27))+$I$3</f>
        <v>2.511835425396086</v>
      </c>
      <c r="AD73" s="5"/>
      <c r="AE73" s="5"/>
      <c r="AF73">
        <f>MAX(AF65:AF72)</f>
        <v>33.941125496954278</v>
      </c>
      <c r="AG73">
        <f t="shared" ref="AG73:AL73" si="124">MAX(AG65:AG72)</f>
        <v>26.832815729997478</v>
      </c>
      <c r="AH73">
        <f t="shared" si="124"/>
        <v>21.633307652783937</v>
      </c>
      <c r="AI73">
        <f t="shared" si="124"/>
        <v>30</v>
      </c>
      <c r="AJ73">
        <f t="shared" si="124"/>
        <v>33.941125496954278</v>
      </c>
      <c r="AK73">
        <f t="shared" si="124"/>
        <v>24</v>
      </c>
      <c r="AL73">
        <f t="shared" si="124"/>
        <v>18</v>
      </c>
      <c r="AM73">
        <f>MAX(AF73:AL73)</f>
        <v>33.941125496954278</v>
      </c>
      <c r="AY73" s="6">
        <f>B28</f>
        <v>3.4538135990366818</v>
      </c>
      <c r="AZ73" s="47">
        <f ca="1">U10-U4</f>
        <v>-8.2378903698554503E-11</v>
      </c>
      <c r="BC73"/>
      <c r="BD73"/>
      <c r="BF73" s="6" t="e">
        <f t="shared" si="108"/>
        <v>#N/A</v>
      </c>
      <c r="BG73" s="6" t="e">
        <f t="shared" si="109"/>
        <v>#N/A</v>
      </c>
      <c r="BH73" s="6" t="e">
        <f t="shared" si="113"/>
        <v>#N/A</v>
      </c>
      <c r="BI73" s="6" t="e">
        <f t="shared" si="114"/>
        <v>#N/A</v>
      </c>
      <c r="BT73">
        <f t="shared" si="68"/>
        <v>-0.32070273411083644</v>
      </c>
      <c r="BV73" s="36"/>
      <c r="BW73" s="6" t="e">
        <f t="shared" si="39"/>
        <v>#N/A</v>
      </c>
      <c r="BX73" s="9">
        <f t="shared" ca="1" si="40"/>
        <v>-65.220682514826848</v>
      </c>
      <c r="BY73" s="9">
        <f t="shared" ca="1" si="41"/>
        <v>21.430285361287321</v>
      </c>
      <c r="BZ73" s="9">
        <f t="shared" ca="1" si="42"/>
        <v>0</v>
      </c>
      <c r="CA73" s="6">
        <f t="shared" ca="1" si="43"/>
        <v>0</v>
      </c>
      <c r="CB73" s="6" t="e">
        <f t="shared" ca="1" si="44"/>
        <v>#DIV/0!</v>
      </c>
      <c r="CC73" s="6" t="e">
        <f t="shared" ca="1" si="45"/>
        <v>#DIV/0!</v>
      </c>
      <c r="CD73" s="9">
        <f t="shared" si="46"/>
        <v>-30</v>
      </c>
      <c r="CE73" s="9">
        <f t="shared" si="47"/>
        <v>0</v>
      </c>
      <c r="CF73" s="6">
        <f t="shared" si="48"/>
        <v>3.1415926535897931</v>
      </c>
      <c r="CG73" s="6" t="e">
        <f t="shared" ca="1" si="49"/>
        <v>#DIV/0!</v>
      </c>
      <c r="CH73" s="6"/>
      <c r="CI73" s="6"/>
      <c r="CJ73" s="1"/>
      <c r="CK73" s="6"/>
    </row>
    <row r="74" spans="1:89" x14ac:dyDescent="0.25">
      <c r="X74">
        <f ca="1">X72+X57</f>
        <v>3677.9827702675734</v>
      </c>
      <c r="Y74">
        <f ca="1">Y72+Y57</f>
        <v>744.5892892856333</v>
      </c>
      <c r="AD74" s="5"/>
      <c r="AE74" s="5"/>
      <c r="BC74"/>
      <c r="BD74"/>
      <c r="BF74" s="6" t="e">
        <f t="shared" si="108"/>
        <v>#N/A</v>
      </c>
      <c r="BG74" s="6" t="e">
        <f t="shared" si="109"/>
        <v>#N/A</v>
      </c>
      <c r="BH74" s="6" t="e">
        <f t="shared" si="113"/>
        <v>#N/A</v>
      </c>
      <c r="BI74" s="6" t="e">
        <f t="shared" si="114"/>
        <v>#N/A</v>
      </c>
      <c r="BT74">
        <f t="shared" si="68"/>
        <v>-0.10726039273411329</v>
      </c>
      <c r="BV74" s="36"/>
      <c r="BW74" s="6" t="e">
        <f t="shared" si="39"/>
        <v>#N/A</v>
      </c>
      <c r="BX74" s="9">
        <f t="shared" ca="1" si="40"/>
        <v>-65.220682514826848</v>
      </c>
      <c r="BY74" s="9">
        <f t="shared" ca="1" si="41"/>
        <v>21.430285361287321</v>
      </c>
      <c r="BZ74" s="9">
        <f t="shared" ca="1" si="42"/>
        <v>0</v>
      </c>
      <c r="CA74" s="6">
        <f t="shared" ca="1" si="43"/>
        <v>0</v>
      </c>
      <c r="CB74" s="6" t="e">
        <f t="shared" ca="1" si="44"/>
        <v>#DIV/0!</v>
      </c>
      <c r="CC74" s="6" t="e">
        <f t="shared" ca="1" si="45"/>
        <v>#DIV/0!</v>
      </c>
      <c r="CD74" s="9">
        <f t="shared" si="46"/>
        <v>-30</v>
      </c>
      <c r="CE74" s="9">
        <f t="shared" si="47"/>
        <v>0</v>
      </c>
      <c r="CF74" s="6">
        <f t="shared" si="48"/>
        <v>3.1415926535897931</v>
      </c>
      <c r="CG74" s="6" t="e">
        <f t="shared" ca="1" si="49"/>
        <v>#DIV/0!</v>
      </c>
      <c r="CH74" s="6"/>
      <c r="CI74" s="6"/>
      <c r="CJ74" s="1"/>
      <c r="CK74" s="6"/>
    </row>
    <row r="75" spans="1:89" x14ac:dyDescent="0.25">
      <c r="A75" s="8" t="s">
        <v>63</v>
      </c>
      <c r="B75" s="9">
        <f ca="1">N57+M72</f>
        <v>9.1532115220616106E-11</v>
      </c>
      <c r="C75" t="s">
        <v>68</v>
      </c>
      <c r="E75">
        <f>((O59*COS(-1*B27))+(P59*SIN(-1*B27)))</f>
        <v>105.07593005585525</v>
      </c>
      <c r="F75">
        <f>(-1*(O59)*SIN(-1*B27))+((P59)*COS(-1*B27))</f>
        <v>-3.7929129042040319</v>
      </c>
      <c r="R75" t="str">
        <f ca="1">"Ts = "&amp;ROUND(M72,4)&amp;" "&amp;V10&amp;CHAR(10)&amp;" @ ( "&amp;ROUND(R73,4)&amp;" , "&amp;ROUND(S73,4)&amp;" )"</f>
        <v>Ts = -113.9107 kips
 @ ( 6.3996 , 2.5118 )</v>
      </c>
      <c r="AD75" s="5"/>
      <c r="AE75" s="5"/>
      <c r="BC75"/>
      <c r="BD75"/>
      <c r="BF75" s="6" t="e">
        <f t="shared" si="108"/>
        <v>#N/A</v>
      </c>
      <c r="BG75" s="6" t="e">
        <f t="shared" si="109"/>
        <v>#N/A</v>
      </c>
      <c r="BH75" s="6" t="e">
        <f t="shared" si="113"/>
        <v>#N/A</v>
      </c>
      <c r="BI75" s="6" t="e">
        <f t="shared" si="114"/>
        <v>#N/A</v>
      </c>
      <c r="BT75">
        <f>ATAN2(BR37,BS37)</f>
        <v>0.14105800478511343</v>
      </c>
      <c r="BV75" s="36"/>
      <c r="BW75" s="6" t="e">
        <f t="shared" si="39"/>
        <v>#N/A</v>
      </c>
      <c r="BX75" s="9">
        <f t="shared" ca="1" si="40"/>
        <v>-65.220682514826848</v>
      </c>
      <c r="BY75" s="9">
        <f t="shared" ca="1" si="41"/>
        <v>21.430285361287321</v>
      </c>
      <c r="BZ75" s="9">
        <f t="shared" ca="1" si="42"/>
        <v>0</v>
      </c>
      <c r="CA75" s="6">
        <f t="shared" ca="1" si="43"/>
        <v>0</v>
      </c>
      <c r="CB75" s="6" t="e">
        <f t="shared" ca="1" si="44"/>
        <v>#DIV/0!</v>
      </c>
      <c r="CC75" s="6" t="e">
        <f t="shared" ca="1" si="45"/>
        <v>#DIV/0!</v>
      </c>
      <c r="CD75" s="9">
        <f t="shared" si="46"/>
        <v>-30</v>
      </c>
      <c r="CE75" s="9">
        <f t="shared" si="47"/>
        <v>0</v>
      </c>
      <c r="CF75" s="6">
        <f t="shared" si="48"/>
        <v>3.1415926535897931</v>
      </c>
      <c r="CG75" s="6" t="e">
        <f t="shared" ca="1" si="49"/>
        <v>#DIV/0!</v>
      </c>
      <c r="CH75" s="6"/>
      <c r="CI75" s="6"/>
      <c r="CJ75" s="1"/>
      <c r="CK75" s="6"/>
    </row>
    <row r="76" spans="1:89" x14ac:dyDescent="0.25">
      <c r="A76" s="8" t="s">
        <v>66</v>
      </c>
      <c r="B76" s="9">
        <f ca="1">O57+N72</f>
        <v>2317.3363821963403</v>
      </c>
      <c r="C76" t="s">
        <v>69</v>
      </c>
      <c r="E76">
        <f ca="1">((N73*COS(-1*B27))+(O73*SIN(-1*B27)))</f>
        <v>-9.2089288924534678</v>
      </c>
      <c r="F76">
        <f ca="1">(-1*(N73)*SIN(-1*B27))+((O73)*COS(-1*B27))</f>
        <v>-2.3196011268668939</v>
      </c>
      <c r="Y76">
        <f ca="1">ATAN2(X74,Y74)</f>
        <v>0.19974542977169921</v>
      </c>
      <c r="BC76"/>
      <c r="BD76"/>
      <c r="BF76" s="6" t="e">
        <f t="shared" si="108"/>
        <v>#N/A</v>
      </c>
      <c r="BG76" s="6" t="e">
        <f t="shared" si="109"/>
        <v>#N/A</v>
      </c>
      <c r="BH76" s="6" t="e">
        <f t="shared" si="113"/>
        <v>#N/A</v>
      </c>
      <c r="BI76" s="6" t="e">
        <f t="shared" si="114"/>
        <v>#N/A</v>
      </c>
      <c r="BT76">
        <f t="shared" si="68"/>
        <v>0.34062549873768194</v>
      </c>
      <c r="BV76" s="36"/>
      <c r="BW76" s="6" t="e">
        <f t="shared" si="39"/>
        <v>#N/A</v>
      </c>
      <c r="BX76" s="9">
        <f t="shared" ca="1" si="40"/>
        <v>-65.220682514826848</v>
      </c>
      <c r="BY76" s="9">
        <f t="shared" ca="1" si="41"/>
        <v>21.430285361287321</v>
      </c>
      <c r="BZ76" s="9">
        <f t="shared" ca="1" si="42"/>
        <v>0</v>
      </c>
      <c r="CA76" s="6">
        <f t="shared" ca="1" si="43"/>
        <v>0</v>
      </c>
      <c r="CB76" s="6" t="e">
        <f t="shared" ca="1" si="44"/>
        <v>#DIV/0!</v>
      </c>
      <c r="CC76" s="6" t="e">
        <f t="shared" ca="1" si="45"/>
        <v>#DIV/0!</v>
      </c>
      <c r="CD76" s="9">
        <f t="shared" si="46"/>
        <v>-30</v>
      </c>
      <c r="CE76" s="9">
        <f t="shared" si="47"/>
        <v>0</v>
      </c>
      <c r="CF76" s="6">
        <f t="shared" si="48"/>
        <v>3.1415926535897931</v>
      </c>
      <c r="CG76" s="6" t="e">
        <f t="shared" ca="1" si="49"/>
        <v>#DIV/0!</v>
      </c>
      <c r="CH76" s="6"/>
      <c r="CI76" s="6"/>
      <c r="CJ76" s="1"/>
      <c r="CK76" s="6"/>
    </row>
    <row r="77" spans="1:89" x14ac:dyDescent="0.25">
      <c r="A77" s="8" t="s">
        <v>67</v>
      </c>
      <c r="B77" s="9">
        <f ca="1">P57+O72</f>
        <v>-337.01639786669824</v>
      </c>
      <c r="C77" t="s">
        <v>69</v>
      </c>
      <c r="BC77"/>
      <c r="BD77"/>
      <c r="BF77" s="6" t="e">
        <f t="shared" si="108"/>
        <v>#N/A</v>
      </c>
      <c r="BG77" s="6" t="e">
        <f t="shared" si="109"/>
        <v>#N/A</v>
      </c>
      <c r="BH77" s="6" t="e">
        <f t="shared" si="113"/>
        <v>#N/A</v>
      </c>
      <c r="BI77" s="6" t="e">
        <f t="shared" si="114"/>
        <v>#N/A</v>
      </c>
      <c r="BT77">
        <f t="shared" si="68"/>
        <v>0.34062549873768644</v>
      </c>
      <c r="BV77" s="36"/>
      <c r="BW77" s="6" t="e">
        <f t="shared" si="39"/>
        <v>#N/A</v>
      </c>
      <c r="BX77" s="9">
        <f t="shared" ca="1" si="40"/>
        <v>-65.220682514826848</v>
      </c>
      <c r="BY77" s="9">
        <f t="shared" ca="1" si="41"/>
        <v>21.430285361287321</v>
      </c>
      <c r="BZ77" s="9">
        <f t="shared" ca="1" si="42"/>
        <v>0</v>
      </c>
      <c r="CA77" s="6">
        <f t="shared" ca="1" si="43"/>
        <v>0</v>
      </c>
      <c r="CB77" s="6" t="e">
        <f t="shared" ca="1" si="44"/>
        <v>#DIV/0!</v>
      </c>
      <c r="CC77" s="6" t="e">
        <f t="shared" ca="1" si="45"/>
        <v>#DIV/0!</v>
      </c>
      <c r="CD77" s="9">
        <f t="shared" si="46"/>
        <v>-30</v>
      </c>
      <c r="CE77" s="9">
        <f t="shared" si="47"/>
        <v>0</v>
      </c>
      <c r="CF77" s="6">
        <f t="shared" si="48"/>
        <v>3.1415926535897931</v>
      </c>
      <c r="CG77" s="6" t="e">
        <f t="shared" ca="1" si="49"/>
        <v>#DIV/0!</v>
      </c>
      <c r="CH77" s="6"/>
      <c r="CI77" s="6"/>
      <c r="CJ77" s="1"/>
      <c r="CK77" s="6"/>
    </row>
    <row r="78" spans="1:89" x14ac:dyDescent="0.25">
      <c r="BC78"/>
      <c r="BD78"/>
      <c r="BF78" s="6" t="e">
        <f t="shared" si="108"/>
        <v>#N/A</v>
      </c>
      <c r="BG78" s="6" t="e">
        <f t="shared" si="109"/>
        <v>#N/A</v>
      </c>
      <c r="BH78" s="6" t="e">
        <f t="shared" si="113"/>
        <v>#N/A</v>
      </c>
      <c r="BI78" s="6" t="e">
        <f t="shared" si="114"/>
        <v>#N/A</v>
      </c>
      <c r="BV78" s="36"/>
      <c r="BW78" s="6" t="e">
        <f t="shared" si="39"/>
        <v>#N/A</v>
      </c>
      <c r="BX78" s="9">
        <f t="shared" ca="1" si="40"/>
        <v>-65.220682514826848</v>
      </c>
      <c r="BY78" s="9">
        <f t="shared" ca="1" si="41"/>
        <v>21.430285361287321</v>
      </c>
      <c r="BZ78" s="9">
        <f t="shared" ca="1" si="42"/>
        <v>0</v>
      </c>
      <c r="CA78" s="6">
        <f t="shared" ca="1" si="43"/>
        <v>0</v>
      </c>
      <c r="CB78" s="6" t="e">
        <f t="shared" ca="1" si="44"/>
        <v>#DIV/0!</v>
      </c>
      <c r="CC78" s="6" t="e">
        <f t="shared" ca="1" si="45"/>
        <v>#DIV/0!</v>
      </c>
      <c r="CD78" s="9">
        <f t="shared" si="46"/>
        <v>-30</v>
      </c>
      <c r="CE78" s="9">
        <f t="shared" si="47"/>
        <v>0</v>
      </c>
      <c r="CF78" s="6">
        <f t="shared" si="48"/>
        <v>3.1415926535897931</v>
      </c>
      <c r="CG78" s="6" t="e">
        <f t="shared" ca="1" si="49"/>
        <v>#DIV/0!</v>
      </c>
      <c r="CH78" s="6"/>
      <c r="CI78" s="6"/>
      <c r="CJ78" s="1"/>
      <c r="CK78" s="6"/>
    </row>
    <row r="79" spans="1:89" x14ac:dyDescent="0.25">
      <c r="A79" s="8" t="s">
        <v>64</v>
      </c>
      <c r="B79">
        <f ca="1">((B76*COS(-1*B27))+(B77*SIN(-1*B27)))</f>
        <v>2341.7147479319224</v>
      </c>
      <c r="C79" t="s">
        <v>69</v>
      </c>
      <c r="Q79" t="s">
        <v>248</v>
      </c>
      <c r="X79">
        <f ca="1">((X74*COS(-1*B27))+(Y74*SIN(-1*B27)))</f>
        <v>3532.5329414440093</v>
      </c>
      <c r="Y79">
        <f ca="1">(-1*(X74)*SIN(-1*B27))+((Y74)*COS(-1*B27))</f>
        <v>1266.1680321809399</v>
      </c>
      <c r="BC79"/>
      <c r="BD79"/>
      <c r="BF79" s="6" t="e">
        <f t="shared" si="108"/>
        <v>#N/A</v>
      </c>
      <c r="BG79" s="6" t="e">
        <f t="shared" si="109"/>
        <v>#N/A</v>
      </c>
      <c r="BH79" s="6" t="e">
        <f t="shared" si="113"/>
        <v>#N/A</v>
      </c>
      <c r="BI79" s="6" t="e">
        <f t="shared" si="114"/>
        <v>#N/A</v>
      </c>
      <c r="BV79" s="36"/>
      <c r="BW79" s="6" t="e">
        <f t="shared" si="39"/>
        <v>#N/A</v>
      </c>
      <c r="BX79" s="9">
        <f t="shared" ca="1" si="40"/>
        <v>-65.220682514826848</v>
      </c>
      <c r="BY79" s="9">
        <f t="shared" ca="1" si="41"/>
        <v>21.430285361287321</v>
      </c>
      <c r="BZ79" s="9">
        <f t="shared" ca="1" si="42"/>
        <v>0</v>
      </c>
      <c r="CA79" s="6">
        <f t="shared" ca="1" si="43"/>
        <v>0</v>
      </c>
      <c r="CB79" s="6" t="e">
        <f t="shared" ca="1" si="44"/>
        <v>#DIV/0!</v>
      </c>
      <c r="CC79" s="6" t="e">
        <f t="shared" ca="1" si="45"/>
        <v>#DIV/0!</v>
      </c>
      <c r="CD79" s="9">
        <f t="shared" si="46"/>
        <v>-30</v>
      </c>
      <c r="CE79" s="9">
        <f t="shared" si="47"/>
        <v>0</v>
      </c>
      <c r="CF79" s="6">
        <f t="shared" si="48"/>
        <v>3.1415926535897931</v>
      </c>
      <c r="CG79" s="6" t="e">
        <f t="shared" ca="1" si="49"/>
        <v>#DIV/0!</v>
      </c>
      <c r="CH79" s="6"/>
      <c r="CI79" s="6"/>
      <c r="CJ79" s="1"/>
      <c r="CK79" s="6"/>
    </row>
    <row r="80" spans="1:89" x14ac:dyDescent="0.25">
      <c r="A80" s="8" t="s">
        <v>65</v>
      </c>
      <c r="B80">
        <f ca="1">(-1*(B76)*SIN(-1*B27))+((B77)*COS(-1*B27))</f>
        <v>-5.339592235031887E-8</v>
      </c>
      <c r="C80" t="s">
        <v>69</v>
      </c>
      <c r="Q80" s="1" t="s">
        <v>249</v>
      </c>
      <c r="R80" s="1" t="s">
        <v>250</v>
      </c>
      <c r="S80" s="1" t="s">
        <v>251</v>
      </c>
      <c r="X80">
        <f ca="1">X79</f>
        <v>3532.5329414440093</v>
      </c>
      <c r="Y80">
        <f ca="1">Y79</f>
        <v>1266.1680321809399</v>
      </c>
      <c r="BC80"/>
      <c r="BD80"/>
      <c r="BF80" s="6" t="e">
        <f t="shared" si="108"/>
        <v>#N/A</v>
      </c>
      <c r="BG80" s="6" t="e">
        <f t="shared" si="109"/>
        <v>#N/A</v>
      </c>
      <c r="BH80" s="6" t="e">
        <f t="shared" si="113"/>
        <v>#N/A</v>
      </c>
      <c r="BI80" s="6" t="e">
        <f t="shared" si="114"/>
        <v>#N/A</v>
      </c>
      <c r="BV80" s="36"/>
      <c r="BW80" s="6" t="e">
        <f t="shared" ref="BW80:BW143" si="125">IF(BC67="",NA(),BC67)</f>
        <v>#N/A</v>
      </c>
      <c r="BX80" s="9">
        <f t="shared" ref="BX80:BX143" ca="1" si="126">BD67-$BW$5</f>
        <v>-65.220682514826848</v>
      </c>
      <c r="BY80" s="9">
        <f t="shared" ref="BY80:BY143" ca="1" si="127">BE67-$BX$5</f>
        <v>21.430285361287321</v>
      </c>
      <c r="BZ80" s="9">
        <f t="shared" ref="BZ80:BZ143" ca="1" si="128">BX80-$CE$5</f>
        <v>0</v>
      </c>
      <c r="CA80" s="6">
        <f t="shared" ref="CA80:CA143" ca="1" si="129">BY80-$CF$5</f>
        <v>0</v>
      </c>
      <c r="CB80" s="6" t="e">
        <f t="shared" ref="CB80:CB143" ca="1" si="130">ATAN2(BZ80,CA80)</f>
        <v>#DIV/0!</v>
      </c>
      <c r="CC80" s="6" t="e">
        <f t="shared" ref="CC80:CC143" ca="1" si="131">CG80</f>
        <v>#DIV/0!</v>
      </c>
      <c r="CD80" s="9">
        <f t="shared" ref="CD80:CD143" si="132">BD67-$BW$6</f>
        <v>-30</v>
      </c>
      <c r="CE80" s="9">
        <f t="shared" ref="CE80:CE143" si="133">BE67-$BX$6</f>
        <v>0</v>
      </c>
      <c r="CF80" s="6">
        <f t="shared" ref="CF80:CF143" si="134">ATAN2(CD80,CE80)</f>
        <v>3.1415926535897931</v>
      </c>
      <c r="CG80" s="6" t="e">
        <f t="shared" ref="CG80:CG143" ca="1" si="135">ATAN2(COS(CF80-CB80),SIN(CF80-CB80))</f>
        <v>#DIV/0!</v>
      </c>
      <c r="CH80" s="6"/>
      <c r="CI80" s="6"/>
      <c r="CJ80" s="1"/>
      <c r="CK80" s="6"/>
    </row>
    <row r="81" spans="1:89" x14ac:dyDescent="0.25">
      <c r="P81" s="1" t="s">
        <v>21</v>
      </c>
      <c r="Q81" s="9">
        <f>C37</f>
        <v>-7.664560802224675</v>
      </c>
      <c r="R81" s="9">
        <v>0.5</v>
      </c>
      <c r="S81" s="9">
        <f ca="1">OFFSET(I61,MATCH(S82,I62:I71,0),-1)</f>
        <v>2.9420071547812983</v>
      </c>
      <c r="BC81"/>
      <c r="BD81"/>
      <c r="BF81" s="6" t="e">
        <f t="shared" si="108"/>
        <v>#N/A</v>
      </c>
      <c r="BG81" s="6" t="e">
        <f t="shared" si="109"/>
        <v>#N/A</v>
      </c>
      <c r="BH81" s="6" t="e">
        <f t="shared" si="113"/>
        <v>#N/A</v>
      </c>
      <c r="BI81" s="6" t="e">
        <f t="shared" si="114"/>
        <v>#N/A</v>
      </c>
      <c r="BV81" s="36"/>
      <c r="BW81" s="6" t="e">
        <f t="shared" si="125"/>
        <v>#N/A</v>
      </c>
      <c r="BX81" s="9">
        <f t="shared" ca="1" si="126"/>
        <v>-65.220682514826848</v>
      </c>
      <c r="BY81" s="9">
        <f t="shared" ca="1" si="127"/>
        <v>21.430285361287321</v>
      </c>
      <c r="BZ81" s="9">
        <f t="shared" ca="1" si="128"/>
        <v>0</v>
      </c>
      <c r="CA81" s="6">
        <f t="shared" ca="1" si="129"/>
        <v>0</v>
      </c>
      <c r="CB81" s="6" t="e">
        <f t="shared" ca="1" si="130"/>
        <v>#DIV/0!</v>
      </c>
      <c r="CC81" s="6" t="e">
        <f t="shared" ca="1" si="131"/>
        <v>#DIV/0!</v>
      </c>
      <c r="CD81" s="9">
        <f t="shared" si="132"/>
        <v>-30</v>
      </c>
      <c r="CE81" s="9">
        <f t="shared" si="133"/>
        <v>0</v>
      </c>
      <c r="CF81" s="6">
        <f t="shared" si="134"/>
        <v>3.1415926535897931</v>
      </c>
      <c r="CG81" s="6" t="e">
        <f t="shared" ca="1" si="135"/>
        <v>#DIV/0!</v>
      </c>
      <c r="CH81" s="6"/>
      <c r="CI81" s="6"/>
      <c r="CJ81" s="1"/>
      <c r="CK81" s="6"/>
    </row>
    <row r="82" spans="1:89" x14ac:dyDescent="0.25">
      <c r="B82">
        <f>ATAN2(1,0)</f>
        <v>0</v>
      </c>
      <c r="P82" s="1" t="s">
        <v>22</v>
      </c>
      <c r="Q82" s="9">
        <f>D37</f>
        <v>-11.011562455392108</v>
      </c>
      <c r="R82" s="9">
        <v>0</v>
      </c>
      <c r="S82" s="9">
        <f>MIN(I62:I71)</f>
        <v>-11.038323871911697</v>
      </c>
      <c r="Y82">
        <f ca="1">ATAN2(X80,Y80)</f>
        <v>0.34416557759888522</v>
      </c>
      <c r="BC82"/>
      <c r="BD82"/>
      <c r="BF82" s="6" t="e">
        <f t="shared" si="108"/>
        <v>#N/A</v>
      </c>
      <c r="BG82" s="6" t="e">
        <f t="shared" si="109"/>
        <v>#N/A</v>
      </c>
      <c r="BH82" s="6" t="e">
        <f t="shared" si="113"/>
        <v>#N/A</v>
      </c>
      <c r="BI82" s="6" t="e">
        <f t="shared" si="114"/>
        <v>#N/A</v>
      </c>
      <c r="BV82" s="36"/>
      <c r="BW82" s="6" t="e">
        <f t="shared" si="125"/>
        <v>#N/A</v>
      </c>
      <c r="BX82" s="9">
        <f t="shared" ca="1" si="126"/>
        <v>-65.220682514826848</v>
      </c>
      <c r="BY82" s="9">
        <f t="shared" ca="1" si="127"/>
        <v>21.430285361287321</v>
      </c>
      <c r="BZ82" s="9">
        <f t="shared" ca="1" si="128"/>
        <v>0</v>
      </c>
      <c r="CA82" s="6">
        <f t="shared" ca="1" si="129"/>
        <v>0</v>
      </c>
      <c r="CB82" s="6" t="e">
        <f t="shared" ca="1" si="130"/>
        <v>#DIV/0!</v>
      </c>
      <c r="CC82" s="6" t="e">
        <f t="shared" ca="1" si="131"/>
        <v>#DIV/0!</v>
      </c>
      <c r="CD82" s="9">
        <f t="shared" si="132"/>
        <v>-30</v>
      </c>
      <c r="CE82" s="9">
        <f t="shared" si="133"/>
        <v>0</v>
      </c>
      <c r="CF82" s="6">
        <f t="shared" si="134"/>
        <v>3.1415926535897931</v>
      </c>
      <c r="CG82" s="6" t="e">
        <f t="shared" ca="1" si="135"/>
        <v>#DIV/0!</v>
      </c>
      <c r="CH82" s="6"/>
      <c r="CI82" s="6"/>
      <c r="CJ82" s="1"/>
      <c r="CK82" s="6"/>
    </row>
    <row r="83" spans="1:89" x14ac:dyDescent="0.25">
      <c r="A83" t="s">
        <v>74</v>
      </c>
      <c r="B83">
        <f ca="1">ATAN2(B79,B80)</f>
        <v>-2.2802060924574737E-11</v>
      </c>
      <c r="P83" s="1" t="s">
        <v>252</v>
      </c>
      <c r="Q83">
        <f>(-0.003*(G40-Q82))/B28</f>
        <v>-1.7629499441166749E-2</v>
      </c>
      <c r="R83">
        <f>(-0.003*(G40-R82))/B28</f>
        <v>-8.0648004732229734E-3</v>
      </c>
      <c r="S83">
        <f>(-0.003*(G40-S82))/B28</f>
        <v>-1.7652744543213122E-2</v>
      </c>
      <c r="BC83"/>
      <c r="BD83"/>
      <c r="BF83" s="6" t="e">
        <f t="shared" si="108"/>
        <v>#N/A</v>
      </c>
      <c r="BG83" s="6" t="e">
        <f t="shared" si="109"/>
        <v>#N/A</v>
      </c>
      <c r="BH83" s="6" t="e">
        <f t="shared" si="113"/>
        <v>#N/A</v>
      </c>
      <c r="BI83" s="6" t="e">
        <f t="shared" si="114"/>
        <v>#N/A</v>
      </c>
      <c r="BV83" s="36"/>
      <c r="BW83" s="6" t="e">
        <f t="shared" si="125"/>
        <v>#N/A</v>
      </c>
      <c r="BX83" s="9">
        <f t="shared" ca="1" si="126"/>
        <v>-65.220682514826848</v>
      </c>
      <c r="BY83" s="9">
        <f t="shared" ca="1" si="127"/>
        <v>21.430285361287321</v>
      </c>
      <c r="BZ83" s="9">
        <f t="shared" ca="1" si="128"/>
        <v>0</v>
      </c>
      <c r="CA83" s="6">
        <f t="shared" ca="1" si="129"/>
        <v>0</v>
      </c>
      <c r="CB83" s="6" t="e">
        <f t="shared" ca="1" si="130"/>
        <v>#DIV/0!</v>
      </c>
      <c r="CC83" s="6" t="e">
        <f t="shared" ca="1" si="131"/>
        <v>#DIV/0!</v>
      </c>
      <c r="CD83" s="9">
        <f t="shared" si="132"/>
        <v>-30</v>
      </c>
      <c r="CE83" s="9">
        <f t="shared" si="133"/>
        <v>0</v>
      </c>
      <c r="CF83" s="6">
        <f t="shared" si="134"/>
        <v>3.1415926535897931</v>
      </c>
      <c r="CG83" s="6" t="e">
        <f t="shared" ca="1" si="135"/>
        <v>#DIV/0!</v>
      </c>
      <c r="CH83" s="6"/>
      <c r="CI83" s="6"/>
      <c r="CJ83" s="1"/>
      <c r="CK83" s="6"/>
    </row>
    <row r="84" spans="1:89" x14ac:dyDescent="0.25">
      <c r="BC84"/>
      <c r="BD84"/>
      <c r="BF84" s="6" t="e">
        <f t="shared" si="108"/>
        <v>#N/A</v>
      </c>
      <c r="BG84" s="6" t="e">
        <f t="shared" si="109"/>
        <v>#N/A</v>
      </c>
      <c r="BH84" s="6" t="e">
        <f t="shared" si="113"/>
        <v>#N/A</v>
      </c>
      <c r="BI84" s="6" t="e">
        <f t="shared" si="114"/>
        <v>#N/A</v>
      </c>
      <c r="BV84" s="36"/>
      <c r="BW84" s="6" t="e">
        <f t="shared" si="125"/>
        <v>#N/A</v>
      </c>
      <c r="BX84" s="9">
        <f t="shared" ca="1" si="126"/>
        <v>-65.220682514826848</v>
      </c>
      <c r="BY84" s="9">
        <f t="shared" ca="1" si="127"/>
        <v>21.430285361287321</v>
      </c>
      <c r="BZ84" s="9">
        <f t="shared" ca="1" si="128"/>
        <v>0</v>
      </c>
      <c r="CA84" s="6">
        <f t="shared" ca="1" si="129"/>
        <v>0</v>
      </c>
      <c r="CB84" s="6" t="e">
        <f t="shared" ca="1" si="130"/>
        <v>#DIV/0!</v>
      </c>
      <c r="CC84" s="6" t="e">
        <f t="shared" ca="1" si="131"/>
        <v>#DIV/0!</v>
      </c>
      <c r="CD84" s="9">
        <f t="shared" si="132"/>
        <v>-30</v>
      </c>
      <c r="CE84" s="9">
        <f t="shared" si="133"/>
        <v>0</v>
      </c>
      <c r="CF84" s="6">
        <f t="shared" si="134"/>
        <v>3.1415926535897931</v>
      </c>
      <c r="CG84" s="6" t="e">
        <f t="shared" ca="1" si="135"/>
        <v>#DIV/0!</v>
      </c>
      <c r="CH84" s="6"/>
      <c r="CI84" s="6"/>
      <c r="CJ84" s="1"/>
      <c r="CK84" s="6"/>
    </row>
    <row r="85" spans="1:89" x14ac:dyDescent="0.25">
      <c r="Q85">
        <f>COS(B27)</f>
        <v>0.98958952376696296</v>
      </c>
      <c r="R85">
        <f>-1*SIN(B27)</f>
        <v>-0.14391863830190807</v>
      </c>
      <c r="U85">
        <v>0</v>
      </c>
      <c r="BC85"/>
      <c r="BD85"/>
      <c r="BF85" s="6" t="e">
        <f t="shared" si="108"/>
        <v>#N/A</v>
      </c>
      <c r="BG85" s="6" t="e">
        <f t="shared" si="109"/>
        <v>#N/A</v>
      </c>
      <c r="BH85" s="6" t="e">
        <f t="shared" si="113"/>
        <v>#N/A</v>
      </c>
      <c r="BI85" s="6" t="e">
        <f t="shared" si="114"/>
        <v>#N/A</v>
      </c>
      <c r="BV85" s="36"/>
      <c r="BW85" s="6" t="e">
        <f t="shared" si="125"/>
        <v>#N/A</v>
      </c>
      <c r="BX85" s="9">
        <f t="shared" ca="1" si="126"/>
        <v>-65.220682514826848</v>
      </c>
      <c r="BY85" s="9">
        <f t="shared" ca="1" si="127"/>
        <v>21.430285361287321</v>
      </c>
      <c r="BZ85" s="9">
        <f t="shared" ca="1" si="128"/>
        <v>0</v>
      </c>
      <c r="CA85" s="6">
        <f t="shared" ca="1" si="129"/>
        <v>0</v>
      </c>
      <c r="CB85" s="6" t="e">
        <f t="shared" ca="1" si="130"/>
        <v>#DIV/0!</v>
      </c>
      <c r="CC85" s="6" t="e">
        <f t="shared" ca="1" si="131"/>
        <v>#DIV/0!</v>
      </c>
      <c r="CD85" s="9">
        <f t="shared" si="132"/>
        <v>-30</v>
      </c>
      <c r="CE85" s="9">
        <f t="shared" si="133"/>
        <v>0</v>
      </c>
      <c r="CF85" s="6">
        <f t="shared" si="134"/>
        <v>3.1415926535897931</v>
      </c>
      <c r="CG85" s="6" t="e">
        <f t="shared" ca="1" si="135"/>
        <v>#DIV/0!</v>
      </c>
      <c r="CH85" s="6"/>
      <c r="CI85" s="6"/>
      <c r="CJ85" s="1"/>
      <c r="CK85" s="6"/>
    </row>
    <row r="86" spans="1:89" x14ac:dyDescent="0.25">
      <c r="Q86">
        <f>SIN(B27)</f>
        <v>0.14391863830190807</v>
      </c>
      <c r="R86">
        <f>COS(B27)</f>
        <v>0.98958952376696296</v>
      </c>
      <c r="U86">
        <f>0.003/B28</f>
        <v>8.6860506914349491E-4</v>
      </c>
      <c r="BC86"/>
      <c r="BD86"/>
      <c r="BF86" s="6" t="e">
        <f t="shared" si="108"/>
        <v>#N/A</v>
      </c>
      <c r="BG86" s="6" t="e">
        <f t="shared" si="109"/>
        <v>#N/A</v>
      </c>
      <c r="BH86" s="6" t="e">
        <f t="shared" si="113"/>
        <v>#N/A</v>
      </c>
      <c r="BI86" s="6" t="e">
        <f t="shared" si="114"/>
        <v>#N/A</v>
      </c>
      <c r="BV86" s="36"/>
      <c r="BW86" s="6" t="e">
        <f t="shared" si="125"/>
        <v>#N/A</v>
      </c>
      <c r="BX86" s="9">
        <f t="shared" ca="1" si="126"/>
        <v>-65.220682514826848</v>
      </c>
      <c r="BY86" s="9">
        <f t="shared" ca="1" si="127"/>
        <v>21.430285361287321</v>
      </c>
      <c r="BZ86" s="9">
        <f t="shared" ca="1" si="128"/>
        <v>0</v>
      </c>
      <c r="CA86" s="6">
        <f t="shared" ca="1" si="129"/>
        <v>0</v>
      </c>
      <c r="CB86" s="6" t="e">
        <f t="shared" ca="1" si="130"/>
        <v>#DIV/0!</v>
      </c>
      <c r="CC86" s="6" t="e">
        <f t="shared" ca="1" si="131"/>
        <v>#DIV/0!</v>
      </c>
      <c r="CD86" s="9">
        <f t="shared" si="132"/>
        <v>-30</v>
      </c>
      <c r="CE86" s="9">
        <f t="shared" si="133"/>
        <v>0</v>
      </c>
      <c r="CF86" s="6">
        <f t="shared" si="134"/>
        <v>3.1415926535897931</v>
      </c>
      <c r="CG86" s="6" t="e">
        <f t="shared" ca="1" si="135"/>
        <v>#DIV/0!</v>
      </c>
      <c r="CH86" s="6"/>
      <c r="CI86" s="6"/>
      <c r="CJ86" s="1"/>
      <c r="CK86" s="6"/>
    </row>
    <row r="87" spans="1:89" x14ac:dyDescent="0.25">
      <c r="A87" t="s">
        <v>118</v>
      </c>
      <c r="BC87"/>
      <c r="BD87"/>
      <c r="BF87" s="6" t="e">
        <f t="shared" si="108"/>
        <v>#N/A</v>
      </c>
      <c r="BG87" s="6" t="e">
        <f t="shared" si="109"/>
        <v>#N/A</v>
      </c>
      <c r="BH87" s="6" t="e">
        <f t="shared" si="113"/>
        <v>#N/A</v>
      </c>
      <c r="BI87" s="6" t="e">
        <f t="shared" si="114"/>
        <v>#N/A</v>
      </c>
      <c r="BV87" s="36"/>
      <c r="BW87" s="6" t="e">
        <f t="shared" si="125"/>
        <v>#N/A</v>
      </c>
      <c r="BX87" s="9">
        <f t="shared" ca="1" si="126"/>
        <v>-65.220682514826848</v>
      </c>
      <c r="BY87" s="9">
        <f t="shared" ca="1" si="127"/>
        <v>21.430285361287321</v>
      </c>
      <c r="BZ87" s="9">
        <f t="shared" ca="1" si="128"/>
        <v>0</v>
      </c>
      <c r="CA87" s="6">
        <f t="shared" ca="1" si="129"/>
        <v>0</v>
      </c>
      <c r="CB87" s="6" t="e">
        <f t="shared" ca="1" si="130"/>
        <v>#DIV/0!</v>
      </c>
      <c r="CC87" s="6" t="e">
        <f t="shared" ca="1" si="131"/>
        <v>#DIV/0!</v>
      </c>
      <c r="CD87" s="9">
        <f t="shared" si="132"/>
        <v>-30</v>
      </c>
      <c r="CE87" s="9">
        <f t="shared" si="133"/>
        <v>0</v>
      </c>
      <c r="CF87" s="6">
        <f t="shared" si="134"/>
        <v>3.1415926535897931</v>
      </c>
      <c r="CG87" s="6" t="e">
        <f t="shared" ca="1" si="135"/>
        <v>#DIV/0!</v>
      </c>
      <c r="CH87" s="6"/>
      <c r="CI87" s="6"/>
      <c r="CJ87" s="1"/>
      <c r="CK87" s="6"/>
    </row>
    <row r="88" spans="1:89" x14ac:dyDescent="0.25">
      <c r="A88" t="s">
        <v>119</v>
      </c>
      <c r="P88" s="1" t="s">
        <v>8</v>
      </c>
      <c r="Q88">
        <f t="array" ref="Q88:Q89">MMULT(Q85:R86,Q81:Q82)</f>
        <v>-6</v>
      </c>
      <c r="R88">
        <f t="array" ref="R88:R89">MMULT(Q85:R86,R81:R82)</f>
        <v>0.49479476188348148</v>
      </c>
      <c r="S88">
        <f t="array" aca="1" ref="S88:S89" ca="1">MMULT(Q85:R86,S81:S82)</f>
        <v>4.4999999999999991</v>
      </c>
      <c r="U88">
        <f t="array" ref="U88:U89">MMULT(Q85:R86,U85:U86)</f>
        <v>-1.2500845877326649E-4</v>
      </c>
      <c r="BC88"/>
      <c r="BD88"/>
      <c r="BF88" s="6" t="e">
        <f t="shared" si="108"/>
        <v>#N/A</v>
      </c>
      <c r="BG88" s="6" t="e">
        <f t="shared" si="109"/>
        <v>#N/A</v>
      </c>
      <c r="BH88" s="6" t="e">
        <f t="shared" si="113"/>
        <v>#N/A</v>
      </c>
      <c r="BI88" s="6" t="e">
        <f t="shared" si="114"/>
        <v>#N/A</v>
      </c>
      <c r="BV88" s="36"/>
      <c r="BW88" s="6" t="e">
        <f t="shared" si="125"/>
        <v>#N/A</v>
      </c>
      <c r="BX88" s="9">
        <f t="shared" ca="1" si="126"/>
        <v>-65.220682514826848</v>
      </c>
      <c r="BY88" s="9">
        <f t="shared" ca="1" si="127"/>
        <v>21.430285361287321</v>
      </c>
      <c r="BZ88" s="9">
        <f t="shared" ca="1" si="128"/>
        <v>0</v>
      </c>
      <c r="CA88" s="6">
        <f t="shared" ca="1" si="129"/>
        <v>0</v>
      </c>
      <c r="CB88" s="6" t="e">
        <f t="shared" ca="1" si="130"/>
        <v>#DIV/0!</v>
      </c>
      <c r="CC88" s="6" t="e">
        <f t="shared" ca="1" si="131"/>
        <v>#DIV/0!</v>
      </c>
      <c r="CD88" s="9">
        <f t="shared" si="132"/>
        <v>-30</v>
      </c>
      <c r="CE88" s="9">
        <f t="shared" si="133"/>
        <v>0</v>
      </c>
      <c r="CF88" s="6">
        <f t="shared" si="134"/>
        <v>3.1415926535897931</v>
      </c>
      <c r="CG88" s="6" t="e">
        <f t="shared" ca="1" si="135"/>
        <v>#DIV/0!</v>
      </c>
      <c r="CH88" s="6"/>
      <c r="CI88" s="6"/>
      <c r="CJ88" s="1"/>
      <c r="CK88" s="6"/>
    </row>
    <row r="89" spans="1:89" x14ac:dyDescent="0.25">
      <c r="A89" s="1" t="s">
        <v>8</v>
      </c>
      <c r="B89" s="1" t="s">
        <v>9</v>
      </c>
      <c r="C89" s="1" t="s">
        <v>120</v>
      </c>
      <c r="D89" s="1" t="s">
        <v>121</v>
      </c>
      <c r="E89" s="1" t="s">
        <v>122</v>
      </c>
      <c r="P89" s="1" t="s">
        <v>9</v>
      </c>
      <c r="Q89">
        <v>-12</v>
      </c>
      <c r="R89">
        <v>7.1959319150954035E-2</v>
      </c>
      <c r="S89">
        <f ca="1"/>
        <v>-10.5</v>
      </c>
      <c r="U89">
        <v>8.595624767152811E-4</v>
      </c>
      <c r="BC89"/>
      <c r="BD89"/>
      <c r="BF89" s="6" t="e">
        <f t="shared" si="108"/>
        <v>#N/A</v>
      </c>
      <c r="BG89" s="6" t="e">
        <f t="shared" si="109"/>
        <v>#N/A</v>
      </c>
      <c r="BH89" s="6" t="e">
        <f t="shared" si="113"/>
        <v>#N/A</v>
      </c>
      <c r="BI89" s="6" t="e">
        <f t="shared" si="114"/>
        <v>#N/A</v>
      </c>
      <c r="BV89" s="36"/>
      <c r="BW89" s="6" t="e">
        <f t="shared" si="125"/>
        <v>#N/A</v>
      </c>
      <c r="BX89" s="9">
        <f t="shared" ca="1" si="126"/>
        <v>-65.220682514826848</v>
      </c>
      <c r="BY89" s="9">
        <f t="shared" ca="1" si="127"/>
        <v>21.430285361287321</v>
      </c>
      <c r="BZ89" s="9">
        <f t="shared" ca="1" si="128"/>
        <v>0</v>
      </c>
      <c r="CA89" s="6">
        <f t="shared" ca="1" si="129"/>
        <v>0</v>
      </c>
      <c r="CB89" s="6" t="e">
        <f t="shared" ca="1" si="130"/>
        <v>#DIV/0!</v>
      </c>
      <c r="CC89" s="6" t="e">
        <f t="shared" ca="1" si="131"/>
        <v>#DIV/0!</v>
      </c>
      <c r="CD89" s="9">
        <f t="shared" si="132"/>
        <v>-30</v>
      </c>
      <c r="CE89" s="9">
        <f t="shared" si="133"/>
        <v>0</v>
      </c>
      <c r="CF89" s="6">
        <f t="shared" si="134"/>
        <v>3.1415926535897931</v>
      </c>
      <c r="CG89" s="6" t="e">
        <f t="shared" ca="1" si="135"/>
        <v>#DIV/0!</v>
      </c>
      <c r="CH89" s="6"/>
      <c r="CI89" s="6"/>
      <c r="CJ89" s="1"/>
      <c r="CK89" s="6"/>
    </row>
    <row r="90" spans="1:89" x14ac:dyDescent="0.25">
      <c r="A90" s="6">
        <f t="shared" ref="A90:A98" si="136">E3-$I$2</f>
        <v>-6</v>
      </c>
      <c r="B90" s="1">
        <f t="shared" ref="B90:B98" si="137">F3-$I$3</f>
        <v>-12</v>
      </c>
      <c r="C90" s="1"/>
      <c r="P90" s="1" t="s">
        <v>252</v>
      </c>
      <c r="Q90">
        <f>Q83</f>
        <v>-1.7629499441166749E-2</v>
      </c>
      <c r="R90">
        <f>R83</f>
        <v>-8.0648004732229734E-3</v>
      </c>
      <c r="S90">
        <f>S83</f>
        <v>-1.7652744543213122E-2</v>
      </c>
      <c r="BC90"/>
      <c r="BD90"/>
      <c r="BF90" s="6" t="e">
        <f t="shared" si="108"/>
        <v>#N/A</v>
      </c>
      <c r="BG90" s="6" t="e">
        <f t="shared" si="109"/>
        <v>#N/A</v>
      </c>
      <c r="BH90" s="6" t="e">
        <f t="shared" si="113"/>
        <v>#N/A</v>
      </c>
      <c r="BI90" s="6" t="e">
        <f t="shared" si="114"/>
        <v>#N/A</v>
      </c>
      <c r="BV90" s="36"/>
      <c r="BW90" s="6" t="e">
        <f t="shared" si="125"/>
        <v>#N/A</v>
      </c>
      <c r="BX90" s="9">
        <f t="shared" ca="1" si="126"/>
        <v>-65.220682514826848</v>
      </c>
      <c r="BY90" s="9">
        <f t="shared" ca="1" si="127"/>
        <v>21.430285361287321</v>
      </c>
      <c r="BZ90" s="9">
        <f t="shared" ca="1" si="128"/>
        <v>0</v>
      </c>
      <c r="CA90" s="6">
        <f t="shared" ca="1" si="129"/>
        <v>0</v>
      </c>
      <c r="CB90" s="6" t="e">
        <f t="shared" ca="1" si="130"/>
        <v>#DIV/0!</v>
      </c>
      <c r="CC90" s="6" t="e">
        <f t="shared" ca="1" si="131"/>
        <v>#DIV/0!</v>
      </c>
      <c r="CD90" s="9">
        <f t="shared" si="132"/>
        <v>-30</v>
      </c>
      <c r="CE90" s="9">
        <f t="shared" si="133"/>
        <v>0</v>
      </c>
      <c r="CF90" s="6">
        <f t="shared" si="134"/>
        <v>3.1415926535897931</v>
      </c>
      <c r="CG90" s="6" t="e">
        <f t="shared" ca="1" si="135"/>
        <v>#DIV/0!</v>
      </c>
      <c r="CH90" s="6"/>
      <c r="CI90" s="6"/>
      <c r="CJ90" s="1"/>
      <c r="CK90" s="6"/>
    </row>
    <row r="91" spans="1:89" x14ac:dyDescent="0.25">
      <c r="A91" s="6">
        <f t="shared" si="136"/>
        <v>6</v>
      </c>
      <c r="B91" s="1">
        <f t="shared" si="137"/>
        <v>-12</v>
      </c>
      <c r="C91" s="1">
        <f t="shared" ref="C91:C98" si="138">((A90*B91)-(A91*B90))*0.5</f>
        <v>72</v>
      </c>
      <c r="D91" s="6">
        <f t="shared" ref="D91:D98" si="139">(A91+A90)*((A90*B91)-(A91*B90))*(1/6)</f>
        <v>0</v>
      </c>
      <c r="E91" s="6">
        <f t="shared" ref="E91:E98" si="140">(B91+B90)*((A90*B91)-(A91*B90))*(1/6)</f>
        <v>-576</v>
      </c>
      <c r="BC91"/>
      <c r="BD91"/>
      <c r="BF91" s="6" t="e">
        <f t="shared" si="108"/>
        <v>#N/A</v>
      </c>
      <c r="BG91" s="6" t="e">
        <f t="shared" si="109"/>
        <v>#N/A</v>
      </c>
      <c r="BH91" s="6" t="e">
        <f t="shared" si="113"/>
        <v>#N/A</v>
      </c>
      <c r="BI91" s="6" t="e">
        <f t="shared" si="114"/>
        <v>#N/A</v>
      </c>
      <c r="BV91" s="36"/>
      <c r="BW91" s="6" t="e">
        <f t="shared" si="125"/>
        <v>#N/A</v>
      </c>
      <c r="BX91" s="9">
        <f t="shared" ca="1" si="126"/>
        <v>-65.220682514826848</v>
      </c>
      <c r="BY91" s="9">
        <f t="shared" ca="1" si="127"/>
        <v>21.430285361287321</v>
      </c>
      <c r="BZ91" s="9">
        <f t="shared" ca="1" si="128"/>
        <v>0</v>
      </c>
      <c r="CA91" s="6">
        <f t="shared" ca="1" si="129"/>
        <v>0</v>
      </c>
      <c r="CB91" s="6" t="e">
        <f t="shared" ca="1" si="130"/>
        <v>#DIV/0!</v>
      </c>
      <c r="CC91" s="6" t="e">
        <f t="shared" ca="1" si="131"/>
        <v>#DIV/0!</v>
      </c>
      <c r="CD91" s="9">
        <f t="shared" si="132"/>
        <v>-30</v>
      </c>
      <c r="CE91" s="9">
        <f t="shared" si="133"/>
        <v>0</v>
      </c>
      <c r="CF91" s="6">
        <f t="shared" si="134"/>
        <v>3.1415926535897931</v>
      </c>
      <c r="CG91" s="6" t="e">
        <f t="shared" ca="1" si="135"/>
        <v>#DIV/0!</v>
      </c>
      <c r="CH91" s="6"/>
      <c r="CI91" s="6"/>
      <c r="CJ91" s="1"/>
      <c r="CK91" s="6"/>
    </row>
    <row r="92" spans="1:89" x14ac:dyDescent="0.25">
      <c r="A92" s="6">
        <f t="shared" si="136"/>
        <v>6</v>
      </c>
      <c r="B92" s="1">
        <f t="shared" si="137"/>
        <v>6</v>
      </c>
      <c r="C92" s="1">
        <f t="shared" si="138"/>
        <v>54</v>
      </c>
      <c r="D92" s="6">
        <f t="shared" si="139"/>
        <v>216</v>
      </c>
      <c r="E92" s="6">
        <f t="shared" si="140"/>
        <v>-108</v>
      </c>
      <c r="Q92" t="s">
        <v>253</v>
      </c>
      <c r="R92" t="s">
        <v>254</v>
      </c>
      <c r="BC92"/>
      <c r="BD92"/>
      <c r="BF92" s="6" t="e">
        <f t="shared" si="108"/>
        <v>#N/A</v>
      </c>
      <c r="BG92" s="6" t="e">
        <f t="shared" si="109"/>
        <v>#N/A</v>
      </c>
      <c r="BH92" s="6" t="e">
        <f t="shared" si="113"/>
        <v>#N/A</v>
      </c>
      <c r="BI92" s="6" t="e">
        <f t="shared" si="114"/>
        <v>#N/A</v>
      </c>
      <c r="BV92" s="36"/>
      <c r="BW92" s="6" t="e">
        <f t="shared" si="125"/>
        <v>#N/A</v>
      </c>
      <c r="BX92" s="9">
        <f t="shared" ca="1" si="126"/>
        <v>-65.220682514826848</v>
      </c>
      <c r="BY92" s="9">
        <f t="shared" ca="1" si="127"/>
        <v>21.430285361287321</v>
      </c>
      <c r="BZ92" s="9">
        <f t="shared" ca="1" si="128"/>
        <v>0</v>
      </c>
      <c r="CA92" s="6">
        <f t="shared" ca="1" si="129"/>
        <v>0</v>
      </c>
      <c r="CB92" s="6" t="e">
        <f t="shared" ca="1" si="130"/>
        <v>#DIV/0!</v>
      </c>
      <c r="CC92" s="6" t="e">
        <f t="shared" ca="1" si="131"/>
        <v>#DIV/0!</v>
      </c>
      <c r="CD92" s="9">
        <f t="shared" si="132"/>
        <v>-30</v>
      </c>
      <c r="CE92" s="9">
        <f t="shared" si="133"/>
        <v>0</v>
      </c>
      <c r="CF92" s="6">
        <f t="shared" si="134"/>
        <v>3.1415926535897931</v>
      </c>
      <c r="CG92" s="6" t="e">
        <f t="shared" ca="1" si="135"/>
        <v>#DIV/0!</v>
      </c>
      <c r="CH92" s="6"/>
      <c r="CI92" s="6"/>
      <c r="CJ92" s="1"/>
      <c r="CK92" s="6"/>
    </row>
    <row r="93" spans="1:89" x14ac:dyDescent="0.25">
      <c r="A93" s="6">
        <f t="shared" si="136"/>
        <v>18</v>
      </c>
      <c r="B93" s="1">
        <f t="shared" si="137"/>
        <v>6</v>
      </c>
      <c r="C93" s="1">
        <f t="shared" si="138"/>
        <v>-36</v>
      </c>
      <c r="D93" s="6">
        <f t="shared" si="139"/>
        <v>-288</v>
      </c>
      <c r="E93" s="6">
        <f t="shared" si="140"/>
        <v>-144</v>
      </c>
      <c r="Q93">
        <f>R88-Q88</f>
        <v>6.4947947618834814</v>
      </c>
      <c r="R93">
        <f ca="1">S88-Q88</f>
        <v>10.5</v>
      </c>
      <c r="BC93"/>
      <c r="BD93"/>
      <c r="BF93" s="6" t="e">
        <f t="shared" si="108"/>
        <v>#N/A</v>
      </c>
      <c r="BG93" s="6" t="e">
        <f t="shared" si="109"/>
        <v>#N/A</v>
      </c>
      <c r="BH93" s="6" t="e">
        <f t="shared" si="113"/>
        <v>#N/A</v>
      </c>
      <c r="BI93" s="6" t="e">
        <f t="shared" si="114"/>
        <v>#N/A</v>
      </c>
      <c r="BV93" s="36"/>
      <c r="BW93" s="6" t="e">
        <f t="shared" si="125"/>
        <v>#N/A</v>
      </c>
      <c r="BX93" s="9">
        <f t="shared" ca="1" si="126"/>
        <v>-65.220682514826848</v>
      </c>
      <c r="BY93" s="9">
        <f t="shared" ca="1" si="127"/>
        <v>21.430285361287321</v>
      </c>
      <c r="BZ93" s="9">
        <f t="shared" ca="1" si="128"/>
        <v>0</v>
      </c>
      <c r="CA93" s="6">
        <f t="shared" ca="1" si="129"/>
        <v>0</v>
      </c>
      <c r="CB93" s="6" t="e">
        <f t="shared" ca="1" si="130"/>
        <v>#DIV/0!</v>
      </c>
      <c r="CC93" s="6" t="e">
        <f t="shared" ca="1" si="131"/>
        <v>#DIV/0!</v>
      </c>
      <c r="CD93" s="9">
        <f t="shared" si="132"/>
        <v>-30</v>
      </c>
      <c r="CE93" s="9">
        <f t="shared" si="133"/>
        <v>0</v>
      </c>
      <c r="CF93" s="6">
        <f t="shared" si="134"/>
        <v>3.1415926535897931</v>
      </c>
      <c r="CG93" s="6" t="e">
        <f t="shared" ca="1" si="135"/>
        <v>#DIV/0!</v>
      </c>
      <c r="CH93" s="6"/>
      <c r="CI93" s="6"/>
      <c r="CJ93" s="1"/>
      <c r="CK93" s="6"/>
    </row>
    <row r="94" spans="1:89" x14ac:dyDescent="0.25">
      <c r="A94" s="6">
        <f t="shared" si="136"/>
        <v>18</v>
      </c>
      <c r="B94" s="1">
        <f t="shared" si="137"/>
        <v>12</v>
      </c>
      <c r="C94" s="1">
        <f t="shared" si="138"/>
        <v>54</v>
      </c>
      <c r="D94" s="6">
        <f t="shared" si="139"/>
        <v>648</v>
      </c>
      <c r="E94" s="6">
        <f t="shared" si="140"/>
        <v>324</v>
      </c>
      <c r="Q94">
        <f>R89-Q89</f>
        <v>12.071959319150954</v>
      </c>
      <c r="R94">
        <f ca="1">S89-Q89</f>
        <v>1.5</v>
      </c>
      <c r="BC94"/>
      <c r="BD94"/>
      <c r="BF94" s="6" t="e">
        <f t="shared" si="108"/>
        <v>#N/A</v>
      </c>
      <c r="BG94" s="6" t="e">
        <f t="shared" si="109"/>
        <v>#N/A</v>
      </c>
      <c r="BH94" s="6" t="e">
        <f t="shared" si="113"/>
        <v>#N/A</v>
      </c>
      <c r="BI94" s="6" t="e">
        <f t="shared" si="114"/>
        <v>#N/A</v>
      </c>
      <c r="BV94" s="36"/>
      <c r="BW94" s="6" t="e">
        <f t="shared" si="125"/>
        <v>#N/A</v>
      </c>
      <c r="BX94" s="9">
        <f t="shared" ca="1" si="126"/>
        <v>-65.220682514826848</v>
      </c>
      <c r="BY94" s="9">
        <f t="shared" ca="1" si="127"/>
        <v>21.430285361287321</v>
      </c>
      <c r="BZ94" s="9">
        <f t="shared" ca="1" si="128"/>
        <v>0</v>
      </c>
      <c r="CA94" s="6">
        <f t="shared" ca="1" si="129"/>
        <v>0</v>
      </c>
      <c r="CB94" s="6" t="e">
        <f t="shared" ca="1" si="130"/>
        <v>#DIV/0!</v>
      </c>
      <c r="CC94" s="6" t="e">
        <f t="shared" ca="1" si="131"/>
        <v>#DIV/0!</v>
      </c>
      <c r="CD94" s="9">
        <f t="shared" si="132"/>
        <v>-30</v>
      </c>
      <c r="CE94" s="9">
        <f t="shared" si="133"/>
        <v>0</v>
      </c>
      <c r="CF94" s="6">
        <f t="shared" si="134"/>
        <v>3.1415926535897931</v>
      </c>
      <c r="CG94" s="6" t="e">
        <f t="shared" ca="1" si="135"/>
        <v>#DIV/0!</v>
      </c>
      <c r="CH94" s="6"/>
      <c r="CI94" s="6"/>
      <c r="CJ94" s="1"/>
      <c r="CK94" s="6"/>
    </row>
    <row r="95" spans="1:89" x14ac:dyDescent="0.25">
      <c r="A95" s="6">
        <f t="shared" si="136"/>
        <v>-6</v>
      </c>
      <c r="B95" s="1">
        <f t="shared" si="137"/>
        <v>12</v>
      </c>
      <c r="C95" s="1">
        <f t="shared" si="138"/>
        <v>144</v>
      </c>
      <c r="D95" s="6">
        <f t="shared" si="139"/>
        <v>576</v>
      </c>
      <c r="E95" s="6">
        <f t="shared" si="140"/>
        <v>1152</v>
      </c>
      <c r="Q95">
        <f>R90-Q90</f>
        <v>9.5646989679437754E-3</v>
      </c>
      <c r="R95">
        <f>S90-Q90</f>
        <v>-2.3245102046372951E-5</v>
      </c>
      <c r="BC95"/>
      <c r="BD95"/>
      <c r="BF95" s="6" t="e">
        <f t="shared" si="108"/>
        <v>#N/A</v>
      </c>
      <c r="BG95" s="6" t="e">
        <f t="shared" si="109"/>
        <v>#N/A</v>
      </c>
      <c r="BH95" s="6" t="e">
        <f t="shared" si="113"/>
        <v>#N/A</v>
      </c>
      <c r="BI95" s="6" t="e">
        <f t="shared" si="114"/>
        <v>#N/A</v>
      </c>
      <c r="BV95" s="36"/>
      <c r="BW95" s="6" t="e">
        <f t="shared" si="125"/>
        <v>#N/A</v>
      </c>
      <c r="BX95" s="9">
        <f t="shared" ca="1" si="126"/>
        <v>-65.220682514826848</v>
      </c>
      <c r="BY95" s="9">
        <f t="shared" ca="1" si="127"/>
        <v>21.430285361287321</v>
      </c>
      <c r="BZ95" s="9">
        <f t="shared" ca="1" si="128"/>
        <v>0</v>
      </c>
      <c r="CA95" s="6">
        <f t="shared" ca="1" si="129"/>
        <v>0</v>
      </c>
      <c r="CB95" s="6" t="e">
        <f t="shared" ca="1" si="130"/>
        <v>#DIV/0!</v>
      </c>
      <c r="CC95" s="6" t="e">
        <f t="shared" ca="1" si="131"/>
        <v>#DIV/0!</v>
      </c>
      <c r="CD95" s="9">
        <f t="shared" si="132"/>
        <v>-30</v>
      </c>
      <c r="CE95" s="9">
        <f t="shared" si="133"/>
        <v>0</v>
      </c>
      <c r="CF95" s="6">
        <f t="shared" si="134"/>
        <v>3.1415926535897931</v>
      </c>
      <c r="CG95" s="6" t="e">
        <f t="shared" ca="1" si="135"/>
        <v>#DIV/0!</v>
      </c>
      <c r="CH95" s="6"/>
      <c r="CI95" s="6"/>
      <c r="CJ95" s="1"/>
      <c r="CK95" s="6"/>
    </row>
    <row r="96" spans="1:89" x14ac:dyDescent="0.25">
      <c r="A96" s="6">
        <f t="shared" si="136"/>
        <v>-6</v>
      </c>
      <c r="B96" s="1">
        <f t="shared" si="137"/>
        <v>6</v>
      </c>
      <c r="C96" s="1">
        <f t="shared" si="138"/>
        <v>18</v>
      </c>
      <c r="D96" s="6">
        <f t="shared" si="139"/>
        <v>-72</v>
      </c>
      <c r="E96" s="6">
        <f t="shared" si="140"/>
        <v>108</v>
      </c>
      <c r="Q96" s="1"/>
      <c r="R96" s="1"/>
      <c r="S96" s="1"/>
      <c r="T96" s="1"/>
      <c r="U96" s="1"/>
      <c r="BC96"/>
      <c r="BD96"/>
      <c r="BF96" s="6" t="e">
        <f t="shared" si="108"/>
        <v>#N/A</v>
      </c>
      <c r="BG96" s="6" t="e">
        <f t="shared" si="109"/>
        <v>#N/A</v>
      </c>
      <c r="BH96" s="6" t="e">
        <f t="shared" si="113"/>
        <v>#N/A</v>
      </c>
      <c r="BI96" s="6" t="e">
        <f t="shared" si="114"/>
        <v>#N/A</v>
      </c>
      <c r="BV96" s="36"/>
      <c r="BW96" s="6" t="e">
        <f t="shared" si="125"/>
        <v>#N/A</v>
      </c>
      <c r="BX96" s="9">
        <f t="shared" ca="1" si="126"/>
        <v>-65.220682514826848</v>
      </c>
      <c r="BY96" s="9">
        <f t="shared" ca="1" si="127"/>
        <v>21.430285361287321</v>
      </c>
      <c r="BZ96" s="9">
        <f t="shared" ca="1" si="128"/>
        <v>0</v>
      </c>
      <c r="CA96" s="6">
        <f t="shared" ca="1" si="129"/>
        <v>0</v>
      </c>
      <c r="CB96" s="6" t="e">
        <f t="shared" ca="1" si="130"/>
        <v>#DIV/0!</v>
      </c>
      <c r="CC96" s="6" t="e">
        <f t="shared" ca="1" si="131"/>
        <v>#DIV/0!</v>
      </c>
      <c r="CD96" s="9">
        <f t="shared" si="132"/>
        <v>-30</v>
      </c>
      <c r="CE96" s="9">
        <f t="shared" si="133"/>
        <v>0</v>
      </c>
      <c r="CF96" s="6">
        <f t="shared" si="134"/>
        <v>3.1415926535897931</v>
      </c>
      <c r="CG96" s="6" t="e">
        <f t="shared" ca="1" si="135"/>
        <v>#DIV/0!</v>
      </c>
      <c r="CH96" s="6"/>
      <c r="CI96" s="6"/>
      <c r="CJ96" s="1"/>
      <c r="CK96" s="6"/>
    </row>
    <row r="97" spans="1:89" x14ac:dyDescent="0.25">
      <c r="A97" s="6">
        <f t="shared" si="136"/>
        <v>-6</v>
      </c>
      <c r="B97" s="1">
        <f t="shared" si="137"/>
        <v>6</v>
      </c>
      <c r="C97" s="1">
        <f t="shared" si="138"/>
        <v>0</v>
      </c>
      <c r="D97" s="6">
        <f t="shared" si="139"/>
        <v>0</v>
      </c>
      <c r="E97" s="6">
        <f t="shared" si="140"/>
        <v>0</v>
      </c>
      <c r="P97" t="s">
        <v>113</v>
      </c>
      <c r="Q97">
        <f ca="1">(Q94*R95)-(Q95*R94)</f>
        <v>-1.4627662378188988E-2</v>
      </c>
      <c r="BC97"/>
      <c r="BD97"/>
      <c r="BF97" s="6" t="e">
        <f t="shared" si="108"/>
        <v>#N/A</v>
      </c>
      <c r="BG97" s="6" t="e">
        <f t="shared" si="109"/>
        <v>#N/A</v>
      </c>
      <c r="BH97" s="6" t="e">
        <f t="shared" si="113"/>
        <v>#N/A</v>
      </c>
      <c r="BI97" s="6" t="e">
        <f t="shared" si="114"/>
        <v>#N/A</v>
      </c>
      <c r="BV97" s="36"/>
      <c r="BW97" s="6" t="e">
        <f t="shared" si="125"/>
        <v>#N/A</v>
      </c>
      <c r="BX97" s="9">
        <f t="shared" ca="1" si="126"/>
        <v>-65.220682514826848</v>
      </c>
      <c r="BY97" s="9">
        <f t="shared" ca="1" si="127"/>
        <v>21.430285361287321</v>
      </c>
      <c r="BZ97" s="9">
        <f t="shared" ca="1" si="128"/>
        <v>0</v>
      </c>
      <c r="CA97" s="6">
        <f t="shared" ca="1" si="129"/>
        <v>0</v>
      </c>
      <c r="CB97" s="6" t="e">
        <f t="shared" ca="1" si="130"/>
        <v>#DIV/0!</v>
      </c>
      <c r="CC97" s="6" t="e">
        <f t="shared" ca="1" si="131"/>
        <v>#DIV/0!</v>
      </c>
      <c r="CD97" s="9">
        <f t="shared" si="132"/>
        <v>-30</v>
      </c>
      <c r="CE97" s="9">
        <f t="shared" si="133"/>
        <v>0</v>
      </c>
      <c r="CF97" s="6">
        <f t="shared" si="134"/>
        <v>3.1415926535897931</v>
      </c>
      <c r="CG97" s="6" t="e">
        <f t="shared" ca="1" si="135"/>
        <v>#DIV/0!</v>
      </c>
      <c r="CH97" s="6"/>
      <c r="CI97" s="6"/>
      <c r="CJ97" s="1"/>
      <c r="CK97" s="6"/>
    </row>
    <row r="98" spans="1:89" x14ac:dyDescent="0.25">
      <c r="A98" s="6">
        <f t="shared" si="136"/>
        <v>-6</v>
      </c>
      <c r="B98" s="1">
        <f t="shared" si="137"/>
        <v>-12</v>
      </c>
      <c r="C98" s="1">
        <f t="shared" si="138"/>
        <v>54</v>
      </c>
      <c r="D98" s="6">
        <f t="shared" si="139"/>
        <v>-216</v>
      </c>
      <c r="E98" s="6">
        <f t="shared" si="140"/>
        <v>-108</v>
      </c>
      <c r="P98" t="s">
        <v>33</v>
      </c>
      <c r="Q98">
        <f ca="1">(Q95*R93)-(Q93*R95)</f>
        <v>0.10058031133041986</v>
      </c>
      <c r="BC98"/>
      <c r="BD98"/>
      <c r="BF98" s="6" t="e">
        <f t="shared" ref="BF98:BF129" si="141">IF(BC98&lt;&gt;"",IF(AND(BD98=0,BE98=0),0,MOD(ATAN2(BD98,BE98),2*PI())),NA())</f>
        <v>#N/A</v>
      </c>
      <c r="BG98" s="6" t="e">
        <f t="shared" ref="BG98:BG129" si="142">ABS(BC98-BF98)</f>
        <v>#N/A</v>
      </c>
      <c r="BH98" s="6" t="e">
        <f t="shared" si="113"/>
        <v>#N/A</v>
      </c>
      <c r="BI98" s="6" t="e">
        <f t="shared" si="114"/>
        <v>#N/A</v>
      </c>
      <c r="BV98" s="36"/>
      <c r="BW98" s="6" t="e">
        <f t="shared" si="125"/>
        <v>#N/A</v>
      </c>
      <c r="BX98" s="9">
        <f t="shared" ca="1" si="126"/>
        <v>-65.220682514826848</v>
      </c>
      <c r="BY98" s="9">
        <f t="shared" ca="1" si="127"/>
        <v>21.430285361287321</v>
      </c>
      <c r="BZ98" s="9">
        <f t="shared" ca="1" si="128"/>
        <v>0</v>
      </c>
      <c r="CA98" s="6">
        <f t="shared" ca="1" si="129"/>
        <v>0</v>
      </c>
      <c r="CB98" s="6" t="e">
        <f t="shared" ca="1" si="130"/>
        <v>#DIV/0!</v>
      </c>
      <c r="CC98" s="6" t="e">
        <f t="shared" ca="1" si="131"/>
        <v>#DIV/0!</v>
      </c>
      <c r="CD98" s="9">
        <f t="shared" si="132"/>
        <v>-30</v>
      </c>
      <c r="CE98" s="9">
        <f t="shared" si="133"/>
        <v>0</v>
      </c>
      <c r="CF98" s="6">
        <f t="shared" si="134"/>
        <v>3.1415926535897931</v>
      </c>
      <c r="CG98" s="6" t="e">
        <f t="shared" ca="1" si="135"/>
        <v>#DIV/0!</v>
      </c>
      <c r="CH98" s="6"/>
      <c r="CI98" s="6"/>
      <c r="CJ98" s="1"/>
      <c r="CK98" s="6"/>
    </row>
    <row r="99" spans="1:89" x14ac:dyDescent="0.25">
      <c r="C99" s="1">
        <f>SUM(C91:C98)</f>
        <v>360</v>
      </c>
      <c r="D99" s="6">
        <f>SUM(D91:D98)/C99</f>
        <v>2.4</v>
      </c>
      <c r="E99" s="6">
        <f>SUM(E91:E98)/C99</f>
        <v>1.8</v>
      </c>
      <c r="P99" t="s">
        <v>114</v>
      </c>
      <c r="Q99">
        <f ca="1">(Q93*R94)-(Q94*R93)</f>
        <v>-117.0133807082598</v>
      </c>
      <c r="BC99"/>
      <c r="BD99"/>
      <c r="BF99" s="6" t="e">
        <f t="shared" si="141"/>
        <v>#N/A</v>
      </c>
      <c r="BG99" s="6" t="e">
        <f t="shared" si="142"/>
        <v>#N/A</v>
      </c>
      <c r="BH99" s="6" t="e">
        <f t="shared" si="113"/>
        <v>#N/A</v>
      </c>
      <c r="BI99" s="6" t="e">
        <f t="shared" si="114"/>
        <v>#N/A</v>
      </c>
      <c r="BV99" s="36"/>
      <c r="BW99" s="6" t="e">
        <f t="shared" si="125"/>
        <v>#N/A</v>
      </c>
      <c r="BX99" s="9">
        <f t="shared" ca="1" si="126"/>
        <v>-65.220682514826848</v>
      </c>
      <c r="BY99" s="9">
        <f t="shared" ca="1" si="127"/>
        <v>21.430285361287321</v>
      </c>
      <c r="BZ99" s="9">
        <f t="shared" ca="1" si="128"/>
        <v>0</v>
      </c>
      <c r="CA99" s="6">
        <f t="shared" ca="1" si="129"/>
        <v>0</v>
      </c>
      <c r="CB99" s="6" t="e">
        <f t="shared" ca="1" si="130"/>
        <v>#DIV/0!</v>
      </c>
      <c r="CC99" s="6" t="e">
        <f t="shared" ca="1" si="131"/>
        <v>#DIV/0!</v>
      </c>
      <c r="CD99" s="9">
        <f t="shared" si="132"/>
        <v>-30</v>
      </c>
      <c r="CE99" s="9">
        <f t="shared" si="133"/>
        <v>0</v>
      </c>
      <c r="CF99" s="6">
        <f t="shared" si="134"/>
        <v>3.1415926535897931</v>
      </c>
      <c r="CG99" s="6" t="e">
        <f t="shared" ca="1" si="135"/>
        <v>#DIV/0!</v>
      </c>
      <c r="CH99" s="6"/>
      <c r="CI99" s="6"/>
      <c r="CJ99" s="1"/>
      <c r="CK99" s="6"/>
    </row>
    <row r="100" spans="1:89" x14ac:dyDescent="0.25">
      <c r="A100" s="8" t="s">
        <v>123</v>
      </c>
      <c r="B100" s="1">
        <f>B31*C99*0.65</f>
        <v>994.5</v>
      </c>
      <c r="C100" t="s">
        <v>68</v>
      </c>
      <c r="P100" t="s">
        <v>255</v>
      </c>
      <c r="Q100">
        <f ca="1">(Q97*Q88)+(Q98*Q89)+(Q99*Q90)</f>
        <v>0.94368956810939375</v>
      </c>
      <c r="BC100"/>
      <c r="BD100"/>
      <c r="BF100" s="6" t="e">
        <f t="shared" si="141"/>
        <v>#N/A</v>
      </c>
      <c r="BG100" s="6" t="e">
        <f t="shared" si="142"/>
        <v>#N/A</v>
      </c>
      <c r="BH100" s="6" t="e">
        <f t="shared" si="113"/>
        <v>#N/A</v>
      </c>
      <c r="BI100" s="6" t="e">
        <f t="shared" si="114"/>
        <v>#N/A</v>
      </c>
      <c r="BV100" s="36"/>
      <c r="BW100" s="6" t="e">
        <f t="shared" si="125"/>
        <v>#N/A</v>
      </c>
      <c r="BX100" s="9">
        <f t="shared" ca="1" si="126"/>
        <v>-65.220682514826848</v>
      </c>
      <c r="BY100" s="9">
        <f t="shared" ca="1" si="127"/>
        <v>21.430285361287321</v>
      </c>
      <c r="BZ100" s="9">
        <f t="shared" ca="1" si="128"/>
        <v>0</v>
      </c>
      <c r="CA100" s="6">
        <f t="shared" ca="1" si="129"/>
        <v>0</v>
      </c>
      <c r="CB100" s="6" t="e">
        <f t="shared" ca="1" si="130"/>
        <v>#DIV/0!</v>
      </c>
      <c r="CC100" s="6" t="e">
        <f t="shared" ca="1" si="131"/>
        <v>#DIV/0!</v>
      </c>
      <c r="CD100" s="9">
        <f t="shared" si="132"/>
        <v>-30</v>
      </c>
      <c r="CE100" s="9">
        <f t="shared" si="133"/>
        <v>0</v>
      </c>
      <c r="CF100" s="6">
        <f t="shared" si="134"/>
        <v>3.1415926535897931</v>
      </c>
      <c r="CG100" s="6" t="e">
        <f t="shared" ca="1" si="135"/>
        <v>#DIV/0!</v>
      </c>
      <c r="CH100" s="6"/>
      <c r="CI100" s="6"/>
      <c r="CJ100" s="1"/>
      <c r="CK100" s="6"/>
    </row>
    <row r="101" spans="1:89" x14ac:dyDescent="0.25">
      <c r="A101" s="8" t="s">
        <v>77</v>
      </c>
      <c r="B101" s="1">
        <f>B100*E99</f>
        <v>1790.1000000000001</v>
      </c>
      <c r="C101" t="s">
        <v>69</v>
      </c>
      <c r="BC101"/>
      <c r="BD101"/>
      <c r="BF101" s="6" t="e">
        <f t="shared" si="141"/>
        <v>#N/A</v>
      </c>
      <c r="BG101" s="6" t="e">
        <f t="shared" si="142"/>
        <v>#N/A</v>
      </c>
      <c r="BH101" s="6" t="e">
        <f t="shared" si="113"/>
        <v>#N/A</v>
      </c>
      <c r="BI101" s="6" t="e">
        <f t="shared" si="114"/>
        <v>#N/A</v>
      </c>
      <c r="BV101" s="36"/>
      <c r="BW101" s="6" t="e">
        <f t="shared" si="125"/>
        <v>#N/A</v>
      </c>
      <c r="BX101" s="9">
        <f t="shared" ca="1" si="126"/>
        <v>-65.220682514826848</v>
      </c>
      <c r="BY101" s="9">
        <f t="shared" ca="1" si="127"/>
        <v>21.430285361287321</v>
      </c>
      <c r="BZ101" s="9">
        <f t="shared" ca="1" si="128"/>
        <v>0</v>
      </c>
      <c r="CA101" s="6">
        <f t="shared" ca="1" si="129"/>
        <v>0</v>
      </c>
      <c r="CB101" s="6" t="e">
        <f t="shared" ca="1" si="130"/>
        <v>#DIV/0!</v>
      </c>
      <c r="CC101" s="6" t="e">
        <f t="shared" ca="1" si="131"/>
        <v>#DIV/0!</v>
      </c>
      <c r="CD101" s="9">
        <f t="shared" si="132"/>
        <v>-30</v>
      </c>
      <c r="CE101" s="9">
        <f t="shared" si="133"/>
        <v>0</v>
      </c>
      <c r="CF101" s="6">
        <f t="shared" si="134"/>
        <v>3.1415926535897931</v>
      </c>
      <c r="CG101" s="6" t="e">
        <f t="shared" ca="1" si="135"/>
        <v>#DIV/0!</v>
      </c>
      <c r="CH101" s="6"/>
      <c r="CI101" s="6"/>
      <c r="CJ101" s="1"/>
      <c r="CK101" s="6"/>
    </row>
    <row r="102" spans="1:89" x14ac:dyDescent="0.25">
      <c r="A102" s="8" t="s">
        <v>124</v>
      </c>
      <c r="B102" s="1">
        <f>B100*D99*-1</f>
        <v>-2386.7999999999997</v>
      </c>
      <c r="C102" t="s">
        <v>69</v>
      </c>
      <c r="J102" t="s">
        <v>126</v>
      </c>
      <c r="P102" t="s">
        <v>256</v>
      </c>
      <c r="Q102">
        <f ca="1">(-1*Q97)/Q99</f>
        <v>-1.2500845877326611E-4</v>
      </c>
      <c r="R102" t="s">
        <v>257</v>
      </c>
      <c r="S102">
        <f ca="1">(-1*Q98)/Q99</f>
        <v>8.5956247671528088E-4</v>
      </c>
      <c r="T102" t="s">
        <v>9</v>
      </c>
      <c r="U102">
        <f ca="1">Q100/Q99</f>
        <v>-8.0648004732229751E-3</v>
      </c>
      <c r="W102" t="s">
        <v>259</v>
      </c>
      <c r="X102">
        <f ca="1">SQRT(POWER(Q102,2)+POWER(S102,2))</f>
        <v>8.6860506914349469E-4</v>
      </c>
      <c r="Z102" s="5">
        <f>A37</f>
        <v>-6</v>
      </c>
      <c r="AA102" s="5">
        <f>B37</f>
        <v>-12</v>
      </c>
      <c r="AB102">
        <f ca="1">(($Q$102*(Z102-$X$104))+($S$102*(AA102-$X$105)))/$X$102</f>
        <v>-20.296334971370435</v>
      </c>
      <c r="BC102"/>
      <c r="BD102"/>
      <c r="BF102" s="6" t="e">
        <f t="shared" si="141"/>
        <v>#N/A</v>
      </c>
      <c r="BG102" s="6" t="e">
        <f t="shared" si="142"/>
        <v>#N/A</v>
      </c>
      <c r="BH102" s="6" t="e">
        <f t="shared" si="113"/>
        <v>#N/A</v>
      </c>
      <c r="BI102" s="6" t="e">
        <f t="shared" si="114"/>
        <v>#N/A</v>
      </c>
      <c r="BV102" s="36"/>
      <c r="BW102" s="6" t="e">
        <f t="shared" si="125"/>
        <v>#N/A</v>
      </c>
      <c r="BX102" s="9">
        <f t="shared" ca="1" si="126"/>
        <v>-65.220682514826848</v>
      </c>
      <c r="BY102" s="9">
        <f t="shared" ca="1" si="127"/>
        <v>21.430285361287321</v>
      </c>
      <c r="BZ102" s="9">
        <f t="shared" ca="1" si="128"/>
        <v>0</v>
      </c>
      <c r="CA102" s="6">
        <f t="shared" ca="1" si="129"/>
        <v>0</v>
      </c>
      <c r="CB102" s="6" t="e">
        <f t="shared" ca="1" si="130"/>
        <v>#DIV/0!</v>
      </c>
      <c r="CC102" s="6" t="e">
        <f t="shared" ca="1" si="131"/>
        <v>#DIV/0!</v>
      </c>
      <c r="CD102" s="9">
        <f t="shared" si="132"/>
        <v>-30</v>
      </c>
      <c r="CE102" s="9">
        <f t="shared" si="133"/>
        <v>0</v>
      </c>
      <c r="CF102" s="6">
        <f t="shared" si="134"/>
        <v>3.1415926535897931</v>
      </c>
      <c r="CG102" s="6" t="e">
        <f t="shared" ca="1" si="135"/>
        <v>#DIV/0!</v>
      </c>
      <c r="CH102" s="6"/>
      <c r="CI102" s="6"/>
      <c r="CJ102" s="1"/>
      <c r="CK102" s="6"/>
    </row>
    <row r="103" spans="1:89" x14ac:dyDescent="0.25">
      <c r="F103" s="1" t="s">
        <v>125</v>
      </c>
      <c r="G103" s="1" t="s">
        <v>99</v>
      </c>
      <c r="H103" s="1" t="s">
        <v>100</v>
      </c>
      <c r="J103" s="1" t="s">
        <v>125</v>
      </c>
      <c r="K103" s="1" t="s">
        <v>99</v>
      </c>
      <c r="L103" s="1" t="s">
        <v>100</v>
      </c>
      <c r="Z103" s="5">
        <f t="shared" ref="Z103:AA110" si="143">A38</f>
        <v>6</v>
      </c>
      <c r="AA103" s="5">
        <f t="shared" si="143"/>
        <v>-12</v>
      </c>
      <c r="AB103">
        <f t="shared" ref="AB103:AB110" ca="1" si="144">(($Q$102*(Z103-$X$104))+($S$102*(AA103-$X$105)))/$X$102</f>
        <v>-22.023358630993325</v>
      </c>
      <c r="BC103"/>
      <c r="BD103"/>
      <c r="BF103" s="6" t="e">
        <f t="shared" si="141"/>
        <v>#N/A</v>
      </c>
      <c r="BG103" s="6" t="e">
        <f t="shared" si="142"/>
        <v>#N/A</v>
      </c>
      <c r="BH103" s="6" t="e">
        <f t="shared" si="113"/>
        <v>#N/A</v>
      </c>
      <c r="BI103" s="6" t="e">
        <f t="shared" si="114"/>
        <v>#N/A</v>
      </c>
      <c r="BV103" s="36"/>
      <c r="BW103" s="6" t="e">
        <f t="shared" si="125"/>
        <v>#N/A</v>
      </c>
      <c r="BX103" s="9">
        <f t="shared" ca="1" si="126"/>
        <v>-65.220682514826848</v>
      </c>
      <c r="BY103" s="9">
        <f t="shared" ca="1" si="127"/>
        <v>21.430285361287321</v>
      </c>
      <c r="BZ103" s="9">
        <f t="shared" ca="1" si="128"/>
        <v>0</v>
      </c>
      <c r="CA103" s="6">
        <f t="shared" ca="1" si="129"/>
        <v>0</v>
      </c>
      <c r="CB103" s="6" t="e">
        <f t="shared" ca="1" si="130"/>
        <v>#DIV/0!</v>
      </c>
      <c r="CC103" s="6" t="e">
        <f t="shared" ca="1" si="131"/>
        <v>#DIV/0!</v>
      </c>
      <c r="CD103" s="9">
        <f t="shared" si="132"/>
        <v>-30</v>
      </c>
      <c r="CE103" s="9">
        <f t="shared" si="133"/>
        <v>0</v>
      </c>
      <c r="CF103" s="6">
        <f t="shared" si="134"/>
        <v>3.1415926535897931</v>
      </c>
      <c r="CG103" s="6" t="e">
        <f t="shared" ca="1" si="135"/>
        <v>#DIV/0!</v>
      </c>
      <c r="CH103" s="6"/>
      <c r="CI103" s="6"/>
      <c r="CJ103" s="1"/>
      <c r="CK103" s="6"/>
    </row>
    <row r="104" spans="1:89" x14ac:dyDescent="0.25">
      <c r="A104">
        <f t="shared" ref="A104:C113" si="145">A15</f>
        <v>1</v>
      </c>
      <c r="B104">
        <f t="shared" si="145"/>
        <v>7</v>
      </c>
      <c r="C104">
        <f t="shared" ca="1" si="145"/>
        <v>0.6</v>
      </c>
      <c r="D104" s="9">
        <f t="shared" ref="D104:D113" si="146">D15-$I$2</f>
        <v>0</v>
      </c>
      <c r="E104" s="5">
        <f t="shared" ref="E104:E113" si="147">E15-$I$3</f>
        <v>-10.5</v>
      </c>
      <c r="F104" s="5">
        <f t="shared" ref="F104:F113" ca="1" si="148">($B$12-$B$31)*C104*0.65</f>
        <v>21.7425</v>
      </c>
      <c r="G104">
        <f t="shared" ref="G104:G113" ca="1" si="149">E104*F104</f>
        <v>-228.29624999999999</v>
      </c>
      <c r="H104">
        <f t="shared" ref="H104:H113" ca="1" si="150">D104*F104*-1</f>
        <v>0</v>
      </c>
      <c r="J104">
        <f t="shared" ref="J104:J113" ca="1" si="151">-1*C104*$B$12*0.9</f>
        <v>-32.4</v>
      </c>
      <c r="K104">
        <f t="shared" ref="K104:K113" ca="1" si="152">E104*J104</f>
        <v>340.2</v>
      </c>
      <c r="L104">
        <f t="shared" ref="L104:L113" ca="1" si="153">D104*J104*-1</f>
        <v>0</v>
      </c>
      <c r="Q104">
        <f ca="1">-1*Q102*(1/S102)</f>
        <v>0.14543266156867568</v>
      </c>
      <c r="R104" t="s">
        <v>257</v>
      </c>
      <c r="S104">
        <f ca="1">-1*U102*(1/S102)</f>
        <v>9.3824482707082346</v>
      </c>
      <c r="T104" t="s">
        <v>258</v>
      </c>
      <c r="W104" t="s">
        <v>260</v>
      </c>
      <c r="X104">
        <f ca="1">IF(S102=0,(-1*U102)/Q102,2)</f>
        <v>2</v>
      </c>
      <c r="Z104" s="5">
        <f t="shared" si="143"/>
        <v>6</v>
      </c>
      <c r="AA104" s="5">
        <f t="shared" si="143"/>
        <v>6</v>
      </c>
      <c r="AB104">
        <f t="shared" ca="1" si="144"/>
        <v>-4.2107472031879958</v>
      </c>
      <c r="BC104"/>
      <c r="BD104"/>
      <c r="BF104" s="6" t="e">
        <f t="shared" si="141"/>
        <v>#N/A</v>
      </c>
      <c r="BG104" s="6" t="e">
        <f t="shared" si="142"/>
        <v>#N/A</v>
      </c>
      <c r="BH104" s="6" t="e">
        <f t="shared" si="113"/>
        <v>#N/A</v>
      </c>
      <c r="BI104" s="6" t="e">
        <f t="shared" si="114"/>
        <v>#N/A</v>
      </c>
      <c r="BV104" s="36"/>
      <c r="BW104" s="6" t="e">
        <f t="shared" si="125"/>
        <v>#N/A</v>
      </c>
      <c r="BX104" s="9">
        <f t="shared" ca="1" si="126"/>
        <v>-65.220682514826848</v>
      </c>
      <c r="BY104" s="9">
        <f t="shared" ca="1" si="127"/>
        <v>21.430285361287321</v>
      </c>
      <c r="BZ104" s="9">
        <f t="shared" ca="1" si="128"/>
        <v>0</v>
      </c>
      <c r="CA104" s="6">
        <f t="shared" ca="1" si="129"/>
        <v>0</v>
      </c>
      <c r="CB104" s="6" t="e">
        <f t="shared" ca="1" si="130"/>
        <v>#DIV/0!</v>
      </c>
      <c r="CC104" s="6" t="e">
        <f t="shared" ca="1" si="131"/>
        <v>#DIV/0!</v>
      </c>
      <c r="CD104" s="9">
        <f t="shared" si="132"/>
        <v>-30</v>
      </c>
      <c r="CE104" s="9">
        <f t="shared" si="133"/>
        <v>0</v>
      </c>
      <c r="CF104" s="6">
        <f t="shared" si="134"/>
        <v>3.1415926535897931</v>
      </c>
      <c r="CG104" s="6" t="e">
        <f t="shared" ca="1" si="135"/>
        <v>#DIV/0!</v>
      </c>
      <c r="CH104" s="6"/>
      <c r="CI104" s="6"/>
      <c r="CJ104" s="1"/>
      <c r="CK104" s="6"/>
    </row>
    <row r="105" spans="1:89" x14ac:dyDescent="0.25">
      <c r="A105">
        <f t="shared" si="145"/>
        <v>2</v>
      </c>
      <c r="B105">
        <f t="shared" si="145"/>
        <v>7</v>
      </c>
      <c r="C105">
        <f t="shared" ca="1" si="145"/>
        <v>0.6</v>
      </c>
      <c r="D105" s="9">
        <f t="shared" si="146"/>
        <v>-4.5</v>
      </c>
      <c r="E105" s="5">
        <f t="shared" si="147"/>
        <v>-10.5</v>
      </c>
      <c r="F105" s="5">
        <f t="shared" ca="1" si="148"/>
        <v>21.7425</v>
      </c>
      <c r="G105">
        <f t="shared" ca="1" si="149"/>
        <v>-228.29624999999999</v>
      </c>
      <c r="H105">
        <f t="shared" ca="1" si="150"/>
        <v>97.841250000000002</v>
      </c>
      <c r="J105">
        <f t="shared" ca="1" si="151"/>
        <v>-32.4</v>
      </c>
      <c r="K105">
        <f t="shared" ca="1" si="152"/>
        <v>340.2</v>
      </c>
      <c r="L105">
        <f t="shared" ca="1" si="153"/>
        <v>-145.79999999999998</v>
      </c>
      <c r="S105" s="6"/>
      <c r="W105" t="s">
        <v>261</v>
      </c>
      <c r="X105">
        <f ca="1">IF(S102=0,0,((Q102*X104)+U102)/(-1*S102))</f>
        <v>9.6733135938455863</v>
      </c>
      <c r="Z105" s="5">
        <f t="shared" si="143"/>
        <v>18</v>
      </c>
      <c r="AA105" s="5">
        <f t="shared" si="143"/>
        <v>6</v>
      </c>
      <c r="AB105">
        <f t="shared" ca="1" si="144"/>
        <v>-5.9377708628108881</v>
      </c>
      <c r="BC105"/>
      <c r="BD105"/>
      <c r="BF105" s="6" t="e">
        <f t="shared" si="141"/>
        <v>#N/A</v>
      </c>
      <c r="BG105" s="6" t="e">
        <f t="shared" si="142"/>
        <v>#N/A</v>
      </c>
      <c r="BH105" s="6" t="e">
        <f t="shared" si="113"/>
        <v>#N/A</v>
      </c>
      <c r="BI105" s="6" t="e">
        <f t="shared" si="114"/>
        <v>#N/A</v>
      </c>
      <c r="BV105" s="36"/>
      <c r="BW105" s="6" t="e">
        <f t="shared" si="125"/>
        <v>#N/A</v>
      </c>
      <c r="BX105" s="9">
        <f t="shared" ca="1" si="126"/>
        <v>-65.220682514826848</v>
      </c>
      <c r="BY105" s="9">
        <f t="shared" ca="1" si="127"/>
        <v>21.430285361287321</v>
      </c>
      <c r="BZ105" s="9">
        <f t="shared" ca="1" si="128"/>
        <v>0</v>
      </c>
      <c r="CA105" s="6">
        <f t="shared" ca="1" si="129"/>
        <v>0</v>
      </c>
      <c r="CB105" s="6" t="e">
        <f t="shared" ca="1" si="130"/>
        <v>#DIV/0!</v>
      </c>
      <c r="CC105" s="6" t="e">
        <f t="shared" ca="1" si="131"/>
        <v>#DIV/0!</v>
      </c>
      <c r="CD105" s="9">
        <f t="shared" si="132"/>
        <v>-30</v>
      </c>
      <c r="CE105" s="9">
        <f t="shared" si="133"/>
        <v>0</v>
      </c>
      <c r="CF105" s="6">
        <f t="shared" si="134"/>
        <v>3.1415926535897931</v>
      </c>
      <c r="CG105" s="6" t="e">
        <f t="shared" ca="1" si="135"/>
        <v>#DIV/0!</v>
      </c>
      <c r="CH105" s="6"/>
      <c r="CI105" s="6"/>
      <c r="CJ105" s="1"/>
      <c r="CK105" s="6"/>
    </row>
    <row r="106" spans="1:89" x14ac:dyDescent="0.25">
      <c r="A106">
        <f t="shared" si="145"/>
        <v>3</v>
      </c>
      <c r="B106">
        <f t="shared" si="145"/>
        <v>7</v>
      </c>
      <c r="C106">
        <f t="shared" ca="1" si="145"/>
        <v>0.6</v>
      </c>
      <c r="D106" s="9">
        <f t="shared" si="146"/>
        <v>4.5</v>
      </c>
      <c r="E106" s="5">
        <f t="shared" si="147"/>
        <v>-10.5</v>
      </c>
      <c r="F106" s="5">
        <f t="shared" ca="1" si="148"/>
        <v>21.7425</v>
      </c>
      <c r="G106">
        <f t="shared" ca="1" si="149"/>
        <v>-228.29624999999999</v>
      </c>
      <c r="H106">
        <f t="shared" ca="1" si="150"/>
        <v>-97.841250000000002</v>
      </c>
      <c r="J106">
        <f t="shared" ca="1" si="151"/>
        <v>-32.4</v>
      </c>
      <c r="K106">
        <f t="shared" ca="1" si="152"/>
        <v>340.2</v>
      </c>
      <c r="L106">
        <f t="shared" ca="1" si="153"/>
        <v>145.79999999999998</v>
      </c>
      <c r="Q106">
        <f>((K34-I3)-(K33-I3))/((J34-I2)-(J33-I2))</f>
        <v>0.14543266156867604</v>
      </c>
      <c r="R106" t="s">
        <v>257</v>
      </c>
      <c r="S106">
        <f>(K34-I3)-(Q106*(J34-I2))</f>
        <v>9.3824482707082311</v>
      </c>
      <c r="Z106" s="5">
        <f t="shared" si="143"/>
        <v>18</v>
      </c>
      <c r="AA106" s="5">
        <f t="shared" si="143"/>
        <v>12</v>
      </c>
      <c r="AB106">
        <f t="shared" ca="1" si="144"/>
        <v>-2.337202091100555E-4</v>
      </c>
      <c r="BC106"/>
      <c r="BD106"/>
      <c r="BF106" s="6" t="e">
        <f t="shared" si="141"/>
        <v>#N/A</v>
      </c>
      <c r="BG106" s="6" t="e">
        <f t="shared" si="142"/>
        <v>#N/A</v>
      </c>
      <c r="BH106" s="6" t="e">
        <f t="shared" si="113"/>
        <v>#N/A</v>
      </c>
      <c r="BI106" s="6" t="e">
        <f t="shared" si="114"/>
        <v>#N/A</v>
      </c>
      <c r="BV106" s="36"/>
      <c r="BW106" s="6" t="e">
        <f t="shared" si="125"/>
        <v>#N/A</v>
      </c>
      <c r="BX106" s="9">
        <f t="shared" ca="1" si="126"/>
        <v>-65.220682514826848</v>
      </c>
      <c r="BY106" s="9">
        <f t="shared" ca="1" si="127"/>
        <v>21.430285361287321</v>
      </c>
      <c r="BZ106" s="9">
        <f t="shared" ca="1" si="128"/>
        <v>0</v>
      </c>
      <c r="CA106" s="6">
        <f t="shared" ca="1" si="129"/>
        <v>0</v>
      </c>
      <c r="CB106" s="6" t="e">
        <f t="shared" ca="1" si="130"/>
        <v>#DIV/0!</v>
      </c>
      <c r="CC106" s="6" t="e">
        <f t="shared" ca="1" si="131"/>
        <v>#DIV/0!</v>
      </c>
      <c r="CD106" s="9">
        <f t="shared" si="132"/>
        <v>-30</v>
      </c>
      <c r="CE106" s="9">
        <f t="shared" si="133"/>
        <v>0</v>
      </c>
      <c r="CF106" s="6">
        <f t="shared" si="134"/>
        <v>3.1415926535897931</v>
      </c>
      <c r="CG106" s="6" t="e">
        <f t="shared" ca="1" si="135"/>
        <v>#DIV/0!</v>
      </c>
      <c r="CH106" s="6"/>
      <c r="CI106" s="6"/>
      <c r="CJ106" s="1"/>
      <c r="CK106" s="6"/>
    </row>
    <row r="107" spans="1:89" x14ac:dyDescent="0.25">
      <c r="A107">
        <f t="shared" si="145"/>
        <v>4</v>
      </c>
      <c r="B107">
        <f t="shared" si="145"/>
        <v>5</v>
      </c>
      <c r="C107">
        <f t="shared" ca="1" si="145"/>
        <v>0.31</v>
      </c>
      <c r="D107" s="9">
        <f t="shared" si="146"/>
        <v>-4.5</v>
      </c>
      <c r="E107" s="5">
        <f t="shared" si="147"/>
        <v>9</v>
      </c>
      <c r="F107" s="5">
        <f t="shared" ca="1" si="148"/>
        <v>11.233625</v>
      </c>
      <c r="G107">
        <f t="shared" ca="1" si="149"/>
        <v>101.102625</v>
      </c>
      <c r="H107">
        <f t="shared" ca="1" si="150"/>
        <v>50.551312500000002</v>
      </c>
      <c r="J107">
        <f t="shared" ca="1" si="151"/>
        <v>-16.740000000000002</v>
      </c>
      <c r="K107">
        <f t="shared" ca="1" si="152"/>
        <v>-150.66000000000003</v>
      </c>
      <c r="L107">
        <f t="shared" ca="1" si="153"/>
        <v>-75.330000000000013</v>
      </c>
      <c r="Z107" s="5">
        <f t="shared" si="143"/>
        <v>-6</v>
      </c>
      <c r="AA107" s="5">
        <f t="shared" si="143"/>
        <v>12</v>
      </c>
      <c r="AB107">
        <f t="shared" ca="1" si="144"/>
        <v>3.4538135990366738</v>
      </c>
      <c r="BC107"/>
      <c r="BD107"/>
      <c r="BF107" s="6" t="e">
        <f t="shared" si="141"/>
        <v>#N/A</v>
      </c>
      <c r="BG107" s="6" t="e">
        <f t="shared" si="142"/>
        <v>#N/A</v>
      </c>
      <c r="BH107" s="6" t="e">
        <f t="shared" si="113"/>
        <v>#N/A</v>
      </c>
      <c r="BI107" s="6" t="e">
        <f t="shared" si="114"/>
        <v>#N/A</v>
      </c>
      <c r="BV107" s="36"/>
      <c r="BW107" s="6" t="e">
        <f t="shared" si="125"/>
        <v>#N/A</v>
      </c>
      <c r="BX107" s="9">
        <f t="shared" ca="1" si="126"/>
        <v>-65.220682514826848</v>
      </c>
      <c r="BY107" s="9">
        <f t="shared" ca="1" si="127"/>
        <v>21.430285361287321</v>
      </c>
      <c r="BZ107" s="9">
        <f t="shared" ca="1" si="128"/>
        <v>0</v>
      </c>
      <c r="CA107" s="6">
        <f t="shared" ca="1" si="129"/>
        <v>0</v>
      </c>
      <c r="CB107" s="6" t="e">
        <f t="shared" ca="1" si="130"/>
        <v>#DIV/0!</v>
      </c>
      <c r="CC107" s="6" t="e">
        <f t="shared" ca="1" si="131"/>
        <v>#DIV/0!</v>
      </c>
      <c r="CD107" s="9">
        <f t="shared" si="132"/>
        <v>-30</v>
      </c>
      <c r="CE107" s="9">
        <f t="shared" si="133"/>
        <v>0</v>
      </c>
      <c r="CF107" s="6">
        <f t="shared" si="134"/>
        <v>3.1415926535897931</v>
      </c>
      <c r="CG107" s="6" t="e">
        <f t="shared" ca="1" si="135"/>
        <v>#DIV/0!</v>
      </c>
      <c r="CH107" s="6"/>
      <c r="CI107" s="6"/>
      <c r="CJ107" s="1"/>
      <c r="CK107" s="6"/>
    </row>
    <row r="108" spans="1:89" x14ac:dyDescent="0.25">
      <c r="A108">
        <f t="shared" si="145"/>
        <v>5</v>
      </c>
      <c r="B108">
        <f t="shared" si="145"/>
        <v>5</v>
      </c>
      <c r="C108">
        <f t="shared" ca="1" si="145"/>
        <v>0.31</v>
      </c>
      <c r="D108" s="9">
        <f t="shared" si="146"/>
        <v>4.5</v>
      </c>
      <c r="E108" s="5">
        <f t="shared" si="147"/>
        <v>9</v>
      </c>
      <c r="F108" s="5">
        <f t="shared" ca="1" si="148"/>
        <v>11.233625</v>
      </c>
      <c r="G108">
        <f t="shared" ca="1" si="149"/>
        <v>101.102625</v>
      </c>
      <c r="H108">
        <f t="shared" ca="1" si="150"/>
        <v>-50.551312500000002</v>
      </c>
      <c r="J108">
        <f t="shared" ca="1" si="151"/>
        <v>-16.740000000000002</v>
      </c>
      <c r="K108">
        <f t="shared" ca="1" si="152"/>
        <v>-150.66000000000003</v>
      </c>
      <c r="L108">
        <f t="shared" ca="1" si="153"/>
        <v>75.330000000000013</v>
      </c>
      <c r="Z108" s="5">
        <f t="shared" si="143"/>
        <v>-6</v>
      </c>
      <c r="AA108" s="5">
        <f t="shared" si="143"/>
        <v>6</v>
      </c>
      <c r="AB108">
        <f t="shared" ca="1" si="144"/>
        <v>-2.4837235435651044</v>
      </c>
      <c r="BC108"/>
      <c r="BD108"/>
      <c r="BF108" s="6" t="e">
        <f t="shared" si="141"/>
        <v>#N/A</v>
      </c>
      <c r="BG108" s="6" t="e">
        <f t="shared" si="142"/>
        <v>#N/A</v>
      </c>
      <c r="BH108" s="6" t="e">
        <f t="shared" si="113"/>
        <v>#N/A</v>
      </c>
      <c r="BI108" s="6" t="e">
        <f t="shared" si="114"/>
        <v>#N/A</v>
      </c>
      <c r="BV108" s="36"/>
      <c r="BW108" s="6" t="e">
        <f t="shared" si="125"/>
        <v>#N/A</v>
      </c>
      <c r="BX108" s="9">
        <f t="shared" ca="1" si="126"/>
        <v>-65.220682514826848</v>
      </c>
      <c r="BY108" s="9">
        <f t="shared" ca="1" si="127"/>
        <v>21.430285361287321</v>
      </c>
      <c r="BZ108" s="9">
        <f t="shared" ca="1" si="128"/>
        <v>0</v>
      </c>
      <c r="CA108" s="6">
        <f t="shared" ca="1" si="129"/>
        <v>0</v>
      </c>
      <c r="CB108" s="6" t="e">
        <f t="shared" ca="1" si="130"/>
        <v>#DIV/0!</v>
      </c>
      <c r="CC108" s="6" t="e">
        <f t="shared" ca="1" si="131"/>
        <v>#DIV/0!</v>
      </c>
      <c r="CD108" s="9">
        <f t="shared" si="132"/>
        <v>-30</v>
      </c>
      <c r="CE108" s="9">
        <f t="shared" si="133"/>
        <v>0</v>
      </c>
      <c r="CF108" s="6">
        <f t="shared" si="134"/>
        <v>3.1415926535897931</v>
      </c>
      <c r="CG108" s="6" t="e">
        <f t="shared" ca="1" si="135"/>
        <v>#DIV/0!</v>
      </c>
      <c r="CH108" s="6"/>
      <c r="CI108" s="6"/>
      <c r="CJ108" s="1"/>
      <c r="CK108" s="6"/>
    </row>
    <row r="109" spans="1:89" x14ac:dyDescent="0.25">
      <c r="A109">
        <f t="shared" si="145"/>
        <v>6</v>
      </c>
      <c r="B109">
        <f t="shared" si="145"/>
        <v>0</v>
      </c>
      <c r="C109">
        <f t="shared" ca="1" si="145"/>
        <v>0</v>
      </c>
      <c r="D109" s="9">
        <f t="shared" si="146"/>
        <v>7.625</v>
      </c>
      <c r="E109" s="5">
        <f t="shared" si="147"/>
        <v>9.625</v>
      </c>
      <c r="F109" s="5">
        <f t="shared" ca="1" si="148"/>
        <v>0</v>
      </c>
      <c r="G109">
        <f t="shared" ca="1" si="149"/>
        <v>0</v>
      </c>
      <c r="H109">
        <f t="shared" ca="1" si="150"/>
        <v>0</v>
      </c>
      <c r="J109">
        <f t="shared" ca="1" si="151"/>
        <v>0</v>
      </c>
      <c r="K109">
        <f t="shared" ca="1" si="152"/>
        <v>0</v>
      </c>
      <c r="L109">
        <f t="shared" ca="1" si="153"/>
        <v>0</v>
      </c>
      <c r="Z109" s="5">
        <f t="shared" si="143"/>
        <v>-6</v>
      </c>
      <c r="AA109" s="5">
        <f t="shared" si="143"/>
        <v>6</v>
      </c>
      <c r="AB109">
        <f t="shared" ca="1" si="144"/>
        <v>-2.4837235435651044</v>
      </c>
      <c r="BC109"/>
      <c r="BD109"/>
      <c r="BF109" s="6" t="e">
        <f t="shared" si="141"/>
        <v>#N/A</v>
      </c>
      <c r="BG109" s="6" t="e">
        <f t="shared" si="142"/>
        <v>#N/A</v>
      </c>
      <c r="BH109" s="6" t="e">
        <f t="shared" si="113"/>
        <v>#N/A</v>
      </c>
      <c r="BI109" s="6" t="e">
        <f t="shared" si="114"/>
        <v>#N/A</v>
      </c>
      <c r="BV109" s="36"/>
      <c r="BW109" s="6" t="e">
        <f t="shared" si="125"/>
        <v>#N/A</v>
      </c>
      <c r="BX109" s="9">
        <f t="shared" ca="1" si="126"/>
        <v>-65.220682514826848</v>
      </c>
      <c r="BY109" s="9">
        <f t="shared" ca="1" si="127"/>
        <v>21.430285361287321</v>
      </c>
      <c r="BZ109" s="9">
        <f t="shared" ca="1" si="128"/>
        <v>0</v>
      </c>
      <c r="CA109" s="6">
        <f t="shared" ca="1" si="129"/>
        <v>0</v>
      </c>
      <c r="CB109" s="6" t="e">
        <f t="shared" ca="1" si="130"/>
        <v>#DIV/0!</v>
      </c>
      <c r="CC109" s="6" t="e">
        <f t="shared" ca="1" si="131"/>
        <v>#DIV/0!</v>
      </c>
      <c r="CD109" s="9">
        <f t="shared" si="132"/>
        <v>-30</v>
      </c>
      <c r="CE109" s="9">
        <f t="shared" si="133"/>
        <v>0</v>
      </c>
      <c r="CF109" s="6">
        <f t="shared" si="134"/>
        <v>3.1415926535897931</v>
      </c>
      <c r="CG109" s="6" t="e">
        <f t="shared" ca="1" si="135"/>
        <v>#DIV/0!</v>
      </c>
      <c r="CH109" s="6"/>
      <c r="CI109" s="6"/>
      <c r="CJ109" s="1"/>
      <c r="CK109" s="6"/>
    </row>
    <row r="110" spans="1:89" x14ac:dyDescent="0.25">
      <c r="A110">
        <f t="shared" si="145"/>
        <v>7</v>
      </c>
      <c r="B110">
        <f t="shared" si="145"/>
        <v>0</v>
      </c>
      <c r="C110">
        <f t="shared" ca="1" si="145"/>
        <v>0</v>
      </c>
      <c r="D110" s="9">
        <f t="shared" si="146"/>
        <v>-6</v>
      </c>
      <c r="E110" s="5">
        <f t="shared" si="147"/>
        <v>-12</v>
      </c>
      <c r="F110" s="5">
        <f t="shared" ca="1" si="148"/>
        <v>0</v>
      </c>
      <c r="G110">
        <f t="shared" ca="1" si="149"/>
        <v>0</v>
      </c>
      <c r="H110">
        <f t="shared" ca="1" si="150"/>
        <v>0</v>
      </c>
      <c r="J110">
        <f t="shared" ca="1" si="151"/>
        <v>0</v>
      </c>
      <c r="K110">
        <f t="shared" ca="1" si="152"/>
        <v>0</v>
      </c>
      <c r="L110">
        <f t="shared" ca="1" si="153"/>
        <v>0</v>
      </c>
      <c r="Z110" s="5">
        <f t="shared" si="143"/>
        <v>-6</v>
      </c>
      <c r="AA110" s="5">
        <f t="shared" si="143"/>
        <v>-12</v>
      </c>
      <c r="AB110">
        <f t="shared" ca="1" si="144"/>
        <v>-20.296334971370435</v>
      </c>
      <c r="BC110"/>
      <c r="BD110"/>
      <c r="BF110" s="6" t="e">
        <f t="shared" si="141"/>
        <v>#N/A</v>
      </c>
      <c r="BG110" s="6" t="e">
        <f t="shared" si="142"/>
        <v>#N/A</v>
      </c>
      <c r="BH110" s="6" t="e">
        <f t="shared" si="113"/>
        <v>#N/A</v>
      </c>
      <c r="BI110" s="6" t="e">
        <f t="shared" si="114"/>
        <v>#N/A</v>
      </c>
      <c r="BV110" s="36"/>
      <c r="BW110" s="6" t="e">
        <f t="shared" si="125"/>
        <v>#N/A</v>
      </c>
      <c r="BX110" s="9">
        <f t="shared" ca="1" si="126"/>
        <v>-65.220682514826848</v>
      </c>
      <c r="BY110" s="9">
        <f t="shared" ca="1" si="127"/>
        <v>21.430285361287321</v>
      </c>
      <c r="BZ110" s="9">
        <f t="shared" ca="1" si="128"/>
        <v>0</v>
      </c>
      <c r="CA110" s="6">
        <f t="shared" ca="1" si="129"/>
        <v>0</v>
      </c>
      <c r="CB110" s="6" t="e">
        <f t="shared" ca="1" si="130"/>
        <v>#DIV/0!</v>
      </c>
      <c r="CC110" s="6" t="e">
        <f t="shared" ca="1" si="131"/>
        <v>#DIV/0!</v>
      </c>
      <c r="CD110" s="9">
        <f t="shared" si="132"/>
        <v>-30</v>
      </c>
      <c r="CE110" s="9">
        <f t="shared" si="133"/>
        <v>0</v>
      </c>
      <c r="CF110" s="6">
        <f t="shared" si="134"/>
        <v>3.1415926535897931</v>
      </c>
      <c r="CG110" s="6" t="e">
        <f t="shared" ca="1" si="135"/>
        <v>#DIV/0!</v>
      </c>
      <c r="CH110" s="6"/>
      <c r="CI110" s="6"/>
      <c r="CJ110" s="1"/>
      <c r="CK110" s="6"/>
    </row>
    <row r="111" spans="1:89" x14ac:dyDescent="0.25">
      <c r="A111">
        <f t="shared" si="145"/>
        <v>8</v>
      </c>
      <c r="B111">
        <f t="shared" si="145"/>
        <v>0</v>
      </c>
      <c r="C111">
        <f t="shared" ca="1" si="145"/>
        <v>0</v>
      </c>
      <c r="D111" s="9">
        <f t="shared" si="146"/>
        <v>-6</v>
      </c>
      <c r="E111" s="5">
        <f t="shared" si="147"/>
        <v>-12</v>
      </c>
      <c r="F111" s="5">
        <f t="shared" ca="1" si="148"/>
        <v>0</v>
      </c>
      <c r="G111">
        <f t="shared" ca="1" si="149"/>
        <v>0</v>
      </c>
      <c r="H111">
        <f t="shared" ca="1" si="150"/>
        <v>0</v>
      </c>
      <c r="J111">
        <f t="shared" ca="1" si="151"/>
        <v>0</v>
      </c>
      <c r="K111">
        <f t="shared" ca="1" si="152"/>
        <v>0</v>
      </c>
      <c r="L111">
        <f t="shared" ca="1" si="153"/>
        <v>0</v>
      </c>
      <c r="Z111" s="5"/>
      <c r="BC111"/>
      <c r="BD111"/>
      <c r="BF111" s="6" t="e">
        <f t="shared" si="141"/>
        <v>#N/A</v>
      </c>
      <c r="BG111" s="6" t="e">
        <f t="shared" si="142"/>
        <v>#N/A</v>
      </c>
      <c r="BH111" s="6" t="e">
        <f t="shared" si="113"/>
        <v>#N/A</v>
      </c>
      <c r="BI111" s="6" t="e">
        <f t="shared" si="114"/>
        <v>#N/A</v>
      </c>
      <c r="BV111" s="36"/>
      <c r="BW111" s="6" t="e">
        <f t="shared" si="125"/>
        <v>#N/A</v>
      </c>
      <c r="BX111" s="9">
        <f t="shared" ca="1" si="126"/>
        <v>-65.220682514826848</v>
      </c>
      <c r="BY111" s="9">
        <f t="shared" ca="1" si="127"/>
        <v>21.430285361287321</v>
      </c>
      <c r="BZ111" s="9">
        <f t="shared" ca="1" si="128"/>
        <v>0</v>
      </c>
      <c r="CA111" s="6">
        <f t="shared" ca="1" si="129"/>
        <v>0</v>
      </c>
      <c r="CB111" s="6" t="e">
        <f t="shared" ca="1" si="130"/>
        <v>#DIV/0!</v>
      </c>
      <c r="CC111" s="6" t="e">
        <f t="shared" ca="1" si="131"/>
        <v>#DIV/0!</v>
      </c>
      <c r="CD111" s="9">
        <f t="shared" si="132"/>
        <v>-30</v>
      </c>
      <c r="CE111" s="9">
        <f t="shared" si="133"/>
        <v>0</v>
      </c>
      <c r="CF111" s="6">
        <f t="shared" si="134"/>
        <v>3.1415926535897931</v>
      </c>
      <c r="CG111" s="6" t="e">
        <f t="shared" ca="1" si="135"/>
        <v>#DIV/0!</v>
      </c>
      <c r="CH111" s="6"/>
      <c r="CI111" s="6"/>
      <c r="CJ111" s="1"/>
      <c r="CK111" s="6"/>
    </row>
    <row r="112" spans="1:89" x14ac:dyDescent="0.25">
      <c r="A112">
        <f t="shared" si="145"/>
        <v>9</v>
      </c>
      <c r="B112">
        <f t="shared" si="145"/>
        <v>0</v>
      </c>
      <c r="C112">
        <f t="shared" ca="1" si="145"/>
        <v>0</v>
      </c>
      <c r="D112" s="9">
        <f t="shared" si="146"/>
        <v>-6</v>
      </c>
      <c r="E112" s="5">
        <f t="shared" si="147"/>
        <v>-12</v>
      </c>
      <c r="F112" s="5">
        <f t="shared" ca="1" si="148"/>
        <v>0</v>
      </c>
      <c r="G112">
        <f t="shared" ca="1" si="149"/>
        <v>0</v>
      </c>
      <c r="H112">
        <f t="shared" ca="1" si="150"/>
        <v>0</v>
      </c>
      <c r="J112">
        <f t="shared" ca="1" si="151"/>
        <v>0</v>
      </c>
      <c r="K112">
        <f t="shared" ca="1" si="152"/>
        <v>0</v>
      </c>
      <c r="L112">
        <f t="shared" ca="1" si="153"/>
        <v>0</v>
      </c>
      <c r="Z112" s="5"/>
      <c r="BC112"/>
      <c r="BD112"/>
      <c r="BF112" s="6" t="e">
        <f t="shared" si="141"/>
        <v>#N/A</v>
      </c>
      <c r="BG112" s="6" t="e">
        <f t="shared" si="142"/>
        <v>#N/A</v>
      </c>
      <c r="BH112" s="6" t="e">
        <f t="shared" si="113"/>
        <v>#N/A</v>
      </c>
      <c r="BI112" s="6" t="e">
        <f t="shared" si="114"/>
        <v>#N/A</v>
      </c>
      <c r="BV112" s="36"/>
      <c r="BW112" s="6" t="e">
        <f t="shared" si="125"/>
        <v>#N/A</v>
      </c>
      <c r="BX112" s="9">
        <f t="shared" ca="1" si="126"/>
        <v>-65.220682514826848</v>
      </c>
      <c r="BY112" s="9">
        <f t="shared" ca="1" si="127"/>
        <v>21.430285361287321</v>
      </c>
      <c r="BZ112" s="9">
        <f t="shared" ca="1" si="128"/>
        <v>0</v>
      </c>
      <c r="CA112" s="6">
        <f t="shared" ca="1" si="129"/>
        <v>0</v>
      </c>
      <c r="CB112" s="6" t="e">
        <f t="shared" ca="1" si="130"/>
        <v>#DIV/0!</v>
      </c>
      <c r="CC112" s="6" t="e">
        <f t="shared" ca="1" si="131"/>
        <v>#DIV/0!</v>
      </c>
      <c r="CD112" s="9">
        <f t="shared" si="132"/>
        <v>-30</v>
      </c>
      <c r="CE112" s="9">
        <f t="shared" si="133"/>
        <v>0</v>
      </c>
      <c r="CF112" s="6">
        <f t="shared" si="134"/>
        <v>3.1415926535897931</v>
      </c>
      <c r="CG112" s="6" t="e">
        <f t="shared" ca="1" si="135"/>
        <v>#DIV/0!</v>
      </c>
      <c r="CH112" s="6"/>
      <c r="CI112" s="6"/>
      <c r="CJ112" s="1"/>
      <c r="CK112" s="6"/>
    </row>
    <row r="113" spans="1:89" x14ac:dyDescent="0.25">
      <c r="A113">
        <f t="shared" si="145"/>
        <v>10</v>
      </c>
      <c r="B113">
        <f t="shared" si="145"/>
        <v>0</v>
      </c>
      <c r="C113">
        <f t="shared" ca="1" si="145"/>
        <v>0</v>
      </c>
      <c r="D113" s="9">
        <f t="shared" si="146"/>
        <v>-6</v>
      </c>
      <c r="E113" s="5">
        <f t="shared" si="147"/>
        <v>-12</v>
      </c>
      <c r="F113" s="5">
        <f t="shared" ca="1" si="148"/>
        <v>0</v>
      </c>
      <c r="G113">
        <f t="shared" ca="1" si="149"/>
        <v>0</v>
      </c>
      <c r="H113">
        <f t="shared" ca="1" si="150"/>
        <v>0</v>
      </c>
      <c r="J113">
        <f t="shared" ca="1" si="151"/>
        <v>0</v>
      </c>
      <c r="K113">
        <f t="shared" ca="1" si="152"/>
        <v>0</v>
      </c>
      <c r="L113">
        <f t="shared" ca="1" si="153"/>
        <v>0</v>
      </c>
      <c r="Z113" s="5"/>
      <c r="BC113"/>
      <c r="BD113"/>
      <c r="BF113" s="6" t="e">
        <f t="shared" si="141"/>
        <v>#N/A</v>
      </c>
      <c r="BG113" s="6" t="e">
        <f t="shared" si="142"/>
        <v>#N/A</v>
      </c>
      <c r="BH113" s="6" t="e">
        <f t="shared" si="113"/>
        <v>#N/A</v>
      </c>
      <c r="BI113" s="6" t="e">
        <f t="shared" si="114"/>
        <v>#N/A</v>
      </c>
      <c r="BV113" s="36"/>
      <c r="BW113" s="6" t="e">
        <f t="shared" si="125"/>
        <v>#N/A</v>
      </c>
      <c r="BX113" s="9">
        <f t="shared" ca="1" si="126"/>
        <v>-65.220682514826848</v>
      </c>
      <c r="BY113" s="9">
        <f t="shared" ca="1" si="127"/>
        <v>21.430285361287321</v>
      </c>
      <c r="BZ113" s="9">
        <f t="shared" ca="1" si="128"/>
        <v>0</v>
      </c>
      <c r="CA113" s="6">
        <f t="shared" ca="1" si="129"/>
        <v>0</v>
      </c>
      <c r="CB113" s="6" t="e">
        <f t="shared" ca="1" si="130"/>
        <v>#DIV/0!</v>
      </c>
      <c r="CC113" s="6" t="e">
        <f t="shared" ca="1" si="131"/>
        <v>#DIV/0!</v>
      </c>
      <c r="CD113" s="9">
        <f t="shared" si="132"/>
        <v>-30</v>
      </c>
      <c r="CE113" s="9">
        <f t="shared" si="133"/>
        <v>0</v>
      </c>
      <c r="CF113" s="6">
        <f t="shared" si="134"/>
        <v>3.1415926535897931</v>
      </c>
      <c r="CG113" s="6" t="e">
        <f t="shared" ca="1" si="135"/>
        <v>#DIV/0!</v>
      </c>
      <c r="CH113" s="6"/>
      <c r="CI113" s="6"/>
      <c r="CJ113" s="1"/>
      <c r="CK113" s="6"/>
    </row>
    <row r="114" spans="1:89" x14ac:dyDescent="0.25">
      <c r="F114" s="5">
        <f ca="1">SUM(F104:F113)</f>
        <v>87.694749999999999</v>
      </c>
      <c r="G114" s="5">
        <f ca="1">SUM(G104:G113)</f>
        <v>-482.68349999999998</v>
      </c>
      <c r="H114" s="5">
        <f ca="1">SUM(H104:H113)</f>
        <v>0</v>
      </c>
      <c r="J114">
        <f ca="1">SUM(J104:J113)</f>
        <v>-130.68</v>
      </c>
      <c r="K114">
        <f ca="1">SUM(K104:K113)</f>
        <v>719.27999999999975</v>
      </c>
      <c r="L114">
        <f ca="1">SUM(L104:L113)</f>
        <v>0</v>
      </c>
      <c r="Z114" s="5"/>
      <c r="BC114"/>
      <c r="BD114"/>
      <c r="BF114" s="6" t="e">
        <f t="shared" si="141"/>
        <v>#N/A</v>
      </c>
      <c r="BG114" s="6" t="e">
        <f t="shared" si="142"/>
        <v>#N/A</v>
      </c>
      <c r="BH114" s="6" t="e">
        <f t="shared" si="113"/>
        <v>#N/A</v>
      </c>
      <c r="BI114" s="6" t="e">
        <f t="shared" si="114"/>
        <v>#N/A</v>
      </c>
      <c r="BV114" s="36"/>
      <c r="BW114" s="6" t="e">
        <f t="shared" si="125"/>
        <v>#N/A</v>
      </c>
      <c r="BX114" s="9">
        <f t="shared" ca="1" si="126"/>
        <v>-65.220682514826848</v>
      </c>
      <c r="BY114" s="9">
        <f t="shared" ca="1" si="127"/>
        <v>21.430285361287321</v>
      </c>
      <c r="BZ114" s="9">
        <f t="shared" ca="1" si="128"/>
        <v>0</v>
      </c>
      <c r="CA114" s="6">
        <f t="shared" ca="1" si="129"/>
        <v>0</v>
      </c>
      <c r="CB114" s="6" t="e">
        <f t="shared" ca="1" si="130"/>
        <v>#DIV/0!</v>
      </c>
      <c r="CC114" s="6" t="e">
        <f t="shared" ca="1" si="131"/>
        <v>#DIV/0!</v>
      </c>
      <c r="CD114" s="9">
        <f t="shared" si="132"/>
        <v>-30</v>
      </c>
      <c r="CE114" s="9">
        <f t="shared" si="133"/>
        <v>0</v>
      </c>
      <c r="CF114" s="6">
        <f t="shared" si="134"/>
        <v>3.1415926535897931</v>
      </c>
      <c r="CG114" s="6" t="e">
        <f t="shared" ca="1" si="135"/>
        <v>#DIV/0!</v>
      </c>
      <c r="CH114" s="6"/>
      <c r="CI114" s="6"/>
      <c r="CJ114" s="1"/>
      <c r="CK114" s="6"/>
    </row>
    <row r="115" spans="1:89" x14ac:dyDescent="0.25">
      <c r="A115" s="8" t="s">
        <v>98</v>
      </c>
      <c r="B115" s="5">
        <f ca="1">B100+F114</f>
        <v>1082.1947500000001</v>
      </c>
      <c r="J115">
        <f ca="1">J114</f>
        <v>-130.68</v>
      </c>
      <c r="Z115" s="5"/>
      <c r="BC115"/>
      <c r="BD115"/>
      <c r="BF115" s="6" t="e">
        <f t="shared" si="141"/>
        <v>#N/A</v>
      </c>
      <c r="BG115" s="6" t="e">
        <f t="shared" si="142"/>
        <v>#N/A</v>
      </c>
      <c r="BH115" s="6" t="e">
        <f t="shared" si="113"/>
        <v>#N/A</v>
      </c>
      <c r="BI115" s="6" t="e">
        <f t="shared" si="114"/>
        <v>#N/A</v>
      </c>
      <c r="BV115" s="36"/>
      <c r="BW115" s="6" t="e">
        <f t="shared" si="125"/>
        <v>#N/A</v>
      </c>
      <c r="BX115" s="9">
        <f t="shared" ca="1" si="126"/>
        <v>-65.220682514826848</v>
      </c>
      <c r="BY115" s="9">
        <f t="shared" ca="1" si="127"/>
        <v>21.430285361287321</v>
      </c>
      <c r="BZ115" s="9">
        <f t="shared" ca="1" si="128"/>
        <v>0</v>
      </c>
      <c r="CA115" s="6">
        <f t="shared" ca="1" si="129"/>
        <v>0</v>
      </c>
      <c r="CB115" s="6" t="e">
        <f t="shared" ca="1" si="130"/>
        <v>#DIV/0!</v>
      </c>
      <c r="CC115" s="6" t="e">
        <f t="shared" ca="1" si="131"/>
        <v>#DIV/0!</v>
      </c>
      <c r="CD115" s="9">
        <f t="shared" si="132"/>
        <v>-30</v>
      </c>
      <c r="CE115" s="9">
        <f t="shared" si="133"/>
        <v>0</v>
      </c>
      <c r="CF115" s="6">
        <f t="shared" si="134"/>
        <v>3.1415926535897931</v>
      </c>
      <c r="CG115" s="6" t="e">
        <f t="shared" ca="1" si="135"/>
        <v>#DIV/0!</v>
      </c>
      <c r="CH115" s="6"/>
      <c r="CI115" s="6"/>
      <c r="CJ115" s="1"/>
      <c r="CK115" s="6"/>
    </row>
    <row r="116" spans="1:89" x14ac:dyDescent="0.25">
      <c r="A116" s="8" t="s">
        <v>99</v>
      </c>
      <c r="B116" s="5">
        <f ca="1">B101+G114</f>
        <v>1307.4165000000003</v>
      </c>
      <c r="C116">
        <f ca="1">B116/12</f>
        <v>108.95137500000003</v>
      </c>
      <c r="J116">
        <f ca="1">K114</f>
        <v>719.27999999999975</v>
      </c>
      <c r="K116">
        <f ca="1">J116/12</f>
        <v>59.939999999999976</v>
      </c>
      <c r="Z116" s="5"/>
      <c r="BC116"/>
      <c r="BD116"/>
      <c r="BF116" s="6" t="e">
        <f t="shared" si="141"/>
        <v>#N/A</v>
      </c>
      <c r="BG116" s="6" t="e">
        <f t="shared" si="142"/>
        <v>#N/A</v>
      </c>
      <c r="BH116" s="6" t="e">
        <f t="shared" si="113"/>
        <v>#N/A</v>
      </c>
      <c r="BI116" s="6" t="e">
        <f t="shared" si="114"/>
        <v>#N/A</v>
      </c>
      <c r="BV116" s="36"/>
      <c r="BW116" s="6" t="e">
        <f t="shared" si="125"/>
        <v>#N/A</v>
      </c>
      <c r="BX116" s="9">
        <f t="shared" ca="1" si="126"/>
        <v>-65.220682514826848</v>
      </c>
      <c r="BY116" s="9">
        <f t="shared" ca="1" si="127"/>
        <v>21.430285361287321</v>
      </c>
      <c r="BZ116" s="9">
        <f t="shared" ca="1" si="128"/>
        <v>0</v>
      </c>
      <c r="CA116" s="6">
        <f t="shared" ca="1" si="129"/>
        <v>0</v>
      </c>
      <c r="CB116" s="6" t="e">
        <f t="shared" ca="1" si="130"/>
        <v>#DIV/0!</v>
      </c>
      <c r="CC116" s="6" t="e">
        <f t="shared" ca="1" si="131"/>
        <v>#DIV/0!</v>
      </c>
      <c r="CD116" s="9">
        <f t="shared" si="132"/>
        <v>-30</v>
      </c>
      <c r="CE116" s="9">
        <f t="shared" si="133"/>
        <v>0</v>
      </c>
      <c r="CF116" s="6">
        <f t="shared" si="134"/>
        <v>3.1415926535897931</v>
      </c>
      <c r="CG116" s="6" t="e">
        <f t="shared" ca="1" si="135"/>
        <v>#DIV/0!</v>
      </c>
      <c r="CH116" s="6"/>
      <c r="CI116" s="6"/>
      <c r="CJ116" s="1"/>
      <c r="CK116" s="6"/>
    </row>
    <row r="117" spans="1:89" x14ac:dyDescent="0.25">
      <c r="A117" s="8" t="s">
        <v>100</v>
      </c>
      <c r="B117" s="5">
        <f ca="1">B102+H114</f>
        <v>-2386.7999999999997</v>
      </c>
      <c r="C117">
        <f ca="1">B117/12</f>
        <v>-198.89999999999998</v>
      </c>
      <c r="J117">
        <f ca="1">L114</f>
        <v>0</v>
      </c>
      <c r="K117">
        <f ca="1">J117/12</f>
        <v>0</v>
      </c>
      <c r="BC117"/>
      <c r="BD117"/>
      <c r="BF117" s="6" t="e">
        <f t="shared" si="141"/>
        <v>#N/A</v>
      </c>
      <c r="BG117" s="6" t="e">
        <f t="shared" si="142"/>
        <v>#N/A</v>
      </c>
      <c r="BH117" s="6" t="e">
        <f t="shared" si="113"/>
        <v>#N/A</v>
      </c>
      <c r="BI117" s="6" t="e">
        <f t="shared" si="114"/>
        <v>#N/A</v>
      </c>
      <c r="BV117" s="36"/>
      <c r="BW117" s="6" t="e">
        <f t="shared" si="125"/>
        <v>#N/A</v>
      </c>
      <c r="BX117" s="9">
        <f t="shared" ca="1" si="126"/>
        <v>-65.220682514826848</v>
      </c>
      <c r="BY117" s="9">
        <f t="shared" ca="1" si="127"/>
        <v>21.430285361287321</v>
      </c>
      <c r="BZ117" s="9">
        <f t="shared" ca="1" si="128"/>
        <v>0</v>
      </c>
      <c r="CA117" s="6">
        <f t="shared" ca="1" si="129"/>
        <v>0</v>
      </c>
      <c r="CB117" s="6" t="e">
        <f t="shared" ca="1" si="130"/>
        <v>#DIV/0!</v>
      </c>
      <c r="CC117" s="6" t="e">
        <f t="shared" ca="1" si="131"/>
        <v>#DIV/0!</v>
      </c>
      <c r="CD117" s="9">
        <f t="shared" si="132"/>
        <v>-30</v>
      </c>
      <c r="CE117" s="9">
        <f t="shared" si="133"/>
        <v>0</v>
      </c>
      <c r="CF117" s="6">
        <f t="shared" si="134"/>
        <v>3.1415926535897931</v>
      </c>
      <c r="CG117" s="6" t="e">
        <f t="shared" ca="1" si="135"/>
        <v>#DIV/0!</v>
      </c>
      <c r="CH117" s="6"/>
      <c r="CI117" s="6"/>
      <c r="CJ117" s="1"/>
      <c r="CK117" s="6"/>
    </row>
    <row r="118" spans="1:89" x14ac:dyDescent="0.25">
      <c r="BC118"/>
      <c r="BD118"/>
      <c r="BF118" s="6" t="e">
        <f t="shared" si="141"/>
        <v>#N/A</v>
      </c>
      <c r="BG118" s="6" t="e">
        <f t="shared" si="142"/>
        <v>#N/A</v>
      </c>
      <c r="BH118" s="6" t="e">
        <f t="shared" si="113"/>
        <v>#N/A</v>
      </c>
      <c r="BI118" s="6" t="e">
        <f t="shared" si="114"/>
        <v>#N/A</v>
      </c>
      <c r="BV118" s="36"/>
      <c r="BW118" s="6" t="e">
        <f t="shared" si="125"/>
        <v>#N/A</v>
      </c>
      <c r="BX118" s="9">
        <f t="shared" ca="1" si="126"/>
        <v>-65.220682514826848</v>
      </c>
      <c r="BY118" s="9">
        <f t="shared" ca="1" si="127"/>
        <v>21.430285361287321</v>
      </c>
      <c r="BZ118" s="9">
        <f t="shared" ca="1" si="128"/>
        <v>0</v>
      </c>
      <c r="CA118" s="6">
        <f t="shared" ca="1" si="129"/>
        <v>0</v>
      </c>
      <c r="CB118" s="6" t="e">
        <f t="shared" ca="1" si="130"/>
        <v>#DIV/0!</v>
      </c>
      <c r="CC118" s="6" t="e">
        <f t="shared" ca="1" si="131"/>
        <v>#DIV/0!</v>
      </c>
      <c r="CD118" s="9">
        <f t="shared" si="132"/>
        <v>-30</v>
      </c>
      <c r="CE118" s="9">
        <f t="shared" si="133"/>
        <v>0</v>
      </c>
      <c r="CF118" s="6">
        <f t="shared" si="134"/>
        <v>3.1415926535897931</v>
      </c>
      <c r="CG118" s="6" t="e">
        <f t="shared" ca="1" si="135"/>
        <v>#DIV/0!</v>
      </c>
      <c r="CH118" s="6"/>
      <c r="CI118" s="6"/>
      <c r="CJ118" s="1"/>
      <c r="CK118" s="6"/>
    </row>
    <row r="119" spans="1:89" x14ac:dyDescent="0.25">
      <c r="A119" s="8" t="s">
        <v>8</v>
      </c>
      <c r="B119">
        <f ca="1">B117/B115</f>
        <v>-2.205517999417387</v>
      </c>
      <c r="J119">
        <f ca="1">J117/J115</f>
        <v>0</v>
      </c>
      <c r="BC119"/>
      <c r="BD119"/>
      <c r="BF119" s="6" t="e">
        <f t="shared" si="141"/>
        <v>#N/A</v>
      </c>
      <c r="BG119" s="6" t="e">
        <f t="shared" si="142"/>
        <v>#N/A</v>
      </c>
      <c r="BH119" s="6" t="e">
        <f t="shared" si="113"/>
        <v>#N/A</v>
      </c>
      <c r="BI119" s="6" t="e">
        <f t="shared" si="114"/>
        <v>#N/A</v>
      </c>
      <c r="BV119" s="36"/>
      <c r="BW119" s="6" t="e">
        <f t="shared" si="125"/>
        <v>#N/A</v>
      </c>
      <c r="BX119" s="9">
        <f t="shared" ca="1" si="126"/>
        <v>-65.220682514826848</v>
      </c>
      <c r="BY119" s="9">
        <f t="shared" ca="1" si="127"/>
        <v>21.430285361287321</v>
      </c>
      <c r="BZ119" s="9">
        <f t="shared" ca="1" si="128"/>
        <v>0</v>
      </c>
      <c r="CA119" s="6">
        <f t="shared" ca="1" si="129"/>
        <v>0</v>
      </c>
      <c r="CB119" s="6" t="e">
        <f t="shared" ca="1" si="130"/>
        <v>#DIV/0!</v>
      </c>
      <c r="CC119" s="6" t="e">
        <f t="shared" ca="1" si="131"/>
        <v>#DIV/0!</v>
      </c>
      <c r="CD119" s="9">
        <f t="shared" si="132"/>
        <v>-30</v>
      </c>
      <c r="CE119" s="9">
        <f t="shared" si="133"/>
        <v>0</v>
      </c>
      <c r="CF119" s="6">
        <f t="shared" si="134"/>
        <v>3.1415926535897931</v>
      </c>
      <c r="CG119" s="6" t="e">
        <f t="shared" ca="1" si="135"/>
        <v>#DIV/0!</v>
      </c>
      <c r="CH119" s="6"/>
      <c r="CI119" s="6"/>
      <c r="CJ119" s="1"/>
      <c r="CK119" s="6"/>
    </row>
    <row r="120" spans="1:89" x14ac:dyDescent="0.25">
      <c r="A120" s="8" t="s">
        <v>9</v>
      </c>
      <c r="B120">
        <f ca="1">B116/B115</f>
        <v>1.2081157296318432</v>
      </c>
      <c r="J120">
        <f ca="1">J116/J115</f>
        <v>-5.5041322314049568</v>
      </c>
      <c r="BC120"/>
      <c r="BD120"/>
      <c r="BF120" s="6" t="e">
        <f t="shared" si="141"/>
        <v>#N/A</v>
      </c>
      <c r="BG120" s="6" t="e">
        <f t="shared" si="142"/>
        <v>#N/A</v>
      </c>
      <c r="BH120" s="6" t="e">
        <f t="shared" si="113"/>
        <v>#N/A</v>
      </c>
      <c r="BI120" s="6" t="e">
        <f t="shared" si="114"/>
        <v>#N/A</v>
      </c>
      <c r="BV120" s="36"/>
      <c r="BW120" s="6" t="e">
        <f t="shared" si="125"/>
        <v>#N/A</v>
      </c>
      <c r="BX120" s="9">
        <f t="shared" ca="1" si="126"/>
        <v>-65.220682514826848</v>
      </c>
      <c r="BY120" s="9">
        <f t="shared" ca="1" si="127"/>
        <v>21.430285361287321</v>
      </c>
      <c r="BZ120" s="9">
        <f t="shared" ca="1" si="128"/>
        <v>0</v>
      </c>
      <c r="CA120" s="6">
        <f t="shared" ca="1" si="129"/>
        <v>0</v>
      </c>
      <c r="CB120" s="6" t="e">
        <f t="shared" ca="1" si="130"/>
        <v>#DIV/0!</v>
      </c>
      <c r="CC120" s="6" t="e">
        <f t="shared" ca="1" si="131"/>
        <v>#DIV/0!</v>
      </c>
      <c r="CD120" s="9">
        <f t="shared" si="132"/>
        <v>-30</v>
      </c>
      <c r="CE120" s="9">
        <f t="shared" si="133"/>
        <v>0</v>
      </c>
      <c r="CF120" s="6">
        <f t="shared" si="134"/>
        <v>3.1415926535897931</v>
      </c>
      <c r="CG120" s="6" t="e">
        <f t="shared" ca="1" si="135"/>
        <v>#DIV/0!</v>
      </c>
      <c r="CH120" s="6"/>
      <c r="CI120" s="6"/>
      <c r="CJ120" s="1"/>
      <c r="CK120" s="6"/>
    </row>
    <row r="121" spans="1:89" x14ac:dyDescent="0.25">
      <c r="BC121"/>
      <c r="BD121"/>
      <c r="BF121" s="6" t="e">
        <f t="shared" si="141"/>
        <v>#N/A</v>
      </c>
      <c r="BG121" s="6" t="e">
        <f t="shared" si="142"/>
        <v>#N/A</v>
      </c>
      <c r="BH121" s="6" t="e">
        <f t="shared" si="113"/>
        <v>#N/A</v>
      </c>
      <c r="BI121" s="6" t="e">
        <f t="shared" si="114"/>
        <v>#N/A</v>
      </c>
      <c r="BV121" s="36"/>
      <c r="BW121" s="6" t="e">
        <f t="shared" si="125"/>
        <v>#N/A</v>
      </c>
      <c r="BX121" s="9">
        <f t="shared" ca="1" si="126"/>
        <v>-65.220682514826848</v>
      </c>
      <c r="BY121" s="9">
        <f t="shared" ca="1" si="127"/>
        <v>21.430285361287321</v>
      </c>
      <c r="BZ121" s="9">
        <f t="shared" ca="1" si="128"/>
        <v>0</v>
      </c>
      <c r="CA121" s="6">
        <f t="shared" ca="1" si="129"/>
        <v>0</v>
      </c>
      <c r="CB121" s="6" t="e">
        <f t="shared" ca="1" si="130"/>
        <v>#DIV/0!</v>
      </c>
      <c r="CC121" s="6" t="e">
        <f t="shared" ca="1" si="131"/>
        <v>#DIV/0!</v>
      </c>
      <c r="CD121" s="9">
        <f t="shared" si="132"/>
        <v>-30</v>
      </c>
      <c r="CE121" s="9">
        <f t="shared" si="133"/>
        <v>0</v>
      </c>
      <c r="CF121" s="6">
        <f t="shared" si="134"/>
        <v>3.1415926535897931</v>
      </c>
      <c r="CG121" s="6" t="e">
        <f t="shared" ca="1" si="135"/>
        <v>#DIV/0!</v>
      </c>
      <c r="CH121" s="6"/>
      <c r="CI121" s="6"/>
      <c r="CJ121" s="1"/>
      <c r="CK121" s="6"/>
    </row>
    <row r="122" spans="1:89" x14ac:dyDescent="0.25">
      <c r="BC122"/>
      <c r="BD122"/>
      <c r="BF122" s="6" t="e">
        <f t="shared" si="141"/>
        <v>#N/A</v>
      </c>
      <c r="BG122" s="6" t="e">
        <f t="shared" si="142"/>
        <v>#N/A</v>
      </c>
      <c r="BH122" s="6" t="e">
        <f t="shared" si="113"/>
        <v>#N/A</v>
      </c>
      <c r="BI122" s="6" t="e">
        <f t="shared" si="114"/>
        <v>#N/A</v>
      </c>
      <c r="BV122" s="36"/>
      <c r="BW122" s="6" t="e">
        <f t="shared" si="125"/>
        <v>#N/A</v>
      </c>
      <c r="BX122" s="9">
        <f t="shared" ca="1" si="126"/>
        <v>-65.220682514826848</v>
      </c>
      <c r="BY122" s="9">
        <f t="shared" ca="1" si="127"/>
        <v>21.430285361287321</v>
      </c>
      <c r="BZ122" s="9">
        <f t="shared" ca="1" si="128"/>
        <v>0</v>
      </c>
      <c r="CA122" s="6">
        <f t="shared" ca="1" si="129"/>
        <v>0</v>
      </c>
      <c r="CB122" s="6" t="e">
        <f t="shared" ca="1" si="130"/>
        <v>#DIV/0!</v>
      </c>
      <c r="CC122" s="6" t="e">
        <f t="shared" ca="1" si="131"/>
        <v>#DIV/0!</v>
      </c>
      <c r="CD122" s="9">
        <f t="shared" si="132"/>
        <v>-30</v>
      </c>
      <c r="CE122" s="9">
        <f t="shared" si="133"/>
        <v>0</v>
      </c>
      <c r="CF122" s="6">
        <f t="shared" si="134"/>
        <v>3.1415926535897931</v>
      </c>
      <c r="CG122" s="6" t="e">
        <f t="shared" ca="1" si="135"/>
        <v>#DIV/0!</v>
      </c>
      <c r="CH122" s="6"/>
      <c r="CI122" s="6"/>
      <c r="CJ122" s="1"/>
      <c r="CK122" s="6"/>
    </row>
    <row r="123" spans="1:89" x14ac:dyDescent="0.25">
      <c r="A123" t="s">
        <v>127</v>
      </c>
      <c r="BC123"/>
      <c r="BD123"/>
      <c r="BF123" s="6" t="e">
        <f t="shared" si="141"/>
        <v>#N/A</v>
      </c>
      <c r="BG123" s="6" t="e">
        <f t="shared" si="142"/>
        <v>#N/A</v>
      </c>
      <c r="BH123" s="6" t="e">
        <f t="shared" si="113"/>
        <v>#N/A</v>
      </c>
      <c r="BI123" s="6" t="e">
        <f t="shared" si="114"/>
        <v>#N/A</v>
      </c>
      <c r="BV123" s="36"/>
      <c r="BW123" s="6" t="e">
        <f t="shared" si="125"/>
        <v>#N/A</v>
      </c>
      <c r="BX123" s="9">
        <f t="shared" ca="1" si="126"/>
        <v>-65.220682514826848</v>
      </c>
      <c r="BY123" s="9">
        <f t="shared" ca="1" si="127"/>
        <v>21.430285361287321</v>
      </c>
      <c r="BZ123" s="9">
        <f t="shared" ca="1" si="128"/>
        <v>0</v>
      </c>
      <c r="CA123" s="6">
        <f t="shared" ca="1" si="129"/>
        <v>0</v>
      </c>
      <c r="CB123" s="6" t="e">
        <f t="shared" ca="1" si="130"/>
        <v>#DIV/0!</v>
      </c>
      <c r="CC123" s="6" t="e">
        <f t="shared" ca="1" si="131"/>
        <v>#DIV/0!</v>
      </c>
      <c r="CD123" s="9">
        <f t="shared" si="132"/>
        <v>-30</v>
      </c>
      <c r="CE123" s="9">
        <f t="shared" si="133"/>
        <v>0</v>
      </c>
      <c r="CF123" s="6">
        <f t="shared" si="134"/>
        <v>3.1415926535897931</v>
      </c>
      <c r="CG123" s="6" t="e">
        <f t="shared" ca="1" si="135"/>
        <v>#DIV/0!</v>
      </c>
      <c r="CH123" s="6"/>
      <c r="CI123" s="6"/>
      <c r="CJ123" s="1"/>
      <c r="CK123" s="6"/>
    </row>
    <row r="124" spans="1:89" x14ac:dyDescent="0.25">
      <c r="BC124"/>
      <c r="BD124"/>
      <c r="BF124" s="6" t="e">
        <f t="shared" si="141"/>
        <v>#N/A</v>
      </c>
      <c r="BG124" s="6" t="e">
        <f t="shared" si="142"/>
        <v>#N/A</v>
      </c>
      <c r="BH124" s="6" t="e">
        <f t="shared" si="113"/>
        <v>#N/A</v>
      </c>
      <c r="BI124" s="6" t="e">
        <f t="shared" si="114"/>
        <v>#N/A</v>
      </c>
      <c r="BV124" s="36"/>
      <c r="BW124" s="6" t="e">
        <f t="shared" si="125"/>
        <v>#N/A</v>
      </c>
      <c r="BX124" s="9">
        <f t="shared" ca="1" si="126"/>
        <v>-65.220682514826848</v>
      </c>
      <c r="BY124" s="9">
        <f t="shared" ca="1" si="127"/>
        <v>21.430285361287321</v>
      </c>
      <c r="BZ124" s="9">
        <f t="shared" ca="1" si="128"/>
        <v>0</v>
      </c>
      <c r="CA124" s="6">
        <f t="shared" ca="1" si="129"/>
        <v>0</v>
      </c>
      <c r="CB124" s="6" t="e">
        <f t="shared" ca="1" si="130"/>
        <v>#DIV/0!</v>
      </c>
      <c r="CC124" s="6" t="e">
        <f t="shared" ca="1" si="131"/>
        <v>#DIV/0!</v>
      </c>
      <c r="CD124" s="9">
        <f t="shared" si="132"/>
        <v>-30</v>
      </c>
      <c r="CE124" s="9">
        <f t="shared" si="133"/>
        <v>0</v>
      </c>
      <c r="CF124" s="6">
        <f t="shared" si="134"/>
        <v>3.1415926535897931</v>
      </c>
      <c r="CG124" s="6" t="e">
        <f t="shared" ca="1" si="135"/>
        <v>#DIV/0!</v>
      </c>
      <c r="CH124" s="6"/>
      <c r="CI124" s="6"/>
      <c r="CJ124" s="1"/>
      <c r="CK124" s="6"/>
    </row>
    <row r="125" spans="1:89" x14ac:dyDescent="0.25">
      <c r="A125" s="8" t="s">
        <v>77</v>
      </c>
      <c r="B125" s="3">
        <f ca="1">B116</f>
        <v>1307.4165000000003</v>
      </c>
      <c r="C125" s="1" t="str">
        <f>"+ t ( "</f>
        <v xml:space="preserve">+ t ( </v>
      </c>
      <c r="D125" s="1">
        <f ca="1">J116</f>
        <v>719.27999999999975</v>
      </c>
      <c r="E125" s="1" t="s">
        <v>128</v>
      </c>
      <c r="F125" s="3">
        <f ca="1">B116</f>
        <v>1307.4165000000003</v>
      </c>
      <c r="G125" s="1" t="s">
        <v>129</v>
      </c>
      <c r="BC125"/>
      <c r="BD125"/>
      <c r="BF125" s="6" t="e">
        <f t="shared" si="141"/>
        <v>#N/A</v>
      </c>
      <c r="BG125" s="6" t="e">
        <f t="shared" si="142"/>
        <v>#N/A</v>
      </c>
      <c r="BH125" s="6" t="e">
        <f t="shared" si="113"/>
        <v>#N/A</v>
      </c>
      <c r="BI125" s="6" t="e">
        <f t="shared" si="114"/>
        <v>#N/A</v>
      </c>
      <c r="BV125" s="36"/>
      <c r="BW125" s="6" t="e">
        <f t="shared" si="125"/>
        <v>#N/A</v>
      </c>
      <c r="BX125" s="9">
        <f t="shared" ca="1" si="126"/>
        <v>-65.220682514826848</v>
      </c>
      <c r="BY125" s="9">
        <f t="shared" ca="1" si="127"/>
        <v>21.430285361287321</v>
      </c>
      <c r="BZ125" s="9">
        <f t="shared" ca="1" si="128"/>
        <v>0</v>
      </c>
      <c r="CA125" s="6">
        <f t="shared" ca="1" si="129"/>
        <v>0</v>
      </c>
      <c r="CB125" s="6" t="e">
        <f t="shared" ca="1" si="130"/>
        <v>#DIV/0!</v>
      </c>
      <c r="CC125" s="6" t="e">
        <f t="shared" ca="1" si="131"/>
        <v>#DIV/0!</v>
      </c>
      <c r="CD125" s="9">
        <f t="shared" si="132"/>
        <v>-30</v>
      </c>
      <c r="CE125" s="9">
        <f t="shared" si="133"/>
        <v>0</v>
      </c>
      <c r="CF125" s="6">
        <f t="shared" si="134"/>
        <v>3.1415926535897931</v>
      </c>
      <c r="CG125" s="6" t="e">
        <f t="shared" ca="1" si="135"/>
        <v>#DIV/0!</v>
      </c>
      <c r="CH125" s="6"/>
      <c r="CI125" s="6"/>
      <c r="CJ125" s="1"/>
      <c r="CK125" s="6"/>
    </row>
    <row r="126" spans="1:89" x14ac:dyDescent="0.25">
      <c r="A126" s="8" t="s">
        <v>124</v>
      </c>
      <c r="B126" s="3">
        <f ca="1">B117</f>
        <v>-2386.7999999999997</v>
      </c>
      <c r="D126" s="1">
        <f ca="1">J117</f>
        <v>0</v>
      </c>
      <c r="F126" s="3">
        <f ca="1">B117</f>
        <v>-2386.7999999999997</v>
      </c>
      <c r="BC126"/>
      <c r="BD126"/>
      <c r="BF126" s="6" t="e">
        <f t="shared" si="141"/>
        <v>#N/A</v>
      </c>
      <c r="BG126" s="6" t="e">
        <f t="shared" si="142"/>
        <v>#N/A</v>
      </c>
      <c r="BH126" s="6" t="e">
        <f t="shared" si="113"/>
        <v>#N/A</v>
      </c>
      <c r="BI126" s="6" t="e">
        <f t="shared" si="114"/>
        <v>#N/A</v>
      </c>
      <c r="BV126" s="36"/>
      <c r="BW126" s="6" t="e">
        <f t="shared" si="125"/>
        <v>#N/A</v>
      </c>
      <c r="BX126" s="9">
        <f t="shared" ca="1" si="126"/>
        <v>-65.220682514826848</v>
      </c>
      <c r="BY126" s="9">
        <f t="shared" ca="1" si="127"/>
        <v>21.430285361287321</v>
      </c>
      <c r="BZ126" s="9">
        <f t="shared" ca="1" si="128"/>
        <v>0</v>
      </c>
      <c r="CA126" s="6">
        <f t="shared" ca="1" si="129"/>
        <v>0</v>
      </c>
      <c r="CB126" s="6" t="e">
        <f t="shared" ca="1" si="130"/>
        <v>#DIV/0!</v>
      </c>
      <c r="CC126" s="6" t="e">
        <f t="shared" ca="1" si="131"/>
        <v>#DIV/0!</v>
      </c>
      <c r="CD126" s="9">
        <f t="shared" si="132"/>
        <v>-30</v>
      </c>
      <c r="CE126" s="9">
        <f t="shared" si="133"/>
        <v>0</v>
      </c>
      <c r="CF126" s="6">
        <f t="shared" si="134"/>
        <v>3.1415926535897931</v>
      </c>
      <c r="CG126" s="6" t="e">
        <f t="shared" ca="1" si="135"/>
        <v>#DIV/0!</v>
      </c>
      <c r="CH126" s="6"/>
      <c r="CI126" s="6"/>
      <c r="CJ126" s="1"/>
      <c r="CK126" s="6"/>
    </row>
    <row r="127" spans="1:89" x14ac:dyDescent="0.25">
      <c r="A127" s="8" t="s">
        <v>75</v>
      </c>
      <c r="B127" s="3">
        <f ca="1">B115</f>
        <v>1082.1947500000001</v>
      </c>
      <c r="D127" s="1">
        <f ca="1">J115</f>
        <v>-130.68</v>
      </c>
      <c r="F127" s="3">
        <f ca="1">B115</f>
        <v>1082.1947500000001</v>
      </c>
      <c r="BC127"/>
      <c r="BD127"/>
      <c r="BF127" s="6" t="e">
        <f t="shared" si="141"/>
        <v>#N/A</v>
      </c>
      <c r="BG127" s="6" t="e">
        <f t="shared" si="142"/>
        <v>#N/A</v>
      </c>
      <c r="BH127" s="6" t="e">
        <f t="shared" si="113"/>
        <v>#N/A</v>
      </c>
      <c r="BI127" s="6" t="e">
        <f t="shared" si="114"/>
        <v>#N/A</v>
      </c>
      <c r="BV127" s="36"/>
      <c r="BW127" s="6" t="e">
        <f t="shared" si="125"/>
        <v>#N/A</v>
      </c>
      <c r="BX127" s="9">
        <f t="shared" ca="1" si="126"/>
        <v>-65.220682514826848</v>
      </c>
      <c r="BY127" s="9">
        <f t="shared" ca="1" si="127"/>
        <v>21.430285361287321</v>
      </c>
      <c r="BZ127" s="9">
        <f t="shared" ca="1" si="128"/>
        <v>0</v>
      </c>
      <c r="CA127" s="6">
        <f t="shared" ca="1" si="129"/>
        <v>0</v>
      </c>
      <c r="CB127" s="6" t="e">
        <f t="shared" ca="1" si="130"/>
        <v>#DIV/0!</v>
      </c>
      <c r="CC127" s="6" t="e">
        <f t="shared" ca="1" si="131"/>
        <v>#DIV/0!</v>
      </c>
      <c r="CD127" s="9">
        <f t="shared" si="132"/>
        <v>-30</v>
      </c>
      <c r="CE127" s="9">
        <f t="shared" si="133"/>
        <v>0</v>
      </c>
      <c r="CF127" s="6">
        <f t="shared" si="134"/>
        <v>3.1415926535897931</v>
      </c>
      <c r="CG127" s="6" t="e">
        <f t="shared" ca="1" si="135"/>
        <v>#DIV/0!</v>
      </c>
      <c r="CH127" s="6"/>
      <c r="CI127" s="6"/>
      <c r="CJ127" s="1"/>
      <c r="CK127" s="6"/>
    </row>
    <row r="128" spans="1:89" x14ac:dyDescent="0.25">
      <c r="BC128"/>
      <c r="BD128"/>
      <c r="BF128" s="6" t="e">
        <f t="shared" si="141"/>
        <v>#N/A</v>
      </c>
      <c r="BG128" s="6" t="e">
        <f t="shared" si="142"/>
        <v>#N/A</v>
      </c>
      <c r="BH128" s="6" t="e">
        <f t="shared" si="113"/>
        <v>#N/A</v>
      </c>
      <c r="BI128" s="6" t="e">
        <f t="shared" si="114"/>
        <v>#N/A</v>
      </c>
      <c r="BV128" s="36"/>
      <c r="BW128" s="6" t="e">
        <f t="shared" si="125"/>
        <v>#N/A</v>
      </c>
      <c r="BX128" s="9">
        <f t="shared" ca="1" si="126"/>
        <v>-65.220682514826848</v>
      </c>
      <c r="BY128" s="9">
        <f t="shared" ca="1" si="127"/>
        <v>21.430285361287321</v>
      </c>
      <c r="BZ128" s="9">
        <f t="shared" ca="1" si="128"/>
        <v>0</v>
      </c>
      <c r="CA128" s="6">
        <f t="shared" ca="1" si="129"/>
        <v>0</v>
      </c>
      <c r="CB128" s="6" t="e">
        <f t="shared" ca="1" si="130"/>
        <v>#DIV/0!</v>
      </c>
      <c r="CC128" s="6" t="e">
        <f t="shared" ca="1" si="131"/>
        <v>#DIV/0!</v>
      </c>
      <c r="CD128" s="9">
        <f t="shared" si="132"/>
        <v>-30</v>
      </c>
      <c r="CE128" s="9">
        <f t="shared" si="133"/>
        <v>0</v>
      </c>
      <c r="CF128" s="6">
        <f t="shared" si="134"/>
        <v>3.1415926535897931</v>
      </c>
      <c r="CG128" s="6" t="e">
        <f t="shared" ca="1" si="135"/>
        <v>#DIV/0!</v>
      </c>
      <c r="CH128" s="6"/>
      <c r="CI128" s="6"/>
      <c r="CJ128" s="1"/>
      <c r="CK128" s="6"/>
    </row>
    <row r="129" spans="1:89" x14ac:dyDescent="0.25">
      <c r="A129" s="14" t="s">
        <v>130</v>
      </c>
      <c r="BC129"/>
      <c r="BD129"/>
      <c r="BF129" s="6" t="e">
        <f t="shared" si="141"/>
        <v>#N/A</v>
      </c>
      <c r="BG129" s="6" t="e">
        <f t="shared" si="142"/>
        <v>#N/A</v>
      </c>
      <c r="BH129" s="6" t="e">
        <f t="shared" si="113"/>
        <v>#N/A</v>
      </c>
      <c r="BI129" s="6" t="e">
        <f t="shared" si="114"/>
        <v>#N/A</v>
      </c>
      <c r="BV129" s="36"/>
      <c r="BW129" s="6" t="e">
        <f t="shared" si="125"/>
        <v>#N/A</v>
      </c>
      <c r="BX129" s="9">
        <f t="shared" ca="1" si="126"/>
        <v>-65.220682514826848</v>
      </c>
      <c r="BY129" s="9">
        <f t="shared" ca="1" si="127"/>
        <v>21.430285361287321</v>
      </c>
      <c r="BZ129" s="9">
        <f t="shared" ca="1" si="128"/>
        <v>0</v>
      </c>
      <c r="CA129" s="6">
        <f t="shared" ca="1" si="129"/>
        <v>0</v>
      </c>
      <c r="CB129" s="6" t="e">
        <f t="shared" ca="1" si="130"/>
        <v>#DIV/0!</v>
      </c>
      <c r="CC129" s="6" t="e">
        <f t="shared" ca="1" si="131"/>
        <v>#DIV/0!</v>
      </c>
      <c r="CD129" s="9">
        <f t="shared" si="132"/>
        <v>-30</v>
      </c>
      <c r="CE129" s="9">
        <f t="shared" si="133"/>
        <v>0</v>
      </c>
      <c r="CF129" s="6">
        <f t="shared" si="134"/>
        <v>3.1415926535897931</v>
      </c>
      <c r="CG129" s="6" t="e">
        <f t="shared" ca="1" si="135"/>
        <v>#DIV/0!</v>
      </c>
      <c r="CH129" s="6"/>
      <c r="CI129" s="6"/>
      <c r="CJ129" s="1"/>
      <c r="CK129" s="6"/>
    </row>
    <row r="130" spans="1:89" x14ac:dyDescent="0.25">
      <c r="A130" s="8" t="s">
        <v>132</v>
      </c>
      <c r="B130" s="1">
        <f>U10</f>
        <v>0</v>
      </c>
      <c r="BC130"/>
      <c r="BD130"/>
      <c r="BF130" s="6" t="e">
        <f t="shared" ref="BF130:BF155" si="154">IF(BC130&lt;&gt;"",IF(AND(BD130=0,BE130=0),0,MOD(ATAN2(BD130,BE130),2*PI())),NA())</f>
        <v>#N/A</v>
      </c>
      <c r="BG130" s="6" t="e">
        <f t="shared" ref="BG130:BG155" si="155">ABS(BC130-BF130)</f>
        <v>#N/A</v>
      </c>
      <c r="BH130" s="6" t="e">
        <f t="shared" si="113"/>
        <v>#N/A</v>
      </c>
      <c r="BI130" s="6" t="e">
        <f t="shared" si="114"/>
        <v>#N/A</v>
      </c>
      <c r="BV130" s="36"/>
      <c r="BW130" s="6" t="e">
        <f t="shared" si="125"/>
        <v>#N/A</v>
      </c>
      <c r="BX130" s="9">
        <f t="shared" ca="1" si="126"/>
        <v>-65.220682514826848</v>
      </c>
      <c r="BY130" s="9">
        <f t="shared" ca="1" si="127"/>
        <v>21.430285361287321</v>
      </c>
      <c r="BZ130" s="9">
        <f t="shared" ca="1" si="128"/>
        <v>0</v>
      </c>
      <c r="CA130" s="6">
        <f t="shared" ca="1" si="129"/>
        <v>0</v>
      </c>
      <c r="CB130" s="6" t="e">
        <f t="shared" ca="1" si="130"/>
        <v>#DIV/0!</v>
      </c>
      <c r="CC130" s="6" t="e">
        <f t="shared" ca="1" si="131"/>
        <v>#DIV/0!</v>
      </c>
      <c r="CD130" s="9">
        <f t="shared" si="132"/>
        <v>-30</v>
      </c>
      <c r="CE130" s="9">
        <f t="shared" si="133"/>
        <v>0</v>
      </c>
      <c r="CF130" s="6">
        <f t="shared" si="134"/>
        <v>3.1415926535897931</v>
      </c>
      <c r="CG130" s="6" t="e">
        <f t="shared" ca="1" si="135"/>
        <v>#DIV/0!</v>
      </c>
      <c r="CH130" s="6"/>
      <c r="CI130" s="6"/>
      <c r="CJ130" s="1"/>
      <c r="CK130" s="6"/>
    </row>
    <row r="131" spans="1:89" x14ac:dyDescent="0.25">
      <c r="A131" s="8" t="s">
        <v>131</v>
      </c>
      <c r="B131">
        <f ca="1">(U10-B127)/(D127-F127)</f>
        <v>0.89225598108955595</v>
      </c>
      <c r="BC131"/>
      <c r="BD131"/>
      <c r="BF131" s="6" t="e">
        <f t="shared" si="154"/>
        <v>#N/A</v>
      </c>
      <c r="BG131" s="6" t="e">
        <f t="shared" si="155"/>
        <v>#N/A</v>
      </c>
      <c r="BH131" s="6" t="e">
        <f t="shared" ref="BH131:BH155" si="156">ATAN2(COS($U$13-BF131),SIN($U$13-BF131))</f>
        <v>#N/A</v>
      </c>
      <c r="BI131" s="6" t="e">
        <f t="shared" ref="BI131:BI155" si="157">ABS(BH131)</f>
        <v>#N/A</v>
      </c>
      <c r="BV131" s="36"/>
      <c r="BW131" s="6" t="e">
        <f t="shared" si="125"/>
        <v>#N/A</v>
      </c>
      <c r="BX131" s="9">
        <f t="shared" ca="1" si="126"/>
        <v>-65.220682514826848</v>
      </c>
      <c r="BY131" s="9">
        <f t="shared" ca="1" si="127"/>
        <v>21.430285361287321</v>
      </c>
      <c r="BZ131" s="9">
        <f t="shared" ca="1" si="128"/>
        <v>0</v>
      </c>
      <c r="CA131" s="6">
        <f t="shared" ca="1" si="129"/>
        <v>0</v>
      </c>
      <c r="CB131" s="6" t="e">
        <f t="shared" ca="1" si="130"/>
        <v>#DIV/0!</v>
      </c>
      <c r="CC131" s="6" t="e">
        <f t="shared" ca="1" si="131"/>
        <v>#DIV/0!</v>
      </c>
      <c r="CD131" s="9">
        <f t="shared" si="132"/>
        <v>-30</v>
      </c>
      <c r="CE131" s="9">
        <f t="shared" si="133"/>
        <v>0</v>
      </c>
      <c r="CF131" s="6">
        <f t="shared" si="134"/>
        <v>3.1415926535897931</v>
      </c>
      <c r="CG131" s="6" t="e">
        <f t="shared" ca="1" si="135"/>
        <v>#DIV/0!</v>
      </c>
      <c r="CH131" s="6"/>
      <c r="CI131" s="6"/>
      <c r="CJ131" s="1"/>
      <c r="CK131" s="6"/>
    </row>
    <row r="132" spans="1:89" x14ac:dyDescent="0.25">
      <c r="A132" s="8" t="s">
        <v>77</v>
      </c>
      <c r="B132">
        <f ca="1">(B125+(B131*(D125-F125)))/12</f>
        <v>65.220682514826848</v>
      </c>
      <c r="BC132"/>
      <c r="BD132"/>
      <c r="BF132" s="6" t="e">
        <f t="shared" si="154"/>
        <v>#N/A</v>
      </c>
      <c r="BG132" s="6" t="e">
        <f t="shared" si="155"/>
        <v>#N/A</v>
      </c>
      <c r="BH132" s="6" t="e">
        <f t="shared" si="156"/>
        <v>#N/A</v>
      </c>
      <c r="BI132" s="6" t="e">
        <f t="shared" si="157"/>
        <v>#N/A</v>
      </c>
      <c r="BV132" s="36"/>
      <c r="BW132" s="6" t="e">
        <f t="shared" si="125"/>
        <v>#N/A</v>
      </c>
      <c r="BX132" s="9">
        <f t="shared" ca="1" si="126"/>
        <v>-65.220682514826848</v>
      </c>
      <c r="BY132" s="9">
        <f t="shared" ca="1" si="127"/>
        <v>21.430285361287321</v>
      </c>
      <c r="BZ132" s="9">
        <f t="shared" ca="1" si="128"/>
        <v>0</v>
      </c>
      <c r="CA132" s="6">
        <f t="shared" ca="1" si="129"/>
        <v>0</v>
      </c>
      <c r="CB132" s="6" t="e">
        <f t="shared" ca="1" si="130"/>
        <v>#DIV/0!</v>
      </c>
      <c r="CC132" s="6" t="e">
        <f t="shared" ca="1" si="131"/>
        <v>#DIV/0!</v>
      </c>
      <c r="CD132" s="9">
        <f t="shared" si="132"/>
        <v>-30</v>
      </c>
      <c r="CE132" s="9">
        <f t="shared" si="133"/>
        <v>0</v>
      </c>
      <c r="CF132" s="6">
        <f t="shared" si="134"/>
        <v>3.1415926535897931</v>
      </c>
      <c r="CG132" s="6" t="e">
        <f t="shared" ca="1" si="135"/>
        <v>#DIV/0!</v>
      </c>
      <c r="CH132" s="6"/>
      <c r="CI132" s="6"/>
      <c r="CJ132" s="1"/>
      <c r="CK132" s="6"/>
    </row>
    <row r="133" spans="1:89" x14ac:dyDescent="0.25">
      <c r="A133" s="8" t="s">
        <v>124</v>
      </c>
      <c r="B133">
        <f ca="1">(B126+(B131*(D126-F126)))/12</f>
        <v>-21.430285361287321</v>
      </c>
      <c r="BC133"/>
      <c r="BD133"/>
      <c r="BF133" s="6" t="e">
        <f t="shared" si="154"/>
        <v>#N/A</v>
      </c>
      <c r="BG133" s="6" t="e">
        <f t="shared" si="155"/>
        <v>#N/A</v>
      </c>
      <c r="BH133" s="6" t="e">
        <f t="shared" si="156"/>
        <v>#N/A</v>
      </c>
      <c r="BI133" s="6" t="e">
        <f t="shared" si="157"/>
        <v>#N/A</v>
      </c>
      <c r="BV133" s="36"/>
      <c r="BW133" s="6" t="e">
        <f t="shared" si="125"/>
        <v>#N/A</v>
      </c>
      <c r="BX133" s="9">
        <f t="shared" ca="1" si="126"/>
        <v>-65.220682514826848</v>
      </c>
      <c r="BY133" s="9">
        <f t="shared" ca="1" si="127"/>
        <v>21.430285361287321</v>
      </c>
      <c r="BZ133" s="9">
        <f t="shared" ca="1" si="128"/>
        <v>0</v>
      </c>
      <c r="CA133" s="6">
        <f t="shared" ca="1" si="129"/>
        <v>0</v>
      </c>
      <c r="CB133" s="6" t="e">
        <f t="shared" ca="1" si="130"/>
        <v>#DIV/0!</v>
      </c>
      <c r="CC133" s="6" t="e">
        <f t="shared" ca="1" si="131"/>
        <v>#DIV/0!</v>
      </c>
      <c r="CD133" s="9">
        <f t="shared" si="132"/>
        <v>-30</v>
      </c>
      <c r="CE133" s="9">
        <f t="shared" si="133"/>
        <v>0</v>
      </c>
      <c r="CF133" s="6">
        <f t="shared" si="134"/>
        <v>3.1415926535897931</v>
      </c>
      <c r="CG133" s="6" t="e">
        <f t="shared" ca="1" si="135"/>
        <v>#DIV/0!</v>
      </c>
      <c r="CH133" s="6"/>
      <c r="CI133" s="6"/>
      <c r="CJ133" s="1"/>
      <c r="CK133" s="6"/>
    </row>
    <row r="134" spans="1:89" x14ac:dyDescent="0.25">
      <c r="BC134"/>
      <c r="BD134"/>
      <c r="BF134" s="6" t="e">
        <f t="shared" si="154"/>
        <v>#N/A</v>
      </c>
      <c r="BG134" s="6" t="e">
        <f t="shared" si="155"/>
        <v>#N/A</v>
      </c>
      <c r="BH134" s="6" t="e">
        <f t="shared" si="156"/>
        <v>#N/A</v>
      </c>
      <c r="BI134" s="6" t="e">
        <f t="shared" si="157"/>
        <v>#N/A</v>
      </c>
      <c r="BV134" s="36"/>
      <c r="BW134" s="6" t="e">
        <f t="shared" si="125"/>
        <v>#N/A</v>
      </c>
      <c r="BX134" s="9">
        <f t="shared" ca="1" si="126"/>
        <v>-65.220682514826848</v>
      </c>
      <c r="BY134" s="9">
        <f t="shared" ca="1" si="127"/>
        <v>21.430285361287321</v>
      </c>
      <c r="BZ134" s="9">
        <f t="shared" ca="1" si="128"/>
        <v>0</v>
      </c>
      <c r="CA134" s="6">
        <f t="shared" ca="1" si="129"/>
        <v>0</v>
      </c>
      <c r="CB134" s="6" t="e">
        <f t="shared" ca="1" si="130"/>
        <v>#DIV/0!</v>
      </c>
      <c r="CC134" s="6" t="e">
        <f t="shared" ca="1" si="131"/>
        <v>#DIV/0!</v>
      </c>
      <c r="CD134" s="9">
        <f t="shared" si="132"/>
        <v>-30</v>
      </c>
      <c r="CE134" s="9">
        <f t="shared" si="133"/>
        <v>0</v>
      </c>
      <c r="CF134" s="6">
        <f t="shared" si="134"/>
        <v>3.1415926535897931</v>
      </c>
      <c r="CG134" s="6" t="e">
        <f t="shared" ca="1" si="135"/>
        <v>#DIV/0!</v>
      </c>
      <c r="CH134" s="6"/>
      <c r="CI134" s="6"/>
      <c r="CJ134" s="1"/>
      <c r="CK134" s="6"/>
    </row>
    <row r="135" spans="1:89" x14ac:dyDescent="0.25">
      <c r="A135" s="8"/>
      <c r="BC135"/>
      <c r="BD135"/>
      <c r="BF135" s="6" t="e">
        <f t="shared" si="154"/>
        <v>#N/A</v>
      </c>
      <c r="BG135" s="6" t="e">
        <f t="shared" si="155"/>
        <v>#N/A</v>
      </c>
      <c r="BH135" s="6" t="e">
        <f t="shared" si="156"/>
        <v>#N/A</v>
      </c>
      <c r="BI135" s="6" t="e">
        <f t="shared" si="157"/>
        <v>#N/A</v>
      </c>
      <c r="BV135" s="36"/>
      <c r="BW135" s="6" t="e">
        <f t="shared" si="125"/>
        <v>#N/A</v>
      </c>
      <c r="BX135" s="9">
        <f t="shared" ca="1" si="126"/>
        <v>-65.220682514826848</v>
      </c>
      <c r="BY135" s="9">
        <f t="shared" ca="1" si="127"/>
        <v>21.430285361287321</v>
      </c>
      <c r="BZ135" s="9">
        <f t="shared" ca="1" si="128"/>
        <v>0</v>
      </c>
      <c r="CA135" s="6">
        <f t="shared" ca="1" si="129"/>
        <v>0</v>
      </c>
      <c r="CB135" s="6" t="e">
        <f t="shared" ca="1" si="130"/>
        <v>#DIV/0!</v>
      </c>
      <c r="CC135" s="6" t="e">
        <f t="shared" ca="1" si="131"/>
        <v>#DIV/0!</v>
      </c>
      <c r="CD135" s="9">
        <f t="shared" si="132"/>
        <v>-30</v>
      </c>
      <c r="CE135" s="9">
        <f t="shared" si="133"/>
        <v>0</v>
      </c>
      <c r="CF135" s="6">
        <f t="shared" si="134"/>
        <v>3.1415926535897931</v>
      </c>
      <c r="CG135" s="6" t="e">
        <f t="shared" ca="1" si="135"/>
        <v>#DIV/0!</v>
      </c>
      <c r="CH135" s="6"/>
      <c r="CI135" s="6"/>
      <c r="CJ135" s="1"/>
      <c r="CK135" s="6"/>
    </row>
    <row r="136" spans="1:89" x14ac:dyDescent="0.25">
      <c r="A136" s="49" t="s">
        <v>153</v>
      </c>
      <c r="BC136"/>
      <c r="BD136"/>
      <c r="BF136" s="6" t="e">
        <f t="shared" si="154"/>
        <v>#N/A</v>
      </c>
      <c r="BG136" s="6" t="e">
        <f t="shared" si="155"/>
        <v>#N/A</v>
      </c>
      <c r="BH136" s="6" t="e">
        <f t="shared" si="156"/>
        <v>#N/A</v>
      </c>
      <c r="BI136" s="6" t="e">
        <f t="shared" si="157"/>
        <v>#N/A</v>
      </c>
      <c r="BV136" s="36"/>
      <c r="BW136" s="6" t="e">
        <f t="shared" si="125"/>
        <v>#N/A</v>
      </c>
      <c r="BX136" s="9">
        <f t="shared" ca="1" si="126"/>
        <v>-65.220682514826848</v>
      </c>
      <c r="BY136" s="9">
        <f t="shared" ca="1" si="127"/>
        <v>21.430285361287321</v>
      </c>
      <c r="BZ136" s="9">
        <f t="shared" ca="1" si="128"/>
        <v>0</v>
      </c>
      <c r="CA136" s="6">
        <f t="shared" ca="1" si="129"/>
        <v>0</v>
      </c>
      <c r="CB136" s="6" t="e">
        <f t="shared" ca="1" si="130"/>
        <v>#DIV/0!</v>
      </c>
      <c r="CC136" s="6" t="e">
        <f t="shared" ca="1" si="131"/>
        <v>#DIV/0!</v>
      </c>
      <c r="CD136" s="9">
        <f t="shared" si="132"/>
        <v>-30</v>
      </c>
      <c r="CE136" s="9">
        <f t="shared" si="133"/>
        <v>0</v>
      </c>
      <c r="CF136" s="6">
        <f t="shared" si="134"/>
        <v>3.1415926535897931</v>
      </c>
      <c r="CG136" s="6" t="e">
        <f t="shared" ca="1" si="135"/>
        <v>#DIV/0!</v>
      </c>
      <c r="CH136" s="6"/>
      <c r="CI136" s="6"/>
      <c r="CJ136" s="1"/>
      <c r="CK136" s="6"/>
    </row>
    <row r="137" spans="1:89" x14ac:dyDescent="0.25">
      <c r="A137" t="s">
        <v>154</v>
      </c>
      <c r="BC137"/>
      <c r="BD137"/>
      <c r="BF137" s="6" t="e">
        <f t="shared" si="154"/>
        <v>#N/A</v>
      </c>
      <c r="BG137" s="6" t="e">
        <f t="shared" si="155"/>
        <v>#N/A</v>
      </c>
      <c r="BH137" s="6" t="e">
        <f t="shared" si="156"/>
        <v>#N/A</v>
      </c>
      <c r="BI137" s="6" t="e">
        <f t="shared" si="157"/>
        <v>#N/A</v>
      </c>
      <c r="BV137" s="36"/>
      <c r="BW137" s="6" t="e">
        <f t="shared" si="125"/>
        <v>#N/A</v>
      </c>
      <c r="BX137" s="9">
        <f t="shared" ca="1" si="126"/>
        <v>-65.220682514826848</v>
      </c>
      <c r="BY137" s="9">
        <f t="shared" ca="1" si="127"/>
        <v>21.430285361287321</v>
      </c>
      <c r="BZ137" s="9">
        <f t="shared" ca="1" si="128"/>
        <v>0</v>
      </c>
      <c r="CA137" s="6">
        <f t="shared" ca="1" si="129"/>
        <v>0</v>
      </c>
      <c r="CB137" s="6" t="e">
        <f t="shared" ca="1" si="130"/>
        <v>#DIV/0!</v>
      </c>
      <c r="CC137" s="6" t="e">
        <f t="shared" ca="1" si="131"/>
        <v>#DIV/0!</v>
      </c>
      <c r="CD137" s="9">
        <f t="shared" si="132"/>
        <v>-30</v>
      </c>
      <c r="CE137" s="9">
        <f t="shared" si="133"/>
        <v>0</v>
      </c>
      <c r="CF137" s="6">
        <f t="shared" si="134"/>
        <v>3.1415926535897931</v>
      </c>
      <c r="CG137" s="6" t="e">
        <f t="shared" ca="1" si="135"/>
        <v>#DIV/0!</v>
      </c>
      <c r="CH137" s="6"/>
      <c r="CI137" s="6"/>
      <c r="CJ137" s="1"/>
      <c r="CK137" s="6"/>
    </row>
    <row r="138" spans="1:89" ht="18" x14ac:dyDescent="0.35">
      <c r="A138" t="s">
        <v>155</v>
      </c>
      <c r="B138" t="s">
        <v>156</v>
      </c>
      <c r="BC138"/>
      <c r="BD138"/>
      <c r="BF138" s="6" t="e">
        <f t="shared" si="154"/>
        <v>#N/A</v>
      </c>
      <c r="BG138" s="6" t="e">
        <f t="shared" si="155"/>
        <v>#N/A</v>
      </c>
      <c r="BH138" s="6" t="e">
        <f t="shared" si="156"/>
        <v>#N/A</v>
      </c>
      <c r="BI138" s="6" t="e">
        <f t="shared" si="157"/>
        <v>#N/A</v>
      </c>
      <c r="BV138" s="36"/>
      <c r="BW138" s="6" t="e">
        <f t="shared" si="125"/>
        <v>#N/A</v>
      </c>
      <c r="BX138" s="9">
        <f t="shared" ca="1" si="126"/>
        <v>-65.220682514826848</v>
      </c>
      <c r="BY138" s="9">
        <f t="shared" ca="1" si="127"/>
        <v>21.430285361287321</v>
      </c>
      <c r="BZ138" s="9">
        <f t="shared" ca="1" si="128"/>
        <v>0</v>
      </c>
      <c r="CA138" s="6">
        <f t="shared" ca="1" si="129"/>
        <v>0</v>
      </c>
      <c r="CB138" s="6" t="e">
        <f t="shared" ca="1" si="130"/>
        <v>#DIV/0!</v>
      </c>
      <c r="CC138" s="6" t="e">
        <f t="shared" ca="1" si="131"/>
        <v>#DIV/0!</v>
      </c>
      <c r="CD138" s="9">
        <f t="shared" si="132"/>
        <v>-30</v>
      </c>
      <c r="CE138" s="9">
        <f t="shared" si="133"/>
        <v>0</v>
      </c>
      <c r="CF138" s="6">
        <f t="shared" si="134"/>
        <v>3.1415926535897931</v>
      </c>
      <c r="CG138" s="6" t="e">
        <f t="shared" ca="1" si="135"/>
        <v>#DIV/0!</v>
      </c>
      <c r="CH138" s="6"/>
      <c r="CI138" s="6"/>
      <c r="CJ138" s="1"/>
      <c r="CK138" s="6"/>
    </row>
    <row r="139" spans="1:89" ht="18" x14ac:dyDescent="0.35">
      <c r="A139" t="s">
        <v>157</v>
      </c>
      <c r="B139" t="s">
        <v>158</v>
      </c>
      <c r="BC139"/>
      <c r="BD139"/>
      <c r="BF139" s="6" t="e">
        <f t="shared" si="154"/>
        <v>#N/A</v>
      </c>
      <c r="BG139" s="6" t="e">
        <f t="shared" si="155"/>
        <v>#N/A</v>
      </c>
      <c r="BH139" s="6" t="e">
        <f t="shared" si="156"/>
        <v>#N/A</v>
      </c>
      <c r="BI139" s="6" t="e">
        <f t="shared" si="157"/>
        <v>#N/A</v>
      </c>
      <c r="BV139" s="36"/>
      <c r="BW139" s="6" t="e">
        <f t="shared" si="125"/>
        <v>#N/A</v>
      </c>
      <c r="BX139" s="9">
        <f t="shared" ca="1" si="126"/>
        <v>-65.220682514826848</v>
      </c>
      <c r="BY139" s="9">
        <f t="shared" ca="1" si="127"/>
        <v>21.430285361287321</v>
      </c>
      <c r="BZ139" s="9">
        <f t="shared" ca="1" si="128"/>
        <v>0</v>
      </c>
      <c r="CA139" s="6">
        <f t="shared" ca="1" si="129"/>
        <v>0</v>
      </c>
      <c r="CB139" s="6" t="e">
        <f t="shared" ca="1" si="130"/>
        <v>#DIV/0!</v>
      </c>
      <c r="CC139" s="6" t="e">
        <f t="shared" ca="1" si="131"/>
        <v>#DIV/0!</v>
      </c>
      <c r="CD139" s="9">
        <f t="shared" si="132"/>
        <v>-30</v>
      </c>
      <c r="CE139" s="9">
        <f t="shared" si="133"/>
        <v>0</v>
      </c>
      <c r="CF139" s="6">
        <f t="shared" si="134"/>
        <v>3.1415926535897931</v>
      </c>
      <c r="CG139" s="6" t="e">
        <f t="shared" ca="1" si="135"/>
        <v>#DIV/0!</v>
      </c>
      <c r="CH139" s="6"/>
      <c r="CI139" s="6"/>
      <c r="CJ139" s="1"/>
      <c r="CK139" s="6"/>
    </row>
    <row r="140" spans="1:89" ht="18" x14ac:dyDescent="0.35">
      <c r="A140" t="s">
        <v>159</v>
      </c>
      <c r="BC140"/>
      <c r="BD140"/>
      <c r="BF140" s="6" t="e">
        <f t="shared" si="154"/>
        <v>#N/A</v>
      </c>
      <c r="BG140" s="6" t="e">
        <f t="shared" si="155"/>
        <v>#N/A</v>
      </c>
      <c r="BH140" s="6" t="e">
        <f t="shared" si="156"/>
        <v>#N/A</v>
      </c>
      <c r="BI140" s="6" t="e">
        <f t="shared" si="157"/>
        <v>#N/A</v>
      </c>
      <c r="BV140" s="36"/>
      <c r="BW140" s="6" t="e">
        <f t="shared" si="125"/>
        <v>#N/A</v>
      </c>
      <c r="BX140" s="9">
        <f t="shared" ca="1" si="126"/>
        <v>-65.220682514826848</v>
      </c>
      <c r="BY140" s="9">
        <f t="shared" ca="1" si="127"/>
        <v>21.430285361287321</v>
      </c>
      <c r="BZ140" s="9">
        <f t="shared" ca="1" si="128"/>
        <v>0</v>
      </c>
      <c r="CA140" s="6">
        <f t="shared" ca="1" si="129"/>
        <v>0</v>
      </c>
      <c r="CB140" s="6" t="e">
        <f t="shared" ca="1" si="130"/>
        <v>#DIV/0!</v>
      </c>
      <c r="CC140" s="6" t="e">
        <f t="shared" ca="1" si="131"/>
        <v>#DIV/0!</v>
      </c>
      <c r="CD140" s="9">
        <f t="shared" si="132"/>
        <v>-30</v>
      </c>
      <c r="CE140" s="9">
        <f t="shared" si="133"/>
        <v>0</v>
      </c>
      <c r="CF140" s="6">
        <f t="shared" si="134"/>
        <v>3.1415926535897931</v>
      </c>
      <c r="CG140" s="6" t="e">
        <f t="shared" ca="1" si="135"/>
        <v>#DIV/0!</v>
      </c>
      <c r="CH140" s="6"/>
      <c r="CI140" s="6"/>
      <c r="CJ140" s="1"/>
      <c r="CK140" s="6"/>
    </row>
    <row r="141" spans="1:89" ht="18.75" x14ac:dyDescent="0.35">
      <c r="A141" t="s">
        <v>160</v>
      </c>
      <c r="B141" t="s">
        <v>161</v>
      </c>
      <c r="BC141"/>
      <c r="BD141"/>
      <c r="BF141" s="6" t="e">
        <f t="shared" si="154"/>
        <v>#N/A</v>
      </c>
      <c r="BG141" s="6" t="e">
        <f t="shared" si="155"/>
        <v>#N/A</v>
      </c>
      <c r="BH141" s="6" t="e">
        <f t="shared" si="156"/>
        <v>#N/A</v>
      </c>
      <c r="BI141" s="6" t="e">
        <f t="shared" si="157"/>
        <v>#N/A</v>
      </c>
      <c r="BV141" s="36"/>
      <c r="BW141" s="6" t="e">
        <f t="shared" si="125"/>
        <v>#N/A</v>
      </c>
      <c r="BX141" s="9">
        <f t="shared" ca="1" si="126"/>
        <v>-65.220682514826848</v>
      </c>
      <c r="BY141" s="9">
        <f t="shared" ca="1" si="127"/>
        <v>21.430285361287321</v>
      </c>
      <c r="BZ141" s="9">
        <f t="shared" ca="1" si="128"/>
        <v>0</v>
      </c>
      <c r="CA141" s="6">
        <f t="shared" ca="1" si="129"/>
        <v>0</v>
      </c>
      <c r="CB141" s="6" t="e">
        <f t="shared" ca="1" si="130"/>
        <v>#DIV/0!</v>
      </c>
      <c r="CC141" s="6" t="e">
        <f t="shared" ca="1" si="131"/>
        <v>#DIV/0!</v>
      </c>
      <c r="CD141" s="9">
        <f t="shared" si="132"/>
        <v>-30</v>
      </c>
      <c r="CE141" s="9">
        <f t="shared" si="133"/>
        <v>0</v>
      </c>
      <c r="CF141" s="6">
        <f t="shared" si="134"/>
        <v>3.1415926535897931</v>
      </c>
      <c r="CG141" s="6" t="e">
        <f t="shared" ca="1" si="135"/>
        <v>#DIV/0!</v>
      </c>
      <c r="CH141" s="6"/>
      <c r="CI141" s="6"/>
      <c r="CJ141" s="1"/>
      <c r="CK141" s="6"/>
    </row>
    <row r="142" spans="1:89" x14ac:dyDescent="0.25">
      <c r="BC142"/>
      <c r="BD142"/>
      <c r="BF142" s="6" t="e">
        <f t="shared" si="154"/>
        <v>#N/A</v>
      </c>
      <c r="BG142" s="6" t="e">
        <f t="shared" si="155"/>
        <v>#N/A</v>
      </c>
      <c r="BH142" s="6" t="e">
        <f t="shared" si="156"/>
        <v>#N/A</v>
      </c>
      <c r="BI142" s="6" t="e">
        <f t="shared" si="157"/>
        <v>#N/A</v>
      </c>
      <c r="BV142" s="36"/>
      <c r="BW142" s="6" t="e">
        <f t="shared" si="125"/>
        <v>#N/A</v>
      </c>
      <c r="BX142" s="9">
        <f t="shared" ca="1" si="126"/>
        <v>-65.220682514826848</v>
      </c>
      <c r="BY142" s="9">
        <f t="shared" ca="1" si="127"/>
        <v>21.430285361287321</v>
      </c>
      <c r="BZ142" s="9">
        <f t="shared" ca="1" si="128"/>
        <v>0</v>
      </c>
      <c r="CA142" s="6">
        <f t="shared" ca="1" si="129"/>
        <v>0</v>
      </c>
      <c r="CB142" s="6" t="e">
        <f t="shared" ca="1" si="130"/>
        <v>#DIV/0!</v>
      </c>
      <c r="CC142" s="6" t="e">
        <f t="shared" ca="1" si="131"/>
        <v>#DIV/0!</v>
      </c>
      <c r="CD142" s="9">
        <f t="shared" si="132"/>
        <v>-30</v>
      </c>
      <c r="CE142" s="9">
        <f t="shared" si="133"/>
        <v>0</v>
      </c>
      <c r="CF142" s="6">
        <f t="shared" si="134"/>
        <v>3.1415926535897931</v>
      </c>
      <c r="CG142" s="6" t="e">
        <f t="shared" ca="1" si="135"/>
        <v>#DIV/0!</v>
      </c>
      <c r="CH142" s="6"/>
      <c r="CI142" s="6"/>
      <c r="CJ142" s="1"/>
      <c r="CK142" s="6"/>
    </row>
    <row r="143" spans="1:89" x14ac:dyDescent="0.25">
      <c r="A143" t="s">
        <v>162</v>
      </c>
      <c r="B143" s="3">
        <f>B2*1000</f>
        <v>5000</v>
      </c>
      <c r="C143" t="s">
        <v>163</v>
      </c>
      <c r="BC143"/>
      <c r="BD143"/>
      <c r="BF143" s="6" t="e">
        <f t="shared" si="154"/>
        <v>#N/A</v>
      </c>
      <c r="BG143" s="6" t="e">
        <f t="shared" si="155"/>
        <v>#N/A</v>
      </c>
      <c r="BH143" s="6" t="e">
        <f t="shared" si="156"/>
        <v>#N/A</v>
      </c>
      <c r="BI143" s="6" t="e">
        <f t="shared" si="157"/>
        <v>#N/A</v>
      </c>
      <c r="BV143" s="36"/>
      <c r="BW143" s="6" t="e">
        <f t="shared" si="125"/>
        <v>#N/A</v>
      </c>
      <c r="BX143" s="9">
        <f t="shared" ca="1" si="126"/>
        <v>-65.220682514826848</v>
      </c>
      <c r="BY143" s="9">
        <f t="shared" ca="1" si="127"/>
        <v>21.430285361287321</v>
      </c>
      <c r="BZ143" s="9">
        <f t="shared" ca="1" si="128"/>
        <v>0</v>
      </c>
      <c r="CA143" s="6">
        <f t="shared" ca="1" si="129"/>
        <v>0</v>
      </c>
      <c r="CB143" s="6" t="e">
        <f t="shared" ca="1" si="130"/>
        <v>#DIV/0!</v>
      </c>
      <c r="CC143" s="6" t="e">
        <f t="shared" ca="1" si="131"/>
        <v>#DIV/0!</v>
      </c>
      <c r="CD143" s="9">
        <f t="shared" si="132"/>
        <v>-30</v>
      </c>
      <c r="CE143" s="9">
        <f t="shared" si="133"/>
        <v>0</v>
      </c>
      <c r="CF143" s="6">
        <f t="shared" si="134"/>
        <v>3.1415926535897931</v>
      </c>
      <c r="CG143" s="6" t="e">
        <f t="shared" ca="1" si="135"/>
        <v>#DIV/0!</v>
      </c>
      <c r="CH143" s="6"/>
      <c r="CI143" s="6"/>
      <c r="CJ143" s="1"/>
      <c r="CK143" s="6"/>
    </row>
    <row r="144" spans="1:89" x14ac:dyDescent="0.25">
      <c r="A144" t="s">
        <v>2</v>
      </c>
      <c r="B144" s="3">
        <f>B3*1000</f>
        <v>4074280.688047891</v>
      </c>
      <c r="C144" t="s">
        <v>163</v>
      </c>
      <c r="BC144"/>
      <c r="BD144"/>
      <c r="BF144" s="6" t="e">
        <f t="shared" si="154"/>
        <v>#N/A</v>
      </c>
      <c r="BG144" s="6" t="e">
        <f t="shared" si="155"/>
        <v>#N/A</v>
      </c>
      <c r="BH144" s="6" t="e">
        <f t="shared" si="156"/>
        <v>#N/A</v>
      </c>
      <c r="BI144" s="6" t="e">
        <f t="shared" si="157"/>
        <v>#N/A</v>
      </c>
      <c r="BV144" s="36"/>
      <c r="BW144" s="6" t="e">
        <f t="shared" ref="BW144:BW207" si="158">IF(BC131="",NA(),BC131)</f>
        <v>#N/A</v>
      </c>
      <c r="BX144" s="9">
        <f t="shared" ref="BX144:BX207" ca="1" si="159">BD131-$BW$5</f>
        <v>-65.220682514826848</v>
      </c>
      <c r="BY144" s="9">
        <f t="shared" ref="BY144:BY207" ca="1" si="160">BE131-$BX$5</f>
        <v>21.430285361287321</v>
      </c>
      <c r="BZ144" s="9">
        <f t="shared" ref="BZ144:BZ207" ca="1" si="161">BX144-$CE$5</f>
        <v>0</v>
      </c>
      <c r="CA144" s="6">
        <f t="shared" ref="CA144:CA207" ca="1" si="162">BY144-$CF$5</f>
        <v>0</v>
      </c>
      <c r="CB144" s="6" t="e">
        <f t="shared" ref="CB144:CB207" ca="1" si="163">ATAN2(BZ144,CA144)</f>
        <v>#DIV/0!</v>
      </c>
      <c r="CC144" s="6" t="e">
        <f t="shared" ref="CC144:CC207" ca="1" si="164">CG144</f>
        <v>#DIV/0!</v>
      </c>
      <c r="CD144" s="9">
        <f t="shared" ref="CD144:CD207" si="165">BD131-$BW$6</f>
        <v>-30</v>
      </c>
      <c r="CE144" s="9">
        <f t="shared" ref="CE144:CE207" si="166">BE131-$BX$6</f>
        <v>0</v>
      </c>
      <c r="CF144" s="6">
        <f t="shared" ref="CF144:CF207" si="167">ATAN2(CD144,CE144)</f>
        <v>3.1415926535897931</v>
      </c>
      <c r="CG144" s="6" t="e">
        <f t="shared" ref="CG144:CG207" ca="1" si="168">ATAN2(COS(CF144-CB144),SIN(CF144-CB144))</f>
        <v>#DIV/0!</v>
      </c>
      <c r="CH144" s="6"/>
      <c r="CI144" s="6"/>
      <c r="CJ144" s="1"/>
      <c r="CK144" s="6"/>
    </row>
    <row r="145" spans="1:89" ht="18" x14ac:dyDescent="0.35">
      <c r="A145" t="s">
        <v>155</v>
      </c>
      <c r="B145" s="1">
        <f>(2*0.85*B143)/B144</f>
        <v>2.0862578331765852E-3</v>
      </c>
      <c r="C145" t="s">
        <v>164</v>
      </c>
      <c r="BC145"/>
      <c r="BD145"/>
      <c r="BF145" s="6" t="e">
        <f t="shared" si="154"/>
        <v>#N/A</v>
      </c>
      <c r="BG145" s="6" t="e">
        <f t="shared" si="155"/>
        <v>#N/A</v>
      </c>
      <c r="BH145" s="6" t="e">
        <f t="shared" si="156"/>
        <v>#N/A</v>
      </c>
      <c r="BI145" s="6" t="e">
        <f t="shared" si="157"/>
        <v>#N/A</v>
      </c>
      <c r="BV145" s="36"/>
      <c r="BW145" s="6" t="e">
        <f t="shared" si="158"/>
        <v>#N/A</v>
      </c>
      <c r="BX145" s="9">
        <f t="shared" ca="1" si="159"/>
        <v>-65.220682514826848</v>
      </c>
      <c r="BY145" s="9">
        <f t="shared" ca="1" si="160"/>
        <v>21.430285361287321</v>
      </c>
      <c r="BZ145" s="9">
        <f t="shared" ca="1" si="161"/>
        <v>0</v>
      </c>
      <c r="CA145" s="6">
        <f t="shared" ca="1" si="162"/>
        <v>0</v>
      </c>
      <c r="CB145" s="6" t="e">
        <f t="shared" ca="1" si="163"/>
        <v>#DIV/0!</v>
      </c>
      <c r="CC145" s="6" t="e">
        <f t="shared" ca="1" si="164"/>
        <v>#DIV/0!</v>
      </c>
      <c r="CD145" s="9">
        <f t="shared" si="165"/>
        <v>-30</v>
      </c>
      <c r="CE145" s="9">
        <f t="shared" si="166"/>
        <v>0</v>
      </c>
      <c r="CF145" s="6">
        <f t="shared" si="167"/>
        <v>3.1415926535897931</v>
      </c>
      <c r="CG145" s="6" t="e">
        <f t="shared" ca="1" si="168"/>
        <v>#DIV/0!</v>
      </c>
      <c r="CH145" s="6"/>
      <c r="CI145" s="6"/>
      <c r="CJ145" s="1"/>
      <c r="CK145" s="6"/>
    </row>
    <row r="146" spans="1:89" ht="18" x14ac:dyDescent="0.35">
      <c r="A146" t="s">
        <v>165</v>
      </c>
      <c r="B146" s="1">
        <v>3.0000000000000001E-3</v>
      </c>
      <c r="C146" t="s">
        <v>164</v>
      </c>
      <c r="BC146"/>
      <c r="BD146"/>
      <c r="BF146" s="6" t="e">
        <f t="shared" si="154"/>
        <v>#N/A</v>
      </c>
      <c r="BG146" s="6" t="e">
        <f t="shared" si="155"/>
        <v>#N/A</v>
      </c>
      <c r="BH146" s="6" t="e">
        <f t="shared" si="156"/>
        <v>#N/A</v>
      </c>
      <c r="BI146" s="6" t="e">
        <f t="shared" si="157"/>
        <v>#N/A</v>
      </c>
      <c r="BV146" s="36"/>
      <c r="BW146" s="6" t="e">
        <f t="shared" si="158"/>
        <v>#N/A</v>
      </c>
      <c r="BX146" s="9">
        <f t="shared" ca="1" si="159"/>
        <v>-65.220682514826848</v>
      </c>
      <c r="BY146" s="9">
        <f t="shared" ca="1" si="160"/>
        <v>21.430285361287321</v>
      </c>
      <c r="BZ146" s="9">
        <f t="shared" ca="1" si="161"/>
        <v>0</v>
      </c>
      <c r="CA146" s="6">
        <f t="shared" ca="1" si="162"/>
        <v>0</v>
      </c>
      <c r="CB146" s="6" t="e">
        <f t="shared" ca="1" si="163"/>
        <v>#DIV/0!</v>
      </c>
      <c r="CC146" s="6" t="e">
        <f t="shared" ca="1" si="164"/>
        <v>#DIV/0!</v>
      </c>
      <c r="CD146" s="9">
        <f t="shared" si="165"/>
        <v>-30</v>
      </c>
      <c r="CE146" s="9">
        <f t="shared" si="166"/>
        <v>0</v>
      </c>
      <c r="CF146" s="6">
        <f t="shared" si="167"/>
        <v>3.1415926535897931</v>
      </c>
      <c r="CG146" s="6" t="e">
        <f t="shared" ca="1" si="168"/>
        <v>#DIV/0!</v>
      </c>
      <c r="CH146" s="6"/>
      <c r="CI146" s="6"/>
      <c r="CJ146" s="1"/>
      <c r="CK146" s="6"/>
    </row>
    <row r="147" spans="1:89" ht="18" x14ac:dyDescent="0.35">
      <c r="A147" t="s">
        <v>166</v>
      </c>
      <c r="B147" s="1">
        <f>B146/B145</f>
        <v>1.4379814193110203</v>
      </c>
      <c r="C147" t="s">
        <v>167</v>
      </c>
      <c r="BC147"/>
      <c r="BD147"/>
      <c r="BF147" s="6" t="e">
        <f t="shared" si="154"/>
        <v>#N/A</v>
      </c>
      <c r="BG147" s="6" t="e">
        <f t="shared" si="155"/>
        <v>#N/A</v>
      </c>
      <c r="BH147" s="6" t="e">
        <f t="shared" si="156"/>
        <v>#N/A</v>
      </c>
      <c r="BI147" s="6" t="e">
        <f t="shared" si="157"/>
        <v>#N/A</v>
      </c>
      <c r="BV147" s="36"/>
      <c r="BW147" s="6" t="e">
        <f t="shared" si="158"/>
        <v>#N/A</v>
      </c>
      <c r="BX147" s="9">
        <f t="shared" ca="1" si="159"/>
        <v>-65.220682514826848</v>
      </c>
      <c r="BY147" s="9">
        <f t="shared" ca="1" si="160"/>
        <v>21.430285361287321</v>
      </c>
      <c r="BZ147" s="9">
        <f t="shared" ca="1" si="161"/>
        <v>0</v>
      </c>
      <c r="CA147" s="6">
        <f t="shared" ca="1" si="162"/>
        <v>0</v>
      </c>
      <c r="CB147" s="6" t="e">
        <f t="shared" ca="1" si="163"/>
        <v>#DIV/0!</v>
      </c>
      <c r="CC147" s="6" t="e">
        <f t="shared" ca="1" si="164"/>
        <v>#DIV/0!</v>
      </c>
      <c r="CD147" s="9">
        <f t="shared" si="165"/>
        <v>-30</v>
      </c>
      <c r="CE147" s="9">
        <f t="shared" si="166"/>
        <v>0</v>
      </c>
      <c r="CF147" s="6">
        <f t="shared" si="167"/>
        <v>3.1415926535897931</v>
      </c>
      <c r="CG147" s="6" t="e">
        <f t="shared" ca="1" si="168"/>
        <v>#DIV/0!</v>
      </c>
      <c r="CH147" s="6"/>
      <c r="CI147" s="6"/>
      <c r="CJ147" s="1"/>
      <c r="CK147" s="6"/>
    </row>
    <row r="148" spans="1:89" ht="18" x14ac:dyDescent="0.35">
      <c r="A148" t="s">
        <v>168</v>
      </c>
      <c r="B148" s="6">
        <f>G38</f>
        <v>12.738586115015005</v>
      </c>
      <c r="C148" t="s">
        <v>4</v>
      </c>
      <c r="BC148"/>
      <c r="BD148"/>
      <c r="BF148" s="6" t="e">
        <f t="shared" si="154"/>
        <v>#N/A</v>
      </c>
      <c r="BG148" s="6" t="e">
        <f t="shared" si="155"/>
        <v>#N/A</v>
      </c>
      <c r="BH148" s="6" t="e">
        <f t="shared" si="156"/>
        <v>#N/A</v>
      </c>
      <c r="BI148" s="6" t="e">
        <f t="shared" si="157"/>
        <v>#N/A</v>
      </c>
      <c r="BV148" s="36"/>
      <c r="BW148" s="6" t="e">
        <f t="shared" si="158"/>
        <v>#N/A</v>
      </c>
      <c r="BX148" s="9">
        <f t="shared" ca="1" si="159"/>
        <v>-65.220682514826848</v>
      </c>
      <c r="BY148" s="9">
        <f t="shared" ca="1" si="160"/>
        <v>21.430285361287321</v>
      </c>
      <c r="BZ148" s="9">
        <f t="shared" ca="1" si="161"/>
        <v>0</v>
      </c>
      <c r="CA148" s="6">
        <f t="shared" ca="1" si="162"/>
        <v>0</v>
      </c>
      <c r="CB148" s="6" t="e">
        <f t="shared" ca="1" si="163"/>
        <v>#DIV/0!</v>
      </c>
      <c r="CC148" s="6" t="e">
        <f t="shared" ca="1" si="164"/>
        <v>#DIV/0!</v>
      </c>
      <c r="CD148" s="9">
        <f t="shared" si="165"/>
        <v>-30</v>
      </c>
      <c r="CE148" s="9">
        <f t="shared" si="166"/>
        <v>0</v>
      </c>
      <c r="CF148" s="6">
        <f t="shared" si="167"/>
        <v>3.1415926535897931</v>
      </c>
      <c r="CG148" s="6" t="e">
        <f t="shared" ca="1" si="168"/>
        <v>#DIV/0!</v>
      </c>
      <c r="CH148" s="6"/>
      <c r="CI148" s="6"/>
      <c r="CJ148" s="1"/>
      <c r="CK148" s="6"/>
    </row>
    <row r="149" spans="1:89" x14ac:dyDescent="0.25">
      <c r="B149" s="1"/>
      <c r="BC149"/>
      <c r="BD149"/>
      <c r="BF149" s="6" t="e">
        <f t="shared" si="154"/>
        <v>#N/A</v>
      </c>
      <c r="BG149" s="6" t="e">
        <f t="shared" si="155"/>
        <v>#N/A</v>
      </c>
      <c r="BH149" s="6" t="e">
        <f t="shared" si="156"/>
        <v>#N/A</v>
      </c>
      <c r="BI149" s="6" t="e">
        <f t="shared" si="157"/>
        <v>#N/A</v>
      </c>
      <c r="BV149" s="36"/>
      <c r="BW149" s="6" t="e">
        <f t="shared" si="158"/>
        <v>#N/A</v>
      </c>
      <c r="BX149" s="9">
        <f t="shared" ca="1" si="159"/>
        <v>-65.220682514826848</v>
      </c>
      <c r="BY149" s="9">
        <f t="shared" ca="1" si="160"/>
        <v>21.430285361287321</v>
      </c>
      <c r="BZ149" s="9">
        <f t="shared" ca="1" si="161"/>
        <v>0</v>
      </c>
      <c r="CA149" s="6">
        <f t="shared" ca="1" si="162"/>
        <v>0</v>
      </c>
      <c r="CB149" s="6" t="e">
        <f t="shared" ca="1" si="163"/>
        <v>#DIV/0!</v>
      </c>
      <c r="CC149" s="6" t="e">
        <f t="shared" ca="1" si="164"/>
        <v>#DIV/0!</v>
      </c>
      <c r="CD149" s="9">
        <f t="shared" si="165"/>
        <v>-30</v>
      </c>
      <c r="CE149" s="9">
        <f t="shared" si="166"/>
        <v>0</v>
      </c>
      <c r="CF149" s="6">
        <f t="shared" si="167"/>
        <v>3.1415926535897931</v>
      </c>
      <c r="CG149" s="6" t="e">
        <f t="shared" ca="1" si="168"/>
        <v>#DIV/0!</v>
      </c>
      <c r="CH149" s="6"/>
      <c r="CI149" s="6"/>
      <c r="CJ149" s="1"/>
      <c r="CK149" s="6"/>
    </row>
    <row r="150" spans="1:89" x14ac:dyDescent="0.25">
      <c r="A150" t="s">
        <v>169</v>
      </c>
      <c r="B150" s="48">
        <f>B28</f>
        <v>3.4538135990366818</v>
      </c>
      <c r="C150" t="s">
        <v>4</v>
      </c>
      <c r="D150" t="s">
        <v>170</v>
      </c>
      <c r="BC150"/>
      <c r="BD150"/>
      <c r="BF150" s="6" t="e">
        <f t="shared" si="154"/>
        <v>#N/A</v>
      </c>
      <c r="BG150" s="6" t="e">
        <f t="shared" si="155"/>
        <v>#N/A</v>
      </c>
      <c r="BH150" s="6" t="e">
        <f t="shared" si="156"/>
        <v>#N/A</v>
      </c>
      <c r="BI150" s="6" t="e">
        <f t="shared" si="157"/>
        <v>#N/A</v>
      </c>
      <c r="BV150" s="36"/>
      <c r="BW150" s="6" t="e">
        <f t="shared" si="158"/>
        <v>#N/A</v>
      </c>
      <c r="BX150" s="9">
        <f t="shared" ca="1" si="159"/>
        <v>-65.220682514826848</v>
      </c>
      <c r="BY150" s="9">
        <f t="shared" ca="1" si="160"/>
        <v>21.430285361287321</v>
      </c>
      <c r="BZ150" s="9">
        <f t="shared" ca="1" si="161"/>
        <v>0</v>
      </c>
      <c r="CA150" s="6">
        <f t="shared" ca="1" si="162"/>
        <v>0</v>
      </c>
      <c r="CB150" s="6" t="e">
        <f t="shared" ca="1" si="163"/>
        <v>#DIV/0!</v>
      </c>
      <c r="CC150" s="6" t="e">
        <f t="shared" ca="1" si="164"/>
        <v>#DIV/0!</v>
      </c>
      <c r="CD150" s="9">
        <f t="shared" si="165"/>
        <v>-30</v>
      </c>
      <c r="CE150" s="9">
        <f t="shared" si="166"/>
        <v>0</v>
      </c>
      <c r="CF150" s="6">
        <f t="shared" si="167"/>
        <v>3.1415926535897931</v>
      </c>
      <c r="CG150" s="6" t="e">
        <f t="shared" ca="1" si="168"/>
        <v>#DIV/0!</v>
      </c>
      <c r="CH150" s="6"/>
      <c r="CI150" s="6"/>
      <c r="CJ150" s="1"/>
      <c r="CK150" s="6"/>
    </row>
    <row r="151" spans="1:89" ht="18" x14ac:dyDescent="0.35">
      <c r="A151" t="s">
        <v>171</v>
      </c>
      <c r="B151" s="1">
        <f>(((B145/B146)*B150)-B150)*-1</f>
        <v>1.0519650405959848</v>
      </c>
      <c r="C151" t="s">
        <v>4</v>
      </c>
      <c r="D151" t="s">
        <v>172</v>
      </c>
      <c r="BC151"/>
      <c r="BD151"/>
      <c r="BF151" s="6" t="e">
        <f t="shared" si="154"/>
        <v>#N/A</v>
      </c>
      <c r="BG151" s="6" t="e">
        <f t="shared" si="155"/>
        <v>#N/A</v>
      </c>
      <c r="BH151" s="6" t="e">
        <f t="shared" si="156"/>
        <v>#N/A</v>
      </c>
      <c r="BI151" s="6" t="e">
        <f t="shared" si="157"/>
        <v>#N/A</v>
      </c>
      <c r="BV151" s="36"/>
      <c r="BW151" s="6" t="e">
        <f t="shared" si="158"/>
        <v>#N/A</v>
      </c>
      <c r="BX151" s="9">
        <f t="shared" ca="1" si="159"/>
        <v>-65.220682514826848</v>
      </c>
      <c r="BY151" s="9">
        <f t="shared" ca="1" si="160"/>
        <v>21.430285361287321</v>
      </c>
      <c r="BZ151" s="9">
        <f t="shared" ca="1" si="161"/>
        <v>0</v>
      </c>
      <c r="CA151" s="6">
        <f t="shared" ca="1" si="162"/>
        <v>0</v>
      </c>
      <c r="CB151" s="6" t="e">
        <f t="shared" ca="1" si="163"/>
        <v>#DIV/0!</v>
      </c>
      <c r="CC151" s="6" t="e">
        <f t="shared" ca="1" si="164"/>
        <v>#DIV/0!</v>
      </c>
      <c r="CD151" s="9">
        <f t="shared" si="165"/>
        <v>-30</v>
      </c>
      <c r="CE151" s="9">
        <f t="shared" si="166"/>
        <v>0</v>
      </c>
      <c r="CF151" s="6">
        <f t="shared" si="167"/>
        <v>3.1415926535897931</v>
      </c>
      <c r="CG151" s="6" t="e">
        <f t="shared" ca="1" si="168"/>
        <v>#DIV/0!</v>
      </c>
      <c r="CH151" s="6"/>
      <c r="CI151" s="6"/>
      <c r="CJ151" s="1"/>
      <c r="CK151" s="6"/>
    </row>
    <row r="152" spans="1:89" x14ac:dyDescent="0.25">
      <c r="A152" t="s">
        <v>173</v>
      </c>
      <c r="B152" s="1">
        <f>B148-B151</f>
        <v>11.686621074419021</v>
      </c>
      <c r="C152" t="s">
        <v>4</v>
      </c>
      <c r="D152" t="s">
        <v>174</v>
      </c>
      <c r="BC152"/>
      <c r="BD152"/>
      <c r="BF152" s="6" t="e">
        <f t="shared" si="154"/>
        <v>#N/A</v>
      </c>
      <c r="BG152" s="6" t="e">
        <f t="shared" si="155"/>
        <v>#N/A</v>
      </c>
      <c r="BH152" s="6" t="e">
        <f t="shared" si="156"/>
        <v>#N/A</v>
      </c>
      <c r="BI152" s="6" t="e">
        <f t="shared" si="157"/>
        <v>#N/A</v>
      </c>
      <c r="BV152" s="36"/>
      <c r="BW152" s="6" t="e">
        <f t="shared" si="158"/>
        <v>#N/A</v>
      </c>
      <c r="BX152" s="9">
        <f t="shared" ca="1" si="159"/>
        <v>-65.220682514826848</v>
      </c>
      <c r="BY152" s="9">
        <f t="shared" ca="1" si="160"/>
        <v>21.430285361287321</v>
      </c>
      <c r="BZ152" s="9">
        <f t="shared" ca="1" si="161"/>
        <v>0</v>
      </c>
      <c r="CA152" s="6">
        <f t="shared" ca="1" si="162"/>
        <v>0</v>
      </c>
      <c r="CB152" s="6" t="e">
        <f t="shared" ca="1" si="163"/>
        <v>#DIV/0!</v>
      </c>
      <c r="CC152" s="6" t="e">
        <f t="shared" ca="1" si="164"/>
        <v>#DIV/0!</v>
      </c>
      <c r="CD152" s="9">
        <f t="shared" si="165"/>
        <v>-30</v>
      </c>
      <c r="CE152" s="9">
        <f t="shared" si="166"/>
        <v>0</v>
      </c>
      <c r="CF152" s="6">
        <f t="shared" si="167"/>
        <v>3.1415926535897931</v>
      </c>
      <c r="CG152" s="6" t="e">
        <f t="shared" ca="1" si="168"/>
        <v>#DIV/0!</v>
      </c>
      <c r="CH152" s="6"/>
      <c r="CI152" s="6"/>
      <c r="CJ152" s="1"/>
      <c r="CK152" s="6"/>
    </row>
    <row r="153" spans="1:89" x14ac:dyDescent="0.25">
      <c r="A153" t="s">
        <v>175</v>
      </c>
      <c r="B153" s="1">
        <f>B148-B150</f>
        <v>9.2847725159783234</v>
      </c>
      <c r="C153" t="s">
        <v>4</v>
      </c>
      <c r="D153" t="s">
        <v>176</v>
      </c>
      <c r="BC153"/>
      <c r="BD153"/>
      <c r="BF153" s="6" t="e">
        <f t="shared" si="154"/>
        <v>#N/A</v>
      </c>
      <c r="BG153" s="6" t="e">
        <f t="shared" si="155"/>
        <v>#N/A</v>
      </c>
      <c r="BH153" s="6" t="e">
        <f t="shared" si="156"/>
        <v>#N/A</v>
      </c>
      <c r="BI153" s="6" t="e">
        <f t="shared" si="157"/>
        <v>#N/A</v>
      </c>
      <c r="BV153" s="36"/>
      <c r="BW153" s="6" t="e">
        <f t="shared" si="158"/>
        <v>#N/A</v>
      </c>
      <c r="BX153" s="9">
        <f t="shared" ca="1" si="159"/>
        <v>-65.220682514826848</v>
      </c>
      <c r="BY153" s="9">
        <f t="shared" ca="1" si="160"/>
        <v>21.430285361287321</v>
      </c>
      <c r="BZ153" s="9">
        <f t="shared" ca="1" si="161"/>
        <v>0</v>
      </c>
      <c r="CA153" s="6">
        <f t="shared" ca="1" si="162"/>
        <v>0</v>
      </c>
      <c r="CB153" s="6" t="e">
        <f t="shared" ca="1" si="163"/>
        <v>#DIV/0!</v>
      </c>
      <c r="CC153" s="6" t="e">
        <f t="shared" ca="1" si="164"/>
        <v>#DIV/0!</v>
      </c>
      <c r="CD153" s="9">
        <f t="shared" si="165"/>
        <v>-30</v>
      </c>
      <c r="CE153" s="9">
        <f t="shared" si="166"/>
        <v>0</v>
      </c>
      <c r="CF153" s="6">
        <f t="shared" si="167"/>
        <v>3.1415926535897931</v>
      </c>
      <c r="CG153" s="6" t="e">
        <f t="shared" ca="1" si="168"/>
        <v>#DIV/0!</v>
      </c>
      <c r="CH153" s="6"/>
      <c r="CI153" s="6"/>
      <c r="CJ153" s="1"/>
      <c r="CK153" s="6"/>
    </row>
    <row r="154" spans="1:89" x14ac:dyDescent="0.25">
      <c r="BC154"/>
      <c r="BD154"/>
      <c r="BF154" s="6" t="e">
        <f t="shared" si="154"/>
        <v>#N/A</v>
      </c>
      <c r="BG154" s="6" t="e">
        <f t="shared" si="155"/>
        <v>#N/A</v>
      </c>
      <c r="BH154" s="6" t="e">
        <f t="shared" si="156"/>
        <v>#N/A</v>
      </c>
      <c r="BI154" s="6" t="e">
        <f t="shared" si="157"/>
        <v>#N/A</v>
      </c>
      <c r="BV154" s="36"/>
      <c r="BW154" s="6" t="e">
        <f t="shared" si="158"/>
        <v>#N/A</v>
      </c>
      <c r="BX154" s="9">
        <f t="shared" ca="1" si="159"/>
        <v>-65.220682514826848</v>
      </c>
      <c r="BY154" s="9">
        <f t="shared" ca="1" si="160"/>
        <v>21.430285361287321</v>
      </c>
      <c r="BZ154" s="9">
        <f t="shared" ca="1" si="161"/>
        <v>0</v>
      </c>
      <c r="CA154" s="6">
        <f t="shared" ca="1" si="162"/>
        <v>0</v>
      </c>
      <c r="CB154" s="6" t="e">
        <f t="shared" ca="1" si="163"/>
        <v>#DIV/0!</v>
      </c>
      <c r="CC154" s="6" t="e">
        <f t="shared" ca="1" si="164"/>
        <v>#DIV/0!</v>
      </c>
      <c r="CD154" s="9">
        <f t="shared" si="165"/>
        <v>-30</v>
      </c>
      <c r="CE154" s="9">
        <f t="shared" si="166"/>
        <v>0</v>
      </c>
      <c r="CF154" s="6">
        <f t="shared" si="167"/>
        <v>3.1415926535897931</v>
      </c>
      <c r="CG154" s="6" t="e">
        <f t="shared" ca="1" si="168"/>
        <v>#DIV/0!</v>
      </c>
      <c r="CH154" s="6"/>
      <c r="CI154" s="6"/>
      <c r="CJ154" s="1"/>
      <c r="CK154" s="6"/>
    </row>
    <row r="155" spans="1:89" x14ac:dyDescent="0.25">
      <c r="A155" t="s">
        <v>177</v>
      </c>
      <c r="BC155"/>
      <c r="BD155"/>
      <c r="BF155" s="6" t="e">
        <f t="shared" si="154"/>
        <v>#N/A</v>
      </c>
      <c r="BG155" s="6" t="e">
        <f t="shared" si="155"/>
        <v>#N/A</v>
      </c>
      <c r="BH155" s="6" t="e">
        <f t="shared" si="156"/>
        <v>#N/A</v>
      </c>
      <c r="BI155" s="6" t="e">
        <f t="shared" si="157"/>
        <v>#N/A</v>
      </c>
      <c r="BV155" s="36"/>
      <c r="BW155" s="6" t="e">
        <f t="shared" si="158"/>
        <v>#N/A</v>
      </c>
      <c r="BX155" s="9">
        <f t="shared" ca="1" si="159"/>
        <v>-65.220682514826848</v>
      </c>
      <c r="BY155" s="9">
        <f t="shared" ca="1" si="160"/>
        <v>21.430285361287321</v>
      </c>
      <c r="BZ155" s="9">
        <f t="shared" ca="1" si="161"/>
        <v>0</v>
      </c>
      <c r="CA155" s="6">
        <f t="shared" ca="1" si="162"/>
        <v>0</v>
      </c>
      <c r="CB155" s="6" t="e">
        <f t="shared" ca="1" si="163"/>
        <v>#DIV/0!</v>
      </c>
      <c r="CC155" s="6" t="e">
        <f t="shared" ca="1" si="164"/>
        <v>#DIV/0!</v>
      </c>
      <c r="CD155" s="9">
        <f t="shared" si="165"/>
        <v>-30</v>
      </c>
      <c r="CE155" s="9">
        <f t="shared" si="166"/>
        <v>0</v>
      </c>
      <c r="CF155" s="6">
        <f t="shared" si="167"/>
        <v>3.1415926535897931</v>
      </c>
      <c r="CG155" s="6" t="e">
        <f t="shared" ca="1" si="168"/>
        <v>#DIV/0!</v>
      </c>
      <c r="CH155" s="6"/>
      <c r="CI155" s="6"/>
      <c r="CJ155" s="1"/>
      <c r="CK155" s="6"/>
    </row>
    <row r="156" spans="1:89" x14ac:dyDescent="0.25">
      <c r="B156" t="str">
        <f>B48</f>
        <v>xi (in)</v>
      </c>
      <c r="C156" t="str">
        <f t="shared" ref="C156:E156" si="169">C48</f>
        <v>yi (in)</v>
      </c>
      <c r="D156" t="str">
        <f t="shared" si="169"/>
        <v>xj (in)</v>
      </c>
      <c r="E156" t="str">
        <f t="shared" si="169"/>
        <v>yj (in)</v>
      </c>
      <c r="F156" s="1" t="s">
        <v>183</v>
      </c>
      <c r="G156" s="1" t="s">
        <v>184</v>
      </c>
      <c r="H156" s="1" t="s">
        <v>178</v>
      </c>
      <c r="I156" s="1" t="s">
        <v>179</v>
      </c>
      <c r="J156" s="1" t="s">
        <v>180</v>
      </c>
      <c r="K156" s="1" t="s">
        <v>181</v>
      </c>
      <c r="M156" s="1" t="s">
        <v>98</v>
      </c>
      <c r="N156" s="1" t="s">
        <v>99</v>
      </c>
      <c r="O156" s="1" t="s">
        <v>100</v>
      </c>
      <c r="P156" t="s">
        <v>185</v>
      </c>
      <c r="AB156" t="s">
        <v>186</v>
      </c>
      <c r="AS156"/>
      <c r="AT156"/>
      <c r="AU156"/>
      <c r="AV156"/>
      <c r="AW156"/>
      <c r="AX156"/>
      <c r="AY156"/>
      <c r="AZ156"/>
      <c r="BA156"/>
      <c r="BB156"/>
      <c r="BC156"/>
      <c r="BD156"/>
      <c r="BF156" s="6" t="e">
        <f t="shared" ref="BF156:BF157" si="170">IF(BC156&lt;&gt;"",IF(AND(BD156=0,BE156=0),0,MOD(ATAN2(BD156,BE156),2*PI())),NA())</f>
        <v>#N/A</v>
      </c>
      <c r="BG156" s="6" t="e">
        <f t="shared" ref="BG156:BG157" si="171">ABS(BC156-BF156)</f>
        <v>#N/A</v>
      </c>
      <c r="BH156" s="6" t="e">
        <f t="shared" ref="BH156:BH157" si="172">ATAN2(COS($U$13-BF156),SIN($U$13-BF156))</f>
        <v>#N/A</v>
      </c>
      <c r="BI156" s="6" t="e">
        <f t="shared" ref="BI156:BI157" si="173">ABS(BH156)</f>
        <v>#N/A</v>
      </c>
      <c r="BV156" s="36"/>
      <c r="BW156" s="6" t="e">
        <f t="shared" si="158"/>
        <v>#N/A</v>
      </c>
      <c r="BX156" s="9">
        <f t="shared" ca="1" si="159"/>
        <v>-65.220682514826848</v>
      </c>
      <c r="BY156" s="9">
        <f t="shared" ca="1" si="160"/>
        <v>21.430285361287321</v>
      </c>
      <c r="BZ156" s="9">
        <f t="shared" ca="1" si="161"/>
        <v>0</v>
      </c>
      <c r="CA156" s="6">
        <f t="shared" ca="1" si="162"/>
        <v>0</v>
      </c>
      <c r="CB156" s="6" t="e">
        <f t="shared" ca="1" si="163"/>
        <v>#DIV/0!</v>
      </c>
      <c r="CC156" s="6" t="e">
        <f t="shared" ca="1" si="164"/>
        <v>#DIV/0!</v>
      </c>
      <c r="CD156" s="9">
        <f t="shared" si="165"/>
        <v>-30</v>
      </c>
      <c r="CE156" s="9">
        <f t="shared" si="166"/>
        <v>0</v>
      </c>
      <c r="CF156" s="6">
        <f t="shared" si="167"/>
        <v>3.1415926535897931</v>
      </c>
      <c r="CG156" s="6" t="e">
        <f t="shared" ca="1" si="168"/>
        <v>#DIV/0!</v>
      </c>
      <c r="CH156" s="6"/>
      <c r="CI156" s="6"/>
      <c r="CJ156" s="1"/>
      <c r="CK156" s="6"/>
    </row>
    <row r="157" spans="1:89" x14ac:dyDescent="0.25">
      <c r="A157" s="1" t="s">
        <v>43</v>
      </c>
      <c r="B157" s="6">
        <f t="shared" ref="B157:E157" si="174">B49</f>
        <v>-7.664560802224675</v>
      </c>
      <c r="C157" s="6">
        <f t="shared" si="174"/>
        <v>-11.011562455392108</v>
      </c>
      <c r="D157" s="6">
        <f t="shared" si="174"/>
        <v>4.2105134829788815</v>
      </c>
      <c r="E157" s="6">
        <f t="shared" si="174"/>
        <v>-12.738586115015005</v>
      </c>
      <c r="F157" s="6">
        <f>IF(E157-C157=0,0,MIN(MAX(($B$152-C157)/(E157-C157),0),1))</f>
        <v>0</v>
      </c>
      <c r="G157" s="6">
        <f>IF(E157-C157=0,0,MIN(MAX(($B$153-C157)/(E157-C157),0),1))</f>
        <v>0</v>
      </c>
      <c r="H157" s="6">
        <f>IF(AND(F157=0,G157=0),0,IF(C157&gt;E157,B157+(F157*(D157-B157)),B157+(G157*(D157-B157))))</f>
        <v>0</v>
      </c>
      <c r="I157" s="6">
        <f>IF(AND(F157=0,G157=0),0,IF(C157&gt;E157,C157+(F157*(E157-C157)),C157+(G157*(E157-C157))))</f>
        <v>0</v>
      </c>
      <c r="J157" s="6">
        <f>IF(AND(F157=0,G157=0),0,IF(C157&gt;E157,B157+(G157*(D157-B157)),B157+(F157*(D157-B157))))</f>
        <v>0</v>
      </c>
      <c r="K157" s="6">
        <f>IF(AND(F157=0,G157=0),0,IF(C157&gt;E157,C157+(G157*(E157-C157)),C157+(F157*(E157-C157))))</f>
        <v>0</v>
      </c>
      <c r="L157" s="6"/>
      <c r="M157" s="6">
        <f>((17*$B$143*$B$147*(I157-K157))/(240*POWER($B$150,2)))*((H157*((2*I157*((4*$B$150*($B$147-1))+($B$147*K157)-(4*$B$147*$B$148)))+(6*($B$150-$B$148)*(($B$150*($B$147-2))-($B$147*$B$148)))+(4*K157*(($B$150*($B$147-1))-($B$147*$B$148)))+(3*$B$147*I157*I157)+($B$147*K157*K157)))+(J157*((2*I157*((2*$B$150*($B$147-1))+($B$147*K157)-(2*$B$147*$B$148)))+(6*($B$150-$B$148)*(($B$150*($B$147-2))-($B$147*$B$148)))+(8*K157*(($B$150*($B$147-1))-($B$147*$B$148)))+($B$147*I157*I157)+(3*$B$147*K157*K157))))</f>
        <v>0</v>
      </c>
      <c r="N157" s="6">
        <f>((1/(1200*$B$150*$B$150))*17*$B$143*$B$147*(I157-K157))*Z157</f>
        <v>0</v>
      </c>
      <c r="O157" s="6">
        <f>((1/(1200*$B$150*$B$150))*17*$B$143*$B$147*(I157-K157))*AW157</f>
        <v>0</v>
      </c>
      <c r="P157" s="6">
        <f t="shared" ref="P157:P164" si="175">((2*I157*I157)*((5*$B$150*($B$147-1))+(3*$B$147*K157)-(5*$B$147*$B$148)))</f>
        <v>0</v>
      </c>
      <c r="Q157" s="6">
        <f>(I157)*((20*K157)*(($B$150*($B$147-1))-($B$147*$B$148))+((10*($B$150-$B$148))*(($B$150*($B$147-2))-($B$147*$B$148)))+(9*$B$147*K157*K157))</f>
        <v>0</v>
      </c>
      <c r="R157" s="6">
        <f t="shared" ref="R157:R164" si="176">(2*K157)*((15*K157)*(($B$150*($B$147-1))-($B$147*$B$148))+((10*($B$150-$B$148))*(($B$150*($B$147-2))-($B$147*$B$148)))+(6*$B$147*K157*K157))</f>
        <v>0</v>
      </c>
      <c r="S157" s="6">
        <f t="shared" ref="S157:S164" si="177">3*$B$147*I157*I157*I157</f>
        <v>0</v>
      </c>
      <c r="T157" s="69">
        <f>J157*(SUM(P157:S157))</f>
        <v>0</v>
      </c>
      <c r="U157" s="10">
        <f t="shared" ref="U157:U164" si="178">(I157*I157)*((30*$B$150*($B$147-1))+(9*$B$147*K157)-(30*$B$147*$B$148))</f>
        <v>0</v>
      </c>
      <c r="V157" s="10">
        <f t="shared" ref="V157:V164" si="179">I157*(((20*K157)*(($B$150*($B$147-1))-($B$147*$B$148)))+(20*($B$150-$B$148)*(($B$150*($B$147-2))-($B$147*$B$148)))+(6*$B$147*K157*K157))</f>
        <v>0</v>
      </c>
      <c r="W157" s="10">
        <f t="shared" ref="W157:W164" si="180">K157*(((10*K157)*(($B$150*($B$147-1))-($B$147*$B$148)))+(10*($B$150-$B$148)*(($B$150*($B$147-2))-($B$147*$B$148)))+(3*$B$147*K157*K157))</f>
        <v>0</v>
      </c>
      <c r="X157" s="10">
        <f t="shared" ref="X157:X164" si="181">12*$B$147*I157*I157*I157</f>
        <v>0</v>
      </c>
      <c r="Y157" s="69">
        <f t="shared" ref="Y157:Y164" si="182">H157*SUM(U157:X157)</f>
        <v>0</v>
      </c>
      <c r="Z157" s="69">
        <f t="shared" ref="Z157:Z164" si="183">T157+Y157</f>
        <v>0</v>
      </c>
      <c r="AA157" s="6"/>
      <c r="AB157" s="6">
        <f>(3*I157)*(((5*$B$150)*($B$147-1))+($B$147*K157)-(5*$B$147*$B$148))</f>
        <v>0</v>
      </c>
      <c r="AC157" s="6">
        <f>(10*($B$150-$B$148))*(($B$150*($B$147-2))-($B$147*$B$148))</f>
        <v>1880.998123422733</v>
      </c>
      <c r="AD157" s="6">
        <f>(5*K157)*(($B$150*($B$147-1))-($B$147*$B$148))</f>
        <v>0</v>
      </c>
      <c r="AE157" s="6">
        <f>6*$B$147*I157*I157</f>
        <v>0</v>
      </c>
      <c r="AF157" s="6">
        <f>$B$147*K157*K157</f>
        <v>0</v>
      </c>
      <c r="AG157" s="6">
        <f>SUM(AB157:AF157)</f>
        <v>1880.998123422733</v>
      </c>
      <c r="AH157" s="70">
        <f>AG157*H157*H157</f>
        <v>0</v>
      </c>
      <c r="AI157" s="6">
        <f>(2*I157)*(((5*$B$150)*($B$147-1))+(2*$B$147*K157)-(5*$B$147*$B$148))</f>
        <v>0</v>
      </c>
      <c r="AJ157" s="6">
        <f>(10*($B$150-$B$148))*(($B$150*($B$147-2))-($B$147*$B$148))</f>
        <v>1880.998123422733</v>
      </c>
      <c r="AK157" s="6">
        <f>(10*K157)*(($B$150*($B$147-1))-($B$147*$B$148))</f>
        <v>0</v>
      </c>
      <c r="AL157" s="6">
        <f>3*$B$147*I157*I157</f>
        <v>0</v>
      </c>
      <c r="AM157" s="6">
        <f>3*$B$147*K157*K157</f>
        <v>0</v>
      </c>
      <c r="AN157" s="6">
        <f>SUM(AI157:AM157)</f>
        <v>1880.998123422733</v>
      </c>
      <c r="AO157" s="70">
        <f>(H157*J157)*AN157</f>
        <v>0</v>
      </c>
      <c r="AP157" s="6">
        <f>(I157)*(((5*$B$150)*($B$147-1))+(3*$B$147*K157)-(5*$B$147*$B$148))</f>
        <v>0</v>
      </c>
      <c r="AQ157" s="6">
        <f>(10*($B$150-$B$148))*(($B$150*($B$147-2))-($B$147*$B$148))</f>
        <v>1880.998123422733</v>
      </c>
      <c r="AR157" s="6">
        <f>(15*K157)*(($B$150*($B$147-1))-($B$147*$B$148))</f>
        <v>0</v>
      </c>
      <c r="AS157" s="6">
        <f>$B$147*I157*I157</f>
        <v>0</v>
      </c>
      <c r="AT157" s="6">
        <f>6*$B$147*K157*K157</f>
        <v>0</v>
      </c>
      <c r="AU157" s="6">
        <f>SUM(AP157:AT157)</f>
        <v>1880.998123422733</v>
      </c>
      <c r="AV157" s="70">
        <f>(J157*J157)*AU157</f>
        <v>0</v>
      </c>
      <c r="AW157" s="70">
        <f>AH157+AO157+AV157</f>
        <v>0</v>
      </c>
      <c r="BA157"/>
      <c r="BC157"/>
      <c r="BD157"/>
      <c r="BF157" s="6" t="e">
        <f t="shared" si="170"/>
        <v>#N/A</v>
      </c>
      <c r="BG157" s="6" t="e">
        <f t="shared" si="171"/>
        <v>#N/A</v>
      </c>
      <c r="BH157" s="6" t="e">
        <f t="shared" si="172"/>
        <v>#N/A</v>
      </c>
      <c r="BI157" s="6" t="e">
        <f t="shared" si="173"/>
        <v>#N/A</v>
      </c>
      <c r="BV157" s="36"/>
      <c r="BW157" s="6" t="e">
        <f t="shared" si="158"/>
        <v>#N/A</v>
      </c>
      <c r="BX157" s="9">
        <f t="shared" ca="1" si="159"/>
        <v>-65.220682514826848</v>
      </c>
      <c r="BY157" s="9">
        <f t="shared" ca="1" si="160"/>
        <v>21.430285361287321</v>
      </c>
      <c r="BZ157" s="9">
        <f t="shared" ca="1" si="161"/>
        <v>0</v>
      </c>
      <c r="CA157" s="6">
        <f t="shared" ca="1" si="162"/>
        <v>0</v>
      </c>
      <c r="CB157" s="6" t="e">
        <f t="shared" ca="1" si="163"/>
        <v>#DIV/0!</v>
      </c>
      <c r="CC157" s="6" t="e">
        <f t="shared" ca="1" si="164"/>
        <v>#DIV/0!</v>
      </c>
      <c r="CD157" s="9">
        <f t="shared" si="165"/>
        <v>-30</v>
      </c>
      <c r="CE157" s="9">
        <f t="shared" si="166"/>
        <v>0</v>
      </c>
      <c r="CF157" s="6">
        <f t="shared" si="167"/>
        <v>3.1415926535897931</v>
      </c>
      <c r="CG157" s="6" t="e">
        <f t="shared" ca="1" si="168"/>
        <v>#DIV/0!</v>
      </c>
      <c r="CH157" s="6"/>
      <c r="CI157" s="6"/>
      <c r="CJ157" s="1"/>
      <c r="CK157" s="6"/>
    </row>
    <row r="158" spans="1:89" x14ac:dyDescent="0.25">
      <c r="A158" s="1" t="s">
        <v>44</v>
      </c>
      <c r="B158" s="6">
        <f t="shared" ref="B158:E158" si="184">B50</f>
        <v>4.2105134829788815</v>
      </c>
      <c r="C158" s="6">
        <f t="shared" si="184"/>
        <v>-12.738586115015005</v>
      </c>
      <c r="D158" s="6">
        <f t="shared" si="184"/>
        <v>6.801048972413227</v>
      </c>
      <c r="E158" s="6">
        <f t="shared" si="184"/>
        <v>5.0740253127903294</v>
      </c>
      <c r="F158" s="6">
        <f t="shared" ref="F158:F164" si="185">IF(E158-C158=0,0,MIN(MAX(($B$152-C158)/(E158-C158),0),1))</f>
        <v>1</v>
      </c>
      <c r="G158" s="6">
        <f t="shared" ref="G158:G164" si="186">IF(E158-C158=0,0,MIN(MAX(($B$153-C158)/(E158-C158),0),1))</f>
        <v>1</v>
      </c>
      <c r="H158" s="6">
        <f t="shared" ref="H158:H164" si="187">IF(AND(F158=0,G158=0),0,IF(C158&gt;E158,B158+(F158*(D158-B158)),B158+(G158*(D158-B158))))</f>
        <v>6.801048972413227</v>
      </c>
      <c r="I158" s="6">
        <f t="shared" ref="I158:I164" si="188">IF(AND(F158=0,G158=0),0,IF(C158&gt;E158,C158+(F158*(E158-C158)),C158+(G158*(E158-C158))))</f>
        <v>5.0740253127903312</v>
      </c>
      <c r="J158" s="6">
        <f t="shared" ref="J158:J164" si="189">IF(AND(F158=0,G158=0),0,IF(C158&gt;E158,B158+(G158*(D158-B158)),B158+(F158*(D158-B158))))</f>
        <v>6.801048972413227</v>
      </c>
      <c r="K158" s="6">
        <f t="shared" ref="K158:K164" si="190">IF(AND(F158=0,G158=0),0,IF(C158&gt;E158,C158+(G158*(E158-C158)),C158+(F158*(E158-C158))))</f>
        <v>5.0740253127903312</v>
      </c>
      <c r="L158" s="6"/>
      <c r="M158" s="6">
        <f t="shared" ref="M158:M164" si="191">((17*$B$143*$B$147*(I158-K158))/(240*POWER($B$150,2)))*((H158*((2*I158*((4*$B$150*($B$147-1))+($B$147*K158)-(4*$B$147*$B$148)))+(6*($B$150-$B$148)*(($B$150*($B$147-2))-($B$147*$B$148)))+(4*K158*(($B$150*($B$147-1))-($B$147*$B$148)))+(3*$B$147*I158*I158)+($B$147*K158*K158)))+(J158*((2*I158*((2*$B$150*($B$147-1))+($B$147*K158)-(2*$B$147*$B$148)))+(6*($B$150-$B$148)*(($B$150*($B$147-2))-($B$147*$B$148)))+(8*K158*(($B$150*($B$147-1))-($B$147*$B$148)))+($B$147*I158*I158)+(3*$B$147*K158*K158))))</f>
        <v>0</v>
      </c>
      <c r="N158" s="6">
        <f t="shared" ref="N158:N164" si="192">((1/(1200*$B$150*$B$150))*17*$B$143*$B$147*(I158-K158))*Z158</f>
        <v>0</v>
      </c>
      <c r="O158" s="6">
        <f t="shared" ref="O158:O164" si="193">((1/(1200*$B$150*$B$150))*17*$B$143*$B$147*(I158-K158))*AW158</f>
        <v>0</v>
      </c>
      <c r="P158" s="6">
        <f t="shared" si="175"/>
        <v>-3199.5075681133703</v>
      </c>
      <c r="Q158" s="6">
        <f t="shared" ref="Q158:Q164" si="194">(I158)*((20*K158)*(($B$150*($B$147-1))-($B$147*$B$148))+((10*($B$150-$B$148))*(($B$150*($B$147-2))-($B$147*$B$148)))+(9*$B$147*K158*K158))</f>
        <v>2581.6670028601097</v>
      </c>
      <c r="R158" s="6">
        <f t="shared" si="176"/>
        <v>8362.8415738335898</v>
      </c>
      <c r="S158" s="6">
        <f t="shared" si="177"/>
        <v>563.54995247120848</v>
      </c>
      <c r="T158" s="69">
        <f t="shared" ref="T158:T164" si="195">J158*(SUM(P158:S158))</f>
        <v>56506.861975902495</v>
      </c>
      <c r="U158" s="10">
        <f t="shared" si="178"/>
        <v>-11289.172561753734</v>
      </c>
      <c r="V158" s="10">
        <f t="shared" si="179"/>
        <v>11562.349141946959</v>
      </c>
      <c r="W158" s="10">
        <f t="shared" si="180"/>
        <v>5781.1745709734796</v>
      </c>
      <c r="X158" s="10">
        <f t="shared" si="181"/>
        <v>2254.1998098848339</v>
      </c>
      <c r="Y158" s="69">
        <f t="shared" si="182"/>
        <v>56506.861975902495</v>
      </c>
      <c r="Z158" s="69">
        <f t="shared" si="183"/>
        <v>113013.72395180499</v>
      </c>
      <c r="AA158" s="6"/>
      <c r="AB158" s="6">
        <f t="shared" ref="AB158:AB164" si="196">(3*I158)*(((5*$B$150)*($B$147-1))+($B$147*K158)-(5*$B$147*$B$148))</f>
        <v>-1167.9802310354301</v>
      </c>
      <c r="AC158" s="6">
        <f t="shared" ref="AC158:AC164" si="197">(10*($B$150-$B$148))*(($B$150*($B$147-2))-($B$147*$B$148))</f>
        <v>1880.998123422733</v>
      </c>
      <c r="AD158" s="6">
        <f t="shared" ref="AD158:AD164" si="198">(5*K158)*(($B$150*($B$147-1))-($B$147*$B$148))</f>
        <v>-426.34862917903729</v>
      </c>
      <c r="AE158" s="6">
        <f t="shared" ref="AE158:AE164" si="199">6*$B$147*I158*I158</f>
        <v>222.1313130033632</v>
      </c>
      <c r="AF158" s="6">
        <f t="shared" ref="AF158:AF164" si="200">$B$147*K158*K158</f>
        <v>37.021885500560529</v>
      </c>
      <c r="AG158" s="6">
        <f t="shared" ref="AG158:AG164" si="201">SUM(AB158:AF158)</f>
        <v>545.82246171218935</v>
      </c>
      <c r="AH158" s="70">
        <f t="shared" ref="AH158:AH164" si="202">AG158*H158*H158</f>
        <v>25246.617946949664</v>
      </c>
      <c r="AI158" s="6">
        <f t="shared" ref="AI158:AI164" si="203">(2*I158)*(((5*$B$150)*($B$147-1))+(2*$B$147*K158)-(5*$B$147*$B$148))</f>
        <v>-704.60971635583246</v>
      </c>
      <c r="AJ158" s="6">
        <f t="shared" ref="AJ158:AJ164" si="204">(10*($B$150-$B$148))*(($B$150*($B$147-2))-($B$147*$B$148))</f>
        <v>1880.998123422733</v>
      </c>
      <c r="AK158" s="6">
        <f t="shared" ref="AK158:AK164" si="205">(10*K158)*(($B$150*($B$147-1))-($B$147*$B$148))</f>
        <v>-852.69725835807458</v>
      </c>
      <c r="AL158" s="6">
        <f t="shared" ref="AL158:AL164" si="206">3*$B$147*I158*I158</f>
        <v>111.0656565016816</v>
      </c>
      <c r="AM158" s="6">
        <f t="shared" ref="AM158:AM164" si="207">3*$B$147*K158*K158</f>
        <v>111.0656565016816</v>
      </c>
      <c r="AN158" s="6">
        <f t="shared" ref="AN158:AN164" si="208">SUM(AI158:AM158)</f>
        <v>545.82246171218912</v>
      </c>
      <c r="AO158" s="70">
        <f t="shared" ref="AO158:AO164" si="209">(H158*J158)*AN158</f>
        <v>25246.617946949656</v>
      </c>
      <c r="AP158" s="6">
        <f t="shared" ref="AP158:AP164" si="210">(I158)*(((5*$B$150)*($B$147-1))+(3*$B$147*K158)-(5*$B$147*$B$148))</f>
        <v>-315.2829726773557</v>
      </c>
      <c r="AQ158" s="6">
        <f t="shared" ref="AQ158:AQ164" si="211">(10*($B$150-$B$148))*(($B$150*($B$147-2))-($B$147*$B$148))</f>
        <v>1880.998123422733</v>
      </c>
      <c r="AR158" s="6">
        <f t="shared" ref="AR158:AR164" si="212">(15*K158)*(($B$150*($B$147-1))-($B$147*$B$148))</f>
        <v>-1279.0458875371119</v>
      </c>
      <c r="AS158" s="6">
        <f t="shared" ref="AS158:AS164" si="213">$B$147*I158*I158</f>
        <v>37.021885500560529</v>
      </c>
      <c r="AT158" s="6">
        <f t="shared" ref="AT158:AT164" si="214">6*$B$147*K158*K158</f>
        <v>222.1313130033632</v>
      </c>
      <c r="AU158" s="6">
        <f t="shared" ref="AU158:AU164" si="215">SUM(AP158:AT158)</f>
        <v>545.82246171218912</v>
      </c>
      <c r="AV158" s="70">
        <f t="shared" ref="AV158:AV164" si="216">(J158*J158)*AU158</f>
        <v>25246.617946949656</v>
      </c>
      <c r="AW158" s="70">
        <f t="shared" ref="AW158:AW164" si="217">AH158+AO158+AV158</f>
        <v>75739.853840848984</v>
      </c>
      <c r="BC158"/>
      <c r="BD158"/>
      <c r="BF158" s="6" t="e">
        <f t="shared" ref="BF158:BF194" si="218">IF(BC158&lt;&gt;"",IF(AND(BD158=0,BE158=0),0,MOD(ATAN2(BD158,BE158),2*PI())),NA())</f>
        <v>#N/A</v>
      </c>
      <c r="BG158" s="6" t="e">
        <f t="shared" ref="BG158:BG194" si="219">ABS(BC158-BF158)</f>
        <v>#N/A</v>
      </c>
      <c r="BH158" s="6" t="e">
        <f t="shared" ref="BH158:BH194" si="220">ATAN2(COS($U$13-BF158),SIN($U$13-BF158))</f>
        <v>#N/A</v>
      </c>
      <c r="BI158" s="6" t="e">
        <f t="shared" ref="BI158:BI194" si="221">ABS(BH158)</f>
        <v>#N/A</v>
      </c>
      <c r="BV158" s="36"/>
      <c r="BW158" s="6" t="e">
        <f t="shared" si="158"/>
        <v>#N/A</v>
      </c>
      <c r="BX158" s="9">
        <f t="shared" ca="1" si="159"/>
        <v>-65.220682514826848</v>
      </c>
      <c r="BY158" s="9">
        <f t="shared" ca="1" si="160"/>
        <v>21.430285361287321</v>
      </c>
      <c r="BZ158" s="9">
        <f t="shared" ca="1" si="161"/>
        <v>0</v>
      </c>
      <c r="CA158" s="6">
        <f t="shared" ca="1" si="162"/>
        <v>0</v>
      </c>
      <c r="CB158" s="6" t="e">
        <f t="shared" ca="1" si="163"/>
        <v>#DIV/0!</v>
      </c>
      <c r="CC158" s="6" t="e">
        <f t="shared" ca="1" si="164"/>
        <v>#DIV/0!</v>
      </c>
      <c r="CD158" s="9">
        <f t="shared" si="165"/>
        <v>-30</v>
      </c>
      <c r="CE158" s="9">
        <f t="shared" si="166"/>
        <v>0</v>
      </c>
      <c r="CF158" s="6">
        <f t="shared" si="167"/>
        <v>3.1415926535897931</v>
      </c>
      <c r="CG158" s="6" t="e">
        <f t="shared" ca="1" si="168"/>
        <v>#DIV/0!</v>
      </c>
      <c r="CH158" s="6"/>
      <c r="CI158" s="6"/>
      <c r="CJ158" s="1"/>
      <c r="CK158" s="6"/>
    </row>
    <row r="159" spans="1:89" x14ac:dyDescent="0.25">
      <c r="A159" s="1" t="s">
        <v>45</v>
      </c>
      <c r="B159" s="6">
        <f t="shared" ref="B159:E159" si="222">B51</f>
        <v>6.801048972413227</v>
      </c>
      <c r="C159" s="6">
        <f t="shared" si="222"/>
        <v>5.0740253127903294</v>
      </c>
      <c r="D159" s="6">
        <f t="shared" si="222"/>
        <v>18.67612325761678</v>
      </c>
      <c r="E159" s="6">
        <f t="shared" si="222"/>
        <v>3.3470016531674331</v>
      </c>
      <c r="F159" s="6">
        <f t="shared" si="185"/>
        <v>0</v>
      </c>
      <c r="G159" s="6">
        <f t="shared" si="186"/>
        <v>0</v>
      </c>
      <c r="H159" s="6">
        <f t="shared" si="187"/>
        <v>0</v>
      </c>
      <c r="I159" s="6">
        <f t="shared" si="188"/>
        <v>0</v>
      </c>
      <c r="J159" s="6">
        <f t="shared" si="189"/>
        <v>0</v>
      </c>
      <c r="K159" s="6">
        <f t="shared" si="190"/>
        <v>0</v>
      </c>
      <c r="L159" s="6"/>
      <c r="M159" s="6">
        <f t="shared" si="191"/>
        <v>0</v>
      </c>
      <c r="N159" s="6">
        <f t="shared" si="192"/>
        <v>0</v>
      </c>
      <c r="O159" s="6">
        <f t="shared" si="193"/>
        <v>0</v>
      </c>
      <c r="P159" s="6">
        <f t="shared" si="175"/>
        <v>0</v>
      </c>
      <c r="Q159" s="6">
        <f t="shared" si="194"/>
        <v>0</v>
      </c>
      <c r="R159" s="6">
        <f t="shared" si="176"/>
        <v>0</v>
      </c>
      <c r="S159" s="6">
        <f t="shared" si="177"/>
        <v>0</v>
      </c>
      <c r="T159" s="69">
        <f t="shared" si="195"/>
        <v>0</v>
      </c>
      <c r="U159" s="10">
        <f t="shared" si="178"/>
        <v>0</v>
      </c>
      <c r="V159" s="10">
        <f t="shared" si="179"/>
        <v>0</v>
      </c>
      <c r="W159" s="10">
        <f t="shared" si="180"/>
        <v>0</v>
      </c>
      <c r="X159" s="10">
        <f t="shared" si="181"/>
        <v>0</v>
      </c>
      <c r="Y159" s="69">
        <f t="shared" si="182"/>
        <v>0</v>
      </c>
      <c r="Z159" s="69">
        <f t="shared" si="183"/>
        <v>0</v>
      </c>
      <c r="AA159" s="6"/>
      <c r="AB159" s="6">
        <f t="shared" si="196"/>
        <v>0</v>
      </c>
      <c r="AC159" s="6">
        <f t="shared" si="197"/>
        <v>1880.998123422733</v>
      </c>
      <c r="AD159" s="6">
        <f t="shared" si="198"/>
        <v>0</v>
      </c>
      <c r="AE159" s="6">
        <f t="shared" si="199"/>
        <v>0</v>
      </c>
      <c r="AF159" s="6">
        <f t="shared" si="200"/>
        <v>0</v>
      </c>
      <c r="AG159" s="6">
        <f t="shared" si="201"/>
        <v>1880.998123422733</v>
      </c>
      <c r="AH159" s="70">
        <f t="shared" si="202"/>
        <v>0</v>
      </c>
      <c r="AI159" s="6">
        <f t="shared" si="203"/>
        <v>0</v>
      </c>
      <c r="AJ159" s="6">
        <f t="shared" si="204"/>
        <v>1880.998123422733</v>
      </c>
      <c r="AK159" s="6">
        <f t="shared" si="205"/>
        <v>0</v>
      </c>
      <c r="AL159" s="6">
        <f t="shared" si="206"/>
        <v>0</v>
      </c>
      <c r="AM159" s="6">
        <f t="shared" si="207"/>
        <v>0</v>
      </c>
      <c r="AN159" s="6">
        <f t="shared" si="208"/>
        <v>1880.998123422733</v>
      </c>
      <c r="AO159" s="70">
        <f t="shared" si="209"/>
        <v>0</v>
      </c>
      <c r="AP159" s="6">
        <f t="shared" si="210"/>
        <v>0</v>
      </c>
      <c r="AQ159" s="6">
        <f t="shared" si="211"/>
        <v>1880.998123422733</v>
      </c>
      <c r="AR159" s="6">
        <f t="shared" si="212"/>
        <v>0</v>
      </c>
      <c r="AS159" s="6">
        <f t="shared" si="213"/>
        <v>0</v>
      </c>
      <c r="AT159" s="6">
        <f t="shared" si="214"/>
        <v>0</v>
      </c>
      <c r="AU159" s="6">
        <f t="shared" si="215"/>
        <v>1880.998123422733</v>
      </c>
      <c r="AV159" s="70">
        <f t="shared" si="216"/>
        <v>0</v>
      </c>
      <c r="AW159" s="70">
        <f t="shared" si="217"/>
        <v>0</v>
      </c>
      <c r="BC159"/>
      <c r="BD159"/>
      <c r="BF159" s="6" t="e">
        <f t="shared" si="218"/>
        <v>#N/A</v>
      </c>
      <c r="BG159" s="6" t="e">
        <f t="shared" si="219"/>
        <v>#N/A</v>
      </c>
      <c r="BH159" s="6" t="e">
        <f t="shared" si="220"/>
        <v>#N/A</v>
      </c>
      <c r="BI159" s="6" t="e">
        <f t="shared" si="221"/>
        <v>#N/A</v>
      </c>
      <c r="BV159" s="36"/>
      <c r="BW159" s="6" t="e">
        <f t="shared" si="158"/>
        <v>#N/A</v>
      </c>
      <c r="BX159" s="9">
        <f t="shared" ca="1" si="159"/>
        <v>-65.220682514826848</v>
      </c>
      <c r="BY159" s="9">
        <f t="shared" ca="1" si="160"/>
        <v>21.430285361287321</v>
      </c>
      <c r="BZ159" s="9">
        <f t="shared" ca="1" si="161"/>
        <v>0</v>
      </c>
      <c r="CA159" s="6">
        <f t="shared" ca="1" si="162"/>
        <v>0</v>
      </c>
      <c r="CB159" s="6" t="e">
        <f t="shared" ca="1" si="163"/>
        <v>#DIV/0!</v>
      </c>
      <c r="CC159" s="6" t="e">
        <f t="shared" ca="1" si="164"/>
        <v>#DIV/0!</v>
      </c>
      <c r="CD159" s="9">
        <f t="shared" si="165"/>
        <v>-30</v>
      </c>
      <c r="CE159" s="9">
        <f t="shared" si="166"/>
        <v>0</v>
      </c>
      <c r="CF159" s="6">
        <f t="shared" si="167"/>
        <v>3.1415926535897931</v>
      </c>
      <c r="CG159" s="6" t="e">
        <f t="shared" ca="1" si="168"/>
        <v>#DIV/0!</v>
      </c>
      <c r="CH159" s="6"/>
      <c r="CI159" s="6"/>
      <c r="CJ159" s="1"/>
      <c r="CK159" s="6"/>
    </row>
    <row r="160" spans="1:89" x14ac:dyDescent="0.25">
      <c r="A160" s="1" t="s">
        <v>46</v>
      </c>
      <c r="B160" s="6">
        <f t="shared" ref="B160:E160" si="223">B52</f>
        <v>18.67612325761678</v>
      </c>
      <c r="C160" s="6">
        <f t="shared" si="223"/>
        <v>3.3470016531674331</v>
      </c>
      <c r="D160" s="6">
        <f t="shared" si="223"/>
        <v>19.539635087428231</v>
      </c>
      <c r="E160" s="6">
        <f t="shared" si="223"/>
        <v>9.2845387957692118</v>
      </c>
      <c r="F160" s="6">
        <f t="shared" si="185"/>
        <v>1</v>
      </c>
      <c r="G160" s="6">
        <f t="shared" si="186"/>
        <v>1</v>
      </c>
      <c r="H160" s="6">
        <f t="shared" si="187"/>
        <v>19.539635087428231</v>
      </c>
      <c r="I160" s="6">
        <f t="shared" si="188"/>
        <v>9.2845387957692118</v>
      </c>
      <c r="J160" s="6">
        <f t="shared" si="189"/>
        <v>19.539635087428231</v>
      </c>
      <c r="K160" s="6">
        <f t="shared" si="190"/>
        <v>9.2845387957692118</v>
      </c>
      <c r="L160" s="6"/>
      <c r="M160" s="6">
        <f t="shared" si="191"/>
        <v>0</v>
      </c>
      <c r="N160" s="6">
        <f t="shared" si="192"/>
        <v>0</v>
      </c>
      <c r="O160" s="6">
        <f t="shared" si="193"/>
        <v>0</v>
      </c>
      <c r="P160" s="6">
        <f t="shared" si="175"/>
        <v>-7581.1338461366067</v>
      </c>
      <c r="Q160" s="6">
        <f t="shared" si="194"/>
        <v>-1150.7413271240041</v>
      </c>
      <c r="R160" s="6">
        <f t="shared" si="176"/>
        <v>5279.6511918885963</v>
      </c>
      <c r="S160" s="6">
        <f t="shared" si="177"/>
        <v>3452.6736865382381</v>
      </c>
      <c r="T160" s="69">
        <f t="shared" si="195"/>
        <v>8.7870748449441827</v>
      </c>
      <c r="U160" s="10">
        <f t="shared" si="178"/>
        <v>-33101.422598024532</v>
      </c>
      <c r="V160" s="10">
        <f t="shared" si="179"/>
        <v>12860.785038025208</v>
      </c>
      <c r="W160" s="10">
        <f t="shared" si="180"/>
        <v>6430.3925190126038</v>
      </c>
      <c r="X160" s="10">
        <f t="shared" si="181"/>
        <v>13810.694746152953</v>
      </c>
      <c r="Y160" s="69">
        <f t="shared" si="182"/>
        <v>8.7870748450508103</v>
      </c>
      <c r="Z160" s="69">
        <f t="shared" si="183"/>
        <v>17.574149689994993</v>
      </c>
      <c r="AA160" s="6"/>
      <c r="AB160" s="6">
        <f t="shared" si="196"/>
        <v>-1968.5466929827351</v>
      </c>
      <c r="AC160" s="6">
        <f t="shared" si="197"/>
        <v>1880.998123422733</v>
      </c>
      <c r="AD160" s="6">
        <f t="shared" si="198"/>
        <v>-780.14005530432473</v>
      </c>
      <c r="AE160" s="6">
        <f t="shared" si="199"/>
        <v>743.74694586047849</v>
      </c>
      <c r="AF160" s="6">
        <f t="shared" si="200"/>
        <v>123.95782431007974</v>
      </c>
      <c r="AG160" s="6">
        <f t="shared" si="201"/>
        <v>1.6145306231422296E-2</v>
      </c>
      <c r="AH160" s="70">
        <f t="shared" si="202"/>
        <v>6.1642349621456907</v>
      </c>
      <c r="AI160" s="6">
        <f t="shared" si="203"/>
        <v>-1064.4488133683305</v>
      </c>
      <c r="AJ160" s="6">
        <f t="shared" si="204"/>
        <v>1880.998123422733</v>
      </c>
      <c r="AK160" s="6">
        <f t="shared" si="205"/>
        <v>-1560.2801106086495</v>
      </c>
      <c r="AL160" s="6">
        <f t="shared" si="206"/>
        <v>371.87347293023925</v>
      </c>
      <c r="AM160" s="6">
        <f t="shared" si="207"/>
        <v>371.87347293023925</v>
      </c>
      <c r="AN160" s="6">
        <f t="shared" si="208"/>
        <v>1.6145306231464929E-2</v>
      </c>
      <c r="AO160" s="70">
        <f t="shared" si="209"/>
        <v>6.1642349621619674</v>
      </c>
      <c r="AP160" s="6">
        <f t="shared" si="210"/>
        <v>-408.26658237408549</v>
      </c>
      <c r="AQ160" s="6">
        <f t="shared" si="211"/>
        <v>1880.998123422733</v>
      </c>
      <c r="AR160" s="6">
        <f t="shared" si="212"/>
        <v>-2340.4201659129744</v>
      </c>
      <c r="AS160" s="6">
        <f t="shared" si="213"/>
        <v>123.95782431007974</v>
      </c>
      <c r="AT160" s="6">
        <f t="shared" si="214"/>
        <v>743.74694586047849</v>
      </c>
      <c r="AU160" s="6">
        <f t="shared" si="215"/>
        <v>1.6145306231464929E-2</v>
      </c>
      <c r="AV160" s="70">
        <f t="shared" si="216"/>
        <v>6.1642349621619674</v>
      </c>
      <c r="AW160" s="70">
        <f t="shared" si="217"/>
        <v>18.492704886469625</v>
      </c>
      <c r="BC160"/>
      <c r="BD160"/>
      <c r="BF160" s="6" t="e">
        <f t="shared" si="218"/>
        <v>#N/A</v>
      </c>
      <c r="BG160" s="6" t="e">
        <f t="shared" si="219"/>
        <v>#N/A</v>
      </c>
      <c r="BH160" s="6" t="e">
        <f t="shared" si="220"/>
        <v>#N/A</v>
      </c>
      <c r="BI160" s="6" t="e">
        <f t="shared" si="221"/>
        <v>#N/A</v>
      </c>
      <c r="BV160" s="36"/>
      <c r="BW160" s="6" t="e">
        <f t="shared" si="158"/>
        <v>#N/A</v>
      </c>
      <c r="BX160" s="9">
        <f t="shared" ca="1" si="159"/>
        <v>-65.220682514826848</v>
      </c>
      <c r="BY160" s="9">
        <f t="shared" ca="1" si="160"/>
        <v>21.430285361287321</v>
      </c>
      <c r="BZ160" s="9">
        <f t="shared" ca="1" si="161"/>
        <v>0</v>
      </c>
      <c r="CA160" s="6">
        <f t="shared" ca="1" si="162"/>
        <v>0</v>
      </c>
      <c r="CB160" s="6" t="e">
        <f t="shared" ca="1" si="163"/>
        <v>#DIV/0!</v>
      </c>
      <c r="CC160" s="6" t="e">
        <f t="shared" ca="1" si="164"/>
        <v>#DIV/0!</v>
      </c>
      <c r="CD160" s="9">
        <f t="shared" si="165"/>
        <v>-30</v>
      </c>
      <c r="CE160" s="9">
        <f t="shared" si="166"/>
        <v>0</v>
      </c>
      <c r="CF160" s="6">
        <f t="shared" si="167"/>
        <v>3.1415926535897931</v>
      </c>
      <c r="CG160" s="6" t="e">
        <f t="shared" ca="1" si="168"/>
        <v>#DIV/0!</v>
      </c>
      <c r="CH160" s="6"/>
      <c r="CI160" s="6"/>
      <c r="CJ160" s="1"/>
      <c r="CK160" s="6"/>
    </row>
    <row r="161" spans="1:89" x14ac:dyDescent="0.25">
      <c r="A161" s="1" t="s">
        <v>47</v>
      </c>
      <c r="B161" s="6">
        <f t="shared" ref="B161:E161" si="224">B53</f>
        <v>19.539635087428231</v>
      </c>
      <c r="C161" s="6">
        <f t="shared" si="224"/>
        <v>9.2845387957692118</v>
      </c>
      <c r="D161" s="6">
        <f t="shared" si="224"/>
        <v>-4.2105134829788815</v>
      </c>
      <c r="E161" s="6">
        <f t="shared" si="224"/>
        <v>12.738586115015005</v>
      </c>
      <c r="F161" s="6">
        <f t="shared" si="185"/>
        <v>0.69543988736503892</v>
      </c>
      <c r="G161" s="6">
        <f t="shared" si="186"/>
        <v>6.7665607187640834E-5</v>
      </c>
      <c r="H161" s="6">
        <f>IF(AND(F161=0,G161=0),0,IF(C161&gt;E161,B161+(F161*(D161-B161)),B161+(G161*(D161-B161))))</f>
        <v>19.538028019204418</v>
      </c>
      <c r="I161" s="6">
        <f t="shared" si="188"/>
        <v>9.2847725159783234</v>
      </c>
      <c r="J161" s="6">
        <f t="shared" si="189"/>
        <v>3.0228344407213683</v>
      </c>
      <c r="K161" s="6">
        <f t="shared" si="190"/>
        <v>11.686621074419021</v>
      </c>
      <c r="L161" s="6"/>
      <c r="M161" s="6">
        <f t="shared" si="191"/>
        <v>62717.287547813838</v>
      </c>
      <c r="N161" s="6">
        <f t="shared" si="192"/>
        <v>660436.2548976806</v>
      </c>
      <c r="O161" s="6">
        <f t="shared" si="193"/>
        <v>344106.40893975145</v>
      </c>
      <c r="P161" s="6">
        <f t="shared" si="175"/>
        <v>-5794.8842265521462</v>
      </c>
      <c r="Q161" s="6">
        <f t="shared" si="194"/>
        <v>-2593.7079031211133</v>
      </c>
      <c r="R161" s="6">
        <f t="shared" si="176"/>
        <v>2651.4600615157669</v>
      </c>
      <c r="S161" s="6">
        <f t="shared" si="177"/>
        <v>3452.9344361395606</v>
      </c>
      <c r="T161" s="69">
        <f t="shared" si="195"/>
        <v>-6904.7512714779996</v>
      </c>
      <c r="U161" s="10">
        <f t="shared" si="178"/>
        <v>-30423.142189398764</v>
      </c>
      <c r="V161" s="10">
        <f t="shared" si="179"/>
        <v>9400.4733443638142</v>
      </c>
      <c r="W161" s="10">
        <f t="shared" si="180"/>
        <v>5916.1260928416305</v>
      </c>
      <c r="X161" s="10">
        <f t="shared" si="181"/>
        <v>13811.737744558242</v>
      </c>
      <c r="Y161" s="69">
        <f t="shared" si="182"/>
        <v>-25297.936518580333</v>
      </c>
      <c r="Z161" s="69">
        <f t="shared" si="183"/>
        <v>-32202.687790058331</v>
      </c>
      <c r="AA161" s="6"/>
      <c r="AB161" s="6">
        <f t="shared" si="196"/>
        <v>-1872.3832651515038</v>
      </c>
      <c r="AC161" s="6">
        <f t="shared" si="197"/>
        <v>1880.998123422733</v>
      </c>
      <c r="AD161" s="6">
        <f t="shared" si="198"/>
        <v>-981.97674778121211</v>
      </c>
      <c r="AE161" s="6">
        <f t="shared" si="199"/>
        <v>743.78439109786416</v>
      </c>
      <c r="AF161" s="6">
        <f t="shared" si="200"/>
        <v>196.39534955624242</v>
      </c>
      <c r="AG161" s="6">
        <f t="shared" si="201"/>
        <v>-33.182148855876335</v>
      </c>
      <c r="AH161" s="70">
        <f t="shared" si="202"/>
        <v>-12666.772292519488</v>
      </c>
      <c r="AI161" s="6">
        <f t="shared" si="203"/>
        <v>-936.19163257575201</v>
      </c>
      <c r="AJ161" s="6">
        <f t="shared" si="204"/>
        <v>1880.998123422733</v>
      </c>
      <c r="AK161" s="6">
        <f t="shared" si="205"/>
        <v>-1963.9534955624242</v>
      </c>
      <c r="AL161" s="6">
        <f t="shared" si="206"/>
        <v>371.89219554893208</v>
      </c>
      <c r="AM161" s="6">
        <f t="shared" si="207"/>
        <v>589.18604866872727</v>
      </c>
      <c r="AN161" s="6">
        <f t="shared" si="208"/>
        <v>-58.068760497783956</v>
      </c>
      <c r="AO161" s="70">
        <f t="shared" si="209"/>
        <v>-3429.5540024148399</v>
      </c>
      <c r="AP161" s="6">
        <f t="shared" si="210"/>
        <v>-312.06387752525063</v>
      </c>
      <c r="AQ161" s="6">
        <f t="shared" si="211"/>
        <v>1880.998123422733</v>
      </c>
      <c r="AR161" s="6">
        <f t="shared" si="212"/>
        <v>-2945.9302433436364</v>
      </c>
      <c r="AS161" s="6">
        <f t="shared" si="213"/>
        <v>123.96406518297736</v>
      </c>
      <c r="AT161" s="6">
        <f t="shared" si="214"/>
        <v>1178.3720973374545</v>
      </c>
      <c r="AU161" s="6">
        <f t="shared" si="215"/>
        <v>-74.65983492572218</v>
      </c>
      <c r="AV161" s="70">
        <f t="shared" si="216"/>
        <v>-682.20633629095641</v>
      </c>
      <c r="AW161" s="70">
        <f t="shared" si="217"/>
        <v>-16778.532631225284</v>
      </c>
      <c r="BC161"/>
      <c r="BD161"/>
      <c r="BF161" s="6" t="e">
        <f t="shared" si="218"/>
        <v>#N/A</v>
      </c>
      <c r="BG161" s="6" t="e">
        <f t="shared" si="219"/>
        <v>#N/A</v>
      </c>
      <c r="BH161" s="6" t="e">
        <f t="shared" si="220"/>
        <v>#N/A</v>
      </c>
      <c r="BI161" s="6" t="e">
        <f t="shared" si="221"/>
        <v>#N/A</v>
      </c>
      <c r="BV161" s="36"/>
      <c r="BW161" s="6" t="e">
        <f t="shared" si="158"/>
        <v>#N/A</v>
      </c>
      <c r="BX161" s="9">
        <f t="shared" ca="1" si="159"/>
        <v>-65.220682514826848</v>
      </c>
      <c r="BY161" s="9">
        <f t="shared" ca="1" si="160"/>
        <v>21.430285361287321</v>
      </c>
      <c r="BZ161" s="9">
        <f t="shared" ca="1" si="161"/>
        <v>0</v>
      </c>
      <c r="CA161" s="6">
        <f t="shared" ca="1" si="162"/>
        <v>0</v>
      </c>
      <c r="CB161" s="6" t="e">
        <f t="shared" ca="1" si="163"/>
        <v>#DIV/0!</v>
      </c>
      <c r="CC161" s="6" t="e">
        <f t="shared" ca="1" si="164"/>
        <v>#DIV/0!</v>
      </c>
      <c r="CD161" s="9">
        <f t="shared" si="165"/>
        <v>-30</v>
      </c>
      <c r="CE161" s="9">
        <f t="shared" si="166"/>
        <v>0</v>
      </c>
      <c r="CF161" s="6">
        <f t="shared" si="167"/>
        <v>3.1415926535897931</v>
      </c>
      <c r="CG161" s="6" t="e">
        <f t="shared" ca="1" si="168"/>
        <v>#DIV/0!</v>
      </c>
      <c r="CH161" s="6"/>
      <c r="CI161" s="6"/>
      <c r="CJ161" s="1"/>
      <c r="CK161" s="6"/>
    </row>
    <row r="162" spans="1:89" x14ac:dyDescent="0.25">
      <c r="A162" s="1" t="s">
        <v>48</v>
      </c>
      <c r="B162" s="6">
        <f t="shared" ref="B162:E162" si="225">B54</f>
        <v>-4.2105134829788815</v>
      </c>
      <c r="C162" s="6">
        <f t="shared" si="225"/>
        <v>12.738586115015005</v>
      </c>
      <c r="D162" s="6">
        <f t="shared" si="225"/>
        <v>-5.0740253127903294</v>
      </c>
      <c r="E162" s="6">
        <f t="shared" si="225"/>
        <v>6.801048972413227</v>
      </c>
      <c r="F162" s="6">
        <f t="shared" si="185"/>
        <v>0.17717195115263268</v>
      </c>
      <c r="G162" s="6">
        <f t="shared" si="186"/>
        <v>0.58169128311730445</v>
      </c>
      <c r="H162" s="6">
        <f t="shared" si="187"/>
        <v>-4.3635035587099562</v>
      </c>
      <c r="I162" s="6">
        <f t="shared" si="188"/>
        <v>11.686621074419021</v>
      </c>
      <c r="J162" s="6">
        <f t="shared" si="189"/>
        <v>-4.7128107872488743</v>
      </c>
      <c r="K162" s="6">
        <f t="shared" si="190"/>
        <v>9.2847725159783234</v>
      </c>
      <c r="L162" s="6"/>
      <c r="M162" s="6">
        <f t="shared" si="191"/>
        <v>30586.097912785106</v>
      </c>
      <c r="N162" s="6">
        <f t="shared" si="192"/>
        <v>329560.44543926243</v>
      </c>
      <c r="O162" s="6">
        <f t="shared" si="193"/>
        <v>-68759.164109223901</v>
      </c>
      <c r="P162" s="6">
        <f t="shared" si="175"/>
        <v>-12011.063447464199</v>
      </c>
      <c r="Q162" s="6">
        <f t="shared" si="194"/>
        <v>-1448.7210566380354</v>
      </c>
      <c r="R162" s="6">
        <f t="shared" si="176"/>
        <v>5279.3854033415346</v>
      </c>
      <c r="S162" s="6">
        <f t="shared" si="177"/>
        <v>6885.5940931256191</v>
      </c>
      <c r="T162" s="69">
        <f t="shared" si="195"/>
        <v>6102.1710073664663</v>
      </c>
      <c r="U162" s="10">
        <f t="shared" si="178"/>
        <v>-52444.565636824394</v>
      </c>
      <c r="V162" s="10">
        <f t="shared" si="179"/>
        <v>16187.628083582595</v>
      </c>
      <c r="W162" s="10">
        <f t="shared" si="180"/>
        <v>6430.3635487213896</v>
      </c>
      <c r="X162" s="10">
        <f t="shared" si="181"/>
        <v>27542.376372502476</v>
      </c>
      <c r="Y162" s="69">
        <f t="shared" si="182"/>
        <v>9967.1044961070966</v>
      </c>
      <c r="Z162" s="69">
        <f t="shared" si="183"/>
        <v>16069.275503473564</v>
      </c>
      <c r="AA162" s="6"/>
      <c r="AB162" s="6">
        <f t="shared" si="196"/>
        <v>-2477.8344270557604</v>
      </c>
      <c r="AC162" s="6">
        <f t="shared" si="197"/>
        <v>1880.998123422733</v>
      </c>
      <c r="AD162" s="6">
        <f t="shared" si="198"/>
        <v>-780.15969381312664</v>
      </c>
      <c r="AE162" s="6">
        <f t="shared" si="199"/>
        <v>1178.3720973374545</v>
      </c>
      <c r="AF162" s="6">
        <f t="shared" si="200"/>
        <v>123.96406518297736</v>
      </c>
      <c r="AG162" s="6">
        <f t="shared" si="201"/>
        <v>-74.65983492572208</v>
      </c>
      <c r="AH162" s="70">
        <f t="shared" si="202"/>
        <v>-1421.5354494500373</v>
      </c>
      <c r="AI162" s="6">
        <f t="shared" si="203"/>
        <v>-1339.825740511923</v>
      </c>
      <c r="AJ162" s="6">
        <f t="shared" si="204"/>
        <v>1880.998123422733</v>
      </c>
      <c r="AK162" s="6">
        <f t="shared" si="205"/>
        <v>-1560.3193876262533</v>
      </c>
      <c r="AL162" s="6">
        <f t="shared" si="206"/>
        <v>589.18604866872727</v>
      </c>
      <c r="AM162" s="6">
        <f t="shared" si="207"/>
        <v>371.89219554893208</v>
      </c>
      <c r="AN162" s="6">
        <f t="shared" si="208"/>
        <v>-58.068760497783899</v>
      </c>
      <c r="AO162" s="70">
        <f t="shared" si="209"/>
        <v>-1194.1472813047467</v>
      </c>
      <c r="AP162" s="6">
        <f t="shared" si="210"/>
        <v>-513.88093149333622</v>
      </c>
      <c r="AQ162" s="6">
        <f t="shared" si="211"/>
        <v>1880.998123422733</v>
      </c>
      <c r="AR162" s="6">
        <f t="shared" si="212"/>
        <v>-2340.47908143938</v>
      </c>
      <c r="AS162" s="6">
        <f t="shared" si="213"/>
        <v>196.39534955624242</v>
      </c>
      <c r="AT162" s="6">
        <f t="shared" si="214"/>
        <v>743.78439109786416</v>
      </c>
      <c r="AU162" s="6">
        <f t="shared" si="215"/>
        <v>-33.182148855876676</v>
      </c>
      <c r="AV162" s="70">
        <f t="shared" si="216"/>
        <v>-736.99495478167364</v>
      </c>
      <c r="AW162" s="70">
        <f t="shared" si="217"/>
        <v>-3352.6776855364574</v>
      </c>
      <c r="BC162"/>
      <c r="BD162"/>
      <c r="BF162" s="6" t="e">
        <f t="shared" si="218"/>
        <v>#N/A</v>
      </c>
      <c r="BG162" s="6" t="e">
        <f t="shared" si="219"/>
        <v>#N/A</v>
      </c>
      <c r="BH162" s="6" t="e">
        <f t="shared" si="220"/>
        <v>#N/A</v>
      </c>
      <c r="BI162" s="6" t="e">
        <f t="shared" si="221"/>
        <v>#N/A</v>
      </c>
      <c r="BV162" s="36"/>
      <c r="BW162" s="6" t="e">
        <f t="shared" si="158"/>
        <v>#N/A</v>
      </c>
      <c r="BX162" s="9">
        <f t="shared" ca="1" si="159"/>
        <v>-65.220682514826848</v>
      </c>
      <c r="BY162" s="9">
        <f t="shared" ca="1" si="160"/>
        <v>21.430285361287321</v>
      </c>
      <c r="BZ162" s="9">
        <f t="shared" ca="1" si="161"/>
        <v>0</v>
      </c>
      <c r="CA162" s="6">
        <f t="shared" ca="1" si="162"/>
        <v>0</v>
      </c>
      <c r="CB162" s="6" t="e">
        <f t="shared" ca="1" si="163"/>
        <v>#DIV/0!</v>
      </c>
      <c r="CC162" s="6" t="e">
        <f t="shared" ca="1" si="164"/>
        <v>#DIV/0!</v>
      </c>
      <c r="CD162" s="9">
        <f t="shared" si="165"/>
        <v>-30</v>
      </c>
      <c r="CE162" s="9">
        <f t="shared" si="166"/>
        <v>0</v>
      </c>
      <c r="CF162" s="6">
        <f t="shared" si="167"/>
        <v>3.1415926535897931</v>
      </c>
      <c r="CG162" s="6" t="e">
        <f t="shared" ca="1" si="168"/>
        <v>#DIV/0!</v>
      </c>
      <c r="CH162" s="6"/>
      <c r="CI162" s="6"/>
      <c r="CJ162" s="1"/>
      <c r="CK162" s="6"/>
    </row>
    <row r="163" spans="1:89" x14ac:dyDescent="0.25">
      <c r="A163" s="1" t="s">
        <v>92</v>
      </c>
      <c r="B163" s="6">
        <f t="shared" ref="B163:E163" si="226">B55</f>
        <v>-5.0740253127903294</v>
      </c>
      <c r="C163" s="6">
        <f t="shared" si="226"/>
        <v>6.801048972413227</v>
      </c>
      <c r="D163" s="6">
        <f t="shared" si="226"/>
        <v>-5.0740253127903294</v>
      </c>
      <c r="E163" s="6">
        <f t="shared" si="226"/>
        <v>6.801048972413227</v>
      </c>
      <c r="F163" s="6">
        <f t="shared" si="185"/>
        <v>0</v>
      </c>
      <c r="G163" s="6">
        <f t="shared" si="186"/>
        <v>0</v>
      </c>
      <c r="H163" s="6">
        <f t="shared" si="187"/>
        <v>0</v>
      </c>
      <c r="I163" s="6">
        <f t="shared" si="188"/>
        <v>0</v>
      </c>
      <c r="J163" s="6">
        <f t="shared" si="189"/>
        <v>0</v>
      </c>
      <c r="K163" s="6">
        <f t="shared" si="190"/>
        <v>0</v>
      </c>
      <c r="L163" s="6"/>
      <c r="M163" s="6">
        <f t="shared" si="191"/>
        <v>0</v>
      </c>
      <c r="N163" s="6">
        <f t="shared" si="192"/>
        <v>0</v>
      </c>
      <c r="O163" s="6">
        <f t="shared" si="193"/>
        <v>0</v>
      </c>
      <c r="P163" s="6">
        <f t="shared" si="175"/>
        <v>0</v>
      </c>
      <c r="Q163" s="6">
        <f t="shared" si="194"/>
        <v>0</v>
      </c>
      <c r="R163" s="6">
        <f t="shared" si="176"/>
        <v>0</v>
      </c>
      <c r="S163" s="6">
        <f t="shared" si="177"/>
        <v>0</v>
      </c>
      <c r="T163" s="69">
        <f t="shared" si="195"/>
        <v>0</v>
      </c>
      <c r="U163" s="10">
        <f t="shared" si="178"/>
        <v>0</v>
      </c>
      <c r="V163" s="10">
        <f t="shared" si="179"/>
        <v>0</v>
      </c>
      <c r="W163" s="10">
        <f t="shared" si="180"/>
        <v>0</v>
      </c>
      <c r="X163" s="10">
        <f t="shared" si="181"/>
        <v>0</v>
      </c>
      <c r="Y163" s="69">
        <f t="shared" si="182"/>
        <v>0</v>
      </c>
      <c r="Z163" s="69">
        <f t="shared" si="183"/>
        <v>0</v>
      </c>
      <c r="AA163" s="6"/>
      <c r="AB163" s="6">
        <f t="shared" si="196"/>
        <v>0</v>
      </c>
      <c r="AC163" s="6">
        <f t="shared" si="197"/>
        <v>1880.998123422733</v>
      </c>
      <c r="AD163" s="6">
        <f t="shared" si="198"/>
        <v>0</v>
      </c>
      <c r="AE163" s="6">
        <f t="shared" si="199"/>
        <v>0</v>
      </c>
      <c r="AF163" s="6">
        <f t="shared" si="200"/>
        <v>0</v>
      </c>
      <c r="AG163" s="6">
        <f t="shared" si="201"/>
        <v>1880.998123422733</v>
      </c>
      <c r="AH163" s="70">
        <f t="shared" si="202"/>
        <v>0</v>
      </c>
      <c r="AI163" s="6">
        <f t="shared" si="203"/>
        <v>0</v>
      </c>
      <c r="AJ163" s="6">
        <f t="shared" si="204"/>
        <v>1880.998123422733</v>
      </c>
      <c r="AK163" s="6">
        <f t="shared" si="205"/>
        <v>0</v>
      </c>
      <c r="AL163" s="6">
        <f t="shared" si="206"/>
        <v>0</v>
      </c>
      <c r="AM163" s="6">
        <f t="shared" si="207"/>
        <v>0</v>
      </c>
      <c r="AN163" s="6">
        <f t="shared" si="208"/>
        <v>1880.998123422733</v>
      </c>
      <c r="AO163" s="70">
        <f t="shared" si="209"/>
        <v>0</v>
      </c>
      <c r="AP163" s="6">
        <f t="shared" si="210"/>
        <v>0</v>
      </c>
      <c r="AQ163" s="6">
        <f t="shared" si="211"/>
        <v>1880.998123422733</v>
      </c>
      <c r="AR163" s="6">
        <f t="shared" si="212"/>
        <v>0</v>
      </c>
      <c r="AS163" s="6">
        <f t="shared" si="213"/>
        <v>0</v>
      </c>
      <c r="AT163" s="6">
        <f t="shared" si="214"/>
        <v>0</v>
      </c>
      <c r="AU163" s="6">
        <f t="shared" si="215"/>
        <v>1880.998123422733</v>
      </c>
      <c r="AV163" s="70">
        <f t="shared" si="216"/>
        <v>0</v>
      </c>
      <c r="AW163" s="70">
        <f t="shared" si="217"/>
        <v>0</v>
      </c>
      <c r="BC163"/>
      <c r="BD163"/>
      <c r="BF163" s="6" t="e">
        <f t="shared" si="218"/>
        <v>#N/A</v>
      </c>
      <c r="BG163" s="6" t="e">
        <f t="shared" si="219"/>
        <v>#N/A</v>
      </c>
      <c r="BH163" s="6" t="e">
        <f t="shared" si="220"/>
        <v>#N/A</v>
      </c>
      <c r="BI163" s="6" t="e">
        <f t="shared" si="221"/>
        <v>#N/A</v>
      </c>
      <c r="BV163" s="36"/>
      <c r="BW163" s="6" t="e">
        <f t="shared" si="158"/>
        <v>#N/A</v>
      </c>
      <c r="BX163" s="9">
        <f t="shared" ca="1" si="159"/>
        <v>-65.220682514826848</v>
      </c>
      <c r="BY163" s="9">
        <f t="shared" ca="1" si="160"/>
        <v>21.430285361287321</v>
      </c>
      <c r="BZ163" s="9">
        <f t="shared" ca="1" si="161"/>
        <v>0</v>
      </c>
      <c r="CA163" s="6">
        <f t="shared" ca="1" si="162"/>
        <v>0</v>
      </c>
      <c r="CB163" s="6" t="e">
        <f t="shared" ca="1" si="163"/>
        <v>#DIV/0!</v>
      </c>
      <c r="CC163" s="6" t="e">
        <f t="shared" ca="1" si="164"/>
        <v>#DIV/0!</v>
      </c>
      <c r="CD163" s="9">
        <f t="shared" si="165"/>
        <v>-30</v>
      </c>
      <c r="CE163" s="9">
        <f t="shared" si="166"/>
        <v>0</v>
      </c>
      <c r="CF163" s="6">
        <f t="shared" si="167"/>
        <v>3.1415926535897931</v>
      </c>
      <c r="CG163" s="6" t="e">
        <f t="shared" ca="1" si="168"/>
        <v>#DIV/0!</v>
      </c>
      <c r="CH163" s="6"/>
      <c r="CI163" s="6"/>
      <c r="CJ163" s="1"/>
      <c r="CK163" s="6"/>
    </row>
    <row r="164" spans="1:89" ht="15.75" thickBot="1" x14ac:dyDescent="0.3">
      <c r="A164" s="1" t="s">
        <v>93</v>
      </c>
      <c r="B164" s="6">
        <f t="shared" ref="B164:E164" si="227">B56</f>
        <v>-5.0740253127903294</v>
      </c>
      <c r="C164" s="6">
        <f t="shared" si="227"/>
        <v>6.801048972413227</v>
      </c>
      <c r="D164" s="6">
        <f t="shared" si="227"/>
        <v>-7.664560802224675</v>
      </c>
      <c r="E164" s="6">
        <f t="shared" si="227"/>
        <v>-11.011562455392108</v>
      </c>
      <c r="F164" s="6">
        <f t="shared" si="185"/>
        <v>0</v>
      </c>
      <c r="G164" s="6">
        <f t="shared" si="186"/>
        <v>0</v>
      </c>
      <c r="H164" s="6">
        <f t="shared" si="187"/>
        <v>0</v>
      </c>
      <c r="I164" s="6">
        <f t="shared" si="188"/>
        <v>0</v>
      </c>
      <c r="J164" s="6">
        <f t="shared" si="189"/>
        <v>0</v>
      </c>
      <c r="K164" s="6">
        <f t="shared" si="190"/>
        <v>0</v>
      </c>
      <c r="L164" s="6"/>
      <c r="M164" s="11">
        <f t="shared" si="191"/>
        <v>0</v>
      </c>
      <c r="N164" s="11">
        <f t="shared" si="192"/>
        <v>0</v>
      </c>
      <c r="O164" s="11">
        <f t="shared" si="193"/>
        <v>0</v>
      </c>
      <c r="P164" s="6">
        <f t="shared" si="175"/>
        <v>0</v>
      </c>
      <c r="Q164" s="6">
        <f t="shared" si="194"/>
        <v>0</v>
      </c>
      <c r="R164" s="6">
        <f t="shared" si="176"/>
        <v>0</v>
      </c>
      <c r="S164" s="6">
        <f t="shared" si="177"/>
        <v>0</v>
      </c>
      <c r="T164" s="69">
        <f t="shared" si="195"/>
        <v>0</v>
      </c>
      <c r="U164" s="10">
        <f t="shared" si="178"/>
        <v>0</v>
      </c>
      <c r="V164" s="10">
        <f t="shared" si="179"/>
        <v>0</v>
      </c>
      <c r="W164" s="10">
        <f t="shared" si="180"/>
        <v>0</v>
      </c>
      <c r="X164" s="10">
        <f t="shared" si="181"/>
        <v>0</v>
      </c>
      <c r="Y164" s="69">
        <f t="shared" si="182"/>
        <v>0</v>
      </c>
      <c r="Z164" s="69">
        <f t="shared" si="183"/>
        <v>0</v>
      </c>
      <c r="AA164" s="6"/>
      <c r="AB164" s="6">
        <f t="shared" si="196"/>
        <v>0</v>
      </c>
      <c r="AC164" s="6">
        <f t="shared" si="197"/>
        <v>1880.998123422733</v>
      </c>
      <c r="AD164" s="6">
        <f t="shared" si="198"/>
        <v>0</v>
      </c>
      <c r="AE164" s="6">
        <f t="shared" si="199"/>
        <v>0</v>
      </c>
      <c r="AF164" s="6">
        <f t="shared" si="200"/>
        <v>0</v>
      </c>
      <c r="AG164" s="6">
        <f t="shared" si="201"/>
        <v>1880.998123422733</v>
      </c>
      <c r="AH164" s="70">
        <f t="shared" si="202"/>
        <v>0</v>
      </c>
      <c r="AI164" s="6">
        <f t="shared" si="203"/>
        <v>0</v>
      </c>
      <c r="AJ164" s="6">
        <f t="shared" si="204"/>
        <v>1880.998123422733</v>
      </c>
      <c r="AK164" s="6">
        <f t="shared" si="205"/>
        <v>0</v>
      </c>
      <c r="AL164" s="6">
        <f t="shared" si="206"/>
        <v>0</v>
      </c>
      <c r="AM164" s="6">
        <f t="shared" si="207"/>
        <v>0</v>
      </c>
      <c r="AN164" s="6">
        <f t="shared" si="208"/>
        <v>1880.998123422733</v>
      </c>
      <c r="AO164" s="70">
        <f t="shared" si="209"/>
        <v>0</v>
      </c>
      <c r="AP164" s="6">
        <f t="shared" si="210"/>
        <v>0</v>
      </c>
      <c r="AQ164" s="6">
        <f t="shared" si="211"/>
        <v>1880.998123422733</v>
      </c>
      <c r="AR164" s="6">
        <f t="shared" si="212"/>
        <v>0</v>
      </c>
      <c r="AS164" s="6">
        <f t="shared" si="213"/>
        <v>0</v>
      </c>
      <c r="AT164" s="6">
        <f t="shared" si="214"/>
        <v>0</v>
      </c>
      <c r="AU164" s="6">
        <f t="shared" si="215"/>
        <v>1880.998123422733</v>
      </c>
      <c r="AV164" s="70">
        <f t="shared" si="216"/>
        <v>0</v>
      </c>
      <c r="AW164" s="70">
        <f t="shared" si="217"/>
        <v>0</v>
      </c>
      <c r="BC164"/>
      <c r="BD164"/>
      <c r="BF164" s="6" t="e">
        <f t="shared" si="218"/>
        <v>#N/A</v>
      </c>
      <c r="BG164" s="6" t="e">
        <f t="shared" si="219"/>
        <v>#N/A</v>
      </c>
      <c r="BH164" s="6" t="e">
        <f t="shared" si="220"/>
        <v>#N/A</v>
      </c>
      <c r="BI164" s="6" t="e">
        <f t="shared" si="221"/>
        <v>#N/A</v>
      </c>
      <c r="BV164" s="36"/>
      <c r="BW164" s="6" t="e">
        <f t="shared" si="158"/>
        <v>#N/A</v>
      </c>
      <c r="BX164" s="9">
        <f t="shared" ca="1" si="159"/>
        <v>-65.220682514826848</v>
      </c>
      <c r="BY164" s="9">
        <f t="shared" ca="1" si="160"/>
        <v>21.430285361287321</v>
      </c>
      <c r="BZ164" s="9">
        <f t="shared" ca="1" si="161"/>
        <v>0</v>
      </c>
      <c r="CA164" s="6">
        <f t="shared" ca="1" si="162"/>
        <v>0</v>
      </c>
      <c r="CB164" s="6" t="e">
        <f t="shared" ca="1" si="163"/>
        <v>#DIV/0!</v>
      </c>
      <c r="CC164" s="6" t="e">
        <f t="shared" ca="1" si="164"/>
        <v>#DIV/0!</v>
      </c>
      <c r="CD164" s="9">
        <f t="shared" si="165"/>
        <v>-30</v>
      </c>
      <c r="CE164" s="9">
        <f t="shared" si="166"/>
        <v>0</v>
      </c>
      <c r="CF164" s="6">
        <f t="shared" si="167"/>
        <v>3.1415926535897931</v>
      </c>
      <c r="CG164" s="6" t="e">
        <f t="shared" ca="1" si="168"/>
        <v>#DIV/0!</v>
      </c>
      <c r="CH164" s="6"/>
      <c r="CI164" s="6"/>
      <c r="CJ164" s="1"/>
      <c r="CK164" s="6"/>
    </row>
    <row r="165" spans="1:89" ht="15.75" thickTop="1" x14ac:dyDescent="0.25">
      <c r="M165" s="6">
        <f>SUM(M157:M164)</f>
        <v>93303.385460598947</v>
      </c>
      <c r="N165" s="6">
        <f t="shared" ref="N165:O165" si="228">SUM(N157:N164)</f>
        <v>989996.70033694303</v>
      </c>
      <c r="O165" s="6">
        <f t="shared" si="228"/>
        <v>275347.24483052758</v>
      </c>
      <c r="AA165" s="50"/>
      <c r="AC165" s="50"/>
      <c r="BC165"/>
      <c r="BD165"/>
      <c r="BF165" s="6" t="e">
        <f t="shared" si="218"/>
        <v>#N/A</v>
      </c>
      <c r="BG165" s="6" t="e">
        <f t="shared" si="219"/>
        <v>#N/A</v>
      </c>
      <c r="BH165" s="6" t="e">
        <f t="shared" si="220"/>
        <v>#N/A</v>
      </c>
      <c r="BI165" s="6" t="e">
        <f t="shared" si="221"/>
        <v>#N/A</v>
      </c>
      <c r="BV165" s="36"/>
      <c r="BW165" s="6" t="e">
        <f t="shared" si="158"/>
        <v>#N/A</v>
      </c>
      <c r="BX165" s="9">
        <f t="shared" ca="1" si="159"/>
        <v>-65.220682514826848</v>
      </c>
      <c r="BY165" s="9">
        <f t="shared" ca="1" si="160"/>
        <v>21.430285361287321</v>
      </c>
      <c r="BZ165" s="9">
        <f t="shared" ca="1" si="161"/>
        <v>0</v>
      </c>
      <c r="CA165" s="6">
        <f t="shared" ca="1" si="162"/>
        <v>0</v>
      </c>
      <c r="CB165" s="6" t="e">
        <f t="shared" ca="1" si="163"/>
        <v>#DIV/0!</v>
      </c>
      <c r="CC165" s="6" t="e">
        <f t="shared" ca="1" si="164"/>
        <v>#DIV/0!</v>
      </c>
      <c r="CD165" s="9">
        <f t="shared" si="165"/>
        <v>-30</v>
      </c>
      <c r="CE165" s="9">
        <f t="shared" si="166"/>
        <v>0</v>
      </c>
      <c r="CF165" s="6">
        <f t="shared" si="167"/>
        <v>3.1415926535897931</v>
      </c>
      <c r="CG165" s="6" t="e">
        <f t="shared" ca="1" si="168"/>
        <v>#DIV/0!</v>
      </c>
      <c r="CH165" s="6"/>
      <c r="CI165" s="6"/>
      <c r="CJ165" s="1"/>
      <c r="CK165" s="6"/>
    </row>
    <row r="166" spans="1:89" x14ac:dyDescent="0.25">
      <c r="A166" t="s">
        <v>182</v>
      </c>
      <c r="M166" s="6"/>
      <c r="N166" s="1"/>
      <c r="O166" s="1"/>
      <c r="BC166"/>
      <c r="BD166"/>
      <c r="BF166" s="6" t="e">
        <f t="shared" si="218"/>
        <v>#N/A</v>
      </c>
      <c r="BG166" s="6" t="e">
        <f t="shared" si="219"/>
        <v>#N/A</v>
      </c>
      <c r="BH166" s="6" t="e">
        <f t="shared" si="220"/>
        <v>#N/A</v>
      </c>
      <c r="BI166" s="6" t="e">
        <f t="shared" si="221"/>
        <v>#N/A</v>
      </c>
      <c r="BV166" s="36"/>
      <c r="BW166" s="6" t="e">
        <f t="shared" si="158"/>
        <v>#N/A</v>
      </c>
      <c r="BX166" s="9">
        <f t="shared" ca="1" si="159"/>
        <v>-65.220682514826848</v>
      </c>
      <c r="BY166" s="9">
        <f t="shared" ca="1" si="160"/>
        <v>21.430285361287321</v>
      </c>
      <c r="BZ166" s="9">
        <f t="shared" ca="1" si="161"/>
        <v>0</v>
      </c>
      <c r="CA166" s="6">
        <f t="shared" ca="1" si="162"/>
        <v>0</v>
      </c>
      <c r="CB166" s="6" t="e">
        <f t="shared" ca="1" si="163"/>
        <v>#DIV/0!</v>
      </c>
      <c r="CC166" s="6" t="e">
        <f t="shared" ca="1" si="164"/>
        <v>#DIV/0!</v>
      </c>
      <c r="CD166" s="9">
        <f t="shared" si="165"/>
        <v>-30</v>
      </c>
      <c r="CE166" s="9">
        <f t="shared" si="166"/>
        <v>0</v>
      </c>
      <c r="CF166" s="6">
        <f t="shared" si="167"/>
        <v>3.1415926535897931</v>
      </c>
      <c r="CG166" s="6" t="e">
        <f t="shared" ca="1" si="168"/>
        <v>#DIV/0!</v>
      </c>
      <c r="CH166" s="6"/>
      <c r="CI166" s="6"/>
      <c r="CJ166" s="1"/>
      <c r="CK166" s="6"/>
    </row>
    <row r="167" spans="1:89" x14ac:dyDescent="0.25">
      <c r="B167" t="str">
        <f t="shared" ref="B167:E167" si="229">B156</f>
        <v>xi (in)</v>
      </c>
      <c r="C167" t="str">
        <f t="shared" si="229"/>
        <v>yi (in)</v>
      </c>
      <c r="D167" t="str">
        <f t="shared" si="229"/>
        <v>xj (in)</v>
      </c>
      <c r="E167" t="str">
        <f t="shared" si="229"/>
        <v>yj (in)</v>
      </c>
      <c r="F167" s="1" t="s">
        <v>183</v>
      </c>
      <c r="G167" s="1" t="s">
        <v>184</v>
      </c>
      <c r="H167" s="1" t="s">
        <v>178</v>
      </c>
      <c r="I167" s="1" t="s">
        <v>179</v>
      </c>
      <c r="J167" s="1" t="s">
        <v>180</v>
      </c>
      <c r="K167" s="1" t="s">
        <v>181</v>
      </c>
      <c r="L167" s="1" t="s">
        <v>38</v>
      </c>
      <c r="M167" s="1" t="s">
        <v>39</v>
      </c>
      <c r="N167" s="1" t="s">
        <v>40</v>
      </c>
      <c r="O167" s="1" t="s">
        <v>41</v>
      </c>
      <c r="P167" s="1" t="s">
        <v>42</v>
      </c>
      <c r="BC167"/>
      <c r="BD167"/>
      <c r="BF167" s="6" t="e">
        <f t="shared" si="218"/>
        <v>#N/A</v>
      </c>
      <c r="BG167" s="6" t="e">
        <f t="shared" si="219"/>
        <v>#N/A</v>
      </c>
      <c r="BH167" s="6" t="e">
        <f t="shared" si="220"/>
        <v>#N/A</v>
      </c>
      <c r="BI167" s="6" t="e">
        <f t="shared" si="221"/>
        <v>#N/A</v>
      </c>
      <c r="BV167" s="36"/>
      <c r="BW167" s="6" t="e">
        <f t="shared" si="158"/>
        <v>#N/A</v>
      </c>
      <c r="BX167" s="9">
        <f t="shared" ca="1" si="159"/>
        <v>-65.220682514826848</v>
      </c>
      <c r="BY167" s="9">
        <f t="shared" ca="1" si="160"/>
        <v>21.430285361287321</v>
      </c>
      <c r="BZ167" s="9">
        <f t="shared" ca="1" si="161"/>
        <v>0</v>
      </c>
      <c r="CA167" s="6">
        <f t="shared" ca="1" si="162"/>
        <v>0</v>
      </c>
      <c r="CB167" s="6" t="e">
        <f t="shared" ca="1" si="163"/>
        <v>#DIV/0!</v>
      </c>
      <c r="CC167" s="6" t="e">
        <f t="shared" ca="1" si="164"/>
        <v>#DIV/0!</v>
      </c>
      <c r="CD167" s="9">
        <f t="shared" si="165"/>
        <v>-30</v>
      </c>
      <c r="CE167" s="9">
        <f t="shared" si="166"/>
        <v>0</v>
      </c>
      <c r="CF167" s="6">
        <f t="shared" si="167"/>
        <v>3.1415926535897931</v>
      </c>
      <c r="CG167" s="6" t="e">
        <f t="shared" ca="1" si="168"/>
        <v>#DIV/0!</v>
      </c>
      <c r="CH167" s="6"/>
      <c r="CI167" s="6"/>
      <c r="CJ167" s="1"/>
      <c r="CK167" s="6"/>
    </row>
    <row r="168" spans="1:89" x14ac:dyDescent="0.25">
      <c r="A168" s="1" t="str">
        <f t="shared" ref="A168:E175" si="230">A157</f>
        <v>Segment 1</v>
      </c>
      <c r="B168" s="6">
        <f t="shared" si="230"/>
        <v>-7.664560802224675</v>
      </c>
      <c r="C168" s="6">
        <f t="shared" si="230"/>
        <v>-11.011562455392108</v>
      </c>
      <c r="D168" s="6">
        <f t="shared" si="230"/>
        <v>4.2105134829788815</v>
      </c>
      <c r="E168" s="6">
        <f t="shared" si="230"/>
        <v>-12.738586115015005</v>
      </c>
      <c r="F168" s="6">
        <f>IF(E168-C168=0,0,MIN(MAX(($B$148-C168)/(E168-C168),0),1))</f>
        <v>0</v>
      </c>
      <c r="G168" s="6">
        <f>IF(E168-C168=0,0,MIN(MAX(($B$152-C168)/(E168-C168),0),1))</f>
        <v>0</v>
      </c>
      <c r="H168" s="6">
        <f>IF(AND(F168=0,G168=0),0,IF(C168&gt;E168,B168+(F168*(D168-B168)),B168+(G168*(D168-B168))))</f>
        <v>0</v>
      </c>
      <c r="I168" s="6">
        <f>IF(AND(F168=0,G168=0),0,IF(C168&gt;E168,C168+(F168*(E168-C168)),C168+(G168*(E168-C168))))</f>
        <v>0</v>
      </c>
      <c r="J168" s="9">
        <f>IF(AND(F168=0,G168=0),0,IF(C168&gt;E168,B168+(G168*(D168-B168)),B168+(F168*(D168-B168))))</f>
        <v>0</v>
      </c>
      <c r="K168" s="9">
        <f>IF(AND(F168=0,G168=0),0,IF(C168&gt;E168,C168+(G168*(E168-C168)),C168+(F168*(E168-C168))))</f>
        <v>0</v>
      </c>
      <c r="L168" s="6">
        <f>0.85*$B$143</f>
        <v>4250</v>
      </c>
      <c r="M168" s="6">
        <f>L168</f>
        <v>4250</v>
      </c>
      <c r="N168" s="10">
        <f t="shared" ref="N168" si="231">(1/6)*(K168-I168)*((L168*((2*H168)+J168))+(M168*(H168+(2*J168))))</f>
        <v>0</v>
      </c>
      <c r="O168" s="10">
        <f t="shared" ref="O168" si="232">((1/12)*(K168-I168)*(L168*H168*((3*I168)+K168)+L168*J168*(I168+K168)+M168*H168*(I168+K168)+M168*J168*(I168+(3*K168))))</f>
        <v>0</v>
      </c>
      <c r="P168" s="10">
        <f>((1/24)*(K168-I168)*(H168*H168*((3*L168)+M168)+2*H168*J168*(L168+M168)+J168*J168*(L168+(3*M168))))</f>
        <v>0</v>
      </c>
      <c r="BC168"/>
      <c r="BD168"/>
      <c r="BF168" s="6" t="e">
        <f t="shared" si="218"/>
        <v>#N/A</v>
      </c>
      <c r="BG168" s="6" t="e">
        <f t="shared" si="219"/>
        <v>#N/A</v>
      </c>
      <c r="BH168" s="6" t="e">
        <f t="shared" si="220"/>
        <v>#N/A</v>
      </c>
      <c r="BI168" s="6" t="e">
        <f t="shared" si="221"/>
        <v>#N/A</v>
      </c>
      <c r="BV168" s="36"/>
      <c r="BW168" s="6" t="e">
        <f t="shared" si="158"/>
        <v>#N/A</v>
      </c>
      <c r="BX168" s="9">
        <f t="shared" ca="1" si="159"/>
        <v>-65.220682514826848</v>
      </c>
      <c r="BY168" s="9">
        <f t="shared" ca="1" si="160"/>
        <v>21.430285361287321</v>
      </c>
      <c r="BZ168" s="9">
        <f t="shared" ca="1" si="161"/>
        <v>0</v>
      </c>
      <c r="CA168" s="6">
        <f t="shared" ca="1" si="162"/>
        <v>0</v>
      </c>
      <c r="CB168" s="6" t="e">
        <f t="shared" ca="1" si="163"/>
        <v>#DIV/0!</v>
      </c>
      <c r="CC168" s="6" t="e">
        <f t="shared" ca="1" si="164"/>
        <v>#DIV/0!</v>
      </c>
      <c r="CD168" s="9">
        <f t="shared" si="165"/>
        <v>-30</v>
      </c>
      <c r="CE168" s="9">
        <f t="shared" si="166"/>
        <v>0</v>
      </c>
      <c r="CF168" s="6">
        <f t="shared" si="167"/>
        <v>3.1415926535897931</v>
      </c>
      <c r="CG168" s="6" t="e">
        <f t="shared" ca="1" si="168"/>
        <v>#DIV/0!</v>
      </c>
      <c r="CH168" s="6"/>
      <c r="CI168" s="6"/>
      <c r="CJ168" s="1"/>
      <c r="CK168" s="6"/>
    </row>
    <row r="169" spans="1:89" x14ac:dyDescent="0.25">
      <c r="A169" s="1" t="str">
        <f t="shared" si="230"/>
        <v>Segment 2</v>
      </c>
      <c r="B169" s="6">
        <f t="shared" si="230"/>
        <v>4.2105134829788815</v>
      </c>
      <c r="C169" s="6">
        <f t="shared" si="230"/>
        <v>-12.738586115015005</v>
      </c>
      <c r="D169" s="6">
        <f t="shared" si="230"/>
        <v>6.801048972413227</v>
      </c>
      <c r="E169" s="6">
        <f t="shared" si="230"/>
        <v>5.0740253127903294</v>
      </c>
      <c r="F169" s="6">
        <f t="shared" ref="F169:F175" si="233">IF(E169-C169=0,0,MIN(MAX(($B$148-C169)/(E169-C169),0),1))</f>
        <v>1</v>
      </c>
      <c r="G169" s="6">
        <f t="shared" ref="G169:G175" si="234">IF(E169-C169=0,0,MIN(MAX(($B$152-C169)/(E169-C169),0),1))</f>
        <v>1</v>
      </c>
      <c r="H169" s="6">
        <f t="shared" ref="H169:H175" si="235">IF(AND(F169=0,G169=0),0,IF(C169&gt;E169,B169+(F169*(D169-B169)),B169+(G169*(D169-B169))))</f>
        <v>6.801048972413227</v>
      </c>
      <c r="I169" s="6">
        <f t="shared" ref="I169:I175" si="236">IF(AND(F169=0,G169=0),0,IF(C169&gt;E169,C169+(F169*(E169-C169)),C169+(G169*(E169-C169))))</f>
        <v>5.0740253127903312</v>
      </c>
      <c r="J169" s="9">
        <f t="shared" ref="J169:J175" si="237">IF(AND(F169=0,G169=0),0,IF(C169&gt;E169,B169+(G169*(D169-B169)),B169+(F169*(D169-B169))))</f>
        <v>6.801048972413227</v>
      </c>
      <c r="K169" s="9">
        <f t="shared" ref="K169:K175" si="238">IF(AND(F169=0,G169=0),0,IF(C169&gt;E169,C169+(G169*(E169-C169)),C169+(F169*(E169-C169))))</f>
        <v>5.0740253127903312</v>
      </c>
      <c r="L169" s="6">
        <f t="shared" ref="L169:L175" si="239">0.85*$B$143</f>
        <v>4250</v>
      </c>
      <c r="M169" s="6">
        <f t="shared" ref="M169:M175" si="240">L169</f>
        <v>4250</v>
      </c>
      <c r="N169" s="10">
        <f t="shared" ref="N169:N175" si="241">(1/6)*(K169-I169)*((L169*((2*H169)+J169))+(M169*(H169+(2*J169))))</f>
        <v>0</v>
      </c>
      <c r="O169" s="10">
        <f t="shared" ref="O169:O175" si="242">((1/12)*(K169-I169)*(L169*H169*((3*I169)+K169)+L169*J169*(I169+K169)+M169*H169*(I169+K169)+M169*J169*(I169+(3*K169))))</f>
        <v>0</v>
      </c>
      <c r="P169" s="10">
        <f t="shared" ref="P169:P175" si="243">((1/24)*(K169-I169)*(H169*H169*((3*L169)+M169)+2*H169*J169*(L169+M169)+J169*J169*(L169+(3*M169))))</f>
        <v>0</v>
      </c>
      <c r="BC169"/>
      <c r="BD169"/>
      <c r="BF169" s="6" t="e">
        <f t="shared" si="218"/>
        <v>#N/A</v>
      </c>
      <c r="BG169" s="6" t="e">
        <f t="shared" si="219"/>
        <v>#N/A</v>
      </c>
      <c r="BH169" s="6" t="e">
        <f t="shared" si="220"/>
        <v>#N/A</v>
      </c>
      <c r="BI169" s="6" t="e">
        <f t="shared" si="221"/>
        <v>#N/A</v>
      </c>
      <c r="BV169" s="36"/>
      <c r="BW169" s="6" t="e">
        <f t="shared" si="158"/>
        <v>#N/A</v>
      </c>
      <c r="BX169" s="9">
        <f t="shared" ca="1" si="159"/>
        <v>-65.220682514826848</v>
      </c>
      <c r="BY169" s="9">
        <f t="shared" ca="1" si="160"/>
        <v>21.430285361287321</v>
      </c>
      <c r="BZ169" s="9">
        <f t="shared" ca="1" si="161"/>
        <v>0</v>
      </c>
      <c r="CA169" s="6">
        <f t="shared" ca="1" si="162"/>
        <v>0</v>
      </c>
      <c r="CB169" s="6" t="e">
        <f t="shared" ca="1" si="163"/>
        <v>#DIV/0!</v>
      </c>
      <c r="CC169" s="6" t="e">
        <f t="shared" ca="1" si="164"/>
        <v>#DIV/0!</v>
      </c>
      <c r="CD169" s="9">
        <f t="shared" si="165"/>
        <v>-30</v>
      </c>
      <c r="CE169" s="9">
        <f t="shared" si="166"/>
        <v>0</v>
      </c>
      <c r="CF169" s="6">
        <f t="shared" si="167"/>
        <v>3.1415926535897931</v>
      </c>
      <c r="CG169" s="6" t="e">
        <f t="shared" ca="1" si="168"/>
        <v>#DIV/0!</v>
      </c>
      <c r="CH169" s="6"/>
      <c r="CI169" s="6"/>
      <c r="CJ169" s="1"/>
      <c r="CK169" s="6"/>
    </row>
    <row r="170" spans="1:89" x14ac:dyDescent="0.25">
      <c r="A170" s="1" t="str">
        <f t="shared" si="230"/>
        <v>Segment 3</v>
      </c>
      <c r="B170" s="6">
        <f t="shared" si="230"/>
        <v>6.801048972413227</v>
      </c>
      <c r="C170" s="6">
        <f t="shared" si="230"/>
        <v>5.0740253127903294</v>
      </c>
      <c r="D170" s="6">
        <f t="shared" si="230"/>
        <v>18.67612325761678</v>
      </c>
      <c r="E170" s="6">
        <f t="shared" si="230"/>
        <v>3.3470016531674331</v>
      </c>
      <c r="F170" s="6">
        <f t="shared" si="233"/>
        <v>0</v>
      </c>
      <c r="G170" s="6">
        <f t="shared" si="234"/>
        <v>0</v>
      </c>
      <c r="H170" s="6">
        <f t="shared" si="235"/>
        <v>0</v>
      </c>
      <c r="I170" s="6">
        <f t="shared" si="236"/>
        <v>0</v>
      </c>
      <c r="J170" s="9">
        <f t="shared" si="237"/>
        <v>0</v>
      </c>
      <c r="K170" s="9">
        <f t="shared" si="238"/>
        <v>0</v>
      </c>
      <c r="L170" s="6">
        <f t="shared" si="239"/>
        <v>4250</v>
      </c>
      <c r="M170" s="6">
        <f t="shared" si="240"/>
        <v>4250</v>
      </c>
      <c r="N170" s="10">
        <f t="shared" si="241"/>
        <v>0</v>
      </c>
      <c r="O170" s="10">
        <f t="shared" si="242"/>
        <v>0</v>
      </c>
      <c r="P170" s="10">
        <f t="shared" si="243"/>
        <v>0</v>
      </c>
      <c r="BC170"/>
      <c r="BD170"/>
      <c r="BF170" s="6" t="e">
        <f t="shared" si="218"/>
        <v>#N/A</v>
      </c>
      <c r="BG170" s="6" t="e">
        <f t="shared" si="219"/>
        <v>#N/A</v>
      </c>
      <c r="BH170" s="6" t="e">
        <f t="shared" si="220"/>
        <v>#N/A</v>
      </c>
      <c r="BI170" s="6" t="e">
        <f t="shared" si="221"/>
        <v>#N/A</v>
      </c>
      <c r="BV170" s="36"/>
      <c r="BW170" s="6" t="e">
        <f t="shared" si="158"/>
        <v>#N/A</v>
      </c>
      <c r="BX170" s="9">
        <f t="shared" ca="1" si="159"/>
        <v>-65.220682514826848</v>
      </c>
      <c r="BY170" s="9">
        <f t="shared" ca="1" si="160"/>
        <v>21.430285361287321</v>
      </c>
      <c r="BZ170" s="9">
        <f t="shared" ca="1" si="161"/>
        <v>0</v>
      </c>
      <c r="CA170" s="6">
        <f t="shared" ca="1" si="162"/>
        <v>0</v>
      </c>
      <c r="CB170" s="6" t="e">
        <f t="shared" ca="1" si="163"/>
        <v>#DIV/0!</v>
      </c>
      <c r="CC170" s="6" t="e">
        <f t="shared" ca="1" si="164"/>
        <v>#DIV/0!</v>
      </c>
      <c r="CD170" s="9">
        <f t="shared" si="165"/>
        <v>-30</v>
      </c>
      <c r="CE170" s="9">
        <f t="shared" si="166"/>
        <v>0</v>
      </c>
      <c r="CF170" s="6">
        <f t="shared" si="167"/>
        <v>3.1415926535897931</v>
      </c>
      <c r="CG170" s="6" t="e">
        <f t="shared" ca="1" si="168"/>
        <v>#DIV/0!</v>
      </c>
      <c r="CH170" s="6"/>
      <c r="CI170" s="6"/>
      <c r="CJ170" s="1"/>
      <c r="CK170" s="6"/>
    </row>
    <row r="171" spans="1:89" x14ac:dyDescent="0.25">
      <c r="A171" s="1" t="str">
        <f t="shared" si="230"/>
        <v>Segment 4</v>
      </c>
      <c r="B171" s="6">
        <f t="shared" si="230"/>
        <v>18.67612325761678</v>
      </c>
      <c r="C171" s="6">
        <f t="shared" si="230"/>
        <v>3.3470016531674331</v>
      </c>
      <c r="D171" s="6">
        <f t="shared" si="230"/>
        <v>19.539635087428231</v>
      </c>
      <c r="E171" s="6">
        <f t="shared" si="230"/>
        <v>9.2845387957692118</v>
      </c>
      <c r="F171" s="6">
        <f t="shared" si="233"/>
        <v>1</v>
      </c>
      <c r="G171" s="6">
        <f t="shared" si="234"/>
        <v>1</v>
      </c>
      <c r="H171" s="6">
        <f t="shared" si="235"/>
        <v>19.539635087428231</v>
      </c>
      <c r="I171" s="6">
        <f t="shared" si="236"/>
        <v>9.2845387957692118</v>
      </c>
      <c r="J171" s="9">
        <f t="shared" si="237"/>
        <v>19.539635087428231</v>
      </c>
      <c r="K171" s="9">
        <f t="shared" si="238"/>
        <v>9.2845387957692118</v>
      </c>
      <c r="L171" s="6">
        <f t="shared" si="239"/>
        <v>4250</v>
      </c>
      <c r="M171" s="6">
        <f t="shared" si="240"/>
        <v>4250</v>
      </c>
      <c r="N171" s="10">
        <f t="shared" si="241"/>
        <v>0</v>
      </c>
      <c r="O171" s="10">
        <f t="shared" si="242"/>
        <v>0</v>
      </c>
      <c r="P171" s="10">
        <f t="shared" si="243"/>
        <v>0</v>
      </c>
      <c r="BC171"/>
      <c r="BD171"/>
      <c r="BF171" s="6" t="e">
        <f t="shared" si="218"/>
        <v>#N/A</v>
      </c>
      <c r="BG171" s="6" t="e">
        <f t="shared" si="219"/>
        <v>#N/A</v>
      </c>
      <c r="BH171" s="6" t="e">
        <f t="shared" si="220"/>
        <v>#N/A</v>
      </c>
      <c r="BI171" s="6" t="e">
        <f t="shared" si="221"/>
        <v>#N/A</v>
      </c>
      <c r="BV171" s="36"/>
      <c r="BW171" s="6" t="e">
        <f t="shared" si="158"/>
        <v>#N/A</v>
      </c>
      <c r="BX171" s="9">
        <f t="shared" ca="1" si="159"/>
        <v>-65.220682514826848</v>
      </c>
      <c r="BY171" s="9">
        <f t="shared" ca="1" si="160"/>
        <v>21.430285361287321</v>
      </c>
      <c r="BZ171" s="9">
        <f t="shared" ca="1" si="161"/>
        <v>0</v>
      </c>
      <c r="CA171" s="6">
        <f t="shared" ca="1" si="162"/>
        <v>0</v>
      </c>
      <c r="CB171" s="6" t="e">
        <f t="shared" ca="1" si="163"/>
        <v>#DIV/0!</v>
      </c>
      <c r="CC171" s="6" t="e">
        <f t="shared" ca="1" si="164"/>
        <v>#DIV/0!</v>
      </c>
      <c r="CD171" s="9">
        <f t="shared" si="165"/>
        <v>-30</v>
      </c>
      <c r="CE171" s="9">
        <f t="shared" si="166"/>
        <v>0</v>
      </c>
      <c r="CF171" s="6">
        <f t="shared" si="167"/>
        <v>3.1415926535897931</v>
      </c>
      <c r="CG171" s="6" t="e">
        <f t="shared" ca="1" si="168"/>
        <v>#DIV/0!</v>
      </c>
      <c r="CH171" s="6"/>
      <c r="CI171" s="6"/>
      <c r="CJ171" s="1"/>
      <c r="CK171" s="6"/>
    </row>
    <row r="172" spans="1:89" x14ac:dyDescent="0.25">
      <c r="A172" s="1" t="str">
        <f t="shared" si="230"/>
        <v>Segment 5</v>
      </c>
      <c r="B172" s="6">
        <f t="shared" si="230"/>
        <v>19.539635087428231</v>
      </c>
      <c r="C172" s="6">
        <f t="shared" si="230"/>
        <v>9.2845387957692118</v>
      </c>
      <c r="D172" s="6">
        <f t="shared" si="230"/>
        <v>-4.2105134829788815</v>
      </c>
      <c r="E172" s="6">
        <f t="shared" si="230"/>
        <v>12.738586115015005</v>
      </c>
      <c r="F172" s="6">
        <f t="shared" si="233"/>
        <v>1</v>
      </c>
      <c r="G172" s="6">
        <f t="shared" si="234"/>
        <v>0.69543988736503892</v>
      </c>
      <c r="H172" s="6">
        <f t="shared" si="235"/>
        <v>3.0228344407213683</v>
      </c>
      <c r="I172" s="6">
        <f t="shared" si="236"/>
        <v>11.686621074419021</v>
      </c>
      <c r="J172" s="9">
        <f t="shared" si="237"/>
        <v>-4.2105134829788824</v>
      </c>
      <c r="K172" s="9">
        <f t="shared" si="238"/>
        <v>12.738586115015005</v>
      </c>
      <c r="L172" s="6">
        <f t="shared" si="239"/>
        <v>4250</v>
      </c>
      <c r="M172" s="6">
        <f t="shared" si="240"/>
        <v>4250</v>
      </c>
      <c r="N172" s="10">
        <f t="shared" si="241"/>
        <v>-2654.9682677947794</v>
      </c>
      <c r="O172" s="10">
        <f t="shared" si="242"/>
        <v>-35259.052755695542</v>
      </c>
      <c r="P172" s="10">
        <f t="shared" si="243"/>
        <v>10535.014947419097</v>
      </c>
      <c r="BC172"/>
      <c r="BD172"/>
      <c r="BF172" s="6" t="e">
        <f t="shared" si="218"/>
        <v>#N/A</v>
      </c>
      <c r="BG172" s="6" t="e">
        <f t="shared" si="219"/>
        <v>#N/A</v>
      </c>
      <c r="BH172" s="6" t="e">
        <f t="shared" si="220"/>
        <v>#N/A</v>
      </c>
      <c r="BI172" s="6" t="e">
        <f t="shared" si="221"/>
        <v>#N/A</v>
      </c>
      <c r="BV172" s="36"/>
      <c r="BW172" s="6" t="e">
        <f t="shared" si="158"/>
        <v>#N/A</v>
      </c>
      <c r="BX172" s="9">
        <f t="shared" ca="1" si="159"/>
        <v>-65.220682514826848</v>
      </c>
      <c r="BY172" s="9">
        <f t="shared" ca="1" si="160"/>
        <v>21.430285361287321</v>
      </c>
      <c r="BZ172" s="9">
        <f t="shared" ca="1" si="161"/>
        <v>0</v>
      </c>
      <c r="CA172" s="6">
        <f t="shared" ca="1" si="162"/>
        <v>0</v>
      </c>
      <c r="CB172" s="6" t="e">
        <f t="shared" ca="1" si="163"/>
        <v>#DIV/0!</v>
      </c>
      <c r="CC172" s="6" t="e">
        <f t="shared" ca="1" si="164"/>
        <v>#DIV/0!</v>
      </c>
      <c r="CD172" s="9">
        <f t="shared" si="165"/>
        <v>-30</v>
      </c>
      <c r="CE172" s="9">
        <f t="shared" si="166"/>
        <v>0</v>
      </c>
      <c r="CF172" s="6">
        <f t="shared" si="167"/>
        <v>3.1415926535897931</v>
      </c>
      <c r="CG172" s="6" t="e">
        <f t="shared" ca="1" si="168"/>
        <v>#DIV/0!</v>
      </c>
      <c r="CH172" s="6"/>
      <c r="CI172" s="6"/>
      <c r="CJ172" s="1"/>
      <c r="CK172" s="6"/>
    </row>
    <row r="173" spans="1:89" x14ac:dyDescent="0.25">
      <c r="A173" s="1" t="str">
        <f t="shared" si="230"/>
        <v>Segment 6</v>
      </c>
      <c r="B173" s="6">
        <f t="shared" si="230"/>
        <v>-4.2105134829788815</v>
      </c>
      <c r="C173" s="6">
        <f t="shared" si="230"/>
        <v>12.738586115015005</v>
      </c>
      <c r="D173" s="6">
        <f t="shared" si="230"/>
        <v>-5.0740253127903294</v>
      </c>
      <c r="E173" s="6">
        <f t="shared" si="230"/>
        <v>6.801048972413227</v>
      </c>
      <c r="F173" s="6">
        <f t="shared" si="233"/>
        <v>0</v>
      </c>
      <c r="G173" s="6">
        <f t="shared" si="234"/>
        <v>0.17717195115263268</v>
      </c>
      <c r="H173" s="6">
        <f t="shared" si="235"/>
        <v>-4.2105134829788815</v>
      </c>
      <c r="I173" s="6">
        <f t="shared" si="236"/>
        <v>12.738586115015005</v>
      </c>
      <c r="J173" s="9">
        <f t="shared" si="237"/>
        <v>-4.3635035587099562</v>
      </c>
      <c r="K173" s="9">
        <f t="shared" si="238"/>
        <v>11.686621074419021</v>
      </c>
      <c r="L173" s="6">
        <f t="shared" si="239"/>
        <v>4250</v>
      </c>
      <c r="M173" s="6">
        <f t="shared" si="240"/>
        <v>4250</v>
      </c>
      <c r="N173" s="10">
        <f t="shared" si="241"/>
        <v>19166.578143828076</v>
      </c>
      <c r="O173" s="10">
        <f t="shared" si="242"/>
        <v>234013.85949004698</v>
      </c>
      <c r="P173" s="10">
        <f t="shared" si="243"/>
        <v>-41088.002100018661</v>
      </c>
      <c r="BC173"/>
      <c r="BD173"/>
      <c r="BF173" s="6" t="e">
        <f t="shared" si="218"/>
        <v>#N/A</v>
      </c>
      <c r="BG173" s="6" t="e">
        <f t="shared" si="219"/>
        <v>#N/A</v>
      </c>
      <c r="BH173" s="6" t="e">
        <f t="shared" si="220"/>
        <v>#N/A</v>
      </c>
      <c r="BI173" s="6" t="e">
        <f t="shared" si="221"/>
        <v>#N/A</v>
      </c>
      <c r="BV173" s="36"/>
      <c r="BW173" s="6" t="e">
        <f t="shared" si="158"/>
        <v>#N/A</v>
      </c>
      <c r="BX173" s="9">
        <f t="shared" ca="1" si="159"/>
        <v>-65.220682514826848</v>
      </c>
      <c r="BY173" s="9">
        <f t="shared" ca="1" si="160"/>
        <v>21.430285361287321</v>
      </c>
      <c r="BZ173" s="9">
        <f t="shared" ca="1" si="161"/>
        <v>0</v>
      </c>
      <c r="CA173" s="6">
        <f t="shared" ca="1" si="162"/>
        <v>0</v>
      </c>
      <c r="CB173" s="6" t="e">
        <f t="shared" ca="1" si="163"/>
        <v>#DIV/0!</v>
      </c>
      <c r="CC173" s="6" t="e">
        <f t="shared" ca="1" si="164"/>
        <v>#DIV/0!</v>
      </c>
      <c r="CD173" s="9">
        <f t="shared" si="165"/>
        <v>-30</v>
      </c>
      <c r="CE173" s="9">
        <f t="shared" si="166"/>
        <v>0</v>
      </c>
      <c r="CF173" s="6">
        <f t="shared" si="167"/>
        <v>3.1415926535897931</v>
      </c>
      <c r="CG173" s="6" t="e">
        <f t="shared" ca="1" si="168"/>
        <v>#DIV/0!</v>
      </c>
      <c r="CH173" s="6"/>
      <c r="CI173" s="6"/>
      <c r="CJ173" s="1"/>
      <c r="CK173" s="6"/>
    </row>
    <row r="174" spans="1:89" x14ac:dyDescent="0.25">
      <c r="A174" s="1" t="str">
        <f t="shared" si="230"/>
        <v>Segment 7</v>
      </c>
      <c r="B174" s="6">
        <f t="shared" si="230"/>
        <v>-5.0740253127903294</v>
      </c>
      <c r="C174" s="6">
        <f t="shared" si="230"/>
        <v>6.801048972413227</v>
      </c>
      <c r="D174" s="6">
        <f t="shared" si="230"/>
        <v>-5.0740253127903294</v>
      </c>
      <c r="E174" s="6">
        <f t="shared" si="230"/>
        <v>6.801048972413227</v>
      </c>
      <c r="F174" s="6">
        <f t="shared" si="233"/>
        <v>0</v>
      </c>
      <c r="G174" s="6">
        <f t="shared" si="234"/>
        <v>0</v>
      </c>
      <c r="H174" s="6">
        <f t="shared" si="235"/>
        <v>0</v>
      </c>
      <c r="I174" s="6">
        <f t="shared" si="236"/>
        <v>0</v>
      </c>
      <c r="J174" s="9">
        <f t="shared" si="237"/>
        <v>0</v>
      </c>
      <c r="K174" s="9">
        <f t="shared" si="238"/>
        <v>0</v>
      </c>
      <c r="L174" s="6">
        <f t="shared" si="239"/>
        <v>4250</v>
      </c>
      <c r="M174" s="6">
        <f t="shared" si="240"/>
        <v>4250</v>
      </c>
      <c r="N174" s="10">
        <f t="shared" si="241"/>
        <v>0</v>
      </c>
      <c r="O174" s="10">
        <f t="shared" si="242"/>
        <v>0</v>
      </c>
      <c r="P174" s="10">
        <f t="shared" si="243"/>
        <v>0</v>
      </c>
      <c r="BC174"/>
      <c r="BD174"/>
      <c r="BF174" s="6" t="e">
        <f t="shared" si="218"/>
        <v>#N/A</v>
      </c>
      <c r="BG174" s="6" t="e">
        <f t="shared" si="219"/>
        <v>#N/A</v>
      </c>
      <c r="BH174" s="6" t="e">
        <f t="shared" si="220"/>
        <v>#N/A</v>
      </c>
      <c r="BI174" s="6" t="e">
        <f t="shared" si="221"/>
        <v>#N/A</v>
      </c>
      <c r="BV174" s="36"/>
      <c r="BW174" s="6" t="e">
        <f t="shared" si="158"/>
        <v>#N/A</v>
      </c>
      <c r="BX174" s="9">
        <f t="shared" ca="1" si="159"/>
        <v>-65.220682514826848</v>
      </c>
      <c r="BY174" s="9">
        <f t="shared" ca="1" si="160"/>
        <v>21.430285361287321</v>
      </c>
      <c r="BZ174" s="9">
        <f t="shared" ca="1" si="161"/>
        <v>0</v>
      </c>
      <c r="CA174" s="6">
        <f t="shared" ca="1" si="162"/>
        <v>0</v>
      </c>
      <c r="CB174" s="6" t="e">
        <f t="shared" ca="1" si="163"/>
        <v>#DIV/0!</v>
      </c>
      <c r="CC174" s="6" t="e">
        <f t="shared" ca="1" si="164"/>
        <v>#DIV/0!</v>
      </c>
      <c r="CD174" s="9">
        <f t="shared" si="165"/>
        <v>-30</v>
      </c>
      <c r="CE174" s="9">
        <f t="shared" si="166"/>
        <v>0</v>
      </c>
      <c r="CF174" s="6">
        <f t="shared" si="167"/>
        <v>3.1415926535897931</v>
      </c>
      <c r="CG174" s="6" t="e">
        <f t="shared" ca="1" si="168"/>
        <v>#DIV/0!</v>
      </c>
      <c r="CH174" s="6"/>
      <c r="CI174" s="6"/>
      <c r="CJ174" s="1"/>
      <c r="CK174" s="6"/>
    </row>
    <row r="175" spans="1:89" ht="15.75" thickBot="1" x14ac:dyDescent="0.3">
      <c r="A175" s="1" t="str">
        <f t="shared" si="230"/>
        <v>Segment 8</v>
      </c>
      <c r="B175" s="6">
        <f t="shared" si="230"/>
        <v>-5.0740253127903294</v>
      </c>
      <c r="C175" s="6">
        <f t="shared" si="230"/>
        <v>6.801048972413227</v>
      </c>
      <c r="D175" s="6">
        <f t="shared" si="230"/>
        <v>-7.664560802224675</v>
      </c>
      <c r="E175" s="6">
        <f t="shared" si="230"/>
        <v>-11.011562455392108</v>
      </c>
      <c r="F175" s="6">
        <f t="shared" si="233"/>
        <v>0</v>
      </c>
      <c r="G175" s="6">
        <f t="shared" si="234"/>
        <v>0</v>
      </c>
      <c r="H175" s="6">
        <f t="shared" si="235"/>
        <v>0</v>
      </c>
      <c r="I175" s="6">
        <f t="shared" si="236"/>
        <v>0</v>
      </c>
      <c r="J175" s="9">
        <f t="shared" si="237"/>
        <v>0</v>
      </c>
      <c r="K175" s="9">
        <f t="shared" si="238"/>
        <v>0</v>
      </c>
      <c r="L175" s="6">
        <f t="shared" si="239"/>
        <v>4250</v>
      </c>
      <c r="M175" s="6">
        <f t="shared" si="240"/>
        <v>4250</v>
      </c>
      <c r="N175" s="11">
        <f t="shared" si="241"/>
        <v>0</v>
      </c>
      <c r="O175" s="11">
        <f t="shared" si="242"/>
        <v>0</v>
      </c>
      <c r="P175" s="11">
        <f t="shared" si="243"/>
        <v>0</v>
      </c>
      <c r="BC175"/>
      <c r="BD175"/>
      <c r="BF175" s="6" t="e">
        <f t="shared" si="218"/>
        <v>#N/A</v>
      </c>
      <c r="BG175" s="6" t="e">
        <f t="shared" si="219"/>
        <v>#N/A</v>
      </c>
      <c r="BH175" s="6" t="e">
        <f t="shared" si="220"/>
        <v>#N/A</v>
      </c>
      <c r="BI175" s="6" t="e">
        <f t="shared" si="221"/>
        <v>#N/A</v>
      </c>
      <c r="BV175" s="36"/>
      <c r="BW175" s="6" t="e">
        <f t="shared" si="158"/>
        <v>#N/A</v>
      </c>
      <c r="BX175" s="9">
        <f t="shared" ca="1" si="159"/>
        <v>-65.220682514826848</v>
      </c>
      <c r="BY175" s="9">
        <f t="shared" ca="1" si="160"/>
        <v>21.430285361287321</v>
      </c>
      <c r="BZ175" s="9">
        <f t="shared" ca="1" si="161"/>
        <v>0</v>
      </c>
      <c r="CA175" s="6">
        <f t="shared" ca="1" si="162"/>
        <v>0</v>
      </c>
      <c r="CB175" s="6" t="e">
        <f t="shared" ca="1" si="163"/>
        <v>#DIV/0!</v>
      </c>
      <c r="CC175" s="6" t="e">
        <f t="shared" ca="1" si="164"/>
        <v>#DIV/0!</v>
      </c>
      <c r="CD175" s="9">
        <f t="shared" si="165"/>
        <v>-30</v>
      </c>
      <c r="CE175" s="9">
        <f t="shared" si="166"/>
        <v>0</v>
      </c>
      <c r="CF175" s="6">
        <f t="shared" si="167"/>
        <v>3.1415926535897931</v>
      </c>
      <c r="CG175" s="6" t="e">
        <f t="shared" ca="1" si="168"/>
        <v>#DIV/0!</v>
      </c>
      <c r="CH175" s="6"/>
      <c r="CI175" s="6"/>
      <c r="CJ175" s="1"/>
      <c r="CK175" s="6"/>
    </row>
    <row r="176" spans="1:89" ht="15.75" thickTop="1" x14ac:dyDescent="0.25">
      <c r="M176" s="9"/>
      <c r="N176" s="6">
        <f>SUM(N168:N175)</f>
        <v>16511.609876033297</v>
      </c>
      <c r="O176" s="6">
        <f t="shared" ref="O176:P176" si="244">SUM(O168:O175)</f>
        <v>198754.80673435144</v>
      </c>
      <c r="P176" s="6">
        <f t="shared" si="244"/>
        <v>-30552.987152599562</v>
      </c>
      <c r="BC176"/>
      <c r="BD176"/>
      <c r="BF176" s="6" t="e">
        <f t="shared" si="218"/>
        <v>#N/A</v>
      </c>
      <c r="BG176" s="6" t="e">
        <f t="shared" si="219"/>
        <v>#N/A</v>
      </c>
      <c r="BH176" s="6" t="e">
        <f t="shared" si="220"/>
        <v>#N/A</v>
      </c>
      <c r="BI176" s="6" t="e">
        <f t="shared" si="221"/>
        <v>#N/A</v>
      </c>
      <c r="BV176" s="36"/>
      <c r="BW176" s="6" t="e">
        <f t="shared" si="158"/>
        <v>#N/A</v>
      </c>
      <c r="BX176" s="9">
        <f t="shared" ca="1" si="159"/>
        <v>-65.220682514826848</v>
      </c>
      <c r="BY176" s="9">
        <f t="shared" ca="1" si="160"/>
        <v>21.430285361287321</v>
      </c>
      <c r="BZ176" s="9">
        <f t="shared" ca="1" si="161"/>
        <v>0</v>
      </c>
      <c r="CA176" s="6">
        <f t="shared" ca="1" si="162"/>
        <v>0</v>
      </c>
      <c r="CB176" s="6" t="e">
        <f t="shared" ca="1" si="163"/>
        <v>#DIV/0!</v>
      </c>
      <c r="CC176" s="6" t="e">
        <f t="shared" ca="1" si="164"/>
        <v>#DIV/0!</v>
      </c>
      <c r="CD176" s="9">
        <f t="shared" si="165"/>
        <v>-30</v>
      </c>
      <c r="CE176" s="9">
        <f t="shared" si="166"/>
        <v>0</v>
      </c>
      <c r="CF176" s="6">
        <f t="shared" si="167"/>
        <v>3.1415926535897931</v>
      </c>
      <c r="CG176" s="6" t="e">
        <f t="shared" ca="1" si="168"/>
        <v>#DIV/0!</v>
      </c>
      <c r="CH176" s="6"/>
      <c r="CI176" s="6"/>
      <c r="CJ176" s="1"/>
      <c r="CK176" s="6"/>
    </row>
    <row r="177" spans="1:89" x14ac:dyDescent="0.25">
      <c r="E177" t="s">
        <v>21</v>
      </c>
      <c r="F177" t="s">
        <v>22</v>
      </c>
      <c r="G177" t="s">
        <v>8</v>
      </c>
      <c r="H177" t="s">
        <v>9</v>
      </c>
      <c r="BC177"/>
      <c r="BD177"/>
      <c r="BF177" s="6" t="e">
        <f t="shared" si="218"/>
        <v>#N/A</v>
      </c>
      <c r="BG177" s="6" t="e">
        <f t="shared" si="219"/>
        <v>#N/A</v>
      </c>
      <c r="BH177" s="6" t="e">
        <f t="shared" si="220"/>
        <v>#N/A</v>
      </c>
      <c r="BI177" s="6" t="e">
        <f t="shared" si="221"/>
        <v>#N/A</v>
      </c>
      <c r="BV177" s="36"/>
      <c r="BW177" s="6" t="e">
        <f t="shared" si="158"/>
        <v>#N/A</v>
      </c>
      <c r="BX177" s="9">
        <f t="shared" ca="1" si="159"/>
        <v>-65.220682514826848</v>
      </c>
      <c r="BY177" s="9">
        <f t="shared" ca="1" si="160"/>
        <v>21.430285361287321</v>
      </c>
      <c r="BZ177" s="9">
        <f t="shared" ca="1" si="161"/>
        <v>0</v>
      </c>
      <c r="CA177" s="6">
        <f t="shared" ca="1" si="162"/>
        <v>0</v>
      </c>
      <c r="CB177" s="6" t="e">
        <f t="shared" ca="1" si="163"/>
        <v>#DIV/0!</v>
      </c>
      <c r="CC177" s="6" t="e">
        <f t="shared" ca="1" si="164"/>
        <v>#DIV/0!</v>
      </c>
      <c r="CD177" s="9">
        <f t="shared" si="165"/>
        <v>-30</v>
      </c>
      <c r="CE177" s="9">
        <f t="shared" si="166"/>
        <v>0</v>
      </c>
      <c r="CF177" s="6">
        <f t="shared" si="167"/>
        <v>3.1415926535897931</v>
      </c>
      <c r="CG177" s="6" t="e">
        <f t="shared" ca="1" si="168"/>
        <v>#DIV/0!</v>
      </c>
      <c r="CH177" s="6"/>
      <c r="CI177" s="6"/>
      <c r="CJ177" s="1"/>
      <c r="CK177" s="6"/>
    </row>
    <row r="178" spans="1:89" x14ac:dyDescent="0.25">
      <c r="A178" t="s">
        <v>187</v>
      </c>
      <c r="B178">
        <f>(N176+M165)/1000</f>
        <v>109.81499533663225</v>
      </c>
      <c r="C178" t="s">
        <v>68</v>
      </c>
      <c r="E178">
        <f>B179/B178</f>
        <v>10.825038087259735</v>
      </c>
      <c r="F178">
        <f>-1*B180/B178</f>
        <v>2.2291514644928387</v>
      </c>
      <c r="G178">
        <f>(F178*COS(-1*$B$27))+(E178*SIN(-1*$B$27))+$I$2</f>
        <v>6.6480201950671836</v>
      </c>
      <c r="H178">
        <f>(-1*F178*SIN(-1*$B$27))+(E178*COS(-1*$B$27))+$I$3</f>
        <v>23.03316072886911</v>
      </c>
      <c r="J178" t="str">
        <f>"Cc = "&amp;ROUND(B178,4)&amp;" "&amp;C178&amp;CHAR(10)&amp;" @ ( "&amp;ROUND(G178,4)&amp;" , "&amp;ROUND(H178,4)&amp;" )"</f>
        <v>Cc = 109.815 kips
 @ ( 6.648 , 23.0332 )</v>
      </c>
      <c r="BC178"/>
      <c r="BD178"/>
      <c r="BF178" s="6" t="e">
        <f t="shared" si="218"/>
        <v>#N/A</v>
      </c>
      <c r="BG178" s="6" t="e">
        <f t="shared" si="219"/>
        <v>#N/A</v>
      </c>
      <c r="BH178" s="6" t="e">
        <f t="shared" si="220"/>
        <v>#N/A</v>
      </c>
      <c r="BI178" s="6" t="e">
        <f t="shared" si="221"/>
        <v>#N/A</v>
      </c>
      <c r="BV178" s="36"/>
      <c r="BW178" s="6" t="e">
        <f t="shared" si="158"/>
        <v>#N/A</v>
      </c>
      <c r="BX178" s="9">
        <f t="shared" ca="1" si="159"/>
        <v>-65.220682514826848</v>
      </c>
      <c r="BY178" s="9">
        <f t="shared" ca="1" si="160"/>
        <v>21.430285361287321</v>
      </c>
      <c r="BZ178" s="9">
        <f t="shared" ca="1" si="161"/>
        <v>0</v>
      </c>
      <c r="CA178" s="6">
        <f t="shared" ca="1" si="162"/>
        <v>0</v>
      </c>
      <c r="CB178" s="6" t="e">
        <f t="shared" ca="1" si="163"/>
        <v>#DIV/0!</v>
      </c>
      <c r="CC178" s="6" t="e">
        <f t="shared" ca="1" si="164"/>
        <v>#DIV/0!</v>
      </c>
      <c r="CD178" s="9">
        <f t="shared" si="165"/>
        <v>-30</v>
      </c>
      <c r="CE178" s="9">
        <f t="shared" si="166"/>
        <v>0</v>
      </c>
      <c r="CF178" s="6">
        <f t="shared" si="167"/>
        <v>3.1415926535897931</v>
      </c>
      <c r="CG178" s="6" t="e">
        <f t="shared" ca="1" si="168"/>
        <v>#DIV/0!</v>
      </c>
      <c r="CH178" s="6"/>
      <c r="CI178" s="6"/>
      <c r="CJ178" s="1"/>
      <c r="CK178" s="6"/>
    </row>
    <row r="179" spans="1:89" x14ac:dyDescent="0.25">
      <c r="A179" t="s">
        <v>99</v>
      </c>
      <c r="B179">
        <f>(N165+O176)/1000</f>
        <v>1188.7515070712943</v>
      </c>
      <c r="C179" t="s">
        <v>69</v>
      </c>
      <c r="BC179"/>
      <c r="BD179"/>
      <c r="BF179" s="6" t="e">
        <f t="shared" si="218"/>
        <v>#N/A</v>
      </c>
      <c r="BG179" s="6" t="e">
        <f t="shared" si="219"/>
        <v>#N/A</v>
      </c>
      <c r="BH179" s="6" t="e">
        <f t="shared" si="220"/>
        <v>#N/A</v>
      </c>
      <c r="BI179" s="6" t="e">
        <f t="shared" si="221"/>
        <v>#N/A</v>
      </c>
      <c r="BV179" s="36"/>
      <c r="BW179" s="6" t="e">
        <f t="shared" si="158"/>
        <v>#N/A</v>
      </c>
      <c r="BX179" s="9">
        <f t="shared" ca="1" si="159"/>
        <v>-65.220682514826848</v>
      </c>
      <c r="BY179" s="9">
        <f t="shared" ca="1" si="160"/>
        <v>21.430285361287321</v>
      </c>
      <c r="BZ179" s="9">
        <f t="shared" ca="1" si="161"/>
        <v>0</v>
      </c>
      <c r="CA179" s="6">
        <f t="shared" ca="1" si="162"/>
        <v>0</v>
      </c>
      <c r="CB179" s="6" t="e">
        <f t="shared" ca="1" si="163"/>
        <v>#DIV/0!</v>
      </c>
      <c r="CC179" s="6" t="e">
        <f t="shared" ca="1" si="164"/>
        <v>#DIV/0!</v>
      </c>
      <c r="CD179" s="9">
        <f t="shared" si="165"/>
        <v>-30</v>
      </c>
      <c r="CE179" s="9">
        <f t="shared" si="166"/>
        <v>0</v>
      </c>
      <c r="CF179" s="6">
        <f t="shared" si="167"/>
        <v>3.1415926535897931</v>
      </c>
      <c r="CG179" s="6" t="e">
        <f t="shared" ca="1" si="168"/>
        <v>#DIV/0!</v>
      </c>
      <c r="CH179" s="6"/>
      <c r="CI179" s="6"/>
      <c r="CJ179" s="1"/>
      <c r="CK179" s="6"/>
    </row>
    <row r="180" spans="1:89" x14ac:dyDescent="0.25">
      <c r="A180" t="s">
        <v>100</v>
      </c>
      <c r="B180">
        <f>-1*(O165+P176)/1000</f>
        <v>-244.79425767792802</v>
      </c>
      <c r="C180" t="s">
        <v>69</v>
      </c>
      <c r="BC180"/>
      <c r="BD180"/>
      <c r="BF180" s="6" t="e">
        <f t="shared" si="218"/>
        <v>#N/A</v>
      </c>
      <c r="BG180" s="6" t="e">
        <f t="shared" si="219"/>
        <v>#N/A</v>
      </c>
      <c r="BH180" s="6" t="e">
        <f t="shared" si="220"/>
        <v>#N/A</v>
      </c>
      <c r="BI180" s="6" t="e">
        <f t="shared" si="221"/>
        <v>#N/A</v>
      </c>
      <c r="BV180" s="36"/>
      <c r="BW180" s="6" t="e">
        <f t="shared" si="158"/>
        <v>#N/A</v>
      </c>
      <c r="BX180" s="9">
        <f t="shared" ca="1" si="159"/>
        <v>-65.220682514826848</v>
      </c>
      <c r="BY180" s="9">
        <f t="shared" ca="1" si="160"/>
        <v>21.430285361287321</v>
      </c>
      <c r="BZ180" s="9">
        <f t="shared" ca="1" si="161"/>
        <v>0</v>
      </c>
      <c r="CA180" s="6">
        <f t="shared" ca="1" si="162"/>
        <v>0</v>
      </c>
      <c r="CB180" s="6" t="e">
        <f t="shared" ca="1" si="163"/>
        <v>#DIV/0!</v>
      </c>
      <c r="CC180" s="6" t="e">
        <f t="shared" ca="1" si="164"/>
        <v>#DIV/0!</v>
      </c>
      <c r="CD180" s="9">
        <f t="shared" si="165"/>
        <v>-30</v>
      </c>
      <c r="CE180" s="9">
        <f t="shared" si="166"/>
        <v>0</v>
      </c>
      <c r="CF180" s="6">
        <f t="shared" si="167"/>
        <v>3.1415926535897931</v>
      </c>
      <c r="CG180" s="6" t="e">
        <f t="shared" ca="1" si="168"/>
        <v>#DIV/0!</v>
      </c>
      <c r="CH180" s="6"/>
      <c r="CI180" s="6"/>
      <c r="CJ180" s="1"/>
      <c r="CK180" s="6"/>
    </row>
    <row r="181" spans="1:89" x14ac:dyDescent="0.25">
      <c r="BC181"/>
      <c r="BD181"/>
      <c r="BF181" s="6" t="e">
        <f t="shared" si="218"/>
        <v>#N/A</v>
      </c>
      <c r="BG181" s="6" t="e">
        <f t="shared" si="219"/>
        <v>#N/A</v>
      </c>
      <c r="BH181" s="6" t="e">
        <f t="shared" si="220"/>
        <v>#N/A</v>
      </c>
      <c r="BI181" s="6" t="e">
        <f t="shared" si="221"/>
        <v>#N/A</v>
      </c>
      <c r="BV181" s="36"/>
      <c r="BW181" s="6" t="e">
        <f t="shared" si="158"/>
        <v>#N/A</v>
      </c>
      <c r="BX181" s="9">
        <f t="shared" ca="1" si="159"/>
        <v>-65.220682514826848</v>
      </c>
      <c r="BY181" s="9">
        <f t="shared" ca="1" si="160"/>
        <v>21.430285361287321</v>
      </c>
      <c r="BZ181" s="9">
        <f t="shared" ca="1" si="161"/>
        <v>0</v>
      </c>
      <c r="CA181" s="6">
        <f t="shared" ca="1" si="162"/>
        <v>0</v>
      </c>
      <c r="CB181" s="6" t="e">
        <f t="shared" ca="1" si="163"/>
        <v>#DIV/0!</v>
      </c>
      <c r="CC181" s="6" t="e">
        <f t="shared" ca="1" si="164"/>
        <v>#DIV/0!</v>
      </c>
      <c r="CD181" s="9">
        <f t="shared" si="165"/>
        <v>-30</v>
      </c>
      <c r="CE181" s="9">
        <f t="shared" si="166"/>
        <v>0</v>
      </c>
      <c r="CF181" s="6">
        <f t="shared" si="167"/>
        <v>3.1415926535897931</v>
      </c>
      <c r="CG181" s="6" t="e">
        <f t="shared" ca="1" si="168"/>
        <v>#DIV/0!</v>
      </c>
      <c r="CH181" s="6"/>
      <c r="CI181" s="6"/>
      <c r="CJ181" s="1"/>
      <c r="CK181" s="6"/>
    </row>
    <row r="182" spans="1:89" x14ac:dyDescent="0.25">
      <c r="A182" t="s">
        <v>54</v>
      </c>
      <c r="BC182"/>
      <c r="BD182"/>
      <c r="BF182" s="6" t="e">
        <f t="shared" si="218"/>
        <v>#N/A</v>
      </c>
      <c r="BG182" s="6" t="e">
        <f t="shared" si="219"/>
        <v>#N/A</v>
      </c>
      <c r="BH182" s="6" t="e">
        <f t="shared" si="220"/>
        <v>#N/A</v>
      </c>
      <c r="BI182" s="6" t="e">
        <f t="shared" si="221"/>
        <v>#N/A</v>
      </c>
      <c r="BV182" s="36"/>
      <c r="BW182" s="6" t="e">
        <f t="shared" si="158"/>
        <v>#N/A</v>
      </c>
      <c r="BX182" s="9">
        <f t="shared" ca="1" si="159"/>
        <v>-65.220682514826848</v>
      </c>
      <c r="BY182" s="9">
        <f t="shared" ca="1" si="160"/>
        <v>21.430285361287321</v>
      </c>
      <c r="BZ182" s="9">
        <f t="shared" ca="1" si="161"/>
        <v>0</v>
      </c>
      <c r="CA182" s="6">
        <f t="shared" ca="1" si="162"/>
        <v>0</v>
      </c>
      <c r="CB182" s="6" t="e">
        <f t="shared" ca="1" si="163"/>
        <v>#DIV/0!</v>
      </c>
      <c r="CC182" s="6" t="e">
        <f t="shared" ca="1" si="164"/>
        <v>#DIV/0!</v>
      </c>
      <c r="CD182" s="9">
        <f t="shared" si="165"/>
        <v>-30</v>
      </c>
      <c r="CE182" s="9">
        <f t="shared" si="166"/>
        <v>0</v>
      </c>
      <c r="CF182" s="6">
        <f t="shared" si="167"/>
        <v>3.1415926535897931</v>
      </c>
      <c r="CG182" s="6" t="e">
        <f t="shared" ca="1" si="168"/>
        <v>#DIV/0!</v>
      </c>
      <c r="CH182" s="6"/>
      <c r="CI182" s="6"/>
      <c r="CJ182" s="1"/>
      <c r="CK182" s="6"/>
    </row>
    <row r="183" spans="1:89" x14ac:dyDescent="0.25">
      <c r="BC183"/>
      <c r="BD183"/>
      <c r="BF183" s="6" t="e">
        <f t="shared" si="218"/>
        <v>#N/A</v>
      </c>
      <c r="BG183" s="6" t="e">
        <f t="shared" si="219"/>
        <v>#N/A</v>
      </c>
      <c r="BH183" s="6" t="e">
        <f t="shared" si="220"/>
        <v>#N/A</v>
      </c>
      <c r="BI183" s="6" t="e">
        <f t="shared" si="221"/>
        <v>#N/A</v>
      </c>
      <c r="BV183" s="36"/>
      <c r="BW183" s="6" t="e">
        <f t="shared" si="158"/>
        <v>#N/A</v>
      </c>
      <c r="BX183" s="9">
        <f t="shared" ca="1" si="159"/>
        <v>-65.220682514826848</v>
      </c>
      <c r="BY183" s="9">
        <f t="shared" ca="1" si="160"/>
        <v>21.430285361287321</v>
      </c>
      <c r="BZ183" s="9">
        <f t="shared" ca="1" si="161"/>
        <v>0</v>
      </c>
      <c r="CA183" s="6">
        <f t="shared" ca="1" si="162"/>
        <v>0</v>
      </c>
      <c r="CB183" s="6" t="e">
        <f t="shared" ca="1" si="163"/>
        <v>#DIV/0!</v>
      </c>
      <c r="CC183" s="6" t="e">
        <f t="shared" ca="1" si="164"/>
        <v>#DIV/0!</v>
      </c>
      <c r="CD183" s="9">
        <f t="shared" si="165"/>
        <v>-30</v>
      </c>
      <c r="CE183" s="9">
        <f t="shared" si="166"/>
        <v>0</v>
      </c>
      <c r="CF183" s="6">
        <f t="shared" si="167"/>
        <v>3.1415926535897931</v>
      </c>
      <c r="CG183" s="6" t="e">
        <f t="shared" ca="1" si="168"/>
        <v>#DIV/0!</v>
      </c>
      <c r="CH183" s="6"/>
      <c r="CI183" s="6"/>
      <c r="CJ183" s="1"/>
      <c r="CK183" s="6"/>
    </row>
    <row r="184" spans="1:89" x14ac:dyDescent="0.25">
      <c r="A184">
        <f>A14</f>
        <v>0</v>
      </c>
      <c r="B184" t="str">
        <f t="shared" ref="B184:E184" si="245">B14</f>
        <v>Bar #</v>
      </c>
      <c r="C184" t="str">
        <f t="shared" si="245"/>
        <v>As (in^2)</v>
      </c>
      <c r="D184" t="str">
        <f t="shared" si="245"/>
        <v>x</v>
      </c>
      <c r="E184" t="str">
        <f t="shared" si="245"/>
        <v>y</v>
      </c>
      <c r="F184" s="1" t="s">
        <v>55</v>
      </c>
      <c r="G184" s="1" t="s">
        <v>56</v>
      </c>
      <c r="H184" s="1" t="s">
        <v>21</v>
      </c>
      <c r="I184" s="1" t="s">
        <v>22</v>
      </c>
      <c r="J184" s="1" t="s">
        <v>57</v>
      </c>
      <c r="K184" s="1" t="s">
        <v>58</v>
      </c>
      <c r="L184" s="1" t="s">
        <v>188</v>
      </c>
      <c r="M184" s="1" t="s">
        <v>224</v>
      </c>
      <c r="N184" s="1" t="s">
        <v>60</v>
      </c>
      <c r="O184" s="1" t="s">
        <v>61</v>
      </c>
      <c r="P184" s="1" t="s">
        <v>62</v>
      </c>
      <c r="BC184"/>
      <c r="BD184"/>
      <c r="BF184" s="6" t="e">
        <f t="shared" si="218"/>
        <v>#N/A</v>
      </c>
      <c r="BG184" s="6" t="e">
        <f t="shared" si="219"/>
        <v>#N/A</v>
      </c>
      <c r="BH184" s="6" t="e">
        <f t="shared" si="220"/>
        <v>#N/A</v>
      </c>
      <c r="BI184" s="6" t="e">
        <f t="shared" si="221"/>
        <v>#N/A</v>
      </c>
      <c r="BV184" s="36"/>
      <c r="BW184" s="6" t="e">
        <f t="shared" si="158"/>
        <v>#N/A</v>
      </c>
      <c r="BX184" s="9">
        <f t="shared" ca="1" si="159"/>
        <v>-65.220682514826848</v>
      </c>
      <c r="BY184" s="9">
        <f t="shared" ca="1" si="160"/>
        <v>21.430285361287321</v>
      </c>
      <c r="BZ184" s="9">
        <f t="shared" ca="1" si="161"/>
        <v>0</v>
      </c>
      <c r="CA184" s="6">
        <f t="shared" ca="1" si="162"/>
        <v>0</v>
      </c>
      <c r="CB184" s="6" t="e">
        <f t="shared" ca="1" si="163"/>
        <v>#DIV/0!</v>
      </c>
      <c r="CC184" s="6" t="e">
        <f t="shared" ca="1" si="164"/>
        <v>#DIV/0!</v>
      </c>
      <c r="CD184" s="9">
        <f t="shared" si="165"/>
        <v>-30</v>
      </c>
      <c r="CE184" s="9">
        <f t="shared" si="166"/>
        <v>0</v>
      </c>
      <c r="CF184" s="6">
        <f t="shared" si="167"/>
        <v>3.1415926535897931</v>
      </c>
      <c r="CG184" s="6" t="e">
        <f t="shared" ca="1" si="168"/>
        <v>#DIV/0!</v>
      </c>
      <c r="CH184" s="6"/>
      <c r="CI184" s="6"/>
      <c r="CJ184" s="1"/>
      <c r="CK184" s="6"/>
    </row>
    <row r="185" spans="1:89" x14ac:dyDescent="0.25">
      <c r="A185">
        <f t="shared" ref="A185:E194" si="246">A15</f>
        <v>1</v>
      </c>
      <c r="B185">
        <f t="shared" si="246"/>
        <v>7</v>
      </c>
      <c r="C185" s="6">
        <f t="shared" ca="1" si="246"/>
        <v>0.6</v>
      </c>
      <c r="D185" s="6">
        <f t="shared" si="246"/>
        <v>6</v>
      </c>
      <c r="E185" s="6">
        <f t="shared" si="246"/>
        <v>1.5</v>
      </c>
      <c r="F185" s="6">
        <f t="shared" ref="F185:F194" si="247">D185-$I$2</f>
        <v>0</v>
      </c>
      <c r="G185" s="6">
        <f t="shared" ref="G185:G194" si="248">E185-$I$3</f>
        <v>-10.5</v>
      </c>
      <c r="H185" s="6">
        <f t="shared" ref="H185:H194" si="249">F185*COS($B$27)+G185*SIN($B$27)</f>
        <v>-1.5111457021700347</v>
      </c>
      <c r="I185" s="6">
        <f t="shared" ref="I185:I194" si="250">-1*F185*SIN($B$27)+G185*COS($B$27)</f>
        <v>-10.390689999553111</v>
      </c>
      <c r="J185" s="6">
        <f>IF(B185=0,0,$G$38-I185)</f>
        <v>23.129276114568114</v>
      </c>
      <c r="K185" s="6">
        <f t="shared" ref="K185:K194" ca="1" si="251">IF($B$28=0,-1,IF(C185=0,0,(($B$28-J185)/$B$28)*$B$30)*IF($B$28&lt;0,-1,1))</f>
        <v>-1.7090206478733421E-2</v>
      </c>
      <c r="L185" s="6">
        <f ca="1">IF(K185&lt;0,0,IF(K185&lt;=$B$145,0.85*$B$143*((2*K185/$B$145)-POWER(K185/$B$145,2)),0.85*$B$143))/1000</f>
        <v>0</v>
      </c>
      <c r="M185" s="6">
        <f ca="1">IF(K185&gt;0,MIN((K185*B$13),B$12)-L185,MAX(K185*B$13,-1*B$12))</f>
        <v>-60</v>
      </c>
      <c r="N185" s="6">
        <f t="shared" ref="N185:N194" ca="1" si="252">M185*C185</f>
        <v>-36</v>
      </c>
      <c r="O185" s="6">
        <f t="shared" ref="O185:O194" ca="1" si="253">N185*I185</f>
        <v>374.06483998391195</v>
      </c>
      <c r="P185" s="6">
        <f t="shared" ref="P185:P194" ca="1" si="254">N185*H185*-1</f>
        <v>-54.401245278121252</v>
      </c>
      <c r="BC185"/>
      <c r="BD185"/>
      <c r="BF185" s="6" t="e">
        <f t="shared" si="218"/>
        <v>#N/A</v>
      </c>
      <c r="BG185" s="6" t="e">
        <f t="shared" si="219"/>
        <v>#N/A</v>
      </c>
      <c r="BH185" s="6" t="e">
        <f t="shared" si="220"/>
        <v>#N/A</v>
      </c>
      <c r="BI185" s="6" t="e">
        <f t="shared" si="221"/>
        <v>#N/A</v>
      </c>
      <c r="BV185" s="36"/>
      <c r="BW185" s="6" t="e">
        <f t="shared" si="158"/>
        <v>#N/A</v>
      </c>
      <c r="BX185" s="9">
        <f t="shared" ca="1" si="159"/>
        <v>-65.220682514826848</v>
      </c>
      <c r="BY185" s="9">
        <f t="shared" ca="1" si="160"/>
        <v>21.430285361287321</v>
      </c>
      <c r="BZ185" s="9">
        <f t="shared" ca="1" si="161"/>
        <v>0</v>
      </c>
      <c r="CA185" s="6">
        <f t="shared" ca="1" si="162"/>
        <v>0</v>
      </c>
      <c r="CB185" s="6" t="e">
        <f t="shared" ca="1" si="163"/>
        <v>#DIV/0!</v>
      </c>
      <c r="CC185" s="6" t="e">
        <f t="shared" ca="1" si="164"/>
        <v>#DIV/0!</v>
      </c>
      <c r="CD185" s="9">
        <f t="shared" si="165"/>
        <v>-30</v>
      </c>
      <c r="CE185" s="9">
        <f t="shared" si="166"/>
        <v>0</v>
      </c>
      <c r="CF185" s="6">
        <f t="shared" si="167"/>
        <v>3.1415926535897931</v>
      </c>
      <c r="CG185" s="6" t="e">
        <f t="shared" ca="1" si="168"/>
        <v>#DIV/0!</v>
      </c>
      <c r="CH185" s="6"/>
      <c r="CI185" s="6"/>
      <c r="CJ185" s="1"/>
      <c r="CK185" s="6"/>
    </row>
    <row r="186" spans="1:89" x14ac:dyDescent="0.25">
      <c r="A186">
        <f t="shared" si="246"/>
        <v>2</v>
      </c>
      <c r="B186">
        <f t="shared" si="246"/>
        <v>7</v>
      </c>
      <c r="C186" s="6">
        <f t="shared" ca="1" si="246"/>
        <v>0.6</v>
      </c>
      <c r="D186" s="6">
        <f t="shared" si="246"/>
        <v>1.5</v>
      </c>
      <c r="E186" s="6">
        <f t="shared" si="246"/>
        <v>1.5</v>
      </c>
      <c r="F186" s="6">
        <f t="shared" si="247"/>
        <v>-4.5</v>
      </c>
      <c r="G186" s="6">
        <f t="shared" si="248"/>
        <v>-10.5</v>
      </c>
      <c r="H186" s="6">
        <f t="shared" si="249"/>
        <v>-5.9642985591213682</v>
      </c>
      <c r="I186" s="6">
        <f t="shared" si="250"/>
        <v>-9.7430561271945244</v>
      </c>
      <c r="J186" s="6">
        <f t="shared" ref="J186:J194" si="255">IF(B186=0,0,$G$38-I186)</f>
        <v>22.481642242209531</v>
      </c>
      <c r="K186" s="6">
        <f t="shared" ca="1" si="251"/>
        <v>-1.6527668414253727E-2</v>
      </c>
      <c r="L186" s="6">
        <f t="shared" ref="L186:L194" ca="1" si="256">IF(K186&lt;0,0,IF(K186&lt;=$B$145,0.85*$B$143*((2*K186/$B$145)-POWER(K186/$B$145,2)),0.85*$B$143))/1000</f>
        <v>0</v>
      </c>
      <c r="M186" s="6">
        <f t="shared" ref="M186:M194" ca="1" si="257">IF(K186&gt;0,MIN((K186*B$13),B$12)-L186,MAX(K186*B$13,-1*B$12))</f>
        <v>-60</v>
      </c>
      <c r="N186" s="6">
        <f t="shared" ca="1" si="252"/>
        <v>-36</v>
      </c>
      <c r="O186" s="6">
        <f t="shared" ca="1" si="253"/>
        <v>350.75002057900286</v>
      </c>
      <c r="P186" s="6">
        <f t="shared" ca="1" si="254"/>
        <v>-214.71474812836925</v>
      </c>
      <c r="BC186"/>
      <c r="BD186"/>
      <c r="BF186" s="6" t="e">
        <f t="shared" si="218"/>
        <v>#N/A</v>
      </c>
      <c r="BG186" s="6" t="e">
        <f t="shared" si="219"/>
        <v>#N/A</v>
      </c>
      <c r="BH186" s="6" t="e">
        <f t="shared" si="220"/>
        <v>#N/A</v>
      </c>
      <c r="BI186" s="6" t="e">
        <f t="shared" si="221"/>
        <v>#N/A</v>
      </c>
      <c r="BV186" s="36"/>
      <c r="BW186" s="6" t="e">
        <f t="shared" si="158"/>
        <v>#N/A</v>
      </c>
      <c r="BX186" s="9">
        <f t="shared" ca="1" si="159"/>
        <v>-65.220682514826848</v>
      </c>
      <c r="BY186" s="9">
        <f t="shared" ca="1" si="160"/>
        <v>21.430285361287321</v>
      </c>
      <c r="BZ186" s="9">
        <f t="shared" ca="1" si="161"/>
        <v>0</v>
      </c>
      <c r="CA186" s="6">
        <f t="shared" ca="1" si="162"/>
        <v>0</v>
      </c>
      <c r="CB186" s="6" t="e">
        <f t="shared" ca="1" si="163"/>
        <v>#DIV/0!</v>
      </c>
      <c r="CC186" s="6" t="e">
        <f t="shared" ca="1" si="164"/>
        <v>#DIV/0!</v>
      </c>
      <c r="CD186" s="9">
        <f t="shared" si="165"/>
        <v>-30</v>
      </c>
      <c r="CE186" s="9">
        <f t="shared" si="166"/>
        <v>0</v>
      </c>
      <c r="CF186" s="6">
        <f t="shared" si="167"/>
        <v>3.1415926535897931</v>
      </c>
      <c r="CG186" s="6" t="e">
        <f t="shared" ca="1" si="168"/>
        <v>#DIV/0!</v>
      </c>
      <c r="CH186" s="6"/>
      <c r="CI186" s="6"/>
      <c r="CJ186" s="1"/>
      <c r="CK186" s="6"/>
    </row>
    <row r="187" spans="1:89" x14ac:dyDescent="0.25">
      <c r="A187">
        <f t="shared" si="246"/>
        <v>3</v>
      </c>
      <c r="B187">
        <f t="shared" si="246"/>
        <v>7</v>
      </c>
      <c r="C187" s="6">
        <f t="shared" ca="1" si="246"/>
        <v>0.6</v>
      </c>
      <c r="D187" s="6">
        <f t="shared" si="246"/>
        <v>10.5</v>
      </c>
      <c r="E187" s="6">
        <f t="shared" si="246"/>
        <v>1.5</v>
      </c>
      <c r="F187" s="6">
        <f t="shared" si="247"/>
        <v>4.5</v>
      </c>
      <c r="G187" s="6">
        <f t="shared" si="248"/>
        <v>-10.5</v>
      </c>
      <c r="H187" s="6">
        <f t="shared" si="249"/>
        <v>2.9420071547812983</v>
      </c>
      <c r="I187" s="6">
        <f t="shared" si="250"/>
        <v>-11.038323871911697</v>
      </c>
      <c r="J187" s="6">
        <f t="shared" si="255"/>
        <v>23.776909986926704</v>
      </c>
      <c r="K187" s="6">
        <f t="shared" ca="1" si="251"/>
        <v>-1.7652744543213125E-2</v>
      </c>
      <c r="L187" s="6">
        <f t="shared" ca="1" si="256"/>
        <v>0</v>
      </c>
      <c r="M187" s="6">
        <f t="shared" ca="1" si="257"/>
        <v>-60</v>
      </c>
      <c r="N187" s="6">
        <f t="shared" ca="1" si="252"/>
        <v>-36</v>
      </c>
      <c r="O187" s="6">
        <f t="shared" ca="1" si="253"/>
        <v>397.3796593888211</v>
      </c>
      <c r="P187" s="6">
        <f t="shared" ca="1" si="254"/>
        <v>105.91225757212673</v>
      </c>
      <c r="BC187"/>
      <c r="BD187"/>
      <c r="BF187" s="6" t="e">
        <f t="shared" si="218"/>
        <v>#N/A</v>
      </c>
      <c r="BG187" s="6" t="e">
        <f t="shared" si="219"/>
        <v>#N/A</v>
      </c>
      <c r="BH187" s="6" t="e">
        <f t="shared" si="220"/>
        <v>#N/A</v>
      </c>
      <c r="BI187" s="6" t="e">
        <f t="shared" si="221"/>
        <v>#N/A</v>
      </c>
      <c r="BV187" s="36"/>
      <c r="BW187" s="6" t="e">
        <f t="shared" si="158"/>
        <v>#N/A</v>
      </c>
      <c r="BX187" s="9">
        <f t="shared" ca="1" si="159"/>
        <v>-65.220682514826848</v>
      </c>
      <c r="BY187" s="9">
        <f t="shared" ca="1" si="160"/>
        <v>21.430285361287321</v>
      </c>
      <c r="BZ187" s="9">
        <f t="shared" ca="1" si="161"/>
        <v>0</v>
      </c>
      <c r="CA187" s="6">
        <f t="shared" ca="1" si="162"/>
        <v>0</v>
      </c>
      <c r="CB187" s="6" t="e">
        <f t="shared" ca="1" si="163"/>
        <v>#DIV/0!</v>
      </c>
      <c r="CC187" s="6" t="e">
        <f t="shared" ca="1" si="164"/>
        <v>#DIV/0!</v>
      </c>
      <c r="CD187" s="9">
        <f t="shared" si="165"/>
        <v>-30</v>
      </c>
      <c r="CE187" s="9">
        <f t="shared" si="166"/>
        <v>0</v>
      </c>
      <c r="CF187" s="6">
        <f t="shared" si="167"/>
        <v>3.1415926535897931</v>
      </c>
      <c r="CG187" s="6" t="e">
        <f t="shared" ca="1" si="168"/>
        <v>#DIV/0!</v>
      </c>
      <c r="CH187" s="6"/>
      <c r="CI187" s="6"/>
      <c r="CJ187" s="1"/>
      <c r="CK187" s="6"/>
    </row>
    <row r="188" spans="1:89" x14ac:dyDescent="0.25">
      <c r="A188">
        <f t="shared" si="246"/>
        <v>4</v>
      </c>
      <c r="B188">
        <f t="shared" si="246"/>
        <v>5</v>
      </c>
      <c r="C188" s="6">
        <f t="shared" ca="1" si="246"/>
        <v>0.31</v>
      </c>
      <c r="D188" s="6">
        <f t="shared" si="246"/>
        <v>1.5</v>
      </c>
      <c r="E188" s="6">
        <f t="shared" si="246"/>
        <v>21</v>
      </c>
      <c r="F188" s="6">
        <f t="shared" si="247"/>
        <v>-4.5</v>
      </c>
      <c r="G188" s="6">
        <f t="shared" si="248"/>
        <v>9</v>
      </c>
      <c r="H188" s="6">
        <f t="shared" si="249"/>
        <v>-3.1578851122341609</v>
      </c>
      <c r="I188" s="6">
        <f t="shared" si="250"/>
        <v>9.5539395862612526</v>
      </c>
      <c r="J188" s="6">
        <f t="shared" si="255"/>
        <v>3.1846465287537526</v>
      </c>
      <c r="K188" s="6">
        <f t="shared" ca="1" si="251"/>
        <v>2.3379988169425567E-4</v>
      </c>
      <c r="L188" s="6">
        <f t="shared" ca="1" si="256"/>
        <v>0.89919089358774373</v>
      </c>
      <c r="M188" s="6">
        <f t="shared" ca="1" si="257"/>
        <v>5.881005675545671</v>
      </c>
      <c r="N188" s="6">
        <f t="shared" ca="1" si="252"/>
        <v>1.8231117594191579</v>
      </c>
      <c r="O188" s="6">
        <f t="shared" ca="1" si="253"/>
        <v>17.417899608493094</v>
      </c>
      <c r="P188" s="6">
        <f t="shared" ca="1" si="254"/>
        <v>5.7571774830087863</v>
      </c>
      <c r="BC188"/>
      <c r="BD188"/>
      <c r="BF188" s="6" t="e">
        <f t="shared" si="218"/>
        <v>#N/A</v>
      </c>
      <c r="BG188" s="6" t="e">
        <f t="shared" si="219"/>
        <v>#N/A</v>
      </c>
      <c r="BH188" s="6" t="e">
        <f t="shared" si="220"/>
        <v>#N/A</v>
      </c>
      <c r="BI188" s="6" t="e">
        <f t="shared" si="221"/>
        <v>#N/A</v>
      </c>
      <c r="BV188" s="36"/>
      <c r="BW188" s="6" t="e">
        <f t="shared" si="158"/>
        <v>#N/A</v>
      </c>
      <c r="BX188" s="9">
        <f t="shared" ca="1" si="159"/>
        <v>-65.220682514826848</v>
      </c>
      <c r="BY188" s="9">
        <f t="shared" ca="1" si="160"/>
        <v>21.430285361287321</v>
      </c>
      <c r="BZ188" s="9">
        <f t="shared" ca="1" si="161"/>
        <v>0</v>
      </c>
      <c r="CA188" s="6">
        <f t="shared" ca="1" si="162"/>
        <v>0</v>
      </c>
      <c r="CB188" s="6" t="e">
        <f t="shared" ca="1" si="163"/>
        <v>#DIV/0!</v>
      </c>
      <c r="CC188" s="6" t="e">
        <f t="shared" ca="1" si="164"/>
        <v>#DIV/0!</v>
      </c>
      <c r="CD188" s="9">
        <f t="shared" si="165"/>
        <v>-30</v>
      </c>
      <c r="CE188" s="9">
        <f t="shared" si="166"/>
        <v>0</v>
      </c>
      <c r="CF188" s="6">
        <f t="shared" si="167"/>
        <v>3.1415926535897931</v>
      </c>
      <c r="CG188" s="6" t="e">
        <f t="shared" ca="1" si="168"/>
        <v>#DIV/0!</v>
      </c>
      <c r="CH188" s="6"/>
      <c r="CI188" s="6"/>
      <c r="CJ188" s="1"/>
      <c r="CK188" s="6"/>
    </row>
    <row r="189" spans="1:89" x14ac:dyDescent="0.25">
      <c r="A189">
        <f t="shared" si="246"/>
        <v>5</v>
      </c>
      <c r="B189">
        <f t="shared" si="246"/>
        <v>5</v>
      </c>
      <c r="C189" s="6">
        <f t="shared" ca="1" si="246"/>
        <v>0.31</v>
      </c>
      <c r="D189" s="6">
        <f t="shared" si="246"/>
        <v>10.5</v>
      </c>
      <c r="E189" s="6">
        <f t="shared" si="246"/>
        <v>21</v>
      </c>
      <c r="F189" s="6">
        <f t="shared" si="247"/>
        <v>4.5</v>
      </c>
      <c r="G189" s="6">
        <f t="shared" si="248"/>
        <v>9</v>
      </c>
      <c r="H189" s="6">
        <f t="shared" si="249"/>
        <v>5.7484206016685055</v>
      </c>
      <c r="I189" s="6">
        <f t="shared" si="250"/>
        <v>8.2586718415440803</v>
      </c>
      <c r="J189" s="6">
        <f t="shared" si="255"/>
        <v>4.479914273470925</v>
      </c>
      <c r="K189" s="6">
        <f t="shared" ca="1" si="251"/>
        <v>-8.9127624726514248E-4</v>
      </c>
      <c r="L189" s="6">
        <f t="shared" ca="1" si="256"/>
        <v>0</v>
      </c>
      <c r="M189" s="6">
        <f t="shared" ca="1" si="257"/>
        <v>-25.847011170689132</v>
      </c>
      <c r="N189" s="6">
        <f t="shared" ca="1" si="252"/>
        <v>-8.0125734629136307</v>
      </c>
      <c r="O189" s="6">
        <f t="shared" ca="1" si="253"/>
        <v>-66.173214836468148</v>
      </c>
      <c r="P189" s="6">
        <f t="shared" ca="1" si="254"/>
        <v>46.059642366595071</v>
      </c>
      <c r="BC189"/>
      <c r="BD189"/>
      <c r="BF189" s="6" t="e">
        <f t="shared" si="218"/>
        <v>#N/A</v>
      </c>
      <c r="BG189" s="6" t="e">
        <f t="shared" si="219"/>
        <v>#N/A</v>
      </c>
      <c r="BH189" s="6" t="e">
        <f t="shared" si="220"/>
        <v>#N/A</v>
      </c>
      <c r="BI189" s="6" t="e">
        <f t="shared" si="221"/>
        <v>#N/A</v>
      </c>
      <c r="BV189" s="36"/>
      <c r="BW189" s="6" t="e">
        <f t="shared" si="158"/>
        <v>#N/A</v>
      </c>
      <c r="BX189" s="9">
        <f t="shared" ca="1" si="159"/>
        <v>-65.220682514826848</v>
      </c>
      <c r="BY189" s="9">
        <f t="shared" ca="1" si="160"/>
        <v>21.430285361287321</v>
      </c>
      <c r="BZ189" s="9">
        <f t="shared" ca="1" si="161"/>
        <v>0</v>
      </c>
      <c r="CA189" s="6">
        <f t="shared" ca="1" si="162"/>
        <v>0</v>
      </c>
      <c r="CB189" s="6" t="e">
        <f t="shared" ca="1" si="163"/>
        <v>#DIV/0!</v>
      </c>
      <c r="CC189" s="6" t="e">
        <f t="shared" ca="1" si="164"/>
        <v>#DIV/0!</v>
      </c>
      <c r="CD189" s="9">
        <f t="shared" si="165"/>
        <v>-30</v>
      </c>
      <c r="CE189" s="9">
        <f t="shared" si="166"/>
        <v>0</v>
      </c>
      <c r="CF189" s="6">
        <f t="shared" si="167"/>
        <v>3.1415926535897931</v>
      </c>
      <c r="CG189" s="6" t="e">
        <f t="shared" ca="1" si="168"/>
        <v>#DIV/0!</v>
      </c>
      <c r="CH189" s="6"/>
      <c r="CI189" s="6"/>
      <c r="CJ189" s="1"/>
      <c r="CK189" s="6"/>
    </row>
    <row r="190" spans="1:89" x14ac:dyDescent="0.25">
      <c r="A190">
        <f t="shared" si="246"/>
        <v>6</v>
      </c>
      <c r="B190">
        <f t="shared" si="246"/>
        <v>0</v>
      </c>
      <c r="C190" s="6">
        <f t="shared" ca="1" si="246"/>
        <v>0</v>
      </c>
      <c r="D190" s="6">
        <f t="shared" si="246"/>
        <v>13.625</v>
      </c>
      <c r="E190" s="6">
        <f t="shared" si="246"/>
        <v>21.625</v>
      </c>
      <c r="F190" s="6">
        <f t="shared" si="247"/>
        <v>7.625</v>
      </c>
      <c r="G190" s="6">
        <f t="shared" si="248"/>
        <v>9.625</v>
      </c>
      <c r="H190" s="6">
        <f t="shared" si="249"/>
        <v>8.9308370123789569</v>
      </c>
      <c r="I190" s="6">
        <f t="shared" si="250"/>
        <v>8.4274195492049699</v>
      </c>
      <c r="J190" s="6">
        <f t="shared" si="255"/>
        <v>0</v>
      </c>
      <c r="K190" s="6">
        <f t="shared" ca="1" si="251"/>
        <v>0</v>
      </c>
      <c r="L190" s="6">
        <f t="shared" ca="1" si="256"/>
        <v>0</v>
      </c>
      <c r="M190" s="6">
        <f t="shared" ca="1" si="257"/>
        <v>0</v>
      </c>
      <c r="N190" s="6">
        <f t="shared" ca="1" si="252"/>
        <v>0</v>
      </c>
      <c r="O190" s="6">
        <f t="shared" ca="1" si="253"/>
        <v>0</v>
      </c>
      <c r="P190" s="6">
        <f t="shared" ca="1" si="254"/>
        <v>0</v>
      </c>
      <c r="BC190"/>
      <c r="BD190"/>
      <c r="BF190" s="6" t="e">
        <f t="shared" si="218"/>
        <v>#N/A</v>
      </c>
      <c r="BG190" s="6" t="e">
        <f t="shared" si="219"/>
        <v>#N/A</v>
      </c>
      <c r="BH190" s="6" t="e">
        <f t="shared" si="220"/>
        <v>#N/A</v>
      </c>
      <c r="BI190" s="6" t="e">
        <f t="shared" si="221"/>
        <v>#N/A</v>
      </c>
      <c r="BV190" s="36"/>
      <c r="BW190" s="6" t="e">
        <f t="shared" si="158"/>
        <v>#N/A</v>
      </c>
      <c r="BX190" s="9">
        <f t="shared" ca="1" si="159"/>
        <v>-65.220682514826848</v>
      </c>
      <c r="BY190" s="9">
        <f t="shared" ca="1" si="160"/>
        <v>21.430285361287321</v>
      </c>
      <c r="BZ190" s="9">
        <f t="shared" ca="1" si="161"/>
        <v>0</v>
      </c>
      <c r="CA190" s="6">
        <f t="shared" ca="1" si="162"/>
        <v>0</v>
      </c>
      <c r="CB190" s="6" t="e">
        <f t="shared" ca="1" si="163"/>
        <v>#DIV/0!</v>
      </c>
      <c r="CC190" s="6" t="e">
        <f t="shared" ca="1" si="164"/>
        <v>#DIV/0!</v>
      </c>
      <c r="CD190" s="9">
        <f t="shared" si="165"/>
        <v>-30</v>
      </c>
      <c r="CE190" s="9">
        <f t="shared" si="166"/>
        <v>0</v>
      </c>
      <c r="CF190" s="6">
        <f t="shared" si="167"/>
        <v>3.1415926535897931</v>
      </c>
      <c r="CG190" s="6" t="e">
        <f t="shared" ca="1" si="168"/>
        <v>#DIV/0!</v>
      </c>
      <c r="CH190" s="6"/>
      <c r="CI190" s="6"/>
      <c r="CJ190" s="1"/>
      <c r="CK190" s="6"/>
    </row>
    <row r="191" spans="1:89" x14ac:dyDescent="0.25">
      <c r="A191">
        <f t="shared" si="246"/>
        <v>7</v>
      </c>
      <c r="B191">
        <f t="shared" si="246"/>
        <v>0</v>
      </c>
      <c r="C191" s="6">
        <f t="shared" ca="1" si="246"/>
        <v>0</v>
      </c>
      <c r="D191" s="6">
        <f t="shared" si="246"/>
        <v>0</v>
      </c>
      <c r="E191" s="6">
        <f t="shared" si="246"/>
        <v>0</v>
      </c>
      <c r="F191" s="6">
        <f t="shared" si="247"/>
        <v>-6</v>
      </c>
      <c r="G191" s="6">
        <f t="shared" si="248"/>
        <v>-12</v>
      </c>
      <c r="H191" s="6">
        <f t="shared" si="249"/>
        <v>-7.664560802224675</v>
      </c>
      <c r="I191" s="6">
        <f t="shared" si="250"/>
        <v>-11.011562455392108</v>
      </c>
      <c r="J191" s="6">
        <f t="shared" si="255"/>
        <v>0</v>
      </c>
      <c r="K191" s="6">
        <f t="shared" ca="1" si="251"/>
        <v>0</v>
      </c>
      <c r="L191" s="6">
        <f t="shared" ca="1" si="256"/>
        <v>0</v>
      </c>
      <c r="M191" s="6">
        <f t="shared" ca="1" si="257"/>
        <v>0</v>
      </c>
      <c r="N191" s="6">
        <f t="shared" ca="1" si="252"/>
        <v>0</v>
      </c>
      <c r="O191" s="6">
        <f t="shared" ca="1" si="253"/>
        <v>0</v>
      </c>
      <c r="P191" s="6">
        <f t="shared" ca="1" si="254"/>
        <v>0</v>
      </c>
      <c r="BC191"/>
      <c r="BD191"/>
      <c r="BF191" s="6" t="e">
        <f t="shared" si="218"/>
        <v>#N/A</v>
      </c>
      <c r="BG191" s="6" t="e">
        <f t="shared" si="219"/>
        <v>#N/A</v>
      </c>
      <c r="BH191" s="6" t="e">
        <f t="shared" si="220"/>
        <v>#N/A</v>
      </c>
      <c r="BI191" s="6" t="e">
        <f t="shared" si="221"/>
        <v>#N/A</v>
      </c>
      <c r="BV191" s="36"/>
      <c r="BW191" s="6" t="e">
        <f t="shared" si="158"/>
        <v>#N/A</v>
      </c>
      <c r="BX191" s="9">
        <f t="shared" ca="1" si="159"/>
        <v>-65.220682514826848</v>
      </c>
      <c r="BY191" s="9">
        <f t="shared" ca="1" si="160"/>
        <v>21.430285361287321</v>
      </c>
      <c r="BZ191" s="9">
        <f t="shared" ca="1" si="161"/>
        <v>0</v>
      </c>
      <c r="CA191" s="6">
        <f t="shared" ca="1" si="162"/>
        <v>0</v>
      </c>
      <c r="CB191" s="6" t="e">
        <f t="shared" ca="1" si="163"/>
        <v>#DIV/0!</v>
      </c>
      <c r="CC191" s="6" t="e">
        <f t="shared" ca="1" si="164"/>
        <v>#DIV/0!</v>
      </c>
      <c r="CD191" s="9">
        <f t="shared" si="165"/>
        <v>-30</v>
      </c>
      <c r="CE191" s="9">
        <f t="shared" si="166"/>
        <v>0</v>
      </c>
      <c r="CF191" s="6">
        <f t="shared" si="167"/>
        <v>3.1415926535897931</v>
      </c>
      <c r="CG191" s="6" t="e">
        <f t="shared" ca="1" si="168"/>
        <v>#DIV/0!</v>
      </c>
      <c r="CH191" s="6"/>
      <c r="CI191" s="6"/>
      <c r="CJ191" s="1"/>
      <c r="CK191" s="6"/>
    </row>
    <row r="192" spans="1:89" x14ac:dyDescent="0.25">
      <c r="A192">
        <f t="shared" si="246"/>
        <v>8</v>
      </c>
      <c r="B192">
        <f t="shared" si="246"/>
        <v>0</v>
      </c>
      <c r="C192" s="6">
        <f t="shared" ca="1" si="246"/>
        <v>0</v>
      </c>
      <c r="D192" s="6">
        <f t="shared" si="246"/>
        <v>0</v>
      </c>
      <c r="E192" s="6">
        <f t="shared" si="246"/>
        <v>0</v>
      </c>
      <c r="F192" s="6">
        <f t="shared" si="247"/>
        <v>-6</v>
      </c>
      <c r="G192" s="6">
        <f t="shared" si="248"/>
        <v>-12</v>
      </c>
      <c r="H192" s="6">
        <f t="shared" si="249"/>
        <v>-7.664560802224675</v>
      </c>
      <c r="I192" s="6">
        <f t="shared" si="250"/>
        <v>-11.011562455392108</v>
      </c>
      <c r="J192" s="6">
        <f t="shared" si="255"/>
        <v>0</v>
      </c>
      <c r="K192" s="6">
        <f t="shared" ca="1" si="251"/>
        <v>0</v>
      </c>
      <c r="L192" s="6">
        <f t="shared" ca="1" si="256"/>
        <v>0</v>
      </c>
      <c r="M192" s="6">
        <f t="shared" ca="1" si="257"/>
        <v>0</v>
      </c>
      <c r="N192" s="6">
        <f t="shared" ca="1" si="252"/>
        <v>0</v>
      </c>
      <c r="O192" s="6">
        <f t="shared" ca="1" si="253"/>
        <v>0</v>
      </c>
      <c r="P192" s="6">
        <f t="shared" ca="1" si="254"/>
        <v>0</v>
      </c>
      <c r="BC192"/>
      <c r="BD192"/>
      <c r="BF192" s="6" t="e">
        <f t="shared" si="218"/>
        <v>#N/A</v>
      </c>
      <c r="BG192" s="6" t="e">
        <f t="shared" si="219"/>
        <v>#N/A</v>
      </c>
      <c r="BH192" s="6" t="e">
        <f t="shared" si="220"/>
        <v>#N/A</v>
      </c>
      <c r="BI192" s="6" t="e">
        <f t="shared" si="221"/>
        <v>#N/A</v>
      </c>
      <c r="BV192" s="36"/>
      <c r="BW192" s="6" t="e">
        <f t="shared" si="158"/>
        <v>#N/A</v>
      </c>
      <c r="BX192" s="9">
        <f t="shared" ca="1" si="159"/>
        <v>-65.220682514826848</v>
      </c>
      <c r="BY192" s="9">
        <f t="shared" ca="1" si="160"/>
        <v>21.430285361287321</v>
      </c>
      <c r="BZ192" s="9">
        <f t="shared" ca="1" si="161"/>
        <v>0</v>
      </c>
      <c r="CA192" s="6">
        <f t="shared" ca="1" si="162"/>
        <v>0</v>
      </c>
      <c r="CB192" s="6" t="e">
        <f t="shared" ca="1" si="163"/>
        <v>#DIV/0!</v>
      </c>
      <c r="CC192" s="6" t="e">
        <f t="shared" ca="1" si="164"/>
        <v>#DIV/0!</v>
      </c>
      <c r="CD192" s="9">
        <f t="shared" si="165"/>
        <v>-30</v>
      </c>
      <c r="CE192" s="9">
        <f t="shared" si="166"/>
        <v>0</v>
      </c>
      <c r="CF192" s="6">
        <f t="shared" si="167"/>
        <v>3.1415926535897931</v>
      </c>
      <c r="CG192" s="6" t="e">
        <f t="shared" ca="1" si="168"/>
        <v>#DIV/0!</v>
      </c>
      <c r="CH192" s="6"/>
      <c r="CI192" s="6"/>
      <c r="CJ192" s="1"/>
      <c r="CK192" s="6"/>
    </row>
    <row r="193" spans="1:89" x14ac:dyDescent="0.25">
      <c r="A193">
        <f t="shared" si="246"/>
        <v>9</v>
      </c>
      <c r="B193">
        <f t="shared" si="246"/>
        <v>0</v>
      </c>
      <c r="C193" s="6">
        <f t="shared" ca="1" si="246"/>
        <v>0</v>
      </c>
      <c r="D193" s="6">
        <f t="shared" si="246"/>
        <v>0</v>
      </c>
      <c r="E193" s="6">
        <f t="shared" si="246"/>
        <v>0</v>
      </c>
      <c r="F193" s="6">
        <f t="shared" si="247"/>
        <v>-6</v>
      </c>
      <c r="G193" s="6">
        <f t="shared" si="248"/>
        <v>-12</v>
      </c>
      <c r="H193" s="6">
        <f t="shared" si="249"/>
        <v>-7.664560802224675</v>
      </c>
      <c r="I193" s="6">
        <f t="shared" si="250"/>
        <v>-11.011562455392108</v>
      </c>
      <c r="J193" s="6">
        <f t="shared" si="255"/>
        <v>0</v>
      </c>
      <c r="K193" s="6">
        <f t="shared" ca="1" si="251"/>
        <v>0</v>
      </c>
      <c r="L193" s="6">
        <f t="shared" ca="1" si="256"/>
        <v>0</v>
      </c>
      <c r="M193" s="6">
        <f t="shared" ca="1" si="257"/>
        <v>0</v>
      </c>
      <c r="N193" s="6">
        <f t="shared" ca="1" si="252"/>
        <v>0</v>
      </c>
      <c r="O193" s="6">
        <f t="shared" ca="1" si="253"/>
        <v>0</v>
      </c>
      <c r="P193" s="6">
        <f t="shared" ca="1" si="254"/>
        <v>0</v>
      </c>
      <c r="BC193"/>
      <c r="BD193"/>
      <c r="BF193" s="6" t="e">
        <f t="shared" si="218"/>
        <v>#N/A</v>
      </c>
      <c r="BG193" s="6" t="e">
        <f t="shared" si="219"/>
        <v>#N/A</v>
      </c>
      <c r="BH193" s="6" t="e">
        <f t="shared" si="220"/>
        <v>#N/A</v>
      </c>
      <c r="BI193" s="6" t="e">
        <f t="shared" si="221"/>
        <v>#N/A</v>
      </c>
      <c r="BV193" s="36"/>
      <c r="BW193" s="6" t="e">
        <f t="shared" si="158"/>
        <v>#N/A</v>
      </c>
      <c r="BX193" s="9">
        <f t="shared" ca="1" si="159"/>
        <v>-65.220682514826848</v>
      </c>
      <c r="BY193" s="9">
        <f t="shared" ca="1" si="160"/>
        <v>21.430285361287321</v>
      </c>
      <c r="BZ193" s="9">
        <f t="shared" ca="1" si="161"/>
        <v>0</v>
      </c>
      <c r="CA193" s="6">
        <f t="shared" ca="1" si="162"/>
        <v>0</v>
      </c>
      <c r="CB193" s="6" t="e">
        <f t="shared" ca="1" si="163"/>
        <v>#DIV/0!</v>
      </c>
      <c r="CC193" s="6" t="e">
        <f t="shared" ca="1" si="164"/>
        <v>#DIV/0!</v>
      </c>
      <c r="CD193" s="9">
        <f t="shared" si="165"/>
        <v>-30</v>
      </c>
      <c r="CE193" s="9">
        <f t="shared" si="166"/>
        <v>0</v>
      </c>
      <c r="CF193" s="6">
        <f t="shared" si="167"/>
        <v>3.1415926535897931</v>
      </c>
      <c r="CG193" s="6" t="e">
        <f t="shared" ca="1" si="168"/>
        <v>#DIV/0!</v>
      </c>
      <c r="CH193" s="6"/>
      <c r="CI193" s="6"/>
      <c r="CJ193" s="1"/>
      <c r="CK193" s="6"/>
    </row>
    <row r="194" spans="1:89" ht="15.75" thickBot="1" x14ac:dyDescent="0.3">
      <c r="A194">
        <f t="shared" si="246"/>
        <v>10</v>
      </c>
      <c r="B194">
        <f t="shared" si="246"/>
        <v>0</v>
      </c>
      <c r="C194" s="6">
        <f t="shared" ca="1" si="246"/>
        <v>0</v>
      </c>
      <c r="D194" s="6">
        <f t="shared" si="246"/>
        <v>0</v>
      </c>
      <c r="E194" s="6">
        <f t="shared" si="246"/>
        <v>0</v>
      </c>
      <c r="F194" s="6">
        <f t="shared" si="247"/>
        <v>-6</v>
      </c>
      <c r="G194" s="6">
        <f t="shared" si="248"/>
        <v>-12</v>
      </c>
      <c r="H194" s="6">
        <f t="shared" si="249"/>
        <v>-7.664560802224675</v>
      </c>
      <c r="I194" s="6">
        <f t="shared" si="250"/>
        <v>-11.011562455392108</v>
      </c>
      <c r="J194" s="6">
        <f t="shared" si="255"/>
        <v>0</v>
      </c>
      <c r="K194" s="11">
        <f t="shared" ca="1" si="251"/>
        <v>0</v>
      </c>
      <c r="L194" s="6">
        <f t="shared" ca="1" si="256"/>
        <v>0</v>
      </c>
      <c r="M194" s="6">
        <f t="shared" ca="1" si="257"/>
        <v>0</v>
      </c>
      <c r="N194" s="11">
        <f t="shared" ca="1" si="252"/>
        <v>0</v>
      </c>
      <c r="O194" s="11">
        <f t="shared" ca="1" si="253"/>
        <v>0</v>
      </c>
      <c r="P194" s="11">
        <f t="shared" ca="1" si="254"/>
        <v>0</v>
      </c>
      <c r="BC194"/>
      <c r="BD194"/>
      <c r="BF194" s="6" t="e">
        <f t="shared" si="218"/>
        <v>#N/A</v>
      </c>
      <c r="BG194" s="6" t="e">
        <f t="shared" si="219"/>
        <v>#N/A</v>
      </c>
      <c r="BH194" s="6" t="e">
        <f t="shared" si="220"/>
        <v>#N/A</v>
      </c>
      <c r="BI194" s="6" t="e">
        <f t="shared" si="221"/>
        <v>#N/A</v>
      </c>
      <c r="BV194" s="36"/>
      <c r="BW194" s="6" t="e">
        <f t="shared" si="158"/>
        <v>#N/A</v>
      </c>
      <c r="BX194" s="9">
        <f t="shared" ca="1" si="159"/>
        <v>-65.220682514826848</v>
      </c>
      <c r="BY194" s="9">
        <f t="shared" ca="1" si="160"/>
        <v>21.430285361287321</v>
      </c>
      <c r="BZ194" s="9">
        <f t="shared" ca="1" si="161"/>
        <v>0</v>
      </c>
      <c r="CA194" s="6">
        <f t="shared" ca="1" si="162"/>
        <v>0</v>
      </c>
      <c r="CB194" s="6" t="e">
        <f t="shared" ca="1" si="163"/>
        <v>#DIV/0!</v>
      </c>
      <c r="CC194" s="6" t="e">
        <f t="shared" ca="1" si="164"/>
        <v>#DIV/0!</v>
      </c>
      <c r="CD194" s="9">
        <f t="shared" si="165"/>
        <v>-30</v>
      </c>
      <c r="CE194" s="9">
        <f t="shared" si="166"/>
        <v>0</v>
      </c>
      <c r="CF194" s="6">
        <f t="shared" si="167"/>
        <v>3.1415926535897931</v>
      </c>
      <c r="CG194" s="6" t="e">
        <f t="shared" ca="1" si="168"/>
        <v>#DIV/0!</v>
      </c>
      <c r="CH194" s="6"/>
      <c r="CI194" s="6"/>
      <c r="CJ194" s="1"/>
      <c r="CK194" s="6"/>
    </row>
    <row r="195" spans="1:89" ht="15.75" thickTop="1" x14ac:dyDescent="0.25">
      <c r="K195" s="13">
        <f ca="1">MIN(K185:K194)</f>
        <v>-1.7652744543213125E-2</v>
      </c>
      <c r="N195" s="6">
        <f ca="1">SUM(N185:N194)</f>
        <v>-114.18946170349447</v>
      </c>
      <c r="O195" s="6">
        <f ca="1">SUM(O185:O194)</f>
        <v>1073.4392047237609</v>
      </c>
      <c r="P195" s="6">
        <f ca="1">SUM(P185:P194)</f>
        <v>-111.38691598475988</v>
      </c>
      <c r="BC195"/>
      <c r="BD195"/>
      <c r="BF195" s="6" t="e">
        <f t="shared" ref="BF195:BF258" si="258">IF(BC195&lt;&gt;"",IF(AND(BD195=0,BE195=0),0,MOD(ATAN2(BD195,BE195),2*PI())),NA())</f>
        <v>#N/A</v>
      </c>
      <c r="BG195" s="6" t="e">
        <f t="shared" ref="BG195:BG258" si="259">ABS(BC195-BF195)</f>
        <v>#N/A</v>
      </c>
      <c r="BH195" s="6" t="e">
        <f t="shared" ref="BH195:BH258" si="260">ATAN2(COS($U$13-BF195),SIN($U$13-BF195))</f>
        <v>#N/A</v>
      </c>
      <c r="BI195" s="6" t="e">
        <f t="shared" ref="BI195:BI258" si="261">ABS(BH195)</f>
        <v>#N/A</v>
      </c>
      <c r="BV195" s="36"/>
      <c r="BW195" s="6" t="e">
        <f t="shared" si="158"/>
        <v>#N/A</v>
      </c>
      <c r="BX195" s="9">
        <f t="shared" ca="1" si="159"/>
        <v>-65.220682514826848</v>
      </c>
      <c r="BY195" s="9">
        <f t="shared" ca="1" si="160"/>
        <v>21.430285361287321</v>
      </c>
      <c r="BZ195" s="9">
        <f t="shared" ca="1" si="161"/>
        <v>0</v>
      </c>
      <c r="CA195" s="6">
        <f t="shared" ca="1" si="162"/>
        <v>0</v>
      </c>
      <c r="CB195" s="6" t="e">
        <f t="shared" ca="1" si="163"/>
        <v>#DIV/0!</v>
      </c>
      <c r="CC195" s="6" t="e">
        <f t="shared" ca="1" si="164"/>
        <v>#DIV/0!</v>
      </c>
      <c r="CD195" s="9">
        <f t="shared" si="165"/>
        <v>-30</v>
      </c>
      <c r="CE195" s="9">
        <f t="shared" si="166"/>
        <v>0</v>
      </c>
      <c r="CF195" s="6">
        <f t="shared" si="167"/>
        <v>3.1415926535897931</v>
      </c>
      <c r="CG195" s="6" t="e">
        <f t="shared" ca="1" si="168"/>
        <v>#DIV/0!</v>
      </c>
      <c r="CH195" s="6"/>
      <c r="CI195" s="6"/>
      <c r="CJ195" s="1"/>
      <c r="CK195" s="6"/>
    </row>
    <row r="196" spans="1:89" x14ac:dyDescent="0.25">
      <c r="A196" t="s">
        <v>189</v>
      </c>
      <c r="B196" s="9">
        <f ca="1">N195</f>
        <v>-114.18946170349447</v>
      </c>
      <c r="C196" t="s">
        <v>68</v>
      </c>
      <c r="O196" s="6">
        <f ca="1">O195/N195</f>
        <v>-9.4005102459547807</v>
      </c>
      <c r="P196" s="6">
        <f ca="1">-1*P195/N195</f>
        <v>-0.97545705464474719</v>
      </c>
      <c r="S196">
        <f ca="1">(P196*COS(-1*$B$27))+(O196*SIN(-1*$B$27))+$I$2</f>
        <v>6.3876065517799274</v>
      </c>
      <c r="T196">
        <f ca="1">(-1*P196*SIN(-1*$B$27))+(O196*COS(-1*$B$27))+$I$3</f>
        <v>2.556967091512691</v>
      </c>
      <c r="BC196"/>
      <c r="BD196"/>
      <c r="BF196" s="6" t="e">
        <f t="shared" si="258"/>
        <v>#N/A</v>
      </c>
      <c r="BG196" s="6" t="e">
        <f t="shared" si="259"/>
        <v>#N/A</v>
      </c>
      <c r="BH196" s="6" t="e">
        <f t="shared" si="260"/>
        <v>#N/A</v>
      </c>
      <c r="BI196" s="6" t="e">
        <f t="shared" si="261"/>
        <v>#N/A</v>
      </c>
      <c r="BV196" s="36"/>
      <c r="BW196" s="6" t="e">
        <f t="shared" si="158"/>
        <v>#N/A</v>
      </c>
      <c r="BX196" s="9">
        <f t="shared" ca="1" si="159"/>
        <v>-65.220682514826848</v>
      </c>
      <c r="BY196" s="9">
        <f t="shared" ca="1" si="160"/>
        <v>21.430285361287321</v>
      </c>
      <c r="BZ196" s="9">
        <f t="shared" ca="1" si="161"/>
        <v>0</v>
      </c>
      <c r="CA196" s="6">
        <f t="shared" ca="1" si="162"/>
        <v>0</v>
      </c>
      <c r="CB196" s="6" t="e">
        <f t="shared" ca="1" si="163"/>
        <v>#DIV/0!</v>
      </c>
      <c r="CC196" s="6" t="e">
        <f t="shared" ca="1" si="164"/>
        <v>#DIV/0!</v>
      </c>
      <c r="CD196" s="9">
        <f t="shared" si="165"/>
        <v>-30</v>
      </c>
      <c r="CE196" s="9">
        <f t="shared" si="166"/>
        <v>0</v>
      </c>
      <c r="CF196" s="6">
        <f t="shared" si="167"/>
        <v>3.1415926535897931</v>
      </c>
      <c r="CG196" s="6" t="e">
        <f t="shared" ca="1" si="168"/>
        <v>#DIV/0!</v>
      </c>
      <c r="CH196" s="6"/>
      <c r="CI196" s="6"/>
      <c r="CJ196" s="1"/>
      <c r="CK196" s="6"/>
    </row>
    <row r="197" spans="1:89" x14ac:dyDescent="0.25">
      <c r="A197" t="s">
        <v>99</v>
      </c>
      <c r="B197" s="9">
        <f ca="1">O195</f>
        <v>1073.4392047237609</v>
      </c>
      <c r="C197" t="s">
        <v>69</v>
      </c>
      <c r="BC197"/>
      <c r="BD197"/>
      <c r="BF197" s="6" t="e">
        <f t="shared" si="258"/>
        <v>#N/A</v>
      </c>
      <c r="BG197" s="6" t="e">
        <f t="shared" si="259"/>
        <v>#N/A</v>
      </c>
      <c r="BH197" s="6" t="e">
        <f t="shared" si="260"/>
        <v>#N/A</v>
      </c>
      <c r="BI197" s="6" t="e">
        <f t="shared" si="261"/>
        <v>#N/A</v>
      </c>
      <c r="BV197" s="36"/>
      <c r="BW197" s="6" t="e">
        <f t="shared" si="158"/>
        <v>#N/A</v>
      </c>
      <c r="BX197" s="9">
        <f t="shared" ca="1" si="159"/>
        <v>-65.220682514826848</v>
      </c>
      <c r="BY197" s="9">
        <f t="shared" ca="1" si="160"/>
        <v>21.430285361287321</v>
      </c>
      <c r="BZ197" s="9">
        <f t="shared" ca="1" si="161"/>
        <v>0</v>
      </c>
      <c r="CA197" s="6">
        <f t="shared" ca="1" si="162"/>
        <v>0</v>
      </c>
      <c r="CB197" s="6" t="e">
        <f t="shared" ca="1" si="163"/>
        <v>#DIV/0!</v>
      </c>
      <c r="CC197" s="6" t="e">
        <f t="shared" ca="1" si="164"/>
        <v>#DIV/0!</v>
      </c>
      <c r="CD197" s="9">
        <f t="shared" si="165"/>
        <v>-30</v>
      </c>
      <c r="CE197" s="9">
        <f t="shared" si="166"/>
        <v>0</v>
      </c>
      <c r="CF197" s="6">
        <f t="shared" si="167"/>
        <v>3.1415926535897931</v>
      </c>
      <c r="CG197" s="6" t="e">
        <f t="shared" ca="1" si="168"/>
        <v>#DIV/0!</v>
      </c>
      <c r="CH197" s="6"/>
      <c r="CI197" s="6"/>
      <c r="CJ197" s="1"/>
      <c r="CK197" s="6"/>
    </row>
    <row r="198" spans="1:89" x14ac:dyDescent="0.25">
      <c r="A198" t="s">
        <v>100</v>
      </c>
      <c r="B198" s="9">
        <f ca="1">P195</f>
        <v>-111.38691598475988</v>
      </c>
      <c r="C198" t="s">
        <v>69</v>
      </c>
      <c r="S198" t="str">
        <f ca="1">"Ts = "&amp;ROUND(N195,4)&amp;" "&amp;V10&amp;CHAR(10)&amp;" @ ( "&amp;ROUND(S196,4)&amp;" , "&amp;ROUND(T196,4)&amp;" )"</f>
        <v>Ts = -114.1895 kips
 @ ( 6.3876 , 2.557 )</v>
      </c>
      <c r="BC198"/>
      <c r="BD198"/>
      <c r="BF198" s="6" t="e">
        <f t="shared" si="258"/>
        <v>#N/A</v>
      </c>
      <c r="BG198" s="6" t="e">
        <f t="shared" si="259"/>
        <v>#N/A</v>
      </c>
      <c r="BH198" s="6" t="e">
        <f t="shared" si="260"/>
        <v>#N/A</v>
      </c>
      <c r="BI198" s="6" t="e">
        <f t="shared" si="261"/>
        <v>#N/A</v>
      </c>
      <c r="BV198" s="36"/>
      <c r="BW198" s="6" t="e">
        <f t="shared" si="158"/>
        <v>#N/A</v>
      </c>
      <c r="BX198" s="9">
        <f t="shared" ca="1" si="159"/>
        <v>-65.220682514826848</v>
      </c>
      <c r="BY198" s="9">
        <f t="shared" ca="1" si="160"/>
        <v>21.430285361287321</v>
      </c>
      <c r="BZ198" s="9">
        <f t="shared" ca="1" si="161"/>
        <v>0</v>
      </c>
      <c r="CA198" s="6">
        <f t="shared" ca="1" si="162"/>
        <v>0</v>
      </c>
      <c r="CB198" s="6" t="e">
        <f t="shared" ca="1" si="163"/>
        <v>#DIV/0!</v>
      </c>
      <c r="CC198" s="6" t="e">
        <f t="shared" ca="1" si="164"/>
        <v>#DIV/0!</v>
      </c>
      <c r="CD198" s="9">
        <f t="shared" si="165"/>
        <v>-30</v>
      </c>
      <c r="CE198" s="9">
        <f t="shared" si="166"/>
        <v>0</v>
      </c>
      <c r="CF198" s="6">
        <f t="shared" si="167"/>
        <v>3.1415926535897931</v>
      </c>
      <c r="CG198" s="6" t="e">
        <f t="shared" ca="1" si="168"/>
        <v>#DIV/0!</v>
      </c>
      <c r="CH198" s="6"/>
      <c r="CI198" s="6"/>
      <c r="CJ198" s="1"/>
      <c r="CK198" s="6"/>
    </row>
    <row r="199" spans="1:89" x14ac:dyDescent="0.25">
      <c r="BC199"/>
      <c r="BD199"/>
      <c r="BF199" s="6" t="e">
        <f t="shared" si="258"/>
        <v>#N/A</v>
      </c>
      <c r="BG199" s="6" t="e">
        <f t="shared" si="259"/>
        <v>#N/A</v>
      </c>
      <c r="BH199" s="6" t="e">
        <f t="shared" si="260"/>
        <v>#N/A</v>
      </c>
      <c r="BI199" s="6" t="e">
        <f t="shared" si="261"/>
        <v>#N/A</v>
      </c>
      <c r="BV199" s="36"/>
      <c r="BW199" s="6" t="e">
        <f t="shared" si="158"/>
        <v>#N/A</v>
      </c>
      <c r="BX199" s="9">
        <f t="shared" ca="1" si="159"/>
        <v>-65.220682514826848</v>
      </c>
      <c r="BY199" s="9">
        <f t="shared" ca="1" si="160"/>
        <v>21.430285361287321</v>
      </c>
      <c r="BZ199" s="9">
        <f t="shared" ca="1" si="161"/>
        <v>0</v>
      </c>
      <c r="CA199" s="6">
        <f t="shared" ca="1" si="162"/>
        <v>0</v>
      </c>
      <c r="CB199" s="6" t="e">
        <f t="shared" ca="1" si="163"/>
        <v>#DIV/0!</v>
      </c>
      <c r="CC199" s="6" t="e">
        <f t="shared" ca="1" si="164"/>
        <v>#DIV/0!</v>
      </c>
      <c r="CD199" s="9">
        <f t="shared" si="165"/>
        <v>-30</v>
      </c>
      <c r="CE199" s="9">
        <f t="shared" si="166"/>
        <v>0</v>
      </c>
      <c r="CF199" s="6">
        <f t="shared" si="167"/>
        <v>3.1415926535897931</v>
      </c>
      <c r="CG199" s="6" t="e">
        <f t="shared" ca="1" si="168"/>
        <v>#DIV/0!</v>
      </c>
      <c r="CH199" s="6"/>
      <c r="CI199" s="6"/>
      <c r="CJ199" s="1"/>
      <c r="CK199" s="6"/>
    </row>
    <row r="200" spans="1:89" x14ac:dyDescent="0.25">
      <c r="A200" t="s">
        <v>98</v>
      </c>
      <c r="B200" s="9">
        <f ca="1">IF(B28=0,B196,B178+B196)</f>
        <v>-4.3744663668622223</v>
      </c>
      <c r="C200" t="s">
        <v>68</v>
      </c>
      <c r="BC200"/>
      <c r="BD200"/>
      <c r="BF200" s="6" t="e">
        <f t="shared" si="258"/>
        <v>#N/A</v>
      </c>
      <c r="BG200" s="6" t="e">
        <f t="shared" si="259"/>
        <v>#N/A</v>
      </c>
      <c r="BH200" s="6" t="e">
        <f t="shared" si="260"/>
        <v>#N/A</v>
      </c>
      <c r="BI200" s="6" t="e">
        <f t="shared" si="261"/>
        <v>#N/A</v>
      </c>
      <c r="BV200" s="36"/>
      <c r="BW200" s="6" t="e">
        <f t="shared" si="158"/>
        <v>#N/A</v>
      </c>
      <c r="BX200" s="9">
        <f t="shared" ca="1" si="159"/>
        <v>-65.220682514826848</v>
      </c>
      <c r="BY200" s="9">
        <f t="shared" ca="1" si="160"/>
        <v>21.430285361287321</v>
      </c>
      <c r="BZ200" s="9">
        <f t="shared" ca="1" si="161"/>
        <v>0</v>
      </c>
      <c r="CA200" s="6">
        <f t="shared" ca="1" si="162"/>
        <v>0</v>
      </c>
      <c r="CB200" s="6" t="e">
        <f t="shared" ca="1" si="163"/>
        <v>#DIV/0!</v>
      </c>
      <c r="CC200" s="6" t="e">
        <f t="shared" ca="1" si="164"/>
        <v>#DIV/0!</v>
      </c>
      <c r="CD200" s="9">
        <f t="shared" si="165"/>
        <v>-30</v>
      </c>
      <c r="CE200" s="9">
        <f t="shared" si="166"/>
        <v>0</v>
      </c>
      <c r="CF200" s="6">
        <f t="shared" si="167"/>
        <v>3.1415926535897931</v>
      </c>
      <c r="CG200" s="6" t="e">
        <f t="shared" ca="1" si="168"/>
        <v>#DIV/0!</v>
      </c>
      <c r="CH200" s="6"/>
      <c r="CI200" s="6"/>
      <c r="CJ200" s="1"/>
      <c r="CK200" s="6"/>
    </row>
    <row r="201" spans="1:89" x14ac:dyDescent="0.25">
      <c r="A201" t="s">
        <v>99</v>
      </c>
      <c r="B201" s="9">
        <f ca="1">IF(B28=0,B197,B197+B179)</f>
        <v>2262.190711795055</v>
      </c>
      <c r="C201" t="s">
        <v>69</v>
      </c>
      <c r="BC201"/>
      <c r="BD201"/>
      <c r="BF201" s="6" t="e">
        <f t="shared" si="258"/>
        <v>#N/A</v>
      </c>
      <c r="BG201" s="6" t="e">
        <f t="shared" si="259"/>
        <v>#N/A</v>
      </c>
      <c r="BH201" s="6" t="e">
        <f t="shared" si="260"/>
        <v>#N/A</v>
      </c>
      <c r="BI201" s="6" t="e">
        <f t="shared" si="261"/>
        <v>#N/A</v>
      </c>
      <c r="BV201" s="36"/>
      <c r="BW201" s="6" t="e">
        <f t="shared" si="158"/>
        <v>#N/A</v>
      </c>
      <c r="BX201" s="9">
        <f t="shared" ca="1" si="159"/>
        <v>-65.220682514826848</v>
      </c>
      <c r="BY201" s="9">
        <f t="shared" ca="1" si="160"/>
        <v>21.430285361287321</v>
      </c>
      <c r="BZ201" s="9">
        <f t="shared" ca="1" si="161"/>
        <v>0</v>
      </c>
      <c r="CA201" s="6">
        <f t="shared" ca="1" si="162"/>
        <v>0</v>
      </c>
      <c r="CB201" s="6" t="e">
        <f t="shared" ca="1" si="163"/>
        <v>#DIV/0!</v>
      </c>
      <c r="CC201" s="6" t="e">
        <f t="shared" ca="1" si="164"/>
        <v>#DIV/0!</v>
      </c>
      <c r="CD201" s="9">
        <f t="shared" si="165"/>
        <v>-30</v>
      </c>
      <c r="CE201" s="9">
        <f t="shared" si="166"/>
        <v>0</v>
      </c>
      <c r="CF201" s="6">
        <f t="shared" si="167"/>
        <v>3.1415926535897931</v>
      </c>
      <c r="CG201" s="6" t="e">
        <f t="shared" ca="1" si="168"/>
        <v>#DIV/0!</v>
      </c>
      <c r="CH201" s="6"/>
      <c r="CI201" s="6"/>
      <c r="CJ201" s="1"/>
      <c r="CK201" s="6"/>
    </row>
    <row r="202" spans="1:89" x14ac:dyDescent="0.25">
      <c r="A202" t="s">
        <v>100</v>
      </c>
      <c r="B202" s="9">
        <f ca="1">IF(B28=0,B198,B198+B180)</f>
        <v>-356.18117366268791</v>
      </c>
      <c r="C202" t="s">
        <v>69</v>
      </c>
      <c r="BC202"/>
      <c r="BD202"/>
      <c r="BF202" s="6" t="e">
        <f t="shared" si="258"/>
        <v>#N/A</v>
      </c>
      <c r="BG202" s="6" t="e">
        <f t="shared" si="259"/>
        <v>#N/A</v>
      </c>
      <c r="BH202" s="6" t="e">
        <f t="shared" si="260"/>
        <v>#N/A</v>
      </c>
      <c r="BI202" s="6" t="e">
        <f t="shared" si="261"/>
        <v>#N/A</v>
      </c>
      <c r="BV202" s="36"/>
      <c r="BW202" s="6" t="e">
        <f t="shared" si="158"/>
        <v>#N/A</v>
      </c>
      <c r="BX202" s="9">
        <f t="shared" ca="1" si="159"/>
        <v>-65.220682514826848</v>
      </c>
      <c r="BY202" s="9">
        <f t="shared" ca="1" si="160"/>
        <v>21.430285361287321</v>
      </c>
      <c r="BZ202" s="9">
        <f t="shared" ca="1" si="161"/>
        <v>0</v>
      </c>
      <c r="CA202" s="6">
        <f t="shared" ca="1" si="162"/>
        <v>0</v>
      </c>
      <c r="CB202" s="6" t="e">
        <f t="shared" ca="1" si="163"/>
        <v>#DIV/0!</v>
      </c>
      <c r="CC202" s="6" t="e">
        <f t="shared" ca="1" si="164"/>
        <v>#DIV/0!</v>
      </c>
      <c r="CD202" s="9">
        <f t="shared" si="165"/>
        <v>-30</v>
      </c>
      <c r="CE202" s="9">
        <f t="shared" si="166"/>
        <v>0</v>
      </c>
      <c r="CF202" s="6">
        <f t="shared" si="167"/>
        <v>3.1415926535897931</v>
      </c>
      <c r="CG202" s="6" t="e">
        <f t="shared" ca="1" si="168"/>
        <v>#DIV/0!</v>
      </c>
      <c r="CH202" s="6"/>
      <c r="CI202" s="6"/>
      <c r="CJ202" s="1"/>
      <c r="CK202" s="6"/>
    </row>
    <row r="203" spans="1:89" x14ac:dyDescent="0.25">
      <c r="BC203"/>
      <c r="BD203"/>
      <c r="BF203" s="6" t="e">
        <f t="shared" si="258"/>
        <v>#N/A</v>
      </c>
      <c r="BG203" s="6" t="e">
        <f t="shared" si="259"/>
        <v>#N/A</v>
      </c>
      <c r="BH203" s="6" t="e">
        <f t="shared" si="260"/>
        <v>#N/A</v>
      </c>
      <c r="BI203" s="6" t="e">
        <f t="shared" si="261"/>
        <v>#N/A</v>
      </c>
      <c r="BV203" s="36"/>
      <c r="BW203" s="6" t="e">
        <f t="shared" si="158"/>
        <v>#N/A</v>
      </c>
      <c r="BX203" s="9">
        <f t="shared" ca="1" si="159"/>
        <v>-65.220682514826848</v>
      </c>
      <c r="BY203" s="9">
        <f t="shared" ca="1" si="160"/>
        <v>21.430285361287321</v>
      </c>
      <c r="BZ203" s="9">
        <f t="shared" ca="1" si="161"/>
        <v>0</v>
      </c>
      <c r="CA203" s="6">
        <f t="shared" ca="1" si="162"/>
        <v>0</v>
      </c>
      <c r="CB203" s="6" t="e">
        <f t="shared" ca="1" si="163"/>
        <v>#DIV/0!</v>
      </c>
      <c r="CC203" s="6" t="e">
        <f t="shared" ca="1" si="164"/>
        <v>#DIV/0!</v>
      </c>
      <c r="CD203" s="9">
        <f t="shared" si="165"/>
        <v>-30</v>
      </c>
      <c r="CE203" s="9">
        <f t="shared" si="166"/>
        <v>0</v>
      </c>
      <c r="CF203" s="6">
        <f t="shared" si="167"/>
        <v>3.1415926535897931</v>
      </c>
      <c r="CG203" s="6" t="e">
        <f t="shared" ca="1" si="168"/>
        <v>#DIV/0!</v>
      </c>
      <c r="CH203" s="6"/>
      <c r="CI203" s="6"/>
      <c r="CJ203" s="1"/>
      <c r="CK203" s="6"/>
    </row>
    <row r="204" spans="1:89" x14ac:dyDescent="0.25">
      <c r="A204" s="8" t="s">
        <v>64</v>
      </c>
      <c r="B204">
        <f ca="1">((B201*COS(-1*B27))+(B202*SIN(-1*B27)))</f>
        <v>2289.9013386576248</v>
      </c>
      <c r="C204" t="s">
        <v>69</v>
      </c>
      <c r="BC204"/>
      <c r="BD204"/>
      <c r="BF204" s="6" t="e">
        <f t="shared" si="258"/>
        <v>#N/A</v>
      </c>
      <c r="BG204" s="6" t="e">
        <f t="shared" si="259"/>
        <v>#N/A</v>
      </c>
      <c r="BH204" s="6" t="e">
        <f t="shared" si="260"/>
        <v>#N/A</v>
      </c>
      <c r="BI204" s="6" t="e">
        <f t="shared" si="261"/>
        <v>#N/A</v>
      </c>
      <c r="BV204" s="36"/>
      <c r="BW204" s="6" t="e">
        <f t="shared" si="158"/>
        <v>#N/A</v>
      </c>
      <c r="BX204" s="9">
        <f t="shared" ca="1" si="159"/>
        <v>-65.220682514826848</v>
      </c>
      <c r="BY204" s="9">
        <f t="shared" ca="1" si="160"/>
        <v>21.430285361287321</v>
      </c>
      <c r="BZ204" s="9">
        <f t="shared" ca="1" si="161"/>
        <v>0</v>
      </c>
      <c r="CA204" s="6">
        <f t="shared" ca="1" si="162"/>
        <v>0</v>
      </c>
      <c r="CB204" s="6" t="e">
        <f t="shared" ca="1" si="163"/>
        <v>#DIV/0!</v>
      </c>
      <c r="CC204" s="6" t="e">
        <f t="shared" ca="1" si="164"/>
        <v>#DIV/0!</v>
      </c>
      <c r="CD204" s="9">
        <f t="shared" si="165"/>
        <v>-30</v>
      </c>
      <c r="CE204" s="9">
        <f t="shared" si="166"/>
        <v>0</v>
      </c>
      <c r="CF204" s="6">
        <f t="shared" si="167"/>
        <v>3.1415926535897931</v>
      </c>
      <c r="CG204" s="6" t="e">
        <f t="shared" ca="1" si="168"/>
        <v>#DIV/0!</v>
      </c>
      <c r="CH204" s="6"/>
      <c r="CI204" s="6"/>
      <c r="CJ204" s="1"/>
      <c r="CK204" s="6"/>
    </row>
    <row r="205" spans="1:89" x14ac:dyDescent="0.25">
      <c r="A205" s="8" t="s">
        <v>65</v>
      </c>
      <c r="B205">
        <f ca="1">(-1*(B201)*SIN(-1*B27))+((B202)*COS(-1*B27))</f>
        <v>-26.901751198848785</v>
      </c>
      <c r="C205" t="s">
        <v>69</v>
      </c>
      <c r="BC205"/>
      <c r="BD205"/>
      <c r="BF205" s="6" t="e">
        <f t="shared" si="258"/>
        <v>#N/A</v>
      </c>
      <c r="BG205" s="6" t="e">
        <f t="shared" si="259"/>
        <v>#N/A</v>
      </c>
      <c r="BH205" s="6" t="e">
        <f t="shared" si="260"/>
        <v>#N/A</v>
      </c>
      <c r="BI205" s="6" t="e">
        <f t="shared" si="261"/>
        <v>#N/A</v>
      </c>
      <c r="BV205" s="36"/>
      <c r="BW205" s="6" t="e">
        <f t="shared" si="158"/>
        <v>#N/A</v>
      </c>
      <c r="BX205" s="9">
        <f t="shared" ca="1" si="159"/>
        <v>-65.220682514826848</v>
      </c>
      <c r="BY205" s="9">
        <f t="shared" ca="1" si="160"/>
        <v>21.430285361287321</v>
      </c>
      <c r="BZ205" s="9">
        <f t="shared" ca="1" si="161"/>
        <v>0</v>
      </c>
      <c r="CA205" s="6">
        <f t="shared" ca="1" si="162"/>
        <v>0</v>
      </c>
      <c r="CB205" s="6" t="e">
        <f t="shared" ca="1" si="163"/>
        <v>#DIV/0!</v>
      </c>
      <c r="CC205" s="6" t="e">
        <f t="shared" ca="1" si="164"/>
        <v>#DIV/0!</v>
      </c>
      <c r="CD205" s="9">
        <f t="shared" si="165"/>
        <v>-30</v>
      </c>
      <c r="CE205" s="9">
        <f t="shared" si="166"/>
        <v>0</v>
      </c>
      <c r="CF205" s="6">
        <f t="shared" si="167"/>
        <v>3.1415926535897931</v>
      </c>
      <c r="CG205" s="6" t="e">
        <f t="shared" ca="1" si="168"/>
        <v>#DIV/0!</v>
      </c>
      <c r="CH205" s="6"/>
      <c r="CI205" s="6"/>
      <c r="CJ205" s="1"/>
      <c r="CK205" s="6"/>
    </row>
    <row r="206" spans="1:89" x14ac:dyDescent="0.25">
      <c r="BC206"/>
      <c r="BD206"/>
      <c r="BF206" s="6" t="e">
        <f t="shared" si="258"/>
        <v>#N/A</v>
      </c>
      <c r="BG206" s="6" t="e">
        <f t="shared" si="259"/>
        <v>#N/A</v>
      </c>
      <c r="BH206" s="6" t="e">
        <f t="shared" si="260"/>
        <v>#N/A</v>
      </c>
      <c r="BI206" s="6" t="e">
        <f t="shared" si="261"/>
        <v>#N/A</v>
      </c>
      <c r="BV206" s="36"/>
      <c r="BW206" s="6" t="e">
        <f t="shared" si="158"/>
        <v>#N/A</v>
      </c>
      <c r="BX206" s="9">
        <f t="shared" ca="1" si="159"/>
        <v>-65.220682514826848</v>
      </c>
      <c r="BY206" s="9">
        <f t="shared" ca="1" si="160"/>
        <v>21.430285361287321</v>
      </c>
      <c r="BZ206" s="9">
        <f t="shared" ca="1" si="161"/>
        <v>0</v>
      </c>
      <c r="CA206" s="6">
        <f t="shared" ca="1" si="162"/>
        <v>0</v>
      </c>
      <c r="CB206" s="6" t="e">
        <f t="shared" ca="1" si="163"/>
        <v>#DIV/0!</v>
      </c>
      <c r="CC206" s="6" t="e">
        <f t="shared" ca="1" si="164"/>
        <v>#DIV/0!</v>
      </c>
      <c r="CD206" s="9">
        <f t="shared" si="165"/>
        <v>-30</v>
      </c>
      <c r="CE206" s="9">
        <f t="shared" si="166"/>
        <v>0</v>
      </c>
      <c r="CF206" s="6">
        <f t="shared" si="167"/>
        <v>3.1415926535897931</v>
      </c>
      <c r="CG206" s="6" t="e">
        <f t="shared" ca="1" si="168"/>
        <v>#DIV/0!</v>
      </c>
      <c r="CH206" s="6"/>
      <c r="CI206" s="6"/>
      <c r="CJ206" s="1"/>
      <c r="CK206" s="6"/>
    </row>
    <row r="207" spans="1:89" x14ac:dyDescent="0.25">
      <c r="BC207"/>
      <c r="BD207"/>
      <c r="BF207" s="6" t="e">
        <f t="shared" si="258"/>
        <v>#N/A</v>
      </c>
      <c r="BG207" s="6" t="e">
        <f t="shared" si="259"/>
        <v>#N/A</v>
      </c>
      <c r="BH207" s="6" t="e">
        <f t="shared" si="260"/>
        <v>#N/A</v>
      </c>
      <c r="BI207" s="6" t="e">
        <f t="shared" si="261"/>
        <v>#N/A</v>
      </c>
      <c r="BV207" s="36"/>
      <c r="BW207" s="6" t="e">
        <f t="shared" si="158"/>
        <v>#N/A</v>
      </c>
      <c r="BX207" s="9">
        <f t="shared" ca="1" si="159"/>
        <v>-65.220682514826848</v>
      </c>
      <c r="BY207" s="9">
        <f t="shared" ca="1" si="160"/>
        <v>21.430285361287321</v>
      </c>
      <c r="BZ207" s="9">
        <f t="shared" ca="1" si="161"/>
        <v>0</v>
      </c>
      <c r="CA207" s="6">
        <f t="shared" ca="1" si="162"/>
        <v>0</v>
      </c>
      <c r="CB207" s="6" t="e">
        <f t="shared" ca="1" si="163"/>
        <v>#DIV/0!</v>
      </c>
      <c r="CC207" s="6" t="e">
        <f t="shared" ca="1" si="164"/>
        <v>#DIV/0!</v>
      </c>
      <c r="CD207" s="9">
        <f t="shared" si="165"/>
        <v>-30</v>
      </c>
      <c r="CE207" s="9">
        <f t="shared" si="166"/>
        <v>0</v>
      </c>
      <c r="CF207" s="6">
        <f t="shared" si="167"/>
        <v>3.1415926535897931</v>
      </c>
      <c r="CG207" s="6" t="e">
        <f t="shared" ca="1" si="168"/>
        <v>#DIV/0!</v>
      </c>
      <c r="CH207" s="6"/>
      <c r="CI207" s="6"/>
      <c r="CJ207" s="1"/>
      <c r="CK207" s="6"/>
    </row>
    <row r="208" spans="1:89" x14ac:dyDescent="0.25">
      <c r="BC208"/>
      <c r="BD208"/>
      <c r="BF208" s="6" t="e">
        <f t="shared" si="258"/>
        <v>#N/A</v>
      </c>
      <c r="BG208" s="6" t="e">
        <f t="shared" si="259"/>
        <v>#N/A</v>
      </c>
      <c r="BH208" s="6" t="e">
        <f t="shared" si="260"/>
        <v>#N/A</v>
      </c>
      <c r="BI208" s="6" t="e">
        <f t="shared" si="261"/>
        <v>#N/A</v>
      </c>
      <c r="BV208" s="36"/>
      <c r="BW208" s="6" t="e">
        <f t="shared" ref="BW208:BW271" si="262">IF(BC195="",NA(),BC195)</f>
        <v>#N/A</v>
      </c>
      <c r="BX208" s="9">
        <f t="shared" ref="BX208:BX271" ca="1" si="263">BD195-$BW$5</f>
        <v>-65.220682514826848</v>
      </c>
      <c r="BY208" s="9">
        <f t="shared" ref="BY208:BY271" ca="1" si="264">BE195-$BX$5</f>
        <v>21.430285361287321</v>
      </c>
      <c r="BZ208" s="9">
        <f t="shared" ref="BZ208:BZ271" ca="1" si="265">BX208-$CE$5</f>
        <v>0</v>
      </c>
      <c r="CA208" s="6">
        <f t="shared" ref="CA208:CA271" ca="1" si="266">BY208-$CF$5</f>
        <v>0</v>
      </c>
      <c r="CB208" s="6" t="e">
        <f t="shared" ref="CB208:CB271" ca="1" si="267">ATAN2(BZ208,CA208)</f>
        <v>#DIV/0!</v>
      </c>
      <c r="CC208" s="6" t="e">
        <f t="shared" ref="CC208:CC271" ca="1" si="268">CG208</f>
        <v>#DIV/0!</v>
      </c>
      <c r="CD208" s="9">
        <f t="shared" ref="CD208:CD271" si="269">BD195-$BW$6</f>
        <v>-30</v>
      </c>
      <c r="CE208" s="9">
        <f t="shared" ref="CE208:CE271" si="270">BE195-$BX$6</f>
        <v>0</v>
      </c>
      <c r="CF208" s="6">
        <f t="shared" ref="CF208:CF271" si="271">ATAN2(CD208,CE208)</f>
        <v>3.1415926535897931</v>
      </c>
      <c r="CG208" s="6" t="e">
        <f t="shared" ref="CG208:CG271" ca="1" si="272">ATAN2(COS(CF208-CB208),SIN(CF208-CB208))</f>
        <v>#DIV/0!</v>
      </c>
      <c r="CH208" s="6"/>
      <c r="CI208" s="6"/>
      <c r="CJ208" s="1"/>
      <c r="CK208" s="6"/>
    </row>
    <row r="209" spans="55:89" x14ac:dyDescent="0.25">
      <c r="BC209"/>
      <c r="BD209"/>
      <c r="BF209" s="6" t="e">
        <f t="shared" si="258"/>
        <v>#N/A</v>
      </c>
      <c r="BG209" s="6" t="e">
        <f t="shared" si="259"/>
        <v>#N/A</v>
      </c>
      <c r="BH209" s="6" t="e">
        <f t="shared" si="260"/>
        <v>#N/A</v>
      </c>
      <c r="BI209" s="6" t="e">
        <f t="shared" si="261"/>
        <v>#N/A</v>
      </c>
      <c r="BV209" s="36"/>
      <c r="BW209" s="6" t="e">
        <f t="shared" si="262"/>
        <v>#N/A</v>
      </c>
      <c r="BX209" s="9">
        <f t="shared" ca="1" si="263"/>
        <v>-65.220682514826848</v>
      </c>
      <c r="BY209" s="9">
        <f t="shared" ca="1" si="264"/>
        <v>21.430285361287321</v>
      </c>
      <c r="BZ209" s="9">
        <f t="shared" ca="1" si="265"/>
        <v>0</v>
      </c>
      <c r="CA209" s="6">
        <f t="shared" ca="1" si="266"/>
        <v>0</v>
      </c>
      <c r="CB209" s="6" t="e">
        <f t="shared" ca="1" si="267"/>
        <v>#DIV/0!</v>
      </c>
      <c r="CC209" s="6" t="e">
        <f t="shared" ca="1" si="268"/>
        <v>#DIV/0!</v>
      </c>
      <c r="CD209" s="9">
        <f t="shared" si="269"/>
        <v>-30</v>
      </c>
      <c r="CE209" s="9">
        <f t="shared" si="270"/>
        <v>0</v>
      </c>
      <c r="CF209" s="6">
        <f t="shared" si="271"/>
        <v>3.1415926535897931</v>
      </c>
      <c r="CG209" s="6" t="e">
        <f t="shared" ca="1" si="272"/>
        <v>#DIV/0!</v>
      </c>
      <c r="CH209" s="6"/>
      <c r="CI209" s="6"/>
      <c r="CJ209" s="1"/>
      <c r="CK209" s="6"/>
    </row>
    <row r="210" spans="55:89" x14ac:dyDescent="0.25">
      <c r="BC210"/>
      <c r="BD210"/>
      <c r="BF210" s="6" t="e">
        <f t="shared" si="258"/>
        <v>#N/A</v>
      </c>
      <c r="BG210" s="6" t="e">
        <f t="shared" si="259"/>
        <v>#N/A</v>
      </c>
      <c r="BH210" s="6" t="e">
        <f t="shared" si="260"/>
        <v>#N/A</v>
      </c>
      <c r="BI210" s="6" t="e">
        <f t="shared" si="261"/>
        <v>#N/A</v>
      </c>
      <c r="BV210" s="36"/>
      <c r="BW210" s="6" t="e">
        <f t="shared" si="262"/>
        <v>#N/A</v>
      </c>
      <c r="BX210" s="9">
        <f t="shared" ca="1" si="263"/>
        <v>-65.220682514826848</v>
      </c>
      <c r="BY210" s="9">
        <f t="shared" ca="1" si="264"/>
        <v>21.430285361287321</v>
      </c>
      <c r="BZ210" s="9">
        <f t="shared" ca="1" si="265"/>
        <v>0</v>
      </c>
      <c r="CA210" s="6">
        <f t="shared" ca="1" si="266"/>
        <v>0</v>
      </c>
      <c r="CB210" s="6" t="e">
        <f t="shared" ca="1" si="267"/>
        <v>#DIV/0!</v>
      </c>
      <c r="CC210" s="6" t="e">
        <f t="shared" ca="1" si="268"/>
        <v>#DIV/0!</v>
      </c>
      <c r="CD210" s="9">
        <f t="shared" si="269"/>
        <v>-30</v>
      </c>
      <c r="CE210" s="9">
        <f t="shared" si="270"/>
        <v>0</v>
      </c>
      <c r="CF210" s="6">
        <f t="shared" si="271"/>
        <v>3.1415926535897931</v>
      </c>
      <c r="CG210" s="6" t="e">
        <f t="shared" ca="1" si="272"/>
        <v>#DIV/0!</v>
      </c>
      <c r="CH210" s="6"/>
      <c r="CI210" s="6"/>
      <c r="CJ210" s="1"/>
      <c r="CK210" s="6"/>
    </row>
    <row r="211" spans="55:89" x14ac:dyDescent="0.25">
      <c r="BC211"/>
      <c r="BD211"/>
      <c r="BF211" s="6" t="e">
        <f t="shared" si="258"/>
        <v>#N/A</v>
      </c>
      <c r="BG211" s="6" t="e">
        <f t="shared" si="259"/>
        <v>#N/A</v>
      </c>
      <c r="BH211" s="6" t="e">
        <f t="shared" si="260"/>
        <v>#N/A</v>
      </c>
      <c r="BI211" s="6" t="e">
        <f t="shared" si="261"/>
        <v>#N/A</v>
      </c>
      <c r="BV211" s="36"/>
      <c r="BW211" s="6" t="e">
        <f t="shared" si="262"/>
        <v>#N/A</v>
      </c>
      <c r="BX211" s="9">
        <f t="shared" ca="1" si="263"/>
        <v>-65.220682514826848</v>
      </c>
      <c r="BY211" s="9">
        <f t="shared" ca="1" si="264"/>
        <v>21.430285361287321</v>
      </c>
      <c r="BZ211" s="9">
        <f t="shared" ca="1" si="265"/>
        <v>0</v>
      </c>
      <c r="CA211" s="6">
        <f t="shared" ca="1" si="266"/>
        <v>0</v>
      </c>
      <c r="CB211" s="6" t="e">
        <f t="shared" ca="1" si="267"/>
        <v>#DIV/0!</v>
      </c>
      <c r="CC211" s="6" t="e">
        <f t="shared" ca="1" si="268"/>
        <v>#DIV/0!</v>
      </c>
      <c r="CD211" s="9">
        <f t="shared" si="269"/>
        <v>-30</v>
      </c>
      <c r="CE211" s="9">
        <f t="shared" si="270"/>
        <v>0</v>
      </c>
      <c r="CF211" s="6">
        <f t="shared" si="271"/>
        <v>3.1415926535897931</v>
      </c>
      <c r="CG211" s="6" t="e">
        <f t="shared" ca="1" si="272"/>
        <v>#DIV/0!</v>
      </c>
      <c r="CH211" s="6"/>
      <c r="CI211" s="6"/>
      <c r="CJ211" s="1"/>
      <c r="CK211" s="6"/>
    </row>
    <row r="212" spans="55:89" x14ac:dyDescent="0.25">
      <c r="BC212"/>
      <c r="BD212"/>
      <c r="BF212" s="6" t="e">
        <f t="shared" si="258"/>
        <v>#N/A</v>
      </c>
      <c r="BG212" s="6" t="e">
        <f t="shared" si="259"/>
        <v>#N/A</v>
      </c>
      <c r="BH212" s="6" t="e">
        <f t="shared" si="260"/>
        <v>#N/A</v>
      </c>
      <c r="BI212" s="6" t="e">
        <f t="shared" si="261"/>
        <v>#N/A</v>
      </c>
      <c r="BV212" s="36"/>
      <c r="BW212" s="6" t="e">
        <f t="shared" si="262"/>
        <v>#N/A</v>
      </c>
      <c r="BX212" s="9">
        <f t="shared" ca="1" si="263"/>
        <v>-65.220682514826848</v>
      </c>
      <c r="BY212" s="9">
        <f t="shared" ca="1" si="264"/>
        <v>21.430285361287321</v>
      </c>
      <c r="BZ212" s="9">
        <f t="shared" ca="1" si="265"/>
        <v>0</v>
      </c>
      <c r="CA212" s="6">
        <f t="shared" ca="1" si="266"/>
        <v>0</v>
      </c>
      <c r="CB212" s="6" t="e">
        <f t="shared" ca="1" si="267"/>
        <v>#DIV/0!</v>
      </c>
      <c r="CC212" s="6" t="e">
        <f t="shared" ca="1" si="268"/>
        <v>#DIV/0!</v>
      </c>
      <c r="CD212" s="9">
        <f t="shared" si="269"/>
        <v>-30</v>
      </c>
      <c r="CE212" s="9">
        <f t="shared" si="270"/>
        <v>0</v>
      </c>
      <c r="CF212" s="6">
        <f t="shared" si="271"/>
        <v>3.1415926535897931</v>
      </c>
      <c r="CG212" s="6" t="e">
        <f t="shared" ca="1" si="272"/>
        <v>#DIV/0!</v>
      </c>
      <c r="CH212" s="6"/>
      <c r="CI212" s="6"/>
      <c r="CJ212" s="1"/>
      <c r="CK212" s="6"/>
    </row>
    <row r="213" spans="55:89" x14ac:dyDescent="0.25">
      <c r="BC213"/>
      <c r="BD213"/>
      <c r="BF213" s="6" t="e">
        <f t="shared" si="258"/>
        <v>#N/A</v>
      </c>
      <c r="BG213" s="6" t="e">
        <f t="shared" si="259"/>
        <v>#N/A</v>
      </c>
      <c r="BH213" s="6" t="e">
        <f t="shared" si="260"/>
        <v>#N/A</v>
      </c>
      <c r="BI213" s="6" t="e">
        <f t="shared" si="261"/>
        <v>#N/A</v>
      </c>
      <c r="BV213" s="36"/>
      <c r="BW213" s="6" t="e">
        <f t="shared" si="262"/>
        <v>#N/A</v>
      </c>
      <c r="BX213" s="9">
        <f t="shared" ca="1" si="263"/>
        <v>-65.220682514826848</v>
      </c>
      <c r="BY213" s="9">
        <f t="shared" ca="1" si="264"/>
        <v>21.430285361287321</v>
      </c>
      <c r="BZ213" s="9">
        <f t="shared" ca="1" si="265"/>
        <v>0</v>
      </c>
      <c r="CA213" s="6">
        <f t="shared" ca="1" si="266"/>
        <v>0</v>
      </c>
      <c r="CB213" s="6" t="e">
        <f t="shared" ca="1" si="267"/>
        <v>#DIV/0!</v>
      </c>
      <c r="CC213" s="6" t="e">
        <f t="shared" ca="1" si="268"/>
        <v>#DIV/0!</v>
      </c>
      <c r="CD213" s="9">
        <f t="shared" si="269"/>
        <v>-30</v>
      </c>
      <c r="CE213" s="9">
        <f t="shared" si="270"/>
        <v>0</v>
      </c>
      <c r="CF213" s="6">
        <f t="shared" si="271"/>
        <v>3.1415926535897931</v>
      </c>
      <c r="CG213" s="6" t="e">
        <f t="shared" ca="1" si="272"/>
        <v>#DIV/0!</v>
      </c>
      <c r="CH213" s="6"/>
      <c r="CI213" s="6"/>
      <c r="CJ213" s="1"/>
      <c r="CK213" s="6"/>
    </row>
    <row r="214" spans="55:89" x14ac:dyDescent="0.25">
      <c r="BC214"/>
      <c r="BD214"/>
      <c r="BF214" s="6" t="e">
        <f t="shared" si="258"/>
        <v>#N/A</v>
      </c>
      <c r="BG214" s="6" t="e">
        <f t="shared" si="259"/>
        <v>#N/A</v>
      </c>
      <c r="BH214" s="6" t="e">
        <f t="shared" si="260"/>
        <v>#N/A</v>
      </c>
      <c r="BI214" s="6" t="e">
        <f t="shared" si="261"/>
        <v>#N/A</v>
      </c>
      <c r="BV214" s="36"/>
      <c r="BW214" s="6" t="e">
        <f t="shared" si="262"/>
        <v>#N/A</v>
      </c>
      <c r="BX214" s="9">
        <f t="shared" ca="1" si="263"/>
        <v>-65.220682514826848</v>
      </c>
      <c r="BY214" s="9">
        <f t="shared" ca="1" si="264"/>
        <v>21.430285361287321</v>
      </c>
      <c r="BZ214" s="9">
        <f t="shared" ca="1" si="265"/>
        <v>0</v>
      </c>
      <c r="CA214" s="6">
        <f t="shared" ca="1" si="266"/>
        <v>0</v>
      </c>
      <c r="CB214" s="6" t="e">
        <f t="shared" ca="1" si="267"/>
        <v>#DIV/0!</v>
      </c>
      <c r="CC214" s="6" t="e">
        <f t="shared" ca="1" si="268"/>
        <v>#DIV/0!</v>
      </c>
      <c r="CD214" s="9">
        <f t="shared" si="269"/>
        <v>-30</v>
      </c>
      <c r="CE214" s="9">
        <f t="shared" si="270"/>
        <v>0</v>
      </c>
      <c r="CF214" s="6">
        <f t="shared" si="271"/>
        <v>3.1415926535897931</v>
      </c>
      <c r="CG214" s="6" t="e">
        <f t="shared" ca="1" si="272"/>
        <v>#DIV/0!</v>
      </c>
      <c r="CH214" s="6"/>
      <c r="CI214" s="6"/>
      <c r="CJ214" s="1"/>
      <c r="CK214" s="6"/>
    </row>
    <row r="215" spans="55:89" x14ac:dyDescent="0.25">
      <c r="BC215"/>
      <c r="BD215"/>
      <c r="BF215" s="6" t="e">
        <f t="shared" si="258"/>
        <v>#N/A</v>
      </c>
      <c r="BG215" s="6" t="e">
        <f t="shared" si="259"/>
        <v>#N/A</v>
      </c>
      <c r="BH215" s="6" t="e">
        <f t="shared" si="260"/>
        <v>#N/A</v>
      </c>
      <c r="BI215" s="6" t="e">
        <f t="shared" si="261"/>
        <v>#N/A</v>
      </c>
      <c r="BV215" s="36"/>
      <c r="BW215" s="6" t="e">
        <f t="shared" si="262"/>
        <v>#N/A</v>
      </c>
      <c r="BX215" s="9">
        <f t="shared" ca="1" si="263"/>
        <v>-65.220682514826848</v>
      </c>
      <c r="BY215" s="9">
        <f t="shared" ca="1" si="264"/>
        <v>21.430285361287321</v>
      </c>
      <c r="BZ215" s="9">
        <f t="shared" ca="1" si="265"/>
        <v>0</v>
      </c>
      <c r="CA215" s="6">
        <f t="shared" ca="1" si="266"/>
        <v>0</v>
      </c>
      <c r="CB215" s="6" t="e">
        <f t="shared" ca="1" si="267"/>
        <v>#DIV/0!</v>
      </c>
      <c r="CC215" s="6" t="e">
        <f t="shared" ca="1" si="268"/>
        <v>#DIV/0!</v>
      </c>
      <c r="CD215" s="9">
        <f t="shared" si="269"/>
        <v>-30</v>
      </c>
      <c r="CE215" s="9">
        <f t="shared" si="270"/>
        <v>0</v>
      </c>
      <c r="CF215" s="6">
        <f t="shared" si="271"/>
        <v>3.1415926535897931</v>
      </c>
      <c r="CG215" s="6" t="e">
        <f t="shared" ca="1" si="272"/>
        <v>#DIV/0!</v>
      </c>
      <c r="CH215" s="6"/>
      <c r="CI215" s="6"/>
      <c r="CJ215" s="1"/>
      <c r="CK215" s="6"/>
    </row>
    <row r="216" spans="55:89" x14ac:dyDescent="0.25">
      <c r="BC216"/>
      <c r="BD216"/>
      <c r="BF216" s="6" t="e">
        <f t="shared" si="258"/>
        <v>#N/A</v>
      </c>
      <c r="BG216" s="6" t="e">
        <f t="shared" si="259"/>
        <v>#N/A</v>
      </c>
      <c r="BH216" s="6" t="e">
        <f t="shared" si="260"/>
        <v>#N/A</v>
      </c>
      <c r="BI216" s="6" t="e">
        <f t="shared" si="261"/>
        <v>#N/A</v>
      </c>
      <c r="BV216" s="36"/>
      <c r="BW216" s="6" t="e">
        <f t="shared" si="262"/>
        <v>#N/A</v>
      </c>
      <c r="BX216" s="9">
        <f t="shared" ca="1" si="263"/>
        <v>-65.220682514826848</v>
      </c>
      <c r="BY216" s="9">
        <f t="shared" ca="1" si="264"/>
        <v>21.430285361287321</v>
      </c>
      <c r="BZ216" s="9">
        <f t="shared" ca="1" si="265"/>
        <v>0</v>
      </c>
      <c r="CA216" s="6">
        <f t="shared" ca="1" si="266"/>
        <v>0</v>
      </c>
      <c r="CB216" s="6" t="e">
        <f t="shared" ca="1" si="267"/>
        <v>#DIV/0!</v>
      </c>
      <c r="CC216" s="6" t="e">
        <f t="shared" ca="1" si="268"/>
        <v>#DIV/0!</v>
      </c>
      <c r="CD216" s="9">
        <f t="shared" si="269"/>
        <v>-30</v>
      </c>
      <c r="CE216" s="9">
        <f t="shared" si="270"/>
        <v>0</v>
      </c>
      <c r="CF216" s="6">
        <f t="shared" si="271"/>
        <v>3.1415926535897931</v>
      </c>
      <c r="CG216" s="6" t="e">
        <f t="shared" ca="1" si="272"/>
        <v>#DIV/0!</v>
      </c>
      <c r="CH216" s="6"/>
      <c r="CI216" s="6"/>
      <c r="CJ216" s="1"/>
      <c r="CK216" s="6"/>
    </row>
    <row r="217" spans="55:89" x14ac:dyDescent="0.25">
      <c r="BC217"/>
      <c r="BD217"/>
      <c r="BF217" s="6" t="e">
        <f t="shared" si="258"/>
        <v>#N/A</v>
      </c>
      <c r="BG217" s="6" t="e">
        <f t="shared" si="259"/>
        <v>#N/A</v>
      </c>
      <c r="BH217" s="6" t="e">
        <f t="shared" si="260"/>
        <v>#N/A</v>
      </c>
      <c r="BI217" s="6" t="e">
        <f t="shared" si="261"/>
        <v>#N/A</v>
      </c>
      <c r="BV217" s="36"/>
      <c r="BW217" s="6" t="e">
        <f t="shared" si="262"/>
        <v>#N/A</v>
      </c>
      <c r="BX217" s="9">
        <f t="shared" ca="1" si="263"/>
        <v>-65.220682514826848</v>
      </c>
      <c r="BY217" s="9">
        <f t="shared" ca="1" si="264"/>
        <v>21.430285361287321</v>
      </c>
      <c r="BZ217" s="9">
        <f t="shared" ca="1" si="265"/>
        <v>0</v>
      </c>
      <c r="CA217" s="6">
        <f t="shared" ca="1" si="266"/>
        <v>0</v>
      </c>
      <c r="CB217" s="6" t="e">
        <f t="shared" ca="1" si="267"/>
        <v>#DIV/0!</v>
      </c>
      <c r="CC217" s="6" t="e">
        <f t="shared" ca="1" si="268"/>
        <v>#DIV/0!</v>
      </c>
      <c r="CD217" s="9">
        <f t="shared" si="269"/>
        <v>-30</v>
      </c>
      <c r="CE217" s="9">
        <f t="shared" si="270"/>
        <v>0</v>
      </c>
      <c r="CF217" s="6">
        <f t="shared" si="271"/>
        <v>3.1415926535897931</v>
      </c>
      <c r="CG217" s="6" t="e">
        <f t="shared" ca="1" si="272"/>
        <v>#DIV/0!</v>
      </c>
      <c r="CH217" s="6"/>
      <c r="CI217" s="6"/>
      <c r="CJ217" s="1"/>
      <c r="CK217" s="6"/>
    </row>
    <row r="218" spans="55:89" x14ac:dyDescent="0.25">
      <c r="BC218"/>
      <c r="BD218"/>
      <c r="BF218" s="6" t="e">
        <f t="shared" si="258"/>
        <v>#N/A</v>
      </c>
      <c r="BG218" s="6" t="e">
        <f t="shared" si="259"/>
        <v>#N/A</v>
      </c>
      <c r="BH218" s="6" t="e">
        <f t="shared" si="260"/>
        <v>#N/A</v>
      </c>
      <c r="BI218" s="6" t="e">
        <f t="shared" si="261"/>
        <v>#N/A</v>
      </c>
      <c r="BV218" s="36"/>
      <c r="BW218" s="6" t="e">
        <f t="shared" si="262"/>
        <v>#N/A</v>
      </c>
      <c r="BX218" s="9">
        <f t="shared" ca="1" si="263"/>
        <v>-65.220682514826848</v>
      </c>
      <c r="BY218" s="9">
        <f t="shared" ca="1" si="264"/>
        <v>21.430285361287321</v>
      </c>
      <c r="BZ218" s="9">
        <f t="shared" ca="1" si="265"/>
        <v>0</v>
      </c>
      <c r="CA218" s="6">
        <f t="shared" ca="1" si="266"/>
        <v>0</v>
      </c>
      <c r="CB218" s="6" t="e">
        <f t="shared" ca="1" si="267"/>
        <v>#DIV/0!</v>
      </c>
      <c r="CC218" s="6" t="e">
        <f t="shared" ca="1" si="268"/>
        <v>#DIV/0!</v>
      </c>
      <c r="CD218" s="9">
        <f t="shared" si="269"/>
        <v>-30</v>
      </c>
      <c r="CE218" s="9">
        <f t="shared" si="270"/>
        <v>0</v>
      </c>
      <c r="CF218" s="6">
        <f t="shared" si="271"/>
        <v>3.1415926535897931</v>
      </c>
      <c r="CG218" s="6" t="e">
        <f t="shared" ca="1" si="272"/>
        <v>#DIV/0!</v>
      </c>
      <c r="CH218" s="6"/>
      <c r="CI218" s="6"/>
      <c r="CJ218" s="1"/>
      <c r="CK218" s="6"/>
    </row>
    <row r="219" spans="55:89" x14ac:dyDescent="0.25">
      <c r="BC219"/>
      <c r="BD219"/>
      <c r="BF219" s="6" t="e">
        <f t="shared" si="258"/>
        <v>#N/A</v>
      </c>
      <c r="BG219" s="6" t="e">
        <f t="shared" si="259"/>
        <v>#N/A</v>
      </c>
      <c r="BH219" s="6" t="e">
        <f t="shared" si="260"/>
        <v>#N/A</v>
      </c>
      <c r="BI219" s="6" t="e">
        <f t="shared" si="261"/>
        <v>#N/A</v>
      </c>
      <c r="BV219" s="36"/>
      <c r="BW219" s="6" t="e">
        <f t="shared" si="262"/>
        <v>#N/A</v>
      </c>
      <c r="BX219" s="9">
        <f t="shared" ca="1" si="263"/>
        <v>-65.220682514826848</v>
      </c>
      <c r="BY219" s="9">
        <f t="shared" ca="1" si="264"/>
        <v>21.430285361287321</v>
      </c>
      <c r="BZ219" s="9">
        <f t="shared" ca="1" si="265"/>
        <v>0</v>
      </c>
      <c r="CA219" s="6">
        <f t="shared" ca="1" si="266"/>
        <v>0</v>
      </c>
      <c r="CB219" s="6" t="e">
        <f t="shared" ca="1" si="267"/>
        <v>#DIV/0!</v>
      </c>
      <c r="CC219" s="6" t="e">
        <f t="shared" ca="1" si="268"/>
        <v>#DIV/0!</v>
      </c>
      <c r="CD219" s="9">
        <f t="shared" si="269"/>
        <v>-30</v>
      </c>
      <c r="CE219" s="9">
        <f t="shared" si="270"/>
        <v>0</v>
      </c>
      <c r="CF219" s="6">
        <f t="shared" si="271"/>
        <v>3.1415926535897931</v>
      </c>
      <c r="CG219" s="6" t="e">
        <f t="shared" ca="1" si="272"/>
        <v>#DIV/0!</v>
      </c>
      <c r="CH219" s="6"/>
      <c r="CI219" s="6"/>
      <c r="CJ219" s="1"/>
      <c r="CK219" s="6"/>
    </row>
    <row r="220" spans="55:89" x14ac:dyDescent="0.25">
      <c r="BC220"/>
      <c r="BD220"/>
      <c r="BF220" s="6" t="e">
        <f t="shared" si="258"/>
        <v>#N/A</v>
      </c>
      <c r="BG220" s="6" t="e">
        <f t="shared" si="259"/>
        <v>#N/A</v>
      </c>
      <c r="BH220" s="6" t="e">
        <f t="shared" si="260"/>
        <v>#N/A</v>
      </c>
      <c r="BI220" s="6" t="e">
        <f t="shared" si="261"/>
        <v>#N/A</v>
      </c>
      <c r="BV220" s="36"/>
      <c r="BW220" s="6" t="e">
        <f t="shared" si="262"/>
        <v>#N/A</v>
      </c>
      <c r="BX220" s="9">
        <f t="shared" ca="1" si="263"/>
        <v>-65.220682514826848</v>
      </c>
      <c r="BY220" s="9">
        <f t="shared" ca="1" si="264"/>
        <v>21.430285361287321</v>
      </c>
      <c r="BZ220" s="9">
        <f t="shared" ca="1" si="265"/>
        <v>0</v>
      </c>
      <c r="CA220" s="6">
        <f t="shared" ca="1" si="266"/>
        <v>0</v>
      </c>
      <c r="CB220" s="6" t="e">
        <f t="shared" ca="1" si="267"/>
        <v>#DIV/0!</v>
      </c>
      <c r="CC220" s="6" t="e">
        <f t="shared" ca="1" si="268"/>
        <v>#DIV/0!</v>
      </c>
      <c r="CD220" s="9">
        <f t="shared" si="269"/>
        <v>-30</v>
      </c>
      <c r="CE220" s="9">
        <f t="shared" si="270"/>
        <v>0</v>
      </c>
      <c r="CF220" s="6">
        <f t="shared" si="271"/>
        <v>3.1415926535897931</v>
      </c>
      <c r="CG220" s="6" t="e">
        <f t="shared" ca="1" si="272"/>
        <v>#DIV/0!</v>
      </c>
      <c r="CH220" s="6"/>
      <c r="CI220" s="6"/>
      <c r="CJ220" s="1"/>
      <c r="CK220" s="6"/>
    </row>
    <row r="221" spans="55:89" x14ac:dyDescent="0.25">
      <c r="BC221"/>
      <c r="BD221"/>
      <c r="BF221" s="6" t="e">
        <f t="shared" si="258"/>
        <v>#N/A</v>
      </c>
      <c r="BG221" s="6" t="e">
        <f t="shared" si="259"/>
        <v>#N/A</v>
      </c>
      <c r="BH221" s="6" t="e">
        <f t="shared" si="260"/>
        <v>#N/A</v>
      </c>
      <c r="BI221" s="6" t="e">
        <f t="shared" si="261"/>
        <v>#N/A</v>
      </c>
      <c r="BV221" s="36"/>
      <c r="BW221" s="6" t="e">
        <f t="shared" si="262"/>
        <v>#N/A</v>
      </c>
      <c r="BX221" s="9">
        <f t="shared" ca="1" si="263"/>
        <v>-65.220682514826848</v>
      </c>
      <c r="BY221" s="9">
        <f t="shared" ca="1" si="264"/>
        <v>21.430285361287321</v>
      </c>
      <c r="BZ221" s="9">
        <f t="shared" ca="1" si="265"/>
        <v>0</v>
      </c>
      <c r="CA221" s="6">
        <f t="shared" ca="1" si="266"/>
        <v>0</v>
      </c>
      <c r="CB221" s="6" t="e">
        <f t="shared" ca="1" si="267"/>
        <v>#DIV/0!</v>
      </c>
      <c r="CC221" s="6" t="e">
        <f t="shared" ca="1" si="268"/>
        <v>#DIV/0!</v>
      </c>
      <c r="CD221" s="9">
        <f t="shared" si="269"/>
        <v>-30</v>
      </c>
      <c r="CE221" s="9">
        <f t="shared" si="270"/>
        <v>0</v>
      </c>
      <c r="CF221" s="6">
        <f t="shared" si="271"/>
        <v>3.1415926535897931</v>
      </c>
      <c r="CG221" s="6" t="e">
        <f t="shared" ca="1" si="272"/>
        <v>#DIV/0!</v>
      </c>
      <c r="CH221" s="6"/>
      <c r="CI221" s="6"/>
      <c r="CJ221" s="1"/>
      <c r="CK221" s="6"/>
    </row>
    <row r="222" spans="55:89" x14ac:dyDescent="0.25">
      <c r="BC222"/>
      <c r="BD222"/>
      <c r="BF222" s="6" t="e">
        <f t="shared" si="258"/>
        <v>#N/A</v>
      </c>
      <c r="BG222" s="6" t="e">
        <f t="shared" si="259"/>
        <v>#N/A</v>
      </c>
      <c r="BH222" s="6" t="e">
        <f t="shared" si="260"/>
        <v>#N/A</v>
      </c>
      <c r="BI222" s="6" t="e">
        <f t="shared" si="261"/>
        <v>#N/A</v>
      </c>
      <c r="BV222" s="36"/>
      <c r="BW222" s="6" t="e">
        <f t="shared" si="262"/>
        <v>#N/A</v>
      </c>
      <c r="BX222" s="9">
        <f t="shared" ca="1" si="263"/>
        <v>-65.220682514826848</v>
      </c>
      <c r="BY222" s="9">
        <f t="shared" ca="1" si="264"/>
        <v>21.430285361287321</v>
      </c>
      <c r="BZ222" s="9">
        <f t="shared" ca="1" si="265"/>
        <v>0</v>
      </c>
      <c r="CA222" s="6">
        <f t="shared" ca="1" si="266"/>
        <v>0</v>
      </c>
      <c r="CB222" s="6" t="e">
        <f t="shared" ca="1" si="267"/>
        <v>#DIV/0!</v>
      </c>
      <c r="CC222" s="6" t="e">
        <f t="shared" ca="1" si="268"/>
        <v>#DIV/0!</v>
      </c>
      <c r="CD222" s="9">
        <f t="shared" si="269"/>
        <v>-30</v>
      </c>
      <c r="CE222" s="9">
        <f t="shared" si="270"/>
        <v>0</v>
      </c>
      <c r="CF222" s="6">
        <f t="shared" si="271"/>
        <v>3.1415926535897931</v>
      </c>
      <c r="CG222" s="6" t="e">
        <f t="shared" ca="1" si="272"/>
        <v>#DIV/0!</v>
      </c>
      <c r="CH222" s="6"/>
      <c r="CI222" s="6"/>
      <c r="CJ222" s="1"/>
      <c r="CK222" s="6"/>
    </row>
    <row r="223" spans="55:89" x14ac:dyDescent="0.25">
      <c r="BC223"/>
      <c r="BD223"/>
      <c r="BF223" s="6" t="e">
        <f t="shared" si="258"/>
        <v>#N/A</v>
      </c>
      <c r="BG223" s="6" t="e">
        <f t="shared" si="259"/>
        <v>#N/A</v>
      </c>
      <c r="BH223" s="6" t="e">
        <f t="shared" si="260"/>
        <v>#N/A</v>
      </c>
      <c r="BI223" s="6" t="e">
        <f t="shared" si="261"/>
        <v>#N/A</v>
      </c>
      <c r="BV223" s="36"/>
      <c r="BW223" s="6" t="e">
        <f t="shared" si="262"/>
        <v>#N/A</v>
      </c>
      <c r="BX223" s="9">
        <f t="shared" ca="1" si="263"/>
        <v>-65.220682514826848</v>
      </c>
      <c r="BY223" s="9">
        <f t="shared" ca="1" si="264"/>
        <v>21.430285361287321</v>
      </c>
      <c r="BZ223" s="9">
        <f t="shared" ca="1" si="265"/>
        <v>0</v>
      </c>
      <c r="CA223" s="6">
        <f t="shared" ca="1" si="266"/>
        <v>0</v>
      </c>
      <c r="CB223" s="6" t="e">
        <f t="shared" ca="1" si="267"/>
        <v>#DIV/0!</v>
      </c>
      <c r="CC223" s="6" t="e">
        <f t="shared" ca="1" si="268"/>
        <v>#DIV/0!</v>
      </c>
      <c r="CD223" s="9">
        <f t="shared" si="269"/>
        <v>-30</v>
      </c>
      <c r="CE223" s="9">
        <f t="shared" si="270"/>
        <v>0</v>
      </c>
      <c r="CF223" s="6">
        <f t="shared" si="271"/>
        <v>3.1415926535897931</v>
      </c>
      <c r="CG223" s="6" t="e">
        <f t="shared" ca="1" si="272"/>
        <v>#DIV/0!</v>
      </c>
      <c r="CH223" s="6"/>
      <c r="CI223" s="6"/>
      <c r="CJ223" s="1"/>
      <c r="CK223" s="6"/>
    </row>
    <row r="224" spans="55:89" x14ac:dyDescent="0.25">
      <c r="BC224"/>
      <c r="BD224"/>
      <c r="BF224" s="6" t="e">
        <f t="shared" si="258"/>
        <v>#N/A</v>
      </c>
      <c r="BG224" s="6" t="e">
        <f t="shared" si="259"/>
        <v>#N/A</v>
      </c>
      <c r="BH224" s="6" t="e">
        <f t="shared" si="260"/>
        <v>#N/A</v>
      </c>
      <c r="BI224" s="6" t="e">
        <f t="shared" si="261"/>
        <v>#N/A</v>
      </c>
      <c r="BV224" s="36"/>
      <c r="BW224" s="6" t="e">
        <f t="shared" si="262"/>
        <v>#N/A</v>
      </c>
      <c r="BX224" s="9">
        <f t="shared" ca="1" si="263"/>
        <v>-65.220682514826848</v>
      </c>
      <c r="BY224" s="9">
        <f t="shared" ca="1" si="264"/>
        <v>21.430285361287321</v>
      </c>
      <c r="BZ224" s="9">
        <f t="shared" ca="1" si="265"/>
        <v>0</v>
      </c>
      <c r="CA224" s="6">
        <f t="shared" ca="1" si="266"/>
        <v>0</v>
      </c>
      <c r="CB224" s="6" t="e">
        <f t="shared" ca="1" si="267"/>
        <v>#DIV/0!</v>
      </c>
      <c r="CC224" s="6" t="e">
        <f t="shared" ca="1" si="268"/>
        <v>#DIV/0!</v>
      </c>
      <c r="CD224" s="9">
        <f t="shared" si="269"/>
        <v>-30</v>
      </c>
      <c r="CE224" s="9">
        <f t="shared" si="270"/>
        <v>0</v>
      </c>
      <c r="CF224" s="6">
        <f t="shared" si="271"/>
        <v>3.1415926535897931</v>
      </c>
      <c r="CG224" s="6" t="e">
        <f t="shared" ca="1" si="272"/>
        <v>#DIV/0!</v>
      </c>
      <c r="CH224" s="6"/>
      <c r="CI224" s="6"/>
      <c r="CJ224" s="1"/>
      <c r="CK224" s="6"/>
    </row>
    <row r="225" spans="55:89" x14ac:dyDescent="0.25">
      <c r="BC225"/>
      <c r="BD225"/>
      <c r="BF225" s="6" t="e">
        <f t="shared" si="258"/>
        <v>#N/A</v>
      </c>
      <c r="BG225" s="6" t="e">
        <f t="shared" si="259"/>
        <v>#N/A</v>
      </c>
      <c r="BH225" s="6" t="e">
        <f t="shared" si="260"/>
        <v>#N/A</v>
      </c>
      <c r="BI225" s="6" t="e">
        <f t="shared" si="261"/>
        <v>#N/A</v>
      </c>
      <c r="BV225" s="36"/>
      <c r="BW225" s="6" t="e">
        <f t="shared" si="262"/>
        <v>#N/A</v>
      </c>
      <c r="BX225" s="9">
        <f t="shared" ca="1" si="263"/>
        <v>-65.220682514826848</v>
      </c>
      <c r="BY225" s="9">
        <f t="shared" ca="1" si="264"/>
        <v>21.430285361287321</v>
      </c>
      <c r="BZ225" s="9">
        <f t="shared" ca="1" si="265"/>
        <v>0</v>
      </c>
      <c r="CA225" s="6">
        <f t="shared" ca="1" si="266"/>
        <v>0</v>
      </c>
      <c r="CB225" s="6" t="e">
        <f t="shared" ca="1" si="267"/>
        <v>#DIV/0!</v>
      </c>
      <c r="CC225" s="6" t="e">
        <f t="shared" ca="1" si="268"/>
        <v>#DIV/0!</v>
      </c>
      <c r="CD225" s="9">
        <f t="shared" si="269"/>
        <v>-30</v>
      </c>
      <c r="CE225" s="9">
        <f t="shared" si="270"/>
        <v>0</v>
      </c>
      <c r="CF225" s="6">
        <f t="shared" si="271"/>
        <v>3.1415926535897931</v>
      </c>
      <c r="CG225" s="6" t="e">
        <f t="shared" ca="1" si="272"/>
        <v>#DIV/0!</v>
      </c>
      <c r="CH225" s="6"/>
      <c r="CI225" s="6"/>
      <c r="CJ225" s="1"/>
      <c r="CK225" s="6"/>
    </row>
    <row r="226" spans="55:89" x14ac:dyDescent="0.25">
      <c r="BC226"/>
      <c r="BD226"/>
      <c r="BF226" s="6" t="e">
        <f t="shared" si="258"/>
        <v>#N/A</v>
      </c>
      <c r="BG226" s="6" t="e">
        <f t="shared" si="259"/>
        <v>#N/A</v>
      </c>
      <c r="BH226" s="6" t="e">
        <f t="shared" si="260"/>
        <v>#N/A</v>
      </c>
      <c r="BI226" s="6" t="e">
        <f t="shared" si="261"/>
        <v>#N/A</v>
      </c>
      <c r="BV226" s="36"/>
      <c r="BW226" s="6" t="e">
        <f t="shared" si="262"/>
        <v>#N/A</v>
      </c>
      <c r="BX226" s="9">
        <f t="shared" ca="1" si="263"/>
        <v>-65.220682514826848</v>
      </c>
      <c r="BY226" s="9">
        <f t="shared" ca="1" si="264"/>
        <v>21.430285361287321</v>
      </c>
      <c r="BZ226" s="9">
        <f t="shared" ca="1" si="265"/>
        <v>0</v>
      </c>
      <c r="CA226" s="6">
        <f t="shared" ca="1" si="266"/>
        <v>0</v>
      </c>
      <c r="CB226" s="6" t="e">
        <f t="shared" ca="1" si="267"/>
        <v>#DIV/0!</v>
      </c>
      <c r="CC226" s="6" t="e">
        <f t="shared" ca="1" si="268"/>
        <v>#DIV/0!</v>
      </c>
      <c r="CD226" s="9">
        <f t="shared" si="269"/>
        <v>-30</v>
      </c>
      <c r="CE226" s="9">
        <f t="shared" si="270"/>
        <v>0</v>
      </c>
      <c r="CF226" s="6">
        <f t="shared" si="271"/>
        <v>3.1415926535897931</v>
      </c>
      <c r="CG226" s="6" t="e">
        <f t="shared" ca="1" si="272"/>
        <v>#DIV/0!</v>
      </c>
      <c r="CH226" s="6"/>
      <c r="CI226" s="6"/>
      <c r="CJ226" s="1"/>
      <c r="CK226" s="6"/>
    </row>
    <row r="227" spans="55:89" x14ac:dyDescent="0.25">
      <c r="BC227"/>
      <c r="BD227"/>
      <c r="BF227" s="6" t="e">
        <f t="shared" si="258"/>
        <v>#N/A</v>
      </c>
      <c r="BG227" s="6" t="e">
        <f t="shared" si="259"/>
        <v>#N/A</v>
      </c>
      <c r="BH227" s="6" t="e">
        <f t="shared" si="260"/>
        <v>#N/A</v>
      </c>
      <c r="BI227" s="6" t="e">
        <f t="shared" si="261"/>
        <v>#N/A</v>
      </c>
      <c r="BV227" s="36"/>
      <c r="BW227" s="6" t="e">
        <f t="shared" si="262"/>
        <v>#N/A</v>
      </c>
      <c r="BX227" s="9">
        <f t="shared" ca="1" si="263"/>
        <v>-65.220682514826848</v>
      </c>
      <c r="BY227" s="9">
        <f t="shared" ca="1" si="264"/>
        <v>21.430285361287321</v>
      </c>
      <c r="BZ227" s="9">
        <f t="shared" ca="1" si="265"/>
        <v>0</v>
      </c>
      <c r="CA227" s="6">
        <f t="shared" ca="1" si="266"/>
        <v>0</v>
      </c>
      <c r="CB227" s="6" t="e">
        <f t="shared" ca="1" si="267"/>
        <v>#DIV/0!</v>
      </c>
      <c r="CC227" s="6" t="e">
        <f t="shared" ca="1" si="268"/>
        <v>#DIV/0!</v>
      </c>
      <c r="CD227" s="9">
        <f t="shared" si="269"/>
        <v>-30</v>
      </c>
      <c r="CE227" s="9">
        <f t="shared" si="270"/>
        <v>0</v>
      </c>
      <c r="CF227" s="6">
        <f t="shared" si="271"/>
        <v>3.1415926535897931</v>
      </c>
      <c r="CG227" s="6" t="e">
        <f t="shared" ca="1" si="272"/>
        <v>#DIV/0!</v>
      </c>
      <c r="CH227" s="6"/>
      <c r="CI227" s="6"/>
      <c r="CJ227" s="1"/>
      <c r="CK227" s="6"/>
    </row>
    <row r="228" spans="55:89" x14ac:dyDescent="0.25">
      <c r="BC228"/>
      <c r="BD228"/>
      <c r="BF228" s="6" t="e">
        <f t="shared" si="258"/>
        <v>#N/A</v>
      </c>
      <c r="BG228" s="6" t="e">
        <f t="shared" si="259"/>
        <v>#N/A</v>
      </c>
      <c r="BH228" s="6" t="e">
        <f t="shared" si="260"/>
        <v>#N/A</v>
      </c>
      <c r="BI228" s="6" t="e">
        <f t="shared" si="261"/>
        <v>#N/A</v>
      </c>
      <c r="BV228" s="36"/>
      <c r="BW228" s="6" t="e">
        <f t="shared" si="262"/>
        <v>#N/A</v>
      </c>
      <c r="BX228" s="9">
        <f t="shared" ca="1" si="263"/>
        <v>-65.220682514826848</v>
      </c>
      <c r="BY228" s="9">
        <f t="shared" ca="1" si="264"/>
        <v>21.430285361287321</v>
      </c>
      <c r="BZ228" s="9">
        <f t="shared" ca="1" si="265"/>
        <v>0</v>
      </c>
      <c r="CA228" s="6">
        <f t="shared" ca="1" si="266"/>
        <v>0</v>
      </c>
      <c r="CB228" s="6" t="e">
        <f t="shared" ca="1" si="267"/>
        <v>#DIV/0!</v>
      </c>
      <c r="CC228" s="6" t="e">
        <f t="shared" ca="1" si="268"/>
        <v>#DIV/0!</v>
      </c>
      <c r="CD228" s="9">
        <f t="shared" si="269"/>
        <v>-30</v>
      </c>
      <c r="CE228" s="9">
        <f t="shared" si="270"/>
        <v>0</v>
      </c>
      <c r="CF228" s="6">
        <f t="shared" si="271"/>
        <v>3.1415926535897931</v>
      </c>
      <c r="CG228" s="6" t="e">
        <f t="shared" ca="1" si="272"/>
        <v>#DIV/0!</v>
      </c>
      <c r="CH228" s="6"/>
      <c r="CI228" s="6"/>
      <c r="CJ228" s="1"/>
      <c r="CK228" s="6"/>
    </row>
    <row r="229" spans="55:89" x14ac:dyDescent="0.25">
      <c r="BC229"/>
      <c r="BD229"/>
      <c r="BF229" s="6" t="e">
        <f t="shared" si="258"/>
        <v>#N/A</v>
      </c>
      <c r="BG229" s="6" t="e">
        <f t="shared" si="259"/>
        <v>#N/A</v>
      </c>
      <c r="BH229" s="6" t="e">
        <f t="shared" si="260"/>
        <v>#N/A</v>
      </c>
      <c r="BI229" s="6" t="e">
        <f t="shared" si="261"/>
        <v>#N/A</v>
      </c>
      <c r="BV229" s="36"/>
      <c r="BW229" s="6" t="e">
        <f t="shared" si="262"/>
        <v>#N/A</v>
      </c>
      <c r="BX229" s="9">
        <f t="shared" ca="1" si="263"/>
        <v>-65.220682514826848</v>
      </c>
      <c r="BY229" s="9">
        <f t="shared" ca="1" si="264"/>
        <v>21.430285361287321</v>
      </c>
      <c r="BZ229" s="9">
        <f t="shared" ca="1" si="265"/>
        <v>0</v>
      </c>
      <c r="CA229" s="6">
        <f t="shared" ca="1" si="266"/>
        <v>0</v>
      </c>
      <c r="CB229" s="6" t="e">
        <f t="shared" ca="1" si="267"/>
        <v>#DIV/0!</v>
      </c>
      <c r="CC229" s="6" t="e">
        <f t="shared" ca="1" si="268"/>
        <v>#DIV/0!</v>
      </c>
      <c r="CD229" s="9">
        <f t="shared" si="269"/>
        <v>-30</v>
      </c>
      <c r="CE229" s="9">
        <f t="shared" si="270"/>
        <v>0</v>
      </c>
      <c r="CF229" s="6">
        <f t="shared" si="271"/>
        <v>3.1415926535897931</v>
      </c>
      <c r="CG229" s="6" t="e">
        <f t="shared" ca="1" si="272"/>
        <v>#DIV/0!</v>
      </c>
      <c r="CH229" s="6"/>
      <c r="CI229" s="6"/>
      <c r="CJ229" s="1"/>
      <c r="CK229" s="6"/>
    </row>
    <row r="230" spans="55:89" x14ac:dyDescent="0.25">
      <c r="BC230"/>
      <c r="BD230"/>
      <c r="BF230" s="6" t="e">
        <f t="shared" si="258"/>
        <v>#N/A</v>
      </c>
      <c r="BG230" s="6" t="e">
        <f t="shared" si="259"/>
        <v>#N/A</v>
      </c>
      <c r="BH230" s="6" t="e">
        <f t="shared" si="260"/>
        <v>#N/A</v>
      </c>
      <c r="BI230" s="6" t="e">
        <f t="shared" si="261"/>
        <v>#N/A</v>
      </c>
      <c r="BV230" s="36"/>
      <c r="BW230" s="6" t="e">
        <f t="shared" si="262"/>
        <v>#N/A</v>
      </c>
      <c r="BX230" s="9">
        <f t="shared" ca="1" si="263"/>
        <v>-65.220682514826848</v>
      </c>
      <c r="BY230" s="9">
        <f t="shared" ca="1" si="264"/>
        <v>21.430285361287321</v>
      </c>
      <c r="BZ230" s="9">
        <f t="shared" ca="1" si="265"/>
        <v>0</v>
      </c>
      <c r="CA230" s="6">
        <f t="shared" ca="1" si="266"/>
        <v>0</v>
      </c>
      <c r="CB230" s="6" t="e">
        <f t="shared" ca="1" si="267"/>
        <v>#DIV/0!</v>
      </c>
      <c r="CC230" s="6" t="e">
        <f t="shared" ca="1" si="268"/>
        <v>#DIV/0!</v>
      </c>
      <c r="CD230" s="9">
        <f t="shared" si="269"/>
        <v>-30</v>
      </c>
      <c r="CE230" s="9">
        <f t="shared" si="270"/>
        <v>0</v>
      </c>
      <c r="CF230" s="6">
        <f t="shared" si="271"/>
        <v>3.1415926535897931</v>
      </c>
      <c r="CG230" s="6" t="e">
        <f t="shared" ca="1" si="272"/>
        <v>#DIV/0!</v>
      </c>
      <c r="CH230" s="6"/>
      <c r="CI230" s="6"/>
      <c r="CJ230" s="1"/>
      <c r="CK230" s="6"/>
    </row>
    <row r="231" spans="55:89" x14ac:dyDescent="0.25">
      <c r="BC231"/>
      <c r="BD231"/>
      <c r="BF231" s="6" t="e">
        <f t="shared" si="258"/>
        <v>#N/A</v>
      </c>
      <c r="BG231" s="6" t="e">
        <f t="shared" si="259"/>
        <v>#N/A</v>
      </c>
      <c r="BH231" s="6" t="e">
        <f t="shared" si="260"/>
        <v>#N/A</v>
      </c>
      <c r="BI231" s="6" t="e">
        <f t="shared" si="261"/>
        <v>#N/A</v>
      </c>
      <c r="BV231" s="36"/>
      <c r="BW231" s="6" t="e">
        <f t="shared" si="262"/>
        <v>#N/A</v>
      </c>
      <c r="BX231" s="9">
        <f t="shared" ca="1" si="263"/>
        <v>-65.220682514826848</v>
      </c>
      <c r="BY231" s="9">
        <f t="shared" ca="1" si="264"/>
        <v>21.430285361287321</v>
      </c>
      <c r="BZ231" s="9">
        <f t="shared" ca="1" si="265"/>
        <v>0</v>
      </c>
      <c r="CA231" s="6">
        <f t="shared" ca="1" si="266"/>
        <v>0</v>
      </c>
      <c r="CB231" s="6" t="e">
        <f t="shared" ca="1" si="267"/>
        <v>#DIV/0!</v>
      </c>
      <c r="CC231" s="6" t="e">
        <f t="shared" ca="1" si="268"/>
        <v>#DIV/0!</v>
      </c>
      <c r="CD231" s="9">
        <f t="shared" si="269"/>
        <v>-30</v>
      </c>
      <c r="CE231" s="9">
        <f t="shared" si="270"/>
        <v>0</v>
      </c>
      <c r="CF231" s="6">
        <f t="shared" si="271"/>
        <v>3.1415926535897931</v>
      </c>
      <c r="CG231" s="6" t="e">
        <f t="shared" ca="1" si="272"/>
        <v>#DIV/0!</v>
      </c>
      <c r="CH231" s="6"/>
      <c r="CI231" s="6"/>
      <c r="CJ231" s="1"/>
      <c r="CK231" s="6"/>
    </row>
    <row r="232" spans="55:89" x14ac:dyDescent="0.25">
      <c r="BC232"/>
      <c r="BD232"/>
      <c r="BF232" s="6" t="e">
        <f t="shared" si="258"/>
        <v>#N/A</v>
      </c>
      <c r="BG232" s="6" t="e">
        <f t="shared" si="259"/>
        <v>#N/A</v>
      </c>
      <c r="BH232" s="6" t="e">
        <f t="shared" si="260"/>
        <v>#N/A</v>
      </c>
      <c r="BI232" s="6" t="e">
        <f t="shared" si="261"/>
        <v>#N/A</v>
      </c>
      <c r="BV232" s="36"/>
      <c r="BW232" s="6" t="e">
        <f t="shared" si="262"/>
        <v>#N/A</v>
      </c>
      <c r="BX232" s="9">
        <f t="shared" ca="1" si="263"/>
        <v>-65.220682514826848</v>
      </c>
      <c r="BY232" s="9">
        <f t="shared" ca="1" si="264"/>
        <v>21.430285361287321</v>
      </c>
      <c r="BZ232" s="9">
        <f t="shared" ca="1" si="265"/>
        <v>0</v>
      </c>
      <c r="CA232" s="6">
        <f t="shared" ca="1" si="266"/>
        <v>0</v>
      </c>
      <c r="CB232" s="6" t="e">
        <f t="shared" ca="1" si="267"/>
        <v>#DIV/0!</v>
      </c>
      <c r="CC232" s="6" t="e">
        <f t="shared" ca="1" si="268"/>
        <v>#DIV/0!</v>
      </c>
      <c r="CD232" s="9">
        <f t="shared" si="269"/>
        <v>-30</v>
      </c>
      <c r="CE232" s="9">
        <f t="shared" si="270"/>
        <v>0</v>
      </c>
      <c r="CF232" s="6">
        <f t="shared" si="271"/>
        <v>3.1415926535897931</v>
      </c>
      <c r="CG232" s="6" t="e">
        <f t="shared" ca="1" si="272"/>
        <v>#DIV/0!</v>
      </c>
      <c r="CH232" s="6"/>
      <c r="CI232" s="6"/>
      <c r="CJ232" s="1"/>
      <c r="CK232" s="6"/>
    </row>
    <row r="233" spans="55:89" x14ac:dyDescent="0.25">
      <c r="BC233"/>
      <c r="BD233"/>
      <c r="BF233" s="6" t="e">
        <f t="shared" si="258"/>
        <v>#N/A</v>
      </c>
      <c r="BG233" s="6" t="e">
        <f t="shared" si="259"/>
        <v>#N/A</v>
      </c>
      <c r="BH233" s="6" t="e">
        <f t="shared" si="260"/>
        <v>#N/A</v>
      </c>
      <c r="BI233" s="6" t="e">
        <f t="shared" si="261"/>
        <v>#N/A</v>
      </c>
      <c r="BV233" s="36"/>
      <c r="BW233" s="6" t="e">
        <f t="shared" si="262"/>
        <v>#N/A</v>
      </c>
      <c r="BX233" s="9">
        <f t="shared" ca="1" si="263"/>
        <v>-65.220682514826848</v>
      </c>
      <c r="BY233" s="9">
        <f t="shared" ca="1" si="264"/>
        <v>21.430285361287321</v>
      </c>
      <c r="BZ233" s="9">
        <f t="shared" ca="1" si="265"/>
        <v>0</v>
      </c>
      <c r="CA233" s="6">
        <f t="shared" ca="1" si="266"/>
        <v>0</v>
      </c>
      <c r="CB233" s="6" t="e">
        <f t="shared" ca="1" si="267"/>
        <v>#DIV/0!</v>
      </c>
      <c r="CC233" s="6" t="e">
        <f t="shared" ca="1" si="268"/>
        <v>#DIV/0!</v>
      </c>
      <c r="CD233" s="9">
        <f t="shared" si="269"/>
        <v>-30</v>
      </c>
      <c r="CE233" s="9">
        <f t="shared" si="270"/>
        <v>0</v>
      </c>
      <c r="CF233" s="6">
        <f t="shared" si="271"/>
        <v>3.1415926535897931</v>
      </c>
      <c r="CG233" s="6" t="e">
        <f t="shared" ca="1" si="272"/>
        <v>#DIV/0!</v>
      </c>
      <c r="CH233" s="6"/>
      <c r="CI233" s="6"/>
      <c r="CJ233" s="1"/>
      <c r="CK233" s="6"/>
    </row>
    <row r="234" spans="55:89" x14ac:dyDescent="0.25">
      <c r="BC234"/>
      <c r="BD234"/>
      <c r="BF234" s="6" t="e">
        <f t="shared" si="258"/>
        <v>#N/A</v>
      </c>
      <c r="BG234" s="6" t="e">
        <f t="shared" si="259"/>
        <v>#N/A</v>
      </c>
      <c r="BH234" s="6" t="e">
        <f t="shared" si="260"/>
        <v>#N/A</v>
      </c>
      <c r="BI234" s="6" t="e">
        <f t="shared" si="261"/>
        <v>#N/A</v>
      </c>
      <c r="BV234" s="36"/>
      <c r="BW234" s="6" t="e">
        <f t="shared" si="262"/>
        <v>#N/A</v>
      </c>
      <c r="BX234" s="9">
        <f t="shared" ca="1" si="263"/>
        <v>-65.220682514826848</v>
      </c>
      <c r="BY234" s="9">
        <f t="shared" ca="1" si="264"/>
        <v>21.430285361287321</v>
      </c>
      <c r="BZ234" s="9">
        <f t="shared" ca="1" si="265"/>
        <v>0</v>
      </c>
      <c r="CA234" s="6">
        <f t="shared" ca="1" si="266"/>
        <v>0</v>
      </c>
      <c r="CB234" s="6" t="e">
        <f t="shared" ca="1" si="267"/>
        <v>#DIV/0!</v>
      </c>
      <c r="CC234" s="6" t="e">
        <f t="shared" ca="1" si="268"/>
        <v>#DIV/0!</v>
      </c>
      <c r="CD234" s="9">
        <f t="shared" si="269"/>
        <v>-30</v>
      </c>
      <c r="CE234" s="9">
        <f t="shared" si="270"/>
        <v>0</v>
      </c>
      <c r="CF234" s="6">
        <f t="shared" si="271"/>
        <v>3.1415926535897931</v>
      </c>
      <c r="CG234" s="6" t="e">
        <f t="shared" ca="1" si="272"/>
        <v>#DIV/0!</v>
      </c>
      <c r="CH234" s="6"/>
      <c r="CI234" s="6"/>
      <c r="CJ234" s="1"/>
      <c r="CK234" s="6"/>
    </row>
    <row r="235" spans="55:89" x14ac:dyDescent="0.25">
      <c r="BC235"/>
      <c r="BD235"/>
      <c r="BF235" s="6" t="e">
        <f t="shared" si="258"/>
        <v>#N/A</v>
      </c>
      <c r="BG235" s="6" t="e">
        <f t="shared" si="259"/>
        <v>#N/A</v>
      </c>
      <c r="BH235" s="6" t="e">
        <f t="shared" si="260"/>
        <v>#N/A</v>
      </c>
      <c r="BI235" s="6" t="e">
        <f t="shared" si="261"/>
        <v>#N/A</v>
      </c>
      <c r="BV235" s="36"/>
      <c r="BW235" s="6" t="e">
        <f t="shared" si="262"/>
        <v>#N/A</v>
      </c>
      <c r="BX235" s="9">
        <f t="shared" ca="1" si="263"/>
        <v>-65.220682514826848</v>
      </c>
      <c r="BY235" s="9">
        <f t="shared" ca="1" si="264"/>
        <v>21.430285361287321</v>
      </c>
      <c r="BZ235" s="9">
        <f t="shared" ca="1" si="265"/>
        <v>0</v>
      </c>
      <c r="CA235" s="6">
        <f t="shared" ca="1" si="266"/>
        <v>0</v>
      </c>
      <c r="CB235" s="6" t="e">
        <f t="shared" ca="1" si="267"/>
        <v>#DIV/0!</v>
      </c>
      <c r="CC235" s="6" t="e">
        <f t="shared" ca="1" si="268"/>
        <v>#DIV/0!</v>
      </c>
      <c r="CD235" s="9">
        <f t="shared" si="269"/>
        <v>-30</v>
      </c>
      <c r="CE235" s="9">
        <f t="shared" si="270"/>
        <v>0</v>
      </c>
      <c r="CF235" s="6">
        <f t="shared" si="271"/>
        <v>3.1415926535897931</v>
      </c>
      <c r="CG235" s="6" t="e">
        <f t="shared" ca="1" si="272"/>
        <v>#DIV/0!</v>
      </c>
      <c r="CH235" s="6"/>
      <c r="CI235" s="6"/>
      <c r="CJ235" s="1"/>
      <c r="CK235" s="6"/>
    </row>
    <row r="236" spans="55:89" x14ac:dyDescent="0.25">
      <c r="BC236"/>
      <c r="BD236"/>
      <c r="BF236" s="6" t="e">
        <f t="shared" si="258"/>
        <v>#N/A</v>
      </c>
      <c r="BG236" s="6" t="e">
        <f t="shared" si="259"/>
        <v>#N/A</v>
      </c>
      <c r="BH236" s="6" t="e">
        <f t="shared" si="260"/>
        <v>#N/A</v>
      </c>
      <c r="BI236" s="6" t="e">
        <f t="shared" si="261"/>
        <v>#N/A</v>
      </c>
      <c r="BV236" s="36"/>
      <c r="BW236" s="6" t="e">
        <f t="shared" si="262"/>
        <v>#N/A</v>
      </c>
      <c r="BX236" s="9">
        <f t="shared" ca="1" si="263"/>
        <v>-65.220682514826848</v>
      </c>
      <c r="BY236" s="9">
        <f t="shared" ca="1" si="264"/>
        <v>21.430285361287321</v>
      </c>
      <c r="BZ236" s="9">
        <f t="shared" ca="1" si="265"/>
        <v>0</v>
      </c>
      <c r="CA236" s="6">
        <f t="shared" ca="1" si="266"/>
        <v>0</v>
      </c>
      <c r="CB236" s="6" t="e">
        <f t="shared" ca="1" si="267"/>
        <v>#DIV/0!</v>
      </c>
      <c r="CC236" s="6" t="e">
        <f t="shared" ca="1" si="268"/>
        <v>#DIV/0!</v>
      </c>
      <c r="CD236" s="9">
        <f t="shared" si="269"/>
        <v>-30</v>
      </c>
      <c r="CE236" s="9">
        <f t="shared" si="270"/>
        <v>0</v>
      </c>
      <c r="CF236" s="6">
        <f t="shared" si="271"/>
        <v>3.1415926535897931</v>
      </c>
      <c r="CG236" s="6" t="e">
        <f t="shared" ca="1" si="272"/>
        <v>#DIV/0!</v>
      </c>
      <c r="CH236" s="6"/>
      <c r="CI236" s="6"/>
      <c r="CJ236" s="1"/>
      <c r="CK236" s="6"/>
    </row>
    <row r="237" spans="55:89" x14ac:dyDescent="0.25">
      <c r="BC237"/>
      <c r="BD237"/>
      <c r="BF237" s="6" t="e">
        <f t="shared" si="258"/>
        <v>#N/A</v>
      </c>
      <c r="BG237" s="6" t="e">
        <f t="shared" si="259"/>
        <v>#N/A</v>
      </c>
      <c r="BH237" s="6" t="e">
        <f t="shared" si="260"/>
        <v>#N/A</v>
      </c>
      <c r="BI237" s="6" t="e">
        <f t="shared" si="261"/>
        <v>#N/A</v>
      </c>
      <c r="BV237" s="36"/>
      <c r="BW237" s="6" t="e">
        <f t="shared" si="262"/>
        <v>#N/A</v>
      </c>
      <c r="BX237" s="9">
        <f t="shared" ca="1" si="263"/>
        <v>-65.220682514826848</v>
      </c>
      <c r="BY237" s="9">
        <f t="shared" ca="1" si="264"/>
        <v>21.430285361287321</v>
      </c>
      <c r="BZ237" s="9">
        <f t="shared" ca="1" si="265"/>
        <v>0</v>
      </c>
      <c r="CA237" s="6">
        <f t="shared" ca="1" si="266"/>
        <v>0</v>
      </c>
      <c r="CB237" s="6" t="e">
        <f t="shared" ca="1" si="267"/>
        <v>#DIV/0!</v>
      </c>
      <c r="CC237" s="6" t="e">
        <f t="shared" ca="1" si="268"/>
        <v>#DIV/0!</v>
      </c>
      <c r="CD237" s="9">
        <f t="shared" si="269"/>
        <v>-30</v>
      </c>
      <c r="CE237" s="9">
        <f t="shared" si="270"/>
        <v>0</v>
      </c>
      <c r="CF237" s="6">
        <f t="shared" si="271"/>
        <v>3.1415926535897931</v>
      </c>
      <c r="CG237" s="6" t="e">
        <f t="shared" ca="1" si="272"/>
        <v>#DIV/0!</v>
      </c>
      <c r="CH237" s="6"/>
      <c r="CI237" s="6"/>
      <c r="CJ237" s="1"/>
      <c r="CK237" s="6"/>
    </row>
    <row r="238" spans="55:89" x14ac:dyDescent="0.25">
      <c r="BC238"/>
      <c r="BD238"/>
      <c r="BF238" s="6" t="e">
        <f t="shared" si="258"/>
        <v>#N/A</v>
      </c>
      <c r="BG238" s="6" t="e">
        <f t="shared" si="259"/>
        <v>#N/A</v>
      </c>
      <c r="BH238" s="6" t="e">
        <f t="shared" si="260"/>
        <v>#N/A</v>
      </c>
      <c r="BI238" s="6" t="e">
        <f t="shared" si="261"/>
        <v>#N/A</v>
      </c>
      <c r="BV238" s="36"/>
      <c r="BW238" s="6" t="e">
        <f t="shared" si="262"/>
        <v>#N/A</v>
      </c>
      <c r="BX238" s="9">
        <f t="shared" ca="1" si="263"/>
        <v>-65.220682514826848</v>
      </c>
      <c r="BY238" s="9">
        <f t="shared" ca="1" si="264"/>
        <v>21.430285361287321</v>
      </c>
      <c r="BZ238" s="9">
        <f t="shared" ca="1" si="265"/>
        <v>0</v>
      </c>
      <c r="CA238" s="6">
        <f t="shared" ca="1" si="266"/>
        <v>0</v>
      </c>
      <c r="CB238" s="6" t="e">
        <f t="shared" ca="1" si="267"/>
        <v>#DIV/0!</v>
      </c>
      <c r="CC238" s="6" t="e">
        <f t="shared" ca="1" si="268"/>
        <v>#DIV/0!</v>
      </c>
      <c r="CD238" s="9">
        <f t="shared" si="269"/>
        <v>-30</v>
      </c>
      <c r="CE238" s="9">
        <f t="shared" si="270"/>
        <v>0</v>
      </c>
      <c r="CF238" s="6">
        <f t="shared" si="271"/>
        <v>3.1415926535897931</v>
      </c>
      <c r="CG238" s="6" t="e">
        <f t="shared" ca="1" si="272"/>
        <v>#DIV/0!</v>
      </c>
      <c r="CH238" s="6"/>
      <c r="CI238" s="6"/>
      <c r="CJ238" s="1"/>
      <c r="CK238" s="6"/>
    </row>
    <row r="239" spans="55:89" x14ac:dyDescent="0.25">
      <c r="BC239"/>
      <c r="BD239"/>
      <c r="BF239" s="6" t="e">
        <f t="shared" si="258"/>
        <v>#N/A</v>
      </c>
      <c r="BG239" s="6" t="e">
        <f t="shared" si="259"/>
        <v>#N/A</v>
      </c>
      <c r="BH239" s="6" t="e">
        <f t="shared" si="260"/>
        <v>#N/A</v>
      </c>
      <c r="BI239" s="6" t="e">
        <f t="shared" si="261"/>
        <v>#N/A</v>
      </c>
      <c r="BV239" s="36"/>
      <c r="BW239" s="6" t="e">
        <f t="shared" si="262"/>
        <v>#N/A</v>
      </c>
      <c r="BX239" s="9">
        <f t="shared" ca="1" si="263"/>
        <v>-65.220682514826848</v>
      </c>
      <c r="BY239" s="9">
        <f t="shared" ca="1" si="264"/>
        <v>21.430285361287321</v>
      </c>
      <c r="BZ239" s="9">
        <f t="shared" ca="1" si="265"/>
        <v>0</v>
      </c>
      <c r="CA239" s="6">
        <f t="shared" ca="1" si="266"/>
        <v>0</v>
      </c>
      <c r="CB239" s="6" t="e">
        <f t="shared" ca="1" si="267"/>
        <v>#DIV/0!</v>
      </c>
      <c r="CC239" s="6" t="e">
        <f t="shared" ca="1" si="268"/>
        <v>#DIV/0!</v>
      </c>
      <c r="CD239" s="9">
        <f t="shared" si="269"/>
        <v>-30</v>
      </c>
      <c r="CE239" s="9">
        <f t="shared" si="270"/>
        <v>0</v>
      </c>
      <c r="CF239" s="6">
        <f t="shared" si="271"/>
        <v>3.1415926535897931</v>
      </c>
      <c r="CG239" s="6" t="e">
        <f t="shared" ca="1" si="272"/>
        <v>#DIV/0!</v>
      </c>
      <c r="CH239" s="6"/>
      <c r="CI239" s="6"/>
      <c r="CJ239" s="1"/>
      <c r="CK239" s="6"/>
    </row>
    <row r="240" spans="55:89" x14ac:dyDescent="0.25">
      <c r="BC240"/>
      <c r="BD240"/>
      <c r="BF240" s="6" t="e">
        <f t="shared" si="258"/>
        <v>#N/A</v>
      </c>
      <c r="BG240" s="6" t="e">
        <f t="shared" si="259"/>
        <v>#N/A</v>
      </c>
      <c r="BH240" s="6" t="e">
        <f t="shared" si="260"/>
        <v>#N/A</v>
      </c>
      <c r="BI240" s="6" t="e">
        <f t="shared" si="261"/>
        <v>#N/A</v>
      </c>
      <c r="BV240" s="36"/>
      <c r="BW240" s="6" t="e">
        <f t="shared" si="262"/>
        <v>#N/A</v>
      </c>
      <c r="BX240" s="9">
        <f t="shared" ca="1" si="263"/>
        <v>-65.220682514826848</v>
      </c>
      <c r="BY240" s="9">
        <f t="shared" ca="1" si="264"/>
        <v>21.430285361287321</v>
      </c>
      <c r="BZ240" s="9">
        <f t="shared" ca="1" si="265"/>
        <v>0</v>
      </c>
      <c r="CA240" s="6">
        <f t="shared" ca="1" si="266"/>
        <v>0</v>
      </c>
      <c r="CB240" s="6" t="e">
        <f t="shared" ca="1" si="267"/>
        <v>#DIV/0!</v>
      </c>
      <c r="CC240" s="6" t="e">
        <f t="shared" ca="1" si="268"/>
        <v>#DIV/0!</v>
      </c>
      <c r="CD240" s="9">
        <f t="shared" si="269"/>
        <v>-30</v>
      </c>
      <c r="CE240" s="9">
        <f t="shared" si="270"/>
        <v>0</v>
      </c>
      <c r="CF240" s="6">
        <f t="shared" si="271"/>
        <v>3.1415926535897931</v>
      </c>
      <c r="CG240" s="6" t="e">
        <f t="shared" ca="1" si="272"/>
        <v>#DIV/0!</v>
      </c>
      <c r="CH240" s="6"/>
      <c r="CI240" s="6"/>
      <c r="CJ240" s="1"/>
      <c r="CK240" s="6"/>
    </row>
    <row r="241" spans="55:89" x14ac:dyDescent="0.25">
      <c r="BC241"/>
      <c r="BD241"/>
      <c r="BF241" s="6" t="e">
        <f t="shared" si="258"/>
        <v>#N/A</v>
      </c>
      <c r="BG241" s="6" t="e">
        <f t="shared" si="259"/>
        <v>#N/A</v>
      </c>
      <c r="BH241" s="6" t="e">
        <f t="shared" si="260"/>
        <v>#N/A</v>
      </c>
      <c r="BI241" s="6" t="e">
        <f t="shared" si="261"/>
        <v>#N/A</v>
      </c>
      <c r="BV241" s="36"/>
      <c r="BW241" s="6" t="e">
        <f t="shared" si="262"/>
        <v>#N/A</v>
      </c>
      <c r="BX241" s="9">
        <f t="shared" ca="1" si="263"/>
        <v>-65.220682514826848</v>
      </c>
      <c r="BY241" s="9">
        <f t="shared" ca="1" si="264"/>
        <v>21.430285361287321</v>
      </c>
      <c r="BZ241" s="9">
        <f t="shared" ca="1" si="265"/>
        <v>0</v>
      </c>
      <c r="CA241" s="6">
        <f t="shared" ca="1" si="266"/>
        <v>0</v>
      </c>
      <c r="CB241" s="6" t="e">
        <f t="shared" ca="1" si="267"/>
        <v>#DIV/0!</v>
      </c>
      <c r="CC241" s="6" t="e">
        <f t="shared" ca="1" si="268"/>
        <v>#DIV/0!</v>
      </c>
      <c r="CD241" s="9">
        <f t="shared" si="269"/>
        <v>-30</v>
      </c>
      <c r="CE241" s="9">
        <f t="shared" si="270"/>
        <v>0</v>
      </c>
      <c r="CF241" s="6">
        <f t="shared" si="271"/>
        <v>3.1415926535897931</v>
      </c>
      <c r="CG241" s="6" t="e">
        <f t="shared" ca="1" si="272"/>
        <v>#DIV/0!</v>
      </c>
      <c r="CH241" s="6"/>
      <c r="CI241" s="6"/>
      <c r="CJ241" s="1"/>
      <c r="CK241" s="6"/>
    </row>
    <row r="242" spans="55:89" x14ac:dyDescent="0.25">
      <c r="BC242"/>
      <c r="BD242"/>
      <c r="BF242" s="6" t="e">
        <f t="shared" si="258"/>
        <v>#N/A</v>
      </c>
      <c r="BG242" s="6" t="e">
        <f t="shared" si="259"/>
        <v>#N/A</v>
      </c>
      <c r="BH242" s="6" t="e">
        <f t="shared" si="260"/>
        <v>#N/A</v>
      </c>
      <c r="BI242" s="6" t="e">
        <f t="shared" si="261"/>
        <v>#N/A</v>
      </c>
      <c r="BV242" s="36"/>
      <c r="BW242" s="6" t="e">
        <f t="shared" si="262"/>
        <v>#N/A</v>
      </c>
      <c r="BX242" s="9">
        <f t="shared" ca="1" si="263"/>
        <v>-65.220682514826848</v>
      </c>
      <c r="BY242" s="9">
        <f t="shared" ca="1" si="264"/>
        <v>21.430285361287321</v>
      </c>
      <c r="BZ242" s="9">
        <f t="shared" ca="1" si="265"/>
        <v>0</v>
      </c>
      <c r="CA242" s="6">
        <f t="shared" ca="1" si="266"/>
        <v>0</v>
      </c>
      <c r="CB242" s="6" t="e">
        <f t="shared" ca="1" si="267"/>
        <v>#DIV/0!</v>
      </c>
      <c r="CC242" s="6" t="e">
        <f t="shared" ca="1" si="268"/>
        <v>#DIV/0!</v>
      </c>
      <c r="CD242" s="9">
        <f t="shared" si="269"/>
        <v>-30</v>
      </c>
      <c r="CE242" s="9">
        <f t="shared" si="270"/>
        <v>0</v>
      </c>
      <c r="CF242" s="6">
        <f t="shared" si="271"/>
        <v>3.1415926535897931</v>
      </c>
      <c r="CG242" s="6" t="e">
        <f t="shared" ca="1" si="272"/>
        <v>#DIV/0!</v>
      </c>
      <c r="CH242" s="6"/>
      <c r="CI242" s="6"/>
      <c r="CJ242" s="1"/>
      <c r="CK242" s="6"/>
    </row>
    <row r="243" spans="55:89" x14ac:dyDescent="0.25">
      <c r="BC243"/>
      <c r="BD243"/>
      <c r="BF243" s="6" t="e">
        <f t="shared" si="258"/>
        <v>#N/A</v>
      </c>
      <c r="BG243" s="6" t="e">
        <f t="shared" si="259"/>
        <v>#N/A</v>
      </c>
      <c r="BH243" s="6" t="e">
        <f t="shared" si="260"/>
        <v>#N/A</v>
      </c>
      <c r="BI243" s="6" t="e">
        <f t="shared" si="261"/>
        <v>#N/A</v>
      </c>
      <c r="BV243" s="36"/>
      <c r="BW243" s="6" t="e">
        <f t="shared" si="262"/>
        <v>#N/A</v>
      </c>
      <c r="BX243" s="9">
        <f t="shared" ca="1" si="263"/>
        <v>-65.220682514826848</v>
      </c>
      <c r="BY243" s="9">
        <f t="shared" ca="1" si="264"/>
        <v>21.430285361287321</v>
      </c>
      <c r="BZ243" s="9">
        <f t="shared" ca="1" si="265"/>
        <v>0</v>
      </c>
      <c r="CA243" s="6">
        <f t="shared" ca="1" si="266"/>
        <v>0</v>
      </c>
      <c r="CB243" s="6" t="e">
        <f t="shared" ca="1" si="267"/>
        <v>#DIV/0!</v>
      </c>
      <c r="CC243" s="6" t="e">
        <f t="shared" ca="1" si="268"/>
        <v>#DIV/0!</v>
      </c>
      <c r="CD243" s="9">
        <f t="shared" si="269"/>
        <v>-30</v>
      </c>
      <c r="CE243" s="9">
        <f t="shared" si="270"/>
        <v>0</v>
      </c>
      <c r="CF243" s="6">
        <f t="shared" si="271"/>
        <v>3.1415926535897931</v>
      </c>
      <c r="CG243" s="6" t="e">
        <f t="shared" ca="1" si="272"/>
        <v>#DIV/0!</v>
      </c>
      <c r="CH243" s="6"/>
      <c r="CI243" s="6"/>
      <c r="CJ243" s="1"/>
      <c r="CK243" s="6"/>
    </row>
    <row r="244" spans="55:89" x14ac:dyDescent="0.25">
      <c r="BC244"/>
      <c r="BD244"/>
      <c r="BF244" s="6" t="e">
        <f t="shared" si="258"/>
        <v>#N/A</v>
      </c>
      <c r="BG244" s="6" t="e">
        <f t="shared" si="259"/>
        <v>#N/A</v>
      </c>
      <c r="BH244" s="6" t="e">
        <f t="shared" si="260"/>
        <v>#N/A</v>
      </c>
      <c r="BI244" s="6" t="e">
        <f t="shared" si="261"/>
        <v>#N/A</v>
      </c>
      <c r="BV244" s="36"/>
      <c r="BW244" s="6" t="e">
        <f t="shared" si="262"/>
        <v>#N/A</v>
      </c>
      <c r="BX244" s="9">
        <f t="shared" ca="1" si="263"/>
        <v>-65.220682514826848</v>
      </c>
      <c r="BY244" s="9">
        <f t="shared" ca="1" si="264"/>
        <v>21.430285361287321</v>
      </c>
      <c r="BZ244" s="9">
        <f t="shared" ca="1" si="265"/>
        <v>0</v>
      </c>
      <c r="CA244" s="6">
        <f t="shared" ca="1" si="266"/>
        <v>0</v>
      </c>
      <c r="CB244" s="6" t="e">
        <f t="shared" ca="1" si="267"/>
        <v>#DIV/0!</v>
      </c>
      <c r="CC244" s="6" t="e">
        <f t="shared" ca="1" si="268"/>
        <v>#DIV/0!</v>
      </c>
      <c r="CD244" s="9">
        <f t="shared" si="269"/>
        <v>-30</v>
      </c>
      <c r="CE244" s="9">
        <f t="shared" si="270"/>
        <v>0</v>
      </c>
      <c r="CF244" s="6">
        <f t="shared" si="271"/>
        <v>3.1415926535897931</v>
      </c>
      <c r="CG244" s="6" t="e">
        <f t="shared" ca="1" si="272"/>
        <v>#DIV/0!</v>
      </c>
      <c r="CH244" s="6"/>
      <c r="CI244" s="6"/>
      <c r="CJ244" s="1"/>
      <c r="CK244" s="6"/>
    </row>
    <row r="245" spans="55:89" x14ac:dyDescent="0.25">
      <c r="BC245"/>
      <c r="BD245"/>
      <c r="BF245" s="6" t="e">
        <f t="shared" si="258"/>
        <v>#N/A</v>
      </c>
      <c r="BG245" s="6" t="e">
        <f t="shared" si="259"/>
        <v>#N/A</v>
      </c>
      <c r="BH245" s="6" t="e">
        <f t="shared" si="260"/>
        <v>#N/A</v>
      </c>
      <c r="BI245" s="6" t="e">
        <f t="shared" si="261"/>
        <v>#N/A</v>
      </c>
      <c r="BV245" s="36"/>
      <c r="BW245" s="6" t="e">
        <f t="shared" si="262"/>
        <v>#N/A</v>
      </c>
      <c r="BX245" s="9">
        <f t="shared" ca="1" si="263"/>
        <v>-65.220682514826848</v>
      </c>
      <c r="BY245" s="9">
        <f t="shared" ca="1" si="264"/>
        <v>21.430285361287321</v>
      </c>
      <c r="BZ245" s="9">
        <f t="shared" ca="1" si="265"/>
        <v>0</v>
      </c>
      <c r="CA245" s="6">
        <f t="shared" ca="1" si="266"/>
        <v>0</v>
      </c>
      <c r="CB245" s="6" t="e">
        <f t="shared" ca="1" si="267"/>
        <v>#DIV/0!</v>
      </c>
      <c r="CC245" s="6" t="e">
        <f t="shared" ca="1" si="268"/>
        <v>#DIV/0!</v>
      </c>
      <c r="CD245" s="9">
        <f t="shared" si="269"/>
        <v>-30</v>
      </c>
      <c r="CE245" s="9">
        <f t="shared" si="270"/>
        <v>0</v>
      </c>
      <c r="CF245" s="6">
        <f t="shared" si="271"/>
        <v>3.1415926535897931</v>
      </c>
      <c r="CG245" s="6" t="e">
        <f t="shared" ca="1" si="272"/>
        <v>#DIV/0!</v>
      </c>
      <c r="CH245" s="6"/>
      <c r="CI245" s="6"/>
      <c r="CJ245" s="1"/>
      <c r="CK245" s="6"/>
    </row>
    <row r="246" spans="55:89" x14ac:dyDescent="0.25">
      <c r="BC246"/>
      <c r="BD246"/>
      <c r="BF246" s="6" t="e">
        <f t="shared" si="258"/>
        <v>#N/A</v>
      </c>
      <c r="BG246" s="6" t="e">
        <f t="shared" si="259"/>
        <v>#N/A</v>
      </c>
      <c r="BH246" s="6" t="e">
        <f t="shared" si="260"/>
        <v>#N/A</v>
      </c>
      <c r="BI246" s="6" t="e">
        <f t="shared" si="261"/>
        <v>#N/A</v>
      </c>
      <c r="BV246" s="36"/>
      <c r="BW246" s="6" t="e">
        <f t="shared" si="262"/>
        <v>#N/A</v>
      </c>
      <c r="BX246" s="9">
        <f t="shared" ca="1" si="263"/>
        <v>-65.220682514826848</v>
      </c>
      <c r="BY246" s="9">
        <f t="shared" ca="1" si="264"/>
        <v>21.430285361287321</v>
      </c>
      <c r="BZ246" s="9">
        <f t="shared" ca="1" si="265"/>
        <v>0</v>
      </c>
      <c r="CA246" s="6">
        <f t="shared" ca="1" si="266"/>
        <v>0</v>
      </c>
      <c r="CB246" s="6" t="e">
        <f t="shared" ca="1" si="267"/>
        <v>#DIV/0!</v>
      </c>
      <c r="CC246" s="6" t="e">
        <f t="shared" ca="1" si="268"/>
        <v>#DIV/0!</v>
      </c>
      <c r="CD246" s="9">
        <f t="shared" si="269"/>
        <v>-30</v>
      </c>
      <c r="CE246" s="9">
        <f t="shared" si="270"/>
        <v>0</v>
      </c>
      <c r="CF246" s="6">
        <f t="shared" si="271"/>
        <v>3.1415926535897931</v>
      </c>
      <c r="CG246" s="6" t="e">
        <f t="shared" ca="1" si="272"/>
        <v>#DIV/0!</v>
      </c>
      <c r="CH246" s="6"/>
      <c r="CI246" s="6"/>
      <c r="CJ246" s="1"/>
      <c r="CK246" s="6"/>
    </row>
    <row r="247" spans="55:89" x14ac:dyDescent="0.25">
      <c r="BC247"/>
      <c r="BD247"/>
      <c r="BF247" s="6" t="e">
        <f t="shared" si="258"/>
        <v>#N/A</v>
      </c>
      <c r="BG247" s="6" t="e">
        <f t="shared" si="259"/>
        <v>#N/A</v>
      </c>
      <c r="BH247" s="6" t="e">
        <f t="shared" si="260"/>
        <v>#N/A</v>
      </c>
      <c r="BI247" s="6" t="e">
        <f t="shared" si="261"/>
        <v>#N/A</v>
      </c>
      <c r="BV247" s="36"/>
      <c r="BW247" s="6" t="e">
        <f t="shared" si="262"/>
        <v>#N/A</v>
      </c>
      <c r="BX247" s="9">
        <f t="shared" ca="1" si="263"/>
        <v>-65.220682514826848</v>
      </c>
      <c r="BY247" s="9">
        <f t="shared" ca="1" si="264"/>
        <v>21.430285361287321</v>
      </c>
      <c r="BZ247" s="9">
        <f t="shared" ca="1" si="265"/>
        <v>0</v>
      </c>
      <c r="CA247" s="6">
        <f t="shared" ca="1" si="266"/>
        <v>0</v>
      </c>
      <c r="CB247" s="6" t="e">
        <f t="shared" ca="1" si="267"/>
        <v>#DIV/0!</v>
      </c>
      <c r="CC247" s="6" t="e">
        <f t="shared" ca="1" si="268"/>
        <v>#DIV/0!</v>
      </c>
      <c r="CD247" s="9">
        <f t="shared" si="269"/>
        <v>-30</v>
      </c>
      <c r="CE247" s="9">
        <f t="shared" si="270"/>
        <v>0</v>
      </c>
      <c r="CF247" s="6">
        <f t="shared" si="271"/>
        <v>3.1415926535897931</v>
      </c>
      <c r="CG247" s="6" t="e">
        <f t="shared" ca="1" si="272"/>
        <v>#DIV/0!</v>
      </c>
      <c r="CH247" s="6"/>
      <c r="CI247" s="6"/>
      <c r="CJ247" s="1"/>
      <c r="CK247" s="6"/>
    </row>
    <row r="248" spans="55:89" x14ac:dyDescent="0.25">
      <c r="BC248"/>
      <c r="BD248"/>
      <c r="BF248" s="6" t="e">
        <f t="shared" si="258"/>
        <v>#N/A</v>
      </c>
      <c r="BG248" s="6" t="e">
        <f t="shared" si="259"/>
        <v>#N/A</v>
      </c>
      <c r="BH248" s="6" t="e">
        <f t="shared" si="260"/>
        <v>#N/A</v>
      </c>
      <c r="BI248" s="6" t="e">
        <f t="shared" si="261"/>
        <v>#N/A</v>
      </c>
      <c r="BV248" s="36"/>
      <c r="BW248" s="6" t="e">
        <f t="shared" si="262"/>
        <v>#N/A</v>
      </c>
      <c r="BX248" s="9">
        <f t="shared" ca="1" si="263"/>
        <v>-65.220682514826848</v>
      </c>
      <c r="BY248" s="9">
        <f t="shared" ca="1" si="264"/>
        <v>21.430285361287321</v>
      </c>
      <c r="BZ248" s="9">
        <f t="shared" ca="1" si="265"/>
        <v>0</v>
      </c>
      <c r="CA248" s="6">
        <f t="shared" ca="1" si="266"/>
        <v>0</v>
      </c>
      <c r="CB248" s="6" t="e">
        <f t="shared" ca="1" si="267"/>
        <v>#DIV/0!</v>
      </c>
      <c r="CC248" s="6" t="e">
        <f t="shared" ca="1" si="268"/>
        <v>#DIV/0!</v>
      </c>
      <c r="CD248" s="9">
        <f t="shared" si="269"/>
        <v>-30</v>
      </c>
      <c r="CE248" s="9">
        <f t="shared" si="270"/>
        <v>0</v>
      </c>
      <c r="CF248" s="6">
        <f t="shared" si="271"/>
        <v>3.1415926535897931</v>
      </c>
      <c r="CG248" s="6" t="e">
        <f t="shared" ca="1" si="272"/>
        <v>#DIV/0!</v>
      </c>
      <c r="CH248" s="6"/>
      <c r="CI248" s="6"/>
      <c r="CJ248" s="1"/>
      <c r="CK248" s="6"/>
    </row>
    <row r="249" spans="55:89" x14ac:dyDescent="0.25">
      <c r="BC249"/>
      <c r="BD249"/>
      <c r="BF249" s="6" t="e">
        <f t="shared" si="258"/>
        <v>#N/A</v>
      </c>
      <c r="BG249" s="6" t="e">
        <f t="shared" si="259"/>
        <v>#N/A</v>
      </c>
      <c r="BH249" s="6" t="e">
        <f t="shared" si="260"/>
        <v>#N/A</v>
      </c>
      <c r="BI249" s="6" t="e">
        <f t="shared" si="261"/>
        <v>#N/A</v>
      </c>
      <c r="BV249" s="36"/>
      <c r="BW249" s="6" t="e">
        <f t="shared" si="262"/>
        <v>#N/A</v>
      </c>
      <c r="BX249" s="9">
        <f t="shared" ca="1" si="263"/>
        <v>-65.220682514826848</v>
      </c>
      <c r="BY249" s="9">
        <f t="shared" ca="1" si="264"/>
        <v>21.430285361287321</v>
      </c>
      <c r="BZ249" s="9">
        <f t="shared" ca="1" si="265"/>
        <v>0</v>
      </c>
      <c r="CA249" s="6">
        <f t="shared" ca="1" si="266"/>
        <v>0</v>
      </c>
      <c r="CB249" s="6" t="e">
        <f t="shared" ca="1" si="267"/>
        <v>#DIV/0!</v>
      </c>
      <c r="CC249" s="6" t="e">
        <f t="shared" ca="1" si="268"/>
        <v>#DIV/0!</v>
      </c>
      <c r="CD249" s="9">
        <f t="shared" si="269"/>
        <v>-30</v>
      </c>
      <c r="CE249" s="9">
        <f t="shared" si="270"/>
        <v>0</v>
      </c>
      <c r="CF249" s="6">
        <f t="shared" si="271"/>
        <v>3.1415926535897931</v>
      </c>
      <c r="CG249" s="6" t="e">
        <f t="shared" ca="1" si="272"/>
        <v>#DIV/0!</v>
      </c>
      <c r="CH249" s="6"/>
      <c r="CI249" s="6"/>
      <c r="CJ249" s="1"/>
      <c r="CK249" s="6"/>
    </row>
    <row r="250" spans="55:89" x14ac:dyDescent="0.25">
      <c r="BC250"/>
      <c r="BD250"/>
      <c r="BF250" s="6" t="e">
        <f t="shared" si="258"/>
        <v>#N/A</v>
      </c>
      <c r="BG250" s="6" t="e">
        <f t="shared" si="259"/>
        <v>#N/A</v>
      </c>
      <c r="BH250" s="6" t="e">
        <f t="shared" si="260"/>
        <v>#N/A</v>
      </c>
      <c r="BI250" s="6" t="e">
        <f t="shared" si="261"/>
        <v>#N/A</v>
      </c>
      <c r="BV250" s="36"/>
      <c r="BW250" s="6" t="e">
        <f t="shared" si="262"/>
        <v>#N/A</v>
      </c>
      <c r="BX250" s="9">
        <f t="shared" ca="1" si="263"/>
        <v>-65.220682514826848</v>
      </c>
      <c r="BY250" s="9">
        <f t="shared" ca="1" si="264"/>
        <v>21.430285361287321</v>
      </c>
      <c r="BZ250" s="9">
        <f t="shared" ca="1" si="265"/>
        <v>0</v>
      </c>
      <c r="CA250" s="6">
        <f t="shared" ca="1" si="266"/>
        <v>0</v>
      </c>
      <c r="CB250" s="6" t="e">
        <f t="shared" ca="1" si="267"/>
        <v>#DIV/0!</v>
      </c>
      <c r="CC250" s="6" t="e">
        <f t="shared" ca="1" si="268"/>
        <v>#DIV/0!</v>
      </c>
      <c r="CD250" s="9">
        <f t="shared" si="269"/>
        <v>-30</v>
      </c>
      <c r="CE250" s="9">
        <f t="shared" si="270"/>
        <v>0</v>
      </c>
      <c r="CF250" s="6">
        <f t="shared" si="271"/>
        <v>3.1415926535897931</v>
      </c>
      <c r="CG250" s="6" t="e">
        <f t="shared" ca="1" si="272"/>
        <v>#DIV/0!</v>
      </c>
      <c r="CH250" s="6"/>
      <c r="CI250" s="6"/>
      <c r="CJ250" s="1"/>
      <c r="CK250" s="6"/>
    </row>
    <row r="251" spans="55:89" x14ac:dyDescent="0.25">
      <c r="BC251"/>
      <c r="BD251"/>
      <c r="BF251" s="6" t="e">
        <f t="shared" si="258"/>
        <v>#N/A</v>
      </c>
      <c r="BG251" s="6" t="e">
        <f t="shared" si="259"/>
        <v>#N/A</v>
      </c>
      <c r="BH251" s="6" t="e">
        <f t="shared" si="260"/>
        <v>#N/A</v>
      </c>
      <c r="BI251" s="6" t="e">
        <f t="shared" si="261"/>
        <v>#N/A</v>
      </c>
      <c r="BV251" s="36"/>
      <c r="BW251" s="6" t="e">
        <f t="shared" si="262"/>
        <v>#N/A</v>
      </c>
      <c r="BX251" s="9">
        <f t="shared" ca="1" si="263"/>
        <v>-65.220682514826848</v>
      </c>
      <c r="BY251" s="9">
        <f t="shared" ca="1" si="264"/>
        <v>21.430285361287321</v>
      </c>
      <c r="BZ251" s="9">
        <f t="shared" ca="1" si="265"/>
        <v>0</v>
      </c>
      <c r="CA251" s="6">
        <f t="shared" ca="1" si="266"/>
        <v>0</v>
      </c>
      <c r="CB251" s="6" t="e">
        <f t="shared" ca="1" si="267"/>
        <v>#DIV/0!</v>
      </c>
      <c r="CC251" s="6" t="e">
        <f t="shared" ca="1" si="268"/>
        <v>#DIV/0!</v>
      </c>
      <c r="CD251" s="9">
        <f t="shared" si="269"/>
        <v>-30</v>
      </c>
      <c r="CE251" s="9">
        <f t="shared" si="270"/>
        <v>0</v>
      </c>
      <c r="CF251" s="6">
        <f t="shared" si="271"/>
        <v>3.1415926535897931</v>
      </c>
      <c r="CG251" s="6" t="e">
        <f t="shared" ca="1" si="272"/>
        <v>#DIV/0!</v>
      </c>
      <c r="CH251" s="6"/>
      <c r="CI251" s="6"/>
      <c r="CJ251" s="1"/>
      <c r="CK251" s="6"/>
    </row>
    <row r="252" spans="55:89" x14ac:dyDescent="0.25">
      <c r="BC252"/>
      <c r="BD252"/>
      <c r="BF252" s="6" t="e">
        <f t="shared" si="258"/>
        <v>#N/A</v>
      </c>
      <c r="BG252" s="6" t="e">
        <f t="shared" si="259"/>
        <v>#N/A</v>
      </c>
      <c r="BH252" s="6" t="e">
        <f t="shared" si="260"/>
        <v>#N/A</v>
      </c>
      <c r="BI252" s="6" t="e">
        <f t="shared" si="261"/>
        <v>#N/A</v>
      </c>
      <c r="BV252" s="36"/>
      <c r="BW252" s="6" t="e">
        <f t="shared" si="262"/>
        <v>#N/A</v>
      </c>
      <c r="BX252" s="9">
        <f t="shared" ca="1" si="263"/>
        <v>-65.220682514826848</v>
      </c>
      <c r="BY252" s="9">
        <f t="shared" ca="1" si="264"/>
        <v>21.430285361287321</v>
      </c>
      <c r="BZ252" s="9">
        <f t="shared" ca="1" si="265"/>
        <v>0</v>
      </c>
      <c r="CA252" s="6">
        <f t="shared" ca="1" si="266"/>
        <v>0</v>
      </c>
      <c r="CB252" s="6" t="e">
        <f t="shared" ca="1" si="267"/>
        <v>#DIV/0!</v>
      </c>
      <c r="CC252" s="6" t="e">
        <f t="shared" ca="1" si="268"/>
        <v>#DIV/0!</v>
      </c>
      <c r="CD252" s="9">
        <f t="shared" si="269"/>
        <v>-30</v>
      </c>
      <c r="CE252" s="9">
        <f t="shared" si="270"/>
        <v>0</v>
      </c>
      <c r="CF252" s="6">
        <f t="shared" si="271"/>
        <v>3.1415926535897931</v>
      </c>
      <c r="CG252" s="6" t="e">
        <f t="shared" ca="1" si="272"/>
        <v>#DIV/0!</v>
      </c>
      <c r="CH252" s="6"/>
      <c r="CI252" s="6"/>
      <c r="CJ252" s="1"/>
      <c r="CK252" s="6"/>
    </row>
    <row r="253" spans="55:89" x14ac:dyDescent="0.25">
      <c r="BC253"/>
      <c r="BD253"/>
      <c r="BF253" s="6" t="e">
        <f t="shared" si="258"/>
        <v>#N/A</v>
      </c>
      <c r="BG253" s="6" t="e">
        <f t="shared" si="259"/>
        <v>#N/A</v>
      </c>
      <c r="BH253" s="6" t="e">
        <f t="shared" si="260"/>
        <v>#N/A</v>
      </c>
      <c r="BI253" s="6" t="e">
        <f t="shared" si="261"/>
        <v>#N/A</v>
      </c>
      <c r="BV253" s="36"/>
      <c r="BW253" s="6" t="e">
        <f t="shared" si="262"/>
        <v>#N/A</v>
      </c>
      <c r="BX253" s="9">
        <f t="shared" ca="1" si="263"/>
        <v>-65.220682514826848</v>
      </c>
      <c r="BY253" s="9">
        <f t="shared" ca="1" si="264"/>
        <v>21.430285361287321</v>
      </c>
      <c r="BZ253" s="9">
        <f t="shared" ca="1" si="265"/>
        <v>0</v>
      </c>
      <c r="CA253" s="6">
        <f t="shared" ca="1" si="266"/>
        <v>0</v>
      </c>
      <c r="CB253" s="6" t="e">
        <f t="shared" ca="1" si="267"/>
        <v>#DIV/0!</v>
      </c>
      <c r="CC253" s="6" t="e">
        <f t="shared" ca="1" si="268"/>
        <v>#DIV/0!</v>
      </c>
      <c r="CD253" s="9">
        <f t="shared" si="269"/>
        <v>-30</v>
      </c>
      <c r="CE253" s="9">
        <f t="shared" si="270"/>
        <v>0</v>
      </c>
      <c r="CF253" s="6">
        <f t="shared" si="271"/>
        <v>3.1415926535897931</v>
      </c>
      <c r="CG253" s="6" t="e">
        <f t="shared" ca="1" si="272"/>
        <v>#DIV/0!</v>
      </c>
      <c r="CH253" s="6"/>
      <c r="CI253" s="6"/>
      <c r="CJ253" s="1"/>
      <c r="CK253" s="6"/>
    </row>
    <row r="254" spans="55:89" x14ac:dyDescent="0.25">
      <c r="BC254"/>
      <c r="BD254"/>
      <c r="BF254" s="6" t="e">
        <f t="shared" si="258"/>
        <v>#N/A</v>
      </c>
      <c r="BG254" s="6" t="e">
        <f t="shared" si="259"/>
        <v>#N/A</v>
      </c>
      <c r="BH254" s="6" t="e">
        <f t="shared" si="260"/>
        <v>#N/A</v>
      </c>
      <c r="BI254" s="6" t="e">
        <f t="shared" si="261"/>
        <v>#N/A</v>
      </c>
      <c r="BV254" s="36"/>
      <c r="BW254" s="6" t="e">
        <f t="shared" si="262"/>
        <v>#N/A</v>
      </c>
      <c r="BX254" s="9">
        <f t="shared" ca="1" si="263"/>
        <v>-65.220682514826848</v>
      </c>
      <c r="BY254" s="9">
        <f t="shared" ca="1" si="264"/>
        <v>21.430285361287321</v>
      </c>
      <c r="BZ254" s="9">
        <f t="shared" ca="1" si="265"/>
        <v>0</v>
      </c>
      <c r="CA254" s="6">
        <f t="shared" ca="1" si="266"/>
        <v>0</v>
      </c>
      <c r="CB254" s="6" t="e">
        <f t="shared" ca="1" si="267"/>
        <v>#DIV/0!</v>
      </c>
      <c r="CC254" s="6" t="e">
        <f t="shared" ca="1" si="268"/>
        <v>#DIV/0!</v>
      </c>
      <c r="CD254" s="9">
        <f t="shared" si="269"/>
        <v>-30</v>
      </c>
      <c r="CE254" s="9">
        <f t="shared" si="270"/>
        <v>0</v>
      </c>
      <c r="CF254" s="6">
        <f t="shared" si="271"/>
        <v>3.1415926535897931</v>
      </c>
      <c r="CG254" s="6" t="e">
        <f t="shared" ca="1" si="272"/>
        <v>#DIV/0!</v>
      </c>
      <c r="CH254" s="6"/>
      <c r="CI254" s="6"/>
      <c r="CJ254" s="1"/>
      <c r="CK254" s="6"/>
    </row>
    <row r="255" spans="55:89" x14ac:dyDescent="0.25">
      <c r="BC255"/>
      <c r="BD255"/>
      <c r="BF255" s="6" t="e">
        <f t="shared" si="258"/>
        <v>#N/A</v>
      </c>
      <c r="BG255" s="6" t="e">
        <f t="shared" si="259"/>
        <v>#N/A</v>
      </c>
      <c r="BH255" s="6" t="e">
        <f t="shared" si="260"/>
        <v>#N/A</v>
      </c>
      <c r="BI255" s="6" t="e">
        <f t="shared" si="261"/>
        <v>#N/A</v>
      </c>
      <c r="BV255" s="36"/>
      <c r="BW255" s="6" t="e">
        <f t="shared" si="262"/>
        <v>#N/A</v>
      </c>
      <c r="BX255" s="9">
        <f t="shared" ca="1" si="263"/>
        <v>-65.220682514826848</v>
      </c>
      <c r="BY255" s="9">
        <f t="shared" ca="1" si="264"/>
        <v>21.430285361287321</v>
      </c>
      <c r="BZ255" s="9">
        <f t="shared" ca="1" si="265"/>
        <v>0</v>
      </c>
      <c r="CA255" s="6">
        <f t="shared" ca="1" si="266"/>
        <v>0</v>
      </c>
      <c r="CB255" s="6" t="e">
        <f t="shared" ca="1" si="267"/>
        <v>#DIV/0!</v>
      </c>
      <c r="CC255" s="6" t="e">
        <f t="shared" ca="1" si="268"/>
        <v>#DIV/0!</v>
      </c>
      <c r="CD255" s="9">
        <f t="shared" si="269"/>
        <v>-30</v>
      </c>
      <c r="CE255" s="9">
        <f t="shared" si="270"/>
        <v>0</v>
      </c>
      <c r="CF255" s="6">
        <f t="shared" si="271"/>
        <v>3.1415926535897931</v>
      </c>
      <c r="CG255" s="6" t="e">
        <f t="shared" ca="1" si="272"/>
        <v>#DIV/0!</v>
      </c>
      <c r="CH255" s="6"/>
      <c r="CI255" s="6"/>
      <c r="CJ255" s="1"/>
      <c r="CK255" s="6"/>
    </row>
    <row r="256" spans="55:89" x14ac:dyDescent="0.25">
      <c r="BC256"/>
      <c r="BD256"/>
      <c r="BF256" s="6" t="e">
        <f t="shared" si="258"/>
        <v>#N/A</v>
      </c>
      <c r="BG256" s="6" t="e">
        <f t="shared" si="259"/>
        <v>#N/A</v>
      </c>
      <c r="BH256" s="6" t="e">
        <f t="shared" si="260"/>
        <v>#N/A</v>
      </c>
      <c r="BI256" s="6" t="e">
        <f t="shared" si="261"/>
        <v>#N/A</v>
      </c>
      <c r="BV256" s="36"/>
      <c r="BW256" s="6" t="e">
        <f t="shared" si="262"/>
        <v>#N/A</v>
      </c>
      <c r="BX256" s="9">
        <f t="shared" ca="1" si="263"/>
        <v>-65.220682514826848</v>
      </c>
      <c r="BY256" s="9">
        <f t="shared" ca="1" si="264"/>
        <v>21.430285361287321</v>
      </c>
      <c r="BZ256" s="9">
        <f t="shared" ca="1" si="265"/>
        <v>0</v>
      </c>
      <c r="CA256" s="6">
        <f t="shared" ca="1" si="266"/>
        <v>0</v>
      </c>
      <c r="CB256" s="6" t="e">
        <f t="shared" ca="1" si="267"/>
        <v>#DIV/0!</v>
      </c>
      <c r="CC256" s="6" t="e">
        <f t="shared" ca="1" si="268"/>
        <v>#DIV/0!</v>
      </c>
      <c r="CD256" s="9">
        <f t="shared" si="269"/>
        <v>-30</v>
      </c>
      <c r="CE256" s="9">
        <f t="shared" si="270"/>
        <v>0</v>
      </c>
      <c r="CF256" s="6">
        <f t="shared" si="271"/>
        <v>3.1415926535897931</v>
      </c>
      <c r="CG256" s="6" t="e">
        <f t="shared" ca="1" si="272"/>
        <v>#DIV/0!</v>
      </c>
      <c r="CH256" s="6"/>
      <c r="CI256" s="6"/>
      <c r="CJ256" s="1"/>
      <c r="CK256" s="6"/>
    </row>
    <row r="257" spans="55:89" x14ac:dyDescent="0.25">
      <c r="BC257"/>
      <c r="BD257"/>
      <c r="BF257" s="6" t="e">
        <f t="shared" si="258"/>
        <v>#N/A</v>
      </c>
      <c r="BG257" s="6" t="e">
        <f t="shared" si="259"/>
        <v>#N/A</v>
      </c>
      <c r="BH257" s="6" t="e">
        <f t="shared" si="260"/>
        <v>#N/A</v>
      </c>
      <c r="BI257" s="6" t="e">
        <f t="shared" si="261"/>
        <v>#N/A</v>
      </c>
      <c r="BV257" s="36"/>
      <c r="BW257" s="6" t="e">
        <f t="shared" si="262"/>
        <v>#N/A</v>
      </c>
      <c r="BX257" s="9">
        <f t="shared" ca="1" si="263"/>
        <v>-65.220682514826848</v>
      </c>
      <c r="BY257" s="9">
        <f t="shared" ca="1" si="264"/>
        <v>21.430285361287321</v>
      </c>
      <c r="BZ257" s="9">
        <f t="shared" ca="1" si="265"/>
        <v>0</v>
      </c>
      <c r="CA257" s="6">
        <f t="shared" ca="1" si="266"/>
        <v>0</v>
      </c>
      <c r="CB257" s="6" t="e">
        <f t="shared" ca="1" si="267"/>
        <v>#DIV/0!</v>
      </c>
      <c r="CC257" s="6" t="e">
        <f t="shared" ca="1" si="268"/>
        <v>#DIV/0!</v>
      </c>
      <c r="CD257" s="9">
        <f t="shared" si="269"/>
        <v>-30</v>
      </c>
      <c r="CE257" s="9">
        <f t="shared" si="270"/>
        <v>0</v>
      </c>
      <c r="CF257" s="6">
        <f t="shared" si="271"/>
        <v>3.1415926535897931</v>
      </c>
      <c r="CG257" s="6" t="e">
        <f t="shared" ca="1" si="272"/>
        <v>#DIV/0!</v>
      </c>
      <c r="CH257" s="6"/>
      <c r="CI257" s="6"/>
      <c r="CJ257" s="1"/>
      <c r="CK257" s="6"/>
    </row>
    <row r="258" spans="55:89" x14ac:dyDescent="0.25">
      <c r="BC258"/>
      <c r="BD258"/>
      <c r="BF258" s="6" t="e">
        <f t="shared" si="258"/>
        <v>#N/A</v>
      </c>
      <c r="BG258" s="6" t="e">
        <f t="shared" si="259"/>
        <v>#N/A</v>
      </c>
      <c r="BH258" s="6" t="e">
        <f t="shared" si="260"/>
        <v>#N/A</v>
      </c>
      <c r="BI258" s="6" t="e">
        <f t="shared" si="261"/>
        <v>#N/A</v>
      </c>
      <c r="BV258" s="36"/>
      <c r="BW258" s="6" t="e">
        <f t="shared" si="262"/>
        <v>#N/A</v>
      </c>
      <c r="BX258" s="9">
        <f t="shared" ca="1" si="263"/>
        <v>-65.220682514826848</v>
      </c>
      <c r="BY258" s="9">
        <f t="shared" ca="1" si="264"/>
        <v>21.430285361287321</v>
      </c>
      <c r="BZ258" s="9">
        <f t="shared" ca="1" si="265"/>
        <v>0</v>
      </c>
      <c r="CA258" s="6">
        <f t="shared" ca="1" si="266"/>
        <v>0</v>
      </c>
      <c r="CB258" s="6" t="e">
        <f t="shared" ca="1" si="267"/>
        <v>#DIV/0!</v>
      </c>
      <c r="CC258" s="6" t="e">
        <f t="shared" ca="1" si="268"/>
        <v>#DIV/0!</v>
      </c>
      <c r="CD258" s="9">
        <f t="shared" si="269"/>
        <v>-30</v>
      </c>
      <c r="CE258" s="9">
        <f t="shared" si="270"/>
        <v>0</v>
      </c>
      <c r="CF258" s="6">
        <f t="shared" si="271"/>
        <v>3.1415926535897931</v>
      </c>
      <c r="CG258" s="6" t="e">
        <f t="shared" ca="1" si="272"/>
        <v>#DIV/0!</v>
      </c>
      <c r="CH258" s="6"/>
      <c r="CI258" s="6"/>
      <c r="CJ258" s="1"/>
      <c r="CK258" s="6"/>
    </row>
    <row r="259" spans="55:89" x14ac:dyDescent="0.25">
      <c r="BC259"/>
      <c r="BD259"/>
      <c r="BF259" s="6" t="e">
        <f t="shared" ref="BF259:BF322" si="273">IF(BC259&lt;&gt;"",IF(AND(BD259=0,BE259=0),0,MOD(ATAN2(BD259,BE259),2*PI())),NA())</f>
        <v>#N/A</v>
      </c>
      <c r="BG259" s="6" t="e">
        <f t="shared" ref="BG259:BG322" si="274">ABS(BC259-BF259)</f>
        <v>#N/A</v>
      </c>
      <c r="BH259" s="6" t="e">
        <f t="shared" ref="BH259:BH322" si="275">ATAN2(COS($U$13-BF259),SIN($U$13-BF259))</f>
        <v>#N/A</v>
      </c>
      <c r="BI259" s="6" t="e">
        <f t="shared" ref="BI259:BI322" si="276">ABS(BH259)</f>
        <v>#N/A</v>
      </c>
      <c r="BV259" s="36"/>
      <c r="BW259" s="6" t="e">
        <f t="shared" si="262"/>
        <v>#N/A</v>
      </c>
      <c r="BX259" s="9">
        <f t="shared" ca="1" si="263"/>
        <v>-65.220682514826848</v>
      </c>
      <c r="BY259" s="9">
        <f t="shared" ca="1" si="264"/>
        <v>21.430285361287321</v>
      </c>
      <c r="BZ259" s="9">
        <f t="shared" ca="1" si="265"/>
        <v>0</v>
      </c>
      <c r="CA259" s="6">
        <f t="shared" ca="1" si="266"/>
        <v>0</v>
      </c>
      <c r="CB259" s="6" t="e">
        <f t="shared" ca="1" si="267"/>
        <v>#DIV/0!</v>
      </c>
      <c r="CC259" s="6" t="e">
        <f t="shared" ca="1" si="268"/>
        <v>#DIV/0!</v>
      </c>
      <c r="CD259" s="9">
        <f t="shared" si="269"/>
        <v>-30</v>
      </c>
      <c r="CE259" s="9">
        <f t="shared" si="270"/>
        <v>0</v>
      </c>
      <c r="CF259" s="6">
        <f t="shared" si="271"/>
        <v>3.1415926535897931</v>
      </c>
      <c r="CG259" s="6" t="e">
        <f t="shared" ca="1" si="272"/>
        <v>#DIV/0!</v>
      </c>
      <c r="CH259" s="6"/>
      <c r="CI259" s="6"/>
      <c r="CJ259" s="1"/>
      <c r="CK259" s="6"/>
    </row>
    <row r="260" spans="55:89" x14ac:dyDescent="0.25">
      <c r="BC260"/>
      <c r="BD260"/>
      <c r="BF260" s="6" t="e">
        <f t="shared" si="273"/>
        <v>#N/A</v>
      </c>
      <c r="BG260" s="6" t="e">
        <f t="shared" si="274"/>
        <v>#N/A</v>
      </c>
      <c r="BH260" s="6" t="e">
        <f t="shared" si="275"/>
        <v>#N/A</v>
      </c>
      <c r="BI260" s="6" t="e">
        <f t="shared" si="276"/>
        <v>#N/A</v>
      </c>
      <c r="BV260" s="36"/>
      <c r="BW260" s="6" t="e">
        <f t="shared" si="262"/>
        <v>#N/A</v>
      </c>
      <c r="BX260" s="9">
        <f t="shared" ca="1" si="263"/>
        <v>-65.220682514826848</v>
      </c>
      <c r="BY260" s="9">
        <f t="shared" ca="1" si="264"/>
        <v>21.430285361287321</v>
      </c>
      <c r="BZ260" s="9">
        <f t="shared" ca="1" si="265"/>
        <v>0</v>
      </c>
      <c r="CA260" s="6">
        <f t="shared" ca="1" si="266"/>
        <v>0</v>
      </c>
      <c r="CB260" s="6" t="e">
        <f t="shared" ca="1" si="267"/>
        <v>#DIV/0!</v>
      </c>
      <c r="CC260" s="6" t="e">
        <f t="shared" ca="1" si="268"/>
        <v>#DIV/0!</v>
      </c>
      <c r="CD260" s="9">
        <f t="shared" si="269"/>
        <v>-30</v>
      </c>
      <c r="CE260" s="9">
        <f t="shared" si="270"/>
        <v>0</v>
      </c>
      <c r="CF260" s="6">
        <f t="shared" si="271"/>
        <v>3.1415926535897931</v>
      </c>
      <c r="CG260" s="6" t="e">
        <f t="shared" ca="1" si="272"/>
        <v>#DIV/0!</v>
      </c>
      <c r="CH260" s="6"/>
      <c r="CI260" s="6"/>
      <c r="CJ260" s="1"/>
      <c r="CK260" s="6"/>
    </row>
    <row r="261" spans="55:89" x14ac:dyDescent="0.25">
      <c r="BC261"/>
      <c r="BD261"/>
      <c r="BF261" s="6" t="e">
        <f t="shared" si="273"/>
        <v>#N/A</v>
      </c>
      <c r="BG261" s="6" t="e">
        <f t="shared" si="274"/>
        <v>#N/A</v>
      </c>
      <c r="BH261" s="6" t="e">
        <f t="shared" si="275"/>
        <v>#N/A</v>
      </c>
      <c r="BI261" s="6" t="e">
        <f t="shared" si="276"/>
        <v>#N/A</v>
      </c>
      <c r="BV261" s="36"/>
      <c r="BW261" s="6" t="e">
        <f t="shared" si="262"/>
        <v>#N/A</v>
      </c>
      <c r="BX261" s="9">
        <f t="shared" ca="1" si="263"/>
        <v>-65.220682514826848</v>
      </c>
      <c r="BY261" s="9">
        <f t="shared" ca="1" si="264"/>
        <v>21.430285361287321</v>
      </c>
      <c r="BZ261" s="9">
        <f t="shared" ca="1" si="265"/>
        <v>0</v>
      </c>
      <c r="CA261" s="6">
        <f t="shared" ca="1" si="266"/>
        <v>0</v>
      </c>
      <c r="CB261" s="6" t="e">
        <f t="shared" ca="1" si="267"/>
        <v>#DIV/0!</v>
      </c>
      <c r="CC261" s="6" t="e">
        <f t="shared" ca="1" si="268"/>
        <v>#DIV/0!</v>
      </c>
      <c r="CD261" s="9">
        <f t="shared" si="269"/>
        <v>-30</v>
      </c>
      <c r="CE261" s="9">
        <f t="shared" si="270"/>
        <v>0</v>
      </c>
      <c r="CF261" s="6">
        <f t="shared" si="271"/>
        <v>3.1415926535897931</v>
      </c>
      <c r="CG261" s="6" t="e">
        <f t="shared" ca="1" si="272"/>
        <v>#DIV/0!</v>
      </c>
      <c r="CH261" s="6"/>
      <c r="CI261" s="6"/>
      <c r="CJ261" s="1"/>
      <c r="CK261" s="6"/>
    </row>
    <row r="262" spans="55:89" x14ac:dyDescent="0.25">
      <c r="BC262"/>
      <c r="BD262"/>
      <c r="BF262" s="6" t="e">
        <f t="shared" si="273"/>
        <v>#N/A</v>
      </c>
      <c r="BG262" s="6" t="e">
        <f t="shared" si="274"/>
        <v>#N/A</v>
      </c>
      <c r="BH262" s="6" t="e">
        <f t="shared" si="275"/>
        <v>#N/A</v>
      </c>
      <c r="BI262" s="6" t="e">
        <f t="shared" si="276"/>
        <v>#N/A</v>
      </c>
      <c r="BV262" s="36"/>
      <c r="BW262" s="6" t="e">
        <f t="shared" si="262"/>
        <v>#N/A</v>
      </c>
      <c r="BX262" s="9">
        <f t="shared" ca="1" si="263"/>
        <v>-65.220682514826848</v>
      </c>
      <c r="BY262" s="9">
        <f t="shared" ca="1" si="264"/>
        <v>21.430285361287321</v>
      </c>
      <c r="BZ262" s="9">
        <f t="shared" ca="1" si="265"/>
        <v>0</v>
      </c>
      <c r="CA262" s="6">
        <f t="shared" ca="1" si="266"/>
        <v>0</v>
      </c>
      <c r="CB262" s="6" t="e">
        <f t="shared" ca="1" si="267"/>
        <v>#DIV/0!</v>
      </c>
      <c r="CC262" s="6" t="e">
        <f t="shared" ca="1" si="268"/>
        <v>#DIV/0!</v>
      </c>
      <c r="CD262" s="9">
        <f t="shared" si="269"/>
        <v>-30</v>
      </c>
      <c r="CE262" s="9">
        <f t="shared" si="270"/>
        <v>0</v>
      </c>
      <c r="CF262" s="6">
        <f t="shared" si="271"/>
        <v>3.1415926535897931</v>
      </c>
      <c r="CG262" s="6" t="e">
        <f t="shared" ca="1" si="272"/>
        <v>#DIV/0!</v>
      </c>
      <c r="CH262" s="6"/>
      <c r="CI262" s="6"/>
      <c r="CJ262" s="1"/>
      <c r="CK262" s="6"/>
    </row>
    <row r="263" spans="55:89" x14ac:dyDescent="0.25">
      <c r="BC263"/>
      <c r="BD263"/>
      <c r="BF263" s="6" t="e">
        <f t="shared" si="273"/>
        <v>#N/A</v>
      </c>
      <c r="BG263" s="6" t="e">
        <f t="shared" si="274"/>
        <v>#N/A</v>
      </c>
      <c r="BH263" s="6" t="e">
        <f t="shared" si="275"/>
        <v>#N/A</v>
      </c>
      <c r="BI263" s="6" t="e">
        <f t="shared" si="276"/>
        <v>#N/A</v>
      </c>
      <c r="BV263" s="36"/>
      <c r="BW263" s="6" t="e">
        <f t="shared" si="262"/>
        <v>#N/A</v>
      </c>
      <c r="BX263" s="9">
        <f t="shared" ca="1" si="263"/>
        <v>-65.220682514826848</v>
      </c>
      <c r="BY263" s="9">
        <f t="shared" ca="1" si="264"/>
        <v>21.430285361287321</v>
      </c>
      <c r="BZ263" s="9">
        <f t="shared" ca="1" si="265"/>
        <v>0</v>
      </c>
      <c r="CA263" s="6">
        <f t="shared" ca="1" si="266"/>
        <v>0</v>
      </c>
      <c r="CB263" s="6" t="e">
        <f t="shared" ca="1" si="267"/>
        <v>#DIV/0!</v>
      </c>
      <c r="CC263" s="6" t="e">
        <f t="shared" ca="1" si="268"/>
        <v>#DIV/0!</v>
      </c>
      <c r="CD263" s="9">
        <f t="shared" si="269"/>
        <v>-30</v>
      </c>
      <c r="CE263" s="9">
        <f t="shared" si="270"/>
        <v>0</v>
      </c>
      <c r="CF263" s="6">
        <f t="shared" si="271"/>
        <v>3.1415926535897931</v>
      </c>
      <c r="CG263" s="6" t="e">
        <f t="shared" ca="1" si="272"/>
        <v>#DIV/0!</v>
      </c>
      <c r="CH263" s="6"/>
      <c r="CI263" s="6"/>
      <c r="CJ263" s="1"/>
      <c r="CK263" s="6"/>
    </row>
    <row r="264" spans="55:89" x14ac:dyDescent="0.25">
      <c r="BC264"/>
      <c r="BD264"/>
      <c r="BF264" s="6" t="e">
        <f t="shared" si="273"/>
        <v>#N/A</v>
      </c>
      <c r="BG264" s="6" t="e">
        <f t="shared" si="274"/>
        <v>#N/A</v>
      </c>
      <c r="BH264" s="6" t="e">
        <f t="shared" si="275"/>
        <v>#N/A</v>
      </c>
      <c r="BI264" s="6" t="e">
        <f t="shared" si="276"/>
        <v>#N/A</v>
      </c>
      <c r="BV264" s="36"/>
      <c r="BW264" s="6" t="e">
        <f t="shared" si="262"/>
        <v>#N/A</v>
      </c>
      <c r="BX264" s="9">
        <f t="shared" ca="1" si="263"/>
        <v>-65.220682514826848</v>
      </c>
      <c r="BY264" s="9">
        <f t="shared" ca="1" si="264"/>
        <v>21.430285361287321</v>
      </c>
      <c r="BZ264" s="9">
        <f t="shared" ca="1" si="265"/>
        <v>0</v>
      </c>
      <c r="CA264" s="6">
        <f t="shared" ca="1" si="266"/>
        <v>0</v>
      </c>
      <c r="CB264" s="6" t="e">
        <f t="shared" ca="1" si="267"/>
        <v>#DIV/0!</v>
      </c>
      <c r="CC264" s="6" t="e">
        <f t="shared" ca="1" si="268"/>
        <v>#DIV/0!</v>
      </c>
      <c r="CD264" s="9">
        <f t="shared" si="269"/>
        <v>-30</v>
      </c>
      <c r="CE264" s="9">
        <f t="shared" si="270"/>
        <v>0</v>
      </c>
      <c r="CF264" s="6">
        <f t="shared" si="271"/>
        <v>3.1415926535897931</v>
      </c>
      <c r="CG264" s="6" t="e">
        <f t="shared" ca="1" si="272"/>
        <v>#DIV/0!</v>
      </c>
      <c r="CH264" s="6"/>
      <c r="CI264" s="6"/>
      <c r="CJ264" s="1"/>
      <c r="CK264" s="6"/>
    </row>
    <row r="265" spans="55:89" x14ac:dyDescent="0.25">
      <c r="BC265"/>
      <c r="BD265"/>
      <c r="BF265" s="6" t="e">
        <f t="shared" si="273"/>
        <v>#N/A</v>
      </c>
      <c r="BG265" s="6" t="e">
        <f t="shared" si="274"/>
        <v>#N/A</v>
      </c>
      <c r="BH265" s="6" t="e">
        <f t="shared" si="275"/>
        <v>#N/A</v>
      </c>
      <c r="BI265" s="6" t="e">
        <f t="shared" si="276"/>
        <v>#N/A</v>
      </c>
      <c r="BV265" s="36"/>
      <c r="BW265" s="6" t="e">
        <f t="shared" si="262"/>
        <v>#N/A</v>
      </c>
      <c r="BX265" s="9">
        <f t="shared" ca="1" si="263"/>
        <v>-65.220682514826848</v>
      </c>
      <c r="BY265" s="9">
        <f t="shared" ca="1" si="264"/>
        <v>21.430285361287321</v>
      </c>
      <c r="BZ265" s="9">
        <f t="shared" ca="1" si="265"/>
        <v>0</v>
      </c>
      <c r="CA265" s="6">
        <f t="shared" ca="1" si="266"/>
        <v>0</v>
      </c>
      <c r="CB265" s="6" t="e">
        <f t="shared" ca="1" si="267"/>
        <v>#DIV/0!</v>
      </c>
      <c r="CC265" s="6" t="e">
        <f t="shared" ca="1" si="268"/>
        <v>#DIV/0!</v>
      </c>
      <c r="CD265" s="9">
        <f t="shared" si="269"/>
        <v>-30</v>
      </c>
      <c r="CE265" s="9">
        <f t="shared" si="270"/>
        <v>0</v>
      </c>
      <c r="CF265" s="6">
        <f t="shared" si="271"/>
        <v>3.1415926535897931</v>
      </c>
      <c r="CG265" s="6" t="e">
        <f t="shared" ca="1" si="272"/>
        <v>#DIV/0!</v>
      </c>
      <c r="CH265" s="6"/>
      <c r="CI265" s="6"/>
      <c r="CJ265" s="1"/>
      <c r="CK265" s="6"/>
    </row>
    <row r="266" spans="55:89" x14ac:dyDescent="0.25">
      <c r="BC266"/>
      <c r="BD266"/>
      <c r="BF266" s="6" t="e">
        <f t="shared" si="273"/>
        <v>#N/A</v>
      </c>
      <c r="BG266" s="6" t="e">
        <f t="shared" si="274"/>
        <v>#N/A</v>
      </c>
      <c r="BH266" s="6" t="e">
        <f t="shared" si="275"/>
        <v>#N/A</v>
      </c>
      <c r="BI266" s="6" t="e">
        <f t="shared" si="276"/>
        <v>#N/A</v>
      </c>
      <c r="BV266" s="36"/>
      <c r="BW266" s="6" t="e">
        <f t="shared" si="262"/>
        <v>#N/A</v>
      </c>
      <c r="BX266" s="9">
        <f t="shared" ca="1" si="263"/>
        <v>-65.220682514826848</v>
      </c>
      <c r="BY266" s="9">
        <f t="shared" ca="1" si="264"/>
        <v>21.430285361287321</v>
      </c>
      <c r="BZ266" s="9">
        <f t="shared" ca="1" si="265"/>
        <v>0</v>
      </c>
      <c r="CA266" s="6">
        <f t="shared" ca="1" si="266"/>
        <v>0</v>
      </c>
      <c r="CB266" s="6" t="e">
        <f t="shared" ca="1" si="267"/>
        <v>#DIV/0!</v>
      </c>
      <c r="CC266" s="6" t="e">
        <f t="shared" ca="1" si="268"/>
        <v>#DIV/0!</v>
      </c>
      <c r="CD266" s="9">
        <f t="shared" si="269"/>
        <v>-30</v>
      </c>
      <c r="CE266" s="9">
        <f t="shared" si="270"/>
        <v>0</v>
      </c>
      <c r="CF266" s="6">
        <f t="shared" si="271"/>
        <v>3.1415926535897931</v>
      </c>
      <c r="CG266" s="6" t="e">
        <f t="shared" ca="1" si="272"/>
        <v>#DIV/0!</v>
      </c>
      <c r="CH266" s="6"/>
      <c r="CI266" s="6"/>
      <c r="CJ266" s="1"/>
      <c r="CK266" s="6"/>
    </row>
    <row r="267" spans="55:89" x14ac:dyDescent="0.25">
      <c r="BC267"/>
      <c r="BD267"/>
      <c r="BF267" s="6" t="e">
        <f t="shared" si="273"/>
        <v>#N/A</v>
      </c>
      <c r="BG267" s="6" t="e">
        <f t="shared" si="274"/>
        <v>#N/A</v>
      </c>
      <c r="BH267" s="6" t="e">
        <f t="shared" si="275"/>
        <v>#N/A</v>
      </c>
      <c r="BI267" s="6" t="e">
        <f t="shared" si="276"/>
        <v>#N/A</v>
      </c>
      <c r="BV267" s="36"/>
      <c r="BW267" s="6" t="e">
        <f t="shared" si="262"/>
        <v>#N/A</v>
      </c>
      <c r="BX267" s="9">
        <f t="shared" ca="1" si="263"/>
        <v>-65.220682514826848</v>
      </c>
      <c r="BY267" s="9">
        <f t="shared" ca="1" si="264"/>
        <v>21.430285361287321</v>
      </c>
      <c r="BZ267" s="9">
        <f t="shared" ca="1" si="265"/>
        <v>0</v>
      </c>
      <c r="CA267" s="6">
        <f t="shared" ca="1" si="266"/>
        <v>0</v>
      </c>
      <c r="CB267" s="6" t="e">
        <f t="shared" ca="1" si="267"/>
        <v>#DIV/0!</v>
      </c>
      <c r="CC267" s="6" t="e">
        <f t="shared" ca="1" si="268"/>
        <v>#DIV/0!</v>
      </c>
      <c r="CD267" s="9">
        <f t="shared" si="269"/>
        <v>-30</v>
      </c>
      <c r="CE267" s="9">
        <f t="shared" si="270"/>
        <v>0</v>
      </c>
      <c r="CF267" s="6">
        <f t="shared" si="271"/>
        <v>3.1415926535897931</v>
      </c>
      <c r="CG267" s="6" t="e">
        <f t="shared" ca="1" si="272"/>
        <v>#DIV/0!</v>
      </c>
      <c r="CH267" s="6"/>
      <c r="CI267" s="6"/>
      <c r="CJ267" s="1"/>
      <c r="CK267" s="6"/>
    </row>
    <row r="268" spans="55:89" x14ac:dyDescent="0.25">
      <c r="BC268"/>
      <c r="BD268"/>
      <c r="BF268" s="6" t="e">
        <f t="shared" si="273"/>
        <v>#N/A</v>
      </c>
      <c r="BG268" s="6" t="e">
        <f t="shared" si="274"/>
        <v>#N/A</v>
      </c>
      <c r="BH268" s="6" t="e">
        <f t="shared" si="275"/>
        <v>#N/A</v>
      </c>
      <c r="BI268" s="6" t="e">
        <f t="shared" si="276"/>
        <v>#N/A</v>
      </c>
      <c r="BV268" s="36"/>
      <c r="BW268" s="6" t="e">
        <f t="shared" si="262"/>
        <v>#N/A</v>
      </c>
      <c r="BX268" s="9">
        <f t="shared" ca="1" si="263"/>
        <v>-65.220682514826848</v>
      </c>
      <c r="BY268" s="9">
        <f t="shared" ca="1" si="264"/>
        <v>21.430285361287321</v>
      </c>
      <c r="BZ268" s="9">
        <f t="shared" ca="1" si="265"/>
        <v>0</v>
      </c>
      <c r="CA268" s="6">
        <f t="shared" ca="1" si="266"/>
        <v>0</v>
      </c>
      <c r="CB268" s="6" t="e">
        <f t="shared" ca="1" si="267"/>
        <v>#DIV/0!</v>
      </c>
      <c r="CC268" s="6" t="e">
        <f t="shared" ca="1" si="268"/>
        <v>#DIV/0!</v>
      </c>
      <c r="CD268" s="9">
        <f t="shared" si="269"/>
        <v>-30</v>
      </c>
      <c r="CE268" s="9">
        <f t="shared" si="270"/>
        <v>0</v>
      </c>
      <c r="CF268" s="6">
        <f t="shared" si="271"/>
        <v>3.1415926535897931</v>
      </c>
      <c r="CG268" s="6" t="e">
        <f t="shared" ca="1" si="272"/>
        <v>#DIV/0!</v>
      </c>
      <c r="CH268" s="6"/>
      <c r="CI268" s="6"/>
      <c r="CJ268" s="1"/>
      <c r="CK268" s="6"/>
    </row>
    <row r="269" spans="55:89" x14ac:dyDescent="0.25">
      <c r="BC269"/>
      <c r="BD269"/>
      <c r="BF269" s="6" t="e">
        <f t="shared" si="273"/>
        <v>#N/A</v>
      </c>
      <c r="BG269" s="6" t="e">
        <f t="shared" si="274"/>
        <v>#N/A</v>
      </c>
      <c r="BH269" s="6" t="e">
        <f t="shared" si="275"/>
        <v>#N/A</v>
      </c>
      <c r="BI269" s="6" t="e">
        <f t="shared" si="276"/>
        <v>#N/A</v>
      </c>
      <c r="BV269" s="36"/>
      <c r="BW269" s="6" t="e">
        <f t="shared" si="262"/>
        <v>#N/A</v>
      </c>
      <c r="BX269" s="9">
        <f t="shared" ca="1" si="263"/>
        <v>-65.220682514826848</v>
      </c>
      <c r="BY269" s="9">
        <f t="shared" ca="1" si="264"/>
        <v>21.430285361287321</v>
      </c>
      <c r="BZ269" s="9">
        <f t="shared" ca="1" si="265"/>
        <v>0</v>
      </c>
      <c r="CA269" s="6">
        <f t="shared" ca="1" si="266"/>
        <v>0</v>
      </c>
      <c r="CB269" s="6" t="e">
        <f t="shared" ca="1" si="267"/>
        <v>#DIV/0!</v>
      </c>
      <c r="CC269" s="6" t="e">
        <f t="shared" ca="1" si="268"/>
        <v>#DIV/0!</v>
      </c>
      <c r="CD269" s="9">
        <f t="shared" si="269"/>
        <v>-30</v>
      </c>
      <c r="CE269" s="9">
        <f t="shared" si="270"/>
        <v>0</v>
      </c>
      <c r="CF269" s="6">
        <f t="shared" si="271"/>
        <v>3.1415926535897931</v>
      </c>
      <c r="CG269" s="6" t="e">
        <f t="shared" ca="1" si="272"/>
        <v>#DIV/0!</v>
      </c>
      <c r="CH269" s="6"/>
      <c r="CI269" s="6"/>
      <c r="CJ269" s="1"/>
      <c r="CK269" s="6"/>
    </row>
    <row r="270" spans="55:89" x14ac:dyDescent="0.25">
      <c r="BC270"/>
      <c r="BD270"/>
      <c r="BF270" s="6" t="e">
        <f t="shared" si="273"/>
        <v>#N/A</v>
      </c>
      <c r="BG270" s="6" t="e">
        <f t="shared" si="274"/>
        <v>#N/A</v>
      </c>
      <c r="BH270" s="6" t="e">
        <f t="shared" si="275"/>
        <v>#N/A</v>
      </c>
      <c r="BI270" s="6" t="e">
        <f t="shared" si="276"/>
        <v>#N/A</v>
      </c>
      <c r="BV270" s="36"/>
      <c r="BW270" s="6" t="e">
        <f t="shared" si="262"/>
        <v>#N/A</v>
      </c>
      <c r="BX270" s="9">
        <f t="shared" ca="1" si="263"/>
        <v>-65.220682514826848</v>
      </c>
      <c r="BY270" s="9">
        <f t="shared" ca="1" si="264"/>
        <v>21.430285361287321</v>
      </c>
      <c r="BZ270" s="9">
        <f t="shared" ca="1" si="265"/>
        <v>0</v>
      </c>
      <c r="CA270" s="6">
        <f t="shared" ca="1" si="266"/>
        <v>0</v>
      </c>
      <c r="CB270" s="6" t="e">
        <f t="shared" ca="1" si="267"/>
        <v>#DIV/0!</v>
      </c>
      <c r="CC270" s="6" t="e">
        <f t="shared" ca="1" si="268"/>
        <v>#DIV/0!</v>
      </c>
      <c r="CD270" s="9">
        <f t="shared" si="269"/>
        <v>-30</v>
      </c>
      <c r="CE270" s="9">
        <f t="shared" si="270"/>
        <v>0</v>
      </c>
      <c r="CF270" s="6">
        <f t="shared" si="271"/>
        <v>3.1415926535897931</v>
      </c>
      <c r="CG270" s="6" t="e">
        <f t="shared" ca="1" si="272"/>
        <v>#DIV/0!</v>
      </c>
      <c r="CH270" s="6"/>
      <c r="CI270" s="6"/>
      <c r="CJ270" s="1"/>
      <c r="CK270" s="6"/>
    </row>
    <row r="271" spans="55:89" x14ac:dyDescent="0.25">
      <c r="BC271"/>
      <c r="BD271"/>
      <c r="BF271" s="6" t="e">
        <f t="shared" si="273"/>
        <v>#N/A</v>
      </c>
      <c r="BG271" s="6" t="e">
        <f t="shared" si="274"/>
        <v>#N/A</v>
      </c>
      <c r="BH271" s="6" t="e">
        <f t="shared" si="275"/>
        <v>#N/A</v>
      </c>
      <c r="BI271" s="6" t="e">
        <f t="shared" si="276"/>
        <v>#N/A</v>
      </c>
      <c r="BV271" s="36"/>
      <c r="BW271" s="6" t="e">
        <f t="shared" si="262"/>
        <v>#N/A</v>
      </c>
      <c r="BX271" s="9">
        <f t="shared" ca="1" si="263"/>
        <v>-65.220682514826848</v>
      </c>
      <c r="BY271" s="9">
        <f t="shared" ca="1" si="264"/>
        <v>21.430285361287321</v>
      </c>
      <c r="BZ271" s="9">
        <f t="shared" ca="1" si="265"/>
        <v>0</v>
      </c>
      <c r="CA271" s="6">
        <f t="shared" ca="1" si="266"/>
        <v>0</v>
      </c>
      <c r="CB271" s="6" t="e">
        <f t="shared" ca="1" si="267"/>
        <v>#DIV/0!</v>
      </c>
      <c r="CC271" s="6" t="e">
        <f t="shared" ca="1" si="268"/>
        <v>#DIV/0!</v>
      </c>
      <c r="CD271" s="9">
        <f t="shared" si="269"/>
        <v>-30</v>
      </c>
      <c r="CE271" s="9">
        <f t="shared" si="270"/>
        <v>0</v>
      </c>
      <c r="CF271" s="6">
        <f t="shared" si="271"/>
        <v>3.1415926535897931</v>
      </c>
      <c r="CG271" s="6" t="e">
        <f t="shared" ca="1" si="272"/>
        <v>#DIV/0!</v>
      </c>
      <c r="CH271" s="6"/>
      <c r="CI271" s="6"/>
      <c r="CJ271" s="1"/>
      <c r="CK271" s="6"/>
    </row>
    <row r="272" spans="55:89" x14ac:dyDescent="0.25">
      <c r="BC272"/>
      <c r="BD272"/>
      <c r="BF272" s="6" t="e">
        <f t="shared" si="273"/>
        <v>#N/A</v>
      </c>
      <c r="BG272" s="6" t="e">
        <f t="shared" si="274"/>
        <v>#N/A</v>
      </c>
      <c r="BH272" s="6" t="e">
        <f t="shared" si="275"/>
        <v>#N/A</v>
      </c>
      <c r="BI272" s="6" t="e">
        <f t="shared" si="276"/>
        <v>#N/A</v>
      </c>
      <c r="BV272" s="36"/>
      <c r="BW272" s="6" t="e">
        <f t="shared" ref="BW272:BW335" si="277">IF(BC259="",NA(),BC259)</f>
        <v>#N/A</v>
      </c>
      <c r="BX272" s="9">
        <f t="shared" ref="BX272:BX335" ca="1" si="278">BD259-$BW$5</f>
        <v>-65.220682514826848</v>
      </c>
      <c r="BY272" s="9">
        <f t="shared" ref="BY272:BY335" ca="1" si="279">BE259-$BX$5</f>
        <v>21.430285361287321</v>
      </c>
      <c r="BZ272" s="9">
        <f t="shared" ref="BZ272:BZ335" ca="1" si="280">BX272-$CE$5</f>
        <v>0</v>
      </c>
      <c r="CA272" s="6">
        <f t="shared" ref="CA272:CA335" ca="1" si="281">BY272-$CF$5</f>
        <v>0</v>
      </c>
      <c r="CB272" s="6" t="e">
        <f t="shared" ref="CB272:CB335" ca="1" si="282">ATAN2(BZ272,CA272)</f>
        <v>#DIV/0!</v>
      </c>
      <c r="CC272" s="6" t="e">
        <f t="shared" ref="CC272:CC335" ca="1" si="283">CG272</f>
        <v>#DIV/0!</v>
      </c>
      <c r="CD272" s="9">
        <f t="shared" ref="CD272:CD335" si="284">BD259-$BW$6</f>
        <v>-30</v>
      </c>
      <c r="CE272" s="9">
        <f t="shared" ref="CE272:CE335" si="285">BE259-$BX$6</f>
        <v>0</v>
      </c>
      <c r="CF272" s="6">
        <f t="shared" ref="CF272:CF335" si="286">ATAN2(CD272,CE272)</f>
        <v>3.1415926535897931</v>
      </c>
      <c r="CG272" s="6" t="e">
        <f t="shared" ref="CG272:CG335" ca="1" si="287">ATAN2(COS(CF272-CB272),SIN(CF272-CB272))</f>
        <v>#DIV/0!</v>
      </c>
      <c r="CH272" s="6"/>
      <c r="CI272" s="6"/>
      <c r="CJ272" s="1"/>
      <c r="CK272" s="6"/>
    </row>
    <row r="273" spans="55:89" x14ac:dyDescent="0.25">
      <c r="BC273"/>
      <c r="BD273"/>
      <c r="BF273" s="6" t="e">
        <f t="shared" si="273"/>
        <v>#N/A</v>
      </c>
      <c r="BG273" s="6" t="e">
        <f t="shared" si="274"/>
        <v>#N/A</v>
      </c>
      <c r="BH273" s="6" t="e">
        <f t="shared" si="275"/>
        <v>#N/A</v>
      </c>
      <c r="BI273" s="6" t="e">
        <f t="shared" si="276"/>
        <v>#N/A</v>
      </c>
      <c r="BV273" s="36"/>
      <c r="BW273" s="6" t="e">
        <f t="shared" si="277"/>
        <v>#N/A</v>
      </c>
      <c r="BX273" s="9">
        <f t="shared" ca="1" si="278"/>
        <v>-65.220682514826848</v>
      </c>
      <c r="BY273" s="9">
        <f t="shared" ca="1" si="279"/>
        <v>21.430285361287321</v>
      </c>
      <c r="BZ273" s="9">
        <f t="shared" ca="1" si="280"/>
        <v>0</v>
      </c>
      <c r="CA273" s="6">
        <f t="shared" ca="1" si="281"/>
        <v>0</v>
      </c>
      <c r="CB273" s="6" t="e">
        <f t="shared" ca="1" si="282"/>
        <v>#DIV/0!</v>
      </c>
      <c r="CC273" s="6" t="e">
        <f t="shared" ca="1" si="283"/>
        <v>#DIV/0!</v>
      </c>
      <c r="CD273" s="9">
        <f t="shared" si="284"/>
        <v>-30</v>
      </c>
      <c r="CE273" s="9">
        <f t="shared" si="285"/>
        <v>0</v>
      </c>
      <c r="CF273" s="6">
        <f t="shared" si="286"/>
        <v>3.1415926535897931</v>
      </c>
      <c r="CG273" s="6" t="e">
        <f t="shared" ca="1" si="287"/>
        <v>#DIV/0!</v>
      </c>
      <c r="CH273" s="6"/>
      <c r="CI273" s="6"/>
      <c r="CJ273" s="1"/>
      <c r="CK273" s="6"/>
    </row>
    <row r="274" spans="55:89" x14ac:dyDescent="0.25">
      <c r="BC274"/>
      <c r="BD274"/>
      <c r="BF274" s="6" t="e">
        <f t="shared" si="273"/>
        <v>#N/A</v>
      </c>
      <c r="BG274" s="6" t="e">
        <f t="shared" si="274"/>
        <v>#N/A</v>
      </c>
      <c r="BH274" s="6" t="e">
        <f t="shared" si="275"/>
        <v>#N/A</v>
      </c>
      <c r="BI274" s="6" t="e">
        <f t="shared" si="276"/>
        <v>#N/A</v>
      </c>
      <c r="BV274" s="36"/>
      <c r="BW274" s="6" t="e">
        <f t="shared" si="277"/>
        <v>#N/A</v>
      </c>
      <c r="BX274" s="9">
        <f t="shared" ca="1" si="278"/>
        <v>-65.220682514826848</v>
      </c>
      <c r="BY274" s="9">
        <f t="shared" ca="1" si="279"/>
        <v>21.430285361287321</v>
      </c>
      <c r="BZ274" s="9">
        <f t="shared" ca="1" si="280"/>
        <v>0</v>
      </c>
      <c r="CA274" s="6">
        <f t="shared" ca="1" si="281"/>
        <v>0</v>
      </c>
      <c r="CB274" s="6" t="e">
        <f t="shared" ca="1" si="282"/>
        <v>#DIV/0!</v>
      </c>
      <c r="CC274" s="6" t="e">
        <f t="shared" ca="1" si="283"/>
        <v>#DIV/0!</v>
      </c>
      <c r="CD274" s="9">
        <f t="shared" si="284"/>
        <v>-30</v>
      </c>
      <c r="CE274" s="9">
        <f t="shared" si="285"/>
        <v>0</v>
      </c>
      <c r="CF274" s="6">
        <f t="shared" si="286"/>
        <v>3.1415926535897931</v>
      </c>
      <c r="CG274" s="6" t="e">
        <f t="shared" ca="1" si="287"/>
        <v>#DIV/0!</v>
      </c>
      <c r="CH274" s="6"/>
      <c r="CI274" s="6"/>
      <c r="CJ274" s="1"/>
      <c r="CK274" s="6"/>
    </row>
    <row r="275" spans="55:89" x14ac:dyDescent="0.25">
      <c r="BC275"/>
      <c r="BD275"/>
      <c r="BF275" s="6" t="e">
        <f t="shared" si="273"/>
        <v>#N/A</v>
      </c>
      <c r="BG275" s="6" t="e">
        <f t="shared" si="274"/>
        <v>#N/A</v>
      </c>
      <c r="BH275" s="6" t="e">
        <f t="shared" si="275"/>
        <v>#N/A</v>
      </c>
      <c r="BI275" s="6" t="e">
        <f t="shared" si="276"/>
        <v>#N/A</v>
      </c>
      <c r="BV275" s="36"/>
      <c r="BW275" s="6" t="e">
        <f t="shared" si="277"/>
        <v>#N/A</v>
      </c>
      <c r="BX275" s="9">
        <f t="shared" ca="1" si="278"/>
        <v>-65.220682514826848</v>
      </c>
      <c r="BY275" s="9">
        <f t="shared" ca="1" si="279"/>
        <v>21.430285361287321</v>
      </c>
      <c r="BZ275" s="9">
        <f t="shared" ca="1" si="280"/>
        <v>0</v>
      </c>
      <c r="CA275" s="6">
        <f t="shared" ca="1" si="281"/>
        <v>0</v>
      </c>
      <c r="CB275" s="6" t="e">
        <f t="shared" ca="1" si="282"/>
        <v>#DIV/0!</v>
      </c>
      <c r="CC275" s="6" t="e">
        <f t="shared" ca="1" si="283"/>
        <v>#DIV/0!</v>
      </c>
      <c r="CD275" s="9">
        <f t="shared" si="284"/>
        <v>-30</v>
      </c>
      <c r="CE275" s="9">
        <f t="shared" si="285"/>
        <v>0</v>
      </c>
      <c r="CF275" s="6">
        <f t="shared" si="286"/>
        <v>3.1415926535897931</v>
      </c>
      <c r="CG275" s="6" t="e">
        <f t="shared" ca="1" si="287"/>
        <v>#DIV/0!</v>
      </c>
      <c r="CH275" s="6"/>
      <c r="CI275" s="6"/>
      <c r="CJ275" s="1"/>
      <c r="CK275" s="6"/>
    </row>
    <row r="276" spans="55:89" x14ac:dyDescent="0.25">
      <c r="BC276"/>
      <c r="BD276"/>
      <c r="BF276" s="6" t="e">
        <f t="shared" si="273"/>
        <v>#N/A</v>
      </c>
      <c r="BG276" s="6" t="e">
        <f t="shared" si="274"/>
        <v>#N/A</v>
      </c>
      <c r="BH276" s="6" t="e">
        <f t="shared" si="275"/>
        <v>#N/A</v>
      </c>
      <c r="BI276" s="6" t="e">
        <f t="shared" si="276"/>
        <v>#N/A</v>
      </c>
      <c r="BV276" s="36"/>
      <c r="BW276" s="6" t="e">
        <f t="shared" si="277"/>
        <v>#N/A</v>
      </c>
      <c r="BX276" s="9">
        <f t="shared" ca="1" si="278"/>
        <v>-65.220682514826848</v>
      </c>
      <c r="BY276" s="9">
        <f t="shared" ca="1" si="279"/>
        <v>21.430285361287321</v>
      </c>
      <c r="BZ276" s="9">
        <f t="shared" ca="1" si="280"/>
        <v>0</v>
      </c>
      <c r="CA276" s="6">
        <f t="shared" ca="1" si="281"/>
        <v>0</v>
      </c>
      <c r="CB276" s="6" t="e">
        <f t="shared" ca="1" si="282"/>
        <v>#DIV/0!</v>
      </c>
      <c r="CC276" s="6" t="e">
        <f t="shared" ca="1" si="283"/>
        <v>#DIV/0!</v>
      </c>
      <c r="CD276" s="9">
        <f t="shared" si="284"/>
        <v>-30</v>
      </c>
      <c r="CE276" s="9">
        <f t="shared" si="285"/>
        <v>0</v>
      </c>
      <c r="CF276" s="6">
        <f t="shared" si="286"/>
        <v>3.1415926535897931</v>
      </c>
      <c r="CG276" s="6" t="e">
        <f t="shared" ca="1" si="287"/>
        <v>#DIV/0!</v>
      </c>
      <c r="CH276" s="6"/>
      <c r="CI276" s="6"/>
      <c r="CJ276" s="1"/>
      <c r="CK276" s="6"/>
    </row>
    <row r="277" spans="55:89" x14ac:dyDescent="0.25">
      <c r="BC277"/>
      <c r="BD277"/>
      <c r="BF277" s="6" t="e">
        <f t="shared" si="273"/>
        <v>#N/A</v>
      </c>
      <c r="BG277" s="6" t="e">
        <f t="shared" si="274"/>
        <v>#N/A</v>
      </c>
      <c r="BH277" s="6" t="e">
        <f t="shared" si="275"/>
        <v>#N/A</v>
      </c>
      <c r="BI277" s="6" t="e">
        <f t="shared" si="276"/>
        <v>#N/A</v>
      </c>
      <c r="BV277" s="36"/>
      <c r="BW277" s="6" t="e">
        <f t="shared" si="277"/>
        <v>#N/A</v>
      </c>
      <c r="BX277" s="9">
        <f t="shared" ca="1" si="278"/>
        <v>-65.220682514826848</v>
      </c>
      <c r="BY277" s="9">
        <f t="shared" ca="1" si="279"/>
        <v>21.430285361287321</v>
      </c>
      <c r="BZ277" s="9">
        <f t="shared" ca="1" si="280"/>
        <v>0</v>
      </c>
      <c r="CA277" s="6">
        <f t="shared" ca="1" si="281"/>
        <v>0</v>
      </c>
      <c r="CB277" s="6" t="e">
        <f t="shared" ca="1" si="282"/>
        <v>#DIV/0!</v>
      </c>
      <c r="CC277" s="6" t="e">
        <f t="shared" ca="1" si="283"/>
        <v>#DIV/0!</v>
      </c>
      <c r="CD277" s="9">
        <f t="shared" si="284"/>
        <v>-30</v>
      </c>
      <c r="CE277" s="9">
        <f t="shared" si="285"/>
        <v>0</v>
      </c>
      <c r="CF277" s="6">
        <f t="shared" si="286"/>
        <v>3.1415926535897931</v>
      </c>
      <c r="CG277" s="6" t="e">
        <f t="shared" ca="1" si="287"/>
        <v>#DIV/0!</v>
      </c>
      <c r="CH277" s="6"/>
      <c r="CI277" s="6"/>
      <c r="CJ277" s="1"/>
      <c r="CK277" s="6"/>
    </row>
    <row r="278" spans="55:89" x14ac:dyDescent="0.25">
      <c r="BC278"/>
      <c r="BD278"/>
      <c r="BF278" s="6" t="e">
        <f t="shared" si="273"/>
        <v>#N/A</v>
      </c>
      <c r="BG278" s="6" t="e">
        <f t="shared" si="274"/>
        <v>#N/A</v>
      </c>
      <c r="BH278" s="6" t="e">
        <f t="shared" si="275"/>
        <v>#N/A</v>
      </c>
      <c r="BI278" s="6" t="e">
        <f t="shared" si="276"/>
        <v>#N/A</v>
      </c>
      <c r="BV278" s="36"/>
      <c r="BW278" s="6" t="e">
        <f t="shared" si="277"/>
        <v>#N/A</v>
      </c>
      <c r="BX278" s="9">
        <f t="shared" ca="1" si="278"/>
        <v>-65.220682514826848</v>
      </c>
      <c r="BY278" s="9">
        <f t="shared" ca="1" si="279"/>
        <v>21.430285361287321</v>
      </c>
      <c r="BZ278" s="9">
        <f t="shared" ca="1" si="280"/>
        <v>0</v>
      </c>
      <c r="CA278" s="6">
        <f t="shared" ca="1" si="281"/>
        <v>0</v>
      </c>
      <c r="CB278" s="6" t="e">
        <f t="shared" ca="1" si="282"/>
        <v>#DIV/0!</v>
      </c>
      <c r="CC278" s="6" t="e">
        <f t="shared" ca="1" si="283"/>
        <v>#DIV/0!</v>
      </c>
      <c r="CD278" s="9">
        <f t="shared" si="284"/>
        <v>-30</v>
      </c>
      <c r="CE278" s="9">
        <f t="shared" si="285"/>
        <v>0</v>
      </c>
      <c r="CF278" s="6">
        <f t="shared" si="286"/>
        <v>3.1415926535897931</v>
      </c>
      <c r="CG278" s="6" t="e">
        <f t="shared" ca="1" si="287"/>
        <v>#DIV/0!</v>
      </c>
      <c r="CH278" s="6"/>
      <c r="CI278" s="6"/>
      <c r="CJ278" s="1"/>
      <c r="CK278" s="6"/>
    </row>
    <row r="279" spans="55:89" x14ac:dyDescent="0.25">
      <c r="BC279"/>
      <c r="BD279"/>
      <c r="BF279" s="6" t="e">
        <f t="shared" si="273"/>
        <v>#N/A</v>
      </c>
      <c r="BG279" s="6" t="e">
        <f t="shared" si="274"/>
        <v>#N/A</v>
      </c>
      <c r="BH279" s="6" t="e">
        <f t="shared" si="275"/>
        <v>#N/A</v>
      </c>
      <c r="BI279" s="6" t="e">
        <f t="shared" si="276"/>
        <v>#N/A</v>
      </c>
      <c r="BV279" s="36"/>
      <c r="BW279" s="6" t="e">
        <f t="shared" si="277"/>
        <v>#N/A</v>
      </c>
      <c r="BX279" s="9">
        <f t="shared" ca="1" si="278"/>
        <v>-65.220682514826848</v>
      </c>
      <c r="BY279" s="9">
        <f t="shared" ca="1" si="279"/>
        <v>21.430285361287321</v>
      </c>
      <c r="BZ279" s="9">
        <f t="shared" ca="1" si="280"/>
        <v>0</v>
      </c>
      <c r="CA279" s="6">
        <f t="shared" ca="1" si="281"/>
        <v>0</v>
      </c>
      <c r="CB279" s="6" t="e">
        <f t="shared" ca="1" si="282"/>
        <v>#DIV/0!</v>
      </c>
      <c r="CC279" s="6" t="e">
        <f t="shared" ca="1" si="283"/>
        <v>#DIV/0!</v>
      </c>
      <c r="CD279" s="9">
        <f t="shared" si="284"/>
        <v>-30</v>
      </c>
      <c r="CE279" s="9">
        <f t="shared" si="285"/>
        <v>0</v>
      </c>
      <c r="CF279" s="6">
        <f t="shared" si="286"/>
        <v>3.1415926535897931</v>
      </c>
      <c r="CG279" s="6" t="e">
        <f t="shared" ca="1" si="287"/>
        <v>#DIV/0!</v>
      </c>
      <c r="CH279" s="6"/>
      <c r="CI279" s="6"/>
      <c r="CJ279" s="1"/>
      <c r="CK279" s="6"/>
    </row>
    <row r="280" spans="55:89" x14ac:dyDescent="0.25">
      <c r="BC280"/>
      <c r="BD280"/>
      <c r="BF280" s="6" t="e">
        <f t="shared" si="273"/>
        <v>#N/A</v>
      </c>
      <c r="BG280" s="6" t="e">
        <f t="shared" si="274"/>
        <v>#N/A</v>
      </c>
      <c r="BH280" s="6" t="e">
        <f t="shared" si="275"/>
        <v>#N/A</v>
      </c>
      <c r="BI280" s="6" t="e">
        <f t="shared" si="276"/>
        <v>#N/A</v>
      </c>
      <c r="BV280" s="36"/>
      <c r="BW280" s="6" t="e">
        <f t="shared" si="277"/>
        <v>#N/A</v>
      </c>
      <c r="BX280" s="9">
        <f t="shared" ca="1" si="278"/>
        <v>-65.220682514826848</v>
      </c>
      <c r="BY280" s="9">
        <f t="shared" ca="1" si="279"/>
        <v>21.430285361287321</v>
      </c>
      <c r="BZ280" s="9">
        <f t="shared" ca="1" si="280"/>
        <v>0</v>
      </c>
      <c r="CA280" s="6">
        <f t="shared" ca="1" si="281"/>
        <v>0</v>
      </c>
      <c r="CB280" s="6" t="e">
        <f t="shared" ca="1" si="282"/>
        <v>#DIV/0!</v>
      </c>
      <c r="CC280" s="6" t="e">
        <f t="shared" ca="1" si="283"/>
        <v>#DIV/0!</v>
      </c>
      <c r="CD280" s="9">
        <f t="shared" si="284"/>
        <v>-30</v>
      </c>
      <c r="CE280" s="9">
        <f t="shared" si="285"/>
        <v>0</v>
      </c>
      <c r="CF280" s="6">
        <f t="shared" si="286"/>
        <v>3.1415926535897931</v>
      </c>
      <c r="CG280" s="6" t="e">
        <f t="shared" ca="1" si="287"/>
        <v>#DIV/0!</v>
      </c>
      <c r="CH280" s="6"/>
      <c r="CI280" s="6"/>
      <c r="CJ280" s="1"/>
      <c r="CK280" s="6"/>
    </row>
    <row r="281" spans="55:89" x14ac:dyDescent="0.25">
      <c r="BC281"/>
      <c r="BD281"/>
      <c r="BF281" s="6" t="e">
        <f t="shared" si="273"/>
        <v>#N/A</v>
      </c>
      <c r="BG281" s="6" t="e">
        <f t="shared" si="274"/>
        <v>#N/A</v>
      </c>
      <c r="BH281" s="6" t="e">
        <f t="shared" si="275"/>
        <v>#N/A</v>
      </c>
      <c r="BI281" s="6" t="e">
        <f t="shared" si="276"/>
        <v>#N/A</v>
      </c>
      <c r="BV281" s="36"/>
      <c r="BW281" s="6" t="e">
        <f t="shared" si="277"/>
        <v>#N/A</v>
      </c>
      <c r="BX281" s="9">
        <f t="shared" ca="1" si="278"/>
        <v>-65.220682514826848</v>
      </c>
      <c r="BY281" s="9">
        <f t="shared" ca="1" si="279"/>
        <v>21.430285361287321</v>
      </c>
      <c r="BZ281" s="9">
        <f t="shared" ca="1" si="280"/>
        <v>0</v>
      </c>
      <c r="CA281" s="6">
        <f t="shared" ca="1" si="281"/>
        <v>0</v>
      </c>
      <c r="CB281" s="6" t="e">
        <f t="shared" ca="1" si="282"/>
        <v>#DIV/0!</v>
      </c>
      <c r="CC281" s="6" t="e">
        <f t="shared" ca="1" si="283"/>
        <v>#DIV/0!</v>
      </c>
      <c r="CD281" s="9">
        <f t="shared" si="284"/>
        <v>-30</v>
      </c>
      <c r="CE281" s="9">
        <f t="shared" si="285"/>
        <v>0</v>
      </c>
      <c r="CF281" s="6">
        <f t="shared" si="286"/>
        <v>3.1415926535897931</v>
      </c>
      <c r="CG281" s="6" t="e">
        <f t="shared" ca="1" si="287"/>
        <v>#DIV/0!</v>
      </c>
      <c r="CH281" s="6"/>
      <c r="CI281" s="6"/>
      <c r="CJ281" s="1"/>
      <c r="CK281" s="6"/>
    </row>
    <row r="282" spans="55:89" x14ac:dyDescent="0.25">
      <c r="BC282"/>
      <c r="BD282"/>
      <c r="BF282" s="6" t="e">
        <f t="shared" si="273"/>
        <v>#N/A</v>
      </c>
      <c r="BG282" s="6" t="e">
        <f t="shared" si="274"/>
        <v>#N/A</v>
      </c>
      <c r="BH282" s="6" t="e">
        <f t="shared" si="275"/>
        <v>#N/A</v>
      </c>
      <c r="BI282" s="6" t="e">
        <f t="shared" si="276"/>
        <v>#N/A</v>
      </c>
      <c r="BV282" s="36"/>
      <c r="BW282" s="6" t="e">
        <f t="shared" si="277"/>
        <v>#N/A</v>
      </c>
      <c r="BX282" s="9">
        <f t="shared" ca="1" si="278"/>
        <v>-65.220682514826848</v>
      </c>
      <c r="BY282" s="9">
        <f t="shared" ca="1" si="279"/>
        <v>21.430285361287321</v>
      </c>
      <c r="BZ282" s="9">
        <f t="shared" ca="1" si="280"/>
        <v>0</v>
      </c>
      <c r="CA282" s="6">
        <f t="shared" ca="1" si="281"/>
        <v>0</v>
      </c>
      <c r="CB282" s="6" t="e">
        <f t="shared" ca="1" si="282"/>
        <v>#DIV/0!</v>
      </c>
      <c r="CC282" s="6" t="e">
        <f t="shared" ca="1" si="283"/>
        <v>#DIV/0!</v>
      </c>
      <c r="CD282" s="9">
        <f t="shared" si="284"/>
        <v>-30</v>
      </c>
      <c r="CE282" s="9">
        <f t="shared" si="285"/>
        <v>0</v>
      </c>
      <c r="CF282" s="6">
        <f t="shared" si="286"/>
        <v>3.1415926535897931</v>
      </c>
      <c r="CG282" s="6" t="e">
        <f t="shared" ca="1" si="287"/>
        <v>#DIV/0!</v>
      </c>
      <c r="CH282" s="6"/>
      <c r="CI282" s="6"/>
      <c r="CJ282" s="1"/>
      <c r="CK282" s="6"/>
    </row>
    <row r="283" spans="55:89" x14ac:dyDescent="0.25">
      <c r="BC283"/>
      <c r="BD283"/>
      <c r="BF283" s="6" t="e">
        <f t="shared" si="273"/>
        <v>#N/A</v>
      </c>
      <c r="BG283" s="6" t="e">
        <f t="shared" si="274"/>
        <v>#N/A</v>
      </c>
      <c r="BH283" s="6" t="e">
        <f t="shared" si="275"/>
        <v>#N/A</v>
      </c>
      <c r="BI283" s="6" t="e">
        <f t="shared" si="276"/>
        <v>#N/A</v>
      </c>
      <c r="BV283" s="36"/>
      <c r="BW283" s="6" t="e">
        <f t="shared" si="277"/>
        <v>#N/A</v>
      </c>
      <c r="BX283" s="9">
        <f t="shared" ca="1" si="278"/>
        <v>-65.220682514826848</v>
      </c>
      <c r="BY283" s="9">
        <f t="shared" ca="1" si="279"/>
        <v>21.430285361287321</v>
      </c>
      <c r="BZ283" s="9">
        <f t="shared" ca="1" si="280"/>
        <v>0</v>
      </c>
      <c r="CA283" s="6">
        <f t="shared" ca="1" si="281"/>
        <v>0</v>
      </c>
      <c r="CB283" s="6" t="e">
        <f t="shared" ca="1" si="282"/>
        <v>#DIV/0!</v>
      </c>
      <c r="CC283" s="6" t="e">
        <f t="shared" ca="1" si="283"/>
        <v>#DIV/0!</v>
      </c>
      <c r="CD283" s="9">
        <f t="shared" si="284"/>
        <v>-30</v>
      </c>
      <c r="CE283" s="9">
        <f t="shared" si="285"/>
        <v>0</v>
      </c>
      <c r="CF283" s="6">
        <f t="shared" si="286"/>
        <v>3.1415926535897931</v>
      </c>
      <c r="CG283" s="6" t="e">
        <f t="shared" ca="1" si="287"/>
        <v>#DIV/0!</v>
      </c>
      <c r="CH283" s="6"/>
      <c r="CI283" s="6"/>
      <c r="CJ283" s="1"/>
      <c r="CK283" s="6"/>
    </row>
    <row r="284" spans="55:89" x14ac:dyDescent="0.25">
      <c r="BC284"/>
      <c r="BD284"/>
      <c r="BF284" s="6" t="e">
        <f t="shared" si="273"/>
        <v>#N/A</v>
      </c>
      <c r="BG284" s="6" t="e">
        <f t="shared" si="274"/>
        <v>#N/A</v>
      </c>
      <c r="BH284" s="6" t="e">
        <f t="shared" si="275"/>
        <v>#N/A</v>
      </c>
      <c r="BI284" s="6" t="e">
        <f t="shared" si="276"/>
        <v>#N/A</v>
      </c>
      <c r="BV284" s="36"/>
      <c r="BW284" s="6" t="e">
        <f t="shared" si="277"/>
        <v>#N/A</v>
      </c>
      <c r="BX284" s="9">
        <f t="shared" ca="1" si="278"/>
        <v>-65.220682514826848</v>
      </c>
      <c r="BY284" s="9">
        <f t="shared" ca="1" si="279"/>
        <v>21.430285361287321</v>
      </c>
      <c r="BZ284" s="9">
        <f t="shared" ca="1" si="280"/>
        <v>0</v>
      </c>
      <c r="CA284" s="6">
        <f t="shared" ca="1" si="281"/>
        <v>0</v>
      </c>
      <c r="CB284" s="6" t="e">
        <f t="shared" ca="1" si="282"/>
        <v>#DIV/0!</v>
      </c>
      <c r="CC284" s="6" t="e">
        <f t="shared" ca="1" si="283"/>
        <v>#DIV/0!</v>
      </c>
      <c r="CD284" s="9">
        <f t="shared" si="284"/>
        <v>-30</v>
      </c>
      <c r="CE284" s="9">
        <f t="shared" si="285"/>
        <v>0</v>
      </c>
      <c r="CF284" s="6">
        <f t="shared" si="286"/>
        <v>3.1415926535897931</v>
      </c>
      <c r="CG284" s="6" t="e">
        <f t="shared" ca="1" si="287"/>
        <v>#DIV/0!</v>
      </c>
      <c r="CH284" s="6"/>
      <c r="CI284" s="6"/>
      <c r="CJ284" s="1"/>
      <c r="CK284" s="6"/>
    </row>
    <row r="285" spans="55:89" x14ac:dyDescent="0.25">
      <c r="BC285"/>
      <c r="BD285"/>
      <c r="BF285" s="6" t="e">
        <f t="shared" si="273"/>
        <v>#N/A</v>
      </c>
      <c r="BG285" s="6" t="e">
        <f t="shared" si="274"/>
        <v>#N/A</v>
      </c>
      <c r="BH285" s="6" t="e">
        <f t="shared" si="275"/>
        <v>#N/A</v>
      </c>
      <c r="BI285" s="6" t="e">
        <f t="shared" si="276"/>
        <v>#N/A</v>
      </c>
      <c r="BV285" s="36"/>
      <c r="BW285" s="6" t="e">
        <f t="shared" si="277"/>
        <v>#N/A</v>
      </c>
      <c r="BX285" s="9">
        <f t="shared" ca="1" si="278"/>
        <v>-65.220682514826848</v>
      </c>
      <c r="BY285" s="9">
        <f t="shared" ca="1" si="279"/>
        <v>21.430285361287321</v>
      </c>
      <c r="BZ285" s="9">
        <f t="shared" ca="1" si="280"/>
        <v>0</v>
      </c>
      <c r="CA285" s="6">
        <f t="shared" ca="1" si="281"/>
        <v>0</v>
      </c>
      <c r="CB285" s="6" t="e">
        <f t="shared" ca="1" si="282"/>
        <v>#DIV/0!</v>
      </c>
      <c r="CC285" s="6" t="e">
        <f t="shared" ca="1" si="283"/>
        <v>#DIV/0!</v>
      </c>
      <c r="CD285" s="9">
        <f t="shared" si="284"/>
        <v>-30</v>
      </c>
      <c r="CE285" s="9">
        <f t="shared" si="285"/>
        <v>0</v>
      </c>
      <c r="CF285" s="6">
        <f t="shared" si="286"/>
        <v>3.1415926535897931</v>
      </c>
      <c r="CG285" s="6" t="e">
        <f t="shared" ca="1" si="287"/>
        <v>#DIV/0!</v>
      </c>
      <c r="CH285" s="6"/>
      <c r="CI285" s="6"/>
      <c r="CJ285" s="1"/>
      <c r="CK285" s="6"/>
    </row>
    <row r="286" spans="55:89" x14ac:dyDescent="0.25">
      <c r="BC286"/>
      <c r="BD286"/>
      <c r="BF286" s="6" t="e">
        <f t="shared" si="273"/>
        <v>#N/A</v>
      </c>
      <c r="BG286" s="6" t="e">
        <f t="shared" si="274"/>
        <v>#N/A</v>
      </c>
      <c r="BH286" s="6" t="e">
        <f t="shared" si="275"/>
        <v>#N/A</v>
      </c>
      <c r="BI286" s="6" t="e">
        <f t="shared" si="276"/>
        <v>#N/A</v>
      </c>
      <c r="BV286" s="36"/>
      <c r="BW286" s="6" t="e">
        <f t="shared" si="277"/>
        <v>#N/A</v>
      </c>
      <c r="BX286" s="9">
        <f t="shared" ca="1" si="278"/>
        <v>-65.220682514826848</v>
      </c>
      <c r="BY286" s="9">
        <f t="shared" ca="1" si="279"/>
        <v>21.430285361287321</v>
      </c>
      <c r="BZ286" s="9">
        <f t="shared" ca="1" si="280"/>
        <v>0</v>
      </c>
      <c r="CA286" s="6">
        <f t="shared" ca="1" si="281"/>
        <v>0</v>
      </c>
      <c r="CB286" s="6" t="e">
        <f t="shared" ca="1" si="282"/>
        <v>#DIV/0!</v>
      </c>
      <c r="CC286" s="6" t="e">
        <f t="shared" ca="1" si="283"/>
        <v>#DIV/0!</v>
      </c>
      <c r="CD286" s="9">
        <f t="shared" si="284"/>
        <v>-30</v>
      </c>
      <c r="CE286" s="9">
        <f t="shared" si="285"/>
        <v>0</v>
      </c>
      <c r="CF286" s="6">
        <f t="shared" si="286"/>
        <v>3.1415926535897931</v>
      </c>
      <c r="CG286" s="6" t="e">
        <f t="shared" ca="1" si="287"/>
        <v>#DIV/0!</v>
      </c>
      <c r="CH286" s="6"/>
      <c r="CI286" s="6"/>
      <c r="CJ286" s="1"/>
      <c r="CK286" s="6"/>
    </row>
    <row r="287" spans="55:89" x14ac:dyDescent="0.25">
      <c r="BC287"/>
      <c r="BD287"/>
      <c r="BF287" s="6" t="e">
        <f t="shared" si="273"/>
        <v>#N/A</v>
      </c>
      <c r="BG287" s="6" t="e">
        <f t="shared" si="274"/>
        <v>#N/A</v>
      </c>
      <c r="BH287" s="6" t="e">
        <f t="shared" si="275"/>
        <v>#N/A</v>
      </c>
      <c r="BI287" s="6" t="e">
        <f t="shared" si="276"/>
        <v>#N/A</v>
      </c>
      <c r="BV287" s="36"/>
      <c r="BW287" s="6" t="e">
        <f t="shared" si="277"/>
        <v>#N/A</v>
      </c>
      <c r="BX287" s="9">
        <f t="shared" ca="1" si="278"/>
        <v>-65.220682514826848</v>
      </c>
      <c r="BY287" s="9">
        <f t="shared" ca="1" si="279"/>
        <v>21.430285361287321</v>
      </c>
      <c r="BZ287" s="9">
        <f t="shared" ca="1" si="280"/>
        <v>0</v>
      </c>
      <c r="CA287" s="6">
        <f t="shared" ca="1" si="281"/>
        <v>0</v>
      </c>
      <c r="CB287" s="6" t="e">
        <f t="shared" ca="1" si="282"/>
        <v>#DIV/0!</v>
      </c>
      <c r="CC287" s="6" t="e">
        <f t="shared" ca="1" si="283"/>
        <v>#DIV/0!</v>
      </c>
      <c r="CD287" s="9">
        <f t="shared" si="284"/>
        <v>-30</v>
      </c>
      <c r="CE287" s="9">
        <f t="shared" si="285"/>
        <v>0</v>
      </c>
      <c r="CF287" s="6">
        <f t="shared" si="286"/>
        <v>3.1415926535897931</v>
      </c>
      <c r="CG287" s="6" t="e">
        <f t="shared" ca="1" si="287"/>
        <v>#DIV/0!</v>
      </c>
      <c r="CH287" s="6"/>
      <c r="CI287" s="6"/>
      <c r="CJ287" s="1"/>
      <c r="CK287" s="6"/>
    </row>
    <row r="288" spans="55:89" x14ac:dyDescent="0.25">
      <c r="BC288"/>
      <c r="BD288"/>
      <c r="BF288" s="6" t="e">
        <f t="shared" si="273"/>
        <v>#N/A</v>
      </c>
      <c r="BG288" s="6" t="e">
        <f t="shared" si="274"/>
        <v>#N/A</v>
      </c>
      <c r="BH288" s="6" t="e">
        <f t="shared" si="275"/>
        <v>#N/A</v>
      </c>
      <c r="BI288" s="6" t="e">
        <f t="shared" si="276"/>
        <v>#N/A</v>
      </c>
      <c r="BV288" s="36"/>
      <c r="BW288" s="6" t="e">
        <f t="shared" si="277"/>
        <v>#N/A</v>
      </c>
      <c r="BX288" s="9">
        <f t="shared" ca="1" si="278"/>
        <v>-65.220682514826848</v>
      </c>
      <c r="BY288" s="9">
        <f t="shared" ca="1" si="279"/>
        <v>21.430285361287321</v>
      </c>
      <c r="BZ288" s="9">
        <f t="shared" ca="1" si="280"/>
        <v>0</v>
      </c>
      <c r="CA288" s="6">
        <f t="shared" ca="1" si="281"/>
        <v>0</v>
      </c>
      <c r="CB288" s="6" t="e">
        <f t="shared" ca="1" si="282"/>
        <v>#DIV/0!</v>
      </c>
      <c r="CC288" s="6" t="e">
        <f t="shared" ca="1" si="283"/>
        <v>#DIV/0!</v>
      </c>
      <c r="CD288" s="9">
        <f t="shared" si="284"/>
        <v>-30</v>
      </c>
      <c r="CE288" s="9">
        <f t="shared" si="285"/>
        <v>0</v>
      </c>
      <c r="CF288" s="6">
        <f t="shared" si="286"/>
        <v>3.1415926535897931</v>
      </c>
      <c r="CG288" s="6" t="e">
        <f t="shared" ca="1" si="287"/>
        <v>#DIV/0!</v>
      </c>
      <c r="CH288" s="6"/>
      <c r="CI288" s="6"/>
      <c r="CJ288" s="1"/>
      <c r="CK288" s="6"/>
    </row>
    <row r="289" spans="55:89" x14ac:dyDescent="0.25">
      <c r="BC289"/>
      <c r="BD289"/>
      <c r="BF289" s="6" t="e">
        <f t="shared" si="273"/>
        <v>#N/A</v>
      </c>
      <c r="BG289" s="6" t="e">
        <f t="shared" si="274"/>
        <v>#N/A</v>
      </c>
      <c r="BH289" s="6" t="e">
        <f t="shared" si="275"/>
        <v>#N/A</v>
      </c>
      <c r="BI289" s="6" t="e">
        <f t="shared" si="276"/>
        <v>#N/A</v>
      </c>
      <c r="BV289" s="36"/>
      <c r="BW289" s="6" t="e">
        <f t="shared" si="277"/>
        <v>#N/A</v>
      </c>
      <c r="BX289" s="9">
        <f t="shared" ca="1" si="278"/>
        <v>-65.220682514826848</v>
      </c>
      <c r="BY289" s="9">
        <f t="shared" ca="1" si="279"/>
        <v>21.430285361287321</v>
      </c>
      <c r="BZ289" s="9">
        <f t="shared" ca="1" si="280"/>
        <v>0</v>
      </c>
      <c r="CA289" s="6">
        <f t="shared" ca="1" si="281"/>
        <v>0</v>
      </c>
      <c r="CB289" s="6" t="e">
        <f t="shared" ca="1" si="282"/>
        <v>#DIV/0!</v>
      </c>
      <c r="CC289" s="6" t="e">
        <f t="shared" ca="1" si="283"/>
        <v>#DIV/0!</v>
      </c>
      <c r="CD289" s="9">
        <f t="shared" si="284"/>
        <v>-30</v>
      </c>
      <c r="CE289" s="9">
        <f t="shared" si="285"/>
        <v>0</v>
      </c>
      <c r="CF289" s="6">
        <f t="shared" si="286"/>
        <v>3.1415926535897931</v>
      </c>
      <c r="CG289" s="6" t="e">
        <f t="shared" ca="1" si="287"/>
        <v>#DIV/0!</v>
      </c>
      <c r="CH289" s="6"/>
      <c r="CI289" s="6"/>
      <c r="CJ289" s="1"/>
      <c r="CK289" s="6"/>
    </row>
    <row r="290" spans="55:89" x14ac:dyDescent="0.25">
      <c r="BC290"/>
      <c r="BD290"/>
      <c r="BF290" s="6" t="e">
        <f t="shared" si="273"/>
        <v>#N/A</v>
      </c>
      <c r="BG290" s="6" t="e">
        <f t="shared" si="274"/>
        <v>#N/A</v>
      </c>
      <c r="BH290" s="6" t="e">
        <f t="shared" si="275"/>
        <v>#N/A</v>
      </c>
      <c r="BI290" s="6" t="e">
        <f t="shared" si="276"/>
        <v>#N/A</v>
      </c>
      <c r="BV290" s="36"/>
      <c r="BW290" s="6" t="e">
        <f t="shared" si="277"/>
        <v>#N/A</v>
      </c>
      <c r="BX290" s="9">
        <f t="shared" ca="1" si="278"/>
        <v>-65.220682514826848</v>
      </c>
      <c r="BY290" s="9">
        <f t="shared" ca="1" si="279"/>
        <v>21.430285361287321</v>
      </c>
      <c r="BZ290" s="9">
        <f t="shared" ca="1" si="280"/>
        <v>0</v>
      </c>
      <c r="CA290" s="6">
        <f t="shared" ca="1" si="281"/>
        <v>0</v>
      </c>
      <c r="CB290" s="6" t="e">
        <f t="shared" ca="1" si="282"/>
        <v>#DIV/0!</v>
      </c>
      <c r="CC290" s="6" t="e">
        <f t="shared" ca="1" si="283"/>
        <v>#DIV/0!</v>
      </c>
      <c r="CD290" s="9">
        <f t="shared" si="284"/>
        <v>-30</v>
      </c>
      <c r="CE290" s="9">
        <f t="shared" si="285"/>
        <v>0</v>
      </c>
      <c r="CF290" s="6">
        <f t="shared" si="286"/>
        <v>3.1415926535897931</v>
      </c>
      <c r="CG290" s="6" t="e">
        <f t="shared" ca="1" si="287"/>
        <v>#DIV/0!</v>
      </c>
      <c r="CH290" s="6"/>
      <c r="CI290" s="6"/>
      <c r="CJ290" s="1"/>
      <c r="CK290" s="6"/>
    </row>
    <row r="291" spans="55:89" x14ac:dyDescent="0.25">
      <c r="BC291"/>
      <c r="BD291"/>
      <c r="BF291" s="6" t="e">
        <f t="shared" si="273"/>
        <v>#N/A</v>
      </c>
      <c r="BG291" s="6" t="e">
        <f t="shared" si="274"/>
        <v>#N/A</v>
      </c>
      <c r="BH291" s="6" t="e">
        <f t="shared" si="275"/>
        <v>#N/A</v>
      </c>
      <c r="BI291" s="6" t="e">
        <f t="shared" si="276"/>
        <v>#N/A</v>
      </c>
      <c r="BV291" s="36"/>
      <c r="BW291" s="6" t="e">
        <f t="shared" si="277"/>
        <v>#N/A</v>
      </c>
      <c r="BX291" s="9">
        <f t="shared" ca="1" si="278"/>
        <v>-65.220682514826848</v>
      </c>
      <c r="BY291" s="9">
        <f t="shared" ca="1" si="279"/>
        <v>21.430285361287321</v>
      </c>
      <c r="BZ291" s="9">
        <f t="shared" ca="1" si="280"/>
        <v>0</v>
      </c>
      <c r="CA291" s="6">
        <f t="shared" ca="1" si="281"/>
        <v>0</v>
      </c>
      <c r="CB291" s="6" t="e">
        <f t="shared" ca="1" si="282"/>
        <v>#DIV/0!</v>
      </c>
      <c r="CC291" s="6" t="e">
        <f t="shared" ca="1" si="283"/>
        <v>#DIV/0!</v>
      </c>
      <c r="CD291" s="9">
        <f t="shared" si="284"/>
        <v>-30</v>
      </c>
      <c r="CE291" s="9">
        <f t="shared" si="285"/>
        <v>0</v>
      </c>
      <c r="CF291" s="6">
        <f t="shared" si="286"/>
        <v>3.1415926535897931</v>
      </c>
      <c r="CG291" s="6" t="e">
        <f t="shared" ca="1" si="287"/>
        <v>#DIV/0!</v>
      </c>
      <c r="CH291" s="6"/>
      <c r="CI291" s="6"/>
      <c r="CJ291" s="1"/>
      <c r="CK291" s="6"/>
    </row>
    <row r="292" spans="55:89" x14ac:dyDescent="0.25">
      <c r="BC292"/>
      <c r="BD292"/>
      <c r="BF292" s="6" t="e">
        <f t="shared" si="273"/>
        <v>#N/A</v>
      </c>
      <c r="BG292" s="6" t="e">
        <f t="shared" si="274"/>
        <v>#N/A</v>
      </c>
      <c r="BH292" s="6" t="e">
        <f t="shared" si="275"/>
        <v>#N/A</v>
      </c>
      <c r="BI292" s="6" t="e">
        <f t="shared" si="276"/>
        <v>#N/A</v>
      </c>
      <c r="BV292" s="36"/>
      <c r="BW292" s="6" t="e">
        <f t="shared" si="277"/>
        <v>#N/A</v>
      </c>
      <c r="BX292" s="9">
        <f t="shared" ca="1" si="278"/>
        <v>-65.220682514826848</v>
      </c>
      <c r="BY292" s="9">
        <f t="shared" ca="1" si="279"/>
        <v>21.430285361287321</v>
      </c>
      <c r="BZ292" s="9">
        <f t="shared" ca="1" si="280"/>
        <v>0</v>
      </c>
      <c r="CA292" s="6">
        <f t="shared" ca="1" si="281"/>
        <v>0</v>
      </c>
      <c r="CB292" s="6" t="e">
        <f t="shared" ca="1" si="282"/>
        <v>#DIV/0!</v>
      </c>
      <c r="CC292" s="6" t="e">
        <f t="shared" ca="1" si="283"/>
        <v>#DIV/0!</v>
      </c>
      <c r="CD292" s="9">
        <f t="shared" si="284"/>
        <v>-30</v>
      </c>
      <c r="CE292" s="9">
        <f t="shared" si="285"/>
        <v>0</v>
      </c>
      <c r="CF292" s="6">
        <f t="shared" si="286"/>
        <v>3.1415926535897931</v>
      </c>
      <c r="CG292" s="6" t="e">
        <f t="shared" ca="1" si="287"/>
        <v>#DIV/0!</v>
      </c>
      <c r="CH292" s="6"/>
      <c r="CI292" s="6"/>
      <c r="CJ292" s="1"/>
      <c r="CK292" s="6"/>
    </row>
    <row r="293" spans="55:89" x14ac:dyDescent="0.25">
      <c r="BC293"/>
      <c r="BD293"/>
      <c r="BF293" s="6" t="e">
        <f t="shared" si="273"/>
        <v>#N/A</v>
      </c>
      <c r="BG293" s="6" t="e">
        <f t="shared" si="274"/>
        <v>#N/A</v>
      </c>
      <c r="BH293" s="6" t="e">
        <f t="shared" si="275"/>
        <v>#N/A</v>
      </c>
      <c r="BI293" s="6" t="e">
        <f t="shared" si="276"/>
        <v>#N/A</v>
      </c>
      <c r="BV293" s="36"/>
      <c r="BW293" s="6" t="e">
        <f t="shared" si="277"/>
        <v>#N/A</v>
      </c>
      <c r="BX293" s="9">
        <f t="shared" ca="1" si="278"/>
        <v>-65.220682514826848</v>
      </c>
      <c r="BY293" s="9">
        <f t="shared" ca="1" si="279"/>
        <v>21.430285361287321</v>
      </c>
      <c r="BZ293" s="9">
        <f t="shared" ca="1" si="280"/>
        <v>0</v>
      </c>
      <c r="CA293" s="6">
        <f t="shared" ca="1" si="281"/>
        <v>0</v>
      </c>
      <c r="CB293" s="6" t="e">
        <f t="shared" ca="1" si="282"/>
        <v>#DIV/0!</v>
      </c>
      <c r="CC293" s="6" t="e">
        <f t="shared" ca="1" si="283"/>
        <v>#DIV/0!</v>
      </c>
      <c r="CD293" s="9">
        <f t="shared" si="284"/>
        <v>-30</v>
      </c>
      <c r="CE293" s="9">
        <f t="shared" si="285"/>
        <v>0</v>
      </c>
      <c r="CF293" s="6">
        <f t="shared" si="286"/>
        <v>3.1415926535897931</v>
      </c>
      <c r="CG293" s="6" t="e">
        <f t="shared" ca="1" si="287"/>
        <v>#DIV/0!</v>
      </c>
      <c r="CH293" s="6"/>
      <c r="CI293" s="6"/>
      <c r="CJ293" s="1"/>
      <c r="CK293" s="6"/>
    </row>
    <row r="294" spans="55:89" x14ac:dyDescent="0.25">
      <c r="BC294"/>
      <c r="BD294"/>
      <c r="BF294" s="6" t="e">
        <f t="shared" si="273"/>
        <v>#N/A</v>
      </c>
      <c r="BG294" s="6" t="e">
        <f t="shared" si="274"/>
        <v>#N/A</v>
      </c>
      <c r="BH294" s="6" t="e">
        <f t="shared" si="275"/>
        <v>#N/A</v>
      </c>
      <c r="BI294" s="6" t="e">
        <f t="shared" si="276"/>
        <v>#N/A</v>
      </c>
      <c r="BV294" s="36"/>
      <c r="BW294" s="6" t="e">
        <f t="shared" si="277"/>
        <v>#N/A</v>
      </c>
      <c r="BX294" s="9">
        <f t="shared" ca="1" si="278"/>
        <v>-65.220682514826848</v>
      </c>
      <c r="BY294" s="9">
        <f t="shared" ca="1" si="279"/>
        <v>21.430285361287321</v>
      </c>
      <c r="BZ294" s="9">
        <f t="shared" ca="1" si="280"/>
        <v>0</v>
      </c>
      <c r="CA294" s="6">
        <f t="shared" ca="1" si="281"/>
        <v>0</v>
      </c>
      <c r="CB294" s="6" t="e">
        <f t="shared" ca="1" si="282"/>
        <v>#DIV/0!</v>
      </c>
      <c r="CC294" s="6" t="e">
        <f t="shared" ca="1" si="283"/>
        <v>#DIV/0!</v>
      </c>
      <c r="CD294" s="9">
        <f t="shared" si="284"/>
        <v>-30</v>
      </c>
      <c r="CE294" s="9">
        <f t="shared" si="285"/>
        <v>0</v>
      </c>
      <c r="CF294" s="6">
        <f t="shared" si="286"/>
        <v>3.1415926535897931</v>
      </c>
      <c r="CG294" s="6" t="e">
        <f t="shared" ca="1" si="287"/>
        <v>#DIV/0!</v>
      </c>
      <c r="CH294" s="6"/>
      <c r="CI294" s="6"/>
      <c r="CJ294" s="1"/>
      <c r="CK294" s="6"/>
    </row>
    <row r="295" spans="55:89" x14ac:dyDescent="0.25">
      <c r="BC295"/>
      <c r="BD295"/>
      <c r="BF295" s="6" t="e">
        <f t="shared" si="273"/>
        <v>#N/A</v>
      </c>
      <c r="BG295" s="6" t="e">
        <f t="shared" si="274"/>
        <v>#N/A</v>
      </c>
      <c r="BH295" s="6" t="e">
        <f t="shared" si="275"/>
        <v>#N/A</v>
      </c>
      <c r="BI295" s="6" t="e">
        <f t="shared" si="276"/>
        <v>#N/A</v>
      </c>
      <c r="BV295" s="36"/>
      <c r="BW295" s="6" t="e">
        <f t="shared" si="277"/>
        <v>#N/A</v>
      </c>
      <c r="BX295" s="9">
        <f t="shared" ca="1" si="278"/>
        <v>-65.220682514826848</v>
      </c>
      <c r="BY295" s="9">
        <f t="shared" ca="1" si="279"/>
        <v>21.430285361287321</v>
      </c>
      <c r="BZ295" s="9">
        <f t="shared" ca="1" si="280"/>
        <v>0</v>
      </c>
      <c r="CA295" s="6">
        <f t="shared" ca="1" si="281"/>
        <v>0</v>
      </c>
      <c r="CB295" s="6" t="e">
        <f t="shared" ca="1" si="282"/>
        <v>#DIV/0!</v>
      </c>
      <c r="CC295" s="6" t="e">
        <f t="shared" ca="1" si="283"/>
        <v>#DIV/0!</v>
      </c>
      <c r="CD295" s="9">
        <f t="shared" si="284"/>
        <v>-30</v>
      </c>
      <c r="CE295" s="9">
        <f t="shared" si="285"/>
        <v>0</v>
      </c>
      <c r="CF295" s="6">
        <f t="shared" si="286"/>
        <v>3.1415926535897931</v>
      </c>
      <c r="CG295" s="6" t="e">
        <f t="shared" ca="1" si="287"/>
        <v>#DIV/0!</v>
      </c>
      <c r="CH295" s="6"/>
      <c r="CI295" s="6"/>
      <c r="CJ295" s="1"/>
      <c r="CK295" s="6"/>
    </row>
    <row r="296" spans="55:89" x14ac:dyDescent="0.25">
      <c r="BC296"/>
      <c r="BD296"/>
      <c r="BF296" s="6" t="e">
        <f t="shared" si="273"/>
        <v>#N/A</v>
      </c>
      <c r="BG296" s="6" t="e">
        <f t="shared" si="274"/>
        <v>#N/A</v>
      </c>
      <c r="BH296" s="6" t="e">
        <f t="shared" si="275"/>
        <v>#N/A</v>
      </c>
      <c r="BI296" s="6" t="e">
        <f t="shared" si="276"/>
        <v>#N/A</v>
      </c>
      <c r="BV296" s="36"/>
      <c r="BW296" s="6" t="e">
        <f t="shared" si="277"/>
        <v>#N/A</v>
      </c>
      <c r="BX296" s="9">
        <f t="shared" ca="1" si="278"/>
        <v>-65.220682514826848</v>
      </c>
      <c r="BY296" s="9">
        <f t="shared" ca="1" si="279"/>
        <v>21.430285361287321</v>
      </c>
      <c r="BZ296" s="9">
        <f t="shared" ca="1" si="280"/>
        <v>0</v>
      </c>
      <c r="CA296" s="6">
        <f t="shared" ca="1" si="281"/>
        <v>0</v>
      </c>
      <c r="CB296" s="6" t="e">
        <f t="shared" ca="1" si="282"/>
        <v>#DIV/0!</v>
      </c>
      <c r="CC296" s="6" t="e">
        <f t="shared" ca="1" si="283"/>
        <v>#DIV/0!</v>
      </c>
      <c r="CD296" s="9">
        <f t="shared" si="284"/>
        <v>-30</v>
      </c>
      <c r="CE296" s="9">
        <f t="shared" si="285"/>
        <v>0</v>
      </c>
      <c r="CF296" s="6">
        <f t="shared" si="286"/>
        <v>3.1415926535897931</v>
      </c>
      <c r="CG296" s="6" t="e">
        <f t="shared" ca="1" si="287"/>
        <v>#DIV/0!</v>
      </c>
      <c r="CH296" s="6"/>
      <c r="CI296" s="6"/>
      <c r="CJ296" s="1"/>
      <c r="CK296" s="6"/>
    </row>
    <row r="297" spans="55:89" x14ac:dyDescent="0.25">
      <c r="BC297"/>
      <c r="BD297"/>
      <c r="BF297" s="6" t="e">
        <f t="shared" si="273"/>
        <v>#N/A</v>
      </c>
      <c r="BG297" s="6" t="e">
        <f t="shared" si="274"/>
        <v>#N/A</v>
      </c>
      <c r="BH297" s="6" t="e">
        <f t="shared" si="275"/>
        <v>#N/A</v>
      </c>
      <c r="BI297" s="6" t="e">
        <f t="shared" si="276"/>
        <v>#N/A</v>
      </c>
      <c r="BV297" s="36"/>
      <c r="BW297" s="6" t="e">
        <f t="shared" si="277"/>
        <v>#N/A</v>
      </c>
      <c r="BX297" s="9">
        <f t="shared" ca="1" si="278"/>
        <v>-65.220682514826848</v>
      </c>
      <c r="BY297" s="9">
        <f t="shared" ca="1" si="279"/>
        <v>21.430285361287321</v>
      </c>
      <c r="BZ297" s="9">
        <f t="shared" ca="1" si="280"/>
        <v>0</v>
      </c>
      <c r="CA297" s="6">
        <f t="shared" ca="1" si="281"/>
        <v>0</v>
      </c>
      <c r="CB297" s="6" t="e">
        <f t="shared" ca="1" si="282"/>
        <v>#DIV/0!</v>
      </c>
      <c r="CC297" s="6" t="e">
        <f t="shared" ca="1" si="283"/>
        <v>#DIV/0!</v>
      </c>
      <c r="CD297" s="9">
        <f t="shared" si="284"/>
        <v>-30</v>
      </c>
      <c r="CE297" s="9">
        <f t="shared" si="285"/>
        <v>0</v>
      </c>
      <c r="CF297" s="6">
        <f t="shared" si="286"/>
        <v>3.1415926535897931</v>
      </c>
      <c r="CG297" s="6" t="e">
        <f t="shared" ca="1" si="287"/>
        <v>#DIV/0!</v>
      </c>
      <c r="CH297" s="6"/>
      <c r="CI297" s="6"/>
      <c r="CJ297" s="1"/>
      <c r="CK297" s="6"/>
    </row>
    <row r="298" spans="55:89" x14ac:dyDescent="0.25">
      <c r="BC298"/>
      <c r="BD298"/>
      <c r="BF298" s="6" t="e">
        <f t="shared" si="273"/>
        <v>#N/A</v>
      </c>
      <c r="BG298" s="6" t="e">
        <f t="shared" si="274"/>
        <v>#N/A</v>
      </c>
      <c r="BH298" s="6" t="e">
        <f t="shared" si="275"/>
        <v>#N/A</v>
      </c>
      <c r="BI298" s="6" t="e">
        <f t="shared" si="276"/>
        <v>#N/A</v>
      </c>
      <c r="BV298" s="36"/>
      <c r="BW298" s="6" t="e">
        <f t="shared" si="277"/>
        <v>#N/A</v>
      </c>
      <c r="BX298" s="9">
        <f t="shared" ca="1" si="278"/>
        <v>-65.220682514826848</v>
      </c>
      <c r="BY298" s="9">
        <f t="shared" ca="1" si="279"/>
        <v>21.430285361287321</v>
      </c>
      <c r="BZ298" s="9">
        <f t="shared" ca="1" si="280"/>
        <v>0</v>
      </c>
      <c r="CA298" s="6">
        <f t="shared" ca="1" si="281"/>
        <v>0</v>
      </c>
      <c r="CB298" s="6" t="e">
        <f t="shared" ca="1" si="282"/>
        <v>#DIV/0!</v>
      </c>
      <c r="CC298" s="6" t="e">
        <f t="shared" ca="1" si="283"/>
        <v>#DIV/0!</v>
      </c>
      <c r="CD298" s="9">
        <f t="shared" si="284"/>
        <v>-30</v>
      </c>
      <c r="CE298" s="9">
        <f t="shared" si="285"/>
        <v>0</v>
      </c>
      <c r="CF298" s="6">
        <f t="shared" si="286"/>
        <v>3.1415926535897931</v>
      </c>
      <c r="CG298" s="6" t="e">
        <f t="shared" ca="1" si="287"/>
        <v>#DIV/0!</v>
      </c>
      <c r="CH298" s="6"/>
      <c r="CI298" s="6"/>
      <c r="CJ298" s="1"/>
      <c r="CK298" s="6"/>
    </row>
    <row r="299" spans="55:89" x14ac:dyDescent="0.25">
      <c r="BC299"/>
      <c r="BD299"/>
      <c r="BF299" s="6" t="e">
        <f t="shared" si="273"/>
        <v>#N/A</v>
      </c>
      <c r="BG299" s="6" t="e">
        <f t="shared" si="274"/>
        <v>#N/A</v>
      </c>
      <c r="BH299" s="6" t="e">
        <f t="shared" si="275"/>
        <v>#N/A</v>
      </c>
      <c r="BI299" s="6" t="e">
        <f t="shared" si="276"/>
        <v>#N/A</v>
      </c>
      <c r="BV299" s="36"/>
      <c r="BW299" s="6" t="e">
        <f t="shared" si="277"/>
        <v>#N/A</v>
      </c>
      <c r="BX299" s="9">
        <f t="shared" ca="1" si="278"/>
        <v>-65.220682514826848</v>
      </c>
      <c r="BY299" s="9">
        <f t="shared" ca="1" si="279"/>
        <v>21.430285361287321</v>
      </c>
      <c r="BZ299" s="9">
        <f t="shared" ca="1" si="280"/>
        <v>0</v>
      </c>
      <c r="CA299" s="6">
        <f t="shared" ca="1" si="281"/>
        <v>0</v>
      </c>
      <c r="CB299" s="6" t="e">
        <f t="shared" ca="1" si="282"/>
        <v>#DIV/0!</v>
      </c>
      <c r="CC299" s="6" t="e">
        <f t="shared" ca="1" si="283"/>
        <v>#DIV/0!</v>
      </c>
      <c r="CD299" s="9">
        <f t="shared" si="284"/>
        <v>-30</v>
      </c>
      <c r="CE299" s="9">
        <f t="shared" si="285"/>
        <v>0</v>
      </c>
      <c r="CF299" s="6">
        <f t="shared" si="286"/>
        <v>3.1415926535897931</v>
      </c>
      <c r="CG299" s="6" t="e">
        <f t="shared" ca="1" si="287"/>
        <v>#DIV/0!</v>
      </c>
      <c r="CH299" s="6"/>
      <c r="CI299" s="6"/>
      <c r="CJ299" s="1"/>
      <c r="CK299" s="6"/>
    </row>
    <row r="300" spans="55:89" x14ac:dyDescent="0.25">
      <c r="BC300"/>
      <c r="BD300"/>
      <c r="BF300" s="6" t="e">
        <f t="shared" si="273"/>
        <v>#N/A</v>
      </c>
      <c r="BG300" s="6" t="e">
        <f t="shared" si="274"/>
        <v>#N/A</v>
      </c>
      <c r="BH300" s="6" t="e">
        <f t="shared" si="275"/>
        <v>#N/A</v>
      </c>
      <c r="BI300" s="6" t="e">
        <f t="shared" si="276"/>
        <v>#N/A</v>
      </c>
      <c r="BV300" s="36"/>
      <c r="BW300" s="6" t="e">
        <f t="shared" si="277"/>
        <v>#N/A</v>
      </c>
      <c r="BX300" s="9">
        <f t="shared" ca="1" si="278"/>
        <v>-65.220682514826848</v>
      </c>
      <c r="BY300" s="9">
        <f t="shared" ca="1" si="279"/>
        <v>21.430285361287321</v>
      </c>
      <c r="BZ300" s="9">
        <f t="shared" ca="1" si="280"/>
        <v>0</v>
      </c>
      <c r="CA300" s="6">
        <f t="shared" ca="1" si="281"/>
        <v>0</v>
      </c>
      <c r="CB300" s="6" t="e">
        <f t="shared" ca="1" si="282"/>
        <v>#DIV/0!</v>
      </c>
      <c r="CC300" s="6" t="e">
        <f t="shared" ca="1" si="283"/>
        <v>#DIV/0!</v>
      </c>
      <c r="CD300" s="9">
        <f t="shared" si="284"/>
        <v>-30</v>
      </c>
      <c r="CE300" s="9">
        <f t="shared" si="285"/>
        <v>0</v>
      </c>
      <c r="CF300" s="6">
        <f t="shared" si="286"/>
        <v>3.1415926535897931</v>
      </c>
      <c r="CG300" s="6" t="e">
        <f t="shared" ca="1" si="287"/>
        <v>#DIV/0!</v>
      </c>
      <c r="CH300" s="6"/>
      <c r="CI300" s="6"/>
      <c r="CJ300" s="1"/>
      <c r="CK300" s="6"/>
    </row>
    <row r="301" spans="55:89" x14ac:dyDescent="0.25">
      <c r="BC301"/>
      <c r="BD301"/>
      <c r="BF301" s="6" t="e">
        <f t="shared" si="273"/>
        <v>#N/A</v>
      </c>
      <c r="BG301" s="6" t="e">
        <f t="shared" si="274"/>
        <v>#N/A</v>
      </c>
      <c r="BH301" s="6" t="e">
        <f t="shared" si="275"/>
        <v>#N/A</v>
      </c>
      <c r="BI301" s="6" t="e">
        <f t="shared" si="276"/>
        <v>#N/A</v>
      </c>
      <c r="BV301" s="36"/>
      <c r="BW301" s="6" t="e">
        <f t="shared" si="277"/>
        <v>#N/A</v>
      </c>
      <c r="BX301" s="9">
        <f t="shared" ca="1" si="278"/>
        <v>-65.220682514826848</v>
      </c>
      <c r="BY301" s="9">
        <f t="shared" ca="1" si="279"/>
        <v>21.430285361287321</v>
      </c>
      <c r="BZ301" s="9">
        <f t="shared" ca="1" si="280"/>
        <v>0</v>
      </c>
      <c r="CA301" s="6">
        <f t="shared" ca="1" si="281"/>
        <v>0</v>
      </c>
      <c r="CB301" s="6" t="e">
        <f t="shared" ca="1" si="282"/>
        <v>#DIV/0!</v>
      </c>
      <c r="CC301" s="6" t="e">
        <f t="shared" ca="1" si="283"/>
        <v>#DIV/0!</v>
      </c>
      <c r="CD301" s="9">
        <f t="shared" si="284"/>
        <v>-30</v>
      </c>
      <c r="CE301" s="9">
        <f t="shared" si="285"/>
        <v>0</v>
      </c>
      <c r="CF301" s="6">
        <f t="shared" si="286"/>
        <v>3.1415926535897931</v>
      </c>
      <c r="CG301" s="6" t="e">
        <f t="shared" ca="1" si="287"/>
        <v>#DIV/0!</v>
      </c>
      <c r="CH301" s="6"/>
      <c r="CI301" s="6"/>
      <c r="CJ301" s="1"/>
      <c r="CK301" s="6"/>
    </row>
    <row r="302" spans="55:89" x14ac:dyDescent="0.25">
      <c r="BC302"/>
      <c r="BD302"/>
      <c r="BF302" s="6" t="e">
        <f t="shared" si="273"/>
        <v>#N/A</v>
      </c>
      <c r="BG302" s="6" t="e">
        <f t="shared" si="274"/>
        <v>#N/A</v>
      </c>
      <c r="BH302" s="6" t="e">
        <f t="shared" si="275"/>
        <v>#N/A</v>
      </c>
      <c r="BI302" s="6" t="e">
        <f t="shared" si="276"/>
        <v>#N/A</v>
      </c>
      <c r="BV302" s="36"/>
      <c r="BW302" s="6" t="e">
        <f t="shared" si="277"/>
        <v>#N/A</v>
      </c>
      <c r="BX302" s="9">
        <f t="shared" ca="1" si="278"/>
        <v>-65.220682514826848</v>
      </c>
      <c r="BY302" s="9">
        <f t="shared" ca="1" si="279"/>
        <v>21.430285361287321</v>
      </c>
      <c r="BZ302" s="9">
        <f t="shared" ca="1" si="280"/>
        <v>0</v>
      </c>
      <c r="CA302" s="6">
        <f t="shared" ca="1" si="281"/>
        <v>0</v>
      </c>
      <c r="CB302" s="6" t="e">
        <f t="shared" ca="1" si="282"/>
        <v>#DIV/0!</v>
      </c>
      <c r="CC302" s="6" t="e">
        <f t="shared" ca="1" si="283"/>
        <v>#DIV/0!</v>
      </c>
      <c r="CD302" s="9">
        <f t="shared" si="284"/>
        <v>-30</v>
      </c>
      <c r="CE302" s="9">
        <f t="shared" si="285"/>
        <v>0</v>
      </c>
      <c r="CF302" s="6">
        <f t="shared" si="286"/>
        <v>3.1415926535897931</v>
      </c>
      <c r="CG302" s="6" t="e">
        <f t="shared" ca="1" si="287"/>
        <v>#DIV/0!</v>
      </c>
      <c r="CH302" s="6"/>
      <c r="CI302" s="6"/>
      <c r="CJ302" s="1"/>
      <c r="CK302" s="6"/>
    </row>
    <row r="303" spans="55:89" x14ac:dyDescent="0.25">
      <c r="BC303"/>
      <c r="BD303"/>
      <c r="BF303" s="6" t="e">
        <f t="shared" si="273"/>
        <v>#N/A</v>
      </c>
      <c r="BG303" s="6" t="e">
        <f t="shared" si="274"/>
        <v>#N/A</v>
      </c>
      <c r="BH303" s="6" t="e">
        <f t="shared" si="275"/>
        <v>#N/A</v>
      </c>
      <c r="BI303" s="6" t="e">
        <f t="shared" si="276"/>
        <v>#N/A</v>
      </c>
      <c r="BV303" s="36"/>
      <c r="BW303" s="6" t="e">
        <f t="shared" si="277"/>
        <v>#N/A</v>
      </c>
      <c r="BX303" s="9">
        <f t="shared" ca="1" si="278"/>
        <v>-65.220682514826848</v>
      </c>
      <c r="BY303" s="9">
        <f t="shared" ca="1" si="279"/>
        <v>21.430285361287321</v>
      </c>
      <c r="BZ303" s="9">
        <f t="shared" ca="1" si="280"/>
        <v>0</v>
      </c>
      <c r="CA303" s="6">
        <f t="shared" ca="1" si="281"/>
        <v>0</v>
      </c>
      <c r="CB303" s="6" t="e">
        <f t="shared" ca="1" si="282"/>
        <v>#DIV/0!</v>
      </c>
      <c r="CC303" s="6" t="e">
        <f t="shared" ca="1" si="283"/>
        <v>#DIV/0!</v>
      </c>
      <c r="CD303" s="9">
        <f t="shared" si="284"/>
        <v>-30</v>
      </c>
      <c r="CE303" s="9">
        <f t="shared" si="285"/>
        <v>0</v>
      </c>
      <c r="CF303" s="6">
        <f t="shared" si="286"/>
        <v>3.1415926535897931</v>
      </c>
      <c r="CG303" s="6" t="e">
        <f t="shared" ca="1" si="287"/>
        <v>#DIV/0!</v>
      </c>
      <c r="CH303" s="6"/>
      <c r="CI303" s="6"/>
      <c r="CJ303" s="1"/>
      <c r="CK303" s="6"/>
    </row>
    <row r="304" spans="55:89" x14ac:dyDescent="0.25">
      <c r="BC304"/>
      <c r="BD304"/>
      <c r="BF304" s="6" t="e">
        <f t="shared" si="273"/>
        <v>#N/A</v>
      </c>
      <c r="BG304" s="6" t="e">
        <f t="shared" si="274"/>
        <v>#N/A</v>
      </c>
      <c r="BH304" s="6" t="e">
        <f t="shared" si="275"/>
        <v>#N/A</v>
      </c>
      <c r="BI304" s="6" t="e">
        <f t="shared" si="276"/>
        <v>#N/A</v>
      </c>
      <c r="BV304" s="36"/>
      <c r="BW304" s="6" t="e">
        <f t="shared" si="277"/>
        <v>#N/A</v>
      </c>
      <c r="BX304" s="9">
        <f t="shared" ca="1" si="278"/>
        <v>-65.220682514826848</v>
      </c>
      <c r="BY304" s="9">
        <f t="shared" ca="1" si="279"/>
        <v>21.430285361287321</v>
      </c>
      <c r="BZ304" s="9">
        <f t="shared" ca="1" si="280"/>
        <v>0</v>
      </c>
      <c r="CA304" s="6">
        <f t="shared" ca="1" si="281"/>
        <v>0</v>
      </c>
      <c r="CB304" s="6" t="e">
        <f t="shared" ca="1" si="282"/>
        <v>#DIV/0!</v>
      </c>
      <c r="CC304" s="6" t="e">
        <f t="shared" ca="1" si="283"/>
        <v>#DIV/0!</v>
      </c>
      <c r="CD304" s="9">
        <f t="shared" si="284"/>
        <v>-30</v>
      </c>
      <c r="CE304" s="9">
        <f t="shared" si="285"/>
        <v>0</v>
      </c>
      <c r="CF304" s="6">
        <f t="shared" si="286"/>
        <v>3.1415926535897931</v>
      </c>
      <c r="CG304" s="6" t="e">
        <f t="shared" ca="1" si="287"/>
        <v>#DIV/0!</v>
      </c>
      <c r="CH304" s="6"/>
      <c r="CI304" s="6"/>
      <c r="CJ304" s="1"/>
      <c r="CK304" s="6"/>
    </row>
    <row r="305" spans="55:89" x14ac:dyDescent="0.25">
      <c r="BC305"/>
      <c r="BD305"/>
      <c r="BF305" s="6" t="e">
        <f t="shared" si="273"/>
        <v>#N/A</v>
      </c>
      <c r="BG305" s="6" t="e">
        <f t="shared" si="274"/>
        <v>#N/A</v>
      </c>
      <c r="BH305" s="6" t="e">
        <f t="shared" si="275"/>
        <v>#N/A</v>
      </c>
      <c r="BI305" s="6" t="e">
        <f t="shared" si="276"/>
        <v>#N/A</v>
      </c>
      <c r="BV305" s="36"/>
      <c r="BW305" s="6" t="e">
        <f t="shared" si="277"/>
        <v>#N/A</v>
      </c>
      <c r="BX305" s="9">
        <f t="shared" ca="1" si="278"/>
        <v>-65.220682514826848</v>
      </c>
      <c r="BY305" s="9">
        <f t="shared" ca="1" si="279"/>
        <v>21.430285361287321</v>
      </c>
      <c r="BZ305" s="9">
        <f t="shared" ca="1" si="280"/>
        <v>0</v>
      </c>
      <c r="CA305" s="6">
        <f t="shared" ca="1" si="281"/>
        <v>0</v>
      </c>
      <c r="CB305" s="6" t="e">
        <f t="shared" ca="1" si="282"/>
        <v>#DIV/0!</v>
      </c>
      <c r="CC305" s="6" t="e">
        <f t="shared" ca="1" si="283"/>
        <v>#DIV/0!</v>
      </c>
      <c r="CD305" s="9">
        <f t="shared" si="284"/>
        <v>-30</v>
      </c>
      <c r="CE305" s="9">
        <f t="shared" si="285"/>
        <v>0</v>
      </c>
      <c r="CF305" s="6">
        <f t="shared" si="286"/>
        <v>3.1415926535897931</v>
      </c>
      <c r="CG305" s="6" t="e">
        <f t="shared" ca="1" si="287"/>
        <v>#DIV/0!</v>
      </c>
      <c r="CH305" s="6"/>
      <c r="CI305" s="6"/>
      <c r="CJ305" s="1"/>
      <c r="CK305" s="6"/>
    </row>
    <row r="306" spans="55:89" x14ac:dyDescent="0.25">
      <c r="BC306"/>
      <c r="BD306"/>
      <c r="BF306" s="6" t="e">
        <f t="shared" si="273"/>
        <v>#N/A</v>
      </c>
      <c r="BG306" s="6" t="e">
        <f t="shared" si="274"/>
        <v>#N/A</v>
      </c>
      <c r="BH306" s="6" t="e">
        <f t="shared" si="275"/>
        <v>#N/A</v>
      </c>
      <c r="BI306" s="6" t="e">
        <f t="shared" si="276"/>
        <v>#N/A</v>
      </c>
      <c r="BV306" s="36"/>
      <c r="BW306" s="6" t="e">
        <f t="shared" si="277"/>
        <v>#N/A</v>
      </c>
      <c r="BX306" s="9">
        <f t="shared" ca="1" si="278"/>
        <v>-65.220682514826848</v>
      </c>
      <c r="BY306" s="9">
        <f t="shared" ca="1" si="279"/>
        <v>21.430285361287321</v>
      </c>
      <c r="BZ306" s="9">
        <f t="shared" ca="1" si="280"/>
        <v>0</v>
      </c>
      <c r="CA306" s="6">
        <f t="shared" ca="1" si="281"/>
        <v>0</v>
      </c>
      <c r="CB306" s="6" t="e">
        <f t="shared" ca="1" si="282"/>
        <v>#DIV/0!</v>
      </c>
      <c r="CC306" s="6" t="e">
        <f t="shared" ca="1" si="283"/>
        <v>#DIV/0!</v>
      </c>
      <c r="CD306" s="9">
        <f t="shared" si="284"/>
        <v>-30</v>
      </c>
      <c r="CE306" s="9">
        <f t="shared" si="285"/>
        <v>0</v>
      </c>
      <c r="CF306" s="6">
        <f t="shared" si="286"/>
        <v>3.1415926535897931</v>
      </c>
      <c r="CG306" s="6" t="e">
        <f t="shared" ca="1" si="287"/>
        <v>#DIV/0!</v>
      </c>
      <c r="CH306" s="6"/>
      <c r="CI306" s="6"/>
      <c r="CJ306" s="1"/>
      <c r="CK306" s="6"/>
    </row>
    <row r="307" spans="55:89" x14ac:dyDescent="0.25">
      <c r="BC307"/>
      <c r="BD307"/>
      <c r="BF307" s="6" t="e">
        <f t="shared" si="273"/>
        <v>#N/A</v>
      </c>
      <c r="BG307" s="6" t="e">
        <f t="shared" si="274"/>
        <v>#N/A</v>
      </c>
      <c r="BH307" s="6" t="e">
        <f t="shared" si="275"/>
        <v>#N/A</v>
      </c>
      <c r="BI307" s="6" t="e">
        <f t="shared" si="276"/>
        <v>#N/A</v>
      </c>
      <c r="BV307" s="36"/>
      <c r="BW307" s="6" t="e">
        <f t="shared" si="277"/>
        <v>#N/A</v>
      </c>
      <c r="BX307" s="9">
        <f t="shared" ca="1" si="278"/>
        <v>-65.220682514826848</v>
      </c>
      <c r="BY307" s="9">
        <f t="shared" ca="1" si="279"/>
        <v>21.430285361287321</v>
      </c>
      <c r="BZ307" s="9">
        <f t="shared" ca="1" si="280"/>
        <v>0</v>
      </c>
      <c r="CA307" s="6">
        <f t="shared" ca="1" si="281"/>
        <v>0</v>
      </c>
      <c r="CB307" s="6" t="e">
        <f t="shared" ca="1" si="282"/>
        <v>#DIV/0!</v>
      </c>
      <c r="CC307" s="6" t="e">
        <f t="shared" ca="1" si="283"/>
        <v>#DIV/0!</v>
      </c>
      <c r="CD307" s="9">
        <f t="shared" si="284"/>
        <v>-30</v>
      </c>
      <c r="CE307" s="9">
        <f t="shared" si="285"/>
        <v>0</v>
      </c>
      <c r="CF307" s="6">
        <f t="shared" si="286"/>
        <v>3.1415926535897931</v>
      </c>
      <c r="CG307" s="6" t="e">
        <f t="shared" ca="1" si="287"/>
        <v>#DIV/0!</v>
      </c>
      <c r="CH307" s="6"/>
      <c r="CI307" s="6"/>
      <c r="CJ307" s="1"/>
      <c r="CK307" s="6"/>
    </row>
    <row r="308" spans="55:89" x14ac:dyDescent="0.25">
      <c r="BC308"/>
      <c r="BD308"/>
      <c r="BF308" s="6" t="e">
        <f t="shared" si="273"/>
        <v>#N/A</v>
      </c>
      <c r="BG308" s="6" t="e">
        <f t="shared" si="274"/>
        <v>#N/A</v>
      </c>
      <c r="BH308" s="6" t="e">
        <f t="shared" si="275"/>
        <v>#N/A</v>
      </c>
      <c r="BI308" s="6" t="e">
        <f t="shared" si="276"/>
        <v>#N/A</v>
      </c>
      <c r="BV308" s="36"/>
      <c r="BW308" s="6" t="e">
        <f t="shared" si="277"/>
        <v>#N/A</v>
      </c>
      <c r="BX308" s="9">
        <f t="shared" ca="1" si="278"/>
        <v>-65.220682514826848</v>
      </c>
      <c r="BY308" s="9">
        <f t="shared" ca="1" si="279"/>
        <v>21.430285361287321</v>
      </c>
      <c r="BZ308" s="9">
        <f t="shared" ca="1" si="280"/>
        <v>0</v>
      </c>
      <c r="CA308" s="6">
        <f t="shared" ca="1" si="281"/>
        <v>0</v>
      </c>
      <c r="CB308" s="6" t="e">
        <f t="shared" ca="1" si="282"/>
        <v>#DIV/0!</v>
      </c>
      <c r="CC308" s="6" t="e">
        <f t="shared" ca="1" si="283"/>
        <v>#DIV/0!</v>
      </c>
      <c r="CD308" s="9">
        <f t="shared" si="284"/>
        <v>-30</v>
      </c>
      <c r="CE308" s="9">
        <f t="shared" si="285"/>
        <v>0</v>
      </c>
      <c r="CF308" s="6">
        <f t="shared" si="286"/>
        <v>3.1415926535897931</v>
      </c>
      <c r="CG308" s="6" t="e">
        <f t="shared" ca="1" si="287"/>
        <v>#DIV/0!</v>
      </c>
      <c r="CH308" s="6"/>
      <c r="CI308" s="6"/>
      <c r="CJ308" s="1"/>
      <c r="CK308" s="6"/>
    </row>
    <row r="309" spans="55:89" x14ac:dyDescent="0.25">
      <c r="BC309"/>
      <c r="BD309"/>
      <c r="BF309" s="6" t="e">
        <f t="shared" si="273"/>
        <v>#N/A</v>
      </c>
      <c r="BG309" s="6" t="e">
        <f t="shared" si="274"/>
        <v>#N/A</v>
      </c>
      <c r="BH309" s="6" t="e">
        <f t="shared" si="275"/>
        <v>#N/A</v>
      </c>
      <c r="BI309" s="6" t="e">
        <f t="shared" si="276"/>
        <v>#N/A</v>
      </c>
      <c r="BV309" s="36"/>
      <c r="BW309" s="6" t="e">
        <f t="shared" si="277"/>
        <v>#N/A</v>
      </c>
      <c r="BX309" s="9">
        <f t="shared" ca="1" si="278"/>
        <v>-65.220682514826848</v>
      </c>
      <c r="BY309" s="9">
        <f t="shared" ca="1" si="279"/>
        <v>21.430285361287321</v>
      </c>
      <c r="BZ309" s="9">
        <f t="shared" ca="1" si="280"/>
        <v>0</v>
      </c>
      <c r="CA309" s="6">
        <f t="shared" ca="1" si="281"/>
        <v>0</v>
      </c>
      <c r="CB309" s="6" t="e">
        <f t="shared" ca="1" si="282"/>
        <v>#DIV/0!</v>
      </c>
      <c r="CC309" s="6" t="e">
        <f t="shared" ca="1" si="283"/>
        <v>#DIV/0!</v>
      </c>
      <c r="CD309" s="9">
        <f t="shared" si="284"/>
        <v>-30</v>
      </c>
      <c r="CE309" s="9">
        <f t="shared" si="285"/>
        <v>0</v>
      </c>
      <c r="CF309" s="6">
        <f t="shared" si="286"/>
        <v>3.1415926535897931</v>
      </c>
      <c r="CG309" s="6" t="e">
        <f t="shared" ca="1" si="287"/>
        <v>#DIV/0!</v>
      </c>
      <c r="CH309" s="6"/>
      <c r="CI309" s="6"/>
      <c r="CJ309" s="1"/>
      <c r="CK309" s="6"/>
    </row>
    <row r="310" spans="55:89" x14ac:dyDescent="0.25">
      <c r="BC310"/>
      <c r="BD310"/>
      <c r="BF310" s="6" t="e">
        <f t="shared" si="273"/>
        <v>#N/A</v>
      </c>
      <c r="BG310" s="6" t="e">
        <f t="shared" si="274"/>
        <v>#N/A</v>
      </c>
      <c r="BH310" s="6" t="e">
        <f t="shared" si="275"/>
        <v>#N/A</v>
      </c>
      <c r="BI310" s="6" t="e">
        <f t="shared" si="276"/>
        <v>#N/A</v>
      </c>
      <c r="BV310" s="36"/>
      <c r="BW310" s="6" t="e">
        <f t="shared" si="277"/>
        <v>#N/A</v>
      </c>
      <c r="BX310" s="9">
        <f t="shared" ca="1" si="278"/>
        <v>-65.220682514826848</v>
      </c>
      <c r="BY310" s="9">
        <f t="shared" ca="1" si="279"/>
        <v>21.430285361287321</v>
      </c>
      <c r="BZ310" s="9">
        <f t="shared" ca="1" si="280"/>
        <v>0</v>
      </c>
      <c r="CA310" s="6">
        <f t="shared" ca="1" si="281"/>
        <v>0</v>
      </c>
      <c r="CB310" s="6" t="e">
        <f t="shared" ca="1" si="282"/>
        <v>#DIV/0!</v>
      </c>
      <c r="CC310" s="6" t="e">
        <f t="shared" ca="1" si="283"/>
        <v>#DIV/0!</v>
      </c>
      <c r="CD310" s="9">
        <f t="shared" si="284"/>
        <v>-30</v>
      </c>
      <c r="CE310" s="9">
        <f t="shared" si="285"/>
        <v>0</v>
      </c>
      <c r="CF310" s="6">
        <f t="shared" si="286"/>
        <v>3.1415926535897931</v>
      </c>
      <c r="CG310" s="6" t="e">
        <f t="shared" ca="1" si="287"/>
        <v>#DIV/0!</v>
      </c>
      <c r="CH310" s="6"/>
      <c r="CI310" s="6"/>
      <c r="CJ310" s="1"/>
      <c r="CK310" s="6"/>
    </row>
    <row r="311" spans="55:89" x14ac:dyDescent="0.25">
      <c r="BC311"/>
      <c r="BD311"/>
      <c r="BF311" s="6" t="e">
        <f t="shared" si="273"/>
        <v>#N/A</v>
      </c>
      <c r="BG311" s="6" t="e">
        <f t="shared" si="274"/>
        <v>#N/A</v>
      </c>
      <c r="BH311" s="6" t="e">
        <f t="shared" si="275"/>
        <v>#N/A</v>
      </c>
      <c r="BI311" s="6" t="e">
        <f t="shared" si="276"/>
        <v>#N/A</v>
      </c>
      <c r="BV311" s="36"/>
      <c r="BW311" s="6" t="e">
        <f t="shared" si="277"/>
        <v>#N/A</v>
      </c>
      <c r="BX311" s="9">
        <f t="shared" ca="1" si="278"/>
        <v>-65.220682514826848</v>
      </c>
      <c r="BY311" s="9">
        <f t="shared" ca="1" si="279"/>
        <v>21.430285361287321</v>
      </c>
      <c r="BZ311" s="9">
        <f t="shared" ca="1" si="280"/>
        <v>0</v>
      </c>
      <c r="CA311" s="6">
        <f t="shared" ca="1" si="281"/>
        <v>0</v>
      </c>
      <c r="CB311" s="6" t="e">
        <f t="shared" ca="1" si="282"/>
        <v>#DIV/0!</v>
      </c>
      <c r="CC311" s="6" t="e">
        <f t="shared" ca="1" si="283"/>
        <v>#DIV/0!</v>
      </c>
      <c r="CD311" s="9">
        <f t="shared" si="284"/>
        <v>-30</v>
      </c>
      <c r="CE311" s="9">
        <f t="shared" si="285"/>
        <v>0</v>
      </c>
      <c r="CF311" s="6">
        <f t="shared" si="286"/>
        <v>3.1415926535897931</v>
      </c>
      <c r="CG311" s="6" t="e">
        <f t="shared" ca="1" si="287"/>
        <v>#DIV/0!</v>
      </c>
      <c r="CH311" s="6"/>
      <c r="CI311" s="6"/>
      <c r="CJ311" s="1"/>
      <c r="CK311" s="6"/>
    </row>
    <row r="312" spans="55:89" x14ac:dyDescent="0.25">
      <c r="BC312"/>
      <c r="BD312"/>
      <c r="BF312" s="6" t="e">
        <f t="shared" si="273"/>
        <v>#N/A</v>
      </c>
      <c r="BG312" s="6" t="e">
        <f t="shared" si="274"/>
        <v>#N/A</v>
      </c>
      <c r="BH312" s="6" t="e">
        <f t="shared" si="275"/>
        <v>#N/A</v>
      </c>
      <c r="BI312" s="6" t="e">
        <f t="shared" si="276"/>
        <v>#N/A</v>
      </c>
      <c r="BV312" s="36"/>
      <c r="BW312" s="6" t="e">
        <f t="shared" si="277"/>
        <v>#N/A</v>
      </c>
      <c r="BX312" s="9">
        <f t="shared" ca="1" si="278"/>
        <v>-65.220682514826848</v>
      </c>
      <c r="BY312" s="9">
        <f t="shared" ca="1" si="279"/>
        <v>21.430285361287321</v>
      </c>
      <c r="BZ312" s="9">
        <f t="shared" ca="1" si="280"/>
        <v>0</v>
      </c>
      <c r="CA312" s="6">
        <f t="shared" ca="1" si="281"/>
        <v>0</v>
      </c>
      <c r="CB312" s="6" t="e">
        <f t="shared" ca="1" si="282"/>
        <v>#DIV/0!</v>
      </c>
      <c r="CC312" s="6" t="e">
        <f t="shared" ca="1" si="283"/>
        <v>#DIV/0!</v>
      </c>
      <c r="CD312" s="9">
        <f t="shared" si="284"/>
        <v>-30</v>
      </c>
      <c r="CE312" s="9">
        <f t="shared" si="285"/>
        <v>0</v>
      </c>
      <c r="CF312" s="6">
        <f t="shared" si="286"/>
        <v>3.1415926535897931</v>
      </c>
      <c r="CG312" s="6" t="e">
        <f t="shared" ca="1" si="287"/>
        <v>#DIV/0!</v>
      </c>
      <c r="CH312" s="6"/>
      <c r="CI312" s="6"/>
      <c r="CJ312" s="1"/>
      <c r="CK312" s="6"/>
    </row>
    <row r="313" spans="55:89" x14ac:dyDescent="0.25">
      <c r="BC313"/>
      <c r="BD313"/>
      <c r="BF313" s="6" t="e">
        <f t="shared" si="273"/>
        <v>#N/A</v>
      </c>
      <c r="BG313" s="6" t="e">
        <f t="shared" si="274"/>
        <v>#N/A</v>
      </c>
      <c r="BH313" s="6" t="e">
        <f t="shared" si="275"/>
        <v>#N/A</v>
      </c>
      <c r="BI313" s="6" t="e">
        <f t="shared" si="276"/>
        <v>#N/A</v>
      </c>
      <c r="BV313" s="36"/>
      <c r="BW313" s="6" t="e">
        <f t="shared" si="277"/>
        <v>#N/A</v>
      </c>
      <c r="BX313" s="9">
        <f t="shared" ca="1" si="278"/>
        <v>-65.220682514826848</v>
      </c>
      <c r="BY313" s="9">
        <f t="shared" ca="1" si="279"/>
        <v>21.430285361287321</v>
      </c>
      <c r="BZ313" s="9">
        <f t="shared" ca="1" si="280"/>
        <v>0</v>
      </c>
      <c r="CA313" s="6">
        <f t="shared" ca="1" si="281"/>
        <v>0</v>
      </c>
      <c r="CB313" s="6" t="e">
        <f t="shared" ca="1" si="282"/>
        <v>#DIV/0!</v>
      </c>
      <c r="CC313" s="6" t="e">
        <f t="shared" ca="1" si="283"/>
        <v>#DIV/0!</v>
      </c>
      <c r="CD313" s="9">
        <f t="shared" si="284"/>
        <v>-30</v>
      </c>
      <c r="CE313" s="9">
        <f t="shared" si="285"/>
        <v>0</v>
      </c>
      <c r="CF313" s="6">
        <f t="shared" si="286"/>
        <v>3.1415926535897931</v>
      </c>
      <c r="CG313" s="6" t="e">
        <f t="shared" ca="1" si="287"/>
        <v>#DIV/0!</v>
      </c>
      <c r="CH313" s="6"/>
      <c r="CI313" s="6"/>
      <c r="CJ313" s="1"/>
      <c r="CK313" s="6"/>
    </row>
    <row r="314" spans="55:89" x14ac:dyDescent="0.25">
      <c r="BC314"/>
      <c r="BD314"/>
      <c r="BF314" s="6" t="e">
        <f t="shared" si="273"/>
        <v>#N/A</v>
      </c>
      <c r="BG314" s="6" t="e">
        <f t="shared" si="274"/>
        <v>#N/A</v>
      </c>
      <c r="BH314" s="6" t="e">
        <f t="shared" si="275"/>
        <v>#N/A</v>
      </c>
      <c r="BI314" s="6" t="e">
        <f t="shared" si="276"/>
        <v>#N/A</v>
      </c>
      <c r="BV314" s="36"/>
      <c r="BW314" s="6" t="e">
        <f t="shared" si="277"/>
        <v>#N/A</v>
      </c>
      <c r="BX314" s="9">
        <f t="shared" ca="1" si="278"/>
        <v>-65.220682514826848</v>
      </c>
      <c r="BY314" s="9">
        <f t="shared" ca="1" si="279"/>
        <v>21.430285361287321</v>
      </c>
      <c r="BZ314" s="9">
        <f t="shared" ca="1" si="280"/>
        <v>0</v>
      </c>
      <c r="CA314" s="6">
        <f t="shared" ca="1" si="281"/>
        <v>0</v>
      </c>
      <c r="CB314" s="6" t="e">
        <f t="shared" ca="1" si="282"/>
        <v>#DIV/0!</v>
      </c>
      <c r="CC314" s="6" t="e">
        <f t="shared" ca="1" si="283"/>
        <v>#DIV/0!</v>
      </c>
      <c r="CD314" s="9">
        <f t="shared" si="284"/>
        <v>-30</v>
      </c>
      <c r="CE314" s="9">
        <f t="shared" si="285"/>
        <v>0</v>
      </c>
      <c r="CF314" s="6">
        <f t="shared" si="286"/>
        <v>3.1415926535897931</v>
      </c>
      <c r="CG314" s="6" t="e">
        <f t="shared" ca="1" si="287"/>
        <v>#DIV/0!</v>
      </c>
      <c r="CH314" s="6"/>
      <c r="CI314" s="6"/>
      <c r="CJ314" s="1"/>
      <c r="CK314" s="6"/>
    </row>
    <row r="315" spans="55:89" x14ac:dyDescent="0.25">
      <c r="BC315"/>
      <c r="BD315"/>
      <c r="BF315" s="6" t="e">
        <f t="shared" si="273"/>
        <v>#N/A</v>
      </c>
      <c r="BG315" s="6" t="e">
        <f t="shared" si="274"/>
        <v>#N/A</v>
      </c>
      <c r="BH315" s="6" t="e">
        <f t="shared" si="275"/>
        <v>#N/A</v>
      </c>
      <c r="BI315" s="6" t="e">
        <f t="shared" si="276"/>
        <v>#N/A</v>
      </c>
      <c r="BV315" s="36"/>
      <c r="BW315" s="6" t="e">
        <f t="shared" si="277"/>
        <v>#N/A</v>
      </c>
      <c r="BX315" s="9">
        <f t="shared" ca="1" si="278"/>
        <v>-65.220682514826848</v>
      </c>
      <c r="BY315" s="9">
        <f t="shared" ca="1" si="279"/>
        <v>21.430285361287321</v>
      </c>
      <c r="BZ315" s="9">
        <f t="shared" ca="1" si="280"/>
        <v>0</v>
      </c>
      <c r="CA315" s="6">
        <f t="shared" ca="1" si="281"/>
        <v>0</v>
      </c>
      <c r="CB315" s="6" t="e">
        <f t="shared" ca="1" si="282"/>
        <v>#DIV/0!</v>
      </c>
      <c r="CC315" s="6" t="e">
        <f t="shared" ca="1" si="283"/>
        <v>#DIV/0!</v>
      </c>
      <c r="CD315" s="9">
        <f t="shared" si="284"/>
        <v>-30</v>
      </c>
      <c r="CE315" s="9">
        <f t="shared" si="285"/>
        <v>0</v>
      </c>
      <c r="CF315" s="6">
        <f t="shared" si="286"/>
        <v>3.1415926535897931</v>
      </c>
      <c r="CG315" s="6" t="e">
        <f t="shared" ca="1" si="287"/>
        <v>#DIV/0!</v>
      </c>
      <c r="CH315" s="6"/>
      <c r="CI315" s="6"/>
      <c r="CJ315" s="1"/>
      <c r="CK315" s="6"/>
    </row>
    <row r="316" spans="55:89" x14ac:dyDescent="0.25">
      <c r="BC316"/>
      <c r="BD316"/>
      <c r="BF316" s="6" t="e">
        <f t="shared" si="273"/>
        <v>#N/A</v>
      </c>
      <c r="BG316" s="6" t="e">
        <f t="shared" si="274"/>
        <v>#N/A</v>
      </c>
      <c r="BH316" s="6" t="e">
        <f t="shared" si="275"/>
        <v>#N/A</v>
      </c>
      <c r="BI316" s="6" t="e">
        <f t="shared" si="276"/>
        <v>#N/A</v>
      </c>
      <c r="BV316" s="36"/>
      <c r="BW316" s="6" t="e">
        <f t="shared" si="277"/>
        <v>#N/A</v>
      </c>
      <c r="BX316" s="9">
        <f t="shared" ca="1" si="278"/>
        <v>-65.220682514826848</v>
      </c>
      <c r="BY316" s="9">
        <f t="shared" ca="1" si="279"/>
        <v>21.430285361287321</v>
      </c>
      <c r="BZ316" s="9">
        <f t="shared" ca="1" si="280"/>
        <v>0</v>
      </c>
      <c r="CA316" s="6">
        <f t="shared" ca="1" si="281"/>
        <v>0</v>
      </c>
      <c r="CB316" s="6" t="e">
        <f t="shared" ca="1" si="282"/>
        <v>#DIV/0!</v>
      </c>
      <c r="CC316" s="6" t="e">
        <f t="shared" ca="1" si="283"/>
        <v>#DIV/0!</v>
      </c>
      <c r="CD316" s="9">
        <f t="shared" si="284"/>
        <v>-30</v>
      </c>
      <c r="CE316" s="9">
        <f t="shared" si="285"/>
        <v>0</v>
      </c>
      <c r="CF316" s="6">
        <f t="shared" si="286"/>
        <v>3.1415926535897931</v>
      </c>
      <c r="CG316" s="6" t="e">
        <f t="shared" ca="1" si="287"/>
        <v>#DIV/0!</v>
      </c>
      <c r="CH316" s="6"/>
      <c r="CI316" s="6"/>
      <c r="CJ316" s="1"/>
      <c r="CK316" s="6"/>
    </row>
    <row r="317" spans="55:89" x14ac:dyDescent="0.25">
      <c r="BC317"/>
      <c r="BD317"/>
      <c r="BF317" s="6" t="e">
        <f t="shared" si="273"/>
        <v>#N/A</v>
      </c>
      <c r="BG317" s="6" t="e">
        <f t="shared" si="274"/>
        <v>#N/A</v>
      </c>
      <c r="BH317" s="6" t="e">
        <f t="shared" si="275"/>
        <v>#N/A</v>
      </c>
      <c r="BI317" s="6" t="e">
        <f t="shared" si="276"/>
        <v>#N/A</v>
      </c>
      <c r="BV317" s="36"/>
      <c r="BW317" s="6" t="e">
        <f t="shared" si="277"/>
        <v>#N/A</v>
      </c>
      <c r="BX317" s="9">
        <f t="shared" ca="1" si="278"/>
        <v>-65.220682514826848</v>
      </c>
      <c r="BY317" s="9">
        <f t="shared" ca="1" si="279"/>
        <v>21.430285361287321</v>
      </c>
      <c r="BZ317" s="9">
        <f t="shared" ca="1" si="280"/>
        <v>0</v>
      </c>
      <c r="CA317" s="6">
        <f t="shared" ca="1" si="281"/>
        <v>0</v>
      </c>
      <c r="CB317" s="6" t="e">
        <f t="shared" ca="1" si="282"/>
        <v>#DIV/0!</v>
      </c>
      <c r="CC317" s="6" t="e">
        <f t="shared" ca="1" si="283"/>
        <v>#DIV/0!</v>
      </c>
      <c r="CD317" s="9">
        <f t="shared" si="284"/>
        <v>-30</v>
      </c>
      <c r="CE317" s="9">
        <f t="shared" si="285"/>
        <v>0</v>
      </c>
      <c r="CF317" s="6">
        <f t="shared" si="286"/>
        <v>3.1415926535897931</v>
      </c>
      <c r="CG317" s="6" t="e">
        <f t="shared" ca="1" si="287"/>
        <v>#DIV/0!</v>
      </c>
      <c r="CH317" s="6"/>
      <c r="CI317" s="6"/>
      <c r="CJ317" s="1"/>
      <c r="CK317" s="6"/>
    </row>
    <row r="318" spans="55:89" x14ac:dyDescent="0.25">
      <c r="BC318"/>
      <c r="BD318"/>
      <c r="BF318" s="6" t="e">
        <f t="shared" si="273"/>
        <v>#N/A</v>
      </c>
      <c r="BG318" s="6" t="e">
        <f t="shared" si="274"/>
        <v>#N/A</v>
      </c>
      <c r="BH318" s="6" t="e">
        <f t="shared" si="275"/>
        <v>#N/A</v>
      </c>
      <c r="BI318" s="6" t="e">
        <f t="shared" si="276"/>
        <v>#N/A</v>
      </c>
      <c r="BV318" s="36"/>
      <c r="BW318" s="6" t="e">
        <f t="shared" si="277"/>
        <v>#N/A</v>
      </c>
      <c r="BX318" s="9">
        <f t="shared" ca="1" si="278"/>
        <v>-65.220682514826848</v>
      </c>
      <c r="BY318" s="9">
        <f t="shared" ca="1" si="279"/>
        <v>21.430285361287321</v>
      </c>
      <c r="BZ318" s="9">
        <f t="shared" ca="1" si="280"/>
        <v>0</v>
      </c>
      <c r="CA318" s="6">
        <f t="shared" ca="1" si="281"/>
        <v>0</v>
      </c>
      <c r="CB318" s="6" t="e">
        <f t="shared" ca="1" si="282"/>
        <v>#DIV/0!</v>
      </c>
      <c r="CC318" s="6" t="e">
        <f t="shared" ca="1" si="283"/>
        <v>#DIV/0!</v>
      </c>
      <c r="CD318" s="9">
        <f t="shared" si="284"/>
        <v>-30</v>
      </c>
      <c r="CE318" s="9">
        <f t="shared" si="285"/>
        <v>0</v>
      </c>
      <c r="CF318" s="6">
        <f t="shared" si="286"/>
        <v>3.1415926535897931</v>
      </c>
      <c r="CG318" s="6" t="e">
        <f t="shared" ca="1" si="287"/>
        <v>#DIV/0!</v>
      </c>
      <c r="CH318" s="6"/>
      <c r="CI318" s="6"/>
      <c r="CJ318" s="1"/>
      <c r="CK318" s="6"/>
    </row>
    <row r="319" spans="55:89" x14ac:dyDescent="0.25">
      <c r="BC319"/>
      <c r="BD319"/>
      <c r="BF319" s="6" t="e">
        <f t="shared" si="273"/>
        <v>#N/A</v>
      </c>
      <c r="BG319" s="6" t="e">
        <f t="shared" si="274"/>
        <v>#N/A</v>
      </c>
      <c r="BH319" s="6" t="e">
        <f t="shared" si="275"/>
        <v>#N/A</v>
      </c>
      <c r="BI319" s="6" t="e">
        <f t="shared" si="276"/>
        <v>#N/A</v>
      </c>
      <c r="BV319" s="36"/>
      <c r="BW319" s="6" t="e">
        <f t="shared" si="277"/>
        <v>#N/A</v>
      </c>
      <c r="BX319" s="9">
        <f t="shared" ca="1" si="278"/>
        <v>-65.220682514826848</v>
      </c>
      <c r="BY319" s="9">
        <f t="shared" ca="1" si="279"/>
        <v>21.430285361287321</v>
      </c>
      <c r="BZ319" s="9">
        <f t="shared" ca="1" si="280"/>
        <v>0</v>
      </c>
      <c r="CA319" s="6">
        <f t="shared" ca="1" si="281"/>
        <v>0</v>
      </c>
      <c r="CB319" s="6" t="e">
        <f t="shared" ca="1" si="282"/>
        <v>#DIV/0!</v>
      </c>
      <c r="CC319" s="6" t="e">
        <f t="shared" ca="1" si="283"/>
        <v>#DIV/0!</v>
      </c>
      <c r="CD319" s="9">
        <f t="shared" si="284"/>
        <v>-30</v>
      </c>
      <c r="CE319" s="9">
        <f t="shared" si="285"/>
        <v>0</v>
      </c>
      <c r="CF319" s="6">
        <f t="shared" si="286"/>
        <v>3.1415926535897931</v>
      </c>
      <c r="CG319" s="6" t="e">
        <f t="shared" ca="1" si="287"/>
        <v>#DIV/0!</v>
      </c>
      <c r="CH319" s="6"/>
      <c r="CI319" s="6"/>
      <c r="CJ319" s="1"/>
      <c r="CK319" s="6"/>
    </row>
    <row r="320" spans="55:89" x14ac:dyDescent="0.25">
      <c r="BC320"/>
      <c r="BD320"/>
      <c r="BF320" s="6" t="e">
        <f t="shared" si="273"/>
        <v>#N/A</v>
      </c>
      <c r="BG320" s="6" t="e">
        <f t="shared" si="274"/>
        <v>#N/A</v>
      </c>
      <c r="BH320" s="6" t="e">
        <f t="shared" si="275"/>
        <v>#N/A</v>
      </c>
      <c r="BI320" s="6" t="e">
        <f t="shared" si="276"/>
        <v>#N/A</v>
      </c>
      <c r="BV320" s="36"/>
      <c r="BW320" s="6" t="e">
        <f t="shared" si="277"/>
        <v>#N/A</v>
      </c>
      <c r="BX320" s="9">
        <f t="shared" ca="1" si="278"/>
        <v>-65.220682514826848</v>
      </c>
      <c r="BY320" s="9">
        <f t="shared" ca="1" si="279"/>
        <v>21.430285361287321</v>
      </c>
      <c r="BZ320" s="9">
        <f t="shared" ca="1" si="280"/>
        <v>0</v>
      </c>
      <c r="CA320" s="6">
        <f t="shared" ca="1" si="281"/>
        <v>0</v>
      </c>
      <c r="CB320" s="6" t="e">
        <f t="shared" ca="1" si="282"/>
        <v>#DIV/0!</v>
      </c>
      <c r="CC320" s="6" t="e">
        <f t="shared" ca="1" si="283"/>
        <v>#DIV/0!</v>
      </c>
      <c r="CD320" s="9">
        <f t="shared" si="284"/>
        <v>-30</v>
      </c>
      <c r="CE320" s="9">
        <f t="shared" si="285"/>
        <v>0</v>
      </c>
      <c r="CF320" s="6">
        <f t="shared" si="286"/>
        <v>3.1415926535897931</v>
      </c>
      <c r="CG320" s="6" t="e">
        <f t="shared" ca="1" si="287"/>
        <v>#DIV/0!</v>
      </c>
      <c r="CH320" s="6"/>
      <c r="CI320" s="6"/>
      <c r="CJ320" s="1"/>
      <c r="CK320" s="6"/>
    </row>
    <row r="321" spans="55:89" x14ac:dyDescent="0.25">
      <c r="BC321"/>
      <c r="BD321"/>
      <c r="BF321" s="6" t="e">
        <f t="shared" si="273"/>
        <v>#N/A</v>
      </c>
      <c r="BG321" s="6" t="e">
        <f t="shared" si="274"/>
        <v>#N/A</v>
      </c>
      <c r="BH321" s="6" t="e">
        <f t="shared" si="275"/>
        <v>#N/A</v>
      </c>
      <c r="BI321" s="6" t="e">
        <f t="shared" si="276"/>
        <v>#N/A</v>
      </c>
      <c r="BV321" s="36"/>
      <c r="BW321" s="6" t="e">
        <f t="shared" si="277"/>
        <v>#N/A</v>
      </c>
      <c r="BX321" s="9">
        <f t="shared" ca="1" si="278"/>
        <v>-65.220682514826848</v>
      </c>
      <c r="BY321" s="9">
        <f t="shared" ca="1" si="279"/>
        <v>21.430285361287321</v>
      </c>
      <c r="BZ321" s="9">
        <f t="shared" ca="1" si="280"/>
        <v>0</v>
      </c>
      <c r="CA321" s="6">
        <f t="shared" ca="1" si="281"/>
        <v>0</v>
      </c>
      <c r="CB321" s="6" t="e">
        <f t="shared" ca="1" si="282"/>
        <v>#DIV/0!</v>
      </c>
      <c r="CC321" s="6" t="e">
        <f t="shared" ca="1" si="283"/>
        <v>#DIV/0!</v>
      </c>
      <c r="CD321" s="9">
        <f t="shared" si="284"/>
        <v>-30</v>
      </c>
      <c r="CE321" s="9">
        <f t="shared" si="285"/>
        <v>0</v>
      </c>
      <c r="CF321" s="6">
        <f t="shared" si="286"/>
        <v>3.1415926535897931</v>
      </c>
      <c r="CG321" s="6" t="e">
        <f t="shared" ca="1" si="287"/>
        <v>#DIV/0!</v>
      </c>
      <c r="CH321" s="6"/>
      <c r="CI321" s="6"/>
      <c r="CJ321" s="1"/>
      <c r="CK321" s="6"/>
    </row>
    <row r="322" spans="55:89" x14ac:dyDescent="0.25">
      <c r="BC322"/>
      <c r="BD322"/>
      <c r="BF322" s="6" t="e">
        <f t="shared" si="273"/>
        <v>#N/A</v>
      </c>
      <c r="BG322" s="6" t="e">
        <f t="shared" si="274"/>
        <v>#N/A</v>
      </c>
      <c r="BH322" s="6" t="e">
        <f t="shared" si="275"/>
        <v>#N/A</v>
      </c>
      <c r="BI322" s="6" t="e">
        <f t="shared" si="276"/>
        <v>#N/A</v>
      </c>
      <c r="BV322" s="36"/>
      <c r="BW322" s="6" t="e">
        <f t="shared" si="277"/>
        <v>#N/A</v>
      </c>
      <c r="BX322" s="9">
        <f t="shared" ca="1" si="278"/>
        <v>-65.220682514826848</v>
      </c>
      <c r="BY322" s="9">
        <f t="shared" ca="1" si="279"/>
        <v>21.430285361287321</v>
      </c>
      <c r="BZ322" s="9">
        <f t="shared" ca="1" si="280"/>
        <v>0</v>
      </c>
      <c r="CA322" s="6">
        <f t="shared" ca="1" si="281"/>
        <v>0</v>
      </c>
      <c r="CB322" s="6" t="e">
        <f t="shared" ca="1" si="282"/>
        <v>#DIV/0!</v>
      </c>
      <c r="CC322" s="6" t="e">
        <f t="shared" ca="1" si="283"/>
        <v>#DIV/0!</v>
      </c>
      <c r="CD322" s="9">
        <f t="shared" si="284"/>
        <v>-30</v>
      </c>
      <c r="CE322" s="9">
        <f t="shared" si="285"/>
        <v>0</v>
      </c>
      <c r="CF322" s="6">
        <f t="shared" si="286"/>
        <v>3.1415926535897931</v>
      </c>
      <c r="CG322" s="6" t="e">
        <f t="shared" ca="1" si="287"/>
        <v>#DIV/0!</v>
      </c>
      <c r="CH322" s="6"/>
      <c r="CI322" s="6"/>
      <c r="CJ322" s="1"/>
      <c r="CK322" s="6"/>
    </row>
    <row r="323" spans="55:89" x14ac:dyDescent="0.25">
      <c r="BC323"/>
      <c r="BD323"/>
      <c r="BF323" s="6" t="e">
        <f t="shared" ref="BF323:BF362" si="288">IF(BC323&lt;&gt;"",IF(AND(BD323=0,BE323=0),0,MOD(ATAN2(BD323,BE323),2*PI())),NA())</f>
        <v>#N/A</v>
      </c>
      <c r="BG323" s="6" t="e">
        <f t="shared" ref="BG323:BG362" si="289">ABS(BC323-BF323)</f>
        <v>#N/A</v>
      </c>
      <c r="BH323" s="6" t="e">
        <f t="shared" ref="BH323:BH362" si="290">ATAN2(COS($U$13-BF323),SIN($U$13-BF323))</f>
        <v>#N/A</v>
      </c>
      <c r="BI323" s="6" t="e">
        <f t="shared" ref="BI323:BI362" si="291">ABS(BH323)</f>
        <v>#N/A</v>
      </c>
      <c r="BV323" s="36"/>
      <c r="BW323" s="6" t="e">
        <f t="shared" si="277"/>
        <v>#N/A</v>
      </c>
      <c r="BX323" s="9">
        <f t="shared" ca="1" si="278"/>
        <v>-65.220682514826848</v>
      </c>
      <c r="BY323" s="9">
        <f t="shared" ca="1" si="279"/>
        <v>21.430285361287321</v>
      </c>
      <c r="BZ323" s="9">
        <f t="shared" ca="1" si="280"/>
        <v>0</v>
      </c>
      <c r="CA323" s="6">
        <f t="shared" ca="1" si="281"/>
        <v>0</v>
      </c>
      <c r="CB323" s="6" t="e">
        <f t="shared" ca="1" si="282"/>
        <v>#DIV/0!</v>
      </c>
      <c r="CC323" s="6" t="e">
        <f t="shared" ca="1" si="283"/>
        <v>#DIV/0!</v>
      </c>
      <c r="CD323" s="9">
        <f t="shared" si="284"/>
        <v>-30</v>
      </c>
      <c r="CE323" s="9">
        <f t="shared" si="285"/>
        <v>0</v>
      </c>
      <c r="CF323" s="6">
        <f t="shared" si="286"/>
        <v>3.1415926535897931</v>
      </c>
      <c r="CG323" s="6" t="e">
        <f t="shared" ca="1" si="287"/>
        <v>#DIV/0!</v>
      </c>
      <c r="CH323" s="6"/>
      <c r="CI323" s="6"/>
      <c r="CJ323" s="1"/>
      <c r="CK323" s="6"/>
    </row>
    <row r="324" spans="55:89" x14ac:dyDescent="0.25">
      <c r="BC324"/>
      <c r="BD324"/>
      <c r="BF324" s="6" t="e">
        <f t="shared" si="288"/>
        <v>#N/A</v>
      </c>
      <c r="BG324" s="6" t="e">
        <f t="shared" si="289"/>
        <v>#N/A</v>
      </c>
      <c r="BH324" s="6" t="e">
        <f t="shared" si="290"/>
        <v>#N/A</v>
      </c>
      <c r="BI324" s="6" t="e">
        <f t="shared" si="291"/>
        <v>#N/A</v>
      </c>
      <c r="BV324" s="36"/>
      <c r="BW324" s="6" t="e">
        <f t="shared" si="277"/>
        <v>#N/A</v>
      </c>
      <c r="BX324" s="9">
        <f t="shared" ca="1" si="278"/>
        <v>-65.220682514826848</v>
      </c>
      <c r="BY324" s="9">
        <f t="shared" ca="1" si="279"/>
        <v>21.430285361287321</v>
      </c>
      <c r="BZ324" s="9">
        <f t="shared" ca="1" si="280"/>
        <v>0</v>
      </c>
      <c r="CA324" s="6">
        <f t="shared" ca="1" si="281"/>
        <v>0</v>
      </c>
      <c r="CB324" s="6" t="e">
        <f t="shared" ca="1" si="282"/>
        <v>#DIV/0!</v>
      </c>
      <c r="CC324" s="6" t="e">
        <f t="shared" ca="1" si="283"/>
        <v>#DIV/0!</v>
      </c>
      <c r="CD324" s="9">
        <f t="shared" si="284"/>
        <v>-30</v>
      </c>
      <c r="CE324" s="9">
        <f t="shared" si="285"/>
        <v>0</v>
      </c>
      <c r="CF324" s="6">
        <f t="shared" si="286"/>
        <v>3.1415926535897931</v>
      </c>
      <c r="CG324" s="6" t="e">
        <f t="shared" ca="1" si="287"/>
        <v>#DIV/0!</v>
      </c>
      <c r="CH324" s="6"/>
      <c r="CI324" s="6"/>
      <c r="CJ324" s="1"/>
      <c r="CK324" s="6"/>
    </row>
    <row r="325" spans="55:89" x14ac:dyDescent="0.25">
      <c r="BC325"/>
      <c r="BD325"/>
      <c r="BF325" s="6" t="e">
        <f t="shared" si="288"/>
        <v>#N/A</v>
      </c>
      <c r="BG325" s="6" t="e">
        <f t="shared" si="289"/>
        <v>#N/A</v>
      </c>
      <c r="BH325" s="6" t="e">
        <f t="shared" si="290"/>
        <v>#N/A</v>
      </c>
      <c r="BI325" s="6" t="e">
        <f t="shared" si="291"/>
        <v>#N/A</v>
      </c>
      <c r="BV325" s="36"/>
      <c r="BW325" s="6" t="e">
        <f t="shared" si="277"/>
        <v>#N/A</v>
      </c>
      <c r="BX325" s="9">
        <f t="shared" ca="1" si="278"/>
        <v>-65.220682514826848</v>
      </c>
      <c r="BY325" s="9">
        <f t="shared" ca="1" si="279"/>
        <v>21.430285361287321</v>
      </c>
      <c r="BZ325" s="9">
        <f t="shared" ca="1" si="280"/>
        <v>0</v>
      </c>
      <c r="CA325" s="6">
        <f t="shared" ca="1" si="281"/>
        <v>0</v>
      </c>
      <c r="CB325" s="6" t="e">
        <f t="shared" ca="1" si="282"/>
        <v>#DIV/0!</v>
      </c>
      <c r="CC325" s="6" t="e">
        <f t="shared" ca="1" si="283"/>
        <v>#DIV/0!</v>
      </c>
      <c r="CD325" s="9">
        <f t="shared" si="284"/>
        <v>-30</v>
      </c>
      <c r="CE325" s="9">
        <f t="shared" si="285"/>
        <v>0</v>
      </c>
      <c r="CF325" s="6">
        <f t="shared" si="286"/>
        <v>3.1415926535897931</v>
      </c>
      <c r="CG325" s="6" t="e">
        <f t="shared" ca="1" si="287"/>
        <v>#DIV/0!</v>
      </c>
      <c r="CH325" s="6"/>
      <c r="CI325" s="6"/>
      <c r="CJ325" s="1"/>
      <c r="CK325" s="6"/>
    </row>
    <row r="326" spans="55:89" x14ac:dyDescent="0.25">
      <c r="BC326"/>
      <c r="BD326"/>
      <c r="BF326" s="6" t="e">
        <f t="shared" si="288"/>
        <v>#N/A</v>
      </c>
      <c r="BG326" s="6" t="e">
        <f t="shared" si="289"/>
        <v>#N/A</v>
      </c>
      <c r="BH326" s="6" t="e">
        <f t="shared" si="290"/>
        <v>#N/A</v>
      </c>
      <c r="BI326" s="6" t="e">
        <f t="shared" si="291"/>
        <v>#N/A</v>
      </c>
      <c r="BV326" s="36"/>
      <c r="BW326" s="6" t="e">
        <f t="shared" si="277"/>
        <v>#N/A</v>
      </c>
      <c r="BX326" s="9">
        <f t="shared" ca="1" si="278"/>
        <v>-65.220682514826848</v>
      </c>
      <c r="BY326" s="9">
        <f t="shared" ca="1" si="279"/>
        <v>21.430285361287321</v>
      </c>
      <c r="BZ326" s="9">
        <f t="shared" ca="1" si="280"/>
        <v>0</v>
      </c>
      <c r="CA326" s="6">
        <f t="shared" ca="1" si="281"/>
        <v>0</v>
      </c>
      <c r="CB326" s="6" t="e">
        <f t="shared" ca="1" si="282"/>
        <v>#DIV/0!</v>
      </c>
      <c r="CC326" s="6" t="e">
        <f t="shared" ca="1" si="283"/>
        <v>#DIV/0!</v>
      </c>
      <c r="CD326" s="9">
        <f t="shared" si="284"/>
        <v>-30</v>
      </c>
      <c r="CE326" s="9">
        <f t="shared" si="285"/>
        <v>0</v>
      </c>
      <c r="CF326" s="6">
        <f t="shared" si="286"/>
        <v>3.1415926535897931</v>
      </c>
      <c r="CG326" s="6" t="e">
        <f t="shared" ca="1" si="287"/>
        <v>#DIV/0!</v>
      </c>
      <c r="CH326" s="6"/>
      <c r="CI326" s="6"/>
      <c r="CJ326" s="1"/>
      <c r="CK326" s="6"/>
    </row>
    <row r="327" spans="55:89" x14ac:dyDescent="0.25">
      <c r="BC327"/>
      <c r="BD327"/>
      <c r="BF327" s="6" t="e">
        <f t="shared" si="288"/>
        <v>#N/A</v>
      </c>
      <c r="BG327" s="6" t="e">
        <f t="shared" si="289"/>
        <v>#N/A</v>
      </c>
      <c r="BH327" s="6" t="e">
        <f t="shared" si="290"/>
        <v>#N/A</v>
      </c>
      <c r="BI327" s="6" t="e">
        <f t="shared" si="291"/>
        <v>#N/A</v>
      </c>
      <c r="BV327" s="36"/>
      <c r="BW327" s="6" t="e">
        <f t="shared" si="277"/>
        <v>#N/A</v>
      </c>
      <c r="BX327" s="9">
        <f t="shared" ca="1" si="278"/>
        <v>-65.220682514826848</v>
      </c>
      <c r="BY327" s="9">
        <f t="shared" ca="1" si="279"/>
        <v>21.430285361287321</v>
      </c>
      <c r="BZ327" s="9">
        <f t="shared" ca="1" si="280"/>
        <v>0</v>
      </c>
      <c r="CA327" s="6">
        <f t="shared" ca="1" si="281"/>
        <v>0</v>
      </c>
      <c r="CB327" s="6" t="e">
        <f t="shared" ca="1" si="282"/>
        <v>#DIV/0!</v>
      </c>
      <c r="CC327" s="6" t="e">
        <f t="shared" ca="1" si="283"/>
        <v>#DIV/0!</v>
      </c>
      <c r="CD327" s="9">
        <f t="shared" si="284"/>
        <v>-30</v>
      </c>
      <c r="CE327" s="9">
        <f t="shared" si="285"/>
        <v>0</v>
      </c>
      <c r="CF327" s="6">
        <f t="shared" si="286"/>
        <v>3.1415926535897931</v>
      </c>
      <c r="CG327" s="6" t="e">
        <f t="shared" ca="1" si="287"/>
        <v>#DIV/0!</v>
      </c>
      <c r="CH327" s="6"/>
      <c r="CI327" s="6"/>
      <c r="CJ327" s="1"/>
      <c r="CK327" s="6"/>
    </row>
    <row r="328" spans="55:89" x14ac:dyDescent="0.25">
      <c r="BC328"/>
      <c r="BD328"/>
      <c r="BF328" s="6" t="e">
        <f t="shared" si="288"/>
        <v>#N/A</v>
      </c>
      <c r="BG328" s="6" t="e">
        <f t="shared" si="289"/>
        <v>#N/A</v>
      </c>
      <c r="BH328" s="6" t="e">
        <f t="shared" si="290"/>
        <v>#N/A</v>
      </c>
      <c r="BI328" s="6" t="e">
        <f t="shared" si="291"/>
        <v>#N/A</v>
      </c>
      <c r="BV328" s="36"/>
      <c r="BW328" s="6" t="e">
        <f t="shared" si="277"/>
        <v>#N/A</v>
      </c>
      <c r="BX328" s="9">
        <f t="shared" ca="1" si="278"/>
        <v>-65.220682514826848</v>
      </c>
      <c r="BY328" s="9">
        <f t="shared" ca="1" si="279"/>
        <v>21.430285361287321</v>
      </c>
      <c r="BZ328" s="9">
        <f t="shared" ca="1" si="280"/>
        <v>0</v>
      </c>
      <c r="CA328" s="6">
        <f t="shared" ca="1" si="281"/>
        <v>0</v>
      </c>
      <c r="CB328" s="6" t="e">
        <f t="shared" ca="1" si="282"/>
        <v>#DIV/0!</v>
      </c>
      <c r="CC328" s="6" t="e">
        <f t="shared" ca="1" si="283"/>
        <v>#DIV/0!</v>
      </c>
      <c r="CD328" s="9">
        <f t="shared" si="284"/>
        <v>-30</v>
      </c>
      <c r="CE328" s="9">
        <f t="shared" si="285"/>
        <v>0</v>
      </c>
      <c r="CF328" s="6">
        <f t="shared" si="286"/>
        <v>3.1415926535897931</v>
      </c>
      <c r="CG328" s="6" t="e">
        <f t="shared" ca="1" si="287"/>
        <v>#DIV/0!</v>
      </c>
      <c r="CH328" s="6"/>
      <c r="CI328" s="6"/>
      <c r="CJ328" s="1"/>
      <c r="CK328" s="6"/>
    </row>
    <row r="329" spans="55:89" x14ac:dyDescent="0.25">
      <c r="BC329"/>
      <c r="BD329"/>
      <c r="BF329" s="6" t="e">
        <f t="shared" si="288"/>
        <v>#N/A</v>
      </c>
      <c r="BG329" s="6" t="e">
        <f t="shared" si="289"/>
        <v>#N/A</v>
      </c>
      <c r="BH329" s="6" t="e">
        <f t="shared" si="290"/>
        <v>#N/A</v>
      </c>
      <c r="BI329" s="6" t="e">
        <f t="shared" si="291"/>
        <v>#N/A</v>
      </c>
      <c r="BV329" s="36"/>
      <c r="BW329" s="6" t="e">
        <f t="shared" si="277"/>
        <v>#N/A</v>
      </c>
      <c r="BX329" s="9">
        <f t="shared" ca="1" si="278"/>
        <v>-65.220682514826848</v>
      </c>
      <c r="BY329" s="9">
        <f t="shared" ca="1" si="279"/>
        <v>21.430285361287321</v>
      </c>
      <c r="BZ329" s="9">
        <f t="shared" ca="1" si="280"/>
        <v>0</v>
      </c>
      <c r="CA329" s="6">
        <f t="shared" ca="1" si="281"/>
        <v>0</v>
      </c>
      <c r="CB329" s="6" t="e">
        <f t="shared" ca="1" si="282"/>
        <v>#DIV/0!</v>
      </c>
      <c r="CC329" s="6" t="e">
        <f t="shared" ca="1" si="283"/>
        <v>#DIV/0!</v>
      </c>
      <c r="CD329" s="9">
        <f t="shared" si="284"/>
        <v>-30</v>
      </c>
      <c r="CE329" s="9">
        <f t="shared" si="285"/>
        <v>0</v>
      </c>
      <c r="CF329" s="6">
        <f t="shared" si="286"/>
        <v>3.1415926535897931</v>
      </c>
      <c r="CG329" s="6" t="e">
        <f t="shared" ca="1" si="287"/>
        <v>#DIV/0!</v>
      </c>
      <c r="CH329" s="6"/>
      <c r="CI329" s="6"/>
      <c r="CJ329" s="1"/>
      <c r="CK329" s="6"/>
    </row>
    <row r="330" spans="55:89" x14ac:dyDescent="0.25">
      <c r="BC330"/>
      <c r="BD330"/>
      <c r="BF330" s="6" t="e">
        <f t="shared" si="288"/>
        <v>#N/A</v>
      </c>
      <c r="BG330" s="6" t="e">
        <f t="shared" si="289"/>
        <v>#N/A</v>
      </c>
      <c r="BH330" s="6" t="e">
        <f t="shared" si="290"/>
        <v>#N/A</v>
      </c>
      <c r="BI330" s="6" t="e">
        <f t="shared" si="291"/>
        <v>#N/A</v>
      </c>
      <c r="BV330" s="36"/>
      <c r="BW330" s="6" t="e">
        <f t="shared" si="277"/>
        <v>#N/A</v>
      </c>
      <c r="BX330" s="9">
        <f t="shared" ca="1" si="278"/>
        <v>-65.220682514826848</v>
      </c>
      <c r="BY330" s="9">
        <f t="shared" ca="1" si="279"/>
        <v>21.430285361287321</v>
      </c>
      <c r="BZ330" s="9">
        <f t="shared" ca="1" si="280"/>
        <v>0</v>
      </c>
      <c r="CA330" s="6">
        <f t="shared" ca="1" si="281"/>
        <v>0</v>
      </c>
      <c r="CB330" s="6" t="e">
        <f t="shared" ca="1" si="282"/>
        <v>#DIV/0!</v>
      </c>
      <c r="CC330" s="6" t="e">
        <f t="shared" ca="1" si="283"/>
        <v>#DIV/0!</v>
      </c>
      <c r="CD330" s="9">
        <f t="shared" si="284"/>
        <v>-30</v>
      </c>
      <c r="CE330" s="9">
        <f t="shared" si="285"/>
        <v>0</v>
      </c>
      <c r="CF330" s="6">
        <f t="shared" si="286"/>
        <v>3.1415926535897931</v>
      </c>
      <c r="CG330" s="6" t="e">
        <f t="shared" ca="1" si="287"/>
        <v>#DIV/0!</v>
      </c>
      <c r="CH330" s="6"/>
      <c r="CI330" s="6"/>
      <c r="CJ330" s="1"/>
      <c r="CK330" s="6"/>
    </row>
    <row r="331" spans="55:89" x14ac:dyDescent="0.25">
      <c r="BC331"/>
      <c r="BD331"/>
      <c r="BF331" s="6" t="e">
        <f t="shared" si="288"/>
        <v>#N/A</v>
      </c>
      <c r="BG331" s="6" t="e">
        <f t="shared" si="289"/>
        <v>#N/A</v>
      </c>
      <c r="BH331" s="6" t="e">
        <f t="shared" si="290"/>
        <v>#N/A</v>
      </c>
      <c r="BI331" s="6" t="e">
        <f t="shared" si="291"/>
        <v>#N/A</v>
      </c>
      <c r="BV331" s="36"/>
      <c r="BW331" s="6" t="e">
        <f t="shared" si="277"/>
        <v>#N/A</v>
      </c>
      <c r="BX331" s="9">
        <f t="shared" ca="1" si="278"/>
        <v>-65.220682514826848</v>
      </c>
      <c r="BY331" s="9">
        <f t="shared" ca="1" si="279"/>
        <v>21.430285361287321</v>
      </c>
      <c r="BZ331" s="9">
        <f t="shared" ca="1" si="280"/>
        <v>0</v>
      </c>
      <c r="CA331" s="6">
        <f t="shared" ca="1" si="281"/>
        <v>0</v>
      </c>
      <c r="CB331" s="6" t="e">
        <f t="shared" ca="1" si="282"/>
        <v>#DIV/0!</v>
      </c>
      <c r="CC331" s="6" t="e">
        <f t="shared" ca="1" si="283"/>
        <v>#DIV/0!</v>
      </c>
      <c r="CD331" s="9">
        <f t="shared" si="284"/>
        <v>-30</v>
      </c>
      <c r="CE331" s="9">
        <f t="shared" si="285"/>
        <v>0</v>
      </c>
      <c r="CF331" s="6">
        <f t="shared" si="286"/>
        <v>3.1415926535897931</v>
      </c>
      <c r="CG331" s="6" t="e">
        <f t="shared" ca="1" si="287"/>
        <v>#DIV/0!</v>
      </c>
      <c r="CH331" s="6"/>
      <c r="CI331" s="6"/>
      <c r="CJ331" s="1"/>
      <c r="CK331" s="6"/>
    </row>
    <row r="332" spans="55:89" x14ac:dyDescent="0.25">
      <c r="BC332"/>
      <c r="BD332"/>
      <c r="BF332" s="6" t="e">
        <f t="shared" si="288"/>
        <v>#N/A</v>
      </c>
      <c r="BG332" s="6" t="e">
        <f t="shared" si="289"/>
        <v>#N/A</v>
      </c>
      <c r="BH332" s="6" t="e">
        <f t="shared" si="290"/>
        <v>#N/A</v>
      </c>
      <c r="BI332" s="6" t="e">
        <f t="shared" si="291"/>
        <v>#N/A</v>
      </c>
      <c r="BV332" s="36"/>
      <c r="BW332" s="6" t="e">
        <f t="shared" si="277"/>
        <v>#N/A</v>
      </c>
      <c r="BX332" s="9">
        <f t="shared" ca="1" si="278"/>
        <v>-65.220682514826848</v>
      </c>
      <c r="BY332" s="9">
        <f t="shared" ca="1" si="279"/>
        <v>21.430285361287321</v>
      </c>
      <c r="BZ332" s="9">
        <f t="shared" ca="1" si="280"/>
        <v>0</v>
      </c>
      <c r="CA332" s="6">
        <f t="shared" ca="1" si="281"/>
        <v>0</v>
      </c>
      <c r="CB332" s="6" t="e">
        <f t="shared" ca="1" si="282"/>
        <v>#DIV/0!</v>
      </c>
      <c r="CC332" s="6" t="e">
        <f t="shared" ca="1" si="283"/>
        <v>#DIV/0!</v>
      </c>
      <c r="CD332" s="9">
        <f t="shared" si="284"/>
        <v>-30</v>
      </c>
      <c r="CE332" s="9">
        <f t="shared" si="285"/>
        <v>0</v>
      </c>
      <c r="CF332" s="6">
        <f t="shared" si="286"/>
        <v>3.1415926535897931</v>
      </c>
      <c r="CG332" s="6" t="e">
        <f t="shared" ca="1" si="287"/>
        <v>#DIV/0!</v>
      </c>
      <c r="CH332" s="6"/>
      <c r="CI332" s="6"/>
      <c r="CJ332" s="1"/>
      <c r="CK332" s="6"/>
    </row>
    <row r="333" spans="55:89" x14ac:dyDescent="0.25">
      <c r="BC333"/>
      <c r="BD333"/>
      <c r="BF333" s="6" t="e">
        <f t="shared" si="288"/>
        <v>#N/A</v>
      </c>
      <c r="BG333" s="6" t="e">
        <f t="shared" si="289"/>
        <v>#N/A</v>
      </c>
      <c r="BH333" s="6" t="e">
        <f t="shared" si="290"/>
        <v>#N/A</v>
      </c>
      <c r="BI333" s="6" t="e">
        <f t="shared" si="291"/>
        <v>#N/A</v>
      </c>
      <c r="BV333" s="36"/>
      <c r="BW333" s="6" t="e">
        <f t="shared" si="277"/>
        <v>#N/A</v>
      </c>
      <c r="BX333" s="9">
        <f t="shared" ca="1" si="278"/>
        <v>-65.220682514826848</v>
      </c>
      <c r="BY333" s="9">
        <f t="shared" ca="1" si="279"/>
        <v>21.430285361287321</v>
      </c>
      <c r="BZ333" s="9">
        <f t="shared" ca="1" si="280"/>
        <v>0</v>
      </c>
      <c r="CA333" s="6">
        <f t="shared" ca="1" si="281"/>
        <v>0</v>
      </c>
      <c r="CB333" s="6" t="e">
        <f t="shared" ca="1" si="282"/>
        <v>#DIV/0!</v>
      </c>
      <c r="CC333" s="6" t="e">
        <f t="shared" ca="1" si="283"/>
        <v>#DIV/0!</v>
      </c>
      <c r="CD333" s="9">
        <f t="shared" si="284"/>
        <v>-30</v>
      </c>
      <c r="CE333" s="9">
        <f t="shared" si="285"/>
        <v>0</v>
      </c>
      <c r="CF333" s="6">
        <f t="shared" si="286"/>
        <v>3.1415926535897931</v>
      </c>
      <c r="CG333" s="6" t="e">
        <f t="shared" ca="1" si="287"/>
        <v>#DIV/0!</v>
      </c>
      <c r="CH333" s="6"/>
      <c r="CI333" s="6"/>
      <c r="CJ333" s="1"/>
      <c r="CK333" s="6"/>
    </row>
    <row r="334" spans="55:89" x14ac:dyDescent="0.25">
      <c r="BC334"/>
      <c r="BD334"/>
      <c r="BF334" s="6" t="e">
        <f t="shared" si="288"/>
        <v>#N/A</v>
      </c>
      <c r="BG334" s="6" t="e">
        <f t="shared" si="289"/>
        <v>#N/A</v>
      </c>
      <c r="BH334" s="6" t="e">
        <f t="shared" si="290"/>
        <v>#N/A</v>
      </c>
      <c r="BI334" s="6" t="e">
        <f t="shared" si="291"/>
        <v>#N/A</v>
      </c>
      <c r="BV334" s="36"/>
      <c r="BW334" s="6" t="e">
        <f t="shared" si="277"/>
        <v>#N/A</v>
      </c>
      <c r="BX334" s="9">
        <f t="shared" ca="1" si="278"/>
        <v>-65.220682514826848</v>
      </c>
      <c r="BY334" s="9">
        <f t="shared" ca="1" si="279"/>
        <v>21.430285361287321</v>
      </c>
      <c r="BZ334" s="9">
        <f t="shared" ca="1" si="280"/>
        <v>0</v>
      </c>
      <c r="CA334" s="6">
        <f t="shared" ca="1" si="281"/>
        <v>0</v>
      </c>
      <c r="CB334" s="6" t="e">
        <f t="shared" ca="1" si="282"/>
        <v>#DIV/0!</v>
      </c>
      <c r="CC334" s="6" t="e">
        <f t="shared" ca="1" si="283"/>
        <v>#DIV/0!</v>
      </c>
      <c r="CD334" s="9">
        <f t="shared" si="284"/>
        <v>-30</v>
      </c>
      <c r="CE334" s="9">
        <f t="shared" si="285"/>
        <v>0</v>
      </c>
      <c r="CF334" s="6">
        <f t="shared" si="286"/>
        <v>3.1415926535897931</v>
      </c>
      <c r="CG334" s="6" t="e">
        <f t="shared" ca="1" si="287"/>
        <v>#DIV/0!</v>
      </c>
      <c r="CH334" s="6"/>
      <c r="CI334" s="6"/>
      <c r="CJ334" s="1"/>
      <c r="CK334" s="6"/>
    </row>
    <row r="335" spans="55:89" x14ac:dyDescent="0.25">
      <c r="BC335"/>
      <c r="BD335"/>
      <c r="BF335" s="6" t="e">
        <f t="shared" si="288"/>
        <v>#N/A</v>
      </c>
      <c r="BG335" s="6" t="e">
        <f t="shared" si="289"/>
        <v>#N/A</v>
      </c>
      <c r="BH335" s="6" t="e">
        <f t="shared" si="290"/>
        <v>#N/A</v>
      </c>
      <c r="BI335" s="6" t="e">
        <f t="shared" si="291"/>
        <v>#N/A</v>
      </c>
      <c r="BV335" s="36"/>
      <c r="BW335" s="6" t="e">
        <f t="shared" si="277"/>
        <v>#N/A</v>
      </c>
      <c r="BX335" s="9">
        <f t="shared" ca="1" si="278"/>
        <v>-65.220682514826848</v>
      </c>
      <c r="BY335" s="9">
        <f t="shared" ca="1" si="279"/>
        <v>21.430285361287321</v>
      </c>
      <c r="BZ335" s="9">
        <f t="shared" ca="1" si="280"/>
        <v>0</v>
      </c>
      <c r="CA335" s="6">
        <f t="shared" ca="1" si="281"/>
        <v>0</v>
      </c>
      <c r="CB335" s="6" t="e">
        <f t="shared" ca="1" si="282"/>
        <v>#DIV/0!</v>
      </c>
      <c r="CC335" s="6" t="e">
        <f t="shared" ca="1" si="283"/>
        <v>#DIV/0!</v>
      </c>
      <c r="CD335" s="9">
        <f t="shared" si="284"/>
        <v>-30</v>
      </c>
      <c r="CE335" s="9">
        <f t="shared" si="285"/>
        <v>0</v>
      </c>
      <c r="CF335" s="6">
        <f t="shared" si="286"/>
        <v>3.1415926535897931</v>
      </c>
      <c r="CG335" s="6" t="e">
        <f t="shared" ca="1" si="287"/>
        <v>#DIV/0!</v>
      </c>
      <c r="CH335" s="6"/>
      <c r="CI335" s="6"/>
      <c r="CJ335" s="1"/>
      <c r="CK335" s="6"/>
    </row>
    <row r="336" spans="55:89" x14ac:dyDescent="0.25">
      <c r="BC336"/>
      <c r="BD336"/>
      <c r="BF336" s="6" t="e">
        <f t="shared" si="288"/>
        <v>#N/A</v>
      </c>
      <c r="BG336" s="6" t="e">
        <f t="shared" si="289"/>
        <v>#N/A</v>
      </c>
      <c r="BH336" s="6" t="e">
        <f t="shared" si="290"/>
        <v>#N/A</v>
      </c>
      <c r="BI336" s="6" t="e">
        <f t="shared" si="291"/>
        <v>#N/A</v>
      </c>
      <c r="BV336" s="36"/>
      <c r="BW336" s="6" t="e">
        <f t="shared" ref="BW336:BW375" si="292">IF(BC323="",NA(),BC323)</f>
        <v>#N/A</v>
      </c>
      <c r="BX336" s="9">
        <f t="shared" ref="BX336:BX375" ca="1" si="293">BD323-$BW$5</f>
        <v>-65.220682514826848</v>
      </c>
      <c r="BY336" s="9">
        <f t="shared" ref="BY336:BY375" ca="1" si="294">BE323-$BX$5</f>
        <v>21.430285361287321</v>
      </c>
      <c r="BZ336" s="9">
        <f t="shared" ref="BZ336:BZ375" ca="1" si="295">BX336-$CE$5</f>
        <v>0</v>
      </c>
      <c r="CA336" s="6">
        <f t="shared" ref="CA336:CA375" ca="1" si="296">BY336-$CF$5</f>
        <v>0</v>
      </c>
      <c r="CB336" s="6" t="e">
        <f t="shared" ref="CB336:CB375" ca="1" si="297">ATAN2(BZ336,CA336)</f>
        <v>#DIV/0!</v>
      </c>
      <c r="CC336" s="6" t="e">
        <f t="shared" ref="CC336:CC376" ca="1" si="298">CG336</f>
        <v>#DIV/0!</v>
      </c>
      <c r="CD336" s="9">
        <f t="shared" ref="CD336:CD375" si="299">BD323-$BW$6</f>
        <v>-30</v>
      </c>
      <c r="CE336" s="9">
        <f t="shared" ref="CE336:CE375" si="300">BE323-$BX$6</f>
        <v>0</v>
      </c>
      <c r="CF336" s="6">
        <f t="shared" ref="CF336:CF375" si="301">ATAN2(CD336,CE336)</f>
        <v>3.1415926535897931</v>
      </c>
      <c r="CG336" s="6" t="e">
        <f t="shared" ref="CG336:CG376" ca="1" si="302">ATAN2(COS(CF336-CB336),SIN(CF336-CB336))</f>
        <v>#DIV/0!</v>
      </c>
      <c r="CH336" s="6"/>
      <c r="CI336" s="6"/>
      <c r="CJ336" s="1"/>
      <c r="CK336" s="6"/>
    </row>
    <row r="337" spans="55:89" x14ac:dyDescent="0.25">
      <c r="BC337"/>
      <c r="BD337"/>
      <c r="BF337" s="6" t="e">
        <f t="shared" si="288"/>
        <v>#N/A</v>
      </c>
      <c r="BG337" s="6" t="e">
        <f t="shared" si="289"/>
        <v>#N/A</v>
      </c>
      <c r="BH337" s="6" t="e">
        <f t="shared" si="290"/>
        <v>#N/A</v>
      </c>
      <c r="BI337" s="6" t="e">
        <f t="shared" si="291"/>
        <v>#N/A</v>
      </c>
      <c r="BV337" s="36"/>
      <c r="BW337" s="6" t="e">
        <f t="shared" si="292"/>
        <v>#N/A</v>
      </c>
      <c r="BX337" s="9">
        <f t="shared" ca="1" si="293"/>
        <v>-65.220682514826848</v>
      </c>
      <c r="BY337" s="9">
        <f t="shared" ca="1" si="294"/>
        <v>21.430285361287321</v>
      </c>
      <c r="BZ337" s="9">
        <f t="shared" ca="1" si="295"/>
        <v>0</v>
      </c>
      <c r="CA337" s="6">
        <f t="shared" ca="1" si="296"/>
        <v>0</v>
      </c>
      <c r="CB337" s="6" t="e">
        <f t="shared" ca="1" si="297"/>
        <v>#DIV/0!</v>
      </c>
      <c r="CC337" s="6" t="e">
        <f t="shared" ca="1" si="298"/>
        <v>#DIV/0!</v>
      </c>
      <c r="CD337" s="9">
        <f t="shared" si="299"/>
        <v>-30</v>
      </c>
      <c r="CE337" s="9">
        <f t="shared" si="300"/>
        <v>0</v>
      </c>
      <c r="CF337" s="6">
        <f t="shared" si="301"/>
        <v>3.1415926535897931</v>
      </c>
      <c r="CG337" s="6" t="e">
        <f t="shared" ca="1" si="302"/>
        <v>#DIV/0!</v>
      </c>
      <c r="CH337" s="6"/>
      <c r="CI337" s="6"/>
      <c r="CJ337" s="1"/>
      <c r="CK337" s="6"/>
    </row>
    <row r="338" spans="55:89" x14ac:dyDescent="0.25">
      <c r="BC338"/>
      <c r="BD338"/>
      <c r="BF338" s="6" t="e">
        <f t="shared" si="288"/>
        <v>#N/A</v>
      </c>
      <c r="BG338" s="6" t="e">
        <f t="shared" si="289"/>
        <v>#N/A</v>
      </c>
      <c r="BH338" s="6" t="e">
        <f t="shared" si="290"/>
        <v>#N/A</v>
      </c>
      <c r="BI338" s="6" t="e">
        <f t="shared" si="291"/>
        <v>#N/A</v>
      </c>
      <c r="BV338" s="36"/>
      <c r="BW338" s="6" t="e">
        <f t="shared" si="292"/>
        <v>#N/A</v>
      </c>
      <c r="BX338" s="9">
        <f t="shared" ca="1" si="293"/>
        <v>-65.220682514826848</v>
      </c>
      <c r="BY338" s="9">
        <f t="shared" ca="1" si="294"/>
        <v>21.430285361287321</v>
      </c>
      <c r="BZ338" s="9">
        <f t="shared" ca="1" si="295"/>
        <v>0</v>
      </c>
      <c r="CA338" s="6">
        <f t="shared" ca="1" si="296"/>
        <v>0</v>
      </c>
      <c r="CB338" s="6" t="e">
        <f t="shared" ca="1" si="297"/>
        <v>#DIV/0!</v>
      </c>
      <c r="CC338" s="6" t="e">
        <f t="shared" ca="1" si="298"/>
        <v>#DIV/0!</v>
      </c>
      <c r="CD338" s="9">
        <f t="shared" si="299"/>
        <v>-30</v>
      </c>
      <c r="CE338" s="9">
        <f t="shared" si="300"/>
        <v>0</v>
      </c>
      <c r="CF338" s="6">
        <f t="shared" si="301"/>
        <v>3.1415926535897931</v>
      </c>
      <c r="CG338" s="6" t="e">
        <f t="shared" ca="1" si="302"/>
        <v>#DIV/0!</v>
      </c>
      <c r="CH338" s="6"/>
      <c r="CI338" s="6"/>
      <c r="CJ338" s="1"/>
      <c r="CK338" s="6"/>
    </row>
    <row r="339" spans="55:89" x14ac:dyDescent="0.25">
      <c r="BC339"/>
      <c r="BD339"/>
      <c r="BF339" s="6" t="e">
        <f t="shared" si="288"/>
        <v>#N/A</v>
      </c>
      <c r="BG339" s="6" t="e">
        <f t="shared" si="289"/>
        <v>#N/A</v>
      </c>
      <c r="BH339" s="6" t="e">
        <f t="shared" si="290"/>
        <v>#N/A</v>
      </c>
      <c r="BI339" s="6" t="e">
        <f t="shared" si="291"/>
        <v>#N/A</v>
      </c>
      <c r="BV339" s="36"/>
      <c r="BW339" s="6" t="e">
        <f t="shared" si="292"/>
        <v>#N/A</v>
      </c>
      <c r="BX339" s="9">
        <f t="shared" ca="1" si="293"/>
        <v>-65.220682514826848</v>
      </c>
      <c r="BY339" s="9">
        <f t="shared" ca="1" si="294"/>
        <v>21.430285361287321</v>
      </c>
      <c r="BZ339" s="9">
        <f t="shared" ca="1" si="295"/>
        <v>0</v>
      </c>
      <c r="CA339" s="6">
        <f t="shared" ca="1" si="296"/>
        <v>0</v>
      </c>
      <c r="CB339" s="6" t="e">
        <f t="shared" ca="1" si="297"/>
        <v>#DIV/0!</v>
      </c>
      <c r="CC339" s="6" t="e">
        <f t="shared" ca="1" si="298"/>
        <v>#DIV/0!</v>
      </c>
      <c r="CD339" s="9">
        <f t="shared" si="299"/>
        <v>-30</v>
      </c>
      <c r="CE339" s="9">
        <f t="shared" si="300"/>
        <v>0</v>
      </c>
      <c r="CF339" s="6">
        <f t="shared" si="301"/>
        <v>3.1415926535897931</v>
      </c>
      <c r="CG339" s="6" t="e">
        <f t="shared" ca="1" si="302"/>
        <v>#DIV/0!</v>
      </c>
      <c r="CH339" s="6"/>
      <c r="CI339" s="6"/>
      <c r="CJ339" s="1"/>
      <c r="CK339" s="6"/>
    </row>
    <row r="340" spans="55:89" x14ac:dyDescent="0.25">
      <c r="BC340"/>
      <c r="BD340"/>
      <c r="BF340" s="6" t="e">
        <f t="shared" si="288"/>
        <v>#N/A</v>
      </c>
      <c r="BG340" s="6" t="e">
        <f t="shared" si="289"/>
        <v>#N/A</v>
      </c>
      <c r="BH340" s="6" t="e">
        <f t="shared" si="290"/>
        <v>#N/A</v>
      </c>
      <c r="BI340" s="6" t="e">
        <f t="shared" si="291"/>
        <v>#N/A</v>
      </c>
      <c r="BV340" s="36"/>
      <c r="BW340" s="6" t="e">
        <f t="shared" si="292"/>
        <v>#N/A</v>
      </c>
      <c r="BX340" s="9">
        <f t="shared" ca="1" si="293"/>
        <v>-65.220682514826848</v>
      </c>
      <c r="BY340" s="9">
        <f t="shared" ca="1" si="294"/>
        <v>21.430285361287321</v>
      </c>
      <c r="BZ340" s="9">
        <f t="shared" ca="1" si="295"/>
        <v>0</v>
      </c>
      <c r="CA340" s="6">
        <f t="shared" ca="1" si="296"/>
        <v>0</v>
      </c>
      <c r="CB340" s="6" t="e">
        <f t="shared" ca="1" si="297"/>
        <v>#DIV/0!</v>
      </c>
      <c r="CC340" s="6" t="e">
        <f t="shared" ca="1" si="298"/>
        <v>#DIV/0!</v>
      </c>
      <c r="CD340" s="9">
        <f t="shared" si="299"/>
        <v>-30</v>
      </c>
      <c r="CE340" s="9">
        <f t="shared" si="300"/>
        <v>0</v>
      </c>
      <c r="CF340" s="6">
        <f t="shared" si="301"/>
        <v>3.1415926535897931</v>
      </c>
      <c r="CG340" s="6" t="e">
        <f t="shared" ca="1" si="302"/>
        <v>#DIV/0!</v>
      </c>
      <c r="CH340" s="6"/>
      <c r="CI340" s="6"/>
      <c r="CJ340" s="1"/>
      <c r="CK340" s="6"/>
    </row>
    <row r="341" spans="55:89" x14ac:dyDescent="0.25">
      <c r="BC341"/>
      <c r="BD341"/>
      <c r="BF341" s="6" t="e">
        <f t="shared" si="288"/>
        <v>#N/A</v>
      </c>
      <c r="BG341" s="6" t="e">
        <f t="shared" si="289"/>
        <v>#N/A</v>
      </c>
      <c r="BH341" s="6" t="e">
        <f t="shared" si="290"/>
        <v>#N/A</v>
      </c>
      <c r="BI341" s="6" t="e">
        <f t="shared" si="291"/>
        <v>#N/A</v>
      </c>
      <c r="BV341" s="36"/>
      <c r="BW341" s="6" t="e">
        <f t="shared" si="292"/>
        <v>#N/A</v>
      </c>
      <c r="BX341" s="9">
        <f t="shared" ca="1" si="293"/>
        <v>-65.220682514826848</v>
      </c>
      <c r="BY341" s="9">
        <f t="shared" ca="1" si="294"/>
        <v>21.430285361287321</v>
      </c>
      <c r="BZ341" s="9">
        <f t="shared" ca="1" si="295"/>
        <v>0</v>
      </c>
      <c r="CA341" s="6">
        <f t="shared" ca="1" si="296"/>
        <v>0</v>
      </c>
      <c r="CB341" s="6" t="e">
        <f t="shared" ca="1" si="297"/>
        <v>#DIV/0!</v>
      </c>
      <c r="CC341" s="6" t="e">
        <f t="shared" ca="1" si="298"/>
        <v>#DIV/0!</v>
      </c>
      <c r="CD341" s="9">
        <f t="shared" si="299"/>
        <v>-30</v>
      </c>
      <c r="CE341" s="9">
        <f t="shared" si="300"/>
        <v>0</v>
      </c>
      <c r="CF341" s="6">
        <f t="shared" si="301"/>
        <v>3.1415926535897931</v>
      </c>
      <c r="CG341" s="6" t="e">
        <f t="shared" ca="1" si="302"/>
        <v>#DIV/0!</v>
      </c>
      <c r="CH341" s="6"/>
      <c r="CI341" s="6"/>
      <c r="CJ341" s="1"/>
      <c r="CK341" s="6"/>
    </row>
    <row r="342" spans="55:89" x14ac:dyDescent="0.25">
      <c r="BC342"/>
      <c r="BD342"/>
      <c r="BF342" s="6" t="e">
        <f t="shared" si="288"/>
        <v>#N/A</v>
      </c>
      <c r="BG342" s="6" t="e">
        <f t="shared" si="289"/>
        <v>#N/A</v>
      </c>
      <c r="BH342" s="6" t="e">
        <f t="shared" si="290"/>
        <v>#N/A</v>
      </c>
      <c r="BI342" s="6" t="e">
        <f t="shared" si="291"/>
        <v>#N/A</v>
      </c>
      <c r="BV342" s="36"/>
      <c r="BW342" s="6" t="e">
        <f t="shared" si="292"/>
        <v>#N/A</v>
      </c>
      <c r="BX342" s="9">
        <f t="shared" ca="1" si="293"/>
        <v>-65.220682514826848</v>
      </c>
      <c r="BY342" s="9">
        <f t="shared" ca="1" si="294"/>
        <v>21.430285361287321</v>
      </c>
      <c r="BZ342" s="9">
        <f t="shared" ca="1" si="295"/>
        <v>0</v>
      </c>
      <c r="CA342" s="6">
        <f t="shared" ca="1" si="296"/>
        <v>0</v>
      </c>
      <c r="CB342" s="6" t="e">
        <f t="shared" ca="1" si="297"/>
        <v>#DIV/0!</v>
      </c>
      <c r="CC342" s="6" t="e">
        <f t="shared" ca="1" si="298"/>
        <v>#DIV/0!</v>
      </c>
      <c r="CD342" s="9">
        <f t="shared" si="299"/>
        <v>-30</v>
      </c>
      <c r="CE342" s="9">
        <f t="shared" si="300"/>
        <v>0</v>
      </c>
      <c r="CF342" s="6">
        <f t="shared" si="301"/>
        <v>3.1415926535897931</v>
      </c>
      <c r="CG342" s="6" t="e">
        <f t="shared" ca="1" si="302"/>
        <v>#DIV/0!</v>
      </c>
      <c r="CH342" s="6"/>
      <c r="CI342" s="6"/>
      <c r="CJ342" s="1"/>
      <c r="CK342" s="6"/>
    </row>
    <row r="343" spans="55:89" x14ac:dyDescent="0.25">
      <c r="BC343"/>
      <c r="BD343"/>
      <c r="BF343" s="6" t="e">
        <f t="shared" si="288"/>
        <v>#N/A</v>
      </c>
      <c r="BG343" s="6" t="e">
        <f t="shared" si="289"/>
        <v>#N/A</v>
      </c>
      <c r="BH343" s="6" t="e">
        <f t="shared" si="290"/>
        <v>#N/A</v>
      </c>
      <c r="BI343" s="6" t="e">
        <f t="shared" si="291"/>
        <v>#N/A</v>
      </c>
      <c r="BV343" s="36"/>
      <c r="BW343" s="6" t="e">
        <f t="shared" si="292"/>
        <v>#N/A</v>
      </c>
      <c r="BX343" s="9">
        <f t="shared" ca="1" si="293"/>
        <v>-65.220682514826848</v>
      </c>
      <c r="BY343" s="9">
        <f t="shared" ca="1" si="294"/>
        <v>21.430285361287321</v>
      </c>
      <c r="BZ343" s="9">
        <f t="shared" ca="1" si="295"/>
        <v>0</v>
      </c>
      <c r="CA343" s="6">
        <f t="shared" ca="1" si="296"/>
        <v>0</v>
      </c>
      <c r="CB343" s="6" t="e">
        <f t="shared" ca="1" si="297"/>
        <v>#DIV/0!</v>
      </c>
      <c r="CC343" s="6" t="e">
        <f t="shared" ca="1" si="298"/>
        <v>#DIV/0!</v>
      </c>
      <c r="CD343" s="9">
        <f t="shared" si="299"/>
        <v>-30</v>
      </c>
      <c r="CE343" s="9">
        <f t="shared" si="300"/>
        <v>0</v>
      </c>
      <c r="CF343" s="6">
        <f t="shared" si="301"/>
        <v>3.1415926535897931</v>
      </c>
      <c r="CG343" s="6" t="e">
        <f t="shared" ca="1" si="302"/>
        <v>#DIV/0!</v>
      </c>
      <c r="CH343" s="6"/>
      <c r="CI343" s="6"/>
      <c r="CJ343" s="1"/>
      <c r="CK343" s="6"/>
    </row>
    <row r="344" spans="55:89" x14ac:dyDescent="0.25">
      <c r="BC344"/>
      <c r="BD344"/>
      <c r="BF344" s="6" t="e">
        <f t="shared" si="288"/>
        <v>#N/A</v>
      </c>
      <c r="BG344" s="6" t="e">
        <f t="shared" si="289"/>
        <v>#N/A</v>
      </c>
      <c r="BH344" s="6" t="e">
        <f t="shared" si="290"/>
        <v>#N/A</v>
      </c>
      <c r="BI344" s="6" t="e">
        <f t="shared" si="291"/>
        <v>#N/A</v>
      </c>
      <c r="BV344" s="36"/>
      <c r="BW344" s="6" t="e">
        <f t="shared" si="292"/>
        <v>#N/A</v>
      </c>
      <c r="BX344" s="9">
        <f t="shared" ca="1" si="293"/>
        <v>-65.220682514826848</v>
      </c>
      <c r="BY344" s="9">
        <f t="shared" ca="1" si="294"/>
        <v>21.430285361287321</v>
      </c>
      <c r="BZ344" s="9">
        <f t="shared" ca="1" si="295"/>
        <v>0</v>
      </c>
      <c r="CA344" s="6">
        <f t="shared" ca="1" si="296"/>
        <v>0</v>
      </c>
      <c r="CB344" s="6" t="e">
        <f t="shared" ca="1" si="297"/>
        <v>#DIV/0!</v>
      </c>
      <c r="CC344" s="6" t="e">
        <f t="shared" ca="1" si="298"/>
        <v>#DIV/0!</v>
      </c>
      <c r="CD344" s="9">
        <f t="shared" si="299"/>
        <v>-30</v>
      </c>
      <c r="CE344" s="9">
        <f t="shared" si="300"/>
        <v>0</v>
      </c>
      <c r="CF344" s="6">
        <f t="shared" si="301"/>
        <v>3.1415926535897931</v>
      </c>
      <c r="CG344" s="6" t="e">
        <f t="shared" ca="1" si="302"/>
        <v>#DIV/0!</v>
      </c>
      <c r="CH344" s="6"/>
      <c r="CI344" s="6"/>
      <c r="CJ344" s="1"/>
      <c r="CK344" s="6"/>
    </row>
    <row r="345" spans="55:89" x14ac:dyDescent="0.25">
      <c r="BC345"/>
      <c r="BD345"/>
      <c r="BF345" s="6" t="e">
        <f t="shared" si="288"/>
        <v>#N/A</v>
      </c>
      <c r="BG345" s="6" t="e">
        <f t="shared" si="289"/>
        <v>#N/A</v>
      </c>
      <c r="BH345" s="6" t="e">
        <f t="shared" si="290"/>
        <v>#N/A</v>
      </c>
      <c r="BI345" s="6" t="e">
        <f t="shared" si="291"/>
        <v>#N/A</v>
      </c>
      <c r="BV345" s="36"/>
      <c r="BW345" s="6" t="e">
        <f t="shared" si="292"/>
        <v>#N/A</v>
      </c>
      <c r="BX345" s="9">
        <f t="shared" ca="1" si="293"/>
        <v>-65.220682514826848</v>
      </c>
      <c r="BY345" s="9">
        <f t="shared" ca="1" si="294"/>
        <v>21.430285361287321</v>
      </c>
      <c r="BZ345" s="9">
        <f t="shared" ca="1" si="295"/>
        <v>0</v>
      </c>
      <c r="CA345" s="6">
        <f t="shared" ca="1" si="296"/>
        <v>0</v>
      </c>
      <c r="CB345" s="6" t="e">
        <f t="shared" ca="1" si="297"/>
        <v>#DIV/0!</v>
      </c>
      <c r="CC345" s="6" t="e">
        <f t="shared" ca="1" si="298"/>
        <v>#DIV/0!</v>
      </c>
      <c r="CD345" s="9">
        <f t="shared" si="299"/>
        <v>-30</v>
      </c>
      <c r="CE345" s="9">
        <f t="shared" si="300"/>
        <v>0</v>
      </c>
      <c r="CF345" s="6">
        <f t="shared" si="301"/>
        <v>3.1415926535897931</v>
      </c>
      <c r="CG345" s="6" t="e">
        <f t="shared" ca="1" si="302"/>
        <v>#DIV/0!</v>
      </c>
      <c r="CH345" s="6"/>
      <c r="CI345" s="6"/>
      <c r="CJ345" s="1"/>
      <c r="CK345" s="6"/>
    </row>
    <row r="346" spans="55:89" x14ac:dyDescent="0.25">
      <c r="BC346"/>
      <c r="BD346"/>
      <c r="BF346" s="6" t="e">
        <f t="shared" si="288"/>
        <v>#N/A</v>
      </c>
      <c r="BG346" s="6" t="e">
        <f t="shared" si="289"/>
        <v>#N/A</v>
      </c>
      <c r="BH346" s="6" t="e">
        <f t="shared" si="290"/>
        <v>#N/A</v>
      </c>
      <c r="BI346" s="6" t="e">
        <f t="shared" si="291"/>
        <v>#N/A</v>
      </c>
      <c r="BV346" s="36"/>
      <c r="BW346" s="6" t="e">
        <f t="shared" si="292"/>
        <v>#N/A</v>
      </c>
      <c r="BX346" s="9">
        <f t="shared" ca="1" si="293"/>
        <v>-65.220682514826848</v>
      </c>
      <c r="BY346" s="9">
        <f t="shared" ca="1" si="294"/>
        <v>21.430285361287321</v>
      </c>
      <c r="BZ346" s="9">
        <f t="shared" ca="1" si="295"/>
        <v>0</v>
      </c>
      <c r="CA346" s="6">
        <f t="shared" ca="1" si="296"/>
        <v>0</v>
      </c>
      <c r="CB346" s="6" t="e">
        <f t="shared" ca="1" si="297"/>
        <v>#DIV/0!</v>
      </c>
      <c r="CC346" s="6" t="e">
        <f t="shared" ca="1" si="298"/>
        <v>#DIV/0!</v>
      </c>
      <c r="CD346" s="9">
        <f t="shared" si="299"/>
        <v>-30</v>
      </c>
      <c r="CE346" s="9">
        <f t="shared" si="300"/>
        <v>0</v>
      </c>
      <c r="CF346" s="6">
        <f t="shared" si="301"/>
        <v>3.1415926535897931</v>
      </c>
      <c r="CG346" s="6" t="e">
        <f t="shared" ca="1" si="302"/>
        <v>#DIV/0!</v>
      </c>
      <c r="CH346" s="6"/>
      <c r="CI346" s="6"/>
      <c r="CJ346" s="1"/>
      <c r="CK346" s="6"/>
    </row>
    <row r="347" spans="55:89" x14ac:dyDescent="0.25">
      <c r="BC347"/>
      <c r="BD347"/>
      <c r="BF347" s="6" t="e">
        <f t="shared" si="288"/>
        <v>#N/A</v>
      </c>
      <c r="BG347" s="6" t="e">
        <f t="shared" si="289"/>
        <v>#N/A</v>
      </c>
      <c r="BH347" s="6" t="e">
        <f t="shared" si="290"/>
        <v>#N/A</v>
      </c>
      <c r="BI347" s="6" t="e">
        <f t="shared" si="291"/>
        <v>#N/A</v>
      </c>
      <c r="BV347" s="36"/>
      <c r="BW347" s="6" t="e">
        <f t="shared" si="292"/>
        <v>#N/A</v>
      </c>
      <c r="BX347" s="9">
        <f t="shared" ca="1" si="293"/>
        <v>-65.220682514826848</v>
      </c>
      <c r="BY347" s="9">
        <f t="shared" ca="1" si="294"/>
        <v>21.430285361287321</v>
      </c>
      <c r="BZ347" s="9">
        <f t="shared" ca="1" si="295"/>
        <v>0</v>
      </c>
      <c r="CA347" s="6">
        <f t="shared" ca="1" si="296"/>
        <v>0</v>
      </c>
      <c r="CB347" s="6" t="e">
        <f t="shared" ca="1" si="297"/>
        <v>#DIV/0!</v>
      </c>
      <c r="CC347" s="6" t="e">
        <f t="shared" ca="1" si="298"/>
        <v>#DIV/0!</v>
      </c>
      <c r="CD347" s="9">
        <f t="shared" si="299"/>
        <v>-30</v>
      </c>
      <c r="CE347" s="9">
        <f t="shared" si="300"/>
        <v>0</v>
      </c>
      <c r="CF347" s="6">
        <f t="shared" si="301"/>
        <v>3.1415926535897931</v>
      </c>
      <c r="CG347" s="6" t="e">
        <f t="shared" ca="1" si="302"/>
        <v>#DIV/0!</v>
      </c>
      <c r="CH347" s="6"/>
      <c r="CI347" s="6"/>
      <c r="CJ347" s="1"/>
      <c r="CK347" s="6"/>
    </row>
    <row r="348" spans="55:89" x14ac:dyDescent="0.25">
      <c r="BC348"/>
      <c r="BD348"/>
      <c r="BF348" s="6" t="e">
        <f t="shared" si="288"/>
        <v>#N/A</v>
      </c>
      <c r="BG348" s="6" t="e">
        <f t="shared" si="289"/>
        <v>#N/A</v>
      </c>
      <c r="BH348" s="6" t="e">
        <f t="shared" si="290"/>
        <v>#N/A</v>
      </c>
      <c r="BI348" s="6" t="e">
        <f t="shared" si="291"/>
        <v>#N/A</v>
      </c>
      <c r="BV348" s="36"/>
      <c r="BW348" s="6" t="e">
        <f t="shared" si="292"/>
        <v>#N/A</v>
      </c>
      <c r="BX348" s="9">
        <f t="shared" ca="1" si="293"/>
        <v>-65.220682514826848</v>
      </c>
      <c r="BY348" s="9">
        <f t="shared" ca="1" si="294"/>
        <v>21.430285361287321</v>
      </c>
      <c r="BZ348" s="9">
        <f t="shared" ca="1" si="295"/>
        <v>0</v>
      </c>
      <c r="CA348" s="6">
        <f t="shared" ca="1" si="296"/>
        <v>0</v>
      </c>
      <c r="CB348" s="6" t="e">
        <f t="shared" ca="1" si="297"/>
        <v>#DIV/0!</v>
      </c>
      <c r="CC348" s="6" t="e">
        <f t="shared" ca="1" si="298"/>
        <v>#DIV/0!</v>
      </c>
      <c r="CD348" s="9">
        <f t="shared" si="299"/>
        <v>-30</v>
      </c>
      <c r="CE348" s="9">
        <f t="shared" si="300"/>
        <v>0</v>
      </c>
      <c r="CF348" s="6">
        <f t="shared" si="301"/>
        <v>3.1415926535897931</v>
      </c>
      <c r="CG348" s="6" t="e">
        <f t="shared" ca="1" si="302"/>
        <v>#DIV/0!</v>
      </c>
      <c r="CH348" s="6"/>
      <c r="CI348" s="6"/>
      <c r="CJ348" s="1"/>
      <c r="CK348" s="6"/>
    </row>
    <row r="349" spans="55:89" x14ac:dyDescent="0.25">
      <c r="BC349"/>
      <c r="BD349"/>
      <c r="BF349" s="6" t="e">
        <f t="shared" si="288"/>
        <v>#N/A</v>
      </c>
      <c r="BG349" s="6" t="e">
        <f t="shared" si="289"/>
        <v>#N/A</v>
      </c>
      <c r="BH349" s="6" t="e">
        <f t="shared" si="290"/>
        <v>#N/A</v>
      </c>
      <c r="BI349" s="6" t="e">
        <f t="shared" si="291"/>
        <v>#N/A</v>
      </c>
      <c r="BV349" s="36"/>
      <c r="BW349" s="6" t="e">
        <f t="shared" si="292"/>
        <v>#N/A</v>
      </c>
      <c r="BX349" s="9">
        <f t="shared" ca="1" si="293"/>
        <v>-65.220682514826848</v>
      </c>
      <c r="BY349" s="9">
        <f t="shared" ca="1" si="294"/>
        <v>21.430285361287321</v>
      </c>
      <c r="BZ349" s="9">
        <f t="shared" ca="1" si="295"/>
        <v>0</v>
      </c>
      <c r="CA349" s="6">
        <f t="shared" ca="1" si="296"/>
        <v>0</v>
      </c>
      <c r="CB349" s="6" t="e">
        <f t="shared" ca="1" si="297"/>
        <v>#DIV/0!</v>
      </c>
      <c r="CC349" s="6" t="e">
        <f t="shared" ca="1" si="298"/>
        <v>#DIV/0!</v>
      </c>
      <c r="CD349" s="9">
        <f t="shared" si="299"/>
        <v>-30</v>
      </c>
      <c r="CE349" s="9">
        <f t="shared" si="300"/>
        <v>0</v>
      </c>
      <c r="CF349" s="6">
        <f t="shared" si="301"/>
        <v>3.1415926535897931</v>
      </c>
      <c r="CG349" s="6" t="e">
        <f t="shared" ca="1" si="302"/>
        <v>#DIV/0!</v>
      </c>
      <c r="CH349" s="6"/>
      <c r="CI349" s="6"/>
      <c r="CJ349" s="1"/>
      <c r="CK349" s="6"/>
    </row>
    <row r="350" spans="55:89" x14ac:dyDescent="0.25">
      <c r="BC350"/>
      <c r="BD350"/>
      <c r="BF350" s="6" t="e">
        <f t="shared" si="288"/>
        <v>#N/A</v>
      </c>
      <c r="BG350" s="6" t="e">
        <f t="shared" si="289"/>
        <v>#N/A</v>
      </c>
      <c r="BH350" s="6" t="e">
        <f t="shared" si="290"/>
        <v>#N/A</v>
      </c>
      <c r="BI350" s="6" t="e">
        <f t="shared" si="291"/>
        <v>#N/A</v>
      </c>
      <c r="BV350" s="36"/>
      <c r="BW350" s="6" t="e">
        <f t="shared" si="292"/>
        <v>#N/A</v>
      </c>
      <c r="BX350" s="9">
        <f t="shared" ca="1" si="293"/>
        <v>-65.220682514826848</v>
      </c>
      <c r="BY350" s="9">
        <f t="shared" ca="1" si="294"/>
        <v>21.430285361287321</v>
      </c>
      <c r="BZ350" s="9">
        <f t="shared" ca="1" si="295"/>
        <v>0</v>
      </c>
      <c r="CA350" s="6">
        <f t="shared" ca="1" si="296"/>
        <v>0</v>
      </c>
      <c r="CB350" s="6" t="e">
        <f t="shared" ca="1" si="297"/>
        <v>#DIV/0!</v>
      </c>
      <c r="CC350" s="6" t="e">
        <f t="shared" ca="1" si="298"/>
        <v>#DIV/0!</v>
      </c>
      <c r="CD350" s="9">
        <f t="shared" si="299"/>
        <v>-30</v>
      </c>
      <c r="CE350" s="9">
        <f t="shared" si="300"/>
        <v>0</v>
      </c>
      <c r="CF350" s="6">
        <f t="shared" si="301"/>
        <v>3.1415926535897931</v>
      </c>
      <c r="CG350" s="6" t="e">
        <f t="shared" ca="1" si="302"/>
        <v>#DIV/0!</v>
      </c>
      <c r="CH350" s="6"/>
      <c r="CI350" s="6"/>
      <c r="CJ350" s="1"/>
      <c r="CK350" s="6"/>
    </row>
    <row r="351" spans="55:89" x14ac:dyDescent="0.25">
      <c r="BC351"/>
      <c r="BD351"/>
      <c r="BF351" s="6" t="e">
        <f t="shared" si="288"/>
        <v>#N/A</v>
      </c>
      <c r="BG351" s="6" t="e">
        <f t="shared" si="289"/>
        <v>#N/A</v>
      </c>
      <c r="BH351" s="6" t="e">
        <f t="shared" si="290"/>
        <v>#N/A</v>
      </c>
      <c r="BI351" s="6" t="e">
        <f t="shared" si="291"/>
        <v>#N/A</v>
      </c>
      <c r="BV351" s="36"/>
      <c r="BW351" s="6" t="e">
        <f t="shared" si="292"/>
        <v>#N/A</v>
      </c>
      <c r="BX351" s="9">
        <f t="shared" ca="1" si="293"/>
        <v>-65.220682514826848</v>
      </c>
      <c r="BY351" s="9">
        <f t="shared" ca="1" si="294"/>
        <v>21.430285361287321</v>
      </c>
      <c r="BZ351" s="9">
        <f t="shared" ca="1" si="295"/>
        <v>0</v>
      </c>
      <c r="CA351" s="6">
        <f t="shared" ca="1" si="296"/>
        <v>0</v>
      </c>
      <c r="CB351" s="6" t="e">
        <f t="shared" ca="1" si="297"/>
        <v>#DIV/0!</v>
      </c>
      <c r="CC351" s="6" t="e">
        <f t="shared" ca="1" si="298"/>
        <v>#DIV/0!</v>
      </c>
      <c r="CD351" s="9">
        <f t="shared" si="299"/>
        <v>-30</v>
      </c>
      <c r="CE351" s="9">
        <f t="shared" si="300"/>
        <v>0</v>
      </c>
      <c r="CF351" s="6">
        <f t="shared" si="301"/>
        <v>3.1415926535897931</v>
      </c>
      <c r="CG351" s="6" t="e">
        <f t="shared" ca="1" si="302"/>
        <v>#DIV/0!</v>
      </c>
      <c r="CH351" s="6"/>
      <c r="CI351" s="6"/>
      <c r="CJ351" s="1"/>
      <c r="CK351" s="6"/>
    </row>
    <row r="352" spans="55:89" x14ac:dyDescent="0.25">
      <c r="BC352"/>
      <c r="BD352"/>
      <c r="BF352" s="6" t="e">
        <f t="shared" si="288"/>
        <v>#N/A</v>
      </c>
      <c r="BG352" s="6" t="e">
        <f t="shared" si="289"/>
        <v>#N/A</v>
      </c>
      <c r="BH352" s="6" t="e">
        <f t="shared" si="290"/>
        <v>#N/A</v>
      </c>
      <c r="BI352" s="6" t="e">
        <f t="shared" si="291"/>
        <v>#N/A</v>
      </c>
      <c r="BV352" s="36"/>
      <c r="BW352" s="6" t="e">
        <f t="shared" si="292"/>
        <v>#N/A</v>
      </c>
      <c r="BX352" s="9">
        <f t="shared" ca="1" si="293"/>
        <v>-65.220682514826848</v>
      </c>
      <c r="BY352" s="9">
        <f t="shared" ca="1" si="294"/>
        <v>21.430285361287321</v>
      </c>
      <c r="BZ352" s="9">
        <f t="shared" ca="1" si="295"/>
        <v>0</v>
      </c>
      <c r="CA352" s="6">
        <f t="shared" ca="1" si="296"/>
        <v>0</v>
      </c>
      <c r="CB352" s="6" t="e">
        <f t="shared" ca="1" si="297"/>
        <v>#DIV/0!</v>
      </c>
      <c r="CC352" s="6" t="e">
        <f t="shared" ca="1" si="298"/>
        <v>#DIV/0!</v>
      </c>
      <c r="CD352" s="9">
        <f t="shared" si="299"/>
        <v>-30</v>
      </c>
      <c r="CE352" s="9">
        <f t="shared" si="300"/>
        <v>0</v>
      </c>
      <c r="CF352" s="6">
        <f t="shared" si="301"/>
        <v>3.1415926535897931</v>
      </c>
      <c r="CG352" s="6" t="e">
        <f t="shared" ca="1" si="302"/>
        <v>#DIV/0!</v>
      </c>
      <c r="CH352" s="6"/>
      <c r="CI352" s="6"/>
      <c r="CJ352" s="1"/>
      <c r="CK352" s="6"/>
    </row>
    <row r="353" spans="55:89" x14ac:dyDescent="0.25">
      <c r="BC353"/>
      <c r="BD353"/>
      <c r="BF353" s="6" t="e">
        <f t="shared" si="288"/>
        <v>#N/A</v>
      </c>
      <c r="BG353" s="6" t="e">
        <f t="shared" si="289"/>
        <v>#N/A</v>
      </c>
      <c r="BH353" s="6" t="e">
        <f t="shared" si="290"/>
        <v>#N/A</v>
      </c>
      <c r="BI353" s="6" t="e">
        <f t="shared" si="291"/>
        <v>#N/A</v>
      </c>
      <c r="BV353" s="36"/>
      <c r="BW353" s="6" t="e">
        <f t="shared" si="292"/>
        <v>#N/A</v>
      </c>
      <c r="BX353" s="9">
        <f t="shared" ca="1" si="293"/>
        <v>-65.220682514826848</v>
      </c>
      <c r="BY353" s="9">
        <f t="shared" ca="1" si="294"/>
        <v>21.430285361287321</v>
      </c>
      <c r="BZ353" s="9">
        <f t="shared" ca="1" si="295"/>
        <v>0</v>
      </c>
      <c r="CA353" s="6">
        <f t="shared" ca="1" si="296"/>
        <v>0</v>
      </c>
      <c r="CB353" s="6" t="e">
        <f t="shared" ca="1" si="297"/>
        <v>#DIV/0!</v>
      </c>
      <c r="CC353" s="6" t="e">
        <f t="shared" ca="1" si="298"/>
        <v>#DIV/0!</v>
      </c>
      <c r="CD353" s="9">
        <f t="shared" si="299"/>
        <v>-30</v>
      </c>
      <c r="CE353" s="9">
        <f t="shared" si="300"/>
        <v>0</v>
      </c>
      <c r="CF353" s="6">
        <f t="shared" si="301"/>
        <v>3.1415926535897931</v>
      </c>
      <c r="CG353" s="6" t="e">
        <f t="shared" ca="1" si="302"/>
        <v>#DIV/0!</v>
      </c>
      <c r="CH353" s="6"/>
      <c r="CI353" s="6"/>
      <c r="CJ353" s="1"/>
      <c r="CK353" s="6"/>
    </row>
    <row r="354" spans="55:89" x14ac:dyDescent="0.25">
      <c r="BC354"/>
      <c r="BD354"/>
      <c r="BF354" s="6" t="e">
        <f t="shared" si="288"/>
        <v>#N/A</v>
      </c>
      <c r="BG354" s="6" t="e">
        <f t="shared" si="289"/>
        <v>#N/A</v>
      </c>
      <c r="BH354" s="6" t="e">
        <f t="shared" si="290"/>
        <v>#N/A</v>
      </c>
      <c r="BI354" s="6" t="e">
        <f t="shared" si="291"/>
        <v>#N/A</v>
      </c>
      <c r="BV354" s="36"/>
      <c r="BW354" s="6" t="e">
        <f t="shared" si="292"/>
        <v>#N/A</v>
      </c>
      <c r="BX354" s="9">
        <f t="shared" ca="1" si="293"/>
        <v>-65.220682514826848</v>
      </c>
      <c r="BY354" s="9">
        <f t="shared" ca="1" si="294"/>
        <v>21.430285361287321</v>
      </c>
      <c r="BZ354" s="9">
        <f t="shared" ca="1" si="295"/>
        <v>0</v>
      </c>
      <c r="CA354" s="6">
        <f t="shared" ca="1" si="296"/>
        <v>0</v>
      </c>
      <c r="CB354" s="6" t="e">
        <f t="shared" ca="1" si="297"/>
        <v>#DIV/0!</v>
      </c>
      <c r="CC354" s="6" t="e">
        <f t="shared" ca="1" si="298"/>
        <v>#DIV/0!</v>
      </c>
      <c r="CD354" s="9">
        <f t="shared" si="299"/>
        <v>-30</v>
      </c>
      <c r="CE354" s="9">
        <f t="shared" si="300"/>
        <v>0</v>
      </c>
      <c r="CF354" s="6">
        <f t="shared" si="301"/>
        <v>3.1415926535897931</v>
      </c>
      <c r="CG354" s="6" t="e">
        <f t="shared" ca="1" si="302"/>
        <v>#DIV/0!</v>
      </c>
      <c r="CH354" s="6"/>
      <c r="CI354" s="6"/>
      <c r="CJ354" s="1"/>
      <c r="CK354" s="6"/>
    </row>
    <row r="355" spans="55:89" x14ac:dyDescent="0.25">
      <c r="BC355"/>
      <c r="BD355"/>
      <c r="BF355" s="6" t="e">
        <f t="shared" si="288"/>
        <v>#N/A</v>
      </c>
      <c r="BG355" s="6" t="e">
        <f t="shared" si="289"/>
        <v>#N/A</v>
      </c>
      <c r="BH355" s="6" t="e">
        <f t="shared" si="290"/>
        <v>#N/A</v>
      </c>
      <c r="BI355" s="6" t="e">
        <f t="shared" si="291"/>
        <v>#N/A</v>
      </c>
      <c r="BV355" s="36"/>
      <c r="BW355" s="6" t="e">
        <f t="shared" si="292"/>
        <v>#N/A</v>
      </c>
      <c r="BX355" s="9">
        <f t="shared" ca="1" si="293"/>
        <v>-65.220682514826848</v>
      </c>
      <c r="BY355" s="9">
        <f t="shared" ca="1" si="294"/>
        <v>21.430285361287321</v>
      </c>
      <c r="BZ355" s="9">
        <f t="shared" ca="1" si="295"/>
        <v>0</v>
      </c>
      <c r="CA355" s="6">
        <f t="shared" ca="1" si="296"/>
        <v>0</v>
      </c>
      <c r="CB355" s="6" t="e">
        <f t="shared" ca="1" si="297"/>
        <v>#DIV/0!</v>
      </c>
      <c r="CC355" s="6" t="e">
        <f t="shared" ca="1" si="298"/>
        <v>#DIV/0!</v>
      </c>
      <c r="CD355" s="9">
        <f t="shared" si="299"/>
        <v>-30</v>
      </c>
      <c r="CE355" s="9">
        <f t="shared" si="300"/>
        <v>0</v>
      </c>
      <c r="CF355" s="6">
        <f t="shared" si="301"/>
        <v>3.1415926535897931</v>
      </c>
      <c r="CG355" s="6" t="e">
        <f t="shared" ca="1" si="302"/>
        <v>#DIV/0!</v>
      </c>
      <c r="CH355" s="6"/>
      <c r="CI355" s="6"/>
      <c r="CJ355" s="1"/>
      <c r="CK355" s="6"/>
    </row>
    <row r="356" spans="55:89" x14ac:dyDescent="0.25">
      <c r="BC356"/>
      <c r="BD356"/>
      <c r="BF356" s="6" t="e">
        <f t="shared" si="288"/>
        <v>#N/A</v>
      </c>
      <c r="BG356" s="6" t="e">
        <f t="shared" si="289"/>
        <v>#N/A</v>
      </c>
      <c r="BH356" s="6" t="e">
        <f t="shared" si="290"/>
        <v>#N/A</v>
      </c>
      <c r="BI356" s="6" t="e">
        <f t="shared" si="291"/>
        <v>#N/A</v>
      </c>
      <c r="BV356" s="36"/>
      <c r="BW356" s="6" t="e">
        <f t="shared" si="292"/>
        <v>#N/A</v>
      </c>
      <c r="BX356" s="9">
        <f t="shared" ca="1" si="293"/>
        <v>-65.220682514826848</v>
      </c>
      <c r="BY356" s="9">
        <f t="shared" ca="1" si="294"/>
        <v>21.430285361287321</v>
      </c>
      <c r="BZ356" s="9">
        <f t="shared" ca="1" si="295"/>
        <v>0</v>
      </c>
      <c r="CA356" s="6">
        <f t="shared" ca="1" si="296"/>
        <v>0</v>
      </c>
      <c r="CB356" s="6" t="e">
        <f t="shared" ca="1" si="297"/>
        <v>#DIV/0!</v>
      </c>
      <c r="CC356" s="6" t="e">
        <f t="shared" ca="1" si="298"/>
        <v>#DIV/0!</v>
      </c>
      <c r="CD356" s="9">
        <f t="shared" si="299"/>
        <v>-30</v>
      </c>
      <c r="CE356" s="9">
        <f t="shared" si="300"/>
        <v>0</v>
      </c>
      <c r="CF356" s="6">
        <f t="shared" si="301"/>
        <v>3.1415926535897931</v>
      </c>
      <c r="CG356" s="6" t="e">
        <f t="shared" ca="1" si="302"/>
        <v>#DIV/0!</v>
      </c>
      <c r="CH356" s="6"/>
      <c r="CI356" s="6"/>
      <c r="CJ356" s="1"/>
      <c r="CK356" s="6"/>
    </row>
    <row r="357" spans="55:89" x14ac:dyDescent="0.25">
      <c r="BC357"/>
      <c r="BD357"/>
      <c r="BF357" s="6" t="e">
        <f t="shared" si="288"/>
        <v>#N/A</v>
      </c>
      <c r="BG357" s="6" t="e">
        <f t="shared" si="289"/>
        <v>#N/A</v>
      </c>
      <c r="BH357" s="6" t="e">
        <f t="shared" si="290"/>
        <v>#N/A</v>
      </c>
      <c r="BI357" s="6" t="e">
        <f t="shared" si="291"/>
        <v>#N/A</v>
      </c>
      <c r="BV357" s="36"/>
      <c r="BW357" s="6" t="e">
        <f t="shared" si="292"/>
        <v>#N/A</v>
      </c>
      <c r="BX357" s="9">
        <f t="shared" ca="1" si="293"/>
        <v>-65.220682514826848</v>
      </c>
      <c r="BY357" s="9">
        <f t="shared" ca="1" si="294"/>
        <v>21.430285361287321</v>
      </c>
      <c r="BZ357" s="9">
        <f t="shared" ca="1" si="295"/>
        <v>0</v>
      </c>
      <c r="CA357" s="6">
        <f t="shared" ca="1" si="296"/>
        <v>0</v>
      </c>
      <c r="CB357" s="6" t="e">
        <f t="shared" ca="1" si="297"/>
        <v>#DIV/0!</v>
      </c>
      <c r="CC357" s="6" t="e">
        <f t="shared" ca="1" si="298"/>
        <v>#DIV/0!</v>
      </c>
      <c r="CD357" s="9">
        <f t="shared" si="299"/>
        <v>-30</v>
      </c>
      <c r="CE357" s="9">
        <f t="shared" si="300"/>
        <v>0</v>
      </c>
      <c r="CF357" s="6">
        <f t="shared" si="301"/>
        <v>3.1415926535897931</v>
      </c>
      <c r="CG357" s="6" t="e">
        <f t="shared" ca="1" si="302"/>
        <v>#DIV/0!</v>
      </c>
      <c r="CH357" s="6"/>
      <c r="CI357" s="6"/>
      <c r="CJ357" s="1"/>
      <c r="CK357" s="6"/>
    </row>
    <row r="358" spans="55:89" x14ac:dyDescent="0.25">
      <c r="BC358"/>
      <c r="BD358"/>
      <c r="BF358" s="6" t="e">
        <f t="shared" si="288"/>
        <v>#N/A</v>
      </c>
      <c r="BG358" s="6" t="e">
        <f t="shared" si="289"/>
        <v>#N/A</v>
      </c>
      <c r="BH358" s="6" t="e">
        <f t="shared" si="290"/>
        <v>#N/A</v>
      </c>
      <c r="BI358" s="6" t="e">
        <f t="shared" si="291"/>
        <v>#N/A</v>
      </c>
      <c r="BV358" s="36"/>
      <c r="BW358" s="6" t="e">
        <f t="shared" si="292"/>
        <v>#N/A</v>
      </c>
      <c r="BX358" s="9">
        <f t="shared" ca="1" si="293"/>
        <v>-65.220682514826848</v>
      </c>
      <c r="BY358" s="9">
        <f t="shared" ca="1" si="294"/>
        <v>21.430285361287321</v>
      </c>
      <c r="BZ358" s="9">
        <f t="shared" ca="1" si="295"/>
        <v>0</v>
      </c>
      <c r="CA358" s="6">
        <f t="shared" ca="1" si="296"/>
        <v>0</v>
      </c>
      <c r="CB358" s="6" t="e">
        <f t="shared" ca="1" si="297"/>
        <v>#DIV/0!</v>
      </c>
      <c r="CC358" s="6" t="e">
        <f t="shared" ca="1" si="298"/>
        <v>#DIV/0!</v>
      </c>
      <c r="CD358" s="9">
        <f t="shared" si="299"/>
        <v>-30</v>
      </c>
      <c r="CE358" s="9">
        <f t="shared" si="300"/>
        <v>0</v>
      </c>
      <c r="CF358" s="6">
        <f t="shared" si="301"/>
        <v>3.1415926535897931</v>
      </c>
      <c r="CG358" s="6" t="e">
        <f t="shared" ca="1" si="302"/>
        <v>#DIV/0!</v>
      </c>
      <c r="CH358" s="6"/>
      <c r="CI358" s="6"/>
      <c r="CJ358" s="1"/>
      <c r="CK358" s="6"/>
    </row>
    <row r="359" spans="55:89" x14ac:dyDescent="0.25">
      <c r="BC359"/>
      <c r="BD359"/>
      <c r="BF359" s="6" t="e">
        <f t="shared" si="288"/>
        <v>#N/A</v>
      </c>
      <c r="BG359" s="6" t="e">
        <f t="shared" si="289"/>
        <v>#N/A</v>
      </c>
      <c r="BH359" s="6" t="e">
        <f t="shared" si="290"/>
        <v>#N/A</v>
      </c>
      <c r="BI359" s="6" t="e">
        <f t="shared" si="291"/>
        <v>#N/A</v>
      </c>
      <c r="BV359" s="36"/>
      <c r="BW359" s="6" t="e">
        <f t="shared" si="292"/>
        <v>#N/A</v>
      </c>
      <c r="BX359" s="9">
        <f t="shared" ca="1" si="293"/>
        <v>-65.220682514826848</v>
      </c>
      <c r="BY359" s="9">
        <f t="shared" ca="1" si="294"/>
        <v>21.430285361287321</v>
      </c>
      <c r="BZ359" s="9">
        <f t="shared" ca="1" si="295"/>
        <v>0</v>
      </c>
      <c r="CA359" s="6">
        <f t="shared" ca="1" si="296"/>
        <v>0</v>
      </c>
      <c r="CB359" s="6" t="e">
        <f t="shared" ca="1" si="297"/>
        <v>#DIV/0!</v>
      </c>
      <c r="CC359" s="6" t="e">
        <f t="shared" ca="1" si="298"/>
        <v>#DIV/0!</v>
      </c>
      <c r="CD359" s="9">
        <f t="shared" si="299"/>
        <v>-30</v>
      </c>
      <c r="CE359" s="9">
        <f t="shared" si="300"/>
        <v>0</v>
      </c>
      <c r="CF359" s="6">
        <f t="shared" si="301"/>
        <v>3.1415926535897931</v>
      </c>
      <c r="CG359" s="6" t="e">
        <f t="shared" ca="1" si="302"/>
        <v>#DIV/0!</v>
      </c>
      <c r="CH359" s="6"/>
      <c r="CI359" s="6"/>
      <c r="CJ359" s="1"/>
      <c r="CK359" s="6"/>
    </row>
    <row r="360" spans="55:89" x14ac:dyDescent="0.25">
      <c r="BC360"/>
      <c r="BD360"/>
      <c r="BF360" s="6" t="e">
        <f t="shared" si="288"/>
        <v>#N/A</v>
      </c>
      <c r="BG360" s="6" t="e">
        <f t="shared" si="289"/>
        <v>#N/A</v>
      </c>
      <c r="BH360" s="6" t="e">
        <f t="shared" si="290"/>
        <v>#N/A</v>
      </c>
      <c r="BI360" s="6" t="e">
        <f t="shared" si="291"/>
        <v>#N/A</v>
      </c>
      <c r="BV360" s="36"/>
      <c r="BW360" s="6" t="e">
        <f t="shared" si="292"/>
        <v>#N/A</v>
      </c>
      <c r="BX360" s="9">
        <f t="shared" ca="1" si="293"/>
        <v>-65.220682514826848</v>
      </c>
      <c r="BY360" s="9">
        <f t="shared" ca="1" si="294"/>
        <v>21.430285361287321</v>
      </c>
      <c r="BZ360" s="9">
        <f t="shared" ca="1" si="295"/>
        <v>0</v>
      </c>
      <c r="CA360" s="6">
        <f t="shared" ca="1" si="296"/>
        <v>0</v>
      </c>
      <c r="CB360" s="6" t="e">
        <f t="shared" ca="1" si="297"/>
        <v>#DIV/0!</v>
      </c>
      <c r="CC360" s="6" t="e">
        <f t="shared" ca="1" si="298"/>
        <v>#DIV/0!</v>
      </c>
      <c r="CD360" s="9">
        <f t="shared" si="299"/>
        <v>-30</v>
      </c>
      <c r="CE360" s="9">
        <f t="shared" si="300"/>
        <v>0</v>
      </c>
      <c r="CF360" s="6">
        <f t="shared" si="301"/>
        <v>3.1415926535897931</v>
      </c>
      <c r="CG360" s="6" t="e">
        <f t="shared" ca="1" si="302"/>
        <v>#DIV/0!</v>
      </c>
      <c r="CH360" s="6"/>
      <c r="CI360" s="6"/>
      <c r="CJ360" s="1"/>
      <c r="CK360" s="6"/>
    </row>
    <row r="361" spans="55:89" x14ac:dyDescent="0.25">
      <c r="BC361"/>
      <c r="BD361"/>
      <c r="BF361" s="6" t="e">
        <f t="shared" si="288"/>
        <v>#N/A</v>
      </c>
      <c r="BG361" s="6" t="e">
        <f t="shared" si="289"/>
        <v>#N/A</v>
      </c>
      <c r="BH361" s="6" t="e">
        <f t="shared" si="290"/>
        <v>#N/A</v>
      </c>
      <c r="BI361" s="6" t="e">
        <f t="shared" si="291"/>
        <v>#N/A</v>
      </c>
      <c r="BV361" s="36"/>
      <c r="BW361" s="6" t="e">
        <f t="shared" si="292"/>
        <v>#N/A</v>
      </c>
      <c r="BX361" s="9">
        <f t="shared" ca="1" si="293"/>
        <v>-65.220682514826848</v>
      </c>
      <c r="BY361" s="9">
        <f t="shared" ca="1" si="294"/>
        <v>21.430285361287321</v>
      </c>
      <c r="BZ361" s="9">
        <f t="shared" ca="1" si="295"/>
        <v>0</v>
      </c>
      <c r="CA361" s="6">
        <f t="shared" ca="1" si="296"/>
        <v>0</v>
      </c>
      <c r="CB361" s="6" t="e">
        <f t="shared" ca="1" si="297"/>
        <v>#DIV/0!</v>
      </c>
      <c r="CC361" s="6" t="e">
        <f t="shared" ca="1" si="298"/>
        <v>#DIV/0!</v>
      </c>
      <c r="CD361" s="9">
        <f t="shared" si="299"/>
        <v>-30</v>
      </c>
      <c r="CE361" s="9">
        <f t="shared" si="300"/>
        <v>0</v>
      </c>
      <c r="CF361" s="6">
        <f t="shared" si="301"/>
        <v>3.1415926535897931</v>
      </c>
      <c r="CG361" s="6" t="e">
        <f t="shared" ca="1" si="302"/>
        <v>#DIV/0!</v>
      </c>
      <c r="CH361" s="6"/>
      <c r="CI361" s="6"/>
      <c r="CJ361" s="1"/>
      <c r="CK361" s="6"/>
    </row>
    <row r="362" spans="55:89" x14ac:dyDescent="0.25">
      <c r="BC362"/>
      <c r="BD362"/>
      <c r="BF362" s="6" t="e">
        <f t="shared" si="288"/>
        <v>#N/A</v>
      </c>
      <c r="BG362" s="6" t="e">
        <f t="shared" si="289"/>
        <v>#N/A</v>
      </c>
      <c r="BH362" s="6" t="e">
        <f t="shared" si="290"/>
        <v>#N/A</v>
      </c>
      <c r="BI362" s="6" t="e">
        <f t="shared" si="291"/>
        <v>#N/A</v>
      </c>
      <c r="BV362" s="36"/>
      <c r="BW362" s="6" t="e">
        <f t="shared" si="292"/>
        <v>#N/A</v>
      </c>
      <c r="BX362" s="9">
        <f t="shared" ca="1" si="293"/>
        <v>-65.220682514826848</v>
      </c>
      <c r="BY362" s="9">
        <f t="shared" ca="1" si="294"/>
        <v>21.430285361287321</v>
      </c>
      <c r="BZ362" s="9">
        <f t="shared" ca="1" si="295"/>
        <v>0</v>
      </c>
      <c r="CA362" s="6">
        <f t="shared" ca="1" si="296"/>
        <v>0</v>
      </c>
      <c r="CB362" s="6" t="e">
        <f t="shared" ca="1" si="297"/>
        <v>#DIV/0!</v>
      </c>
      <c r="CC362" s="6" t="e">
        <f t="shared" ca="1" si="298"/>
        <v>#DIV/0!</v>
      </c>
      <c r="CD362" s="9">
        <f t="shared" si="299"/>
        <v>-30</v>
      </c>
      <c r="CE362" s="9">
        <f t="shared" si="300"/>
        <v>0</v>
      </c>
      <c r="CF362" s="6">
        <f t="shared" si="301"/>
        <v>3.1415926535897931</v>
      </c>
      <c r="CG362" s="6" t="e">
        <f t="shared" ca="1" si="302"/>
        <v>#DIV/0!</v>
      </c>
      <c r="CH362" s="6"/>
      <c r="CI362" s="6"/>
      <c r="CJ362" s="1"/>
      <c r="CK362" s="6"/>
    </row>
    <row r="363" spans="55:89" x14ac:dyDescent="0.25">
      <c r="BC363"/>
      <c r="BD363"/>
      <c r="BF363" s="6" t="e">
        <f t="shared" ref="BF363" si="303">IF(BC363&lt;&gt;"",IF(AND(BD363=0,BE363=0),0,MOD(ATAN2(BD363,BE363),2*PI())),NA())</f>
        <v>#N/A</v>
      </c>
      <c r="BG363" s="6" t="e">
        <f t="shared" ref="BG363" si="304">ABS(BC363-BF363)</f>
        <v>#N/A</v>
      </c>
      <c r="BH363" s="6" t="e">
        <f t="shared" ref="BH363" si="305">ATAN2(COS($U$13-BF363),SIN($U$13-BF363))</f>
        <v>#N/A</v>
      </c>
      <c r="BI363" s="6" t="e">
        <f t="shared" ref="BI363" si="306">ABS(BH363)</f>
        <v>#N/A</v>
      </c>
      <c r="BW363" s="6" t="e">
        <f t="shared" si="292"/>
        <v>#N/A</v>
      </c>
      <c r="BX363" s="9">
        <f t="shared" ca="1" si="293"/>
        <v>-65.220682514826848</v>
      </c>
      <c r="BY363" s="9">
        <f t="shared" ca="1" si="294"/>
        <v>21.430285361287321</v>
      </c>
      <c r="BZ363" s="9">
        <f t="shared" ca="1" si="295"/>
        <v>0</v>
      </c>
      <c r="CA363" s="6">
        <f t="shared" ca="1" si="296"/>
        <v>0</v>
      </c>
      <c r="CB363" s="6" t="e">
        <f t="shared" ca="1" si="297"/>
        <v>#DIV/0!</v>
      </c>
      <c r="CC363" s="6" t="e">
        <f t="shared" ca="1" si="298"/>
        <v>#DIV/0!</v>
      </c>
      <c r="CD363" s="9">
        <f t="shared" si="299"/>
        <v>-30</v>
      </c>
      <c r="CE363" s="9">
        <f t="shared" si="300"/>
        <v>0</v>
      </c>
      <c r="CF363" s="6">
        <f t="shared" si="301"/>
        <v>3.1415926535897931</v>
      </c>
      <c r="CG363" s="6" t="e">
        <f t="shared" ca="1" si="302"/>
        <v>#DIV/0!</v>
      </c>
      <c r="CH363" s="6"/>
      <c r="CI363" s="6"/>
      <c r="CJ363" s="1"/>
      <c r="CK363" s="6"/>
    </row>
    <row r="364" spans="55:89" x14ac:dyDescent="0.25">
      <c r="BC364" s="6">
        <f>COUNTIF(BC2:BC363,"&lt;&gt;")</f>
        <v>38</v>
      </c>
      <c r="BD364" s="47">
        <f>SUM(BD1:BD363)</f>
        <v>1072.7510962882091</v>
      </c>
      <c r="BE364" s="47">
        <f>SUM(BE1:BE363)</f>
        <v>-5.667621936950814E-13</v>
      </c>
      <c r="BF364" s="6"/>
      <c r="BG364" s="6"/>
      <c r="BH364" s="6"/>
      <c r="BI364" s="6"/>
      <c r="BW364" s="6" t="e">
        <f t="shared" si="292"/>
        <v>#N/A</v>
      </c>
      <c r="BX364" s="9">
        <f t="shared" ca="1" si="293"/>
        <v>-65.220682514826848</v>
      </c>
      <c r="BY364" s="9">
        <f t="shared" ca="1" si="294"/>
        <v>21.430285361287321</v>
      </c>
      <c r="BZ364" s="9">
        <f t="shared" ca="1" si="295"/>
        <v>0</v>
      </c>
      <c r="CA364" s="6">
        <f t="shared" ca="1" si="296"/>
        <v>0</v>
      </c>
      <c r="CB364" s="6" t="e">
        <f t="shared" ca="1" si="297"/>
        <v>#DIV/0!</v>
      </c>
      <c r="CC364" s="6" t="e">
        <f t="shared" ca="1" si="298"/>
        <v>#DIV/0!</v>
      </c>
      <c r="CD364" s="9">
        <f t="shared" si="299"/>
        <v>-30</v>
      </c>
      <c r="CE364" s="9">
        <f t="shared" si="300"/>
        <v>0</v>
      </c>
      <c r="CF364" s="6">
        <f t="shared" si="301"/>
        <v>3.1415926535897931</v>
      </c>
      <c r="CG364" s="6" t="e">
        <f t="shared" ca="1" si="302"/>
        <v>#DIV/0!</v>
      </c>
      <c r="CH364" s="6"/>
      <c r="CI364" s="6"/>
      <c r="CJ364" s="1"/>
      <c r="CK364" s="6"/>
    </row>
    <row r="365" spans="55:89" x14ac:dyDescent="0.25">
      <c r="BD365" s="6">
        <f>BD364/BC364</f>
        <v>28.230292007584449</v>
      </c>
      <c r="BE365" s="6">
        <f>BE364/BC364</f>
        <v>-1.4914794570923194E-14</v>
      </c>
      <c r="BW365" s="6" t="e">
        <f t="shared" si="292"/>
        <v>#N/A</v>
      </c>
      <c r="BX365" s="9">
        <f t="shared" ca="1" si="293"/>
        <v>-65.220682514826848</v>
      </c>
      <c r="BY365" s="9">
        <f t="shared" ca="1" si="294"/>
        <v>21.430285361287321</v>
      </c>
      <c r="BZ365" s="9">
        <f t="shared" ca="1" si="295"/>
        <v>0</v>
      </c>
      <c r="CA365" s="6">
        <f t="shared" ca="1" si="296"/>
        <v>0</v>
      </c>
      <c r="CB365" s="6" t="e">
        <f t="shared" ca="1" si="297"/>
        <v>#DIV/0!</v>
      </c>
      <c r="CC365" s="6" t="e">
        <f t="shared" ca="1" si="298"/>
        <v>#DIV/0!</v>
      </c>
      <c r="CD365" s="9">
        <f t="shared" si="299"/>
        <v>-30</v>
      </c>
      <c r="CE365" s="9">
        <f t="shared" si="300"/>
        <v>0</v>
      </c>
      <c r="CF365" s="6">
        <f t="shared" si="301"/>
        <v>3.1415926535897931</v>
      </c>
      <c r="CG365" s="6" t="e">
        <f t="shared" ca="1" si="302"/>
        <v>#DIV/0!</v>
      </c>
      <c r="CH365" s="6"/>
      <c r="CI365" s="6"/>
      <c r="CJ365" s="1"/>
      <c r="CK365" s="6"/>
    </row>
    <row r="366" spans="55:89" x14ac:dyDescent="0.25">
      <c r="BW366" s="6" t="e">
        <f t="shared" si="292"/>
        <v>#N/A</v>
      </c>
      <c r="BX366" s="9">
        <f t="shared" ca="1" si="293"/>
        <v>-65.220682514826848</v>
      </c>
      <c r="BY366" s="9">
        <f t="shared" ca="1" si="294"/>
        <v>21.430285361287321</v>
      </c>
      <c r="BZ366" s="9">
        <f t="shared" ca="1" si="295"/>
        <v>0</v>
      </c>
      <c r="CA366" s="6">
        <f t="shared" ca="1" si="296"/>
        <v>0</v>
      </c>
      <c r="CB366" s="6" t="e">
        <f t="shared" ca="1" si="297"/>
        <v>#DIV/0!</v>
      </c>
      <c r="CC366" s="6" t="e">
        <f t="shared" ca="1" si="298"/>
        <v>#DIV/0!</v>
      </c>
      <c r="CD366" s="9">
        <f t="shared" si="299"/>
        <v>-30</v>
      </c>
      <c r="CE366" s="9">
        <f t="shared" si="300"/>
        <v>0</v>
      </c>
      <c r="CF366" s="6">
        <f t="shared" si="301"/>
        <v>3.1415926535897931</v>
      </c>
      <c r="CG366" s="6" t="e">
        <f t="shared" ca="1" si="302"/>
        <v>#DIV/0!</v>
      </c>
      <c r="CH366" s="6"/>
      <c r="CI366" s="6"/>
      <c r="CJ366" s="1"/>
      <c r="CK366" s="6"/>
    </row>
    <row r="367" spans="55:89" x14ac:dyDescent="0.25">
      <c r="BW367" s="6" t="e">
        <f t="shared" si="292"/>
        <v>#N/A</v>
      </c>
      <c r="BX367" s="9">
        <f t="shared" ca="1" si="293"/>
        <v>-65.220682514826848</v>
      </c>
      <c r="BY367" s="9">
        <f t="shared" ca="1" si="294"/>
        <v>21.430285361287321</v>
      </c>
      <c r="BZ367" s="9">
        <f t="shared" ca="1" si="295"/>
        <v>0</v>
      </c>
      <c r="CA367" s="6">
        <f t="shared" ca="1" si="296"/>
        <v>0</v>
      </c>
      <c r="CB367" s="6" t="e">
        <f t="shared" ca="1" si="297"/>
        <v>#DIV/0!</v>
      </c>
      <c r="CC367" s="6" t="e">
        <f t="shared" ca="1" si="298"/>
        <v>#DIV/0!</v>
      </c>
      <c r="CD367" s="9">
        <f t="shared" si="299"/>
        <v>-30</v>
      </c>
      <c r="CE367" s="9">
        <f t="shared" si="300"/>
        <v>0</v>
      </c>
      <c r="CF367" s="6">
        <f t="shared" si="301"/>
        <v>3.1415926535897931</v>
      </c>
      <c r="CG367" s="6" t="e">
        <f t="shared" ca="1" si="302"/>
        <v>#DIV/0!</v>
      </c>
      <c r="CH367" s="6"/>
      <c r="CI367" s="6"/>
      <c r="CJ367" s="1"/>
      <c r="CK367" s="6"/>
    </row>
    <row r="368" spans="55:89" x14ac:dyDescent="0.25">
      <c r="BW368" s="6" t="e">
        <f t="shared" si="292"/>
        <v>#N/A</v>
      </c>
      <c r="BX368" s="9">
        <f t="shared" ca="1" si="293"/>
        <v>-65.220682514826848</v>
      </c>
      <c r="BY368" s="9">
        <f t="shared" ca="1" si="294"/>
        <v>21.430285361287321</v>
      </c>
      <c r="BZ368" s="9">
        <f t="shared" ca="1" si="295"/>
        <v>0</v>
      </c>
      <c r="CA368" s="6">
        <f t="shared" ca="1" si="296"/>
        <v>0</v>
      </c>
      <c r="CB368" s="6" t="e">
        <f t="shared" ca="1" si="297"/>
        <v>#DIV/0!</v>
      </c>
      <c r="CC368" s="6" t="e">
        <f t="shared" ca="1" si="298"/>
        <v>#DIV/0!</v>
      </c>
      <c r="CD368" s="9">
        <f t="shared" si="299"/>
        <v>-30</v>
      </c>
      <c r="CE368" s="9">
        <f t="shared" si="300"/>
        <v>0</v>
      </c>
      <c r="CF368" s="6">
        <f t="shared" si="301"/>
        <v>3.1415926535897931</v>
      </c>
      <c r="CG368" s="6" t="e">
        <f t="shared" ca="1" si="302"/>
        <v>#DIV/0!</v>
      </c>
      <c r="CH368" s="6"/>
      <c r="CI368" s="6"/>
      <c r="CJ368" s="1"/>
      <c r="CK368" s="6"/>
    </row>
    <row r="369" spans="75:89" x14ac:dyDescent="0.25">
      <c r="BW369" s="6" t="e">
        <f t="shared" si="292"/>
        <v>#N/A</v>
      </c>
      <c r="BX369" s="9">
        <f t="shared" ca="1" si="293"/>
        <v>-65.220682514826848</v>
      </c>
      <c r="BY369" s="9">
        <f t="shared" ca="1" si="294"/>
        <v>21.430285361287321</v>
      </c>
      <c r="BZ369" s="9">
        <f t="shared" ca="1" si="295"/>
        <v>0</v>
      </c>
      <c r="CA369" s="6">
        <f t="shared" ca="1" si="296"/>
        <v>0</v>
      </c>
      <c r="CB369" s="6" t="e">
        <f t="shared" ca="1" si="297"/>
        <v>#DIV/0!</v>
      </c>
      <c r="CC369" s="6" t="e">
        <f t="shared" ca="1" si="298"/>
        <v>#DIV/0!</v>
      </c>
      <c r="CD369" s="9">
        <f t="shared" si="299"/>
        <v>-30</v>
      </c>
      <c r="CE369" s="9">
        <f t="shared" si="300"/>
        <v>0</v>
      </c>
      <c r="CF369" s="6">
        <f t="shared" si="301"/>
        <v>3.1415926535897931</v>
      </c>
      <c r="CG369" s="6" t="e">
        <f t="shared" ca="1" si="302"/>
        <v>#DIV/0!</v>
      </c>
      <c r="CH369" s="6"/>
      <c r="CI369" s="6"/>
      <c r="CJ369" s="1"/>
      <c r="CK369" s="6"/>
    </row>
    <row r="370" spans="75:89" x14ac:dyDescent="0.25">
      <c r="BW370" s="6" t="e">
        <f t="shared" si="292"/>
        <v>#N/A</v>
      </c>
      <c r="BX370" s="9">
        <f t="shared" ca="1" si="293"/>
        <v>-65.220682514826848</v>
      </c>
      <c r="BY370" s="9">
        <f t="shared" ca="1" si="294"/>
        <v>21.430285361287321</v>
      </c>
      <c r="BZ370" s="9">
        <f t="shared" ca="1" si="295"/>
        <v>0</v>
      </c>
      <c r="CA370" s="6">
        <f t="shared" ca="1" si="296"/>
        <v>0</v>
      </c>
      <c r="CB370" s="6" t="e">
        <f t="shared" ca="1" si="297"/>
        <v>#DIV/0!</v>
      </c>
      <c r="CC370" s="6" t="e">
        <f t="shared" ca="1" si="298"/>
        <v>#DIV/0!</v>
      </c>
      <c r="CD370" s="9">
        <f t="shared" si="299"/>
        <v>-30</v>
      </c>
      <c r="CE370" s="9">
        <f t="shared" si="300"/>
        <v>0</v>
      </c>
      <c r="CF370" s="6">
        <f t="shared" si="301"/>
        <v>3.1415926535897931</v>
      </c>
      <c r="CG370" s="6" t="e">
        <f t="shared" ca="1" si="302"/>
        <v>#DIV/0!</v>
      </c>
      <c r="CH370" s="6"/>
      <c r="CI370" s="6"/>
      <c r="CJ370" s="1"/>
      <c r="CK370" s="6"/>
    </row>
    <row r="371" spans="75:89" x14ac:dyDescent="0.25">
      <c r="BW371" s="6" t="e">
        <f t="shared" si="292"/>
        <v>#N/A</v>
      </c>
      <c r="BX371" s="9">
        <f t="shared" ca="1" si="293"/>
        <v>-65.220682514826848</v>
      </c>
      <c r="BY371" s="9">
        <f t="shared" ca="1" si="294"/>
        <v>21.430285361287321</v>
      </c>
      <c r="BZ371" s="9">
        <f t="shared" ca="1" si="295"/>
        <v>0</v>
      </c>
      <c r="CA371" s="6">
        <f t="shared" ca="1" si="296"/>
        <v>0</v>
      </c>
      <c r="CB371" s="6" t="e">
        <f t="shared" ca="1" si="297"/>
        <v>#DIV/0!</v>
      </c>
      <c r="CC371" s="6" t="e">
        <f t="shared" ca="1" si="298"/>
        <v>#DIV/0!</v>
      </c>
      <c r="CD371" s="9">
        <f t="shared" si="299"/>
        <v>-30</v>
      </c>
      <c r="CE371" s="9">
        <f t="shared" si="300"/>
        <v>0</v>
      </c>
      <c r="CF371" s="6">
        <f t="shared" si="301"/>
        <v>3.1415926535897931</v>
      </c>
      <c r="CG371" s="6" t="e">
        <f t="shared" ca="1" si="302"/>
        <v>#DIV/0!</v>
      </c>
      <c r="CH371" s="6"/>
      <c r="CI371" s="6"/>
      <c r="CJ371" s="1"/>
      <c r="CK371" s="6"/>
    </row>
    <row r="372" spans="75:89" x14ac:dyDescent="0.25">
      <c r="BW372" s="6" t="e">
        <f t="shared" si="292"/>
        <v>#N/A</v>
      </c>
      <c r="BX372" s="9">
        <f t="shared" ca="1" si="293"/>
        <v>-65.220682514826848</v>
      </c>
      <c r="BY372" s="9">
        <f t="shared" ca="1" si="294"/>
        <v>21.430285361287321</v>
      </c>
      <c r="BZ372" s="9">
        <f t="shared" ca="1" si="295"/>
        <v>0</v>
      </c>
      <c r="CA372" s="6">
        <f t="shared" ca="1" si="296"/>
        <v>0</v>
      </c>
      <c r="CB372" s="6" t="e">
        <f t="shared" ca="1" si="297"/>
        <v>#DIV/0!</v>
      </c>
      <c r="CC372" s="6" t="e">
        <f t="shared" ca="1" si="298"/>
        <v>#DIV/0!</v>
      </c>
      <c r="CD372" s="9">
        <f t="shared" si="299"/>
        <v>-30</v>
      </c>
      <c r="CE372" s="9">
        <f t="shared" si="300"/>
        <v>0</v>
      </c>
      <c r="CF372" s="6">
        <f t="shared" si="301"/>
        <v>3.1415926535897931</v>
      </c>
      <c r="CG372" s="6" t="e">
        <f t="shared" ca="1" si="302"/>
        <v>#DIV/0!</v>
      </c>
      <c r="CH372" s="6"/>
      <c r="CI372" s="6"/>
      <c r="CJ372" s="1"/>
      <c r="CK372" s="6"/>
    </row>
    <row r="373" spans="75:89" x14ac:dyDescent="0.25">
      <c r="BW373" s="6" t="e">
        <f t="shared" si="292"/>
        <v>#N/A</v>
      </c>
      <c r="BX373" s="9">
        <f t="shared" ca="1" si="293"/>
        <v>-65.220682514826848</v>
      </c>
      <c r="BY373" s="9">
        <f t="shared" ca="1" si="294"/>
        <v>21.430285361287321</v>
      </c>
      <c r="BZ373" s="9">
        <f t="shared" ca="1" si="295"/>
        <v>0</v>
      </c>
      <c r="CA373" s="6">
        <f t="shared" ca="1" si="296"/>
        <v>0</v>
      </c>
      <c r="CB373" s="6" t="e">
        <f t="shared" ca="1" si="297"/>
        <v>#DIV/0!</v>
      </c>
      <c r="CC373" s="6" t="e">
        <f t="shared" ca="1" si="298"/>
        <v>#DIV/0!</v>
      </c>
      <c r="CD373" s="9">
        <f t="shared" si="299"/>
        <v>-30</v>
      </c>
      <c r="CE373" s="9">
        <f t="shared" si="300"/>
        <v>0</v>
      </c>
      <c r="CF373" s="6">
        <f t="shared" si="301"/>
        <v>3.1415926535897931</v>
      </c>
      <c r="CG373" s="6" t="e">
        <f t="shared" ca="1" si="302"/>
        <v>#DIV/0!</v>
      </c>
      <c r="CH373" s="6"/>
      <c r="CI373" s="6"/>
      <c r="CJ373" s="1"/>
      <c r="CK373" s="6"/>
    </row>
    <row r="374" spans="75:89" x14ac:dyDescent="0.25">
      <c r="BW374" s="6" t="e">
        <f t="shared" si="292"/>
        <v>#N/A</v>
      </c>
      <c r="BX374" s="9">
        <f t="shared" ca="1" si="293"/>
        <v>-65.220682514826848</v>
      </c>
      <c r="BY374" s="9">
        <f t="shared" ca="1" si="294"/>
        <v>21.430285361287321</v>
      </c>
      <c r="BZ374" s="9">
        <f t="shared" ca="1" si="295"/>
        <v>0</v>
      </c>
      <c r="CA374" s="6">
        <f t="shared" ca="1" si="296"/>
        <v>0</v>
      </c>
      <c r="CB374" s="6" t="e">
        <f t="shared" ca="1" si="297"/>
        <v>#DIV/0!</v>
      </c>
      <c r="CC374" s="6" t="e">
        <f t="shared" ca="1" si="298"/>
        <v>#DIV/0!</v>
      </c>
      <c r="CD374" s="9">
        <f t="shared" si="299"/>
        <v>-30</v>
      </c>
      <c r="CE374" s="9">
        <f t="shared" si="300"/>
        <v>0</v>
      </c>
      <c r="CF374" s="6">
        <f t="shared" si="301"/>
        <v>3.1415926535897931</v>
      </c>
      <c r="CG374" s="6" t="e">
        <f t="shared" ca="1" si="302"/>
        <v>#DIV/0!</v>
      </c>
      <c r="CH374" s="6"/>
      <c r="CI374" s="6"/>
      <c r="CJ374" s="1"/>
      <c r="CK374" s="6"/>
    </row>
    <row r="375" spans="75:89" x14ac:dyDescent="0.25">
      <c r="BW375" s="6" t="e">
        <f t="shared" si="292"/>
        <v>#N/A</v>
      </c>
      <c r="BX375" s="9">
        <f t="shared" ca="1" si="293"/>
        <v>-65.220682514826848</v>
      </c>
      <c r="BY375" s="9">
        <f t="shared" ca="1" si="294"/>
        <v>21.430285361287321</v>
      </c>
      <c r="BZ375" s="9">
        <f t="shared" ca="1" si="295"/>
        <v>0</v>
      </c>
      <c r="CA375" s="6">
        <f t="shared" ca="1" si="296"/>
        <v>0</v>
      </c>
      <c r="CB375" s="6" t="e">
        <f t="shared" ca="1" si="297"/>
        <v>#DIV/0!</v>
      </c>
      <c r="CC375" s="6" t="e">
        <f t="shared" ca="1" si="298"/>
        <v>#DIV/0!</v>
      </c>
      <c r="CD375" s="9">
        <f t="shared" si="299"/>
        <v>-30</v>
      </c>
      <c r="CE375" s="9">
        <f t="shared" si="300"/>
        <v>0</v>
      </c>
      <c r="CF375" s="6">
        <f t="shared" si="301"/>
        <v>3.1415926535897931</v>
      </c>
      <c r="CG375" s="6" t="e">
        <f t="shared" ca="1" si="302"/>
        <v>#DIV/0!</v>
      </c>
      <c r="CH375" s="6"/>
      <c r="CI375" s="6"/>
      <c r="CJ375" s="1"/>
      <c r="CK375" s="6"/>
    </row>
    <row r="376" spans="75:89" x14ac:dyDescent="0.25">
      <c r="BW376" s="6" t="e">
        <f t="shared" ref="BW376" si="307">IF(BC363="",NA(),BC363)</f>
        <v>#N/A</v>
      </c>
      <c r="BX376" s="9">
        <f t="shared" ref="BX376" ca="1" si="308">BD363-$BW$5</f>
        <v>-65.220682514826848</v>
      </c>
      <c r="BY376" s="9">
        <f t="shared" ref="BY376" ca="1" si="309">BE363-$BX$5</f>
        <v>21.430285361287321</v>
      </c>
      <c r="BZ376" s="9">
        <f t="shared" ref="BZ376" ca="1" si="310">BX376-$CE$5</f>
        <v>0</v>
      </c>
      <c r="CA376" s="6">
        <f t="shared" ref="CA376" ca="1" si="311">BY376-$CF$5</f>
        <v>0</v>
      </c>
      <c r="CB376" s="6" t="e">
        <f t="shared" ref="CB376" ca="1" si="312">ATAN2(BZ376,CA376)</f>
        <v>#DIV/0!</v>
      </c>
      <c r="CC376" s="6" t="e">
        <f t="shared" ca="1" si="298"/>
        <v>#DIV/0!</v>
      </c>
      <c r="CD376" s="9">
        <f t="shared" ref="CD376" si="313">BD363-$BW$6</f>
        <v>-30</v>
      </c>
      <c r="CE376" s="9">
        <f t="shared" ref="CE376" si="314">BE363-$BX$6</f>
        <v>0</v>
      </c>
      <c r="CF376" s="6">
        <f t="shared" ref="CF376" si="315">ATAN2(CD376,CE376)</f>
        <v>3.1415926535897931</v>
      </c>
      <c r="CG376" s="6" t="e">
        <f t="shared" ca="1" si="302"/>
        <v>#DIV/0!</v>
      </c>
    </row>
    <row r="377" spans="75:89" x14ac:dyDescent="0.25">
      <c r="BW377" s="6"/>
      <c r="BX377" s="9"/>
      <c r="BY377" s="9"/>
      <c r="BZ377" s="9"/>
      <c r="CA377" s="6"/>
      <c r="CB377" s="6"/>
      <c r="CC377" s="6"/>
      <c r="CD377" s="9"/>
      <c r="CE377" s="9"/>
      <c r="CF377" s="6"/>
    </row>
    <row r="378" spans="75:89" x14ac:dyDescent="0.25">
      <c r="BW378" s="6"/>
    </row>
  </sheetData>
  <phoneticPr fontId="3" type="noConversion"/>
  <dataValidations count="7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  <dataValidation type="list" allowBlank="1" showInputMessage="1" showErrorMessage="1" sqref="AE2" xr:uid="{FC993A26-B9CA-4338-9813-199EC9B1DB94}">
      <formula1>"6,8,12,24,36,72,180,360"</formula1>
    </dataValidation>
    <dataValidation type="list" allowBlank="1" showInputMessage="1" showErrorMessage="1" sqref="B1" xr:uid="{9BC63E87-8495-41F0-9100-35456B261A63}">
      <formula1>"PCA_Parabolic,Whitney"</formula1>
    </dataValidation>
    <dataValidation type="list" allowBlank="1" showInputMessage="1" showErrorMessage="1" sqref="BW3" xr:uid="{74C220A8-5D00-42C7-8FC0-C95ABF5D33EA}">
      <formula1>"parametric, mx_my_pts"</formula1>
    </dataValidation>
    <dataValidation type="list" allowBlank="1" showInputMessage="1" showErrorMessage="1" sqref="E1" xr:uid="{5D9E9ABF-B34B-4E1F-B3BB-37E76194BAFE}">
      <formula1>"Density, Simple"</formula1>
    </dataValidation>
    <dataValidation type="list" allowBlank="1" showInputMessage="1" showErrorMessage="1" sqref="I1" xr:uid="{07D288ED-A482-4640-AFA8-602AA0D021D1}">
      <formula1>"Web,Geometric"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cant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66675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waterfall_solver_vector">
                <anchor moveWithCells="1" sizeWithCells="1">
                  <from>
                    <xdr:col>19</xdr:col>
                    <xdr:colOff>295275</xdr:colOff>
                    <xdr:row>23</xdr:row>
                    <xdr:rowOff>95250</xdr:rowOff>
                  </from>
                  <to>
                    <xdr:col>20</xdr:col>
                    <xdr:colOff>800100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mx_my">
                <anchor moveWithCells="1" sizeWithCells="1">
                  <from>
                    <xdr:col>29</xdr:col>
                    <xdr:colOff>295275</xdr:colOff>
                    <xdr:row>2</xdr:row>
                    <xdr:rowOff>85725</xdr:rowOff>
                  </from>
                  <to>
                    <xdr:col>31</xdr:col>
                    <xdr:colOff>180975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bisection_method_for_na_alt_reference">
                <anchor moveWithCells="1" sizeWithCells="1">
                  <from>
                    <xdr:col>21</xdr:col>
                    <xdr:colOff>352425</xdr:colOff>
                    <xdr:row>23</xdr:row>
                    <xdr:rowOff>19050</xdr:rowOff>
                  </from>
                  <to>
                    <xdr:col>22</xdr:col>
                    <xdr:colOff>857250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TLR_Section_Capacity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2022-08-08T15:36:01Z</dcterms:modified>
</cp:coreProperties>
</file>